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User\Desktop\ANALYTICS PORTFOLIO\cafe-sales-data-quality-audit\data\"/>
    </mc:Choice>
  </mc:AlternateContent>
  <xr:revisionPtr revIDLastSave="0" documentId="13_ncr:1_{2CE2644A-DE46-4675-BFB7-A3CB0E571911}" xr6:coauthVersionLast="47" xr6:coauthVersionMax="47" xr10:uidLastSave="{00000000-0000-0000-0000-000000000000}"/>
  <bookViews>
    <workbookView xWindow="-108" yWindow="-108" windowWidth="23256" windowHeight="12576" activeTab="4" xr2:uid="{00000000-000D-0000-FFFF-FFFF00000000}"/>
  </bookViews>
  <sheets>
    <sheet name="Report" sheetId="5" r:id="rId1"/>
    <sheet name="Findings Log" sheetId="4" r:id="rId2"/>
    <sheet name="Diagnostics" sheetId="3" r:id="rId3"/>
    <sheet name="Lists" sheetId="6" r:id="rId4"/>
    <sheet name="Raw Data" sheetId="1" r:id="rId5"/>
  </sheets>
  <calcPr calcId="191029"/>
  <fileRecoveryPr repairLoad="1"/>
</workbook>
</file>

<file path=xl/calcChain.xml><?xml version="1.0" encoding="utf-8"?>
<calcChain xmlns="http://schemas.openxmlformats.org/spreadsheetml/2006/main">
  <c r="B11" i="3" l="1"/>
  <c r="AB7" i="3"/>
  <c r="AB6" i="3"/>
  <c r="AB5" i="3"/>
  <c r="B13" i="3"/>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B23" i="3"/>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B25" i="3"/>
  <c r="B24" i="3"/>
  <c r="B19" i="3"/>
  <c r="B18" i="3"/>
  <c r="B17" i="3"/>
  <c r="B16" i="3"/>
  <c r="B12" i="3"/>
  <c r="C22" i="3" s="1"/>
  <c r="B9" i="3"/>
  <c r="B8" i="3"/>
  <c r="B7" i="3"/>
  <c r="C7" i="3" s="1"/>
  <c r="B6" i="3"/>
  <c r="C6" i="3" s="1"/>
  <c r="B5" i="3"/>
  <c r="B4" i="3"/>
  <c r="B3" i="3"/>
  <c r="B2" i="3"/>
  <c r="C2" i="3" s="1"/>
  <c r="C4" i="3" l="1"/>
  <c r="C8" i="3"/>
  <c r="C27" i="3"/>
  <c r="C5" i="3"/>
  <c r="C9" i="3"/>
  <c r="B26" i="3"/>
  <c r="C26" i="3" s="1"/>
  <c r="C16" i="3"/>
  <c r="C24" i="3"/>
  <c r="C25" i="3"/>
  <c r="C18" i="3"/>
  <c r="C23" i="3"/>
  <c r="C19" i="3"/>
  <c r="C21" i="3"/>
  <c r="C17" i="3"/>
  <c r="C20" i="3"/>
  <c r="C15" i="3"/>
  <c r="B10" i="3"/>
  <c r="C10" i="3" s="1"/>
  <c r="C3" i="3"/>
  <c r="C13" i="3"/>
  <c r="B14" i="3"/>
  <c r="C14" i="3" s="1"/>
  <c r="C11" i="3" l="1"/>
</calcChain>
</file>

<file path=xl/sharedStrings.xml><?xml version="1.0" encoding="utf-8"?>
<sst xmlns="http://schemas.openxmlformats.org/spreadsheetml/2006/main" count="41604" uniqueCount="10134">
  <si>
    <t>Transaction ID</t>
  </si>
  <si>
    <t>Item</t>
  </si>
  <si>
    <t>Quantity</t>
  </si>
  <si>
    <t>Price Per Unit</t>
  </si>
  <si>
    <t>Total Spent</t>
  </si>
  <si>
    <t>Payment Method</t>
  </si>
  <si>
    <t>Location</t>
  </si>
  <si>
    <t>Transaction Date</t>
  </si>
  <si>
    <t>TXN_1961373</t>
  </si>
  <si>
    <t>TXN_4977031</t>
  </si>
  <si>
    <t>TXN_4271903</t>
  </si>
  <si>
    <t>TXN_7034554</t>
  </si>
  <si>
    <t>TXN_3160411</t>
  </si>
  <si>
    <t>TXN_2602893</t>
  </si>
  <si>
    <t>TXN_4433211</t>
  </si>
  <si>
    <t>TXN_6699534</t>
  </si>
  <si>
    <t>TXN_4717867</t>
  </si>
  <si>
    <t>TXN_2064365</t>
  </si>
  <si>
    <t>TXN_2548360</t>
  </si>
  <si>
    <t>TXN_3051279</t>
  </si>
  <si>
    <t>TXN_7619095</t>
  </si>
  <si>
    <t>TXN_9437049</t>
  </si>
  <si>
    <t>TXN_8915701</t>
  </si>
  <si>
    <t>TXN_2847255</t>
  </si>
  <si>
    <t>TXN_3765707</t>
  </si>
  <si>
    <t>TXN_6769710</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</si>
  <si>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</si>
  <si>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</si>
  <si>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</si>
  <si>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</si>
  <si>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</si>
  <si>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</si>
  <si>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</si>
  <si>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</si>
  <si>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</si>
  <si>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</si>
  <si>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</si>
  <si>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</si>
  <si>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</si>
  <si>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</si>
  <si>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</si>
  <si>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</si>
  <si>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</si>
  <si>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</si>
  <si>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</si>
  <si>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</si>
  <si>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</si>
  <si>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</si>
  <si>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</si>
  <si>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</si>
  <si>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</si>
  <si>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</si>
  <si>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</si>
  <si>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</si>
  <si>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</si>
  <si>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</si>
  <si>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</si>
  <si>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</si>
  <si>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</si>
  <si>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</si>
  <si>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</si>
  <si>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</si>
  <si>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</si>
  <si>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</si>
  <si>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</si>
  <si>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</si>
  <si>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</si>
  <si>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</si>
  <si>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</si>
  <si>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</si>
  <si>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</si>
  <si>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</si>
  <si>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</si>
  <si>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</si>
  <si>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</si>
  <si>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</si>
  <si>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</si>
  <si>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</si>
  <si>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</si>
  <si>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</si>
  <si>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</si>
  <si>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</si>
  <si>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</si>
  <si>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</si>
  <si>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</si>
  <si>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</si>
  <si>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</si>
  <si>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</si>
  <si>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</si>
  <si>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</si>
  <si>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</si>
  <si>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</si>
  <si>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</si>
  <si>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</si>
  <si>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</si>
  <si>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</si>
  <si>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</si>
  <si>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</si>
  <si>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</si>
  <si>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</si>
  <si>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</si>
  <si>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</si>
  <si>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</si>
  <si>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</si>
  <si>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</si>
  <si>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</si>
  <si>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</si>
  <si>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</si>
  <si>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</si>
  <si>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</si>
  <si>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</si>
  <si>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</si>
  <si>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</si>
  <si>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</si>
  <si>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</si>
  <si>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</si>
  <si>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</si>
  <si>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</si>
  <si>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</si>
  <si>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</si>
  <si>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</si>
  <si>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</si>
  <si>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</si>
  <si>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</si>
  <si>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</si>
  <si>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</si>
  <si>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</si>
  <si>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</si>
  <si>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</si>
  <si>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</si>
  <si>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</si>
  <si>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</si>
  <si>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</si>
  <si>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</si>
  <si>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</si>
  <si>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</si>
  <si>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</si>
  <si>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</si>
  <si>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</si>
  <si>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</si>
  <si>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</si>
  <si>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</si>
  <si>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</si>
  <si>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</si>
  <si>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</si>
  <si>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</si>
  <si>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</si>
  <si>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</si>
  <si>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</si>
  <si>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</si>
  <si>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</si>
  <si>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</si>
  <si>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</si>
  <si>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</si>
  <si>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</si>
  <si>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</si>
  <si>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</si>
  <si>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</si>
  <si>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</si>
  <si>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</si>
  <si>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</si>
  <si>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</si>
  <si>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</si>
  <si>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</si>
  <si>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</si>
  <si>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</si>
  <si>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</si>
  <si>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</si>
  <si>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</si>
  <si>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</si>
  <si>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</si>
  <si>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</si>
  <si>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</si>
  <si>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</si>
  <si>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</si>
  <si>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</si>
  <si>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</si>
  <si>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</si>
  <si>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</si>
  <si>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</si>
  <si>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</si>
  <si>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</si>
  <si>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</si>
  <si>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</si>
  <si>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</si>
  <si>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</si>
  <si>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</si>
  <si>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</si>
  <si>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</si>
  <si>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</si>
  <si>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</si>
  <si>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</si>
  <si>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</si>
  <si>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</si>
  <si>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</si>
  <si>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</si>
  <si>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</si>
  <si>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</si>
  <si>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</si>
  <si>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</si>
  <si>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</si>
  <si>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</si>
  <si>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</si>
  <si>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</si>
  <si>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</si>
  <si>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</si>
  <si>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</si>
  <si>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</si>
  <si>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</si>
  <si>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</si>
  <si>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</si>
  <si>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</si>
  <si>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</si>
  <si>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</si>
  <si>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</si>
  <si>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</si>
  <si>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</si>
  <si>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</si>
  <si>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</si>
  <si>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</si>
  <si>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</si>
  <si>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</si>
  <si>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</si>
  <si>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</si>
  <si>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</si>
  <si>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</si>
  <si>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</si>
  <si>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</si>
  <si>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</si>
  <si>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</si>
  <si>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</si>
  <si>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</si>
  <si>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</si>
  <si>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</si>
  <si>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</si>
  <si>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</si>
  <si>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</si>
  <si>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</si>
  <si>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</si>
  <si>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</si>
  <si>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</si>
  <si>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</si>
  <si>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</si>
  <si>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</si>
  <si>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</si>
  <si>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</si>
  <si>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</si>
  <si>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</si>
  <si>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</si>
  <si>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</si>
  <si>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</si>
  <si>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</si>
  <si>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</si>
  <si>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</si>
  <si>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</si>
  <si>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</si>
  <si>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</si>
  <si>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</si>
  <si>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</si>
  <si>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</si>
  <si>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</si>
  <si>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</si>
  <si>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</si>
  <si>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</si>
  <si>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</si>
  <si>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</si>
  <si>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</si>
  <si>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</si>
  <si>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</si>
  <si>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</si>
  <si>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</si>
  <si>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</si>
  <si>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</si>
  <si>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</si>
  <si>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</si>
  <si>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</si>
  <si>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</si>
  <si>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</si>
  <si>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</si>
  <si>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</si>
  <si>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</si>
  <si>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</si>
  <si>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</si>
  <si>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</si>
  <si>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</si>
  <si>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</si>
  <si>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</si>
  <si>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</si>
  <si>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</si>
  <si>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</si>
  <si>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</si>
  <si>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</si>
  <si>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</si>
  <si>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</si>
  <si>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</si>
  <si>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</si>
  <si>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</si>
  <si>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</si>
  <si>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</si>
  <si>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</si>
  <si>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</si>
  <si>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</si>
  <si>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</si>
  <si>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</si>
  <si>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</si>
  <si>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</si>
  <si>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</si>
  <si>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</si>
  <si>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</si>
  <si>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</si>
  <si>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</si>
  <si>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</si>
  <si>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</si>
  <si>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</si>
  <si>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</si>
  <si>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</si>
  <si>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</si>
  <si>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</si>
  <si>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</si>
  <si>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</si>
  <si>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</si>
  <si>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</si>
  <si>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</si>
  <si>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</si>
  <si>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</si>
  <si>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</si>
  <si>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</si>
  <si>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</si>
  <si>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</si>
  <si>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</si>
  <si>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</si>
  <si>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</si>
  <si>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</si>
  <si>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</si>
  <si>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</si>
  <si>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</si>
  <si>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</si>
  <si>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</si>
  <si>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</si>
  <si>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</si>
  <si>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</si>
  <si>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</si>
  <si>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</si>
  <si>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</si>
  <si>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</si>
  <si>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</si>
  <si>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</si>
  <si>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</si>
  <si>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</si>
  <si>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</si>
  <si>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</si>
  <si>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</si>
  <si>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</si>
  <si>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</si>
  <si>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</si>
  <si>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</si>
  <si>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</si>
  <si>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</si>
  <si>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</si>
  <si>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</si>
  <si>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</si>
  <si>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</si>
  <si>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</si>
  <si>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</si>
  <si>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</si>
  <si>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</si>
  <si>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</si>
  <si>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</si>
  <si>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</si>
  <si>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</si>
  <si>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</si>
  <si>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</si>
  <si>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</si>
  <si>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</si>
  <si>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</si>
  <si>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</si>
  <si>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</si>
  <si>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</si>
  <si>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</si>
  <si>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</si>
  <si>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</si>
  <si>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</si>
  <si>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</si>
  <si>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</si>
  <si>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</si>
  <si>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</si>
  <si>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</si>
  <si>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</si>
  <si>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</si>
  <si>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</si>
  <si>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</si>
  <si>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</si>
  <si>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</si>
  <si>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</si>
  <si>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</si>
  <si>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</si>
  <si>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</si>
  <si>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</si>
  <si>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</si>
  <si>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</si>
  <si>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</si>
  <si>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</si>
  <si>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</si>
  <si>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</si>
  <si>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</si>
  <si>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</si>
  <si>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</si>
  <si>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</si>
  <si>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</si>
  <si>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</si>
  <si>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</si>
  <si>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</si>
  <si>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</si>
  <si>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</si>
  <si>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</si>
  <si>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</si>
  <si>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</si>
  <si>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</si>
  <si>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</si>
  <si>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</si>
  <si>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</si>
  <si>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</si>
  <si>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</si>
  <si>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</si>
  <si>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</si>
  <si>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</si>
  <si>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</si>
  <si>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</si>
  <si>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</si>
  <si>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</si>
  <si>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</si>
  <si>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</si>
  <si>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</si>
  <si>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</si>
  <si>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</si>
  <si>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</si>
  <si>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</si>
  <si>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</si>
  <si>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</si>
  <si>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</si>
  <si>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</si>
  <si>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</si>
  <si>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</si>
  <si>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</si>
  <si>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</si>
  <si>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</si>
  <si>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</si>
  <si>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</si>
  <si>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</si>
  <si>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</si>
  <si>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</si>
  <si>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</si>
  <si>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</si>
  <si>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</si>
  <si>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</si>
  <si>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</si>
  <si>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</si>
  <si>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</si>
  <si>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</si>
  <si>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</si>
  <si>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</si>
  <si>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</si>
  <si>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</si>
  <si>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</si>
  <si>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</si>
  <si>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</si>
  <si>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</si>
  <si>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</si>
  <si>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</si>
  <si>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</si>
  <si>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</si>
  <si>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</si>
  <si>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</si>
  <si>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</si>
  <si>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</si>
  <si>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</si>
  <si>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</si>
  <si>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</si>
  <si>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</si>
  <si>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</si>
  <si>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</si>
  <si>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</si>
  <si>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</si>
  <si>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</si>
  <si>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</si>
  <si>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</si>
  <si>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</si>
  <si>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</si>
  <si>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</si>
  <si>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</si>
  <si>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</si>
  <si>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</si>
  <si>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</si>
  <si>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</si>
  <si>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</si>
  <si>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</si>
  <si>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</si>
  <si>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</si>
  <si>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</si>
  <si>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</si>
  <si>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</si>
  <si>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</si>
  <si>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</si>
  <si>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</si>
  <si>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</si>
  <si>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</si>
  <si>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</si>
  <si>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</si>
  <si>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</si>
  <si>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</si>
  <si>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</si>
  <si>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</si>
  <si>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</si>
  <si>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</si>
  <si>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</si>
  <si>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</si>
  <si>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</si>
  <si>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</si>
  <si>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</si>
  <si>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</si>
  <si>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</si>
  <si>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</si>
  <si>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</si>
  <si>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</si>
  <si>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</si>
  <si>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</si>
  <si>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</si>
  <si>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</si>
  <si>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</si>
  <si>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</si>
  <si>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</si>
  <si>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</si>
  <si>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</si>
  <si>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</si>
  <si>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</si>
  <si>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</si>
  <si>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</si>
  <si>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</si>
  <si>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</si>
  <si>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</si>
  <si>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</si>
  <si>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</si>
  <si>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</si>
  <si>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</si>
  <si>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</si>
  <si>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</si>
  <si>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</si>
  <si>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</si>
  <si>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</si>
  <si>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</si>
  <si>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</si>
  <si>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</si>
  <si>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</si>
  <si>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</si>
  <si>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</si>
  <si>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</si>
  <si>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</si>
  <si>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</si>
  <si>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</si>
  <si>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</si>
  <si>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</si>
  <si>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</si>
  <si>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</si>
  <si>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</si>
  <si>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</si>
  <si>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</si>
  <si>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</si>
  <si>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</si>
  <si>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</si>
  <si>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</si>
  <si>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</si>
  <si>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</si>
  <si>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</si>
  <si>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</si>
  <si>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</si>
  <si>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</si>
  <si>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</si>
  <si>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</si>
  <si>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</si>
  <si>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</si>
  <si>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</si>
  <si>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</si>
  <si>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</si>
  <si>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</si>
  <si>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</si>
  <si>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</si>
  <si>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</si>
  <si>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</si>
  <si>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</si>
  <si>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</si>
  <si>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</si>
  <si>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</si>
  <si>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</si>
  <si>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</si>
  <si>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</si>
  <si>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</si>
  <si>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</si>
  <si>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</si>
  <si>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</si>
  <si>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</si>
  <si>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</si>
  <si>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</si>
  <si>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</si>
  <si>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</si>
  <si>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</si>
  <si>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</si>
  <si>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</si>
  <si>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</si>
  <si>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</si>
  <si>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</si>
  <si>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</si>
  <si>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</si>
  <si>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</si>
  <si>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</si>
  <si>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</si>
  <si>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</si>
  <si>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</si>
  <si>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</si>
  <si>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</si>
  <si>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</si>
  <si>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</si>
  <si>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</si>
  <si>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</si>
  <si>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</si>
  <si>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</si>
  <si>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</si>
  <si>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</si>
  <si>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</si>
  <si>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</si>
  <si>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</si>
  <si>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</si>
  <si>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</si>
  <si>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</si>
  <si>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</si>
  <si>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</si>
  <si>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</si>
  <si>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</si>
  <si>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</si>
  <si>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</si>
  <si>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</si>
  <si>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</si>
  <si>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</si>
  <si>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</si>
  <si>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</si>
  <si>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</si>
  <si>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</si>
  <si>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</si>
  <si>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</si>
  <si>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</si>
  <si>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</si>
  <si>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</si>
  <si>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</si>
  <si>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</si>
  <si>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</si>
  <si>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</si>
  <si>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</si>
  <si>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</si>
  <si>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</si>
  <si>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</si>
  <si>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</si>
  <si>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</si>
  <si>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</si>
  <si>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</si>
  <si>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</si>
  <si>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</si>
  <si>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</si>
  <si>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</si>
  <si>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</si>
  <si>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</si>
  <si>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</si>
  <si>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</si>
  <si>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</si>
  <si>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</si>
  <si>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</si>
  <si>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</si>
  <si>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</si>
  <si>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</si>
  <si>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</si>
  <si>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</si>
  <si>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</si>
  <si>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</si>
  <si>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</si>
  <si>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</si>
  <si>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</si>
  <si>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</si>
  <si>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</si>
  <si>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</si>
  <si>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</si>
  <si>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</si>
  <si>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</si>
  <si>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</si>
  <si>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</si>
  <si>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</si>
  <si>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</si>
  <si>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</si>
  <si>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</si>
  <si>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</si>
  <si>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</si>
  <si>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</si>
  <si>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</si>
  <si>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</si>
  <si>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</si>
  <si>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</si>
  <si>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</si>
  <si>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</si>
  <si>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</si>
  <si>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</si>
  <si>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</si>
  <si>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</si>
  <si>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</si>
  <si>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</si>
  <si>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</si>
  <si>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</si>
  <si>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</si>
  <si>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</si>
  <si>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</si>
  <si>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</si>
  <si>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</si>
  <si>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</si>
  <si>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</si>
  <si>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</si>
  <si>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</si>
  <si>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</si>
  <si>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</si>
  <si>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</si>
  <si>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</si>
  <si>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</si>
  <si>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</si>
  <si>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</si>
  <si>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</si>
  <si>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</si>
  <si>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</si>
  <si>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</si>
  <si>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</si>
  <si>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</si>
  <si>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</si>
  <si>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</si>
  <si>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</si>
  <si>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</si>
  <si>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</si>
  <si>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</si>
  <si>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</si>
  <si>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</si>
  <si>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</si>
  <si>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</si>
  <si>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</si>
  <si>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</si>
  <si>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</si>
  <si>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</si>
  <si>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</si>
  <si>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</si>
  <si>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</si>
  <si>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</si>
  <si>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</si>
  <si>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</si>
  <si>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</si>
  <si>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</si>
  <si>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</si>
  <si>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</si>
  <si>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</si>
  <si>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</si>
  <si>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</si>
  <si>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</si>
  <si>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</si>
  <si>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</si>
  <si>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</si>
  <si>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</si>
  <si>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</si>
  <si>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</si>
  <si>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</si>
  <si>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</si>
  <si>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</si>
  <si>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</si>
  <si>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</si>
  <si>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</si>
  <si>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</si>
  <si>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</si>
  <si>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</si>
  <si>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</si>
  <si>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</si>
  <si>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</si>
  <si>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</si>
  <si>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</si>
  <si>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</si>
  <si>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</si>
  <si>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</si>
  <si>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</si>
  <si>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</si>
  <si>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</si>
  <si>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</si>
  <si>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</si>
  <si>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</si>
  <si>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</si>
  <si>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</si>
  <si>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</si>
  <si>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</si>
  <si>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</si>
  <si>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</si>
  <si>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</si>
  <si>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</si>
  <si>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</si>
  <si>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</si>
  <si>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</si>
  <si>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</si>
  <si>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</si>
  <si>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</si>
  <si>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</si>
  <si>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</si>
  <si>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</si>
  <si>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</si>
  <si>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</si>
  <si>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</si>
  <si>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</si>
  <si>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</si>
  <si>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</si>
  <si>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</si>
  <si>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</si>
  <si>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</si>
  <si>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</si>
  <si>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</si>
  <si>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</si>
  <si>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</si>
  <si>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</si>
  <si>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</si>
  <si>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</si>
  <si>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</si>
  <si>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</si>
  <si>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</si>
  <si>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</si>
  <si>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</si>
  <si>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</si>
  <si>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</si>
  <si>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</si>
  <si>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</si>
  <si>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</si>
  <si>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</si>
  <si>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</si>
  <si>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</si>
  <si>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</si>
  <si>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</si>
  <si>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</si>
  <si>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</si>
  <si>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</si>
  <si>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</si>
  <si>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</si>
  <si>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</si>
  <si>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</si>
  <si>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</si>
  <si>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</si>
  <si>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</si>
  <si>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</si>
  <si>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</si>
  <si>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</si>
  <si>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</si>
  <si>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</si>
  <si>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</si>
  <si>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</si>
  <si>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</si>
  <si>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</si>
  <si>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</si>
  <si>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</si>
  <si>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</si>
  <si>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</si>
  <si>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</si>
  <si>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</si>
  <si>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</si>
  <si>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</si>
  <si>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</si>
  <si>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</si>
  <si>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</si>
  <si>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</si>
  <si>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</si>
  <si>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</si>
  <si>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</si>
  <si>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</si>
  <si>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</si>
  <si>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</si>
  <si>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</si>
  <si>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</si>
  <si>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</si>
  <si>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</si>
  <si>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</si>
  <si>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</si>
  <si>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</si>
  <si>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</si>
  <si>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</si>
  <si>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</si>
  <si>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</si>
  <si>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</si>
  <si>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</si>
  <si>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</si>
  <si>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</si>
  <si>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</si>
  <si>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</si>
  <si>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</si>
  <si>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</si>
  <si>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</si>
  <si>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</si>
  <si>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</si>
  <si>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</si>
  <si>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</si>
  <si>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</si>
  <si>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</si>
  <si>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</si>
  <si>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</si>
  <si>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</si>
  <si>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</si>
  <si>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</si>
  <si>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</si>
  <si>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</si>
  <si>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</si>
  <si>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</si>
  <si>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</si>
  <si>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</si>
  <si>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</si>
  <si>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</si>
  <si>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</si>
  <si>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</si>
  <si>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</si>
  <si>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</si>
  <si>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</si>
  <si>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</si>
  <si>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</si>
  <si>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</si>
  <si>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</si>
  <si>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</si>
  <si>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</si>
  <si>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</si>
  <si>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</si>
  <si>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</si>
  <si>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</si>
  <si>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</si>
  <si>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</si>
  <si>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</si>
  <si>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</si>
  <si>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</si>
  <si>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</si>
  <si>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</si>
  <si>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</si>
  <si>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</si>
  <si>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</si>
  <si>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</si>
  <si>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</si>
  <si>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</si>
  <si>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</si>
  <si>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</si>
  <si>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</si>
  <si>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</si>
  <si>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</si>
  <si>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</si>
  <si>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</si>
  <si>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</si>
  <si>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</si>
  <si>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</si>
  <si>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</si>
  <si>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</si>
  <si>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</si>
  <si>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</si>
  <si>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</si>
  <si>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</si>
  <si>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</si>
  <si>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</si>
  <si>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</si>
  <si>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</si>
  <si>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</si>
  <si>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</si>
  <si>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</si>
  <si>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</si>
  <si>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</si>
  <si>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</si>
  <si>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</si>
  <si>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</si>
  <si>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</si>
  <si>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</si>
  <si>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</si>
  <si>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</si>
  <si>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</si>
  <si>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</si>
  <si>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</si>
  <si>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</si>
  <si>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</si>
  <si>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</si>
  <si>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</si>
  <si>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</si>
  <si>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</si>
  <si>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</si>
  <si>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</si>
  <si>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</si>
  <si>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</si>
  <si>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</si>
  <si>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</si>
  <si>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</si>
  <si>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</si>
  <si>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</si>
  <si>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</si>
  <si>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</si>
  <si>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</si>
  <si>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</si>
  <si>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</si>
  <si>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</si>
  <si>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</si>
  <si>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</si>
  <si>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</si>
  <si>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</si>
  <si>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</si>
  <si>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</si>
  <si>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</si>
  <si>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</si>
  <si>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</si>
  <si>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</si>
  <si>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</si>
  <si>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</si>
  <si>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</si>
  <si>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</si>
  <si>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</si>
  <si>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</si>
  <si>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</si>
  <si>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</si>
  <si>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</si>
  <si>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</si>
  <si>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</si>
  <si>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</si>
  <si>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</si>
  <si>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</si>
  <si>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</si>
  <si>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</si>
  <si>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</si>
  <si>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</si>
  <si>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</si>
  <si>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</si>
  <si>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</si>
  <si>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</si>
  <si>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</si>
  <si>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</si>
  <si>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</si>
  <si>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</si>
  <si>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</si>
  <si>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</si>
  <si>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</si>
  <si>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</si>
  <si>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</si>
  <si>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</si>
  <si>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</si>
  <si>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</si>
  <si>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</si>
  <si>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</si>
  <si>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</si>
  <si>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</si>
  <si>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</si>
  <si>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</si>
  <si>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</si>
  <si>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</si>
  <si>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</si>
  <si>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</si>
  <si>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</si>
  <si>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</si>
  <si>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</si>
  <si>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</si>
  <si>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</si>
  <si>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</si>
  <si>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</si>
  <si>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</si>
  <si>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</si>
  <si>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</si>
  <si>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</si>
  <si>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</si>
  <si>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</si>
  <si>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</si>
  <si>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</si>
  <si>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</si>
  <si>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</si>
  <si>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</si>
  <si>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</si>
  <si>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</si>
  <si>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</si>
  <si>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</si>
  <si>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</si>
  <si>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</si>
  <si>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</si>
  <si>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</si>
  <si>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</si>
  <si>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</si>
  <si>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</si>
  <si>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</si>
  <si>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</si>
  <si>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</si>
  <si>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</si>
  <si>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</si>
  <si>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</si>
  <si>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</si>
  <si>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</si>
  <si>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</si>
  <si>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</si>
  <si>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</si>
  <si>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</si>
  <si>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</si>
  <si>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</si>
  <si>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</si>
  <si>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</si>
  <si>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</si>
  <si>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</si>
  <si>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</si>
  <si>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</si>
  <si>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</si>
  <si>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</si>
  <si>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</si>
  <si>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</si>
  <si>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</si>
  <si>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</si>
  <si>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</si>
  <si>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</si>
  <si>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</si>
  <si>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</si>
  <si>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</si>
  <si>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</si>
  <si>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</si>
  <si>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</si>
  <si>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</si>
  <si>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</si>
  <si>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</si>
  <si>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</si>
  <si>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</si>
  <si>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</si>
  <si>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</si>
  <si>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</si>
  <si>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</si>
  <si>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</si>
  <si>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</si>
  <si>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</si>
  <si>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</si>
  <si>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</si>
  <si>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</si>
  <si>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</si>
  <si>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</si>
  <si>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</si>
  <si>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</si>
  <si>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</si>
  <si>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</si>
  <si>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</si>
  <si>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</si>
  <si>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</si>
  <si>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</si>
  <si>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</si>
  <si>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</si>
  <si>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</si>
  <si>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</si>
  <si>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</si>
  <si>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</si>
  <si>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</si>
  <si>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</si>
  <si>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</si>
  <si>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</si>
  <si>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</si>
  <si>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</si>
  <si>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</si>
  <si>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</si>
  <si>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</si>
  <si>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</si>
  <si>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</si>
  <si>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</si>
  <si>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</si>
  <si>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</si>
  <si>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</si>
  <si>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</si>
  <si>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</si>
  <si>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</si>
  <si>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</si>
  <si>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</si>
  <si>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</si>
  <si>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</si>
  <si>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</si>
  <si>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</si>
  <si>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</si>
  <si>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</si>
  <si>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</si>
  <si>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</si>
  <si>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</si>
  <si>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</si>
  <si>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</si>
  <si>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</si>
  <si>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</si>
  <si>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</si>
  <si>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</si>
  <si>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</si>
  <si>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</si>
  <si>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</si>
  <si>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</si>
  <si>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</si>
  <si>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</si>
  <si>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</si>
  <si>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</si>
  <si>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</si>
  <si>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</si>
  <si>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</si>
  <si>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</si>
  <si>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</si>
  <si>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</si>
  <si>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</si>
  <si>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</si>
  <si>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</si>
  <si>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</si>
  <si>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</si>
  <si>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</si>
  <si>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</si>
  <si>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</si>
  <si>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</si>
  <si>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</si>
  <si>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</si>
  <si>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</si>
  <si>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</si>
  <si>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</si>
  <si>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</si>
  <si>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</si>
  <si>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</si>
  <si>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</si>
  <si>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</si>
  <si>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</si>
  <si>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</si>
  <si>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</si>
  <si>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</si>
  <si>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</si>
  <si>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</si>
  <si>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</si>
  <si>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</si>
  <si>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</si>
  <si>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</si>
  <si>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</si>
  <si>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</si>
  <si>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</si>
  <si>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</si>
  <si>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</si>
  <si>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</si>
  <si>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</si>
  <si>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</si>
  <si>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</si>
  <si>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</si>
  <si>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</si>
  <si>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</si>
  <si>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</si>
  <si>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</si>
  <si>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</si>
  <si>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</si>
  <si>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</si>
  <si>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</si>
  <si>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</si>
  <si>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</si>
  <si>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</si>
  <si>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</si>
  <si>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</si>
  <si>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</si>
  <si>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</si>
  <si>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</si>
  <si>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</si>
  <si>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</si>
  <si>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</si>
  <si>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</si>
  <si>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</si>
  <si>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</si>
  <si>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</si>
  <si>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</si>
  <si>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</si>
  <si>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</si>
  <si>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</si>
  <si>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</si>
  <si>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</si>
  <si>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</si>
  <si>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</si>
  <si>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</si>
  <si>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</si>
  <si>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</si>
  <si>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</si>
  <si>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</si>
  <si>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</si>
  <si>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</si>
  <si>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</si>
  <si>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</si>
  <si>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</si>
  <si>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</si>
  <si>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</si>
  <si>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</si>
  <si>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</si>
  <si>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</si>
  <si>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</si>
  <si>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</si>
  <si>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</si>
  <si>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</si>
  <si>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</si>
  <si>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</si>
  <si>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</si>
  <si>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</si>
  <si>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</si>
  <si>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</si>
  <si>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</si>
  <si>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</si>
  <si>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</si>
  <si>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</si>
  <si>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</si>
  <si>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</si>
  <si>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</si>
  <si>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</si>
  <si>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</si>
  <si>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</si>
  <si>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</si>
  <si>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</si>
  <si>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</si>
  <si>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</si>
  <si>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</si>
  <si>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</si>
  <si>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</si>
  <si>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</si>
  <si>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</si>
  <si>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</si>
  <si>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</si>
  <si>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</si>
  <si>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</si>
  <si>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</si>
  <si>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</si>
  <si>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</si>
  <si>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</si>
  <si>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</si>
  <si>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</si>
  <si>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</si>
  <si>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</si>
  <si>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</si>
  <si>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</si>
  <si>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</si>
  <si>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</si>
  <si>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</si>
  <si>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</si>
  <si>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</si>
  <si>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</si>
  <si>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</si>
  <si>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</si>
  <si>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</si>
  <si>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</si>
  <si>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</si>
  <si>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</si>
  <si>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</si>
  <si>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</si>
  <si>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</si>
  <si>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</si>
  <si>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</si>
  <si>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</si>
  <si>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</si>
  <si>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</si>
  <si>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</si>
  <si>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</si>
  <si>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</si>
  <si>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</si>
  <si>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</si>
  <si>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</si>
  <si>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</si>
  <si>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</si>
  <si>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</si>
  <si>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</si>
  <si>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</si>
  <si>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</si>
  <si>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</si>
  <si>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</si>
  <si>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</si>
  <si>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</si>
  <si>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</si>
  <si>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</si>
  <si>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</si>
  <si>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</si>
  <si>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</si>
  <si>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</si>
  <si>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</si>
  <si>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</si>
  <si>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</si>
  <si>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</si>
  <si>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</si>
  <si>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</si>
  <si>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</si>
  <si>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</si>
  <si>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</si>
  <si>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</si>
  <si>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</si>
  <si>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</si>
  <si>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</si>
  <si>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</si>
  <si>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</si>
  <si>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</si>
  <si>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</si>
  <si>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</si>
  <si>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</si>
  <si>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</si>
  <si>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</si>
  <si>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</si>
  <si>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</si>
  <si>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</si>
  <si>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</si>
  <si>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</si>
  <si>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</si>
  <si>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</si>
  <si>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</si>
  <si>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</si>
  <si>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</si>
  <si>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</si>
  <si>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</si>
  <si>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</si>
  <si>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</si>
  <si>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</si>
  <si>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</si>
  <si>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</si>
  <si>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</si>
  <si>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</si>
  <si>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</si>
  <si>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</si>
  <si>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</si>
  <si>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</si>
  <si>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</si>
  <si>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</si>
  <si>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</si>
  <si>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</si>
  <si>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</si>
  <si>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</si>
  <si>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</si>
  <si>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</si>
  <si>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</si>
  <si>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</si>
  <si>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</si>
  <si>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</si>
  <si>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</si>
  <si>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</si>
  <si>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</si>
  <si>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</si>
  <si>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</si>
  <si>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</si>
  <si>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</si>
  <si>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</si>
  <si>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</si>
  <si>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</si>
  <si>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</si>
  <si>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</si>
  <si>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</si>
  <si>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</si>
  <si>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</si>
  <si>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</si>
  <si>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</si>
  <si>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</si>
  <si>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</si>
  <si>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</si>
  <si>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</si>
  <si>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</si>
  <si>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</si>
  <si>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</si>
  <si>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</si>
  <si>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</si>
  <si>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</si>
  <si>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</si>
  <si>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</si>
  <si>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</si>
  <si>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</si>
  <si>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</si>
  <si>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</si>
  <si>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</si>
  <si>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</si>
  <si>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</si>
  <si>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</si>
  <si>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</si>
  <si>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</si>
  <si>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</si>
  <si>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</si>
  <si>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</si>
  <si>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</si>
  <si>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</si>
  <si>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</si>
  <si>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</si>
  <si>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</si>
  <si>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</si>
  <si>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</si>
  <si>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</si>
  <si>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</si>
  <si>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</si>
  <si>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</si>
  <si>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</si>
  <si>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</si>
  <si>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</si>
  <si>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</si>
  <si>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</si>
  <si>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</si>
  <si>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</si>
  <si>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</si>
  <si>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</si>
  <si>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</si>
  <si>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</si>
  <si>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</si>
  <si>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</si>
  <si>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</si>
  <si>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</si>
  <si>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</si>
  <si>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</si>
  <si>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</si>
  <si>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</si>
  <si>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</si>
  <si>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</si>
  <si>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</si>
  <si>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</si>
  <si>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</si>
  <si>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</si>
  <si>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</si>
  <si>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</si>
  <si>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</si>
  <si>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</si>
  <si>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</si>
  <si>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</si>
  <si>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</si>
  <si>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</si>
  <si>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</si>
  <si>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</si>
  <si>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</si>
  <si>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</si>
  <si>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</si>
  <si>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</si>
  <si>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</si>
  <si>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</si>
  <si>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</si>
  <si>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</si>
  <si>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</si>
  <si>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</si>
  <si>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</si>
  <si>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</si>
  <si>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</si>
  <si>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</si>
  <si>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</si>
  <si>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</si>
  <si>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</si>
  <si>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</si>
  <si>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</si>
  <si>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</si>
  <si>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</si>
  <si>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</si>
  <si>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</si>
  <si>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</si>
  <si>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</si>
  <si>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</si>
  <si>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</si>
  <si>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</si>
  <si>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</si>
  <si>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</si>
  <si>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</si>
  <si>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</si>
  <si>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</si>
  <si>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</si>
  <si>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</si>
  <si>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</si>
  <si>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</si>
  <si>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</si>
  <si>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</si>
  <si>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</si>
  <si>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</si>
  <si>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</si>
  <si>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</si>
  <si>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</si>
  <si>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</si>
  <si>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</si>
  <si>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</si>
  <si>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</si>
  <si>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</si>
  <si>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</si>
  <si>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</si>
  <si>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</si>
  <si>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</si>
  <si>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</si>
  <si>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</si>
  <si>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</si>
  <si>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</si>
  <si>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</si>
  <si>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</si>
  <si>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</si>
  <si>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</si>
  <si>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</si>
  <si>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</si>
  <si>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</si>
  <si>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</si>
  <si>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</si>
  <si>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</si>
  <si>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</si>
  <si>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</si>
  <si>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</si>
  <si>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</si>
  <si>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</si>
  <si>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</si>
  <si>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</si>
  <si>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</si>
  <si>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</si>
  <si>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</si>
  <si>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</si>
  <si>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</si>
  <si>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</si>
  <si>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</si>
  <si>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</si>
  <si>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</si>
  <si>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</si>
  <si>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</si>
  <si>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</si>
  <si>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</si>
  <si>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</si>
  <si>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</si>
  <si>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</si>
  <si>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</si>
  <si>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</si>
  <si>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</si>
  <si>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</si>
  <si>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</si>
  <si>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</si>
  <si>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</si>
  <si>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</si>
  <si>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</si>
  <si>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</si>
  <si>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</si>
  <si>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</si>
  <si>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</si>
  <si>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</si>
  <si>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</si>
  <si>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</si>
  <si>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</si>
  <si>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</si>
  <si>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</si>
  <si>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</si>
  <si>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</si>
  <si>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</si>
  <si>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</si>
  <si>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</si>
  <si>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</si>
  <si>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</si>
  <si>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</si>
  <si>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</si>
  <si>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</si>
  <si>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</si>
  <si>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</si>
  <si>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</si>
  <si>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</si>
  <si>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</si>
  <si>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</si>
  <si>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</si>
  <si>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</si>
  <si>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</si>
  <si>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</si>
  <si>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</si>
  <si>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</si>
  <si>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</si>
  <si>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</si>
  <si>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</si>
  <si>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</si>
  <si>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</si>
  <si>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</si>
  <si>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</si>
  <si>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</si>
  <si>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</si>
  <si>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</si>
  <si>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</si>
  <si>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</si>
  <si>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</si>
  <si>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</si>
  <si>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</si>
  <si>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</si>
  <si>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</si>
  <si>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</si>
  <si>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</si>
  <si>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</si>
  <si>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</si>
  <si>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</si>
  <si>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</si>
  <si>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</si>
  <si>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</si>
  <si>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</si>
  <si>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</si>
  <si>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</si>
  <si>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</si>
  <si>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</si>
  <si>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</si>
  <si>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</si>
  <si>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</si>
  <si>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</si>
  <si>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</si>
  <si>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</si>
  <si>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</si>
  <si>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</si>
  <si>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</si>
  <si>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</si>
  <si>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</si>
  <si>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</si>
  <si>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</si>
  <si>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</si>
  <si>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</si>
  <si>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</si>
  <si>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</si>
  <si>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</si>
  <si>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</si>
  <si>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</si>
  <si>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</si>
  <si>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</si>
  <si>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</si>
  <si>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</si>
  <si>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</si>
  <si>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</si>
  <si>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</si>
  <si>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</si>
  <si>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</si>
  <si>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</si>
  <si>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</si>
  <si>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</si>
  <si>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</si>
  <si>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</si>
  <si>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</si>
  <si>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</si>
  <si>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</si>
  <si>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</si>
  <si>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</si>
  <si>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</si>
  <si>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</si>
  <si>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</si>
  <si>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</si>
  <si>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</si>
  <si>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</si>
  <si>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</si>
  <si>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</si>
  <si>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</si>
  <si>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</si>
  <si>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</si>
  <si>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</si>
  <si>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</si>
  <si>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</si>
  <si>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</si>
  <si>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</si>
  <si>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</si>
  <si>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</si>
  <si>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</si>
  <si>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</si>
  <si>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</si>
  <si>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</si>
  <si>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</si>
  <si>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</si>
  <si>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</si>
  <si>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</si>
  <si>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</si>
  <si>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</si>
  <si>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</si>
  <si>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</si>
  <si>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</si>
  <si>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</si>
  <si>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</si>
  <si>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</si>
  <si>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</si>
  <si>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</si>
  <si>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</si>
  <si>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</si>
  <si>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</si>
  <si>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</si>
  <si>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</si>
  <si>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</si>
  <si>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</si>
  <si>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</si>
  <si>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</si>
  <si>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</si>
  <si>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</si>
  <si>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</si>
  <si>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</si>
  <si>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</si>
  <si>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</si>
  <si>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</si>
  <si>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</si>
  <si>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</si>
  <si>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</si>
  <si>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</si>
  <si>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</si>
  <si>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</si>
  <si>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</si>
  <si>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</si>
  <si>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</si>
  <si>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</si>
  <si>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</si>
  <si>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</si>
  <si>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</si>
  <si>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</si>
  <si>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</si>
  <si>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</si>
  <si>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</si>
  <si>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</si>
  <si>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</si>
  <si>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</si>
  <si>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</si>
  <si>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</si>
  <si>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</si>
  <si>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</si>
  <si>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</si>
  <si>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</si>
  <si>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</si>
  <si>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</si>
  <si>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</si>
  <si>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</si>
  <si>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</si>
  <si>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</si>
  <si>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</si>
  <si>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</si>
  <si>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</si>
  <si>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</si>
  <si>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</si>
  <si>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</si>
  <si>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</si>
  <si>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</si>
  <si>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</si>
  <si>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</si>
  <si>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</si>
  <si>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</si>
  <si>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</si>
  <si>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</si>
  <si>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</si>
  <si>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</si>
  <si>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</si>
  <si>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</si>
  <si>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</si>
  <si>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</si>
  <si>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</si>
  <si>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</si>
  <si>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</si>
  <si>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</si>
  <si>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</si>
  <si>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</si>
  <si>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</si>
  <si>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</si>
  <si>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</si>
  <si>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</si>
  <si>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</si>
  <si>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</si>
  <si>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</si>
  <si>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</si>
  <si>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</si>
  <si>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</si>
  <si>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</si>
  <si>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</si>
  <si>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</si>
  <si>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</si>
  <si>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</si>
  <si>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</si>
  <si>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</si>
  <si>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</si>
  <si>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</si>
  <si>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</si>
  <si>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</si>
  <si>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</si>
  <si>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</si>
  <si>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</si>
  <si>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</si>
  <si>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</si>
  <si>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</si>
  <si>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</si>
  <si>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</si>
  <si>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</si>
  <si>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</si>
  <si>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</si>
  <si>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</si>
  <si>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</si>
  <si>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</si>
  <si>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</si>
  <si>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</si>
  <si>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</si>
  <si>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</si>
  <si>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</si>
  <si>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</si>
  <si>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</si>
  <si>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</si>
  <si>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</si>
  <si>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</si>
  <si>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</si>
  <si>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</si>
  <si>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</si>
  <si>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</si>
  <si>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</si>
  <si>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</si>
  <si>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</si>
  <si>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</si>
  <si>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</si>
  <si>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</si>
  <si>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</si>
  <si>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</si>
  <si>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</si>
  <si>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</si>
  <si>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</si>
  <si>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</si>
  <si>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</si>
  <si>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</si>
  <si>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</si>
  <si>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</si>
  <si>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</si>
  <si>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</si>
  <si>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</si>
  <si>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</si>
  <si>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</si>
  <si>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</si>
  <si>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</si>
  <si>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</si>
  <si>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</si>
  <si>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</si>
  <si>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</si>
  <si>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</si>
  <si>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</si>
  <si>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</si>
  <si>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</si>
  <si>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</si>
  <si>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</si>
  <si>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</si>
  <si>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</si>
  <si>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</si>
  <si>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</si>
  <si>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</si>
  <si>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</si>
  <si>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</si>
  <si>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</si>
  <si>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</si>
  <si>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</si>
  <si>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</si>
  <si>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</si>
  <si>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</si>
  <si>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</si>
  <si>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</si>
  <si>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</si>
  <si>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</si>
  <si>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</si>
  <si>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</si>
  <si>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</si>
  <si>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</si>
  <si>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</si>
  <si>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</si>
  <si>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</si>
  <si>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</si>
  <si>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</si>
  <si>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</si>
  <si>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</si>
  <si>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</si>
  <si>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</si>
  <si>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</si>
  <si>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</si>
  <si>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</si>
  <si>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</si>
  <si>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</si>
  <si>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</si>
  <si>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</si>
  <si>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</si>
  <si>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</si>
  <si>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</si>
  <si>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</si>
  <si>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</si>
  <si>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</si>
  <si>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</si>
  <si>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</si>
  <si>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</si>
  <si>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</si>
  <si>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</si>
  <si>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</si>
  <si>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</si>
  <si>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</si>
  <si>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</si>
  <si>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</si>
  <si>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</si>
  <si>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</si>
  <si>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</si>
  <si>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</si>
  <si>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</si>
  <si>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</si>
  <si>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</si>
  <si>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</si>
  <si>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</si>
  <si>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</si>
  <si>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</si>
  <si>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</si>
  <si>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</si>
  <si>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</si>
  <si>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</si>
  <si>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</si>
  <si>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</si>
  <si>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</si>
  <si>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</si>
  <si>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</si>
  <si>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</si>
  <si>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</si>
  <si>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</si>
  <si>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</si>
  <si>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</si>
  <si>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</si>
  <si>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</si>
  <si>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</si>
  <si>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</si>
  <si>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</si>
  <si>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</si>
  <si>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</si>
  <si>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</si>
  <si>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</si>
  <si>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</si>
  <si>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</si>
  <si>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</si>
  <si>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</si>
  <si>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</si>
  <si>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</si>
  <si>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</si>
  <si>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</si>
  <si>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</si>
  <si>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</si>
  <si>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</si>
  <si>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</si>
  <si>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</si>
  <si>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</si>
  <si>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</si>
  <si>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</si>
  <si>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</si>
  <si>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</si>
  <si>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</si>
  <si>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</si>
  <si>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</si>
  <si>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</si>
  <si>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</si>
  <si>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</si>
  <si>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</si>
  <si>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</si>
  <si>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</si>
  <si>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</si>
  <si>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</si>
  <si>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</si>
  <si>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</si>
  <si>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</si>
  <si>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</si>
  <si>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</si>
  <si>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</si>
  <si>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</si>
  <si>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</si>
  <si>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</si>
  <si>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</si>
  <si>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</si>
  <si>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</si>
  <si>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</si>
  <si>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</si>
  <si>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</si>
  <si>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</si>
  <si>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</si>
  <si>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</si>
  <si>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</si>
  <si>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</si>
  <si>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</si>
  <si>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</si>
  <si>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</si>
  <si>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</si>
  <si>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</si>
  <si>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</si>
  <si>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</si>
  <si>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</si>
  <si>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</si>
  <si>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</si>
  <si>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</si>
  <si>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</si>
  <si>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</si>
  <si>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</si>
  <si>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</si>
  <si>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</si>
  <si>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</si>
  <si>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</si>
  <si>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</si>
  <si>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</si>
  <si>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</si>
  <si>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</si>
  <si>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</si>
  <si>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</si>
  <si>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</si>
  <si>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</si>
  <si>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</si>
  <si>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</si>
  <si>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</si>
  <si>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</si>
  <si>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</si>
  <si>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</si>
  <si>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</si>
  <si>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</si>
  <si>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</si>
  <si>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</si>
  <si>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</si>
  <si>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</si>
  <si>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</si>
  <si>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</si>
  <si>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</si>
  <si>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</si>
  <si>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</si>
  <si>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</si>
  <si>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</si>
  <si>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</si>
  <si>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</si>
  <si>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</si>
  <si>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</si>
  <si>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</si>
  <si>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</si>
  <si>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</si>
  <si>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</si>
  <si>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</si>
  <si>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</si>
  <si>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</si>
  <si>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</si>
  <si>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</si>
  <si>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</si>
  <si>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</si>
  <si>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</si>
  <si>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</si>
  <si>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</si>
  <si>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</si>
  <si>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</si>
  <si>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</si>
  <si>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</si>
  <si>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</si>
  <si>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</si>
  <si>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</si>
  <si>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</si>
  <si>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</si>
  <si>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</si>
  <si>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</si>
  <si>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</si>
  <si>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</si>
  <si>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</si>
  <si>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</si>
  <si>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</si>
  <si>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</si>
  <si>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</si>
  <si>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</si>
  <si>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</si>
  <si>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</si>
  <si>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</si>
  <si>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</si>
  <si>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</si>
  <si>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</si>
  <si>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</si>
  <si>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</si>
  <si>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</si>
  <si>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</si>
  <si>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</si>
  <si>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</si>
  <si>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</si>
  <si>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</si>
  <si>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</si>
  <si>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</si>
  <si>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</si>
  <si>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</si>
  <si>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</si>
  <si>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</si>
  <si>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</si>
  <si>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</si>
  <si>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</si>
  <si>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</si>
  <si>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</si>
  <si>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</si>
  <si>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</si>
  <si>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</si>
  <si>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</si>
  <si>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</si>
  <si>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</si>
  <si>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</si>
  <si>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</si>
  <si>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</si>
  <si>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</si>
  <si>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</si>
  <si>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</si>
  <si>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</si>
  <si>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</si>
  <si>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</si>
  <si>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</si>
  <si>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</si>
  <si>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</si>
  <si>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</si>
  <si>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</si>
  <si>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</si>
  <si>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</si>
  <si>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</si>
  <si>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</si>
  <si>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</si>
  <si>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</si>
  <si>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</si>
  <si>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</si>
  <si>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</si>
  <si>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</si>
  <si>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</si>
  <si>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</si>
  <si>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</si>
  <si>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</si>
  <si>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</si>
  <si>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</si>
  <si>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</si>
  <si>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</si>
  <si>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</si>
  <si>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</si>
  <si>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</si>
  <si>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</si>
  <si>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</si>
  <si>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</si>
  <si>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</si>
  <si>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</si>
  <si>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</si>
  <si>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</si>
  <si>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</si>
  <si>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</si>
  <si>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</si>
  <si>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</si>
  <si>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</si>
  <si>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</si>
  <si>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</si>
  <si>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</si>
  <si>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</si>
  <si>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</si>
  <si>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</si>
  <si>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</si>
  <si>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</si>
  <si>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</si>
  <si>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</si>
  <si>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</si>
  <si>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</si>
  <si>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</si>
  <si>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</si>
  <si>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</si>
  <si>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</si>
  <si>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</si>
  <si>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</si>
  <si>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</si>
  <si>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</si>
  <si>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</si>
  <si>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</si>
  <si>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</si>
  <si>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</si>
  <si>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</si>
  <si>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</si>
  <si>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</si>
  <si>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</si>
  <si>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</si>
  <si>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</si>
  <si>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</si>
  <si>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</si>
  <si>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</si>
  <si>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</si>
  <si>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</si>
  <si>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</si>
  <si>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</si>
  <si>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</si>
  <si>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</si>
  <si>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</si>
  <si>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</si>
  <si>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</si>
  <si>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</si>
  <si>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</si>
  <si>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</si>
  <si>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</si>
  <si>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</si>
  <si>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</si>
  <si>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</si>
  <si>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</si>
  <si>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</si>
  <si>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</si>
  <si>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</si>
  <si>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</si>
  <si>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</si>
  <si>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</si>
  <si>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</si>
  <si>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</si>
  <si>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</si>
  <si>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</si>
  <si>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</si>
  <si>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</si>
  <si>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</si>
  <si>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</si>
  <si>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</si>
  <si>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</si>
  <si>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</si>
  <si>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</si>
  <si>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</si>
  <si>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</si>
  <si>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</si>
  <si>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</si>
  <si>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</si>
  <si>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</si>
  <si>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</si>
  <si>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</si>
  <si>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</si>
  <si>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</si>
  <si>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</si>
  <si>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</si>
  <si>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</si>
  <si>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</si>
  <si>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</si>
  <si>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</si>
  <si>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</si>
  <si>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</si>
  <si>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</si>
  <si>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</si>
  <si>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</si>
  <si>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</si>
  <si>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</si>
  <si>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</si>
  <si>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</si>
  <si>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</si>
  <si>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</si>
  <si>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</si>
  <si>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</si>
  <si>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</si>
  <si>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</si>
  <si>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</si>
  <si>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</si>
  <si>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</si>
  <si>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</si>
  <si>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</si>
  <si>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</si>
  <si>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</si>
  <si>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</si>
  <si>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</si>
  <si>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</si>
  <si>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</si>
  <si>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</si>
  <si>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</si>
  <si>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</si>
  <si>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</si>
  <si>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</si>
  <si>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</si>
  <si>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</si>
  <si>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</si>
  <si>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</si>
  <si>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</si>
  <si>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</si>
  <si>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</si>
  <si>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</si>
  <si>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</si>
  <si>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</si>
  <si>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</si>
  <si>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</si>
  <si>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</si>
  <si>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</si>
  <si>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</si>
  <si>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</si>
  <si>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</si>
  <si>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</si>
  <si>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</si>
  <si>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</si>
  <si>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</si>
  <si>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</si>
  <si>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</si>
  <si>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</si>
  <si>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</si>
  <si>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</si>
  <si>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</si>
  <si>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</si>
  <si>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</si>
  <si>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</si>
  <si>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</si>
  <si>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</si>
  <si>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</si>
  <si>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</si>
  <si>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</si>
  <si>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</si>
  <si>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</si>
  <si>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</si>
  <si>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</si>
  <si>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</si>
  <si>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</si>
  <si>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</si>
  <si>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</si>
  <si>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</si>
  <si>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</si>
  <si>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</si>
  <si>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</si>
  <si>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</si>
  <si>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</si>
  <si>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</si>
  <si>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</si>
  <si>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</si>
  <si>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</si>
  <si>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</si>
  <si>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</si>
  <si>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</si>
  <si>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</si>
  <si>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</si>
  <si>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</si>
  <si>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</si>
  <si>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</si>
  <si>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</si>
  <si>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</si>
  <si>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</si>
  <si>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</si>
  <si>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</si>
  <si>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</si>
  <si>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</si>
  <si>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</si>
  <si>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</si>
  <si>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</si>
  <si>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</si>
  <si>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</si>
  <si>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</si>
  <si>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</si>
  <si>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</si>
  <si>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</si>
  <si>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</si>
  <si>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</si>
  <si>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</si>
  <si>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</si>
  <si>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</si>
  <si>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</si>
  <si>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</si>
  <si>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</si>
  <si>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</si>
  <si>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</si>
  <si>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</si>
  <si>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</si>
  <si>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</si>
  <si>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</si>
  <si>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</si>
  <si>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</si>
  <si>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</si>
  <si>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</si>
  <si>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</si>
  <si>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</si>
  <si>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</si>
  <si>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</si>
  <si>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</si>
  <si>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</si>
  <si>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</si>
  <si>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</si>
  <si>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</si>
  <si>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</si>
  <si>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</si>
  <si>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</si>
  <si>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</si>
  <si>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</si>
  <si>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</si>
  <si>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</si>
  <si>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</si>
  <si>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</si>
  <si>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</si>
  <si>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</si>
  <si>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</si>
  <si>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</si>
  <si>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</si>
  <si>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</si>
  <si>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</si>
  <si>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</si>
  <si>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</si>
  <si>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</si>
  <si>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</si>
  <si>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</si>
  <si>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</si>
  <si>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</si>
  <si>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</si>
  <si>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</si>
  <si>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</si>
  <si>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</si>
  <si>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</si>
  <si>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</si>
  <si>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</si>
  <si>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</si>
  <si>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</si>
  <si>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</si>
  <si>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</si>
  <si>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</si>
  <si>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</si>
  <si>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</si>
  <si>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</si>
  <si>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</si>
  <si>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</si>
  <si>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</si>
  <si>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</si>
  <si>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</si>
  <si>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</si>
  <si>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</si>
  <si>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</si>
  <si>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</si>
  <si>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</si>
  <si>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</si>
  <si>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</si>
  <si>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</si>
  <si>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</si>
  <si>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</si>
  <si>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</si>
  <si>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</si>
  <si>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</si>
  <si>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</si>
  <si>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</si>
  <si>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</si>
  <si>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</si>
  <si>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</si>
  <si>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</si>
  <si>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</si>
  <si>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</si>
  <si>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</si>
  <si>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</si>
  <si>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</si>
  <si>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</si>
  <si>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</si>
  <si>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</si>
  <si>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</si>
  <si>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</si>
  <si>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</si>
  <si>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</si>
  <si>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</si>
  <si>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</si>
  <si>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</si>
  <si>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</si>
  <si>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</si>
  <si>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</si>
  <si>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</si>
  <si>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</si>
  <si>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</si>
  <si>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</si>
  <si>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</si>
  <si>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</si>
  <si>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</si>
  <si>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</si>
  <si>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</si>
  <si>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</si>
  <si>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</si>
  <si>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</si>
  <si>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</si>
  <si>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</si>
  <si>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</si>
  <si>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</si>
  <si>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</si>
  <si>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</si>
  <si>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</si>
  <si>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</si>
  <si>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</si>
  <si>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</si>
  <si>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</si>
  <si>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</si>
  <si>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</si>
  <si>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</si>
  <si>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</si>
  <si>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</si>
  <si>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</si>
  <si>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</si>
  <si>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</si>
  <si>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</si>
  <si>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</si>
  <si>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</si>
  <si>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</si>
  <si>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</si>
  <si>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</si>
  <si>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</si>
  <si>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</si>
  <si>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</si>
  <si>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</si>
  <si>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</si>
  <si>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</si>
  <si>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</si>
  <si>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</si>
  <si>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</si>
  <si>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</si>
  <si>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</si>
  <si>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</si>
  <si>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</si>
  <si>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</si>
  <si>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</si>
  <si>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</si>
  <si>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</si>
  <si>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</si>
  <si>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</si>
  <si>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</si>
  <si>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</si>
  <si>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</si>
  <si>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</si>
  <si>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</si>
  <si>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</si>
  <si>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</si>
  <si>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</si>
  <si>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</si>
  <si>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</si>
  <si>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</si>
  <si>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</si>
  <si>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</si>
  <si>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</si>
  <si>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</si>
  <si>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</si>
  <si>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</si>
  <si>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</si>
  <si>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</si>
  <si>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</si>
  <si>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</si>
  <si>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</si>
  <si>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</si>
  <si>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</si>
  <si>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</si>
  <si>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</si>
  <si>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</si>
  <si>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</si>
  <si>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</si>
  <si>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</si>
  <si>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</si>
  <si>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</si>
  <si>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</si>
  <si>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</si>
  <si>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</si>
  <si>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</si>
  <si>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</si>
  <si>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</si>
  <si>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</si>
  <si>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</si>
  <si>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</si>
  <si>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</si>
  <si>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</si>
  <si>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</si>
  <si>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</si>
  <si>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</si>
  <si>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</si>
  <si>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</si>
  <si>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</si>
  <si>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</si>
  <si>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</si>
  <si>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</si>
  <si>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</si>
  <si>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</si>
  <si>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</si>
  <si>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</si>
  <si>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</si>
  <si>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</si>
  <si>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</si>
  <si>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</si>
  <si>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</si>
  <si>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</si>
  <si>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</si>
  <si>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</si>
  <si>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</si>
  <si>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</si>
  <si>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</si>
  <si>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</si>
  <si>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</si>
  <si>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</si>
  <si>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</si>
  <si>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</si>
  <si>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</si>
  <si>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</si>
  <si>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</si>
  <si>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</si>
  <si>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</si>
  <si>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</si>
  <si>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</si>
  <si>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</si>
  <si>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</si>
  <si>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</si>
  <si>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</si>
  <si>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</si>
  <si>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</si>
  <si>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</si>
  <si>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</si>
  <si>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</si>
  <si>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</si>
  <si>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</si>
  <si>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</si>
  <si>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</si>
  <si>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</si>
  <si>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</si>
  <si>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</si>
  <si>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</si>
  <si>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</si>
  <si>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</si>
  <si>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</si>
  <si>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</si>
  <si>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</si>
  <si>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</si>
  <si>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</si>
  <si>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</si>
  <si>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</si>
  <si>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</si>
  <si>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</si>
  <si>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</si>
  <si>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</si>
  <si>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</si>
  <si>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</si>
  <si>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</si>
  <si>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</si>
  <si>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</si>
  <si>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</si>
  <si>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</si>
  <si>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</si>
  <si>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</si>
  <si>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</si>
  <si>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</si>
  <si>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</si>
  <si>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</si>
  <si>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</si>
  <si>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</si>
  <si>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</si>
  <si>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</si>
  <si>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</si>
  <si>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</si>
  <si>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</si>
  <si>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</si>
  <si>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</si>
  <si>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</si>
  <si>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</si>
  <si>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</si>
  <si>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</si>
  <si>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</si>
  <si>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</si>
  <si>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</si>
  <si>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</si>
  <si>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</si>
  <si>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</si>
  <si>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</si>
  <si>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</si>
  <si>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</si>
  <si>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</si>
  <si>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</si>
  <si>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</si>
  <si>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</si>
  <si>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</si>
  <si>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</si>
  <si>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</si>
  <si>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</si>
  <si>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</si>
  <si>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</si>
  <si>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</si>
  <si>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</si>
  <si>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</si>
  <si>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</si>
  <si>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</si>
  <si>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</si>
  <si>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</si>
  <si>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</si>
  <si>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</si>
  <si>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</si>
  <si>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</si>
  <si>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</si>
  <si>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</si>
  <si>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</si>
  <si>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</si>
  <si>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</si>
  <si>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</si>
  <si>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</si>
  <si>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</si>
  <si>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</si>
  <si>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</si>
  <si>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</si>
  <si>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</si>
  <si>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</si>
  <si>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</si>
  <si>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</si>
  <si>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</si>
  <si>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</si>
  <si>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</si>
  <si>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</si>
  <si>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</si>
  <si>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</si>
  <si>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</si>
  <si>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</si>
  <si>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</si>
  <si>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</si>
  <si>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</si>
  <si>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</si>
  <si>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</si>
  <si>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</si>
  <si>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</si>
  <si>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</si>
  <si>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</si>
  <si>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</si>
  <si>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</si>
  <si>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</si>
  <si>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</si>
  <si>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</si>
  <si>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</si>
  <si>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</si>
  <si>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</si>
  <si>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</si>
  <si>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</si>
  <si>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</si>
  <si>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</si>
  <si>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</si>
  <si>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</si>
  <si>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</si>
  <si>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</si>
  <si>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</si>
  <si>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</si>
  <si>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</si>
  <si>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</si>
  <si>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</si>
  <si>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</si>
  <si>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</si>
  <si>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</si>
  <si>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</si>
  <si>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</si>
  <si>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</si>
  <si>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</si>
  <si>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</si>
  <si>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</si>
  <si>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</si>
  <si>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</si>
  <si>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</si>
  <si>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</si>
  <si>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</si>
  <si>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</si>
  <si>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</si>
  <si>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</si>
  <si>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</si>
  <si>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</si>
  <si>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</si>
  <si>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</si>
  <si>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</si>
  <si>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</si>
  <si>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</si>
  <si>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</si>
  <si>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</si>
  <si>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</si>
  <si>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</si>
  <si>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</si>
  <si>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</si>
  <si>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</si>
  <si>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</si>
  <si>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</si>
  <si>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</si>
  <si>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</si>
  <si>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</si>
  <si>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</si>
  <si>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</si>
  <si>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</si>
  <si>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</si>
  <si>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</si>
  <si>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</si>
  <si>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</si>
  <si>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</si>
  <si>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</si>
  <si>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</si>
  <si>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</si>
  <si>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</si>
  <si>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</si>
  <si>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</si>
  <si>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</si>
  <si>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</si>
  <si>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</si>
  <si>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</si>
  <si>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</si>
  <si>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</si>
  <si>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</si>
  <si>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</si>
  <si>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</si>
  <si>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</si>
  <si>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</si>
  <si>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</si>
  <si>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</si>
  <si>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</si>
  <si>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</si>
  <si>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</si>
  <si>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</si>
  <si>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</si>
  <si>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</si>
  <si>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</si>
  <si>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</si>
  <si>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</si>
  <si>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</si>
  <si>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</si>
  <si>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</si>
  <si>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</si>
  <si>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</si>
  <si>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</si>
  <si>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</si>
  <si>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</si>
  <si>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</si>
  <si>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</si>
  <si>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</si>
  <si>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</si>
  <si>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</si>
  <si>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</si>
  <si>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</si>
  <si>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</si>
  <si>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</si>
  <si>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</si>
  <si>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</si>
  <si>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</si>
  <si>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</si>
  <si>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</si>
  <si>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</si>
  <si>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</si>
  <si>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</si>
  <si>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</si>
  <si>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</si>
  <si>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</si>
  <si>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</si>
  <si>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</si>
  <si>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</si>
  <si>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</si>
  <si>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</si>
  <si>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</si>
  <si>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</si>
  <si>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</si>
  <si>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</si>
  <si>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</si>
  <si>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</si>
  <si>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</si>
  <si>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</si>
  <si>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</si>
  <si>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</si>
  <si>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</si>
  <si>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</si>
  <si>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</si>
  <si>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</si>
  <si>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</si>
  <si>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</si>
  <si>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</si>
  <si>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</si>
  <si>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</si>
  <si>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</si>
  <si>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</si>
  <si>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</si>
  <si>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</si>
  <si>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</si>
  <si>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</si>
  <si>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</si>
  <si>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</si>
  <si>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</si>
  <si>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</si>
  <si>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</si>
  <si>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</si>
  <si>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</si>
  <si>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</si>
  <si>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</si>
  <si>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</si>
  <si>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</si>
  <si>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</si>
  <si>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</si>
  <si>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</si>
  <si>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</si>
  <si>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</si>
  <si>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</si>
  <si>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</si>
  <si>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</si>
  <si>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</si>
  <si>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</si>
  <si>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</si>
  <si>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</si>
  <si>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</si>
  <si>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</si>
  <si>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</si>
  <si>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</si>
  <si>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</si>
  <si>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</si>
  <si>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</si>
  <si>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</si>
  <si>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</si>
  <si>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</si>
  <si>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</si>
  <si>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</si>
  <si>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</si>
  <si>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</si>
  <si>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</si>
  <si>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</si>
  <si>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</si>
  <si>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</si>
  <si>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</si>
  <si>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</si>
  <si>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</si>
  <si>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</si>
  <si>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</si>
  <si>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</si>
  <si>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</si>
  <si>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</si>
  <si>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</si>
  <si>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</si>
  <si>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</si>
  <si>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</si>
  <si>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</si>
  <si>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</si>
  <si>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</si>
  <si>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</si>
  <si>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</si>
  <si>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</si>
  <si>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</si>
  <si>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</si>
  <si>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</si>
  <si>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</si>
  <si>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</si>
  <si>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</si>
  <si>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</si>
  <si>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</si>
  <si>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</si>
  <si>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</si>
  <si>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</si>
  <si>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</si>
  <si>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</si>
  <si>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</si>
  <si>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</si>
  <si>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</si>
  <si>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</si>
  <si>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</si>
  <si>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</si>
  <si>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</si>
  <si>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</si>
  <si>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</si>
  <si>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</si>
  <si>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</si>
  <si>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</si>
  <si>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</si>
  <si>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</si>
  <si>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</si>
  <si>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</si>
  <si>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</si>
  <si>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</si>
  <si>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</si>
  <si>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</si>
  <si>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</si>
  <si>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</si>
  <si>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</si>
  <si>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</si>
  <si>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</si>
  <si>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</si>
  <si>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</si>
  <si>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</si>
  <si>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</si>
  <si>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</si>
  <si>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</si>
  <si>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</si>
  <si>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</si>
  <si>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</si>
  <si>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</si>
  <si>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</si>
  <si>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</si>
  <si>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</si>
  <si>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</si>
  <si>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</si>
  <si>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</si>
  <si>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</si>
  <si>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</si>
  <si>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</si>
  <si>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</si>
  <si>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</si>
  <si>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</si>
  <si>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</si>
  <si>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</si>
  <si>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</si>
  <si>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</si>
  <si>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</si>
  <si>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</si>
  <si>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</si>
  <si>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</si>
  <si>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</si>
  <si>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</si>
  <si>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</si>
  <si>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</si>
  <si>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</si>
  <si>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</si>
  <si>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</si>
  <si>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</si>
  <si>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</si>
  <si>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</si>
  <si>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</si>
  <si>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</si>
  <si>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</si>
  <si>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</si>
  <si>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</si>
  <si>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</si>
  <si>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</si>
  <si>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</si>
  <si>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</si>
  <si>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</si>
  <si>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</si>
  <si>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</si>
  <si>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</si>
  <si>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</si>
  <si>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</si>
  <si>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</si>
  <si>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</si>
  <si>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</si>
  <si>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</si>
  <si>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</si>
  <si>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</si>
  <si>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</si>
  <si>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</si>
  <si>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</si>
  <si>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</si>
  <si>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</si>
  <si>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</si>
  <si>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</si>
  <si>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</si>
  <si>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</si>
  <si>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</si>
  <si>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</si>
  <si>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</si>
  <si>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</si>
  <si>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</si>
  <si>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</si>
  <si>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</si>
  <si>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</si>
  <si>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</si>
  <si>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</si>
  <si>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</si>
  <si>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</si>
  <si>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</si>
  <si>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</si>
  <si>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</si>
  <si>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</si>
  <si>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</si>
  <si>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</si>
  <si>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</si>
  <si>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</si>
  <si>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</si>
  <si>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</si>
  <si>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</si>
  <si>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</si>
  <si>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</si>
  <si>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</si>
  <si>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</si>
  <si>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</si>
  <si>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</si>
  <si>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</si>
  <si>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</si>
  <si>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</si>
  <si>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</si>
  <si>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</si>
  <si>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</si>
  <si>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</si>
  <si>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</si>
  <si>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</si>
  <si>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</si>
  <si>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</si>
  <si>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</si>
  <si>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</si>
  <si>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</si>
  <si>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</si>
  <si>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</si>
  <si>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</si>
  <si>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</si>
  <si>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</si>
  <si>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</si>
  <si>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</si>
  <si>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</si>
  <si>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</si>
  <si>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</si>
  <si>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</si>
  <si>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</si>
  <si>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</si>
  <si>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</si>
  <si>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</si>
  <si>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</si>
  <si>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</si>
  <si>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</si>
  <si>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</si>
  <si>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</si>
  <si>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</si>
  <si>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</si>
  <si>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</si>
  <si>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</si>
  <si>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</si>
  <si>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</si>
  <si>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</si>
  <si>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</si>
  <si>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</si>
  <si>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</si>
  <si>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</si>
  <si>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</si>
  <si>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</si>
  <si>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</si>
  <si>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</si>
  <si>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</si>
  <si>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</si>
  <si>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</si>
  <si>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</si>
  <si>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</si>
  <si>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</si>
  <si>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</si>
  <si>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</si>
  <si>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</si>
  <si>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</si>
  <si>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</si>
  <si>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</si>
  <si>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</si>
  <si>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</si>
  <si>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</si>
  <si>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</si>
  <si>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</si>
  <si>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</si>
  <si>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</si>
  <si>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</si>
  <si>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</si>
  <si>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</si>
  <si>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</si>
  <si>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</si>
  <si>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</si>
  <si>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</si>
  <si>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</si>
  <si>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</si>
  <si>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</si>
  <si>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</si>
  <si>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</si>
  <si>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</si>
  <si>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</si>
  <si>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</si>
  <si>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</si>
  <si>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</si>
  <si>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</si>
  <si>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</si>
  <si>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</si>
  <si>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</si>
  <si>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</si>
  <si>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</si>
  <si>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</si>
  <si>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</si>
  <si>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</si>
  <si>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</si>
  <si>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</si>
  <si>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</si>
  <si>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</si>
  <si>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</si>
  <si>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</si>
  <si>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</si>
  <si>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</si>
  <si>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</si>
  <si>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</si>
  <si>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</si>
  <si>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</si>
  <si>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</si>
  <si>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</si>
  <si>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</si>
  <si>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</si>
  <si>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</si>
  <si>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</si>
  <si>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</si>
  <si>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</si>
  <si>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</si>
  <si>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</si>
  <si>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</si>
  <si>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</si>
  <si>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</si>
  <si>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</si>
  <si>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</si>
  <si>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</si>
  <si>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</si>
  <si>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</si>
  <si>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</si>
  <si>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</si>
  <si>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</si>
  <si>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</si>
  <si>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</si>
  <si>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</si>
  <si>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</si>
  <si>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</si>
  <si>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</si>
  <si>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</si>
  <si>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</si>
  <si>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</si>
  <si>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</si>
  <si>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</si>
  <si>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</si>
  <si>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</si>
  <si>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</si>
  <si>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</si>
  <si>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</si>
  <si>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</si>
  <si>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</si>
  <si>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</si>
  <si>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</si>
  <si>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</si>
  <si>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</si>
  <si>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</si>
  <si>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</si>
  <si>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</si>
  <si>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</si>
  <si>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</si>
  <si>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</si>
  <si>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</si>
  <si>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</si>
  <si>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</si>
  <si>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</si>
  <si>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</si>
  <si>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</si>
  <si>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</si>
  <si>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</si>
  <si>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</si>
  <si>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</si>
  <si>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</si>
  <si>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</si>
  <si>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</si>
  <si>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</si>
  <si>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</si>
  <si>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</si>
  <si>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</si>
  <si>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</si>
  <si>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</si>
  <si>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</si>
  <si>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</si>
  <si>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</si>
  <si>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</si>
  <si>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</si>
  <si>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</si>
  <si>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</si>
  <si>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</si>
  <si>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</si>
  <si>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</si>
  <si>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</si>
  <si>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</si>
  <si>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</si>
  <si>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</si>
  <si>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</si>
  <si>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</si>
  <si>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</si>
  <si>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</si>
  <si>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</si>
  <si>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</si>
  <si>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</si>
  <si>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</si>
  <si>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</si>
  <si>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</si>
  <si>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</si>
  <si>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</si>
  <si>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</si>
  <si>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</si>
  <si>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</si>
  <si>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</si>
  <si>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</si>
  <si>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</si>
  <si>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</si>
  <si>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</si>
  <si>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</si>
  <si>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</si>
  <si>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</si>
  <si>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</si>
  <si>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</si>
  <si>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</si>
  <si>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</si>
  <si>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</si>
  <si>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</si>
  <si>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</si>
  <si>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</si>
  <si>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</si>
  <si>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</si>
  <si>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</si>
  <si>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</si>
  <si>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</si>
  <si>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</si>
  <si>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</si>
  <si>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</si>
  <si>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</si>
  <si>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</si>
  <si>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</si>
  <si>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</si>
  <si>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</si>
  <si>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</si>
  <si>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</si>
  <si>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</si>
  <si>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</si>
  <si>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</si>
  <si>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</si>
  <si>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</si>
  <si>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</si>
  <si>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</si>
  <si>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</si>
  <si>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</si>
  <si>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</si>
  <si>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</si>
  <si>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</si>
  <si>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</si>
  <si>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</si>
  <si>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</si>
  <si>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</si>
  <si>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</si>
  <si>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</si>
  <si>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</si>
  <si>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</si>
  <si>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</si>
  <si>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</si>
  <si>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</si>
  <si>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</si>
  <si>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</si>
  <si>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</si>
  <si>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</si>
  <si>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</si>
  <si>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</si>
  <si>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</si>
  <si>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</si>
  <si>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</si>
  <si>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</si>
  <si>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</si>
  <si>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</si>
  <si>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</si>
  <si>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</si>
  <si>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</si>
  <si>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</si>
  <si>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</si>
  <si>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</si>
  <si>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</si>
  <si>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</si>
  <si>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</si>
  <si>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</si>
  <si>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</si>
  <si>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</si>
  <si>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</si>
  <si>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</si>
  <si>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</si>
  <si>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</si>
  <si>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</si>
  <si>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</si>
  <si>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</si>
  <si>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</si>
  <si>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</si>
  <si>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</si>
  <si>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</si>
  <si>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</si>
  <si>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</si>
  <si>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</si>
  <si>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</si>
  <si>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</si>
  <si>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</si>
  <si>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</si>
  <si>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</si>
  <si>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</si>
  <si>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</si>
  <si>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</si>
  <si>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</si>
  <si>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</si>
  <si>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</si>
  <si>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</si>
  <si>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</si>
  <si>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</si>
  <si>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</si>
  <si>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</si>
  <si>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</si>
  <si>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</si>
  <si>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</si>
  <si>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</si>
  <si>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</si>
  <si>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</si>
  <si>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</si>
  <si>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</si>
  <si>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</si>
  <si>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</si>
  <si>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</si>
  <si>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</si>
  <si>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</si>
  <si>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</si>
  <si>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</si>
  <si>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</si>
  <si>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</si>
  <si>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</si>
  <si>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</si>
  <si>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</si>
  <si>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</si>
  <si>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</si>
  <si>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</si>
  <si>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</si>
  <si>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</si>
  <si>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</si>
  <si>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</si>
  <si>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</si>
  <si>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</si>
  <si>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</si>
  <si>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</si>
  <si>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</si>
  <si>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</si>
  <si>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</si>
  <si>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</si>
  <si>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</si>
  <si>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</si>
  <si>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</si>
  <si>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</si>
  <si>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</si>
  <si>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</si>
  <si>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</si>
  <si>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</si>
  <si>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</si>
  <si>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</si>
  <si>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</si>
  <si>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</si>
  <si>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</si>
  <si>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</si>
  <si>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</si>
  <si>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</si>
  <si>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</si>
  <si>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</si>
  <si>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</si>
  <si>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</si>
  <si>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</si>
  <si>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</si>
  <si>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</si>
  <si>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</si>
  <si>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</si>
  <si>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</si>
  <si>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</si>
  <si>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</si>
  <si>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</si>
  <si>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</si>
  <si>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</si>
  <si>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</si>
  <si>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</si>
  <si>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</si>
  <si>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</si>
  <si>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</si>
  <si>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</si>
  <si>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</si>
  <si>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</si>
  <si>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</si>
  <si>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</si>
  <si>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</si>
  <si>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</si>
  <si>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</si>
  <si>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</si>
  <si>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</si>
  <si>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</si>
  <si>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</si>
  <si>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</si>
  <si>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</si>
  <si>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</si>
  <si>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</si>
  <si>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</si>
  <si>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</si>
  <si>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</si>
  <si>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</si>
  <si>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</si>
  <si>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</si>
  <si>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</si>
  <si>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</si>
  <si>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</si>
  <si>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</si>
  <si>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</si>
  <si>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</si>
  <si>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</si>
  <si>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</si>
  <si>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</si>
  <si>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</si>
  <si>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</si>
  <si>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</si>
  <si>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</si>
  <si>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</si>
  <si>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</si>
  <si>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</si>
  <si>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</si>
  <si>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</si>
  <si>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</si>
  <si>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</si>
  <si>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</si>
  <si>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</si>
  <si>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</si>
  <si>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</si>
  <si>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</si>
  <si>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</si>
  <si>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</si>
  <si>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</si>
  <si>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</si>
  <si>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</si>
  <si>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</si>
  <si>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</si>
  <si>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</si>
  <si>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</si>
  <si>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</si>
  <si>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</si>
  <si>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</si>
  <si>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</si>
  <si>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</si>
  <si>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</si>
  <si>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</si>
  <si>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</si>
  <si>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</si>
  <si>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</si>
  <si>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</si>
  <si>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</si>
  <si>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</si>
  <si>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</si>
  <si>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</si>
  <si>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</si>
  <si>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</si>
  <si>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</si>
  <si>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</si>
  <si>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</si>
  <si>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</si>
  <si>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</si>
  <si>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</si>
  <si>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</si>
  <si>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</si>
  <si>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</si>
  <si>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</si>
  <si>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</si>
  <si>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</si>
  <si>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</si>
  <si>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</si>
  <si>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</si>
  <si>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</si>
  <si>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</si>
  <si>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</si>
  <si>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</si>
  <si>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</si>
  <si>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</si>
  <si>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</si>
  <si>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</si>
  <si>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</si>
  <si>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</si>
  <si>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</si>
  <si>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</si>
  <si>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</si>
  <si>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</si>
  <si>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</si>
  <si>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</si>
  <si>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</si>
  <si>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</si>
  <si>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</si>
  <si>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</si>
  <si>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</si>
  <si>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</si>
  <si>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</si>
  <si>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</si>
  <si>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</si>
  <si>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</si>
  <si>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</si>
  <si>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</si>
  <si>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</si>
  <si>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</si>
  <si>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</si>
  <si>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</si>
  <si>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</si>
  <si>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</si>
  <si>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</si>
  <si>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</si>
  <si>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</si>
  <si>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</si>
  <si>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</si>
  <si>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</si>
  <si>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</si>
  <si>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</si>
  <si>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</si>
  <si>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</si>
  <si>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</si>
  <si>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</si>
  <si>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</si>
  <si>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</si>
  <si>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</si>
  <si>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</si>
  <si>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</si>
  <si>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</si>
  <si>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</si>
  <si>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</si>
  <si>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</si>
  <si>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</si>
  <si>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</si>
  <si>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</si>
  <si>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</si>
  <si>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</si>
  <si>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</si>
  <si>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</si>
  <si>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</si>
  <si>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</si>
  <si>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</si>
  <si>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</si>
  <si>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</si>
  <si>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</si>
  <si>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</si>
  <si>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</si>
  <si>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</si>
  <si>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</si>
  <si>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</si>
  <si>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</si>
  <si>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</si>
  <si>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</si>
  <si>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</si>
  <si>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</si>
  <si>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</si>
  <si>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</si>
  <si>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</si>
  <si>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</si>
  <si>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</si>
  <si>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</si>
  <si>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</si>
  <si>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</si>
  <si>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</si>
  <si>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</si>
  <si>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</si>
  <si>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</si>
  <si>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</si>
  <si>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</si>
  <si>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</si>
  <si>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</si>
  <si>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</si>
  <si>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</si>
  <si>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</si>
  <si>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</si>
  <si>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</si>
  <si>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</si>
  <si>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</si>
  <si>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</si>
  <si>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</si>
  <si>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</si>
  <si>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</si>
  <si>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</si>
  <si>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</si>
  <si>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</si>
  <si>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</si>
  <si>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</si>
  <si>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</si>
  <si>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</si>
  <si>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</si>
  <si>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</si>
  <si>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</si>
  <si>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</si>
  <si>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</si>
  <si>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</si>
  <si>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</si>
  <si>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</si>
  <si>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</si>
  <si>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</si>
  <si>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</si>
  <si>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</si>
  <si>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</si>
  <si>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</si>
  <si>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</si>
  <si>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</si>
  <si>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</si>
  <si>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</si>
  <si>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</si>
  <si>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</si>
  <si>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</si>
  <si>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</si>
  <si>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</si>
  <si>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</si>
  <si>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</si>
  <si>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</si>
  <si>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</si>
  <si>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</si>
  <si>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</si>
  <si>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</si>
  <si>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</si>
  <si>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</si>
  <si>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</si>
  <si>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</si>
  <si>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</si>
  <si>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</si>
  <si>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</si>
  <si>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</si>
  <si>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</si>
  <si>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</si>
  <si>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</si>
  <si>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</si>
  <si>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</si>
  <si>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</si>
  <si>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</si>
  <si>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</si>
  <si>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</si>
  <si>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</si>
  <si>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</si>
  <si>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</si>
  <si>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</si>
  <si>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</si>
  <si>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</si>
  <si>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</si>
  <si>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</si>
  <si>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</si>
  <si>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</si>
  <si>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</si>
  <si>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</si>
  <si>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</si>
  <si>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</si>
  <si>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</si>
  <si>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</si>
  <si>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</si>
  <si>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</si>
  <si>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</si>
  <si>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</si>
  <si>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</si>
  <si>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</si>
  <si>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</si>
  <si>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</si>
  <si>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</si>
  <si>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</si>
  <si>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</si>
  <si>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</si>
  <si>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</si>
  <si>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</si>
  <si>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</si>
  <si>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</si>
  <si>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</si>
  <si>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</si>
  <si>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</si>
  <si>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</si>
  <si>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</si>
  <si>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</si>
  <si>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</si>
  <si>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</si>
  <si>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</si>
  <si>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</si>
  <si>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</si>
  <si>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</si>
  <si>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</si>
  <si>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</si>
  <si>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</si>
  <si>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</si>
  <si>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</si>
  <si>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</si>
  <si>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</si>
  <si>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</si>
  <si>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</si>
  <si>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</si>
  <si>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</si>
  <si>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</si>
  <si>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</si>
  <si>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</si>
  <si>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</si>
  <si>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</si>
  <si>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</si>
  <si>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</si>
  <si>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</si>
  <si>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</si>
  <si>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</si>
  <si>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</si>
  <si>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</si>
  <si>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</si>
  <si>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</si>
  <si>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</si>
  <si>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</si>
  <si>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</si>
  <si>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</si>
  <si>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</si>
  <si>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</si>
  <si>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</si>
  <si>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</si>
  <si>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</si>
  <si>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</si>
  <si>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</si>
  <si>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</si>
  <si>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</si>
  <si>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</si>
  <si>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</si>
  <si>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</si>
  <si>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</si>
  <si>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</si>
  <si>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</si>
  <si>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</si>
  <si>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</si>
  <si>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</si>
  <si>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</si>
  <si>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</si>
  <si>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</si>
  <si>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</si>
  <si>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</si>
  <si>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</si>
  <si>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</si>
  <si>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</si>
  <si>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</si>
  <si>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</si>
  <si>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</si>
  <si>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</si>
  <si>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</si>
  <si>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</si>
  <si>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</si>
  <si>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</si>
  <si>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</si>
  <si>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</si>
  <si>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</si>
  <si>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</si>
  <si>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</si>
  <si>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</si>
  <si>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</si>
  <si>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</si>
  <si>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</si>
  <si>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</si>
  <si>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</si>
  <si>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</si>
  <si>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</si>
  <si>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</si>
  <si>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</si>
  <si>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</si>
  <si>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</si>
  <si>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</si>
  <si>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</si>
  <si>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</si>
  <si>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</si>
  <si>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</si>
  <si>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</si>
  <si>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</si>
  <si>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</si>
  <si>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</si>
  <si>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</si>
  <si>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</si>
  <si>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</si>
  <si>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</si>
  <si>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</si>
  <si>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</si>
  <si>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</si>
  <si>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</si>
  <si>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</si>
  <si>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</si>
  <si>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</si>
  <si>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</si>
  <si>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</si>
  <si>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</si>
  <si>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</si>
  <si>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</si>
  <si>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</si>
  <si>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</si>
  <si>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</si>
  <si>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</si>
  <si>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</si>
  <si>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</si>
  <si>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</si>
  <si>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</si>
  <si>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</si>
  <si>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</si>
  <si>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</si>
  <si>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</si>
  <si>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</si>
  <si>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</si>
  <si>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</si>
  <si>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</si>
  <si>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</si>
  <si>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</si>
  <si>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</si>
  <si>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</si>
  <si>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</si>
  <si>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</si>
  <si>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</si>
  <si>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</si>
  <si>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</si>
  <si>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</si>
  <si>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</si>
  <si>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</si>
  <si>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</si>
  <si>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</si>
  <si>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</si>
  <si>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</si>
  <si>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</si>
  <si>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</si>
  <si>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</si>
  <si>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</si>
  <si>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</si>
  <si>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</si>
  <si>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</si>
  <si>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</si>
  <si>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</si>
  <si>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</si>
  <si>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</si>
  <si>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</si>
  <si>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</si>
  <si>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</si>
  <si>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</si>
  <si>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</si>
  <si>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</si>
  <si>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</si>
  <si>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</si>
  <si>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</si>
  <si>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</si>
  <si>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</si>
  <si>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</si>
  <si>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</si>
  <si>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</si>
  <si>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</si>
  <si>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</si>
  <si>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</si>
  <si>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</si>
  <si>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</si>
  <si>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</si>
  <si>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</si>
  <si>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</si>
  <si>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</si>
  <si>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</si>
  <si>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</si>
  <si>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</si>
  <si>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</si>
  <si>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</si>
  <si>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</si>
  <si>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</si>
  <si>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</si>
  <si>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</si>
  <si>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</si>
  <si>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</si>
  <si>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</si>
  <si>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</si>
  <si>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</si>
  <si>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</si>
  <si>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</si>
  <si>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</si>
  <si>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</si>
  <si>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</si>
  <si>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</si>
  <si>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</si>
  <si>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</si>
  <si>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</si>
  <si>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</si>
  <si>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</si>
  <si>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</si>
  <si>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</si>
  <si>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</si>
  <si>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</si>
  <si>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</si>
  <si>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</si>
  <si>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</si>
  <si>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</si>
  <si>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</si>
  <si>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</si>
  <si>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</si>
  <si>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</si>
  <si>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</si>
  <si>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</si>
  <si>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</si>
  <si>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</si>
  <si>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</si>
  <si>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</si>
  <si>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</si>
  <si>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</si>
  <si>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</si>
  <si>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</si>
  <si>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</si>
  <si>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</si>
  <si>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</si>
  <si>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</si>
  <si>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</si>
  <si>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</si>
  <si>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</si>
  <si>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</si>
  <si>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</si>
  <si>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</si>
  <si>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</si>
  <si>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</si>
  <si>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</si>
  <si>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</si>
  <si>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</si>
  <si>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</si>
  <si>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</si>
  <si>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</si>
  <si>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</si>
  <si>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</si>
  <si>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</si>
  <si>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</si>
  <si>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</si>
  <si>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</si>
  <si>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</si>
  <si>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</si>
  <si>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</si>
  <si>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</si>
  <si>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</si>
  <si>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</si>
  <si>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</si>
  <si>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</si>
  <si>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</si>
  <si>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</si>
  <si>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</si>
  <si>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</si>
  <si>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</si>
  <si>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</si>
  <si>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</si>
  <si>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</si>
  <si>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</si>
  <si>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</si>
  <si>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</si>
  <si>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</si>
  <si>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</si>
  <si>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</si>
  <si>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</si>
  <si>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</si>
  <si>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</si>
  <si>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</si>
  <si>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</si>
  <si>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</si>
  <si>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</si>
  <si>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</si>
  <si>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</si>
  <si>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</si>
  <si>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</si>
  <si>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</si>
  <si>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</si>
  <si>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</si>
  <si>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</si>
  <si>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</si>
  <si>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</si>
  <si>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</si>
  <si>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</si>
  <si>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</si>
  <si>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</si>
  <si>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</si>
  <si>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</si>
  <si>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</si>
  <si>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</si>
  <si>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</si>
  <si>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</si>
  <si>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</si>
  <si>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</si>
  <si>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</si>
  <si>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</si>
  <si>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</si>
  <si>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</si>
  <si>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</si>
  <si>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</si>
  <si>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</si>
  <si>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</si>
  <si>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</si>
  <si>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</si>
  <si>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</si>
  <si>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</si>
  <si>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</si>
  <si>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</si>
  <si>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</si>
  <si>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</si>
  <si>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</si>
  <si>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</si>
  <si>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</si>
  <si>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</si>
  <si>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</si>
  <si>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</si>
  <si>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</si>
  <si>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</si>
  <si>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</si>
  <si>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</si>
  <si>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</si>
  <si>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</si>
  <si>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</si>
  <si>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</si>
  <si>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</si>
  <si>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</si>
  <si>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</si>
  <si>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</si>
  <si>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</si>
  <si>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</si>
  <si>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</si>
  <si>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</si>
  <si>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</si>
  <si>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</si>
  <si>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</si>
  <si>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</si>
  <si>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</si>
  <si>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</si>
  <si>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</si>
  <si>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</si>
  <si>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</si>
  <si>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</si>
  <si>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</si>
  <si>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</si>
  <si>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</si>
  <si>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</si>
  <si>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</si>
  <si>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</si>
  <si>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</si>
  <si>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</si>
  <si>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</si>
  <si>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</si>
  <si>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</si>
  <si>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</si>
  <si>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</si>
  <si>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</si>
  <si>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</si>
  <si>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</si>
  <si>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</si>
  <si>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</si>
  <si>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</si>
  <si>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</si>
  <si>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</si>
  <si>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</si>
  <si>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</si>
  <si>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</si>
  <si>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</si>
  <si>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</si>
  <si>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</si>
  <si>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</si>
  <si>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</si>
  <si>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</si>
  <si>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</si>
  <si>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</si>
  <si>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</si>
  <si>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</si>
  <si>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</si>
  <si>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</si>
  <si>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</si>
  <si>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</si>
  <si>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</si>
  <si>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</si>
  <si>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</si>
  <si>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</si>
  <si>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</si>
  <si>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</si>
  <si>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</si>
  <si>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</si>
  <si>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</si>
  <si>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</si>
  <si>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</si>
  <si>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</si>
  <si>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</si>
  <si>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</si>
  <si>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</si>
  <si>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</si>
  <si>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</si>
  <si>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</si>
  <si>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</si>
  <si>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</si>
  <si>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</si>
  <si>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</si>
  <si>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</si>
  <si>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</si>
  <si>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</si>
  <si>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</si>
  <si>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</si>
  <si>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</si>
  <si>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</si>
  <si>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</si>
  <si>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</si>
  <si>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</si>
  <si>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</si>
  <si>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</si>
  <si>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</si>
  <si>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</si>
  <si>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</si>
  <si>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</si>
  <si>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</si>
  <si>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</si>
  <si>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</si>
  <si>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</si>
  <si>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</si>
  <si>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</si>
  <si>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</si>
  <si>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</si>
  <si>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</si>
  <si>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</si>
  <si>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</si>
  <si>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</si>
  <si>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</si>
  <si>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</si>
  <si>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</si>
  <si>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</si>
  <si>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</si>
  <si>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</si>
  <si>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</si>
  <si>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</si>
  <si>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</si>
  <si>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</si>
  <si>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</si>
  <si>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</si>
  <si>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</si>
  <si>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</si>
  <si>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</si>
  <si>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</si>
  <si>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</si>
  <si>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</si>
  <si>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</si>
  <si>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</si>
  <si>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</si>
  <si>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</si>
  <si>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</si>
  <si>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</si>
  <si>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</si>
  <si>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</si>
  <si>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</si>
  <si>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</si>
  <si>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</si>
  <si>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</si>
  <si>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</si>
  <si>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</si>
  <si>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</si>
  <si>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</si>
  <si>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</si>
  <si>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</si>
  <si>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</si>
  <si>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</si>
  <si>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</si>
  <si>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</si>
  <si>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</si>
  <si>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</si>
  <si>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</si>
  <si>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</si>
  <si>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</si>
  <si>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</si>
  <si>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</si>
  <si>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</si>
  <si>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</si>
  <si>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</si>
  <si>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</si>
  <si>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</si>
  <si>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</si>
  <si>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</si>
  <si>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</si>
  <si>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</si>
  <si>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</si>
  <si>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</si>
  <si>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</si>
  <si>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</si>
  <si>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</si>
  <si>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</si>
  <si>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</si>
  <si>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</si>
  <si>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</si>
  <si>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</si>
  <si>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</si>
  <si>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</si>
  <si>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</si>
  <si>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</si>
  <si>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</si>
  <si>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</si>
  <si>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</si>
  <si>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</si>
  <si>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</si>
  <si>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</si>
  <si>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</si>
  <si>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</si>
  <si>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</si>
  <si>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</si>
  <si>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</si>
  <si>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</si>
  <si>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</si>
  <si>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</si>
  <si>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</si>
  <si>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</si>
  <si>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</si>
  <si>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</si>
  <si>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</si>
  <si>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</si>
  <si>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</si>
  <si>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</si>
  <si>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</si>
  <si>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</si>
  <si>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</si>
  <si>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</si>
  <si>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</si>
  <si>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</si>
  <si>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</si>
  <si>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</si>
  <si>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</si>
  <si>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</si>
  <si>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</si>
  <si>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</si>
  <si>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</si>
  <si>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</si>
  <si>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</si>
  <si>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</si>
  <si>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</si>
  <si>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</si>
  <si>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</si>
  <si>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</si>
  <si>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</si>
  <si>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</si>
  <si>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</si>
  <si>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</si>
  <si>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</si>
  <si>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</si>
  <si>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</si>
  <si>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</si>
  <si>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</si>
  <si>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</si>
  <si>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</si>
  <si>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</si>
  <si>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</si>
  <si>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</si>
  <si>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</si>
  <si>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</si>
  <si>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</si>
  <si>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</si>
  <si>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</si>
  <si>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</si>
  <si>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</si>
  <si>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</si>
  <si>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</si>
  <si>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</si>
  <si>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</si>
  <si>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</si>
  <si>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</si>
  <si>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</si>
  <si>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</si>
  <si>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</si>
  <si>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</si>
  <si>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</si>
  <si>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</si>
  <si>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</si>
  <si>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</si>
  <si>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</si>
  <si>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</si>
  <si>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</si>
  <si>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</si>
  <si>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</si>
  <si>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</si>
  <si>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</si>
  <si>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</si>
  <si>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</si>
  <si>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</si>
  <si>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</si>
  <si>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</si>
  <si>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</si>
  <si>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</si>
  <si>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</si>
  <si>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</si>
  <si>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</si>
  <si>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</si>
  <si>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</si>
  <si>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</si>
  <si>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</si>
  <si>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</si>
  <si>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</si>
  <si>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</si>
  <si>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</si>
  <si>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</si>
  <si>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</si>
  <si>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</si>
  <si>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</si>
  <si>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</si>
  <si>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</si>
  <si>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</si>
  <si>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</si>
  <si>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</si>
  <si>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</si>
  <si>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</si>
  <si>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</si>
  <si>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</si>
  <si>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</si>
  <si>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</si>
  <si>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</si>
  <si>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</si>
  <si>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</si>
  <si>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</si>
  <si>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</si>
  <si>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</si>
  <si>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</si>
  <si>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</si>
  <si>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</si>
  <si>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</si>
  <si>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</si>
  <si>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</si>
  <si>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</si>
  <si>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</si>
  <si>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</si>
  <si>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</si>
  <si>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</si>
  <si>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</si>
  <si>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</si>
  <si>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</si>
  <si>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</si>
  <si>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</si>
  <si>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</si>
  <si>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</si>
  <si>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</si>
  <si>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</si>
  <si>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</si>
  <si>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</si>
  <si>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</si>
  <si>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</si>
  <si>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</si>
  <si>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</si>
  <si>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</si>
  <si>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</si>
  <si>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</si>
  <si>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</si>
  <si>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</si>
  <si>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</si>
  <si>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</si>
  <si>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</si>
  <si>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</si>
  <si>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</si>
  <si>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</si>
  <si>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</si>
  <si>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</si>
  <si>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</si>
  <si>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</si>
  <si>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</si>
  <si>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</si>
  <si>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</si>
  <si>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</si>
  <si>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</si>
  <si>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</si>
  <si>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</si>
  <si>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</si>
  <si>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</si>
  <si>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</si>
  <si>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</si>
  <si>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</si>
  <si>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</si>
  <si>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</si>
  <si>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</si>
  <si>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</si>
  <si>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</si>
  <si>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</si>
  <si>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</si>
  <si>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</si>
  <si>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</si>
  <si>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</si>
  <si>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</si>
  <si>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</si>
  <si>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</si>
  <si>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</si>
  <si>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</si>
  <si>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</si>
  <si>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</si>
  <si>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</si>
  <si>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</si>
  <si>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</si>
  <si>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</si>
  <si>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</si>
  <si>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</si>
  <si>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</si>
  <si>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</si>
  <si>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</si>
  <si>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</si>
  <si>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</si>
  <si>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</si>
  <si>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</si>
  <si>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</si>
  <si>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</si>
  <si>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</si>
  <si>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</si>
  <si>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</si>
  <si>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</si>
  <si>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</si>
  <si>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</si>
  <si>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</si>
  <si>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</si>
  <si>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</si>
  <si>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</si>
  <si>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</si>
  <si>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</si>
  <si>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</si>
  <si>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</si>
  <si>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</si>
  <si>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</si>
  <si>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</si>
  <si>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</si>
  <si>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</si>
  <si>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</si>
  <si>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</si>
  <si>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</si>
  <si>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</si>
  <si>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</si>
  <si>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</si>
  <si>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</si>
  <si>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</si>
  <si>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</si>
  <si>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</si>
  <si>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</si>
  <si>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</si>
  <si>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</si>
  <si>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</si>
  <si>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</si>
  <si>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</si>
  <si>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</si>
  <si>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</si>
  <si>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</si>
  <si>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</si>
  <si>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</si>
  <si>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</si>
  <si>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</si>
  <si>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</si>
  <si>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</si>
  <si>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</si>
  <si>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</si>
  <si>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</si>
  <si>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</si>
  <si>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</si>
  <si>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</si>
  <si>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</si>
  <si>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</si>
  <si>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</si>
  <si>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</si>
  <si>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</si>
  <si>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</si>
  <si>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</si>
  <si>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</si>
  <si>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</si>
  <si>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</si>
  <si>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</si>
  <si>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</si>
  <si>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</si>
  <si>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</si>
  <si>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</si>
  <si>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</si>
  <si>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</si>
  <si>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</si>
  <si>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</si>
  <si>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</si>
  <si>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</si>
  <si>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</si>
  <si>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</si>
  <si>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</si>
  <si>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</si>
  <si>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</si>
  <si>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</si>
  <si>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</si>
  <si>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</si>
  <si>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</si>
  <si>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</si>
  <si>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</si>
  <si>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</si>
  <si>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</si>
  <si>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</si>
  <si>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</si>
  <si>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</si>
  <si>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</si>
  <si>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</si>
  <si>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</si>
  <si>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</si>
  <si>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</si>
  <si>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</si>
  <si>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</si>
  <si>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</si>
  <si>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</si>
  <si>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</si>
  <si>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</si>
  <si>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</si>
  <si>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</si>
  <si>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</si>
  <si>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</si>
  <si>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</si>
  <si>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</si>
  <si>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</si>
  <si>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</si>
  <si>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</si>
  <si>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</si>
  <si>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</si>
  <si>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</si>
  <si>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</si>
  <si>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</si>
  <si>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</si>
  <si>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</si>
  <si>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</si>
  <si>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</si>
  <si>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</si>
  <si>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</si>
  <si>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</si>
  <si>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</si>
  <si>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</si>
  <si>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</si>
  <si>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</si>
  <si>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</si>
  <si>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</si>
  <si>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</si>
  <si>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</si>
  <si>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</si>
  <si>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</si>
  <si>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</si>
  <si>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</si>
  <si>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</si>
  <si>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</si>
  <si>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</si>
  <si>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</si>
  <si>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</si>
  <si>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</si>
  <si>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</si>
  <si>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</si>
  <si>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</si>
  <si>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</si>
  <si>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</si>
  <si>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</si>
  <si>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</si>
  <si>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</si>
  <si>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</si>
  <si>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</si>
  <si>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</si>
  <si>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</si>
  <si>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</si>
  <si>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</si>
  <si>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</si>
  <si>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</si>
  <si>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</si>
  <si>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</si>
  <si>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</si>
  <si>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</si>
  <si>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</si>
  <si>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</si>
  <si>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</si>
  <si>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</si>
  <si>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</si>
  <si>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</si>
  <si>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</si>
  <si>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</si>
  <si>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</si>
  <si>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</si>
  <si>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</si>
  <si>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</si>
  <si>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</si>
  <si>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</si>
  <si>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</si>
  <si>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</si>
  <si>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</si>
  <si>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</si>
  <si>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</si>
  <si>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</si>
  <si>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</si>
  <si>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</si>
  <si>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</si>
  <si>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</si>
  <si>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</si>
  <si>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</si>
  <si>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</si>
  <si>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</si>
  <si>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</si>
  <si>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</si>
  <si>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</si>
  <si>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</si>
  <si>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</si>
  <si>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</si>
  <si>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</si>
  <si>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</si>
  <si>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</si>
  <si>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</si>
  <si>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</si>
  <si>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</si>
  <si>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</si>
  <si>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</si>
  <si>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</si>
  <si>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</si>
  <si>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</si>
  <si>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</si>
  <si>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</si>
  <si>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</si>
  <si>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</si>
  <si>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</si>
  <si>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</si>
  <si>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</si>
  <si>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</si>
  <si>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</si>
  <si>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</si>
  <si>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</si>
  <si>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</si>
  <si>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</si>
  <si>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</si>
  <si>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</si>
  <si>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</si>
  <si>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</si>
  <si>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</si>
  <si>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</si>
  <si>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</si>
  <si>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</si>
  <si>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</si>
  <si>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</si>
  <si>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</si>
  <si>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</si>
  <si>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</si>
  <si>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</si>
  <si>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</si>
  <si>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</si>
  <si>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</si>
  <si>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</si>
  <si>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</si>
  <si>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</si>
  <si>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</si>
  <si>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</si>
  <si>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</si>
  <si>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</si>
  <si>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</si>
  <si>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</si>
  <si>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</si>
  <si>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</si>
  <si>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</si>
  <si>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</si>
  <si>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</si>
  <si>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</si>
  <si>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</si>
  <si>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</si>
  <si>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</si>
  <si>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</si>
  <si>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</si>
  <si>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</si>
  <si>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</si>
  <si>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</si>
  <si>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</si>
  <si>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</si>
  <si>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</si>
  <si>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</si>
  <si>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</si>
  <si>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</si>
  <si>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</si>
  <si>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</si>
  <si>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</si>
  <si>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</si>
  <si>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</si>
  <si>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</si>
  <si>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</si>
  <si>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</si>
  <si>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</si>
  <si>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</si>
  <si>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</si>
  <si>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</si>
  <si>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</si>
  <si>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</si>
  <si>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</si>
  <si>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</si>
  <si>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</si>
  <si>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</si>
  <si>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</si>
  <si>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</si>
  <si>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</si>
  <si>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</si>
  <si>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</si>
  <si>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</si>
  <si>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</si>
  <si>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</si>
  <si>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</si>
  <si>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</si>
  <si>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</si>
  <si>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</si>
  <si>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</si>
  <si>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</si>
  <si>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</si>
  <si>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</si>
  <si>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</si>
  <si>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</si>
  <si>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</si>
  <si>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</si>
  <si>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</si>
  <si>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</si>
  <si>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</si>
  <si>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</si>
  <si>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</si>
  <si>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</si>
  <si>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</si>
  <si>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</si>
  <si>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</si>
  <si>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</si>
  <si>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</si>
  <si>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</si>
  <si>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</si>
  <si>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</si>
  <si>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</si>
  <si>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</si>
  <si>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</si>
  <si>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</si>
  <si>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</si>
  <si>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</si>
  <si>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</si>
  <si>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</si>
  <si>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</si>
  <si>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</si>
  <si>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</si>
  <si>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</si>
  <si>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</si>
  <si>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</si>
  <si>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</si>
  <si>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</si>
  <si>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</si>
  <si>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</si>
  <si>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</si>
  <si>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</si>
  <si>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</si>
  <si>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</si>
  <si>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</si>
  <si>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</si>
  <si>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</si>
  <si>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</si>
  <si>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</si>
  <si>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</si>
  <si>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</si>
  <si>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</si>
  <si>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</si>
  <si>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</si>
  <si>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</si>
  <si>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</si>
  <si>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</si>
  <si>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</si>
  <si>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</si>
  <si>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</si>
  <si>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</si>
  <si>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</si>
  <si>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</si>
  <si>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</si>
  <si>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</si>
  <si>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</si>
  <si>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</si>
  <si>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</si>
  <si>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</si>
  <si>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</si>
  <si>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</si>
  <si>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</si>
  <si>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</si>
  <si>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</si>
  <si>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</si>
  <si>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</si>
  <si>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</si>
  <si>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</si>
  <si>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</si>
  <si>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</si>
  <si>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</si>
  <si>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</si>
  <si>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</si>
  <si>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</si>
  <si>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</si>
  <si>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</si>
  <si>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</si>
  <si>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</si>
  <si>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</si>
  <si>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</si>
  <si>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</si>
  <si>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</si>
  <si>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</si>
  <si>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</si>
  <si>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</si>
  <si>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</si>
  <si>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</si>
  <si>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</si>
  <si>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</si>
  <si>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</si>
  <si>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</si>
  <si>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</si>
  <si>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</si>
  <si>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</si>
  <si>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</si>
  <si>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</si>
  <si>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</si>
  <si>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</si>
  <si>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</si>
  <si>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</si>
  <si>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</si>
  <si>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</si>
  <si>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</si>
  <si>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</si>
  <si>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</si>
  <si>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</si>
  <si>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</si>
  <si>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</si>
  <si>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</si>
  <si>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</si>
  <si>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</si>
  <si>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</si>
  <si>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</si>
  <si>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</si>
  <si>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</si>
  <si>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</si>
  <si>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</si>
  <si>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</si>
  <si>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</si>
  <si>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</si>
  <si>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</si>
  <si>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</si>
  <si>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</si>
  <si>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</si>
  <si>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</si>
  <si>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</si>
  <si>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</si>
  <si>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</si>
  <si>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</si>
  <si>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</si>
  <si>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</si>
  <si>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</si>
  <si>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</si>
  <si>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</si>
  <si>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</si>
  <si>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</si>
  <si>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</si>
  <si>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</si>
  <si>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</si>
  <si>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</si>
  <si>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</si>
  <si>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</si>
  <si>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</si>
  <si>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</si>
  <si>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</si>
  <si>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</si>
  <si>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</si>
  <si>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</si>
  <si>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</si>
  <si>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</si>
  <si>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</si>
  <si>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</si>
  <si>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</si>
  <si>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</si>
  <si>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</si>
  <si>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</si>
  <si>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</si>
  <si>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</si>
  <si>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</si>
  <si>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</si>
  <si>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</si>
  <si>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</si>
  <si>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</si>
  <si>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</si>
  <si>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</si>
  <si>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</si>
  <si>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</si>
  <si>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</si>
  <si>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</si>
  <si>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</si>
  <si>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</si>
  <si>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</si>
  <si>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</si>
  <si>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</si>
  <si>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</si>
  <si>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</si>
  <si>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</si>
  <si>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</si>
  <si>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</si>
  <si>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</si>
  <si>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</si>
  <si>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</si>
  <si>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</si>
  <si>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</si>
  <si>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</si>
  <si>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</si>
  <si>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</si>
  <si>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</si>
  <si>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</si>
  <si>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</si>
  <si>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</si>
  <si>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</si>
  <si>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</si>
  <si>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</si>
  <si>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</si>
  <si>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</si>
  <si>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</si>
  <si>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</si>
  <si>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</si>
  <si>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</si>
  <si>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</si>
  <si>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</si>
  <si>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</si>
  <si>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</si>
  <si>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</si>
  <si>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</si>
  <si>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</si>
  <si>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</si>
  <si>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</si>
  <si>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</si>
  <si>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</si>
  <si>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</si>
  <si>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</si>
  <si>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</si>
  <si>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</si>
  <si>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</si>
  <si>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</si>
  <si>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</si>
  <si>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</si>
  <si>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</si>
  <si>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</si>
  <si>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</si>
  <si>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</si>
  <si>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</si>
  <si>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</si>
  <si>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</si>
  <si>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</si>
  <si>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</si>
  <si>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</si>
  <si>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</si>
  <si>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</si>
  <si>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</si>
  <si>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</si>
  <si>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</si>
  <si>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</si>
  <si>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</si>
  <si>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</si>
  <si>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</si>
  <si>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</si>
  <si>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</si>
  <si>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</si>
  <si>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</si>
  <si>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</si>
  <si>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</si>
  <si>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</si>
  <si>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</si>
  <si>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</si>
  <si>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</si>
  <si>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</si>
  <si>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</si>
  <si>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</si>
  <si>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</si>
  <si>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</si>
  <si>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</si>
  <si>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</si>
  <si>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</si>
  <si>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</si>
  <si>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</si>
  <si>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</si>
  <si>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</si>
  <si>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</si>
  <si>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</si>
  <si>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</si>
  <si>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</si>
  <si>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</si>
  <si>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</si>
  <si>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</si>
  <si>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</si>
  <si>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</si>
  <si>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</si>
  <si>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</si>
  <si>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</si>
  <si>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</si>
  <si>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</si>
  <si>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</si>
  <si>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</si>
  <si>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</si>
  <si>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</si>
  <si>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</si>
  <si>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</si>
  <si>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</si>
  <si>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</si>
  <si>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</si>
  <si>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</si>
  <si>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</si>
  <si>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</si>
  <si>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</si>
  <si>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</si>
  <si>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</si>
  <si>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</si>
  <si>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</si>
  <si>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</si>
  <si>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</si>
  <si>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</si>
  <si>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</si>
  <si>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</si>
  <si>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</si>
  <si>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</si>
  <si>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</si>
  <si>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</si>
  <si>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</si>
  <si>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</si>
  <si>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</si>
  <si>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</si>
  <si>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</si>
  <si>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</si>
  <si>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</si>
  <si>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</si>
  <si>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</si>
  <si>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</si>
  <si>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</si>
  <si>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</si>
  <si>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</si>
  <si>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</si>
  <si>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</si>
  <si>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</si>
  <si>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</si>
  <si>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</si>
  <si>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</si>
  <si>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</si>
  <si>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</si>
  <si>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</si>
  <si>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</si>
  <si>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</si>
  <si>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</si>
  <si>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</si>
  <si>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</si>
  <si>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</si>
  <si>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</si>
  <si>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</si>
  <si>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</si>
  <si>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</si>
  <si>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</si>
  <si>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</si>
  <si>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</si>
  <si>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</si>
  <si>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</si>
  <si>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</si>
  <si>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</si>
  <si>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</si>
  <si>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</si>
  <si>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</si>
  <si>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</si>
  <si>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</si>
  <si>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</si>
  <si>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</si>
  <si>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</si>
  <si>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</si>
  <si>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</si>
  <si>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</si>
  <si>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</si>
  <si>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</si>
  <si>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</si>
  <si>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</si>
  <si>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</si>
  <si>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</si>
  <si>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</si>
  <si>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</si>
  <si>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</si>
  <si>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</si>
  <si>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</si>
  <si>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</si>
  <si>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</si>
  <si>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</si>
  <si>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</si>
  <si>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</si>
  <si>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</si>
  <si>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</si>
  <si>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</si>
  <si>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</si>
  <si>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</si>
  <si>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</si>
  <si>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</si>
  <si>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</si>
  <si>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</si>
  <si>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</si>
  <si>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</si>
  <si>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</si>
  <si>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</si>
  <si>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</si>
  <si>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</si>
  <si>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</si>
  <si>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</si>
  <si>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</si>
  <si>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</si>
  <si>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</si>
  <si>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</si>
  <si>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</si>
  <si>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</si>
  <si>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</si>
  <si>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</si>
  <si>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</si>
  <si>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</si>
  <si>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</si>
  <si>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</si>
  <si>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</si>
  <si>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</si>
  <si>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</si>
  <si>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</si>
  <si>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</si>
  <si>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</si>
  <si>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</si>
  <si>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</si>
  <si>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</si>
  <si>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</si>
  <si>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</si>
  <si>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</si>
  <si>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</si>
  <si>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</si>
  <si>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</si>
  <si>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</si>
  <si>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</si>
  <si>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</si>
  <si>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</si>
  <si>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</si>
  <si>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</si>
  <si>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</si>
  <si>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</si>
  <si>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</si>
  <si>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</si>
  <si>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</si>
  <si>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</si>
  <si>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</si>
  <si>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</si>
  <si>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</si>
  <si>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</si>
  <si>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</si>
  <si>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</si>
  <si>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</si>
  <si>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</si>
  <si>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</si>
  <si>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</si>
  <si>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</si>
  <si>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</si>
  <si>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</si>
  <si>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</si>
  <si>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</si>
  <si>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</si>
  <si>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</si>
  <si>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</si>
  <si>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</si>
  <si>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</si>
  <si>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</si>
  <si>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</si>
  <si>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</si>
  <si>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</si>
  <si>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</si>
  <si>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</si>
  <si>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</si>
  <si>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</si>
  <si>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</si>
  <si>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</si>
  <si>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</si>
  <si>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</si>
  <si>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</si>
  <si>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</si>
  <si>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</si>
  <si>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</si>
  <si>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</si>
  <si>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</si>
  <si>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</si>
  <si>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</si>
  <si>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</si>
  <si>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</si>
  <si>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</si>
  <si>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</si>
  <si>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</si>
  <si>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</si>
  <si>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</si>
  <si>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</si>
  <si>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</si>
  <si>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</si>
  <si>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</si>
  <si>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</si>
  <si>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</si>
  <si>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</si>
  <si>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</si>
  <si>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</si>
  <si>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</si>
  <si>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</si>
  <si>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</si>
  <si>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</si>
  <si>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</si>
  <si>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</si>
  <si>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</si>
  <si>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</si>
  <si>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</si>
  <si>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</si>
  <si>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</si>
  <si>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</si>
  <si>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</si>
  <si>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</si>
  <si>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</si>
  <si>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</si>
  <si>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</si>
  <si>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</si>
  <si>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</si>
  <si>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</si>
  <si>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</si>
  <si>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</si>
  <si>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</si>
  <si>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</si>
  <si>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</si>
  <si>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</si>
  <si>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</si>
  <si>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</si>
  <si>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</si>
  <si>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</si>
  <si>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</si>
  <si>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</si>
  <si>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</si>
  <si>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</si>
  <si>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</si>
  <si>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</si>
  <si>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</si>
  <si>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</si>
  <si>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</si>
  <si>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</si>
  <si>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</si>
  <si>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</si>
  <si>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</si>
  <si>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</si>
  <si>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</si>
  <si>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</si>
  <si>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</si>
  <si>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</si>
  <si>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</si>
  <si>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</si>
  <si>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</si>
  <si>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</si>
  <si>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</si>
  <si>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</si>
  <si>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</si>
  <si>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</si>
  <si>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</si>
  <si>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</si>
  <si>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</si>
  <si>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</si>
  <si>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</si>
  <si>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</si>
  <si>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</si>
  <si>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</si>
  <si>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</si>
  <si>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</si>
  <si>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</si>
  <si>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</si>
  <si>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</si>
  <si>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</si>
  <si>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</si>
  <si>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</si>
  <si>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</si>
  <si>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</si>
  <si>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</si>
  <si>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</si>
  <si>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</si>
  <si>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</si>
  <si>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</si>
  <si>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</si>
  <si>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</si>
  <si>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</si>
  <si>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</si>
  <si>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</si>
  <si>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</si>
  <si>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</si>
  <si>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</si>
  <si>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</si>
  <si>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</si>
  <si>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</si>
  <si>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</si>
  <si>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</si>
  <si>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</si>
  <si>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</si>
  <si>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</si>
  <si>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</si>
  <si>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</si>
  <si>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</si>
  <si>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</si>
  <si>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</si>
  <si>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</si>
  <si>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</si>
  <si>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</si>
  <si>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</si>
  <si>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</si>
  <si>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</si>
  <si>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</si>
  <si>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</si>
  <si>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</si>
  <si>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</si>
  <si>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</si>
  <si>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</si>
  <si>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</si>
  <si>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</si>
  <si>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</si>
  <si>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</si>
  <si>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</si>
  <si>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</si>
  <si>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</si>
  <si>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</si>
  <si>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</si>
  <si>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</si>
  <si>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</si>
  <si>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</si>
  <si>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</si>
  <si>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</si>
  <si>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</si>
  <si>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</si>
  <si>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</si>
  <si>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</si>
  <si>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</si>
  <si>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</si>
  <si>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</si>
  <si>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</si>
  <si>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</si>
  <si>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</si>
  <si>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</si>
  <si>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</si>
  <si>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</si>
  <si>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</si>
  <si>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</si>
  <si>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</si>
  <si>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</si>
  <si>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</si>
  <si>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</si>
  <si>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</si>
  <si>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</si>
  <si>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</si>
  <si>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</si>
  <si>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</si>
  <si>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</si>
  <si>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</si>
  <si>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</si>
  <si>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</si>
  <si>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</si>
  <si>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</si>
  <si>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</si>
  <si>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</si>
  <si>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</si>
  <si>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</si>
  <si>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</si>
  <si>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</si>
  <si>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</si>
  <si>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</si>
  <si>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</si>
  <si>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</si>
  <si>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</si>
  <si>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</si>
  <si>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</si>
  <si>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</si>
  <si>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</si>
  <si>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</si>
  <si>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</si>
  <si>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</si>
  <si>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</si>
  <si>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</si>
  <si>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</si>
  <si>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</si>
  <si>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</si>
  <si>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</si>
  <si>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</si>
  <si>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</si>
  <si>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</si>
  <si>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</si>
  <si>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</si>
  <si>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</si>
  <si>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</si>
  <si>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</si>
  <si>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</si>
  <si>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</si>
  <si>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</si>
  <si>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</si>
  <si>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</si>
  <si>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</si>
  <si>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</si>
  <si>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</si>
  <si>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</si>
  <si>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</si>
  <si>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</si>
  <si>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</si>
  <si>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</si>
  <si>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</si>
  <si>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</si>
  <si>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</si>
  <si>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</si>
  <si>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</si>
  <si>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</si>
  <si>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</si>
  <si>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</si>
  <si>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</si>
  <si>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</si>
  <si>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</si>
  <si>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</si>
  <si>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</si>
  <si>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</si>
  <si>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</si>
  <si>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</si>
  <si>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</si>
  <si>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</si>
  <si>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</si>
  <si>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</si>
  <si>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</si>
  <si>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</si>
  <si>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</si>
  <si>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</si>
  <si>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</si>
  <si>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</si>
  <si>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</si>
  <si>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</si>
  <si>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</si>
  <si>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</si>
  <si>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</si>
  <si>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</si>
  <si>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</si>
  <si>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</si>
  <si>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</si>
  <si>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</si>
  <si>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</si>
  <si>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</si>
  <si>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</si>
  <si>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</si>
  <si>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</si>
  <si>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</si>
  <si>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</si>
  <si>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</si>
  <si>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</si>
  <si>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</si>
  <si>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</si>
  <si>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</si>
  <si>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</si>
  <si>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</si>
  <si>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</si>
  <si>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</si>
  <si>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</si>
  <si>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</si>
  <si>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</si>
  <si>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</si>
  <si>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</si>
  <si>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</si>
  <si>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</si>
  <si>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</si>
  <si>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</si>
  <si>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</si>
  <si>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</si>
  <si>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</si>
  <si>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</si>
  <si>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</si>
  <si>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</si>
  <si>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</si>
  <si>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</si>
  <si>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</si>
  <si>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</si>
  <si>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</si>
  <si>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</si>
  <si>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</si>
  <si>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</si>
  <si>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</si>
  <si>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</si>
  <si>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</si>
  <si>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</si>
  <si>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</si>
  <si>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</si>
  <si>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</si>
  <si>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</si>
  <si>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</si>
  <si>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</si>
  <si>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</si>
  <si>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</si>
  <si>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</si>
  <si>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</si>
  <si>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</si>
  <si>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</si>
  <si>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</si>
  <si>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</si>
  <si>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</si>
  <si>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</si>
  <si>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</si>
  <si>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</si>
  <si>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</si>
  <si>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</si>
  <si>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</si>
  <si>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</si>
  <si>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</si>
  <si>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</si>
  <si>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</si>
  <si>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</si>
  <si>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</si>
  <si>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</si>
  <si>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</si>
  <si>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</si>
  <si>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</si>
  <si>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</si>
  <si>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</si>
  <si>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</si>
  <si>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</si>
  <si>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</si>
  <si>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</si>
  <si>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</si>
  <si>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</si>
  <si>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</si>
  <si>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</si>
  <si>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</si>
  <si>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</si>
  <si>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</si>
  <si>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</si>
  <si>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</si>
  <si>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</si>
  <si>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</si>
  <si>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</si>
  <si>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</si>
  <si>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</si>
  <si>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</si>
  <si>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</si>
  <si>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</si>
  <si>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</si>
  <si>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</si>
  <si>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</si>
  <si>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</si>
  <si>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</si>
  <si>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</si>
  <si>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</si>
  <si>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</si>
  <si>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</si>
  <si>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</si>
  <si>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</si>
  <si>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</si>
  <si>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</si>
  <si>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</si>
  <si>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</si>
  <si>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</si>
  <si>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</si>
  <si>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</si>
  <si>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</si>
  <si>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</si>
  <si>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</si>
  <si>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</si>
  <si>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</si>
  <si>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</si>
  <si>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</si>
  <si>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</si>
  <si>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</si>
  <si>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</si>
  <si>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</si>
  <si>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</si>
  <si>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</si>
  <si>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</si>
  <si>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</si>
  <si>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</si>
  <si>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</si>
  <si>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</si>
  <si>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</si>
  <si>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</si>
  <si>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</si>
  <si>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</si>
  <si>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</si>
  <si>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</si>
  <si>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</si>
  <si>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</si>
  <si>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</si>
  <si>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</si>
  <si>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</si>
  <si>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</si>
  <si>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</si>
  <si>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</si>
  <si>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</si>
  <si>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</si>
  <si>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</si>
  <si>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</si>
  <si>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</si>
  <si>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</si>
  <si>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</si>
  <si>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</si>
  <si>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</si>
  <si>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</si>
  <si>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</si>
  <si>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</si>
  <si>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</si>
  <si>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</si>
  <si>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</si>
  <si>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</si>
  <si>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</si>
  <si>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</si>
  <si>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</si>
  <si>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</si>
  <si>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</si>
  <si>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</si>
  <si>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</si>
  <si>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</si>
  <si>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</si>
  <si>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</si>
  <si>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</si>
  <si>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</si>
  <si>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</si>
  <si>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</si>
  <si>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</si>
  <si>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</si>
  <si>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</si>
  <si>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</si>
  <si>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</si>
  <si>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</si>
  <si>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</si>
  <si>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</si>
  <si>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</si>
  <si>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</si>
  <si>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</si>
  <si>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</si>
  <si>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</si>
  <si>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</si>
  <si>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</si>
  <si>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</si>
  <si>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</si>
  <si>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</si>
  <si>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</si>
  <si>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</si>
  <si>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</si>
  <si>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</si>
  <si>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</si>
  <si>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</si>
  <si>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</si>
  <si>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</si>
  <si>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</si>
  <si>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</si>
  <si>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</si>
  <si>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</si>
  <si>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</si>
  <si>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</si>
  <si>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</si>
  <si>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</si>
  <si>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</si>
  <si>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</si>
  <si>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</si>
  <si>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</si>
  <si>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</si>
  <si>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</si>
  <si>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</si>
  <si>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</si>
  <si>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</si>
  <si>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</si>
  <si>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</si>
  <si>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</si>
  <si>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</si>
  <si>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</si>
  <si>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</si>
  <si>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</si>
  <si>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</si>
  <si>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</si>
  <si>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</si>
  <si>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</si>
  <si>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</si>
  <si>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</si>
  <si>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</si>
  <si>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</si>
  <si>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</si>
  <si>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</si>
  <si>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</si>
  <si>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</si>
  <si>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</si>
  <si>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</si>
  <si>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</si>
  <si>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</si>
  <si>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</si>
  <si>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</si>
  <si>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</si>
  <si>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</si>
  <si>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</si>
  <si>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</si>
  <si>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</si>
  <si>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</si>
  <si>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</si>
  <si>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</si>
  <si>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</si>
  <si>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</si>
  <si>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</si>
  <si>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</si>
  <si>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</si>
  <si>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</si>
  <si>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</si>
  <si>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</si>
  <si>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</si>
  <si>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</si>
  <si>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</si>
  <si>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</si>
  <si>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</si>
  <si>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</si>
  <si>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</si>
  <si>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</si>
  <si>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</si>
  <si>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</si>
  <si>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</si>
  <si>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</si>
  <si>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</si>
  <si>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</si>
  <si>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</si>
  <si>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</si>
  <si>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</si>
  <si>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</si>
  <si>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</si>
  <si>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</si>
  <si>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</si>
  <si>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</si>
  <si>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</si>
  <si>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</si>
  <si>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</si>
  <si>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</si>
  <si>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</si>
  <si>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</si>
  <si>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</si>
  <si>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</si>
  <si>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</si>
  <si>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</si>
  <si>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</si>
  <si>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</si>
  <si>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</si>
  <si>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</si>
  <si>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</si>
  <si>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</si>
  <si>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</si>
  <si>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</si>
  <si>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</si>
  <si>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</si>
  <si>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</si>
  <si>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</si>
  <si>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</si>
  <si>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</si>
  <si>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</si>
  <si>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</si>
  <si>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</si>
  <si>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</si>
  <si>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</si>
  <si>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</si>
  <si>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</si>
  <si>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</si>
  <si>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</si>
  <si>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</si>
  <si>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</si>
  <si>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</si>
  <si>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</si>
  <si>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</si>
  <si>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</si>
  <si>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</si>
  <si>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</si>
  <si>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</si>
  <si>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</si>
  <si>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</si>
  <si>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</si>
  <si>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</si>
  <si>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</si>
  <si>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</si>
  <si>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</si>
  <si>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</si>
  <si>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</si>
  <si>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</si>
  <si>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</si>
  <si>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</si>
  <si>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</si>
  <si>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</si>
  <si>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</si>
  <si>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</si>
  <si>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</si>
  <si>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</si>
  <si>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</si>
  <si>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</si>
  <si>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</si>
  <si>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</si>
  <si>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</si>
  <si>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</si>
  <si>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</si>
  <si>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</si>
  <si>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</si>
  <si>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</si>
  <si>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</si>
  <si>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</si>
  <si>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</si>
  <si>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</si>
  <si>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</si>
  <si>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</si>
  <si>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</si>
  <si>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</si>
  <si>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</si>
  <si>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</si>
  <si>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</si>
  <si>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</si>
  <si>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</si>
  <si>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</si>
  <si>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</si>
  <si>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</si>
  <si>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</si>
  <si>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</si>
  <si>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</si>
  <si>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</si>
  <si>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</si>
  <si>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</si>
  <si>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</si>
  <si>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</si>
  <si>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</si>
  <si>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</si>
  <si>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</si>
  <si>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</si>
  <si>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</si>
  <si>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</si>
  <si>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</si>
  <si>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</si>
  <si>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</si>
  <si>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</si>
  <si>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</si>
  <si>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</si>
  <si>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</si>
  <si>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</si>
  <si>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</si>
  <si>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</si>
  <si>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</si>
  <si>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</si>
  <si>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</si>
  <si>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</si>
  <si>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</si>
  <si>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</si>
  <si>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</si>
  <si>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</si>
  <si>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</si>
  <si>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</si>
  <si>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</si>
  <si>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</si>
  <si>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</si>
  <si>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</si>
  <si>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</si>
  <si>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</si>
  <si>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</si>
  <si>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</si>
  <si>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</si>
  <si>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</si>
  <si>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</si>
  <si>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</si>
  <si>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</si>
  <si>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</si>
  <si>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</si>
  <si>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</si>
  <si>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</si>
  <si>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</si>
  <si>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</si>
  <si>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</si>
  <si>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</si>
  <si>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</si>
  <si>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</si>
  <si>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</si>
  <si>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</si>
  <si>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</si>
  <si>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</si>
  <si>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</si>
  <si>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</si>
  <si>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</si>
  <si>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</si>
  <si>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</si>
  <si>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</si>
  <si>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</si>
  <si>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</si>
  <si>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</si>
  <si>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</si>
  <si>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</si>
  <si>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</si>
  <si>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</si>
  <si>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</si>
  <si>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</si>
  <si>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</si>
  <si>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</si>
  <si>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</si>
  <si>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</si>
  <si>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</si>
  <si>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</si>
  <si>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</si>
  <si>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</si>
  <si>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</si>
  <si>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</si>
  <si>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</si>
  <si>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</si>
  <si>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</si>
  <si>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</si>
  <si>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</si>
  <si>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</si>
  <si>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</si>
  <si>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</si>
  <si>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</si>
  <si>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</si>
  <si>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</si>
  <si>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</si>
  <si>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</si>
  <si>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</si>
  <si>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</si>
  <si>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</si>
  <si>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</si>
  <si>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</si>
  <si>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</si>
  <si>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</si>
  <si>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</si>
  <si>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</si>
  <si>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</si>
  <si>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</si>
  <si>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</si>
  <si>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</si>
  <si>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</si>
  <si>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</si>
  <si>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</si>
  <si>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</si>
  <si>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</si>
  <si>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</si>
  <si>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</si>
  <si>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</si>
  <si>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</si>
  <si>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</si>
  <si>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</si>
  <si>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</si>
  <si>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</si>
  <si>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</si>
  <si>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</si>
  <si>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</si>
  <si>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</si>
  <si>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</si>
  <si>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</si>
  <si>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</si>
  <si>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</si>
  <si>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</si>
  <si>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</si>
  <si>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</si>
  <si>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</si>
  <si>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</si>
  <si>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</si>
  <si>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</si>
  <si>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</si>
  <si>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</si>
  <si>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</si>
  <si>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</si>
  <si>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</si>
  <si>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</si>
  <si>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</si>
  <si>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</si>
  <si>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</si>
  <si>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</si>
  <si>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</si>
  <si>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</si>
  <si>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</si>
  <si>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</si>
  <si>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</si>
  <si>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</si>
  <si>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</si>
  <si>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</si>
  <si>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</si>
  <si>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</si>
  <si>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</si>
  <si>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</si>
  <si>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</si>
  <si>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</si>
  <si>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</si>
  <si>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</si>
  <si>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</si>
  <si>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</si>
  <si>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</si>
  <si>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</si>
  <si>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</si>
  <si>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</si>
  <si>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</si>
  <si>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</si>
  <si>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</si>
  <si>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</si>
  <si>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</si>
  <si>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</si>
  <si>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</si>
  <si>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</si>
  <si>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</si>
  <si>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</si>
  <si>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</si>
  <si>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</si>
  <si>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</si>
  <si>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</si>
  <si>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</si>
  <si>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</si>
  <si>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</si>
  <si>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</si>
  <si>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</si>
  <si>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</si>
  <si>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</si>
  <si>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</si>
  <si>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</si>
  <si>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</si>
  <si>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</si>
  <si>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</si>
  <si>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</si>
  <si>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</si>
  <si>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</si>
  <si>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</si>
  <si>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</si>
  <si>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</si>
  <si>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</si>
  <si>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</si>
  <si>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</si>
  <si>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</si>
  <si>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</si>
  <si>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</si>
  <si>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</si>
  <si>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</si>
  <si>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</si>
  <si>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</si>
  <si>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</si>
  <si>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</si>
  <si>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</si>
  <si>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</si>
  <si>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</si>
  <si>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</si>
  <si>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</si>
  <si>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</si>
  <si>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</si>
  <si>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</si>
  <si>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</si>
  <si>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</si>
  <si>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</si>
  <si>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</si>
  <si>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</si>
  <si>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</si>
  <si>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</si>
  <si>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</si>
  <si>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</si>
  <si>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</si>
  <si>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</si>
  <si>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</si>
  <si>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</si>
  <si>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</si>
  <si>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</si>
  <si>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</si>
  <si>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</si>
  <si>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</si>
  <si>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</si>
  <si>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</si>
  <si>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</si>
  <si>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</si>
  <si>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</si>
  <si>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</si>
  <si>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</si>
  <si>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</si>
  <si>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</si>
  <si>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</si>
  <si>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</si>
  <si>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</si>
  <si>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</si>
  <si>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</si>
  <si>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</si>
  <si>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</si>
  <si>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</si>
  <si>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</si>
  <si>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</si>
  <si>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</si>
  <si>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</si>
  <si>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</si>
  <si>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</si>
  <si>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</si>
  <si>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</si>
  <si>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</si>
  <si>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</si>
  <si>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</si>
  <si>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</si>
  <si>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</si>
  <si>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</si>
  <si>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</si>
  <si>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</si>
  <si>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</si>
  <si>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</si>
  <si>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</si>
  <si>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</si>
  <si>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</si>
  <si>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</si>
  <si>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</si>
  <si>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</si>
  <si>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</si>
  <si>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</si>
  <si>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</si>
  <si>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</si>
  <si>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</si>
  <si>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</si>
  <si>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</si>
  <si>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</si>
  <si>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</si>
  <si>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</si>
  <si>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</si>
  <si>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</si>
  <si>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</si>
  <si>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</si>
  <si>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</si>
  <si>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</si>
  <si>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</si>
  <si>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</si>
  <si>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</si>
  <si>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</si>
  <si>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</si>
  <si>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</si>
  <si>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</si>
  <si>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</si>
  <si>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</si>
  <si>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</si>
  <si>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</si>
  <si>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</si>
  <si>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</si>
  <si>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</si>
  <si>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</si>
  <si>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</si>
  <si>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</si>
  <si>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</si>
  <si>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</si>
  <si>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</si>
  <si>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</si>
  <si>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</si>
  <si>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</si>
  <si>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</si>
  <si>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</si>
  <si>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</si>
  <si>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</si>
  <si>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</si>
  <si>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</si>
  <si>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</si>
  <si>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</si>
  <si>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</si>
  <si>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</si>
  <si>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</si>
  <si>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</si>
  <si>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</si>
  <si>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</si>
  <si>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</si>
  <si>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</si>
  <si>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</si>
  <si>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</si>
  <si>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</si>
  <si>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</si>
  <si>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</si>
  <si>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</si>
  <si>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</si>
  <si>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</si>
  <si>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</si>
  <si>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</si>
  <si>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</si>
  <si>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</si>
  <si>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</si>
  <si>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</si>
  <si>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</si>
  <si>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</si>
  <si>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</si>
  <si>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</si>
  <si>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</si>
  <si>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</si>
  <si>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</si>
  <si>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</si>
  <si>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</si>
  <si>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</si>
  <si>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</si>
  <si>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</si>
  <si>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</si>
  <si>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</si>
  <si>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</si>
  <si>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</si>
  <si>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</si>
  <si>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</si>
  <si>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</si>
  <si>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</si>
  <si>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</si>
  <si>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</si>
  <si>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</si>
  <si>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</si>
  <si>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</si>
  <si>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</si>
  <si>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</si>
  <si>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</si>
  <si>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</si>
  <si>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</si>
  <si>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</si>
  <si>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</si>
  <si>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</si>
  <si>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</si>
  <si>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</si>
  <si>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</si>
  <si>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</si>
  <si>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</si>
  <si>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</si>
  <si>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</si>
  <si>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</si>
  <si>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</si>
  <si>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</si>
  <si>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</si>
  <si>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</si>
  <si>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</si>
  <si>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</si>
  <si>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</si>
  <si>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</si>
  <si>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</si>
  <si>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</si>
  <si>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</si>
  <si>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</si>
  <si>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</si>
  <si>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</si>
  <si>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</si>
  <si>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</si>
  <si>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</si>
  <si>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</si>
  <si>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</si>
  <si>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</si>
  <si>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</si>
  <si>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</si>
  <si>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</si>
  <si>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</si>
  <si>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</si>
  <si>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</si>
  <si>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</si>
  <si>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</si>
  <si>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</si>
  <si>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</si>
  <si>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</si>
  <si>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</si>
  <si>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</si>
  <si>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</si>
  <si>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</si>
  <si>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</si>
  <si>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</si>
  <si>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</si>
  <si>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</si>
  <si>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</si>
  <si>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</si>
  <si>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</si>
  <si>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</si>
  <si>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</si>
  <si>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</si>
  <si>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</si>
  <si>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</si>
  <si>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</si>
  <si>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</si>
  <si>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</si>
  <si>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</si>
  <si>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</si>
  <si>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</si>
  <si>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</si>
  <si>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</si>
  <si>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</si>
  <si>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</si>
  <si>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</si>
  <si>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</si>
  <si>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</si>
  <si>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</si>
  <si>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</si>
  <si>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</si>
  <si>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</si>
  <si>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</si>
  <si>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</si>
  <si>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</si>
  <si>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</si>
  <si>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</si>
  <si>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</si>
  <si>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</si>
  <si>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</si>
  <si>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</si>
  <si>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</si>
  <si>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</si>
  <si>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</si>
  <si>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</si>
  <si>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</si>
  <si>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</si>
  <si>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</si>
  <si>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</si>
  <si>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</si>
  <si>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</si>
  <si>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</si>
  <si>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</si>
  <si>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</si>
  <si>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</si>
  <si>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</si>
  <si>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</si>
  <si>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</si>
  <si>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</si>
  <si>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</si>
  <si>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</si>
  <si>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</si>
  <si>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</si>
  <si>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</si>
  <si>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</si>
  <si>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</si>
  <si>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</si>
  <si>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</si>
  <si>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</si>
  <si>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</si>
  <si>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</si>
  <si>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</si>
  <si>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</si>
  <si>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</si>
  <si>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</si>
  <si>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</si>
  <si>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</si>
  <si>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</si>
  <si>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</si>
  <si>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</si>
  <si>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</si>
  <si>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</si>
  <si>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</si>
  <si>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</si>
  <si>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</si>
  <si>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</si>
  <si>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</si>
  <si>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</si>
  <si>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</si>
  <si>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</si>
  <si>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</si>
  <si>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</si>
  <si>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</si>
  <si>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</si>
  <si>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</si>
  <si>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</si>
  <si>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</si>
  <si>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</si>
  <si>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</si>
  <si>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</si>
  <si>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</si>
  <si>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</si>
  <si>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</si>
  <si>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</si>
  <si>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</si>
  <si>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</si>
  <si>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</si>
  <si>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</si>
  <si>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</si>
  <si>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</si>
  <si>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</si>
  <si>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</si>
  <si>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</si>
  <si>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</si>
  <si>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</si>
  <si>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</si>
  <si>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</si>
  <si>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</si>
  <si>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</si>
  <si>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</si>
  <si>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</si>
  <si>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</si>
  <si>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</si>
  <si>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</si>
  <si>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</si>
  <si>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</si>
  <si>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</si>
  <si>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</si>
  <si>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</si>
  <si>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</si>
  <si>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</si>
  <si>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</si>
  <si>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</si>
  <si>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</si>
  <si>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</si>
  <si>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</si>
  <si>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</si>
  <si>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</si>
  <si>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</si>
  <si>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</si>
  <si>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</si>
  <si>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</si>
  <si>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</si>
  <si>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</si>
  <si>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</si>
  <si>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</si>
  <si>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</si>
  <si>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</si>
  <si>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</si>
  <si>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</si>
  <si>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</si>
  <si>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</si>
  <si>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</si>
  <si>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</si>
  <si>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</si>
  <si>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</si>
  <si>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</si>
  <si>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</si>
  <si>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</si>
  <si>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</si>
  <si>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</si>
  <si>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</si>
  <si>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</si>
  <si>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</si>
  <si>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</si>
  <si>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</si>
  <si>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</si>
  <si>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</si>
  <si>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</si>
  <si>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</si>
  <si>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</si>
  <si>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</si>
  <si>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</si>
  <si>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</si>
  <si>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</si>
  <si>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</si>
  <si>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</si>
  <si>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</si>
  <si>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</si>
  <si>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</si>
  <si>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</si>
  <si>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</si>
  <si>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</si>
  <si>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</si>
  <si>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</si>
  <si>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</si>
  <si>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</si>
  <si>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</si>
  <si>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</si>
  <si>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</si>
  <si>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</si>
  <si>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</si>
  <si>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</si>
  <si>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</si>
  <si>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</si>
  <si>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</si>
  <si>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</si>
  <si>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</si>
  <si>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</si>
  <si>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</si>
  <si>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</si>
  <si>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</si>
  <si>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</si>
  <si>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</si>
  <si>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</si>
  <si>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</si>
  <si>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</si>
  <si>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</si>
  <si>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</si>
  <si>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</si>
  <si>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</si>
  <si>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</si>
  <si>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</si>
  <si>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</si>
  <si>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</si>
  <si>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</si>
  <si>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</si>
  <si>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</si>
  <si>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</si>
  <si>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</si>
  <si>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</si>
  <si>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</si>
  <si>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</si>
  <si>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</si>
  <si>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</si>
  <si>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</si>
  <si>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</si>
  <si>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</si>
  <si>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</si>
  <si>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</si>
  <si>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</si>
  <si>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</si>
  <si>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</si>
  <si>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</si>
  <si>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</si>
  <si>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</si>
  <si>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</si>
  <si>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</si>
  <si>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</si>
  <si>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</si>
  <si>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</si>
  <si>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</si>
  <si>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</si>
  <si>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</si>
  <si>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</si>
  <si>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</si>
  <si>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</si>
  <si>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</si>
  <si>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</si>
  <si>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</si>
  <si>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</si>
  <si>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</si>
  <si>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</si>
  <si>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</si>
  <si>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</si>
  <si>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</si>
  <si>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</si>
  <si>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</si>
  <si>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</si>
  <si>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</si>
  <si>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</si>
  <si>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</si>
  <si>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</si>
  <si>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</si>
  <si>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</si>
  <si>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</si>
  <si>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</si>
  <si>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</si>
  <si>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</si>
  <si>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</si>
  <si>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</si>
  <si>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</si>
  <si>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</si>
  <si>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</si>
  <si>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</si>
  <si>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</si>
  <si>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</si>
  <si>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</si>
  <si>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</si>
  <si>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</si>
  <si>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</si>
  <si>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</si>
  <si>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</si>
  <si>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</si>
  <si>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</si>
  <si>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</si>
  <si>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</si>
  <si>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</si>
  <si>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</si>
  <si>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</si>
  <si>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</si>
  <si>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</si>
  <si>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</si>
  <si>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</si>
  <si>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</si>
  <si>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</si>
  <si>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</si>
  <si>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</si>
  <si>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</si>
  <si>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</si>
  <si>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</si>
  <si>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</si>
  <si>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</si>
  <si>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</si>
  <si>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</si>
  <si>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</si>
  <si>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</si>
  <si>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</si>
  <si>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</si>
  <si>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</si>
  <si>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</si>
  <si>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</si>
  <si>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</si>
  <si>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</si>
  <si>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</si>
  <si>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</si>
  <si>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</si>
  <si>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</si>
  <si>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</si>
  <si>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</si>
  <si>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</si>
  <si>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</si>
  <si>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</si>
  <si>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</si>
  <si>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</si>
  <si>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</si>
  <si>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</si>
  <si>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</si>
  <si>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</si>
  <si>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</si>
  <si>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</si>
  <si>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</si>
  <si>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</si>
  <si>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</si>
  <si>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</si>
  <si>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</si>
  <si>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</si>
  <si>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</si>
  <si>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</si>
  <si>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</si>
  <si>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</si>
  <si>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</si>
  <si>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</si>
  <si>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</si>
  <si>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</si>
  <si>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</si>
  <si>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</si>
  <si>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</si>
  <si>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</si>
  <si>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</si>
  <si>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</si>
  <si>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</si>
  <si>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</si>
  <si>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</si>
  <si>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</si>
  <si>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</si>
  <si>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</si>
  <si>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</si>
  <si>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</si>
  <si>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</si>
  <si>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</si>
  <si>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</si>
  <si>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</si>
  <si>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</si>
  <si>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</si>
  <si>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</si>
  <si>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</si>
  <si>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</si>
  <si>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</si>
  <si>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</si>
  <si>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</si>
  <si>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</si>
  <si>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</si>
  <si>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</si>
  <si>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</si>
  <si>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</si>
  <si>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</si>
  <si>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</si>
  <si>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</si>
  <si>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</si>
  <si>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</si>
  <si>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</si>
  <si>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</si>
  <si>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</si>
  <si>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</si>
  <si>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</si>
  <si>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</si>
  <si>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</si>
  <si>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</si>
  <si>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</si>
  <si>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</si>
  <si>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</si>
  <si>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</si>
  <si>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</si>
  <si>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</si>
  <si>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</si>
  <si>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</si>
  <si>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</si>
  <si>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</si>
  <si>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</si>
  <si>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</si>
  <si>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</si>
  <si>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</si>
  <si>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</si>
  <si>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</si>
  <si>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</si>
  <si>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</si>
  <si>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</si>
  <si>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</si>
  <si>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</si>
  <si>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</si>
  <si>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</si>
  <si>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</si>
  <si>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</si>
  <si>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</si>
  <si>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</si>
  <si>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</si>
  <si>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</si>
  <si>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</si>
  <si>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</si>
  <si>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</si>
  <si>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</si>
  <si>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</si>
  <si>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</si>
  <si>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</si>
  <si>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</si>
  <si>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</si>
  <si>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</si>
  <si>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</si>
  <si>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</si>
  <si>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</si>
  <si>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</si>
  <si>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</si>
  <si>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</si>
  <si>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</si>
  <si>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</si>
  <si>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</si>
  <si>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</si>
  <si>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</si>
  <si>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</si>
  <si>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</si>
  <si>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</si>
  <si>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</si>
  <si>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</si>
  <si>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</si>
  <si>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</si>
  <si>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</si>
  <si>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</si>
  <si>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</si>
  <si>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</si>
  <si>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</si>
  <si>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</si>
  <si>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</si>
  <si>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</si>
  <si>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</si>
  <si>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</si>
  <si>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</si>
  <si>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</si>
  <si>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</si>
  <si>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</si>
  <si>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</si>
  <si>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</si>
  <si>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</si>
  <si>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</si>
  <si>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</si>
  <si>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</si>
  <si>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</si>
  <si>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</si>
  <si>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</si>
  <si>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</si>
  <si>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</si>
  <si>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</si>
  <si>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</si>
  <si>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</si>
  <si>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</si>
  <si>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</si>
  <si>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</si>
  <si>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</si>
  <si>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</si>
  <si>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</si>
  <si>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</si>
  <si>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</si>
  <si>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</si>
  <si>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</si>
  <si>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</si>
  <si>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</si>
  <si>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</si>
  <si>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</si>
  <si>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</si>
  <si>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</si>
  <si>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</si>
  <si>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</si>
  <si>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</si>
  <si>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</si>
  <si>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</si>
  <si>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</si>
  <si>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</si>
  <si>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</si>
  <si>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</si>
  <si>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</si>
  <si>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</si>
  <si>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</si>
  <si>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</si>
  <si>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</si>
  <si>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</si>
  <si>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</si>
  <si>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</si>
  <si>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</si>
  <si>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</si>
  <si>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</si>
  <si>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</si>
  <si>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</si>
  <si>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</si>
  <si>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</si>
  <si>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</si>
  <si>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</si>
  <si>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</si>
  <si>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</si>
  <si>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</si>
  <si>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</si>
  <si>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</si>
  <si>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</si>
  <si>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</si>
  <si>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</si>
  <si>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</si>
  <si>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</si>
  <si>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</si>
  <si>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</si>
  <si>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</si>
  <si>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</si>
  <si>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</si>
  <si>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</si>
  <si>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</si>
  <si>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</si>
  <si>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</si>
  <si>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</si>
  <si>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</si>
  <si>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</si>
  <si>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</si>
  <si>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</si>
  <si>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</si>
  <si>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</si>
  <si>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</si>
  <si>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</si>
  <si>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</si>
  <si>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</si>
  <si>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</si>
  <si>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</si>
  <si>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</si>
  <si>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</si>
  <si>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</si>
  <si>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</si>
  <si>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</si>
  <si>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</si>
  <si>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</si>
  <si>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</si>
  <si>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</si>
  <si>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</si>
  <si>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</si>
  <si>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</si>
  <si>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</si>
  <si>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</si>
  <si>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</si>
  <si>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</si>
  <si>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</si>
  <si>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</si>
  <si>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</si>
  <si>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</si>
  <si>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</si>
  <si>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</si>
  <si>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</si>
  <si>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</si>
  <si>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</si>
  <si>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</si>
  <si>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</si>
  <si>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</si>
  <si>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</si>
  <si>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</si>
  <si>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</si>
  <si>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</si>
  <si>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</si>
  <si>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</si>
  <si>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</si>
  <si>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</si>
  <si>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</si>
  <si>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</si>
  <si>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</si>
  <si>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</si>
  <si>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</si>
  <si>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</si>
  <si>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</si>
  <si>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</si>
  <si>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</si>
  <si>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</si>
  <si>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</si>
  <si>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</si>
  <si>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</si>
  <si>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</si>
  <si>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</si>
  <si>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</si>
  <si>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</si>
  <si>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</si>
  <si>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</si>
  <si>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</si>
  <si>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</si>
  <si>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</si>
  <si>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</si>
  <si>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</si>
  <si>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</si>
  <si>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</si>
  <si>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</si>
  <si>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</si>
  <si>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</si>
  <si>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</si>
  <si>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</si>
  <si>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</si>
  <si>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</si>
  <si>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</si>
  <si>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</si>
  <si>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</si>
  <si>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</si>
  <si>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</si>
  <si>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</si>
  <si>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</si>
  <si>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</si>
  <si>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</si>
  <si>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</si>
  <si>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</si>
  <si>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</si>
  <si>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</si>
  <si>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</si>
  <si>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</si>
  <si>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</si>
  <si>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</si>
  <si>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</si>
  <si>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</si>
  <si>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</si>
  <si>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</si>
  <si>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</si>
  <si>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</si>
  <si>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</si>
  <si>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</si>
  <si>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</si>
  <si>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</si>
  <si>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</si>
  <si>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</si>
  <si>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</si>
  <si>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</si>
  <si>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</si>
  <si>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</si>
  <si>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</si>
  <si>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</si>
  <si>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</si>
  <si>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</si>
  <si>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</si>
  <si>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</si>
  <si>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</si>
  <si>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</si>
  <si>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</si>
  <si>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</si>
  <si>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</si>
  <si>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</si>
  <si>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</si>
  <si>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</si>
  <si>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</si>
  <si>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</si>
  <si>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</si>
  <si>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</si>
  <si>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</si>
  <si>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</si>
  <si>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</si>
  <si>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</si>
  <si>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</si>
  <si>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</si>
  <si>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</si>
  <si>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</si>
  <si>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</si>
  <si>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</si>
  <si>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</si>
  <si>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</si>
  <si>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</si>
  <si>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</si>
  <si>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</si>
  <si>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</si>
  <si>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</si>
  <si>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</si>
  <si>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</si>
  <si>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</si>
  <si>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</si>
  <si>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</si>
  <si>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</si>
  <si>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</si>
  <si>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</si>
  <si>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</si>
  <si>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</si>
  <si>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</si>
  <si>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</si>
  <si>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</si>
  <si>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</si>
  <si>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</si>
  <si>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</si>
  <si>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</si>
  <si>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</si>
  <si>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</si>
  <si>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</si>
  <si>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</si>
  <si>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</si>
  <si>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</si>
  <si>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</si>
  <si>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</si>
  <si>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</si>
  <si>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</si>
  <si>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</si>
  <si>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</si>
  <si>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</si>
  <si>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</si>
  <si>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</si>
  <si>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</si>
  <si>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</si>
  <si>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</si>
  <si>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</si>
  <si>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</si>
  <si>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</si>
  <si>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</si>
  <si>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</si>
  <si>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</si>
  <si>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</si>
  <si>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</si>
  <si>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</si>
  <si>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</si>
  <si>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</si>
  <si>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</si>
  <si>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</si>
  <si>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</si>
  <si>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</si>
  <si>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</si>
  <si>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</si>
  <si>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</si>
  <si>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</si>
  <si>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</si>
  <si>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</si>
  <si>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</si>
  <si>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</si>
  <si>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</si>
  <si>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</si>
  <si>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</si>
  <si>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</si>
  <si>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</si>
  <si>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</si>
  <si>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</si>
  <si>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</si>
  <si>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</si>
  <si>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</si>
  <si>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</si>
  <si>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</si>
  <si>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</si>
  <si>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</si>
  <si>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</si>
  <si>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</si>
  <si>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</si>
  <si>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</si>
  <si>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</si>
  <si>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</si>
  <si>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</si>
  <si>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</si>
  <si>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</si>
  <si>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</si>
  <si>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</si>
  <si>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</si>
  <si>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</si>
  <si>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</si>
  <si>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</si>
  <si>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</si>
  <si>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</si>
  <si>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</si>
  <si>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</si>
  <si>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</si>
  <si>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</si>
  <si>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</si>
  <si>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</si>
  <si>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</si>
  <si>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</si>
  <si>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</si>
  <si>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</si>
  <si>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</si>
  <si>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</si>
  <si>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</si>
  <si>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</si>
  <si>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</si>
  <si>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</si>
  <si>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</si>
  <si>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</si>
  <si>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</si>
  <si>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</si>
  <si>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</si>
  <si>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</si>
  <si>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</si>
  <si>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</si>
  <si>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</si>
  <si>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</si>
  <si>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</si>
  <si>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</si>
  <si>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</si>
  <si>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</si>
  <si>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</si>
  <si>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</si>
  <si>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</si>
  <si>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</si>
  <si>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</si>
  <si>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</si>
  <si>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</si>
  <si>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</si>
  <si>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</si>
  <si>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</si>
  <si>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</si>
  <si>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</si>
  <si>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</si>
  <si>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</si>
  <si>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</si>
  <si>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</si>
  <si>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</si>
  <si>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</si>
  <si>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</si>
  <si>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</si>
  <si>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</si>
  <si>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</si>
  <si>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</si>
  <si>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</si>
  <si>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</si>
  <si>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</si>
  <si>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</si>
  <si>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</si>
  <si>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</si>
  <si>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</si>
  <si>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</si>
  <si>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</si>
  <si>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</si>
  <si>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</si>
  <si>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</si>
  <si>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</si>
  <si>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</si>
  <si>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</si>
  <si>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</si>
  <si>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</si>
  <si>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</si>
  <si>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</si>
  <si>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</si>
  <si>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</si>
  <si>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</si>
  <si>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</si>
  <si>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</si>
  <si>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</si>
  <si>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</si>
  <si>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</si>
  <si>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</si>
  <si>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</si>
  <si>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</si>
  <si>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</si>
  <si>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</si>
  <si>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</si>
  <si>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</si>
  <si>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</si>
  <si>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</si>
  <si>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</si>
  <si>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</si>
  <si>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</si>
  <si>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</si>
  <si>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</si>
  <si>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</si>
  <si>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</si>
  <si>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</si>
  <si>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</si>
  <si>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</si>
  <si>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</si>
  <si>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</si>
  <si>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</si>
  <si>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</si>
  <si>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</si>
  <si>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</si>
  <si>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</si>
  <si>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</si>
  <si>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</si>
  <si>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</si>
  <si>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</si>
  <si>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</si>
  <si>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</si>
  <si>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</si>
  <si>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</si>
  <si>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</si>
  <si>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</si>
  <si>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</si>
  <si>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</si>
  <si>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</si>
  <si>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</si>
  <si>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</si>
  <si>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</si>
  <si>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</si>
  <si>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</si>
  <si>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</si>
  <si>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</si>
  <si>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</si>
  <si>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</si>
  <si>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</si>
  <si>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</si>
  <si>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</si>
  <si>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</si>
  <si>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</si>
  <si>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</si>
  <si>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</si>
  <si>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</si>
  <si>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</si>
  <si>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</si>
  <si>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</si>
  <si>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</si>
  <si>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</si>
  <si>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</si>
  <si>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</si>
  <si>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</si>
  <si>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</si>
  <si>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</si>
  <si>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</si>
  <si>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</si>
  <si>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</si>
  <si>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</si>
  <si>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</si>
  <si>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</si>
  <si>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</si>
  <si>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</si>
  <si>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</si>
  <si>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</si>
  <si>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</si>
  <si>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</si>
  <si>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</si>
  <si>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</si>
  <si>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</si>
  <si>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</si>
  <si>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</si>
  <si>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</si>
  <si>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</si>
  <si>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</si>
  <si>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</si>
  <si>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</si>
  <si>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</si>
  <si>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</si>
  <si>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</si>
  <si>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</si>
  <si>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</si>
  <si>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</si>
  <si>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</si>
  <si>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</si>
  <si>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</si>
  <si>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</si>
  <si>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</si>
  <si>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</si>
  <si>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</si>
  <si>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</si>
  <si>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</si>
  <si>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</si>
  <si>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</si>
  <si>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</si>
  <si>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</si>
  <si>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</si>
  <si>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</si>
  <si>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</si>
  <si>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</si>
  <si>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</si>
  <si>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</si>
  <si>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</si>
  <si>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</si>
  <si>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</si>
  <si>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</si>
  <si>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</si>
  <si>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</si>
  <si>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</si>
  <si>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</si>
  <si>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</si>
  <si>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</si>
  <si>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</si>
  <si>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</si>
  <si>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</si>
  <si>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</si>
  <si>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</si>
  <si>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</si>
  <si>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</si>
  <si>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</si>
  <si>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</si>
  <si>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</si>
  <si>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</si>
  <si>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</si>
  <si>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</si>
  <si>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</si>
  <si>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</si>
  <si>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</si>
  <si>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</si>
  <si>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</si>
  <si>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</si>
  <si>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</si>
  <si>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</si>
  <si>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</si>
  <si>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</si>
  <si>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</si>
  <si>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</si>
  <si>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</si>
  <si>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</si>
  <si>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</si>
  <si>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</si>
  <si>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</si>
  <si>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</si>
  <si>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</si>
  <si>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</si>
  <si>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</si>
  <si>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</si>
  <si>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</si>
  <si>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</si>
  <si>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</si>
  <si>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</si>
  <si>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</si>
  <si>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</si>
  <si>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</si>
  <si>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</si>
  <si>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</si>
  <si>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</si>
  <si>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</si>
  <si>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</si>
  <si>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</si>
  <si>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</si>
  <si>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</si>
  <si>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</si>
  <si>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</si>
  <si>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</si>
  <si>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</si>
  <si>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</si>
  <si>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</si>
  <si>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</si>
  <si>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</si>
  <si>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</si>
  <si>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</si>
  <si>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</si>
  <si>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</si>
  <si>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</si>
  <si>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</si>
  <si>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</si>
  <si>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</si>
  <si>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</si>
  <si>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</si>
  <si>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</si>
  <si>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</si>
  <si>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</si>
  <si>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</si>
  <si>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</si>
  <si>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</si>
  <si>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</si>
  <si>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</si>
  <si>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</si>
  <si>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</si>
  <si>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</si>
  <si>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</si>
  <si>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</si>
  <si>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</si>
  <si>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</si>
  <si>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</si>
  <si>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</si>
  <si>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</si>
  <si>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</si>
  <si>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</si>
  <si>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</si>
  <si>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</si>
  <si>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</si>
  <si>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</si>
  <si>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</si>
  <si>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</si>
  <si>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</si>
  <si>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</si>
  <si>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</si>
  <si>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</si>
  <si>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</si>
  <si>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</si>
  <si>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</si>
  <si>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</si>
  <si>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</si>
  <si>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</si>
  <si>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</si>
  <si>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</si>
  <si>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</si>
  <si>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</si>
  <si>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</si>
  <si>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</si>
  <si>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</si>
  <si>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</si>
  <si>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</si>
  <si>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</si>
  <si>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</si>
  <si>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</si>
  <si>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</si>
  <si>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</si>
  <si>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</si>
  <si>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</si>
  <si>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</si>
  <si>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</si>
  <si>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</si>
  <si>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</si>
  <si>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</si>
  <si>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</si>
  <si>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</si>
  <si>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</si>
  <si>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</si>
  <si>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</si>
  <si>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</si>
  <si>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</si>
  <si>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</si>
  <si>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</si>
  <si>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</si>
  <si>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</si>
  <si>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</si>
  <si>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</si>
  <si>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</si>
  <si>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</si>
  <si>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</si>
  <si>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</si>
  <si>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</si>
  <si>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</si>
  <si>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</si>
  <si>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</si>
  <si>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</si>
  <si>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</si>
  <si>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</si>
  <si>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</si>
  <si>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</si>
  <si>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</si>
  <si>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</si>
  <si>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</si>
  <si>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</si>
  <si>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</si>
  <si>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</si>
  <si>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</si>
  <si>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</si>
  <si>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</si>
  <si>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</si>
  <si>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</si>
  <si>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</si>
  <si>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</si>
  <si>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</si>
  <si>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</si>
  <si>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</si>
  <si>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</si>
  <si>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</si>
  <si>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</si>
  <si>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</si>
  <si>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</si>
  <si>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</si>
  <si>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</si>
  <si>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</si>
  <si>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</si>
  <si>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</si>
  <si>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</si>
  <si>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</si>
  <si>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</si>
  <si>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</si>
  <si>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</si>
  <si>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</si>
  <si>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</si>
  <si>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</si>
  <si>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</si>
  <si>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</si>
  <si>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</si>
  <si>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</si>
  <si>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</si>
  <si>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</si>
  <si>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</si>
  <si>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</si>
  <si>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</si>
  <si>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</si>
  <si>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</si>
  <si>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</si>
  <si>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</si>
  <si>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</si>
  <si>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</si>
  <si>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</si>
  <si>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</si>
  <si>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</si>
  <si>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</si>
  <si>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</si>
  <si>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</si>
  <si>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</si>
  <si>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</si>
  <si>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</si>
  <si>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</si>
  <si>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</si>
  <si>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</si>
  <si>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</si>
  <si>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</si>
  <si>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</si>
  <si>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</si>
  <si>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</si>
  <si>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</si>
  <si>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</si>
  <si>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</si>
  <si>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</si>
  <si>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</si>
  <si>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</si>
  <si>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</si>
  <si>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</si>
  <si>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</si>
  <si>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</si>
  <si>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</si>
  <si>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</si>
  <si>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</si>
  <si>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</si>
  <si>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</si>
  <si>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</si>
  <si>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</si>
  <si>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</si>
  <si>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</si>
  <si>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</si>
  <si>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</si>
  <si>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</si>
  <si>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</si>
  <si>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</si>
  <si>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</si>
  <si>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</si>
  <si>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</si>
  <si>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</si>
  <si>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</si>
  <si>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</si>
  <si>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</si>
  <si>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</si>
  <si>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</si>
  <si>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</si>
  <si>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</si>
  <si>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</si>
  <si>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</si>
  <si>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</si>
  <si>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</si>
  <si>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</si>
  <si>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</si>
  <si>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</si>
  <si>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</si>
  <si>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</si>
  <si>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</si>
  <si>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</si>
  <si>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</si>
  <si>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</si>
  <si>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</si>
  <si>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</si>
  <si>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</si>
  <si>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</si>
  <si>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</si>
  <si>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</si>
  <si>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</si>
  <si>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</si>
  <si>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</si>
  <si>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</si>
  <si>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</si>
  <si>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</si>
  <si>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</si>
  <si>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</si>
  <si>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</si>
  <si>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</si>
  <si>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</si>
  <si>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</si>
  <si>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</si>
  <si>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</si>
  <si>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</si>
  <si>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</si>
  <si>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</si>
  <si>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</si>
  <si>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</si>
  <si>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</si>
  <si>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</si>
  <si>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</si>
  <si>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</si>
  <si>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</si>
  <si>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</si>
  <si>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</si>
  <si>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</si>
  <si>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</si>
  <si>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</si>
  <si>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</si>
  <si>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</si>
  <si>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</si>
  <si>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</si>
  <si>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</si>
  <si>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</si>
  <si>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</si>
  <si>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</si>
  <si>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</si>
  <si>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</si>
  <si>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</si>
  <si>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</si>
  <si>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</si>
  <si>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</si>
  <si>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</si>
  <si>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</si>
  <si>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</si>
  <si>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</si>
  <si>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</si>
  <si>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</si>
  <si>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</si>
  <si>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</si>
  <si>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</si>
  <si>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</si>
  <si>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</si>
  <si>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</si>
  <si>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</si>
  <si>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</si>
  <si>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</si>
  <si>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</si>
  <si>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</si>
  <si>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</si>
  <si>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</si>
  <si>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</si>
  <si>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</si>
  <si>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</si>
  <si>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</si>
  <si>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</si>
  <si>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</si>
  <si>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</si>
  <si>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</si>
  <si>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</si>
  <si>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</si>
  <si>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</si>
  <si>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</si>
  <si>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</si>
  <si>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</si>
  <si>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</si>
  <si>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</si>
  <si>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</si>
  <si>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</si>
  <si>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</si>
  <si>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</si>
  <si>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</si>
  <si>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</si>
  <si>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</si>
  <si>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</si>
  <si>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</si>
  <si>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</si>
  <si>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</si>
  <si>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</si>
  <si>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</si>
  <si>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</si>
  <si>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</si>
  <si>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</si>
  <si>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</si>
  <si>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</si>
  <si>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</si>
  <si>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</si>
  <si>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</si>
  <si>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</si>
  <si>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</si>
  <si>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</si>
  <si>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</si>
  <si>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</si>
  <si>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</si>
  <si>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</si>
  <si>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</si>
  <si>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</si>
  <si>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</si>
  <si>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</si>
  <si>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</si>
  <si>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</si>
  <si>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</si>
  <si>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</si>
  <si>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</si>
  <si>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</si>
  <si>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</si>
  <si>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</si>
  <si>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</si>
  <si>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</si>
  <si>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</si>
  <si>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</si>
  <si>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</si>
  <si>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</si>
  <si>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</si>
  <si>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</si>
  <si>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</si>
  <si>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</si>
  <si>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</si>
  <si>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</si>
  <si>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</si>
  <si>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</si>
  <si>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</si>
  <si>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</si>
  <si>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</si>
  <si>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</si>
  <si>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</si>
  <si>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</si>
  <si>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</si>
  <si>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</si>
  <si>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</si>
  <si>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</si>
  <si>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</si>
  <si>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</si>
  <si>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</si>
  <si>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</si>
  <si>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</si>
  <si>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</si>
  <si>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</si>
  <si>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</si>
  <si>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</si>
  <si>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</si>
  <si>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</si>
  <si>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</si>
  <si>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</si>
  <si>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</si>
  <si>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</si>
  <si>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</si>
  <si>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</si>
  <si>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</si>
  <si>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</si>
  <si>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</si>
  <si>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</si>
  <si>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</si>
  <si>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</si>
  <si>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</si>
  <si>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</si>
  <si>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</si>
  <si>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</si>
  <si>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</si>
  <si>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</si>
  <si>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</si>
  <si>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</si>
  <si>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</si>
  <si>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</si>
  <si>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</si>
  <si>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</si>
  <si>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</si>
  <si>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</si>
  <si>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</si>
  <si>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</si>
  <si>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</si>
  <si>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</si>
  <si>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</si>
  <si>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</si>
  <si>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</si>
  <si>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</si>
  <si>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</si>
  <si>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</si>
  <si>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</si>
  <si>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</si>
  <si>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</si>
  <si>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</si>
  <si>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</si>
  <si>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</si>
  <si>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</si>
  <si>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</si>
  <si>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</si>
  <si>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</si>
  <si>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</si>
  <si>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</si>
  <si>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</si>
  <si>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</si>
  <si>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</si>
  <si>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</si>
  <si>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</si>
  <si>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</si>
  <si>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</si>
  <si>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</si>
  <si>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</si>
  <si>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</si>
  <si>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</si>
  <si>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</si>
  <si>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</si>
  <si>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</si>
  <si>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</si>
  <si>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</si>
  <si>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</si>
  <si>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</si>
  <si>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</si>
  <si>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</si>
  <si>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</si>
  <si>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</si>
  <si>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</si>
  <si>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</si>
  <si>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</si>
  <si>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</si>
  <si>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</si>
  <si>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</si>
  <si>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</si>
  <si>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</si>
  <si>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</si>
  <si>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</si>
  <si>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</si>
  <si>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</si>
  <si>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</si>
  <si>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</si>
  <si>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</si>
  <si>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</si>
  <si>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</si>
  <si>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</si>
  <si>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</si>
  <si>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</si>
  <si>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</si>
  <si>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</si>
  <si>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</si>
  <si>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</si>
  <si>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</si>
  <si>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</si>
  <si>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</si>
  <si>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</si>
  <si>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</si>
  <si>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</si>
  <si>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</si>
  <si>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</si>
  <si>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</si>
  <si>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</si>
  <si>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</si>
  <si>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</si>
  <si>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</si>
  <si>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</si>
  <si>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</si>
  <si>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</si>
  <si>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</si>
  <si>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</si>
  <si>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</si>
  <si>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</si>
  <si>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</si>
  <si>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</si>
  <si>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</si>
  <si>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</si>
  <si>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</si>
  <si>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</si>
  <si>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</si>
  <si>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</si>
  <si>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</si>
  <si>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</si>
  <si>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</si>
  <si>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</si>
  <si>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</si>
  <si>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</si>
  <si>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</si>
  <si>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</si>
  <si>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</si>
  <si>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</si>
  <si>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</si>
  <si>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</si>
  <si>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</si>
  <si>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</si>
  <si>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</si>
  <si>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</si>
  <si>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</si>
  <si>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</si>
  <si>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</si>
  <si>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</si>
  <si>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</si>
  <si>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</si>
  <si>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</si>
  <si>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</si>
  <si>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</si>
  <si>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</si>
  <si>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</si>
  <si>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</si>
  <si>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</si>
  <si>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</si>
  <si>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</si>
  <si>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</si>
  <si>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</si>
  <si>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</si>
  <si>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</si>
  <si>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</si>
  <si>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</si>
  <si>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</si>
  <si>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</si>
  <si>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</si>
  <si>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</si>
  <si>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</si>
  <si>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</si>
  <si>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</si>
  <si>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</si>
  <si>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</si>
  <si>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</si>
  <si>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</si>
  <si>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</si>
  <si>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</si>
  <si>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</si>
  <si>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</si>
  <si>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</si>
  <si>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</si>
  <si>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</si>
  <si>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</si>
  <si>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</si>
  <si>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</si>
  <si>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</si>
  <si>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</si>
  <si>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</si>
  <si>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</si>
  <si>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</si>
  <si>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</si>
  <si>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</si>
  <si>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</si>
  <si>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</si>
  <si>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</si>
  <si>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</si>
  <si>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</si>
  <si>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</si>
  <si>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</si>
  <si>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</si>
  <si>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</si>
  <si>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</si>
  <si>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</si>
  <si>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</si>
  <si>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</si>
  <si>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</si>
  <si>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</si>
  <si>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</si>
  <si>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</si>
  <si>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</si>
  <si>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</si>
  <si>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</si>
  <si>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</si>
  <si>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</si>
  <si>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</si>
  <si>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</si>
  <si>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</si>
  <si>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</si>
  <si>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</si>
  <si>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</si>
  <si>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</si>
  <si>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</si>
  <si>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</si>
  <si>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</si>
  <si>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</si>
  <si>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</si>
  <si>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</si>
  <si>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</si>
  <si>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</si>
  <si>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</si>
  <si>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</si>
  <si>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</si>
  <si>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</si>
  <si>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</si>
  <si>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</si>
  <si>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</si>
  <si>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</si>
  <si>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</si>
  <si>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</si>
  <si>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</si>
  <si>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</si>
  <si>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</si>
  <si>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</si>
  <si>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</si>
  <si>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</si>
  <si>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</si>
  <si>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</si>
  <si>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</si>
  <si>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</si>
  <si>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</si>
  <si>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</si>
  <si>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</si>
  <si>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</si>
  <si>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</si>
  <si>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</si>
  <si>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</si>
  <si>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</si>
  <si>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</si>
  <si>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</si>
  <si>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</si>
  <si>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</si>
  <si>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</si>
  <si>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</si>
  <si>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</si>
  <si>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</si>
  <si>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</si>
  <si>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</si>
  <si>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</si>
  <si>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</si>
  <si>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</si>
  <si>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</si>
  <si>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</si>
  <si>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</si>
  <si>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</si>
  <si>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</si>
  <si>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</si>
  <si>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</si>
  <si>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</si>
  <si>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</si>
  <si>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</si>
  <si>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</si>
  <si>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</si>
  <si>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</si>
  <si>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</si>
  <si>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</si>
  <si>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</si>
  <si>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</si>
  <si>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</si>
  <si>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</si>
  <si>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</si>
  <si>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</si>
  <si>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</si>
  <si>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</si>
  <si>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</si>
  <si>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</si>
  <si>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</si>
  <si>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</si>
  <si>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</si>
  <si>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</si>
  <si>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</si>
  <si>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</si>
  <si>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</si>
  <si>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</si>
  <si>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</si>
  <si>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</si>
  <si>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</si>
  <si>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</si>
  <si>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</si>
  <si>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</si>
  <si>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</si>
  <si>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</si>
  <si>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</si>
  <si>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</si>
  <si>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</si>
  <si>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</si>
  <si>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</si>
  <si>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</si>
  <si>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</si>
  <si>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</si>
  <si>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</si>
  <si>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</si>
  <si>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</si>
  <si>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</si>
  <si>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</si>
  <si>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</si>
  <si>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</si>
  <si>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</si>
  <si>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</si>
  <si>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</si>
  <si>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</si>
  <si>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</si>
  <si>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</si>
  <si>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</si>
  <si>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</si>
  <si>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</si>
  <si>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</si>
  <si>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</si>
  <si>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</si>
  <si>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</si>
  <si>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</si>
  <si>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</si>
  <si>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</si>
  <si>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</si>
  <si>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</si>
  <si>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</si>
  <si>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</si>
  <si>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</si>
  <si>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</si>
  <si>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</si>
  <si>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</si>
  <si>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</si>
  <si>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</si>
  <si>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</si>
  <si>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</si>
  <si>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</si>
  <si>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</si>
  <si>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</si>
  <si>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</si>
  <si>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</si>
  <si>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</si>
  <si>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</si>
  <si>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</si>
  <si>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</si>
  <si>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</si>
  <si>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</si>
  <si>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</si>
  <si>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</si>
  <si>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</si>
  <si>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</si>
  <si>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</si>
  <si>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</si>
  <si>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</si>
  <si>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</si>
  <si>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</si>
  <si>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</si>
  <si>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</si>
  <si>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</si>
  <si>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</si>
  <si>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</si>
  <si>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</si>
  <si>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</si>
  <si>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</si>
  <si>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</si>
  <si>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</si>
  <si>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</si>
  <si>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</si>
  <si>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</si>
  <si>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</si>
  <si>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</si>
  <si>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</si>
  <si>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</si>
  <si>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</si>
  <si>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</si>
  <si>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</si>
  <si>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</si>
  <si>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</si>
  <si>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</si>
  <si>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</si>
  <si>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</si>
  <si>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</si>
  <si>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</si>
  <si>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</si>
  <si>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</si>
  <si>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</si>
  <si>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</si>
  <si>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</si>
  <si>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</si>
  <si>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</si>
  <si>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</si>
  <si>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</si>
  <si>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</si>
  <si>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</si>
  <si>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</si>
  <si>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</si>
  <si>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</si>
  <si>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</si>
  <si>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</si>
  <si>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</si>
  <si>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</si>
  <si>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</si>
  <si>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</si>
  <si>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</si>
  <si>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</si>
  <si>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</si>
  <si>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</si>
  <si>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</si>
  <si>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</si>
  <si>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</si>
  <si>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</si>
  <si>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</si>
  <si>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</si>
  <si>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</si>
  <si>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</si>
  <si>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</si>
  <si>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</si>
  <si>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</si>
  <si>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</si>
  <si>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</si>
  <si>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</si>
  <si>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</si>
  <si>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</si>
  <si>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</si>
  <si>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</si>
  <si>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</si>
  <si>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</si>
  <si>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</si>
  <si>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</si>
  <si>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</si>
  <si>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</si>
  <si>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</si>
  <si>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</si>
  <si>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</si>
  <si>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</si>
  <si>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</si>
  <si>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</si>
  <si>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</si>
  <si>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</si>
  <si>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</si>
  <si>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</si>
  <si>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</si>
  <si>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</si>
  <si>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</si>
  <si>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</si>
  <si>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</si>
  <si>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</si>
  <si>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</si>
  <si>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</si>
  <si>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</si>
  <si>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</si>
  <si>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</si>
  <si>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</si>
  <si>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</si>
  <si>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</si>
  <si>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</si>
  <si>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</si>
  <si>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</si>
  <si>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</si>
  <si>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</si>
  <si>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</si>
  <si>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</si>
  <si>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</si>
  <si>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</si>
  <si>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</si>
  <si>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</si>
  <si>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</si>
  <si>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</si>
  <si>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</si>
  <si>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</si>
  <si>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</si>
  <si>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</si>
  <si>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</si>
  <si>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</si>
  <si>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</si>
  <si>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</si>
  <si>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</si>
  <si>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</si>
  <si>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</si>
  <si>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</si>
  <si>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</si>
  <si>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</si>
  <si>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</si>
  <si>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</si>
  <si>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</si>
  <si>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</si>
  <si>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</si>
  <si>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</si>
  <si>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</si>
  <si>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</si>
  <si>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</si>
  <si>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</si>
  <si>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</si>
  <si>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</si>
  <si>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</si>
  <si>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</si>
  <si>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</si>
  <si>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</si>
  <si>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</si>
  <si>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</si>
  <si>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</si>
  <si>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</si>
  <si>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</si>
  <si>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</si>
  <si>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</si>
  <si>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</si>
  <si>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</si>
  <si>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</si>
  <si>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</si>
  <si>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</si>
  <si>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</si>
  <si>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</si>
  <si>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</si>
  <si>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</si>
  <si>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</si>
  <si>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</si>
  <si>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</si>
  <si>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</si>
  <si>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</si>
  <si>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</si>
  <si>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</si>
  <si>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</si>
  <si>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</si>
  <si>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</si>
  <si>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</si>
  <si>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</si>
  <si>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</si>
  <si>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</si>
  <si>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</si>
  <si>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</si>
  <si>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</si>
  <si>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</si>
  <si>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</si>
  <si>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</si>
  <si>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</si>
  <si>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</si>
  <si>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</si>
  <si>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</si>
  <si>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</si>
  <si>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</si>
  <si>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</si>
  <si>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</si>
  <si>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</si>
  <si>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</si>
  <si>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</si>
  <si>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</si>
  <si>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</si>
  <si>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</si>
  <si>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</si>
  <si>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</si>
  <si>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</si>
  <si>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</si>
  <si>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</si>
  <si>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</si>
  <si>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</si>
  <si>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</si>
  <si>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</si>
  <si>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</si>
  <si>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</si>
  <si>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</si>
  <si>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</si>
  <si>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</si>
  <si>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</si>
  <si>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</si>
  <si>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</si>
  <si>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</si>
  <si>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</si>
  <si>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</si>
  <si>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</si>
  <si>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</si>
  <si>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</si>
  <si>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</si>
  <si>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</si>
  <si>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</si>
  <si>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</si>
  <si>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</si>
  <si>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</si>
  <si>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</si>
  <si>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</si>
  <si>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</si>
  <si>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</si>
  <si>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</si>
  <si>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</si>
  <si>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</si>
  <si>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</si>
  <si>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</si>
  <si>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</si>
  <si>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</si>
  <si>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</si>
  <si>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</si>
  <si>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</si>
  <si>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</si>
  <si>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</si>
  <si>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</si>
  <si>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</si>
  <si>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</si>
  <si>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</si>
  <si>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</si>
  <si>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</si>
  <si>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</si>
  <si>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</si>
  <si>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</si>
  <si>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</si>
  <si>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</si>
  <si>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</si>
  <si>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</si>
  <si>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</si>
  <si>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</si>
  <si>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</si>
  <si>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</si>
  <si>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</si>
  <si>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</si>
  <si>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</si>
  <si>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</si>
  <si>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</si>
  <si>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</si>
  <si>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</si>
  <si>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</si>
  <si>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</si>
  <si>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</si>
  <si>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</si>
  <si>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</si>
  <si>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</si>
  <si>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</si>
  <si>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</si>
  <si>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</si>
  <si>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</si>
  <si>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</si>
  <si>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</si>
  <si>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</si>
  <si>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</si>
  <si>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</si>
  <si>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</si>
  <si>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</si>
  <si>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</si>
  <si>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</si>
  <si>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</si>
  <si>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</si>
  <si>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</si>
  <si>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</si>
  <si>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</si>
  <si>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</si>
  <si>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</si>
  <si>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</si>
  <si>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</si>
  <si>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</si>
  <si>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</si>
  <si>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</si>
  <si>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</si>
  <si>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</si>
  <si>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</si>
  <si>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</si>
  <si>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</si>
  <si>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</si>
  <si>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</si>
  <si>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</si>
  <si>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</si>
  <si>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</si>
  <si>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</si>
  <si>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</si>
  <si>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</si>
  <si>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</si>
  <si>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</si>
  <si>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</si>
  <si>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</si>
  <si>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</si>
  <si>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</si>
  <si>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</si>
  <si>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</si>
  <si>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</si>
  <si>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</si>
  <si>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</si>
  <si>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</si>
  <si>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</si>
  <si>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</si>
  <si>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</si>
  <si>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</si>
  <si>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</si>
  <si>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</si>
  <si>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</si>
  <si>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</si>
  <si>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</si>
  <si>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</si>
  <si>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</si>
  <si>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</si>
  <si>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</si>
  <si>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</si>
  <si>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</si>
  <si>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</si>
  <si>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</si>
  <si>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</si>
  <si>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</si>
  <si>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</si>
  <si>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</si>
  <si>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</si>
  <si>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</si>
  <si>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</si>
  <si>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</si>
  <si>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</si>
  <si>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</si>
  <si>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</si>
  <si>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</si>
  <si>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</si>
  <si>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</si>
  <si>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</si>
  <si>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</si>
  <si>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</si>
  <si>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</si>
  <si>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</si>
  <si>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</si>
  <si>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</si>
  <si>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</si>
  <si>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</si>
  <si>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</si>
  <si>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</si>
  <si>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</si>
  <si>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</si>
  <si>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</si>
  <si>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</si>
  <si>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</si>
  <si>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</si>
  <si>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</si>
  <si>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</si>
  <si>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</si>
  <si>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</si>
  <si>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</si>
  <si>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</si>
  <si>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</si>
  <si>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</si>
  <si>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</si>
  <si>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</si>
  <si>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</si>
  <si>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</si>
  <si>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</si>
  <si>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</si>
  <si>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</si>
  <si>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</si>
  <si>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</si>
  <si>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</si>
  <si>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</si>
  <si>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</si>
  <si>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</si>
  <si>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</si>
  <si>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</si>
  <si>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</si>
  <si>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</si>
  <si>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</si>
  <si>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</si>
  <si>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</si>
  <si>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</si>
  <si>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</si>
  <si>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</si>
  <si>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</si>
  <si>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</si>
  <si>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</si>
  <si>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</si>
  <si>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</si>
  <si>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</si>
  <si>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</si>
  <si>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</si>
  <si>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</si>
  <si>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</si>
  <si>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</si>
  <si>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</si>
  <si>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</si>
  <si>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</si>
  <si>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</si>
  <si>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</si>
  <si>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</si>
  <si>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</si>
  <si>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</si>
  <si>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</si>
  <si>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</si>
  <si>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</si>
  <si>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</si>
  <si>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</si>
  <si>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</si>
  <si>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</si>
  <si>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</si>
  <si>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</si>
  <si>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</si>
  <si>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</si>
  <si>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</si>
  <si>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</si>
  <si>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</si>
  <si>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</si>
  <si>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</si>
  <si>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</si>
  <si>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</si>
  <si>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</si>
  <si>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</si>
  <si>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</si>
  <si>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</si>
  <si>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</si>
  <si>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</si>
  <si>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</si>
  <si>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</si>
  <si>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</si>
  <si>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</si>
  <si>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</si>
  <si>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</si>
  <si>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</si>
  <si>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</si>
  <si>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</si>
  <si>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</si>
  <si>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</si>
  <si>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</si>
  <si>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</si>
  <si>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</si>
  <si>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</si>
  <si>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</si>
  <si>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</si>
  <si>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</si>
  <si>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</si>
  <si>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</si>
  <si>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</si>
  <si>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</si>
  <si>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</si>
  <si>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</si>
  <si>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</si>
  <si>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</si>
  <si>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</si>
  <si>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</si>
  <si>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</si>
  <si>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</si>
  <si>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</si>
  <si>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</si>
  <si>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</si>
  <si>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</si>
  <si>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</si>
  <si>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</si>
  <si>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</si>
  <si>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</si>
  <si>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</si>
  <si>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</si>
  <si>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</si>
  <si>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</si>
  <si>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</si>
  <si>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</si>
  <si>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</si>
  <si>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</si>
  <si>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</si>
  <si>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</si>
  <si>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</si>
  <si>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</si>
  <si>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</si>
  <si>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</si>
  <si>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</si>
  <si>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</si>
  <si>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</si>
  <si>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</si>
  <si>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</si>
  <si>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</si>
  <si>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</si>
  <si>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</si>
  <si>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</si>
  <si>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</si>
  <si>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</si>
  <si>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</si>
  <si>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</si>
  <si>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</si>
  <si>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</si>
  <si>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</si>
  <si>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</si>
  <si>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</si>
  <si>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</si>
  <si>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</si>
  <si>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</si>
  <si>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</si>
  <si>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</si>
  <si>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</si>
  <si>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</si>
  <si>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</si>
  <si>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</si>
  <si>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</si>
  <si>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</si>
  <si>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</si>
  <si>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</si>
  <si>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</si>
  <si>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</si>
  <si>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</si>
  <si>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</si>
  <si>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</si>
  <si>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</si>
  <si>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</si>
  <si>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</si>
  <si>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</si>
  <si>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</si>
  <si>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</si>
  <si>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</si>
  <si>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</si>
  <si>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</si>
  <si>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</si>
  <si>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</si>
  <si>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</si>
  <si>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</si>
  <si>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</si>
  <si>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</si>
  <si>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</si>
  <si>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</si>
  <si>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</si>
  <si>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</si>
  <si>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</si>
  <si>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</si>
  <si>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</si>
  <si>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</si>
  <si>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</si>
  <si>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</si>
  <si>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</si>
  <si>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</si>
  <si>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</si>
  <si>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</si>
  <si>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</si>
  <si>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</si>
  <si>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</si>
  <si>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</si>
  <si>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</si>
  <si>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</si>
  <si>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</si>
  <si>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</si>
  <si>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</si>
  <si>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</si>
  <si>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</si>
  <si>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</si>
  <si>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</si>
  <si>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</si>
  <si>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</si>
  <si>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</si>
  <si>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</si>
  <si>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</si>
  <si>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</si>
  <si>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</si>
  <si>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</si>
  <si>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</si>
  <si>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</si>
  <si>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</si>
  <si>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</si>
  <si>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</si>
  <si>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</si>
  <si>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</si>
  <si>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</si>
  <si>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</si>
  <si>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</si>
  <si>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</si>
  <si>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</si>
  <si>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</si>
  <si>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</si>
  <si>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</si>
  <si>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</si>
  <si>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</si>
  <si>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</si>
  <si>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</si>
  <si>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</si>
  <si>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</si>
  <si>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</si>
  <si>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</si>
  <si>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</si>
  <si>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</si>
  <si>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</si>
  <si>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</si>
  <si>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</si>
  <si>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</si>
  <si>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</si>
  <si>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</si>
  <si>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</si>
  <si>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</si>
  <si>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</si>
  <si>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</si>
  <si>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</si>
  <si>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</si>
  <si>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</si>
  <si>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</si>
  <si>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</si>
  <si>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</si>
  <si>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</si>
  <si>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</si>
  <si>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</si>
  <si>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</si>
  <si>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</si>
  <si>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</si>
  <si>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</si>
  <si>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</si>
  <si>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</si>
  <si>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</si>
  <si>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</si>
  <si>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</si>
  <si>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</si>
  <si>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</si>
  <si>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</si>
  <si>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</si>
  <si>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</si>
  <si>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</si>
  <si>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</si>
  <si>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</si>
  <si>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</si>
  <si>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</si>
  <si>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</si>
  <si>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</si>
  <si>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</si>
  <si>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</si>
  <si>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</si>
  <si>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</si>
  <si>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</si>
  <si>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</si>
  <si>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</si>
  <si>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</si>
  <si>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</si>
  <si>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</si>
  <si>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</si>
  <si>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</si>
  <si>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</si>
  <si>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</si>
  <si>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</si>
  <si>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</si>
  <si>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</si>
  <si>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</si>
  <si>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</si>
  <si>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</si>
  <si>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</si>
  <si>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</si>
  <si>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</si>
  <si>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</si>
  <si>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</si>
  <si>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</si>
  <si>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</si>
  <si>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</si>
  <si>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</si>
  <si>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</si>
  <si>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</si>
  <si>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</si>
  <si>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</si>
  <si>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</si>
  <si>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</si>
  <si>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</si>
  <si>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</si>
  <si>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</si>
  <si>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</si>
  <si>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</si>
  <si>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</si>
  <si>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</si>
  <si>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</si>
  <si>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</si>
  <si>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</si>
  <si>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</si>
  <si>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</si>
  <si>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</si>
  <si>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</si>
  <si>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</si>
  <si>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</si>
  <si>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</si>
  <si>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</si>
  <si>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</si>
  <si>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</si>
  <si>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</si>
  <si>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</si>
  <si>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</si>
  <si>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</si>
  <si>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</si>
  <si>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</si>
  <si>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</si>
  <si>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</si>
  <si>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</si>
  <si>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</si>
  <si>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</si>
  <si>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</si>
  <si>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</si>
  <si>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</si>
  <si>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</si>
  <si>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</si>
  <si>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</si>
  <si>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</si>
  <si>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</si>
  <si>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</si>
  <si>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</si>
  <si>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</si>
  <si>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</si>
  <si>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</si>
  <si>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</si>
  <si>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</si>
  <si>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</si>
  <si>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</si>
  <si>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</si>
  <si>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</si>
  <si>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</si>
  <si>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</si>
  <si>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</si>
  <si>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</si>
  <si>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</si>
  <si>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</si>
  <si>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</si>
  <si>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</si>
  <si>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</si>
  <si>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</si>
  <si>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</si>
  <si>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</si>
  <si>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</si>
  <si>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</si>
  <si>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</si>
  <si>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</si>
  <si>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</si>
  <si>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</si>
  <si>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</si>
  <si>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</si>
  <si>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</si>
  <si>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</si>
  <si>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</si>
  <si>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</si>
  <si>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</si>
  <si>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</si>
  <si>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</si>
  <si>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</si>
  <si>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</si>
  <si>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</si>
  <si>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</si>
  <si>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</si>
  <si>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</si>
  <si>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</si>
  <si>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</si>
  <si>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</si>
  <si>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</si>
  <si>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</si>
  <si>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</si>
  <si>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</si>
  <si>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</si>
  <si>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</si>
  <si>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</si>
  <si>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</si>
  <si>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</si>
  <si>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</si>
  <si>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</si>
  <si>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</si>
  <si>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</si>
  <si>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</si>
  <si>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</si>
  <si>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</si>
  <si>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</si>
  <si>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</si>
  <si>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</si>
  <si>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</si>
  <si>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</si>
  <si>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</si>
  <si>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</si>
  <si>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</si>
  <si>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</si>
  <si>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</si>
  <si>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</si>
  <si>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</si>
  <si>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</si>
  <si>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</si>
  <si>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</si>
  <si>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</si>
  <si>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</si>
  <si>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</si>
  <si>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</si>
  <si>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</si>
  <si>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</si>
  <si>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</si>
  <si>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</si>
  <si>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</si>
  <si>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</si>
  <si>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</si>
  <si>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</si>
  <si>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</si>
  <si>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</si>
  <si>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</si>
  <si>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</si>
  <si>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</si>
  <si>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</si>
  <si>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</si>
  <si>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</si>
  <si>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</si>
  <si>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</si>
  <si>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</si>
  <si>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</si>
  <si>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</si>
  <si>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</si>
  <si>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</si>
  <si>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</si>
  <si>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</si>
  <si>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</si>
  <si>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</si>
  <si>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</si>
  <si>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</si>
  <si>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</si>
  <si>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</si>
  <si>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</si>
  <si>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</si>
  <si>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</si>
  <si>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</si>
  <si>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</si>
  <si>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</si>
  <si>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</si>
  <si>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</si>
  <si>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</si>
  <si>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</si>
  <si>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</si>
  <si>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</si>
  <si>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</si>
  <si>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</si>
  <si>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</si>
  <si>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</si>
  <si>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</si>
  <si>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</si>
  <si>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</si>
  <si>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</si>
  <si>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</si>
  <si>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</si>
  <si>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</si>
  <si>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</si>
  <si>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</si>
  <si>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</si>
  <si>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</si>
  <si>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</si>
  <si>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</si>
  <si>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</si>
  <si>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</si>
  <si>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</si>
  <si>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</si>
  <si>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</si>
  <si>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</si>
  <si>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</si>
  <si>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</si>
  <si>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</si>
  <si>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</si>
  <si>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</si>
  <si>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</si>
  <si>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</si>
  <si>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</si>
  <si>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</si>
  <si>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</si>
  <si>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</si>
  <si>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</si>
  <si>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</si>
  <si>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</si>
  <si>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</si>
  <si>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</si>
  <si>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</si>
  <si>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</si>
  <si>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</si>
  <si>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</si>
  <si>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</si>
  <si>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</si>
  <si>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</si>
  <si>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</si>
  <si>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</si>
  <si>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</si>
  <si>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</si>
  <si>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</si>
  <si>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</si>
  <si>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</si>
  <si>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</si>
  <si>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</si>
  <si>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</si>
  <si>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</si>
  <si>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</si>
  <si>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</si>
  <si>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</si>
  <si>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</si>
  <si>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</si>
  <si>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</si>
  <si>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</si>
  <si>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</si>
  <si>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</si>
  <si>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</si>
  <si>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</si>
  <si>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</si>
  <si>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</si>
  <si>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</si>
  <si>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</si>
  <si>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</si>
  <si>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</si>
  <si>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</si>
  <si>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</si>
  <si>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</si>
  <si>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</si>
  <si>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</si>
  <si>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</si>
  <si>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</si>
  <si>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</si>
  <si>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</si>
  <si>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</si>
  <si>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</si>
  <si>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</si>
  <si>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</si>
  <si>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</si>
  <si>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</si>
  <si>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</si>
  <si>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</si>
  <si>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</si>
  <si>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</si>
  <si>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</si>
  <si>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</si>
  <si>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</si>
  <si>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</si>
  <si>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</si>
  <si>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</si>
  <si>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</si>
  <si>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</si>
  <si>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</si>
  <si>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</si>
  <si>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</si>
  <si>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</si>
  <si>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</si>
  <si>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</si>
  <si>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</si>
  <si>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</si>
  <si>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</si>
  <si>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</si>
  <si>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</si>
  <si>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</si>
  <si>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</si>
  <si>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</si>
  <si>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</si>
  <si>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</si>
  <si>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</si>
  <si>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</si>
  <si>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</si>
  <si>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</si>
  <si>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</si>
  <si>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</si>
  <si>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</si>
  <si>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</si>
  <si>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</si>
  <si>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</si>
  <si>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</si>
  <si>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</si>
  <si>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</si>
  <si>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</si>
  <si>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</si>
  <si>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</si>
  <si>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</si>
  <si>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</si>
  <si>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</si>
  <si>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</si>
  <si>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</si>
  <si>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</si>
  <si>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</si>
  <si>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</si>
  <si>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</si>
  <si>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</si>
  <si>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</si>
  <si>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</si>
  <si>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</si>
  <si>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</si>
  <si>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</si>
  <si>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</si>
  <si>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</si>
  <si>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</si>
  <si>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</si>
  <si>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</si>
  <si>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</si>
  <si>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</si>
  <si>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</si>
  <si>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</si>
  <si>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</si>
  <si>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</si>
  <si>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</si>
  <si>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</si>
  <si>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</si>
  <si>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</si>
  <si>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</si>
  <si>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</si>
  <si>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</si>
  <si>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</si>
  <si>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</si>
  <si>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</si>
  <si>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</si>
  <si>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</si>
  <si>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</si>
  <si>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</si>
  <si>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</si>
  <si>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</si>
  <si>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</si>
  <si>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</si>
  <si>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</si>
  <si>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</si>
  <si>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</si>
  <si>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</si>
  <si>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</si>
  <si>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</si>
  <si>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</si>
  <si>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</si>
  <si>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</si>
  <si>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</si>
  <si>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</si>
  <si>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</si>
  <si>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</si>
  <si>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</si>
  <si>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</si>
  <si>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</si>
  <si>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</si>
  <si>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</si>
  <si>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</si>
  <si>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</si>
  <si>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</si>
  <si>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</si>
  <si>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</si>
  <si>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</si>
  <si>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</si>
  <si>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</si>
  <si>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</si>
  <si>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</si>
  <si>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</si>
  <si>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</si>
  <si>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</si>
  <si>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</si>
  <si>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</si>
  <si>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</si>
  <si>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</si>
  <si>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</si>
  <si>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</si>
  <si>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</si>
  <si>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</si>
  <si>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</si>
  <si>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</si>
  <si>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</si>
  <si>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</si>
  <si>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</si>
  <si>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</si>
  <si>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</si>
  <si>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</si>
  <si>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</si>
  <si>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</si>
  <si>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</si>
  <si>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</si>
  <si>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</si>
  <si>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</si>
  <si>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</si>
  <si>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</si>
  <si>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</si>
  <si>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</si>
  <si>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</si>
  <si>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</si>
  <si>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</si>
  <si>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</si>
  <si>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</si>
  <si>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</si>
  <si>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</si>
  <si>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</si>
  <si>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</si>
  <si>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</si>
  <si>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</si>
  <si>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</si>
  <si>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</si>
  <si>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</si>
  <si>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</si>
  <si>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</si>
  <si>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</si>
  <si>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</si>
  <si>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</si>
  <si>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</si>
  <si>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</si>
  <si>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</si>
  <si>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</si>
  <si>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</si>
  <si>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</si>
  <si>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</si>
  <si>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</si>
  <si>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</si>
  <si>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</si>
  <si>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</si>
  <si>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</si>
  <si>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</si>
  <si>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</si>
  <si>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</si>
  <si>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</si>
  <si>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</si>
  <si>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</si>
  <si>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</si>
  <si>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</si>
  <si>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</si>
  <si>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</si>
  <si>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</si>
  <si>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</si>
  <si>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</si>
  <si>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</si>
  <si>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</si>
  <si>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</si>
  <si>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</si>
  <si>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</si>
  <si>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</si>
  <si>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</si>
  <si>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</si>
  <si>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</si>
  <si>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</si>
  <si>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</si>
  <si>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</si>
  <si>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</si>
  <si>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</si>
  <si>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</si>
  <si>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</si>
  <si>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</si>
  <si>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</si>
  <si>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</si>
  <si>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</si>
  <si>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</si>
  <si>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</si>
  <si>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</si>
  <si>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</si>
  <si>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</si>
  <si>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</si>
  <si>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</si>
  <si>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</si>
  <si>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</si>
  <si>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</si>
  <si>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</si>
  <si>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</si>
  <si>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</si>
  <si>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</si>
  <si>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</si>
  <si>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</si>
  <si>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</si>
  <si>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</si>
  <si>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</si>
  <si>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</si>
  <si>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</si>
  <si>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</si>
  <si>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</si>
  <si>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</si>
  <si>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</si>
  <si>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</si>
  <si>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</si>
  <si>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</si>
  <si>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</si>
  <si>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</si>
  <si>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</si>
  <si>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</si>
  <si>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</si>
  <si>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</si>
  <si>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</si>
  <si>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</si>
  <si>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</si>
  <si>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</si>
  <si>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</si>
  <si>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</si>
  <si>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</si>
  <si>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</si>
  <si>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</si>
  <si>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</si>
  <si>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</si>
  <si>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</si>
  <si>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</si>
  <si>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</si>
  <si>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</si>
  <si>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</si>
  <si>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</si>
  <si>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</si>
  <si>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</si>
  <si>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</si>
  <si>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</si>
  <si>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</si>
  <si>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</si>
  <si>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</si>
  <si>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</si>
  <si>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</si>
  <si>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</si>
  <si>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</si>
  <si>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</si>
  <si>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</si>
  <si>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</si>
  <si>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</si>
  <si>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</si>
  <si>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</si>
  <si>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</si>
  <si>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</si>
  <si>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</si>
  <si>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</si>
  <si>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</si>
  <si>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</si>
  <si>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</si>
  <si>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</si>
  <si>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</si>
  <si>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</si>
  <si>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</si>
  <si>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</si>
  <si>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</si>
  <si>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</si>
  <si>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</si>
  <si>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</si>
  <si>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</si>
  <si>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</si>
  <si>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</si>
  <si>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</si>
  <si>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</si>
  <si>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</si>
  <si>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</si>
  <si>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</si>
  <si>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</si>
  <si>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</si>
  <si>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</si>
  <si>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</si>
  <si>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</si>
  <si>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</si>
  <si>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</si>
  <si>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</si>
  <si>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</si>
  <si>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</si>
  <si>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</si>
  <si>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</si>
  <si>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</si>
  <si>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</si>
  <si>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</si>
  <si>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</si>
  <si>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</si>
  <si>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</si>
  <si>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</si>
  <si>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</si>
  <si>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</si>
  <si>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</si>
  <si>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</si>
  <si>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</si>
  <si>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</si>
  <si>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</si>
  <si>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</si>
  <si>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</si>
  <si>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</si>
  <si>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</si>
  <si>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</si>
  <si>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</si>
  <si>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</si>
  <si>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</si>
  <si>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</si>
  <si>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</si>
  <si>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</si>
  <si>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</si>
  <si>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</si>
  <si>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</si>
  <si>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</si>
  <si>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</si>
  <si>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</si>
  <si>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</si>
  <si>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</si>
  <si>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</si>
  <si>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</si>
  <si>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</si>
  <si>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</si>
  <si>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</si>
  <si>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</si>
  <si>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</si>
  <si>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</si>
  <si>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</si>
  <si>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</si>
  <si>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</si>
  <si>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</si>
  <si>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</si>
  <si>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</si>
  <si>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</si>
  <si>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</si>
  <si>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</si>
  <si>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</si>
  <si>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</si>
  <si>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</si>
  <si>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</si>
  <si>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</si>
  <si>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</si>
  <si>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</si>
  <si>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</si>
  <si>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</si>
  <si>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</si>
  <si>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</si>
  <si>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</si>
  <si>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</si>
  <si>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</si>
  <si>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</si>
  <si>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</si>
  <si>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</si>
  <si>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</si>
  <si>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</si>
  <si>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</si>
  <si>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</si>
  <si>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</si>
  <si>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</si>
  <si>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</si>
  <si>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</si>
  <si>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</si>
  <si>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</si>
  <si>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</si>
  <si>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</si>
  <si>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</si>
  <si>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</si>
  <si>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</si>
  <si>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</si>
  <si>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</si>
  <si>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</si>
  <si>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</si>
  <si>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</si>
  <si>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</si>
  <si>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</si>
  <si>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</si>
  <si>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</si>
  <si>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</si>
  <si>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</si>
  <si>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</si>
  <si>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</si>
  <si>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</si>
  <si>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</si>
  <si>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</si>
  <si>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</si>
  <si>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</si>
  <si>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</si>
  <si>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</si>
  <si>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</si>
  <si>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</si>
  <si>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</si>
  <si>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</si>
  <si>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</si>
  <si>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</si>
  <si>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</si>
  <si>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</si>
  <si>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</si>
  <si>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</si>
  <si>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</si>
  <si>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</si>
  <si>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</si>
  <si>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</si>
  <si>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</si>
  <si>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</si>
  <si>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</si>
  <si>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</si>
  <si>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</si>
  <si>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</si>
  <si>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</si>
  <si>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</si>
  <si>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</si>
  <si>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</si>
  <si>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</si>
  <si>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</si>
  <si>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</si>
  <si>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</si>
  <si>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</si>
  <si>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</si>
  <si>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</si>
  <si>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</si>
  <si>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</si>
  <si>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</si>
  <si>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</si>
  <si>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</si>
  <si>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</si>
  <si>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</si>
  <si>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</si>
  <si>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</si>
  <si>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</si>
  <si>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</si>
  <si>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</si>
  <si>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</si>
  <si>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</si>
  <si>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</si>
  <si>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</si>
  <si>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</si>
  <si>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</si>
  <si>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</si>
  <si>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</si>
  <si>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</si>
  <si>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</si>
  <si>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</si>
  <si>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</si>
  <si>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</si>
  <si>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</si>
  <si>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</si>
  <si>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</si>
  <si>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</si>
  <si>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</si>
  <si>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</si>
  <si>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</si>
  <si>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</si>
  <si>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</si>
  <si>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</si>
  <si>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</si>
  <si>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</si>
  <si>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</si>
  <si>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</si>
  <si>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</si>
  <si>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</si>
  <si>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</si>
  <si>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</si>
  <si>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</si>
  <si>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</si>
  <si>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</si>
  <si>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</si>
  <si>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</si>
  <si>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</si>
  <si>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</si>
  <si>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</si>
  <si>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</si>
  <si>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</si>
  <si>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</si>
  <si>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</si>
  <si>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</si>
  <si>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</si>
  <si>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</si>
  <si>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</si>
  <si>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</si>
  <si>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</si>
  <si>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</si>
  <si>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</si>
  <si>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</si>
  <si>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</si>
  <si>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</si>
  <si>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</si>
  <si>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</si>
  <si>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</si>
  <si>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</si>
  <si>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</si>
  <si>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</si>
  <si>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</si>
  <si>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</si>
  <si>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</si>
  <si>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</si>
  <si>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</si>
  <si>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</si>
  <si>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</si>
  <si>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</si>
  <si>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</si>
  <si>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</si>
  <si>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</si>
  <si>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</si>
  <si>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</si>
  <si>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</si>
  <si>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</si>
  <si>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</si>
  <si>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</si>
  <si>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</si>
  <si>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</si>
  <si>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</si>
  <si>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</si>
  <si>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</si>
  <si>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</si>
  <si>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</si>
  <si>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</si>
  <si>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</si>
  <si>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</si>
  <si>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</si>
  <si>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</si>
  <si>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</si>
  <si>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</si>
  <si>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</si>
  <si>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</si>
  <si>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</si>
  <si>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</si>
  <si>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</si>
  <si>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</si>
  <si>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</si>
  <si>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</si>
  <si>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</si>
  <si>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</si>
  <si>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</si>
  <si>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</si>
  <si>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</si>
  <si>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</si>
  <si>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</si>
  <si>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</si>
  <si>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</si>
  <si>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</si>
  <si>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</si>
  <si>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</si>
  <si>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</si>
  <si>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</si>
  <si>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</si>
  <si>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</si>
  <si>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</si>
  <si>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</si>
  <si>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</si>
  <si>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</si>
  <si>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</si>
  <si>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</si>
  <si>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</si>
  <si>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</si>
  <si>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</si>
  <si>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</si>
  <si>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</si>
  <si>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</si>
  <si>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</si>
  <si>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</si>
  <si>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</si>
  <si>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</si>
  <si>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</si>
  <si>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</si>
  <si>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</si>
  <si>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</si>
  <si>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</si>
  <si>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</si>
  <si>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</si>
  <si>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</si>
  <si>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</si>
  <si>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</si>
  <si>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</si>
  <si>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</si>
  <si>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</si>
  <si>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</si>
  <si>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</si>
  <si>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</si>
  <si>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</si>
  <si>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</si>
  <si>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</si>
  <si>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</si>
  <si>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</si>
  <si>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</si>
  <si>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</si>
  <si>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</si>
  <si>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</si>
  <si>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</si>
  <si>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</si>
  <si>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</si>
  <si>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</si>
  <si>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</si>
  <si>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</si>
  <si>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</si>
  <si>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</si>
  <si>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</si>
  <si>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</si>
  <si>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</si>
  <si>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</si>
  <si>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</si>
  <si>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</si>
  <si>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</si>
  <si>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</si>
  <si>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</si>
  <si>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</si>
  <si>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</si>
  <si>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</si>
  <si>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</si>
  <si>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</si>
  <si>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</si>
  <si>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</si>
  <si>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</si>
  <si>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</si>
  <si>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</si>
  <si>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</si>
  <si>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</si>
  <si>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</si>
  <si>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</si>
  <si>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</si>
  <si>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</si>
  <si>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</si>
  <si>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</si>
  <si>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</si>
  <si>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</si>
  <si>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</si>
  <si>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</si>
  <si>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</si>
  <si>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</si>
  <si>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</si>
  <si>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</si>
  <si>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</si>
  <si>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</si>
  <si>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</si>
  <si>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</si>
  <si>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</si>
  <si>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</si>
  <si>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</si>
  <si>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</si>
  <si>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</si>
  <si>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</si>
  <si>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</si>
  <si>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</si>
  <si>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</si>
  <si>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</si>
  <si>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</si>
  <si>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</si>
  <si>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</si>
  <si>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</si>
  <si>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</si>
  <si>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</si>
  <si>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</si>
  <si>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</si>
  <si>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</si>
  <si>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</si>
  <si>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</si>
  <si>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</si>
  <si>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</si>
  <si>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</si>
  <si>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</si>
  <si>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</si>
  <si>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</si>
  <si>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</si>
  <si>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</si>
  <si>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</si>
  <si>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</si>
  <si>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</si>
  <si>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</si>
  <si>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</si>
  <si>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</si>
  <si>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</si>
  <si>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</si>
  <si>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</si>
  <si>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</si>
  <si>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</si>
  <si>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</si>
  <si>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</si>
  <si>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</si>
  <si>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</si>
  <si>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</si>
  <si>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</si>
  <si>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</si>
  <si>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</si>
  <si>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</si>
  <si>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</si>
  <si>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</si>
  <si>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</si>
  <si>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</si>
  <si>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</si>
  <si>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</si>
  <si>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</si>
  <si>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</si>
  <si>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</si>
  <si>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</si>
  <si>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</si>
  <si>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</si>
  <si>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</si>
  <si>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</si>
  <si>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</si>
  <si>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</si>
  <si>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</si>
  <si>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</si>
  <si>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</si>
  <si>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</si>
  <si>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</si>
  <si>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</si>
  <si>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</si>
  <si>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</si>
  <si>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</si>
  <si>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</si>
  <si>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</si>
  <si>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</si>
  <si>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</si>
  <si>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</si>
  <si>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</si>
  <si>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</si>
  <si>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</si>
  <si>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</si>
  <si>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</si>
  <si>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</si>
  <si>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</si>
  <si>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</si>
  <si>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</si>
  <si>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</si>
  <si>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</si>
  <si>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</si>
  <si>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</si>
  <si>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</si>
  <si>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</si>
  <si>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</si>
  <si>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</si>
  <si>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</si>
  <si>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</si>
  <si>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</si>
  <si>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</si>
  <si>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</si>
  <si>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</si>
  <si>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</si>
  <si>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</si>
  <si>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</si>
  <si>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</si>
  <si>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</si>
  <si>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</si>
  <si>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</si>
  <si>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</si>
  <si>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</si>
  <si>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</si>
  <si>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</si>
  <si>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</si>
  <si>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</si>
  <si>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</si>
  <si>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</si>
  <si>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</si>
  <si>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</si>
  <si>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</si>
  <si>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</si>
  <si>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</si>
  <si>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</si>
  <si>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</si>
  <si>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</si>
  <si>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</si>
  <si>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</si>
  <si>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</si>
  <si>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</si>
  <si>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</si>
  <si>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</si>
  <si>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</si>
  <si>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</si>
  <si>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</si>
  <si>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</si>
  <si>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</si>
  <si>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</si>
  <si>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</si>
  <si>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</si>
  <si>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</si>
  <si>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</si>
  <si>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</si>
  <si>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</si>
  <si>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</si>
  <si>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</si>
  <si>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</si>
  <si>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</si>
  <si>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</si>
  <si>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</si>
  <si>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</si>
  <si>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</si>
  <si>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</si>
  <si>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</si>
  <si>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</si>
  <si>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</si>
  <si>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</si>
  <si>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</si>
  <si>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</si>
  <si>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</si>
  <si>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</si>
  <si>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</si>
  <si>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</si>
  <si>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</si>
  <si>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</si>
  <si>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</si>
  <si>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</si>
  <si>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</si>
  <si>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</si>
  <si>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</si>
  <si>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</si>
  <si>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</si>
  <si>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</si>
  <si>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</si>
  <si>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</si>
  <si>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</si>
  <si>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</si>
  <si>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</si>
  <si>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</si>
  <si>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</si>
  <si>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</si>
  <si>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</si>
  <si>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</si>
  <si>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</si>
  <si>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</si>
  <si>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</si>
  <si>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</si>
  <si>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</si>
  <si>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</si>
  <si>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</si>
  <si>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</si>
  <si>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</si>
  <si>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</si>
  <si>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</si>
  <si>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</si>
  <si>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</si>
  <si>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</si>
  <si>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</si>
  <si>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</si>
  <si>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</si>
  <si>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</si>
  <si>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</si>
  <si>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</si>
  <si>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</si>
  <si>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</si>
  <si>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</si>
  <si>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</si>
  <si>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</si>
  <si>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</si>
  <si>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</si>
  <si>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</si>
  <si>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</si>
  <si>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</si>
  <si>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</si>
  <si>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</si>
  <si>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</si>
  <si>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</si>
  <si>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</si>
  <si>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</si>
  <si>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</si>
  <si>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</si>
  <si>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</si>
  <si>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</si>
  <si>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</si>
  <si>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</si>
  <si>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</si>
  <si>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</si>
  <si>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</si>
  <si>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</si>
  <si>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</si>
  <si>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</si>
  <si>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</si>
  <si>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</si>
  <si>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</si>
  <si>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</si>
  <si>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</si>
  <si>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</si>
  <si>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</si>
  <si>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</si>
  <si>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</si>
  <si>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</si>
  <si>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</si>
  <si>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</si>
  <si>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</si>
  <si>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</si>
  <si>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</si>
  <si>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</si>
  <si>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</si>
  <si>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</si>
  <si>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</si>
  <si>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</si>
  <si>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</si>
  <si>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</si>
  <si>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</si>
  <si>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</si>
  <si>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</si>
  <si>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</si>
  <si>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</si>
  <si>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</si>
  <si>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</si>
  <si>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</si>
  <si>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</si>
  <si>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</si>
  <si>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</si>
  <si>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</si>
  <si>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</si>
  <si>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</si>
  <si>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</si>
  <si>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</si>
  <si>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</si>
  <si>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</si>
  <si>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</si>
  <si>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</si>
  <si>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</si>
  <si>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</si>
  <si>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</si>
  <si>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</si>
  <si>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</si>
  <si>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</si>
  <si>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</si>
  <si>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</si>
  <si>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</si>
  <si>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</si>
  <si>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</si>
  <si>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</si>
  <si>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</si>
  <si>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</si>
  <si>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</si>
  <si>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</si>
  <si>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</si>
  <si>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</si>
  <si>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</si>
  <si>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</si>
  <si>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</si>
  <si>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</si>
  <si>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</si>
  <si>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</si>
  <si>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</si>
  <si>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</si>
  <si>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</si>
  <si>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</si>
  <si>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</si>
  <si>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</si>
  <si>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</si>
  <si>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</si>
  <si>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</si>
  <si>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</si>
  <si>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</si>
  <si>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</si>
  <si>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</si>
  <si>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</si>
  <si>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</si>
  <si>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</si>
  <si>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</si>
  <si>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</si>
  <si>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</si>
  <si>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</si>
  <si>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</si>
  <si>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</si>
  <si>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</si>
  <si>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</si>
  <si>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</si>
  <si>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</si>
  <si>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</si>
  <si>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</si>
  <si>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</si>
  <si>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</si>
  <si>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</si>
  <si>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</si>
  <si>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</si>
  <si>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</si>
  <si>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</si>
  <si>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</si>
  <si>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</si>
  <si>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</si>
  <si>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</si>
  <si>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</si>
  <si>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</si>
  <si>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</si>
  <si>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</si>
  <si>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</si>
  <si>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</si>
  <si>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</si>
  <si>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</si>
  <si>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</si>
  <si>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</si>
  <si>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</si>
  <si>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</si>
  <si>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</si>
  <si>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</si>
  <si>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</si>
  <si>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</si>
  <si>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</si>
  <si>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</si>
  <si>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</si>
  <si>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</si>
  <si>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</si>
  <si>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</si>
  <si>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</si>
  <si>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</si>
  <si>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Coffee</t>
  </si>
  <si>
    <t>Cake</t>
  </si>
  <si>
    <t>Cookie</t>
  </si>
  <si>
    <t>Salad</t>
  </si>
  <si>
    <t>Smoothie</t>
  </si>
  <si>
    <t>UNKNOWN</t>
  </si>
  <si>
    <t>Sandwich</t>
  </si>
  <si>
    <t>ERROR</t>
  </si>
  <si>
    <t>Juice</t>
  </si>
  <si>
    <t>Tea</t>
  </si>
  <si>
    <t>Credit Card</t>
  </si>
  <si>
    <t>Cash</t>
  </si>
  <si>
    <t>Digital Wallet</t>
  </si>
  <si>
    <t>Takeaway</t>
  </si>
  <si>
    <t>Check</t>
  </si>
  <si>
    <t>Count</t>
  </si>
  <si>
    <t>Business Meaning</t>
  </si>
  <si>
    <t>% of Total</t>
  </si>
  <si>
    <t>Duplicate Transaction IDs</t>
  </si>
  <si>
    <t>Unknown/Error - Item</t>
  </si>
  <si>
    <t>Unknown/Error - Quantity</t>
  </si>
  <si>
    <t>Unknown/Error - Price Per Unit</t>
  </si>
  <si>
    <t>Unknown/Error - Total Spent</t>
  </si>
  <si>
    <t>Unknown/Error - Payment Method</t>
  </si>
  <si>
    <t>Unknown/Error - Location</t>
  </si>
  <si>
    <t>Unknown/Error - Transaction Date</t>
  </si>
  <si>
    <t>Issue Found</t>
  </si>
  <si>
    <t>Column(s) Affected</t>
  </si>
  <si>
    <t>Row Count</t>
  </si>
  <si>
    <t>Severity</t>
  </si>
  <si>
    <t>Action Taken</t>
  </si>
  <si>
    <t>6.96% of Location entries are Unknown/Error — sales figures remain accurate, but location-based breakdowns (e.g. revenue by branch) will undercount these rows</t>
  </si>
  <si>
    <t>6.36% of Item entries are Unknown/Error — product-level sales breakdowns will undercount these rows, though total revenue is unaffected</t>
  </si>
  <si>
    <t>No duplicate transactions found — revenue figures are not inflated by repeated records.</t>
  </si>
  <si>
    <t>3.41% of Quantity entries are Unknown/Error — this may directly affect revenue accuracy, since Quantity feeds into Total Spent calculations.</t>
  </si>
  <si>
    <t>3.54% of Price Per Unit entries are Unknown/Error — same risk as Quantity, revenue-relevant rows may be miscalculated.</t>
  </si>
  <si>
    <t>3.29% of Total Spent entries are Unknown/Error — this directly understates reported revenue and is the highest-priority column to fix</t>
  </si>
  <si>
    <t>5.99% of Payment Method entries are Unknown/Error — payment-type breakdowns will be incomplete, total revenue unaffected</t>
  </si>
  <si>
    <t xml:space="preserve">Multi-column data quality issues </t>
  </si>
  <si>
    <t>Broken Field Count</t>
  </si>
  <si>
    <t>Rows with 2+ Broken Fields</t>
  </si>
  <si>
    <t>rows should be excluded from analysis</t>
  </si>
  <si>
    <t>Dataset Total Rows:</t>
  </si>
  <si>
    <t>Total unknown/Error</t>
  </si>
  <si>
    <t>Rows with 0 Broken Fields</t>
  </si>
  <si>
    <t>Rows with Exactly 1 Broken Field</t>
  </si>
  <si>
    <t>CAFE SALES DATA QUALITY REPORT</t>
  </si>
  <si>
    <t>Dataset: 10,000-record cafe sales transactions</t>
  </si>
  <si>
    <t>Prepared by: Reagan</t>
  </si>
  <si>
    <t>EXECUTIVE SUMMARY</t>
  </si>
  <si>
    <t>KEY FINDINGS</t>
  </si>
  <si>
    <t>Three columns directly feed into your reported revenue figures: Total Spent, Quantity, and Price Per Unit. Their Unknown/Error entries each fall within roughly 3% of total records. If any of these fields is missing or broken on a row, revenue can't be calculated for that transaction, which means your total reported revenue is likely understated.</t>
  </si>
  <si>
    <t>Zero duplicate transaction IDs were found, confirming that revenue totals are not inflated by any repeated records.</t>
  </si>
  <si>
    <t>OVERALL IMPACT</t>
  </si>
  <si>
    <t>RECOMMENDED NEXT STEPS</t>
  </si>
  <si>
    <t>1. Total Spent, Quantity, and Price Per Unit entries marked Unknown/Error should be reviewed and, where possible, recalculated using the relationship Total Spent = Quantity x Price Per Unit, rearranged depending on which field is missing.</t>
  </si>
  <si>
    <t>4. No action is needed for Transaction ID — duplicate checks returned zero results, verified by manually testing the formula against a known duplicate.</t>
  </si>
  <si>
    <t>Blank entries</t>
  </si>
  <si>
    <t>3(Item,Payment Method,Location)</t>
  </si>
  <si>
    <t>Low to Medium (3.33%–32.56%)</t>
  </si>
  <si>
    <t>Replaced the blanks with “Unspecified” and all now show zero blank entries remaining</t>
  </si>
  <si>
    <t>Unspecified</t>
  </si>
  <si>
    <t>Date Reliable?</t>
  </si>
  <si>
    <t>Blank Cells - Item (Original)</t>
  </si>
  <si>
    <t>Blank Cells - Item (After Fix)</t>
  </si>
  <si>
    <t>Blank Cells - Quantity</t>
  </si>
  <si>
    <t>Blank Cells - Price Per Unit</t>
  </si>
  <si>
    <t>Blank Cells - Total Spent</t>
  </si>
  <si>
    <t>Blank Cells - Payment Method (Original)</t>
  </si>
  <si>
    <t>Blank Cells - Location (Original)</t>
  </si>
  <si>
    <t>Blank Cells - Transaction Date</t>
  </si>
  <si>
    <t>Rows with Unreliable Transaction Date</t>
  </si>
  <si>
    <t>Blank Cells - Payment Method (After Fix)</t>
  </si>
  <si>
    <t>Blank Cells - Location (After Fix)</t>
  </si>
  <si>
    <t>See row 16 for resolution</t>
  </si>
  <si>
    <t>333 blank Item entries were found and labeled 'Unspecified' rather than left empty, so the gap stays visible in any summary rather than remaining hidden. Zero entries currently remain blank in the item column</t>
  </si>
  <si>
    <t>No blank entries found in Quantity — no action needed.</t>
  </si>
  <si>
    <t>No blank entries found in Price Per Unit — no action needed.</t>
  </si>
  <si>
    <t>No blank entries found in Total Spent — no action needed.</t>
  </si>
  <si>
    <t>See row 24 for resolution</t>
  </si>
  <si>
    <t>See row 25 for resolution</t>
  </si>
  <si>
    <t>See row 23 for combined date reliability finding.</t>
  </si>
  <si>
    <t>460 Transaction Date entries represent the combination totals of blank, error and unknown dates and are labelled as incomplete and should be excluded from date-based breakdowns, though total revenue and other columns remain unaffected</t>
  </si>
  <si>
    <t>2579 blank Payment Method entries were found and labeled 'Unspecified' rather than left empty, so the gap stays visible in any groupings rather than remaining hidden. Zero entries currently remain blank in the Payment Method column</t>
  </si>
  <si>
    <t>3256 blank Location entries were found and labeled 'Unspecified' rather than left empty, so the gap stays visible in any summary rather than remaining hidden. Zero entries currently remain blank in the Location column</t>
  </si>
  <si>
    <t>Blank, Error and Unknown entries combined</t>
  </si>
  <si>
    <t>1 (Transaction Date)</t>
  </si>
  <si>
    <t>460 (159 blank + 301 Unknown/Error)</t>
  </si>
  <si>
    <t>Low (4.6%)</t>
  </si>
  <si>
    <t>Built a "Date Reliable?" flag column marking these rows Incomplete rather than deleting the date cells, so other columns remain reliable while date-based breakdowns exclude these rows.</t>
  </si>
  <si>
    <t>Three columns were found to have blank entries: Item, Payment Method, and Location, with 333, 2579, and 3,256 total blanks respectively, and were replaced with "Unspecified" labels.</t>
  </si>
  <si>
    <t>The Transaction Date column had 159 blank entries and 301 Unknown/Error entries, so I built a "Date Reliable?" flag column marking these rows Incomplete rather than deleting the date cells, so other columns remain reliable while date-based breakdowns exclude these rows.</t>
  </si>
  <si>
    <t>After these adjustments, the dataset has more clarity and is more reliable for further analysis and breakdowns.</t>
  </si>
  <si>
    <t>ACTIONS ALREADY TAKEN</t>
  </si>
  <si>
    <t>In-Store</t>
  </si>
  <si>
    <t>Unknown</t>
  </si>
  <si>
    <t>Error</t>
  </si>
  <si>
    <t>Full Row Match Count</t>
  </si>
  <si>
    <t>Full Row Matches (excluding ID)</t>
  </si>
  <si>
    <t>Rows should be reviewed manually to check if the matches are coincidental or real duplicate accidents</t>
  </si>
  <si>
    <t>ADDITIONAL FINDINGS</t>
  </si>
  <si>
    <t>5. Manually review the 256 full-row matches (excluding Transaction ID) to determine whether they represent genuine duplicates or coincidental overlap.</t>
  </si>
  <si>
    <t>Transaction Date Stored as Text</t>
  </si>
  <si>
    <t>100.00% of the Transaction Date entries were text formatted, and these dates would cause problems during related transaction dates sorting in a chronological order during analysis</t>
  </si>
  <si>
    <t>No Date</t>
  </si>
  <si>
    <t>Found that 100% of Transaction Date entries were stored as text rather than genuine dates, which would have broken chronological sorting and seasonal filtering. Converted these to real date values using Excel's VALUE function, keeping blank/Unknown/Error entries as clear readable labels rather than raw error codes. Also set up dropdown-based validation on the Payment Method column for future data entry, restricting input to approved values to prevent new inconsistent entries going forward.</t>
  </si>
  <si>
    <t>Transaction Date stored as text, not real dates</t>
  </si>
  <si>
    <t>10,000 (100%)</t>
  </si>
  <si>
    <t>High — blocked all chronological sorting and seasonal filtering</t>
  </si>
  <si>
    <t>Converted to real dates using VALUE(); unconvertible cells kept as readable labels. Payment Method dropdown validation added for future rows.</t>
  </si>
  <si>
    <t>These 415 rows carry the highest risk of misleading results and should be excluded from analysis before making a final conclusion</t>
  </si>
  <si>
    <t>70.38% of the rows are completely full with zero broken fields and can be reliably used for analysis</t>
  </si>
  <si>
    <t>25.47% of the entries have a single unknown/error in their rows and will cause slight undercounting within the relevant category breakdown, though revenue figures remain reliable.</t>
  </si>
  <si>
    <t>363 rows are exactly matched and a manual review should be done to confirm if they're coincidental or real accident duplicates</t>
  </si>
  <si>
    <t>Transaction Date's Unknown/Error entries have been consolidated into the "No Date" label (now accurately tracked in row 23), so rather than showing the old 301, it now shows 0</t>
  </si>
  <si>
    <t>Found 363 rows that exactly match across 7 columns (excluding Transaction ID). Given the dataset's limited range of items, location and payment methods, some coincidental overlap is expected. They should be reviewed manually to check if the matches are coincidental or real duplicate accidents.</t>
  </si>
  <si>
    <t>2. The 415 high-risk rows should be excluded from analysis by filtering the Broken Field Count column for rows with 2 or more broken fields, then copying the remaining visible rows to a separate clean sheet for analysis.</t>
  </si>
  <si>
    <t>Certain rows show data quality issues across more than one field at once, not just an isolated typo in a single column. 415 rows, roughly 4.2% of the dataset, fall into this category and should be excluded from analysis, since rows with multiple broken fields can't be reliably grouped, counted, or compared.</t>
  </si>
  <si>
    <t>Overall, the dataset is mostly reliable — 70.38% of rows have no data quality issues at all. Of the remaining rows, 25.477% show a single, minor issue that will cause slight undercounting within the relevant category breakdown, while 4.15% show broken fields across multiple columns within the row and should be excluded from analysis. This means the dataset can be used with confidence, provided the 4.15% of high-risk rows are excluded first.</t>
  </si>
  <si>
    <t>low(4.15%)</t>
  </si>
  <si>
    <t>3.63% - severity is low but unconfirmed</t>
  </si>
  <si>
    <t>Full row matches(excluding Transaction ID)</t>
  </si>
  <si>
    <t>I reviewed your 10,000-record sales dataset and found 2955 total broken cell entries, affecting mainly the Location and Payment Method columns, with 415 rows having two or more broken fields.</t>
  </si>
  <si>
    <t>333 (Item), 2579 (Payment Method), 3256 (Location)</t>
  </si>
  <si>
    <t>Three columns are used for grouping transactions and don't directly feed into revenue calculations: Item, Payment Method, and Location. Their Unknown/Error entries range from roughly 3% to 7%. Broken or missing entries don't affect revenue, but they will undercount transactions within each category breakdown. Transaction Date was handled separately: entries were converted to real dates, and unreliable rows were clearly flagged rather than left as a percentage-range caveat.</t>
  </si>
  <si>
    <t>3. Category-based breakdowns (Item, Payment Method, Location) should be read with the understanding that approximately 6-7% of entries in these columns are missing or unclear, so true counts may be slightly higher than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</si>
</sst>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horizontal="center" vertical="top"/>
    </xf>
    <xf numFmtId="10" fontId="0" fillId="0" borderId="0" xfId="0" applyNumberFormat="1"/>
    <xf numFmtId="0" fontId="2" fillId="0" borderId="0" xfId="0" applyFont="1"/>
    <xf numFmtId="0" fontId="2" fillId="0" borderId="0" xfId="0" applyFont="1" applyAlignment="1">
      <alignment vertical="center"/>
    </xf>
    <xf numFmtId="164"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961623-43F4-43D4-9D68-6C91B9197C4E}" name="RawData" displayName="RawData" ref="A1:K10001" totalsRowShown="0" headerRowDxfId="4">
  <autoFilter ref="A1:K10001" xr:uid="{60961623-43F4-43D4-9D68-6C91B9197C4E}"/>
  <tableColumns count="11">
    <tableColumn id="1" xr3:uid="{70CC28A6-6B05-4043-BD05-AA0AD9BD5614}" name="Transaction ID"/>
    <tableColumn id="2" xr3:uid="{89984EC2-65EE-41E3-84CA-3879C20E9FDF}" name="Item"/>
    <tableColumn id="3" xr3:uid="{81294612-F75A-456A-9168-50667E3551C0}" name="Quantity"/>
    <tableColumn id="4" xr3:uid="{CD56EE3B-88EF-4F9E-9D08-2DBBFD29813D}" name="Price Per Unit"/>
    <tableColumn id="5" xr3:uid="{7BFB94E7-BFBB-4C7E-99D8-B9721D4C6C2F}" name="Total Spent"/>
    <tableColumn id="6" xr3:uid="{6AC0A741-8477-455B-BE57-A079441AA8C4}" name="Payment Method"/>
    <tableColumn id="7" xr3:uid="{9CB55A79-87C2-4CB1-9E01-25D53997E41D}" name="Location"/>
    <tableColumn id="8" xr3:uid="{E7F481F5-5AE2-4ECA-B9F3-BD845421A030}" name="Transaction Date" dataDxfId="3"/>
    <tableColumn id="9" xr3:uid="{91FA5324-14E6-49B0-8172-CE38CB47B2E5}" name="Broken Field Count" dataDxfId="0">
      <calculatedColumnFormula>(B2="Unknown")+(B2="Error")+(C2="Unknown")+(C2="Error")+(D2="Unknown")+(D2="Error")+(E2="Unknown")+(E2="Error")+(F2="Unknown")+(F2="Error")+(G2="Unknown")+(G2="Error")+(H2="No Date")</calculatedColumnFormula>
    </tableColumn>
    <tableColumn id="10" xr3:uid="{6741C3EA-E4A4-47E0-AE5D-A61303CB896A}" name="Date Reliable?" dataDxfId="1">
      <calculatedColumnFormula>IF((H2="No Date"),"Incomplete","Complete")</calculatedColumnFormula>
    </tableColumn>
    <tableColumn id="15" xr3:uid="{34192918-104F-4EA9-8562-B1B7AC90A7E6}" name="Full Row Match Count" dataDxfId="2">
      <calculatedColumnFormula>COUNTIFS(RawData[Item], B2,RawData[Quantity],C2,RawData[Price Per Unit],D2,RawData[Total Spent],E2,RawData[Payment Method],F2,RawData[Location],G2,RawData[Transaction Date],H2)</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BED3-E76F-4A22-B6D2-265A796C9059}">
  <dimension ref="A1:B51"/>
  <sheetViews>
    <sheetView showGridLines="0" topLeftCell="A28" workbookViewId="0">
      <selection activeCell="A48" sqref="A48"/>
    </sheetView>
  </sheetViews>
  <sheetFormatPr defaultRowHeight="14.4" x14ac:dyDescent="0.3"/>
  <sheetData>
    <row r="1" spans="1:2" x14ac:dyDescent="0.3">
      <c r="A1" s="1" t="s">
        <v>10054</v>
      </c>
    </row>
    <row r="3" spans="1:2" x14ac:dyDescent="0.3">
      <c r="A3" t="s">
        <v>10055</v>
      </c>
    </row>
    <row r="4" spans="1:2" x14ac:dyDescent="0.3">
      <c r="A4" t="s">
        <v>10056</v>
      </c>
    </row>
    <row r="7" spans="1:2" x14ac:dyDescent="0.3">
      <c r="A7" s="1" t="s">
        <v>10057</v>
      </c>
    </row>
    <row r="9" spans="1:2" x14ac:dyDescent="0.3">
      <c r="A9" t="s">
        <v>10130</v>
      </c>
    </row>
    <row r="12" spans="1:2" x14ac:dyDescent="0.3">
      <c r="A12" s="1" t="s">
        <v>10058</v>
      </c>
      <c r="B12" s="1"/>
    </row>
    <row r="14" spans="1:2" x14ac:dyDescent="0.3">
      <c r="A14" t="s">
        <v>10059</v>
      </c>
    </row>
    <row r="16" spans="1:2" x14ac:dyDescent="0.3">
      <c r="A16" t="s">
        <v>10125</v>
      </c>
    </row>
    <row r="18" spans="1:1" x14ac:dyDescent="0.3">
      <c r="A18" t="s">
        <v>10132</v>
      </c>
    </row>
    <row r="20" spans="1:1" x14ac:dyDescent="0.3">
      <c r="A20" t="s">
        <v>10060</v>
      </c>
    </row>
    <row r="23" spans="1:1" x14ac:dyDescent="0.3">
      <c r="A23" s="1" t="s">
        <v>10061</v>
      </c>
    </row>
    <row r="25" spans="1:1" x14ac:dyDescent="0.3">
      <c r="A25" t="s">
        <v>10126</v>
      </c>
    </row>
    <row r="27" spans="1:1" x14ac:dyDescent="0.3">
      <c r="A27" s="1" t="s">
        <v>10101</v>
      </c>
    </row>
    <row r="29" spans="1:1" x14ac:dyDescent="0.3">
      <c r="A29" t="s">
        <v>10098</v>
      </c>
    </row>
    <row r="31" spans="1:1" x14ac:dyDescent="0.3">
      <c r="A31" t="s">
        <v>10099</v>
      </c>
    </row>
    <row r="33" spans="1:1" x14ac:dyDescent="0.3">
      <c r="A33" t="s">
        <v>10100</v>
      </c>
    </row>
    <row r="35" spans="1:1" x14ac:dyDescent="0.3">
      <c r="A35" t="s">
        <v>10113</v>
      </c>
    </row>
    <row r="37" spans="1:1" x14ac:dyDescent="0.3">
      <c r="A37" s="1" t="s">
        <v>10108</v>
      </c>
    </row>
    <row r="39" spans="1:1" x14ac:dyDescent="0.3">
      <c r="A39" t="s">
        <v>10123</v>
      </c>
    </row>
    <row r="41" spans="1:1" x14ac:dyDescent="0.3">
      <c r="A41" s="1" t="s">
        <v>10062</v>
      </c>
    </row>
    <row r="43" spans="1:1" x14ac:dyDescent="0.3">
      <c r="A43" t="s">
        <v>10063</v>
      </c>
    </row>
    <row r="45" spans="1:1" x14ac:dyDescent="0.3">
      <c r="A45" t="s">
        <v>10124</v>
      </c>
    </row>
    <row r="47" spans="1:1" x14ac:dyDescent="0.3">
      <c r="A47" t="s">
        <v>10133</v>
      </c>
    </row>
    <row r="49" spans="1:1" x14ac:dyDescent="0.3">
      <c r="A49" t="s">
        <v>10064</v>
      </c>
    </row>
    <row r="51" spans="1:1" x14ac:dyDescent="0.3">
      <c r="A51" t="s">
        <v>10109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9BF83-316B-4348-981D-11CC872FCD5A}">
  <dimension ref="A1:E6"/>
  <sheetViews>
    <sheetView workbookViewId="0">
      <selection activeCell="C6" sqref="C6"/>
    </sheetView>
  </sheetViews>
  <sheetFormatPr defaultRowHeight="14.4" x14ac:dyDescent="0.3"/>
  <cols>
    <col min="1" max="1" width="36.5546875" customWidth="1"/>
    <col min="2" max="2" width="29" customWidth="1"/>
    <col min="3" max="3" width="43.44140625" customWidth="1"/>
    <col min="4" max="4" width="51.109375" customWidth="1"/>
    <col min="5" max="5" width="12.33203125" customWidth="1"/>
  </cols>
  <sheetData>
    <row r="1" spans="1:5" x14ac:dyDescent="0.3">
      <c r="A1" t="s">
        <v>10034</v>
      </c>
      <c r="B1" t="s">
        <v>10035</v>
      </c>
      <c r="C1" t="s">
        <v>10036</v>
      </c>
      <c r="D1" t="s">
        <v>10037</v>
      </c>
      <c r="E1" t="s">
        <v>10038</v>
      </c>
    </row>
    <row r="2" spans="1:5" x14ac:dyDescent="0.3">
      <c r="A2" t="s">
        <v>10046</v>
      </c>
      <c r="B2">
        <v>7</v>
      </c>
      <c r="C2">
        <v>415</v>
      </c>
      <c r="D2" t="s">
        <v>10127</v>
      </c>
      <c r="E2" t="s">
        <v>10049</v>
      </c>
    </row>
    <row r="3" spans="1:5" ht="15.6" x14ac:dyDescent="0.3">
      <c r="A3" t="s">
        <v>10065</v>
      </c>
      <c r="B3" t="s">
        <v>10066</v>
      </c>
      <c r="C3" t="s">
        <v>10131</v>
      </c>
      <c r="D3" s="4" t="s">
        <v>10067</v>
      </c>
      <c r="E3" s="5" t="s">
        <v>10068</v>
      </c>
    </row>
    <row r="4" spans="1:5" x14ac:dyDescent="0.3">
      <c r="A4" t="s">
        <v>10093</v>
      </c>
      <c r="B4" t="s">
        <v>10094</v>
      </c>
      <c r="C4" t="s">
        <v>10095</v>
      </c>
      <c r="D4" t="s">
        <v>10096</v>
      </c>
      <c r="E4" t="s">
        <v>10097</v>
      </c>
    </row>
    <row r="5" spans="1:5" x14ac:dyDescent="0.3">
      <c r="A5" t="s">
        <v>10129</v>
      </c>
      <c r="B5">
        <v>7</v>
      </c>
      <c r="C5">
        <v>363</v>
      </c>
      <c r="D5" t="s">
        <v>10128</v>
      </c>
      <c r="E5" t="s">
        <v>10107</v>
      </c>
    </row>
    <row r="6" spans="1:5" x14ac:dyDescent="0.3">
      <c r="A6" t="s">
        <v>10114</v>
      </c>
      <c r="B6" t="s">
        <v>10094</v>
      </c>
      <c r="C6" t="s">
        <v>10115</v>
      </c>
      <c r="D6" t="s">
        <v>10116</v>
      </c>
      <c r="E6" t="s">
        <v>10117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D9CB8-A80A-4D22-8611-C4C64342C4CB}">
  <dimension ref="A1:AB27"/>
  <sheetViews>
    <sheetView topLeftCell="A4" workbookViewId="0">
      <selection activeCell="D10" sqref="D10"/>
    </sheetView>
  </sheetViews>
  <sheetFormatPr defaultRowHeight="14.4" x14ac:dyDescent="0.3"/>
  <cols>
    <col min="1" max="1" width="32.5546875" customWidth="1"/>
    <col min="2" max="2" width="8.77734375" customWidth="1"/>
    <col min="3" max="3" width="11" customWidth="1"/>
    <col min="4" max="4" width="16" customWidth="1"/>
  </cols>
  <sheetData>
    <row r="1" spans="1:28" x14ac:dyDescent="0.3">
      <c r="A1" t="s">
        <v>10022</v>
      </c>
      <c r="B1" t="s">
        <v>10023</v>
      </c>
      <c r="C1" t="s">
        <v>10025</v>
      </c>
      <c r="D1" t="s">
        <v>10024</v>
      </c>
    </row>
    <row r="2" spans="1:28" x14ac:dyDescent="0.3">
      <c r="A2" t="s">
        <v>10026</v>
      </c>
      <c r="B2">
        <f>SUMPRODUCT((COUNTIF(RawData[Transaction ID],RawData[Transaction ID])&gt;1)*1)</f>
        <v>0</v>
      </c>
      <c r="C2" s="3">
        <f>B2/$B$12</f>
        <v>0</v>
      </c>
      <c r="D2" t="s">
        <v>10041</v>
      </c>
    </row>
    <row r="3" spans="1:28" x14ac:dyDescent="0.3">
      <c r="A3" t="s">
        <v>10027</v>
      </c>
      <c r="B3">
        <f>COUNTIF(RawData[Item],"Unknown")+COUNTIF(RawData[Item],"Error")</f>
        <v>636</v>
      </c>
      <c r="C3" s="3">
        <f t="shared" ref="C3:C27" si="0">B3/$B$12</f>
        <v>6.3600000000000004E-2</v>
      </c>
      <c r="D3" t="s">
        <v>10040</v>
      </c>
    </row>
    <row r="4" spans="1:28" x14ac:dyDescent="0.3">
      <c r="A4" t="s">
        <v>10028</v>
      </c>
      <c r="B4">
        <f>COUNTIF(RawData[Quantity],"Unknown")+COUNTIF(RawData[Quantity],"Error")</f>
        <v>341</v>
      </c>
      <c r="C4" s="3">
        <f t="shared" si="0"/>
        <v>3.4099999999999998E-2</v>
      </c>
      <c r="D4" t="s">
        <v>10042</v>
      </c>
    </row>
    <row r="5" spans="1:28" x14ac:dyDescent="0.3">
      <c r="A5" t="s">
        <v>10029</v>
      </c>
      <c r="B5">
        <f>COUNTIF(RawData[Price Per Unit],"Unknown")+COUNTIF(RawData[Price Per Unit],"Error")</f>
        <v>354</v>
      </c>
      <c r="C5" s="3">
        <f t="shared" si="0"/>
        <v>3.5400000000000001E-2</v>
      </c>
      <c r="D5" t="s">
        <v>10043</v>
      </c>
      <c r="AB5">
        <f>COUNTIF(RawData[Broken Field Count],"=0")</f>
        <v>7038</v>
      </c>
    </row>
    <row r="6" spans="1:28" x14ac:dyDescent="0.3">
      <c r="A6" t="s">
        <v>10030</v>
      </c>
      <c r="B6">
        <f>COUNTIF(RawData[Total Spent],"Unknown")+COUNTIF(RawData[Total Spent],"Error")</f>
        <v>329</v>
      </c>
      <c r="C6" s="3">
        <f t="shared" si="0"/>
        <v>3.2899999999999999E-2</v>
      </c>
      <c r="D6" t="s">
        <v>10044</v>
      </c>
      <c r="AB6">
        <f>COUNTIF(RawData[Broken Field Count],"=1")</f>
        <v>2547</v>
      </c>
    </row>
    <row r="7" spans="1:28" x14ac:dyDescent="0.3">
      <c r="A7" t="s">
        <v>10031</v>
      </c>
      <c r="B7">
        <f>COUNTIF(RawData[Payment Method],"Unknown")+COUNTIF(RawData[Payment Method],"Error")</f>
        <v>599</v>
      </c>
      <c r="C7" s="3">
        <f t="shared" si="0"/>
        <v>5.9900000000000002E-2</v>
      </c>
      <c r="D7" t="s">
        <v>10045</v>
      </c>
      <c r="AB7">
        <f>COUNTIF(RawData[Broken Field Count],"&gt;=2")</f>
        <v>415</v>
      </c>
    </row>
    <row r="8" spans="1:28" x14ac:dyDescent="0.3">
      <c r="A8" t="s">
        <v>10032</v>
      </c>
      <c r="B8">
        <f>COUNTIF(RawData[Location],"Unknown")+COUNTIF(RawData[Location],"Error")</f>
        <v>696</v>
      </c>
      <c r="C8" s="3">
        <f t="shared" si="0"/>
        <v>6.9599999999999995E-2</v>
      </c>
      <c r="D8" t="s">
        <v>10039</v>
      </c>
    </row>
    <row r="9" spans="1:28" x14ac:dyDescent="0.3">
      <c r="A9" t="s">
        <v>10033</v>
      </c>
      <c r="B9">
        <f>COUNTIF(RawData[Transaction Date],"Unknown")+COUNTIF(RawData[Transaction Date],"Error")</f>
        <v>0</v>
      </c>
      <c r="C9" s="3">
        <f t="shared" si="0"/>
        <v>0</v>
      </c>
      <c r="D9" t="s">
        <v>10122</v>
      </c>
    </row>
    <row r="10" spans="1:28" x14ac:dyDescent="0.3">
      <c r="A10" t="s">
        <v>10048</v>
      </c>
      <c r="B10">
        <f>COUNTIF(RawData[Broken Field Count],"&gt;=2")</f>
        <v>415</v>
      </c>
      <c r="C10" s="3">
        <f t="shared" si="0"/>
        <v>4.1500000000000002E-2</v>
      </c>
      <c r="D10" t="s">
        <v>10118</v>
      </c>
    </row>
    <row r="11" spans="1:28" x14ac:dyDescent="0.3">
      <c r="A11" t="s">
        <v>10051</v>
      </c>
      <c r="B11">
        <f>SUM(B3:B9)</f>
        <v>2955</v>
      </c>
      <c r="C11" s="3">
        <f t="shared" si="0"/>
        <v>0.29549999999999998</v>
      </c>
    </row>
    <row r="12" spans="1:28" x14ac:dyDescent="0.3">
      <c r="A12" t="s">
        <v>10050</v>
      </c>
      <c r="B12">
        <f>COUNTA(RawData[Transaction ID])</f>
        <v>10000</v>
      </c>
      <c r="C12" s="3"/>
    </row>
    <row r="13" spans="1:28" x14ac:dyDescent="0.3">
      <c r="A13" t="s">
        <v>10052</v>
      </c>
      <c r="B13">
        <f>COUNTIF(RawData[Broken Field Count],"=0")</f>
        <v>7038</v>
      </c>
      <c r="C13" s="3">
        <f t="shared" si="0"/>
        <v>0.70379999999999998</v>
      </c>
      <c r="D13" t="s">
        <v>10119</v>
      </c>
    </row>
    <row r="14" spans="1:28" x14ac:dyDescent="0.3">
      <c r="A14" t="s">
        <v>10053</v>
      </c>
      <c r="B14">
        <f>COUNTIF(RawData[Broken Field Count],"=1")</f>
        <v>2547</v>
      </c>
      <c r="C14" s="3">
        <f t="shared" si="0"/>
        <v>0.25469999999999998</v>
      </c>
      <c r="D14" t="s">
        <v>10120</v>
      </c>
    </row>
    <row r="15" spans="1:28" x14ac:dyDescent="0.3">
      <c r="A15" t="s">
        <v>10071</v>
      </c>
      <c r="B15">
        <v>333</v>
      </c>
      <c r="C15" s="3">
        <f t="shared" si="0"/>
        <v>3.3300000000000003E-2</v>
      </c>
      <c r="D15" t="s">
        <v>10082</v>
      </c>
    </row>
    <row r="16" spans="1:28" x14ac:dyDescent="0.3">
      <c r="A16" t="s">
        <v>10072</v>
      </c>
      <c r="B16">
        <f>COUNTIF(RawData[Item],"")</f>
        <v>0</v>
      </c>
      <c r="C16" s="3">
        <f t="shared" si="0"/>
        <v>0</v>
      </c>
      <c r="D16" t="s">
        <v>10083</v>
      </c>
    </row>
    <row r="17" spans="1:4" x14ac:dyDescent="0.3">
      <c r="A17" t="s">
        <v>10073</v>
      </c>
      <c r="B17">
        <f>COUNTIF(RawData[Quantity],"")</f>
        <v>0</v>
      </c>
      <c r="C17" s="3">
        <f t="shared" si="0"/>
        <v>0</v>
      </c>
      <c r="D17" t="s">
        <v>10084</v>
      </c>
    </row>
    <row r="18" spans="1:4" x14ac:dyDescent="0.3">
      <c r="A18" t="s">
        <v>10074</v>
      </c>
      <c r="B18">
        <f>COUNTIF(RawData[Price Per Unit],"")</f>
        <v>0</v>
      </c>
      <c r="C18" s="3">
        <f t="shared" si="0"/>
        <v>0</v>
      </c>
      <c r="D18" t="s">
        <v>10085</v>
      </c>
    </row>
    <row r="19" spans="1:4" x14ac:dyDescent="0.3">
      <c r="A19" t="s">
        <v>10075</v>
      </c>
      <c r="B19">
        <f>COUNTIF(RawData[Total Spent],"")</f>
        <v>0</v>
      </c>
      <c r="C19" s="3">
        <f t="shared" si="0"/>
        <v>0</v>
      </c>
      <c r="D19" t="s">
        <v>10086</v>
      </c>
    </row>
    <row r="20" spans="1:4" x14ac:dyDescent="0.3">
      <c r="A20" t="s">
        <v>10076</v>
      </c>
      <c r="B20">
        <v>2579</v>
      </c>
      <c r="C20" s="3">
        <f t="shared" si="0"/>
        <v>0.25790000000000002</v>
      </c>
      <c r="D20" t="s">
        <v>10087</v>
      </c>
    </row>
    <row r="21" spans="1:4" x14ac:dyDescent="0.3">
      <c r="A21" t="s">
        <v>10077</v>
      </c>
      <c r="B21">
        <v>3256</v>
      </c>
      <c r="C21" s="3">
        <f t="shared" si="0"/>
        <v>0.3256</v>
      </c>
      <c r="D21" t="s">
        <v>10088</v>
      </c>
    </row>
    <row r="22" spans="1:4" x14ac:dyDescent="0.3">
      <c r="A22" t="s">
        <v>10078</v>
      </c>
      <c r="B22">
        <v>159</v>
      </c>
      <c r="C22" s="3">
        <f t="shared" si="0"/>
        <v>1.5900000000000001E-2</v>
      </c>
      <c r="D22" t="s">
        <v>10089</v>
      </c>
    </row>
    <row r="23" spans="1:4" x14ac:dyDescent="0.3">
      <c r="A23" t="s">
        <v>10079</v>
      </c>
      <c r="B23">
        <f>COUNTIF(RawData[Date Reliable?],"Incomplete")</f>
        <v>460</v>
      </c>
      <c r="C23" s="3">
        <f t="shared" si="0"/>
        <v>4.5999999999999999E-2</v>
      </c>
      <c r="D23" t="s">
        <v>10090</v>
      </c>
    </row>
    <row r="24" spans="1:4" x14ac:dyDescent="0.3">
      <c r="A24" t="s">
        <v>10080</v>
      </c>
      <c r="B24">
        <f>COUNTIF(RawData[Payment Method],"")</f>
        <v>0</v>
      </c>
      <c r="C24" s="3">
        <f t="shared" si="0"/>
        <v>0</v>
      </c>
      <c r="D24" t="s">
        <v>10091</v>
      </c>
    </row>
    <row r="25" spans="1:4" x14ac:dyDescent="0.3">
      <c r="A25" t="s">
        <v>10081</v>
      </c>
      <c r="B25">
        <f>COUNTIF(RawData[Location],"")</f>
        <v>0</v>
      </c>
      <c r="C25" s="3">
        <f t="shared" si="0"/>
        <v>0</v>
      </c>
      <c r="D25" t="s">
        <v>10092</v>
      </c>
    </row>
    <row r="26" spans="1:4" x14ac:dyDescent="0.3">
      <c r="A26" t="s">
        <v>10106</v>
      </c>
      <c r="B26">
        <f>COUNTIF(RawData[Full Row Match Count],"&gt;1")</f>
        <v>363</v>
      </c>
      <c r="C26" s="3">
        <f t="shared" si="0"/>
        <v>3.6299999999999999E-2</v>
      </c>
      <c r="D26" t="s">
        <v>10121</v>
      </c>
    </row>
    <row r="27" spans="1:4" x14ac:dyDescent="0.3">
      <c r="A27" t="s">
        <v>10110</v>
      </c>
      <c r="B27">
        <v>10000</v>
      </c>
      <c r="C27" s="3">
        <f t="shared" si="0"/>
        <v>1</v>
      </c>
      <c r="D27" t="s">
        <v>10111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8A42-6793-4AC8-A6EE-690A6CC170A5}">
  <dimension ref="A1:A4"/>
  <sheetViews>
    <sheetView workbookViewId="0">
      <selection activeCell="D4" sqref="D4"/>
    </sheetView>
  </sheetViews>
  <sheetFormatPr defaultRowHeight="14.4" x14ac:dyDescent="0.3"/>
  <cols>
    <col min="1" max="1" width="11.88671875" bestFit="1" customWidth="1"/>
  </cols>
  <sheetData>
    <row r="1" spans="1:1" x14ac:dyDescent="0.3">
      <c r="A1" t="s">
        <v>10019</v>
      </c>
    </row>
    <row r="2" spans="1:1" x14ac:dyDescent="0.3">
      <c r="A2" t="s">
        <v>10018</v>
      </c>
    </row>
    <row r="3" spans="1:1" x14ac:dyDescent="0.3">
      <c r="A3" t="s">
        <v>10020</v>
      </c>
    </row>
    <row r="4" spans="1:1" x14ac:dyDescent="0.3">
      <c r="A4" t="s">
        <v>10069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1"/>
  <sheetViews>
    <sheetView tabSelected="1" workbookViewId="0">
      <selection activeCell="I2" sqref="I2"/>
    </sheetView>
  </sheetViews>
  <sheetFormatPr defaultRowHeight="14.4" x14ac:dyDescent="0.3"/>
  <cols>
    <col min="1" max="1" width="17.109375" customWidth="1"/>
    <col min="2" max="2" width="11.77734375" customWidth="1"/>
    <col min="3" max="3" width="11.5546875" customWidth="1"/>
    <col min="4" max="4" width="15.33203125" customWidth="1"/>
    <col min="5" max="5" width="13" customWidth="1"/>
    <col min="6" max="6" width="20.109375" customWidth="1"/>
    <col min="7" max="7" width="13.33203125" customWidth="1"/>
    <col min="8" max="8" width="19.77734375" customWidth="1"/>
    <col min="9" max="9" width="23.21875" customWidth="1"/>
    <col min="10" max="10" width="19.21875" customWidth="1"/>
    <col min="11" max="11" width="25.5546875" customWidth="1"/>
    <col min="12" max="12" width="21.5546875" style="6" customWidth="1"/>
  </cols>
  <sheetData>
    <row r="1" spans="1:12" x14ac:dyDescent="0.3">
      <c r="A1" s="2" t="s">
        <v>0</v>
      </c>
      <c r="B1" s="2" t="s">
        <v>1</v>
      </c>
      <c r="C1" s="1" t="s">
        <v>2</v>
      </c>
      <c r="D1" s="1" t="s">
        <v>3</v>
      </c>
      <c r="E1" s="1" t="s">
        <v>4</v>
      </c>
      <c r="F1" s="2" t="s">
        <v>5</v>
      </c>
      <c r="G1" s="2" t="s">
        <v>6</v>
      </c>
      <c r="H1" s="2" t="s">
        <v>7</v>
      </c>
      <c r="I1" s="2" t="s">
        <v>10047</v>
      </c>
      <c r="J1" s="2" t="s">
        <v>10070</v>
      </c>
      <c r="K1" s="2" t="s">
        <v>10105</v>
      </c>
      <c r="L1"/>
    </row>
    <row r="2" spans="1:12" x14ac:dyDescent="0.3">
      <c r="A2" t="s">
        <v>8</v>
      </c>
      <c r="B2" t="s">
        <v>10008</v>
      </c>
      <c r="C2">
        <v>2</v>
      </c>
      <c r="D2">
        <v>2</v>
      </c>
      <c r="E2">
        <v>4</v>
      </c>
      <c r="F2" t="s">
        <v>10018</v>
      </c>
      <c r="G2" t="s">
        <v>10021</v>
      </c>
      <c r="H2" s="6">
        <v>45177</v>
      </c>
      <c r="I2">
        <f t="shared" ref="I2:I65" si="0">(B2="Unknown")+(B2="Error")+(C2="Unknown")+(C2="Error")+(D2="Unknown")+(D2="Error")+(E2="Unknown")+(E2="Error")+(F2="Unknown")+(F2="Error")+(G2="Unknown")+(G2="Error")+(H2="No Date")</f>
        <v>0</v>
      </c>
      <c r="J2" t="str">
        <f t="shared" ref="J2:J65" si="1">IF((H2="No Date"),"Incomplete","Complete")</f>
        <v>Complete</v>
      </c>
      <c r="K2">
        <f>COUNTIFS(RawData[Item], B2,RawData[Quantity],C2,RawData[Price Per Unit],D2,RawData[Total Spent],E2,RawData[Payment Method],F2,RawData[Location],G2,RawData[Transaction Date],H2)</f>
        <v>1</v>
      </c>
      <c r="L2"/>
    </row>
    <row r="3" spans="1:12" x14ac:dyDescent="0.3">
      <c r="A3" t="s">
        <v>9</v>
      </c>
      <c r="B3" t="s">
        <v>10009</v>
      </c>
      <c r="C3">
        <v>4</v>
      </c>
      <c r="D3">
        <v>3</v>
      </c>
      <c r="E3">
        <v>12</v>
      </c>
      <c r="F3" t="s">
        <v>10019</v>
      </c>
      <c r="G3" t="s">
        <v>10102</v>
      </c>
      <c r="H3" s="6">
        <v>45062</v>
      </c>
      <c r="I3">
        <f t="shared" si="0"/>
        <v>0</v>
      </c>
      <c r="J3" t="str">
        <f t="shared" si="1"/>
        <v>Complete</v>
      </c>
      <c r="K3">
        <f>COUNTIFS(RawData[Item], B3,RawData[Quantity],C3,RawData[Price Per Unit],D3,RawData[Total Spent],E3,RawData[Payment Method],F3,RawData[Location],G3,RawData[Transaction Date],H3)</f>
        <v>1</v>
      </c>
      <c r="L3"/>
    </row>
    <row r="4" spans="1:12" x14ac:dyDescent="0.3">
      <c r="A4" t="s">
        <v>10</v>
      </c>
      <c r="B4" t="s">
        <v>10010</v>
      </c>
      <c r="C4">
        <v>4</v>
      </c>
      <c r="D4">
        <v>1</v>
      </c>
      <c r="E4" t="s">
        <v>10015</v>
      </c>
      <c r="F4" t="s">
        <v>10018</v>
      </c>
      <c r="G4" t="s">
        <v>10102</v>
      </c>
      <c r="H4" s="6">
        <v>45126</v>
      </c>
      <c r="I4">
        <f t="shared" si="0"/>
        <v>1</v>
      </c>
      <c r="J4" t="str">
        <f t="shared" si="1"/>
        <v>Complete</v>
      </c>
      <c r="K4">
        <f>COUNTIFS(RawData[Item], B4,RawData[Quantity],C4,RawData[Price Per Unit],D4,RawData[Total Spent],E4,RawData[Payment Method],F4,RawData[Location],G4,RawData[Transaction Date],H4)</f>
        <v>1</v>
      </c>
      <c r="L4"/>
    </row>
    <row r="5" spans="1:12" x14ac:dyDescent="0.3">
      <c r="A5" t="s">
        <v>11</v>
      </c>
      <c r="B5" t="s">
        <v>10011</v>
      </c>
      <c r="C5">
        <v>2</v>
      </c>
      <c r="D5">
        <v>5</v>
      </c>
      <c r="E5">
        <v>10</v>
      </c>
      <c r="F5" t="s">
        <v>10103</v>
      </c>
      <c r="G5" t="s">
        <v>10103</v>
      </c>
      <c r="H5" s="6">
        <v>45043</v>
      </c>
      <c r="I5">
        <f t="shared" si="0"/>
        <v>2</v>
      </c>
      <c r="J5" t="str">
        <f t="shared" si="1"/>
        <v>Complete</v>
      </c>
      <c r="K5">
        <f>COUNTIFS(RawData[Item], B5,RawData[Quantity],C5,RawData[Price Per Unit],D5,RawData[Total Spent],E5,RawData[Payment Method],F5,RawData[Location],G5,RawData[Transaction Date],H5)</f>
        <v>1</v>
      </c>
      <c r="L5"/>
    </row>
    <row r="6" spans="1:12" x14ac:dyDescent="0.3">
      <c r="A6" t="s">
        <v>12</v>
      </c>
      <c r="B6" t="s">
        <v>10008</v>
      </c>
      <c r="C6">
        <v>2</v>
      </c>
      <c r="D6">
        <v>2</v>
      </c>
      <c r="E6">
        <v>4</v>
      </c>
      <c r="F6" t="s">
        <v>10020</v>
      </c>
      <c r="G6" t="s">
        <v>10102</v>
      </c>
      <c r="H6" s="6">
        <v>45088</v>
      </c>
      <c r="I6">
        <f t="shared" si="0"/>
        <v>0</v>
      </c>
      <c r="J6" t="str">
        <f t="shared" si="1"/>
        <v>Complete</v>
      </c>
      <c r="K6">
        <f>COUNTIFS(RawData[Item], B6,RawData[Quantity],C6,RawData[Price Per Unit],D6,RawData[Total Spent],E6,RawData[Payment Method],F6,RawData[Location],G6,RawData[Transaction Date],H6)</f>
        <v>1</v>
      </c>
      <c r="L6"/>
    </row>
    <row r="7" spans="1:12" x14ac:dyDescent="0.3">
      <c r="A7" t="s">
        <v>13</v>
      </c>
      <c r="B7" t="s">
        <v>10012</v>
      </c>
      <c r="C7">
        <v>5</v>
      </c>
      <c r="D7">
        <v>4</v>
      </c>
      <c r="E7">
        <v>20</v>
      </c>
      <c r="F7" t="s">
        <v>10018</v>
      </c>
      <c r="G7" t="s">
        <v>10069</v>
      </c>
      <c r="H7" s="6">
        <v>45016</v>
      </c>
      <c r="I7">
        <f t="shared" si="0"/>
        <v>0</v>
      </c>
      <c r="J7" t="str">
        <f t="shared" si="1"/>
        <v>Complete</v>
      </c>
      <c r="K7">
        <f>COUNTIFS(RawData[Item], B7,RawData[Quantity],C7,RawData[Price Per Unit],D7,RawData[Total Spent],E7,RawData[Payment Method],F7,RawData[Location],G7,RawData[Transaction Date],H7)</f>
        <v>2</v>
      </c>
      <c r="L7"/>
    </row>
    <row r="8" spans="1:12" x14ac:dyDescent="0.3">
      <c r="A8" t="s">
        <v>14</v>
      </c>
      <c r="B8" t="s">
        <v>10013</v>
      </c>
      <c r="C8">
        <v>3</v>
      </c>
      <c r="D8">
        <v>3</v>
      </c>
      <c r="E8">
        <v>9</v>
      </c>
      <c r="F8" t="s">
        <v>10104</v>
      </c>
      <c r="G8" t="s">
        <v>10021</v>
      </c>
      <c r="H8" s="6">
        <v>45205</v>
      </c>
      <c r="I8">
        <f t="shared" si="0"/>
        <v>2</v>
      </c>
      <c r="J8" t="str">
        <f t="shared" si="1"/>
        <v>Complete</v>
      </c>
      <c r="K8">
        <f>COUNTIFS(RawData[Item], B8,RawData[Quantity],C8,RawData[Price Per Unit],D8,RawData[Total Spent],E8,RawData[Payment Method],F8,RawData[Location],G8,RawData[Transaction Date],H8)</f>
        <v>1</v>
      </c>
      <c r="L8"/>
    </row>
    <row r="9" spans="1:12" x14ac:dyDescent="0.3">
      <c r="A9" t="s">
        <v>15</v>
      </c>
      <c r="B9" t="s">
        <v>10014</v>
      </c>
      <c r="C9">
        <v>4</v>
      </c>
      <c r="D9">
        <v>4</v>
      </c>
      <c r="E9">
        <v>16</v>
      </c>
      <c r="F9" t="s">
        <v>10019</v>
      </c>
      <c r="G9" t="s">
        <v>10103</v>
      </c>
      <c r="H9" s="6">
        <v>45227</v>
      </c>
      <c r="I9">
        <f t="shared" si="0"/>
        <v>1</v>
      </c>
      <c r="J9" t="str">
        <f t="shared" si="1"/>
        <v>Complete</v>
      </c>
      <c r="K9">
        <f>COUNTIFS(RawData[Item], B9,RawData[Quantity],C9,RawData[Price Per Unit],D9,RawData[Total Spent],E9,RawData[Payment Method],F9,RawData[Location],G9,RawData[Transaction Date],H9)</f>
        <v>1</v>
      </c>
      <c r="L9"/>
    </row>
    <row r="10" spans="1:12" x14ac:dyDescent="0.3">
      <c r="A10" t="s">
        <v>16</v>
      </c>
      <c r="B10" t="s">
        <v>10069</v>
      </c>
      <c r="C10">
        <v>5</v>
      </c>
      <c r="D10">
        <v>3</v>
      </c>
      <c r="E10">
        <v>15</v>
      </c>
      <c r="F10" t="s">
        <v>10069</v>
      </c>
      <c r="G10" t="s">
        <v>10021</v>
      </c>
      <c r="H10" s="6">
        <v>45135</v>
      </c>
      <c r="I10">
        <f t="shared" si="0"/>
        <v>0</v>
      </c>
      <c r="J10" t="str">
        <f t="shared" si="1"/>
        <v>Complete</v>
      </c>
      <c r="K10">
        <f>COUNTIFS(RawData[Item], B10,RawData[Quantity],C10,RawData[Price Per Unit],D10,RawData[Total Spent],E10,RawData[Payment Method],F10,RawData[Location],G10,RawData[Transaction Date],H10)</f>
        <v>1</v>
      </c>
      <c r="L10"/>
    </row>
    <row r="11" spans="1:12" x14ac:dyDescent="0.3">
      <c r="A11" t="s">
        <v>17</v>
      </c>
      <c r="B11" t="s">
        <v>10014</v>
      </c>
      <c r="C11">
        <v>5</v>
      </c>
      <c r="D11">
        <v>4</v>
      </c>
      <c r="E11">
        <v>20</v>
      </c>
      <c r="F11" t="s">
        <v>10069</v>
      </c>
      <c r="G11" t="s">
        <v>10102</v>
      </c>
      <c r="H11" s="6">
        <v>45291</v>
      </c>
      <c r="I11">
        <f t="shared" si="0"/>
        <v>0</v>
      </c>
      <c r="J11" t="str">
        <f t="shared" si="1"/>
        <v>Complete</v>
      </c>
      <c r="K11">
        <f>COUNTIFS(RawData[Item], B11,RawData[Quantity],C11,RawData[Price Per Unit],D11,RawData[Total Spent],E11,RawData[Payment Method],F11,RawData[Location],G11,RawData[Transaction Date],H11)</f>
        <v>1</v>
      </c>
      <c r="L11"/>
    </row>
    <row r="12" spans="1:12" x14ac:dyDescent="0.3">
      <c r="A12" t="s">
        <v>18</v>
      </c>
      <c r="B12" t="s">
        <v>10011</v>
      </c>
      <c r="C12">
        <v>5</v>
      </c>
      <c r="D12">
        <v>5</v>
      </c>
      <c r="E12">
        <v>25</v>
      </c>
      <c r="F12" t="s">
        <v>10019</v>
      </c>
      <c r="G12" t="s">
        <v>10021</v>
      </c>
      <c r="H12" s="6">
        <v>45237</v>
      </c>
      <c r="I12">
        <f t="shared" si="0"/>
        <v>0</v>
      </c>
      <c r="J12" t="str">
        <f t="shared" si="1"/>
        <v>Complete</v>
      </c>
      <c r="K12">
        <f>COUNTIFS(RawData[Item], B12,RawData[Quantity],C12,RawData[Price Per Unit],D12,RawData[Total Spent],E12,RawData[Payment Method],F12,RawData[Location],G12,RawData[Transaction Date],H12)</f>
        <v>1</v>
      </c>
      <c r="L12"/>
    </row>
    <row r="13" spans="1:12" x14ac:dyDescent="0.3">
      <c r="A13" t="s">
        <v>19</v>
      </c>
      <c r="B13" t="s">
        <v>10014</v>
      </c>
      <c r="C13">
        <v>2</v>
      </c>
      <c r="D13">
        <v>4</v>
      </c>
      <c r="E13">
        <v>8</v>
      </c>
      <c r="F13" t="s">
        <v>10018</v>
      </c>
      <c r="G13" t="s">
        <v>10021</v>
      </c>
      <c r="H13" s="6" t="s">
        <v>10112</v>
      </c>
      <c r="I13">
        <f t="shared" si="0"/>
        <v>1</v>
      </c>
      <c r="J13" t="str">
        <f t="shared" si="1"/>
        <v>Incomplete</v>
      </c>
      <c r="K13">
        <f>COUNTIFS(RawData[Item], B13,RawData[Quantity],C13,RawData[Price Per Unit],D13,RawData[Total Spent],E13,RawData[Payment Method],F13,RawData[Location],G13,RawData[Transaction Date],H13)</f>
        <v>2</v>
      </c>
      <c r="L13"/>
    </row>
    <row r="14" spans="1:12" x14ac:dyDescent="0.3">
      <c r="A14" t="s">
        <v>20</v>
      </c>
      <c r="B14" t="s">
        <v>10014</v>
      </c>
      <c r="C14">
        <v>2</v>
      </c>
      <c r="D14">
        <v>4</v>
      </c>
      <c r="E14">
        <v>8</v>
      </c>
      <c r="F14" t="s">
        <v>10019</v>
      </c>
      <c r="G14" t="s">
        <v>10102</v>
      </c>
      <c r="H14" s="6">
        <v>45049</v>
      </c>
      <c r="I14">
        <f t="shared" si="0"/>
        <v>0</v>
      </c>
      <c r="J14" t="str">
        <f t="shared" si="1"/>
        <v>Complete</v>
      </c>
      <c r="K14">
        <f>COUNTIFS(RawData[Item], B14,RawData[Quantity],C14,RawData[Price Per Unit],D14,RawData[Total Spent],E14,RawData[Payment Method],F14,RawData[Location],G14,RawData[Transaction Date],H14)</f>
        <v>1</v>
      </c>
      <c r="L14"/>
    </row>
    <row r="15" spans="1:12" x14ac:dyDescent="0.3">
      <c r="A15" t="s">
        <v>21</v>
      </c>
      <c r="B15" t="s">
        <v>10010</v>
      </c>
      <c r="C15">
        <v>5</v>
      </c>
      <c r="D15">
        <v>1</v>
      </c>
      <c r="E15">
        <v>5</v>
      </c>
      <c r="F15" t="s">
        <v>10069</v>
      </c>
      <c r="G15" t="s">
        <v>10021</v>
      </c>
      <c r="H15" s="6">
        <v>45078</v>
      </c>
      <c r="I15">
        <f t="shared" si="0"/>
        <v>0</v>
      </c>
      <c r="J15" t="str">
        <f t="shared" si="1"/>
        <v>Complete</v>
      </c>
      <c r="K15">
        <f>COUNTIFS(RawData[Item], B15,RawData[Quantity],C15,RawData[Price Per Unit],D15,RawData[Total Spent],E15,RawData[Payment Method],F15,RawData[Location],G15,RawData[Transaction Date],H15)</f>
        <v>1</v>
      </c>
      <c r="L15"/>
    </row>
    <row r="16" spans="1:12" x14ac:dyDescent="0.3">
      <c r="A16" t="s">
        <v>22</v>
      </c>
      <c r="B16" t="s">
        <v>10015</v>
      </c>
      <c r="C16">
        <v>2</v>
      </c>
      <c r="D16">
        <v>1.5</v>
      </c>
      <c r="E16">
        <v>3</v>
      </c>
      <c r="F16" t="s">
        <v>10069</v>
      </c>
      <c r="G16" t="s">
        <v>10102</v>
      </c>
      <c r="H16" s="6">
        <v>45006</v>
      </c>
      <c r="I16">
        <f t="shared" si="0"/>
        <v>1</v>
      </c>
      <c r="J16" t="str">
        <f t="shared" si="1"/>
        <v>Complete</v>
      </c>
      <c r="K16">
        <f>COUNTIFS(RawData[Item], B16,RawData[Quantity],C16,RawData[Price Per Unit],D16,RawData[Total Spent],E16,RawData[Payment Method],F16,RawData[Location],G16,RawData[Transaction Date],H16)</f>
        <v>1</v>
      </c>
      <c r="L16"/>
    </row>
    <row r="17" spans="1:12" x14ac:dyDescent="0.3">
      <c r="A17" t="s">
        <v>23</v>
      </c>
      <c r="B17" t="s">
        <v>10011</v>
      </c>
      <c r="C17">
        <v>3</v>
      </c>
      <c r="D17">
        <v>5</v>
      </c>
      <c r="E17">
        <v>15</v>
      </c>
      <c r="F17" t="s">
        <v>10018</v>
      </c>
      <c r="G17" t="s">
        <v>10102</v>
      </c>
      <c r="H17" s="6">
        <v>45245</v>
      </c>
      <c r="I17">
        <f t="shared" si="0"/>
        <v>0</v>
      </c>
      <c r="J17" t="str">
        <f t="shared" si="1"/>
        <v>Complete</v>
      </c>
      <c r="K17">
        <f>COUNTIFS(RawData[Item], B17,RawData[Quantity],C17,RawData[Price Per Unit],D17,RawData[Total Spent],E17,RawData[Payment Method],F17,RawData[Location],G17,RawData[Transaction Date],H17)</f>
        <v>1</v>
      </c>
      <c r="L17"/>
    </row>
    <row r="18" spans="1:12" x14ac:dyDescent="0.3">
      <c r="A18" t="s">
        <v>24</v>
      </c>
      <c r="B18" t="s">
        <v>10014</v>
      </c>
      <c r="C18">
        <v>1</v>
      </c>
      <c r="D18">
        <v>4</v>
      </c>
      <c r="E18">
        <v>4</v>
      </c>
      <c r="F18" t="s">
        <v>10069</v>
      </c>
      <c r="G18" t="s">
        <v>10069</v>
      </c>
      <c r="H18" s="6">
        <v>45087</v>
      </c>
      <c r="I18">
        <f t="shared" si="0"/>
        <v>0</v>
      </c>
      <c r="J18" t="str">
        <f t="shared" si="1"/>
        <v>Complete</v>
      </c>
      <c r="K18">
        <f>COUNTIFS(RawData[Item], B18,RawData[Quantity],C18,RawData[Price Per Unit],D18,RawData[Total Spent],E18,RawData[Payment Method],F18,RawData[Location],G18,RawData[Transaction Date],H18)</f>
        <v>1</v>
      </c>
      <c r="L18"/>
    </row>
    <row r="19" spans="1:12" x14ac:dyDescent="0.3">
      <c r="A19" t="s">
        <v>25</v>
      </c>
      <c r="B19" t="s">
        <v>10016</v>
      </c>
      <c r="C19">
        <v>2</v>
      </c>
      <c r="D19">
        <v>3</v>
      </c>
      <c r="E19">
        <v>6</v>
      </c>
      <c r="F19" t="s">
        <v>10019</v>
      </c>
      <c r="G19" t="s">
        <v>10102</v>
      </c>
      <c r="H19" s="6">
        <v>44981</v>
      </c>
      <c r="I19">
        <f t="shared" si="0"/>
        <v>0</v>
      </c>
      <c r="J19" t="str">
        <f t="shared" si="1"/>
        <v>Complete</v>
      </c>
      <c r="K19">
        <f>COUNTIFS(RawData[Item], B19,RawData[Quantity],C19,RawData[Price Per Unit],D19,RawData[Total Spent],E19,RawData[Payment Method],F19,RawData[Location],G19,RawData[Transaction Date],H19)</f>
        <v>1</v>
      </c>
      <c r="L19"/>
    </row>
    <row r="20" spans="1:12" x14ac:dyDescent="0.3">
      <c r="A20" t="s">
        <v>26</v>
      </c>
      <c r="B20" t="s">
        <v>10009</v>
      </c>
      <c r="C20">
        <v>5</v>
      </c>
      <c r="D20">
        <v>3</v>
      </c>
      <c r="E20">
        <v>15</v>
      </c>
      <c r="F20" t="s">
        <v>10019</v>
      </c>
      <c r="G20" t="s">
        <v>10104</v>
      </c>
      <c r="H20" s="6">
        <v>45010</v>
      </c>
      <c r="I20">
        <f t="shared" si="0"/>
        <v>1</v>
      </c>
      <c r="J20" t="str">
        <f t="shared" si="1"/>
        <v>Complete</v>
      </c>
      <c r="K20">
        <f>COUNTIFS(RawData[Item], B20,RawData[Quantity],C20,RawData[Price Per Unit],D20,RawData[Total Spent],E20,RawData[Payment Method],F20,RawData[Location],G20,RawData[Transaction Date],H20)</f>
        <v>1</v>
      </c>
      <c r="L20"/>
    </row>
    <row r="21" spans="1:12" x14ac:dyDescent="0.3">
      <c r="A21" t="s">
        <v>27</v>
      </c>
      <c r="B21" t="s">
        <v>10016</v>
      </c>
      <c r="C21">
        <v>4</v>
      </c>
      <c r="D21">
        <v>3</v>
      </c>
      <c r="E21">
        <v>12</v>
      </c>
      <c r="F21" t="s">
        <v>10019</v>
      </c>
      <c r="G21" t="s">
        <v>10021</v>
      </c>
      <c r="H21" s="6">
        <v>44941</v>
      </c>
      <c r="I21">
        <f t="shared" si="0"/>
        <v>0</v>
      </c>
      <c r="J21" t="str">
        <f t="shared" si="1"/>
        <v>Complete</v>
      </c>
      <c r="K21">
        <f>COUNTIFS(RawData[Item], B21,RawData[Quantity],C21,RawData[Price Per Unit],D21,RawData[Total Spent],E21,RawData[Payment Method],F21,RawData[Location],G21,RawData[Transaction Date],H21)</f>
        <v>1</v>
      </c>
      <c r="L21"/>
    </row>
    <row r="22" spans="1:12" x14ac:dyDescent="0.3">
      <c r="A22" t="s">
        <v>28</v>
      </c>
      <c r="B22" t="s">
        <v>10012</v>
      </c>
      <c r="C22" t="s">
        <v>10015</v>
      </c>
      <c r="D22">
        <v>4</v>
      </c>
      <c r="E22">
        <v>20</v>
      </c>
      <c r="F22" t="s">
        <v>10019</v>
      </c>
      <c r="G22" t="s">
        <v>10102</v>
      </c>
      <c r="H22" s="6">
        <v>45020</v>
      </c>
      <c r="I22">
        <f t="shared" si="0"/>
        <v>1</v>
      </c>
      <c r="J22" t="str">
        <f t="shared" si="1"/>
        <v>Complete</v>
      </c>
      <c r="K22">
        <f>COUNTIFS(RawData[Item], B22,RawData[Quantity],C22,RawData[Price Per Unit],D22,RawData[Total Spent],E22,RawData[Payment Method],F22,RawData[Location],G22,RawData[Transaction Date],H22)</f>
        <v>1</v>
      </c>
      <c r="L22"/>
    </row>
    <row r="23" spans="1:12" x14ac:dyDescent="0.3">
      <c r="A23" t="s">
        <v>29</v>
      </c>
      <c r="B23" t="s">
        <v>10012</v>
      </c>
      <c r="C23">
        <v>4</v>
      </c>
      <c r="D23">
        <v>4</v>
      </c>
      <c r="E23">
        <v>16</v>
      </c>
      <c r="F23" t="s">
        <v>10018</v>
      </c>
      <c r="G23" t="s">
        <v>10021</v>
      </c>
      <c r="H23" s="6">
        <v>45015</v>
      </c>
      <c r="I23">
        <f t="shared" si="0"/>
        <v>0</v>
      </c>
      <c r="J23" t="str">
        <f t="shared" si="1"/>
        <v>Complete</v>
      </c>
      <c r="K23">
        <f>COUNTIFS(RawData[Item], B23,RawData[Quantity],C23,RawData[Price Per Unit],D23,RawData[Total Spent],E23,RawData[Payment Method],F23,RawData[Location],G23,RawData[Transaction Date],H23)</f>
        <v>1</v>
      </c>
      <c r="L23"/>
    </row>
    <row r="24" spans="1:12" x14ac:dyDescent="0.3">
      <c r="A24" t="s">
        <v>30</v>
      </c>
      <c r="B24" t="s">
        <v>10014</v>
      </c>
      <c r="C24">
        <v>3</v>
      </c>
      <c r="D24">
        <v>4</v>
      </c>
      <c r="E24">
        <v>12</v>
      </c>
      <c r="F24" t="s">
        <v>10020</v>
      </c>
      <c r="G24" t="s">
        <v>10021</v>
      </c>
      <c r="H24" s="6">
        <v>45261</v>
      </c>
      <c r="I24">
        <f t="shared" si="0"/>
        <v>0</v>
      </c>
      <c r="J24" t="str">
        <f t="shared" si="1"/>
        <v>Complete</v>
      </c>
      <c r="K24">
        <f>COUNTIFS(RawData[Item], B24,RawData[Quantity],C24,RawData[Price Per Unit],D24,RawData[Total Spent],E24,RawData[Payment Method],F24,RawData[Location],G24,RawData[Transaction Date],H24)</f>
        <v>1</v>
      </c>
      <c r="L24"/>
    </row>
    <row r="25" spans="1:12" x14ac:dyDescent="0.3">
      <c r="A25" t="s">
        <v>31</v>
      </c>
      <c r="B25" t="s">
        <v>10014</v>
      </c>
      <c r="C25">
        <v>2</v>
      </c>
      <c r="D25">
        <v>4</v>
      </c>
      <c r="E25">
        <v>8</v>
      </c>
      <c r="F25" t="s">
        <v>10069</v>
      </c>
      <c r="G25" t="s">
        <v>10069</v>
      </c>
      <c r="H25" s="6">
        <v>45187</v>
      </c>
      <c r="I25">
        <f t="shared" si="0"/>
        <v>0</v>
      </c>
      <c r="J25" t="str">
        <f t="shared" si="1"/>
        <v>Complete</v>
      </c>
      <c r="K25">
        <f>COUNTIFS(RawData[Item], B25,RawData[Quantity],C25,RawData[Price Per Unit],D25,RawData[Total Spent],E25,RawData[Payment Method],F25,RawData[Location],G25,RawData[Transaction Date],H25)</f>
        <v>1</v>
      </c>
      <c r="L25"/>
    </row>
    <row r="26" spans="1:12" x14ac:dyDescent="0.3">
      <c r="A26" t="s">
        <v>32</v>
      </c>
      <c r="B26" t="s">
        <v>10014</v>
      </c>
      <c r="C26">
        <v>5</v>
      </c>
      <c r="D26">
        <v>4</v>
      </c>
      <c r="E26">
        <v>20</v>
      </c>
      <c r="F26" t="s">
        <v>10019</v>
      </c>
      <c r="G26" t="s">
        <v>10102</v>
      </c>
      <c r="H26" s="6">
        <v>45080</v>
      </c>
      <c r="I26">
        <f t="shared" si="0"/>
        <v>0</v>
      </c>
      <c r="J26" t="str">
        <f t="shared" si="1"/>
        <v>Complete</v>
      </c>
      <c r="K26">
        <f>COUNTIFS(RawData[Item], B26,RawData[Quantity],C26,RawData[Price Per Unit],D26,RawData[Total Spent],E26,RawData[Payment Method],F26,RawData[Location],G26,RawData[Transaction Date],H26)</f>
        <v>1</v>
      </c>
      <c r="L26"/>
    </row>
    <row r="27" spans="1:12" x14ac:dyDescent="0.3">
      <c r="A27" t="s">
        <v>33</v>
      </c>
      <c r="B27" t="s">
        <v>10012</v>
      </c>
      <c r="C27">
        <v>3</v>
      </c>
      <c r="D27">
        <v>4</v>
      </c>
      <c r="E27">
        <v>0</v>
      </c>
      <c r="F27" t="s">
        <v>10103</v>
      </c>
      <c r="G27" t="s">
        <v>10103</v>
      </c>
      <c r="H27" s="6">
        <v>45273</v>
      </c>
      <c r="I27">
        <f t="shared" si="0"/>
        <v>2</v>
      </c>
      <c r="J27" t="str">
        <f t="shared" si="1"/>
        <v>Complete</v>
      </c>
      <c r="K27">
        <f>COUNTIFS(RawData[Item], B27,RawData[Quantity],C27,RawData[Price Per Unit],D27,RawData[Total Spent],E27,RawData[Payment Method],F27,RawData[Location],G27,RawData[Transaction Date],H27)</f>
        <v>1</v>
      </c>
      <c r="L27"/>
    </row>
    <row r="28" spans="1:12" x14ac:dyDescent="0.3">
      <c r="A28" t="s">
        <v>34</v>
      </c>
      <c r="B28" t="s">
        <v>10010</v>
      </c>
      <c r="C28">
        <v>5</v>
      </c>
      <c r="D28">
        <v>1</v>
      </c>
      <c r="E28">
        <v>5</v>
      </c>
      <c r="F28" t="s">
        <v>10018</v>
      </c>
      <c r="G28" t="s">
        <v>10102</v>
      </c>
      <c r="H28" s="6">
        <v>45036</v>
      </c>
      <c r="I28">
        <f t="shared" si="0"/>
        <v>0</v>
      </c>
      <c r="J28" t="str">
        <f t="shared" si="1"/>
        <v>Complete</v>
      </c>
      <c r="K28">
        <f>COUNTIFS(RawData[Item], B28,RawData[Quantity],C28,RawData[Price Per Unit],D28,RawData[Total Spent],E28,RawData[Payment Method],F28,RawData[Location],G28,RawData[Transaction Date],H28)</f>
        <v>1</v>
      </c>
      <c r="L28"/>
    </row>
    <row r="29" spans="1:12" x14ac:dyDescent="0.3">
      <c r="A29" t="s">
        <v>35</v>
      </c>
      <c r="B29" t="s">
        <v>10016</v>
      </c>
      <c r="C29">
        <v>4</v>
      </c>
      <c r="D29">
        <v>3</v>
      </c>
      <c r="E29">
        <v>12</v>
      </c>
      <c r="F29" t="s">
        <v>10018</v>
      </c>
      <c r="G29" t="s">
        <v>10021</v>
      </c>
      <c r="H29" s="6">
        <v>45026</v>
      </c>
      <c r="I29">
        <f t="shared" si="0"/>
        <v>0</v>
      </c>
      <c r="J29" t="str">
        <f t="shared" si="1"/>
        <v>Complete</v>
      </c>
      <c r="K29">
        <f>COUNTIFS(RawData[Item], B29,RawData[Quantity],C29,RawData[Price Per Unit],D29,RawData[Total Spent],E29,RawData[Payment Method],F29,RawData[Location],G29,RawData[Transaction Date],H29)</f>
        <v>2</v>
      </c>
      <c r="L29"/>
    </row>
    <row r="30" spans="1:12" x14ac:dyDescent="0.3">
      <c r="A30" t="s">
        <v>36</v>
      </c>
      <c r="B30" t="s">
        <v>10012</v>
      </c>
      <c r="C30">
        <v>5</v>
      </c>
      <c r="D30">
        <v>4</v>
      </c>
      <c r="E30">
        <v>20</v>
      </c>
      <c r="F30" t="s">
        <v>10018</v>
      </c>
      <c r="G30" t="s">
        <v>10069</v>
      </c>
      <c r="H30" s="6">
        <v>44996</v>
      </c>
      <c r="I30">
        <f t="shared" si="0"/>
        <v>0</v>
      </c>
      <c r="J30" t="str">
        <f t="shared" si="1"/>
        <v>Complete</v>
      </c>
      <c r="K30">
        <f>COUNTIFS(RawData[Item], B30,RawData[Quantity],C30,RawData[Price Per Unit],D30,RawData[Total Spent],E30,RawData[Payment Method],F30,RawData[Location],G30,RawData[Transaction Date],H30)</f>
        <v>1</v>
      </c>
      <c r="L30"/>
    </row>
    <row r="31" spans="1:12" x14ac:dyDescent="0.3">
      <c r="A31" t="s">
        <v>37</v>
      </c>
      <c r="B31" t="s">
        <v>10009</v>
      </c>
      <c r="C31">
        <v>4</v>
      </c>
      <c r="D31">
        <v>3</v>
      </c>
      <c r="E31">
        <v>12</v>
      </c>
      <c r="F31" t="s">
        <v>10020</v>
      </c>
      <c r="G31" t="s">
        <v>10021</v>
      </c>
      <c r="H31" s="6" t="s">
        <v>10112</v>
      </c>
      <c r="I31">
        <f t="shared" si="0"/>
        <v>1</v>
      </c>
      <c r="J31" t="str">
        <f t="shared" si="1"/>
        <v>Incomplete</v>
      </c>
      <c r="K31">
        <f>COUNTIFS(RawData[Item], B31,RawData[Quantity],C31,RawData[Price Per Unit],D31,RawData[Total Spent],E31,RawData[Payment Method],F31,RawData[Location],G31,RawData[Transaction Date],H31)</f>
        <v>1</v>
      </c>
      <c r="L31"/>
    </row>
    <row r="32" spans="1:12" x14ac:dyDescent="0.3">
      <c r="A32" t="s">
        <v>38</v>
      </c>
      <c r="B32" t="s">
        <v>10069</v>
      </c>
      <c r="C32">
        <v>5</v>
      </c>
      <c r="D32">
        <v>2</v>
      </c>
      <c r="E32">
        <v>10</v>
      </c>
      <c r="F32" t="s">
        <v>10020</v>
      </c>
      <c r="G32" t="s">
        <v>10069</v>
      </c>
      <c r="H32" s="6">
        <v>45079</v>
      </c>
      <c r="I32">
        <f t="shared" si="0"/>
        <v>0</v>
      </c>
      <c r="J32" t="str">
        <f t="shared" si="1"/>
        <v>Complete</v>
      </c>
      <c r="K32">
        <f>COUNTIFS(RawData[Item], B32,RawData[Quantity],C32,RawData[Price Per Unit],D32,RawData[Total Spent],E32,RawData[Payment Method],F32,RawData[Location],G32,RawData[Transaction Date],H32)</f>
        <v>1</v>
      </c>
      <c r="L32"/>
    </row>
    <row r="33" spans="1:12" x14ac:dyDescent="0.3">
      <c r="A33" t="s">
        <v>39</v>
      </c>
      <c r="B33" t="s">
        <v>10013</v>
      </c>
      <c r="C33">
        <v>2</v>
      </c>
      <c r="D33">
        <v>1</v>
      </c>
      <c r="E33" t="s">
        <v>10015</v>
      </c>
      <c r="F33" t="s">
        <v>10018</v>
      </c>
      <c r="G33" t="s">
        <v>10104</v>
      </c>
      <c r="H33" s="6">
        <v>45236</v>
      </c>
      <c r="I33">
        <f t="shared" si="0"/>
        <v>3</v>
      </c>
      <c r="J33" t="str">
        <f t="shared" si="1"/>
        <v>Complete</v>
      </c>
      <c r="K33">
        <f>COUNTIFS(RawData[Item], B33,RawData[Quantity],C33,RawData[Price Per Unit],D33,RawData[Total Spent],E33,RawData[Payment Method],F33,RawData[Location],G33,RawData[Transaction Date],H33)</f>
        <v>1</v>
      </c>
      <c r="L33"/>
    </row>
    <row r="34" spans="1:12" x14ac:dyDescent="0.3">
      <c r="A34" t="s">
        <v>40</v>
      </c>
      <c r="B34" t="s">
        <v>10012</v>
      </c>
      <c r="C34">
        <v>4</v>
      </c>
      <c r="D34">
        <v>4</v>
      </c>
      <c r="E34">
        <v>16</v>
      </c>
      <c r="F34" t="s">
        <v>10069</v>
      </c>
      <c r="G34" t="s">
        <v>10102</v>
      </c>
      <c r="H34" s="6">
        <v>45153</v>
      </c>
      <c r="I34">
        <f t="shared" si="0"/>
        <v>0</v>
      </c>
      <c r="J34" t="str">
        <f t="shared" si="1"/>
        <v>Complete</v>
      </c>
      <c r="K34">
        <f>COUNTIFS(RawData[Item], B34,RawData[Quantity],C34,RawData[Price Per Unit],D34,RawData[Total Spent],E34,RawData[Payment Method],F34,RawData[Location],G34,RawData[Transaction Date],H34)</f>
        <v>1</v>
      </c>
      <c r="L34"/>
    </row>
    <row r="35" spans="1:12" x14ac:dyDescent="0.3">
      <c r="A35" t="s">
        <v>41</v>
      </c>
      <c r="B35" t="s">
        <v>10013</v>
      </c>
      <c r="C35">
        <v>5</v>
      </c>
      <c r="D35">
        <v>1</v>
      </c>
      <c r="E35">
        <v>5</v>
      </c>
      <c r="F35" t="s">
        <v>10019</v>
      </c>
      <c r="G35" t="s">
        <v>10069</v>
      </c>
      <c r="H35" s="6" t="s">
        <v>10112</v>
      </c>
      <c r="I35">
        <f t="shared" si="0"/>
        <v>2</v>
      </c>
      <c r="J35" t="str">
        <f t="shared" si="1"/>
        <v>Incomplete</v>
      </c>
      <c r="K35">
        <f>COUNTIFS(RawData[Item], B35,RawData[Quantity],C35,RawData[Price Per Unit],D35,RawData[Total Spent],E35,RawData[Payment Method],F35,RawData[Location],G35,RawData[Transaction Date],H35)</f>
        <v>1</v>
      </c>
      <c r="L35"/>
    </row>
    <row r="36" spans="1:12" x14ac:dyDescent="0.3">
      <c r="A36" t="s">
        <v>42</v>
      </c>
      <c r="B36" t="s">
        <v>10012</v>
      </c>
      <c r="C36">
        <v>2</v>
      </c>
      <c r="D36">
        <v>4</v>
      </c>
      <c r="E36">
        <v>8</v>
      </c>
      <c r="F36" t="s">
        <v>10020</v>
      </c>
      <c r="G36" t="s">
        <v>10021</v>
      </c>
      <c r="H36" s="6">
        <v>45208</v>
      </c>
      <c r="I36">
        <f t="shared" si="0"/>
        <v>0</v>
      </c>
      <c r="J36" t="str">
        <f t="shared" si="1"/>
        <v>Complete</v>
      </c>
      <c r="K36">
        <f>COUNTIFS(RawData[Item], B36,RawData[Quantity],C36,RawData[Price Per Unit],D36,RawData[Total Spent],E36,RawData[Payment Method],F36,RawData[Location],G36,RawData[Transaction Date],H36)</f>
        <v>1</v>
      </c>
      <c r="L36"/>
    </row>
    <row r="37" spans="1:12" x14ac:dyDescent="0.3">
      <c r="A37" t="s">
        <v>43</v>
      </c>
      <c r="B37" t="s">
        <v>10014</v>
      </c>
      <c r="C37">
        <v>1</v>
      </c>
      <c r="D37">
        <v>4</v>
      </c>
      <c r="E37">
        <v>4</v>
      </c>
      <c r="F37" t="s">
        <v>10018</v>
      </c>
      <c r="G37" t="s">
        <v>10103</v>
      </c>
      <c r="H37" s="6">
        <v>45074</v>
      </c>
      <c r="I37">
        <f t="shared" si="0"/>
        <v>1</v>
      </c>
      <c r="J37" t="str">
        <f t="shared" si="1"/>
        <v>Complete</v>
      </c>
      <c r="K37">
        <f>COUNTIFS(RawData[Item], B37,RawData[Quantity],C37,RawData[Price Per Unit],D37,RawData[Total Spent],E37,RawData[Payment Method],F37,RawData[Location],G37,RawData[Transaction Date],H37)</f>
        <v>1</v>
      </c>
      <c r="L37"/>
    </row>
    <row r="38" spans="1:12" x14ac:dyDescent="0.3">
      <c r="A38" t="s">
        <v>44</v>
      </c>
      <c r="B38" t="s">
        <v>10013</v>
      </c>
      <c r="C38">
        <v>4</v>
      </c>
      <c r="D38">
        <v>3</v>
      </c>
      <c r="E38">
        <v>12</v>
      </c>
      <c r="F38" t="s">
        <v>10069</v>
      </c>
      <c r="G38" t="s">
        <v>10102</v>
      </c>
      <c r="H38" s="6">
        <v>45124</v>
      </c>
      <c r="I38">
        <f t="shared" si="0"/>
        <v>1</v>
      </c>
      <c r="J38" t="str">
        <f t="shared" si="1"/>
        <v>Complete</v>
      </c>
      <c r="K38">
        <f>COUNTIFS(RawData[Item], B38,RawData[Quantity],C38,RawData[Price Per Unit],D38,RawData[Total Spent],E38,RawData[Payment Method],F38,RawData[Location],G38,RawData[Transaction Date],H38)</f>
        <v>1</v>
      </c>
      <c r="L38"/>
    </row>
    <row r="39" spans="1:12" x14ac:dyDescent="0.3">
      <c r="A39" t="s">
        <v>45</v>
      </c>
      <c r="B39" t="s">
        <v>10011</v>
      </c>
      <c r="C39">
        <v>2</v>
      </c>
      <c r="D39">
        <v>5</v>
      </c>
      <c r="E39">
        <v>10</v>
      </c>
      <c r="F39" t="s">
        <v>10018</v>
      </c>
      <c r="G39" t="s">
        <v>10102</v>
      </c>
      <c r="H39" s="6">
        <v>45045</v>
      </c>
      <c r="I39">
        <f t="shared" si="0"/>
        <v>0</v>
      </c>
      <c r="J39" t="str">
        <f t="shared" si="1"/>
        <v>Complete</v>
      </c>
      <c r="K39">
        <f>COUNTIFS(RawData[Item], B39,RawData[Quantity],C39,RawData[Price Per Unit],D39,RawData[Total Spent],E39,RawData[Payment Method],F39,RawData[Location],G39,RawData[Transaction Date],H39)</f>
        <v>1</v>
      </c>
      <c r="L39"/>
    </row>
    <row r="40" spans="1:12" x14ac:dyDescent="0.3">
      <c r="A40" t="s">
        <v>46</v>
      </c>
      <c r="B40" t="s">
        <v>10012</v>
      </c>
      <c r="C40">
        <v>4</v>
      </c>
      <c r="D40">
        <v>4</v>
      </c>
      <c r="E40">
        <v>16</v>
      </c>
      <c r="F40" t="s">
        <v>10069</v>
      </c>
      <c r="G40" t="s">
        <v>10021</v>
      </c>
      <c r="H40" s="6">
        <v>45085</v>
      </c>
      <c r="I40">
        <f t="shared" si="0"/>
        <v>0</v>
      </c>
      <c r="J40" t="str">
        <f t="shared" si="1"/>
        <v>Complete</v>
      </c>
      <c r="K40">
        <f>COUNTIFS(RawData[Item], B40,RawData[Quantity],C40,RawData[Price Per Unit],D40,RawData[Total Spent],E40,RawData[Payment Method],F40,RawData[Location],G40,RawData[Transaction Date],H40)</f>
        <v>1</v>
      </c>
      <c r="L40"/>
    </row>
    <row r="41" spans="1:12" x14ac:dyDescent="0.3">
      <c r="A41" t="s">
        <v>47</v>
      </c>
      <c r="B41" t="s">
        <v>10008</v>
      </c>
      <c r="C41">
        <v>4</v>
      </c>
      <c r="D41">
        <v>2</v>
      </c>
      <c r="E41">
        <v>8</v>
      </c>
      <c r="F41" t="s">
        <v>10104</v>
      </c>
      <c r="G41" t="s">
        <v>10069</v>
      </c>
      <c r="H41" s="6">
        <v>45106</v>
      </c>
      <c r="I41">
        <f t="shared" si="0"/>
        <v>1</v>
      </c>
      <c r="J41" t="str">
        <f t="shared" si="1"/>
        <v>Complete</v>
      </c>
      <c r="K41">
        <f>COUNTIFS(RawData[Item], B41,RawData[Quantity],C41,RawData[Price Per Unit],D41,RawData[Total Spent],E41,RawData[Payment Method],F41,RawData[Location],G41,RawData[Transaction Date],H41)</f>
        <v>1</v>
      </c>
      <c r="L41"/>
    </row>
    <row r="42" spans="1:12" x14ac:dyDescent="0.3">
      <c r="A42" t="s">
        <v>48</v>
      </c>
      <c r="B42" t="s">
        <v>10012</v>
      </c>
      <c r="C42">
        <v>3</v>
      </c>
      <c r="D42">
        <v>4</v>
      </c>
      <c r="E42">
        <v>12</v>
      </c>
      <c r="F42" t="s">
        <v>10069</v>
      </c>
      <c r="G42" t="s">
        <v>10102</v>
      </c>
      <c r="H42" s="6">
        <v>45033</v>
      </c>
      <c r="I42">
        <f t="shared" si="0"/>
        <v>0</v>
      </c>
      <c r="J42" t="str">
        <f t="shared" si="1"/>
        <v>Complete</v>
      </c>
      <c r="K42">
        <f>COUNTIFS(RawData[Item], B42,RawData[Quantity],C42,RawData[Price Per Unit],D42,RawData[Total Spent],E42,RawData[Payment Method],F42,RawData[Location],G42,RawData[Transaction Date],H42)</f>
        <v>1</v>
      </c>
      <c r="L42"/>
    </row>
    <row r="43" spans="1:12" x14ac:dyDescent="0.3">
      <c r="A43" t="s">
        <v>49</v>
      </c>
      <c r="B43" t="s">
        <v>10014</v>
      </c>
      <c r="C43">
        <v>4</v>
      </c>
      <c r="D43">
        <v>4</v>
      </c>
      <c r="E43">
        <v>16</v>
      </c>
      <c r="F43" t="s">
        <v>10069</v>
      </c>
      <c r="G43" t="s">
        <v>10021</v>
      </c>
      <c r="H43" s="6">
        <v>45282</v>
      </c>
      <c r="I43">
        <f t="shared" si="0"/>
        <v>0</v>
      </c>
      <c r="J43" t="str">
        <f t="shared" si="1"/>
        <v>Complete</v>
      </c>
      <c r="K43">
        <f>COUNTIFS(RawData[Item], B43,RawData[Quantity],C43,RawData[Price Per Unit],D43,RawData[Total Spent],E43,RawData[Payment Method],F43,RawData[Location],G43,RawData[Transaction Date],H43)</f>
        <v>1</v>
      </c>
      <c r="L43"/>
    </row>
    <row r="44" spans="1:12" x14ac:dyDescent="0.3">
      <c r="A44" t="s">
        <v>50</v>
      </c>
      <c r="B44" t="s">
        <v>10017</v>
      </c>
      <c r="C44">
        <v>2</v>
      </c>
      <c r="D44">
        <v>1.5</v>
      </c>
      <c r="E44" t="s">
        <v>10013</v>
      </c>
      <c r="F44" t="s">
        <v>10069</v>
      </c>
      <c r="G44" t="s">
        <v>10021</v>
      </c>
      <c r="H44" s="6">
        <v>44936</v>
      </c>
      <c r="I44">
        <f t="shared" si="0"/>
        <v>1</v>
      </c>
      <c r="J44" t="str">
        <f t="shared" si="1"/>
        <v>Complete</v>
      </c>
      <c r="K44">
        <f>COUNTIFS(RawData[Item], B44,RawData[Quantity],C44,RawData[Price Per Unit],D44,RawData[Total Spent],E44,RawData[Payment Method],F44,RawData[Location],G44,RawData[Transaction Date],H44)</f>
        <v>1</v>
      </c>
      <c r="L44"/>
    </row>
    <row r="45" spans="1:12" x14ac:dyDescent="0.3">
      <c r="A45" t="s">
        <v>51</v>
      </c>
      <c r="B45" t="s">
        <v>10016</v>
      </c>
      <c r="C45">
        <v>4</v>
      </c>
      <c r="D45">
        <v>3</v>
      </c>
      <c r="E45">
        <v>12</v>
      </c>
      <c r="F45" t="s">
        <v>10069</v>
      </c>
      <c r="G45" t="s">
        <v>10021</v>
      </c>
      <c r="H45" s="6">
        <v>45201</v>
      </c>
      <c r="I45">
        <f t="shared" si="0"/>
        <v>0</v>
      </c>
      <c r="J45" t="str">
        <f t="shared" si="1"/>
        <v>Complete</v>
      </c>
      <c r="K45">
        <f>COUNTIFS(RawData[Item], B45,RawData[Quantity],C45,RawData[Price Per Unit],D45,RawData[Total Spent],E45,RawData[Payment Method],F45,RawData[Location],G45,RawData[Transaction Date],H45)</f>
        <v>1</v>
      </c>
      <c r="L45"/>
    </row>
    <row r="46" spans="1:12" x14ac:dyDescent="0.3">
      <c r="A46" t="s">
        <v>52</v>
      </c>
      <c r="B46" t="s">
        <v>10010</v>
      </c>
      <c r="C46">
        <v>2</v>
      </c>
      <c r="D46">
        <v>1</v>
      </c>
      <c r="E46">
        <v>2</v>
      </c>
      <c r="F46" t="s">
        <v>10069</v>
      </c>
      <c r="G46" t="s">
        <v>10069</v>
      </c>
      <c r="H46" s="6">
        <v>44980</v>
      </c>
      <c r="I46">
        <f t="shared" si="0"/>
        <v>0</v>
      </c>
      <c r="J46" t="str">
        <f t="shared" si="1"/>
        <v>Complete</v>
      </c>
      <c r="K46">
        <f>COUNTIFS(RawData[Item], B46,RawData[Quantity],C46,RawData[Price Per Unit],D46,RawData[Total Spent],E46,RawData[Payment Method],F46,RawData[Location],G46,RawData[Transaction Date],H46)</f>
        <v>1</v>
      </c>
      <c r="L46"/>
    </row>
    <row r="47" spans="1:12" x14ac:dyDescent="0.3">
      <c r="A47" t="s">
        <v>53</v>
      </c>
      <c r="B47" t="s">
        <v>10011</v>
      </c>
      <c r="C47">
        <v>3</v>
      </c>
      <c r="D47">
        <v>5</v>
      </c>
      <c r="E47">
        <v>15</v>
      </c>
      <c r="F47" t="s">
        <v>10019</v>
      </c>
      <c r="G47" t="s">
        <v>10069</v>
      </c>
      <c r="H47" s="6">
        <v>45007</v>
      </c>
      <c r="I47">
        <f t="shared" si="0"/>
        <v>0</v>
      </c>
      <c r="J47" t="str">
        <f t="shared" si="1"/>
        <v>Complete</v>
      </c>
      <c r="K47">
        <f>COUNTIFS(RawData[Item], B47,RawData[Quantity],C47,RawData[Price Per Unit],D47,RawData[Total Spent],E47,RawData[Payment Method],F47,RawData[Location],G47,RawData[Transaction Date],H47)</f>
        <v>1</v>
      </c>
      <c r="L47"/>
    </row>
    <row r="48" spans="1:12" x14ac:dyDescent="0.3">
      <c r="A48" t="s">
        <v>54</v>
      </c>
      <c r="B48" t="s">
        <v>10016</v>
      </c>
      <c r="C48">
        <v>4</v>
      </c>
      <c r="D48">
        <v>3</v>
      </c>
      <c r="E48">
        <v>12</v>
      </c>
      <c r="F48" t="s">
        <v>10020</v>
      </c>
      <c r="G48" t="s">
        <v>10102</v>
      </c>
      <c r="H48" s="6">
        <v>45233</v>
      </c>
      <c r="I48">
        <f t="shared" si="0"/>
        <v>0</v>
      </c>
      <c r="J48" t="str">
        <f t="shared" si="1"/>
        <v>Complete</v>
      </c>
      <c r="K48">
        <f>COUNTIFS(RawData[Item], B48,RawData[Quantity],C48,RawData[Price Per Unit],D48,RawData[Total Spent],E48,RawData[Payment Method],F48,RawData[Location],G48,RawData[Transaction Date],H48)</f>
        <v>1</v>
      </c>
      <c r="L48"/>
    </row>
    <row r="49" spans="1:12" x14ac:dyDescent="0.3">
      <c r="A49" t="s">
        <v>55</v>
      </c>
      <c r="B49" t="s">
        <v>10016</v>
      </c>
      <c r="C49">
        <v>5</v>
      </c>
      <c r="D49">
        <v>3</v>
      </c>
      <c r="E49">
        <v>15</v>
      </c>
      <c r="F49" t="s">
        <v>10069</v>
      </c>
      <c r="G49" t="s">
        <v>10069</v>
      </c>
      <c r="H49" s="6">
        <v>44987</v>
      </c>
      <c r="I49">
        <f t="shared" si="0"/>
        <v>0</v>
      </c>
      <c r="J49" t="str">
        <f t="shared" si="1"/>
        <v>Complete</v>
      </c>
      <c r="K49">
        <f>COUNTIFS(RawData[Item], B49,RawData[Quantity],C49,RawData[Price Per Unit],D49,RawData[Total Spent],E49,RawData[Payment Method],F49,RawData[Location],G49,RawData[Transaction Date],H49)</f>
        <v>1</v>
      </c>
      <c r="L49"/>
    </row>
    <row r="50" spans="1:12" x14ac:dyDescent="0.3">
      <c r="A50" t="s">
        <v>56</v>
      </c>
      <c r="B50" t="s">
        <v>10016</v>
      </c>
      <c r="C50">
        <v>5</v>
      </c>
      <c r="D50">
        <v>3</v>
      </c>
      <c r="E50">
        <v>15</v>
      </c>
      <c r="F50" t="s">
        <v>10019</v>
      </c>
      <c r="G50" t="s">
        <v>10069</v>
      </c>
      <c r="H50" s="6">
        <v>45103</v>
      </c>
      <c r="I50">
        <f t="shared" si="0"/>
        <v>0</v>
      </c>
      <c r="J50" t="str">
        <f t="shared" si="1"/>
        <v>Complete</v>
      </c>
      <c r="K50">
        <f>COUNTIFS(RawData[Item], B50,RawData[Quantity],C50,RawData[Price Per Unit],D50,RawData[Total Spent],E50,RawData[Payment Method],F50,RawData[Location],G50,RawData[Transaction Date],H50)</f>
        <v>1</v>
      </c>
      <c r="L50"/>
    </row>
    <row r="51" spans="1:12" x14ac:dyDescent="0.3">
      <c r="A51" t="s">
        <v>57</v>
      </c>
      <c r="B51" t="s">
        <v>10009</v>
      </c>
      <c r="C51">
        <v>3</v>
      </c>
      <c r="D51">
        <v>3</v>
      </c>
      <c r="E51">
        <v>9</v>
      </c>
      <c r="F51" t="s">
        <v>10069</v>
      </c>
      <c r="G51" t="s">
        <v>10104</v>
      </c>
      <c r="H51" s="6">
        <v>45048</v>
      </c>
      <c r="I51">
        <f t="shared" si="0"/>
        <v>1</v>
      </c>
      <c r="J51" t="str">
        <f t="shared" si="1"/>
        <v>Complete</v>
      </c>
      <c r="K51">
        <f>COUNTIFS(RawData[Item], B51,RawData[Quantity],C51,RawData[Price Per Unit],D51,RawData[Total Spent],E51,RawData[Payment Method],F51,RawData[Location],G51,RawData[Transaction Date],H51)</f>
        <v>1</v>
      </c>
      <c r="L51"/>
    </row>
    <row r="52" spans="1:12" x14ac:dyDescent="0.3">
      <c r="A52" t="s">
        <v>58</v>
      </c>
      <c r="B52" t="s">
        <v>10009</v>
      </c>
      <c r="C52">
        <v>5</v>
      </c>
      <c r="D52">
        <v>3</v>
      </c>
      <c r="E52">
        <v>15</v>
      </c>
      <c r="F52" t="s">
        <v>10069</v>
      </c>
      <c r="G52" t="s">
        <v>10021</v>
      </c>
      <c r="H52" s="6">
        <v>45174</v>
      </c>
      <c r="I52">
        <f t="shared" si="0"/>
        <v>0</v>
      </c>
      <c r="J52" t="str">
        <f t="shared" si="1"/>
        <v>Complete</v>
      </c>
      <c r="K52">
        <f>COUNTIFS(RawData[Item], B52,RawData[Quantity],C52,RawData[Price Per Unit],D52,RawData[Total Spent],E52,RawData[Payment Method],F52,RawData[Location],G52,RawData[Transaction Date],H52)</f>
        <v>1</v>
      </c>
      <c r="L52"/>
    </row>
    <row r="53" spans="1:12" x14ac:dyDescent="0.3">
      <c r="A53" t="s">
        <v>59</v>
      </c>
      <c r="B53" t="s">
        <v>10011</v>
      </c>
      <c r="C53">
        <v>5</v>
      </c>
      <c r="D53">
        <v>5</v>
      </c>
      <c r="E53">
        <v>25</v>
      </c>
      <c r="F53" t="s">
        <v>10104</v>
      </c>
      <c r="G53" t="s">
        <v>10021</v>
      </c>
      <c r="H53" s="6">
        <v>44934</v>
      </c>
      <c r="I53">
        <f t="shared" si="0"/>
        <v>1</v>
      </c>
      <c r="J53" t="str">
        <f t="shared" si="1"/>
        <v>Complete</v>
      </c>
      <c r="K53">
        <f>COUNTIFS(RawData[Item], B53,RawData[Quantity],C53,RawData[Price Per Unit],D53,RawData[Total Spent],E53,RawData[Payment Method],F53,RawData[Location],G53,RawData[Transaction Date],H53)</f>
        <v>1</v>
      </c>
      <c r="L53"/>
    </row>
    <row r="54" spans="1:12" x14ac:dyDescent="0.3">
      <c r="A54" t="s">
        <v>60</v>
      </c>
      <c r="B54" t="s">
        <v>10013</v>
      </c>
      <c r="C54">
        <v>5</v>
      </c>
      <c r="D54">
        <v>5</v>
      </c>
      <c r="E54">
        <v>25</v>
      </c>
      <c r="F54" t="s">
        <v>10020</v>
      </c>
      <c r="G54" t="s">
        <v>10069</v>
      </c>
      <c r="H54" s="6">
        <v>45000</v>
      </c>
      <c r="I54">
        <f t="shared" si="0"/>
        <v>1</v>
      </c>
      <c r="J54" t="str">
        <f t="shared" si="1"/>
        <v>Complete</v>
      </c>
      <c r="K54">
        <f>COUNTIFS(RawData[Item], B54,RawData[Quantity],C54,RawData[Price Per Unit],D54,RawData[Total Spent],E54,RawData[Payment Method],F54,RawData[Location],G54,RawData[Transaction Date],H54)</f>
        <v>1</v>
      </c>
      <c r="L54"/>
    </row>
    <row r="55" spans="1:12" x14ac:dyDescent="0.3">
      <c r="A55" t="s">
        <v>61</v>
      </c>
      <c r="B55" t="s">
        <v>10012</v>
      </c>
      <c r="C55">
        <v>3</v>
      </c>
      <c r="D55">
        <v>4</v>
      </c>
      <c r="E55">
        <v>12</v>
      </c>
      <c r="F55" t="s">
        <v>10018</v>
      </c>
      <c r="G55" t="s">
        <v>10069</v>
      </c>
      <c r="H55" s="6">
        <v>45255</v>
      </c>
      <c r="I55">
        <f t="shared" si="0"/>
        <v>0</v>
      </c>
      <c r="J55" t="str">
        <f t="shared" si="1"/>
        <v>Complete</v>
      </c>
      <c r="K55">
        <f>COUNTIFS(RawData[Item], B55,RawData[Quantity],C55,RawData[Price Per Unit],D55,RawData[Total Spent],E55,RawData[Payment Method],F55,RawData[Location],G55,RawData[Transaction Date],H55)</f>
        <v>1</v>
      </c>
      <c r="L55"/>
    </row>
    <row r="56" spans="1:12" x14ac:dyDescent="0.3">
      <c r="A56" t="s">
        <v>62</v>
      </c>
      <c r="B56" t="s">
        <v>10012</v>
      </c>
      <c r="C56">
        <v>5</v>
      </c>
      <c r="D56">
        <v>4</v>
      </c>
      <c r="E56">
        <v>20</v>
      </c>
      <c r="F56" t="s">
        <v>10020</v>
      </c>
      <c r="G56" t="s">
        <v>10021</v>
      </c>
      <c r="H56" s="6">
        <v>45265</v>
      </c>
      <c r="I56">
        <f t="shared" si="0"/>
        <v>0</v>
      </c>
      <c r="J56" t="str">
        <f t="shared" si="1"/>
        <v>Complete</v>
      </c>
      <c r="K56">
        <f>COUNTIFS(RawData[Item], B56,RawData[Quantity],C56,RawData[Price Per Unit],D56,RawData[Total Spent],E56,RawData[Payment Method],F56,RawData[Location],G56,RawData[Transaction Date],H56)</f>
        <v>1</v>
      </c>
      <c r="L56"/>
    </row>
    <row r="57" spans="1:12" x14ac:dyDescent="0.3">
      <c r="A57" t="s">
        <v>63</v>
      </c>
      <c r="B57" t="s">
        <v>10010</v>
      </c>
      <c r="C57" t="s">
        <v>10015</v>
      </c>
      <c r="D57">
        <v>1</v>
      </c>
      <c r="E57">
        <v>2</v>
      </c>
      <c r="F57" t="s">
        <v>10018</v>
      </c>
      <c r="G57" t="s">
        <v>10021</v>
      </c>
      <c r="H57" s="6">
        <v>45004</v>
      </c>
      <c r="I57">
        <f t="shared" si="0"/>
        <v>1</v>
      </c>
      <c r="J57" t="str">
        <f t="shared" si="1"/>
        <v>Complete</v>
      </c>
      <c r="K57">
        <f>COUNTIFS(RawData[Item], B57,RawData[Quantity],C57,RawData[Price Per Unit],D57,RawData[Total Spent],E57,RawData[Payment Method],F57,RawData[Location],G57,RawData[Transaction Date],H57)</f>
        <v>1</v>
      </c>
      <c r="L57"/>
    </row>
    <row r="58" spans="1:12" x14ac:dyDescent="0.3">
      <c r="A58" t="s">
        <v>64</v>
      </c>
      <c r="B58" t="s">
        <v>10009</v>
      </c>
      <c r="C58">
        <v>5</v>
      </c>
      <c r="D58">
        <v>0</v>
      </c>
      <c r="E58">
        <v>15</v>
      </c>
      <c r="F58" t="s">
        <v>10069</v>
      </c>
      <c r="G58" t="s">
        <v>10021</v>
      </c>
      <c r="H58" s="6">
        <v>45104</v>
      </c>
      <c r="I58">
        <f t="shared" si="0"/>
        <v>0</v>
      </c>
      <c r="J58" t="str">
        <f t="shared" si="1"/>
        <v>Complete</v>
      </c>
      <c r="K58">
        <f>COUNTIFS(RawData[Item], B58,RawData[Quantity],C58,RawData[Price Per Unit],D58,RawData[Total Spent],E58,RawData[Payment Method],F58,RawData[Location],G58,RawData[Transaction Date],H58)</f>
        <v>1</v>
      </c>
      <c r="L58"/>
    </row>
    <row r="59" spans="1:12" x14ac:dyDescent="0.3">
      <c r="A59" t="s">
        <v>65</v>
      </c>
      <c r="B59" t="s">
        <v>10009</v>
      </c>
      <c r="C59" t="s">
        <v>10013</v>
      </c>
      <c r="D59">
        <v>3</v>
      </c>
      <c r="E59">
        <v>3</v>
      </c>
      <c r="F59" t="s">
        <v>10020</v>
      </c>
      <c r="G59" t="s">
        <v>10102</v>
      </c>
      <c r="H59" s="6">
        <v>45035</v>
      </c>
      <c r="I59">
        <f t="shared" si="0"/>
        <v>1</v>
      </c>
      <c r="J59" t="str">
        <f t="shared" si="1"/>
        <v>Complete</v>
      </c>
      <c r="K59">
        <f>COUNTIFS(RawData[Item], B59,RawData[Quantity],C59,RawData[Price Per Unit],D59,RawData[Total Spent],E59,RawData[Payment Method],F59,RawData[Location],G59,RawData[Transaction Date],H59)</f>
        <v>1</v>
      </c>
      <c r="L59"/>
    </row>
    <row r="60" spans="1:12" x14ac:dyDescent="0.3">
      <c r="A60" t="s">
        <v>66</v>
      </c>
      <c r="B60" t="s">
        <v>10014</v>
      </c>
      <c r="C60">
        <v>4</v>
      </c>
      <c r="D60">
        <v>4</v>
      </c>
      <c r="E60">
        <v>16</v>
      </c>
      <c r="F60" t="s">
        <v>10019</v>
      </c>
      <c r="G60" t="s">
        <v>10021</v>
      </c>
      <c r="H60" s="6">
        <v>45233</v>
      </c>
      <c r="I60">
        <f t="shared" si="0"/>
        <v>0</v>
      </c>
      <c r="J60" t="str">
        <f t="shared" si="1"/>
        <v>Complete</v>
      </c>
      <c r="K60">
        <f>COUNTIFS(RawData[Item], B60,RawData[Quantity],C60,RawData[Price Per Unit],D60,RawData[Total Spent],E60,RawData[Payment Method],F60,RawData[Location],G60,RawData[Transaction Date],H60)</f>
        <v>1</v>
      </c>
      <c r="L60"/>
    </row>
    <row r="61" spans="1:12" x14ac:dyDescent="0.3">
      <c r="A61" t="s">
        <v>67</v>
      </c>
      <c r="B61" t="s">
        <v>10016</v>
      </c>
      <c r="C61">
        <v>5</v>
      </c>
      <c r="D61">
        <v>3</v>
      </c>
      <c r="E61">
        <v>15</v>
      </c>
      <c r="F61" t="s">
        <v>10069</v>
      </c>
      <c r="G61" t="s">
        <v>10102</v>
      </c>
      <c r="H61" s="6">
        <v>45206</v>
      </c>
      <c r="I61">
        <f t="shared" si="0"/>
        <v>0</v>
      </c>
      <c r="J61" t="str">
        <f t="shared" si="1"/>
        <v>Complete</v>
      </c>
      <c r="K61">
        <f>COUNTIFS(RawData[Item], B61,RawData[Quantity],C61,RawData[Price Per Unit],D61,RawData[Total Spent],E61,RawData[Payment Method],F61,RawData[Location],G61,RawData[Transaction Date],H61)</f>
        <v>1</v>
      </c>
      <c r="L61"/>
    </row>
    <row r="62" spans="1:12" x14ac:dyDescent="0.3">
      <c r="A62" t="s">
        <v>68</v>
      </c>
      <c r="B62" t="s">
        <v>10011</v>
      </c>
      <c r="C62">
        <v>1</v>
      </c>
      <c r="D62">
        <v>5</v>
      </c>
      <c r="E62">
        <v>5</v>
      </c>
      <c r="F62" t="s">
        <v>10069</v>
      </c>
      <c r="G62" t="s">
        <v>10069</v>
      </c>
      <c r="H62" s="6">
        <v>45199</v>
      </c>
      <c r="I62">
        <f t="shared" si="0"/>
        <v>0</v>
      </c>
      <c r="J62" t="str">
        <f t="shared" si="1"/>
        <v>Complete</v>
      </c>
      <c r="K62">
        <f>COUNTIFS(RawData[Item], B62,RawData[Quantity],C62,RawData[Price Per Unit],D62,RawData[Total Spent],E62,RawData[Payment Method],F62,RawData[Location],G62,RawData[Transaction Date],H62)</f>
        <v>1</v>
      </c>
      <c r="L62"/>
    </row>
    <row r="63" spans="1:12" x14ac:dyDescent="0.3">
      <c r="A63" t="s">
        <v>69</v>
      </c>
      <c r="B63" t="s">
        <v>10069</v>
      </c>
      <c r="C63">
        <v>1</v>
      </c>
      <c r="D63">
        <v>3</v>
      </c>
      <c r="E63">
        <v>3</v>
      </c>
      <c r="F63" t="s">
        <v>10069</v>
      </c>
      <c r="G63" t="s">
        <v>10102</v>
      </c>
      <c r="H63" s="6">
        <v>45208</v>
      </c>
      <c r="I63">
        <f t="shared" si="0"/>
        <v>0</v>
      </c>
      <c r="J63" t="str">
        <f t="shared" si="1"/>
        <v>Complete</v>
      </c>
      <c r="K63">
        <f>COUNTIFS(RawData[Item], B63,RawData[Quantity],C63,RawData[Price Per Unit],D63,RawData[Total Spent],E63,RawData[Payment Method],F63,RawData[Location],G63,RawData[Transaction Date],H63)</f>
        <v>1</v>
      </c>
      <c r="L63"/>
    </row>
    <row r="64" spans="1:12" x14ac:dyDescent="0.3">
      <c r="A64" t="s">
        <v>70</v>
      </c>
      <c r="B64" t="s">
        <v>10014</v>
      </c>
      <c r="C64">
        <v>1</v>
      </c>
      <c r="D64">
        <v>4</v>
      </c>
      <c r="E64">
        <v>4</v>
      </c>
      <c r="F64" t="s">
        <v>10019</v>
      </c>
      <c r="G64" t="s">
        <v>10069</v>
      </c>
      <c r="H64" s="6">
        <v>45073</v>
      </c>
      <c r="I64">
        <f t="shared" si="0"/>
        <v>0</v>
      </c>
      <c r="J64" t="str">
        <f t="shared" si="1"/>
        <v>Complete</v>
      </c>
      <c r="K64">
        <f>COUNTIFS(RawData[Item], B64,RawData[Quantity],C64,RawData[Price Per Unit],D64,RawData[Total Spent],E64,RawData[Payment Method],F64,RawData[Location],G64,RawData[Transaction Date],H64)</f>
        <v>1</v>
      </c>
      <c r="L64"/>
    </row>
    <row r="65" spans="1:12" x14ac:dyDescent="0.3">
      <c r="A65" t="s">
        <v>71</v>
      </c>
      <c r="B65" t="s">
        <v>10013</v>
      </c>
      <c r="C65">
        <v>3</v>
      </c>
      <c r="D65">
        <v>5</v>
      </c>
      <c r="E65">
        <v>15</v>
      </c>
      <c r="F65" t="s">
        <v>10069</v>
      </c>
      <c r="G65" t="s">
        <v>10021</v>
      </c>
      <c r="H65" s="6">
        <v>45248</v>
      </c>
      <c r="I65">
        <f t="shared" si="0"/>
        <v>1</v>
      </c>
      <c r="J65" t="str">
        <f t="shared" si="1"/>
        <v>Complete</v>
      </c>
      <c r="K65">
        <f>COUNTIFS(RawData[Item], B65,RawData[Quantity],C65,RawData[Price Per Unit],D65,RawData[Total Spent],E65,RawData[Payment Method],F65,RawData[Location],G65,RawData[Transaction Date],H65)</f>
        <v>1</v>
      </c>
      <c r="L65"/>
    </row>
    <row r="66" spans="1:12" x14ac:dyDescent="0.3">
      <c r="A66" t="s">
        <v>72</v>
      </c>
      <c r="B66" t="s">
        <v>10012</v>
      </c>
      <c r="C66">
        <v>4</v>
      </c>
      <c r="D66">
        <v>4</v>
      </c>
      <c r="E66">
        <v>16</v>
      </c>
      <c r="F66" t="s">
        <v>10020</v>
      </c>
      <c r="G66" t="s">
        <v>10069</v>
      </c>
      <c r="H66" s="6">
        <v>45078</v>
      </c>
      <c r="I66">
        <f t="shared" ref="I66:I129" si="2">(B66="Unknown")+(B66="Error")+(C66="Unknown")+(C66="Error")+(D66="Unknown")+(D66="Error")+(E66="Unknown")+(E66="Error")+(F66="Unknown")+(F66="Error")+(G66="Unknown")+(G66="Error")+(H66="No Date")</f>
        <v>0</v>
      </c>
      <c r="J66" t="str">
        <f t="shared" ref="J66:J129" si="3">IF((H66="No Date"),"Incomplete","Complete")</f>
        <v>Complete</v>
      </c>
      <c r="K66">
        <f>COUNTIFS(RawData[Item], B66,RawData[Quantity],C66,RawData[Price Per Unit],D66,RawData[Total Spent],E66,RawData[Payment Method],F66,RawData[Location],G66,RawData[Transaction Date],H66)</f>
        <v>1</v>
      </c>
      <c r="L66"/>
    </row>
    <row r="67" spans="1:12" x14ac:dyDescent="0.3">
      <c r="A67" t="s">
        <v>73</v>
      </c>
      <c r="B67" t="s">
        <v>10014</v>
      </c>
      <c r="C67">
        <v>3</v>
      </c>
      <c r="D67">
        <v>0</v>
      </c>
      <c r="E67">
        <v>0</v>
      </c>
      <c r="F67" t="s">
        <v>10069</v>
      </c>
      <c r="G67" t="s">
        <v>10102</v>
      </c>
      <c r="H67" s="6">
        <v>45219</v>
      </c>
      <c r="I67">
        <f t="shared" si="2"/>
        <v>0</v>
      </c>
      <c r="J67" t="str">
        <f t="shared" si="3"/>
        <v>Complete</v>
      </c>
      <c r="K67">
        <f>COUNTIFS(RawData[Item], B67,RawData[Quantity],C67,RawData[Price Per Unit],D67,RawData[Total Spent],E67,RawData[Payment Method],F67,RawData[Location],G67,RawData[Transaction Date],H67)</f>
        <v>1</v>
      </c>
      <c r="L67"/>
    </row>
    <row r="68" spans="1:12" x14ac:dyDescent="0.3">
      <c r="A68" t="s">
        <v>74</v>
      </c>
      <c r="B68" t="s">
        <v>10016</v>
      </c>
      <c r="C68">
        <v>0</v>
      </c>
      <c r="D68">
        <v>3</v>
      </c>
      <c r="E68">
        <v>6</v>
      </c>
      <c r="F68" t="s">
        <v>10019</v>
      </c>
      <c r="G68" t="s">
        <v>10069</v>
      </c>
      <c r="H68" s="6">
        <v>45015</v>
      </c>
      <c r="I68">
        <f t="shared" si="2"/>
        <v>0</v>
      </c>
      <c r="J68" t="str">
        <f t="shared" si="3"/>
        <v>Complete</v>
      </c>
      <c r="K68">
        <f>COUNTIFS(RawData[Item], B68,RawData[Quantity],C68,RawData[Price Per Unit],D68,RawData[Total Spent],E68,RawData[Payment Method],F68,RawData[Location],G68,RawData[Transaction Date],H68)</f>
        <v>1</v>
      </c>
      <c r="L68"/>
    </row>
    <row r="69" spans="1:12" x14ac:dyDescent="0.3">
      <c r="A69" t="s">
        <v>75</v>
      </c>
      <c r="B69" t="s">
        <v>10010</v>
      </c>
      <c r="C69">
        <v>1</v>
      </c>
      <c r="D69">
        <v>1</v>
      </c>
      <c r="E69">
        <v>1</v>
      </c>
      <c r="F69" t="s">
        <v>10018</v>
      </c>
      <c r="G69" t="s">
        <v>10021</v>
      </c>
      <c r="H69" s="6">
        <v>45202</v>
      </c>
      <c r="I69">
        <f t="shared" si="2"/>
        <v>0</v>
      </c>
      <c r="J69" t="str">
        <f t="shared" si="3"/>
        <v>Complete</v>
      </c>
      <c r="K69">
        <f>COUNTIFS(RawData[Item], B69,RawData[Quantity],C69,RawData[Price Per Unit],D69,RawData[Total Spent],E69,RawData[Payment Method],F69,RawData[Location],G69,RawData[Transaction Date],H69)</f>
        <v>1</v>
      </c>
      <c r="L69"/>
    </row>
    <row r="70" spans="1:12" x14ac:dyDescent="0.3">
      <c r="A70" t="s">
        <v>76</v>
      </c>
      <c r="B70" t="s">
        <v>10011</v>
      </c>
      <c r="C70">
        <v>2</v>
      </c>
      <c r="D70" t="s">
        <v>10015</v>
      </c>
      <c r="E70">
        <v>10</v>
      </c>
      <c r="F70" t="s">
        <v>10069</v>
      </c>
      <c r="G70" t="s">
        <v>10102</v>
      </c>
      <c r="H70" s="6">
        <v>45226</v>
      </c>
      <c r="I70">
        <f t="shared" si="2"/>
        <v>1</v>
      </c>
      <c r="J70" t="str">
        <f t="shared" si="3"/>
        <v>Complete</v>
      </c>
      <c r="K70">
        <f>COUNTIFS(RawData[Item], B70,RawData[Quantity],C70,RawData[Price Per Unit],D70,RawData[Total Spent],E70,RawData[Payment Method],F70,RawData[Location],G70,RawData[Transaction Date],H70)</f>
        <v>1</v>
      </c>
      <c r="L70"/>
    </row>
    <row r="71" spans="1:12" x14ac:dyDescent="0.3">
      <c r="A71" t="s">
        <v>77</v>
      </c>
      <c r="B71" t="s">
        <v>10015</v>
      </c>
      <c r="C71">
        <v>5</v>
      </c>
      <c r="D71">
        <v>3</v>
      </c>
      <c r="E71">
        <v>15</v>
      </c>
      <c r="F71" t="s">
        <v>10020</v>
      </c>
      <c r="G71" t="s">
        <v>10102</v>
      </c>
      <c r="H71" s="6">
        <v>45022</v>
      </c>
      <c r="I71">
        <f t="shared" si="2"/>
        <v>1</v>
      </c>
      <c r="J71" t="str">
        <f t="shared" si="3"/>
        <v>Complete</v>
      </c>
      <c r="K71">
        <f>COUNTIFS(RawData[Item], B71,RawData[Quantity],C71,RawData[Price Per Unit],D71,RawData[Total Spent],E71,RawData[Payment Method],F71,RawData[Location],G71,RawData[Transaction Date],H71)</f>
        <v>1</v>
      </c>
      <c r="L71"/>
    </row>
    <row r="72" spans="1:12" x14ac:dyDescent="0.3">
      <c r="A72" t="s">
        <v>78</v>
      </c>
      <c r="B72" t="s">
        <v>10017</v>
      </c>
      <c r="C72">
        <v>2</v>
      </c>
      <c r="D72">
        <v>1.5</v>
      </c>
      <c r="E72">
        <v>3</v>
      </c>
      <c r="F72" t="s">
        <v>10019</v>
      </c>
      <c r="G72" t="s">
        <v>10102</v>
      </c>
      <c r="H72" s="6">
        <v>45007</v>
      </c>
      <c r="I72">
        <f t="shared" si="2"/>
        <v>0</v>
      </c>
      <c r="J72" t="str">
        <f t="shared" si="3"/>
        <v>Complete</v>
      </c>
      <c r="K72">
        <f>COUNTIFS(RawData[Item], B72,RawData[Quantity],C72,RawData[Price Per Unit],D72,RawData[Total Spent],E72,RawData[Payment Method],F72,RawData[Location],G72,RawData[Transaction Date],H72)</f>
        <v>1</v>
      </c>
      <c r="L72"/>
    </row>
    <row r="73" spans="1:12" x14ac:dyDescent="0.3">
      <c r="A73" t="s">
        <v>79</v>
      </c>
      <c r="B73" t="s">
        <v>10009</v>
      </c>
      <c r="C73">
        <v>2</v>
      </c>
      <c r="D73">
        <v>3</v>
      </c>
      <c r="E73">
        <v>6</v>
      </c>
      <c r="F73" t="s">
        <v>10018</v>
      </c>
      <c r="G73" t="s">
        <v>10102</v>
      </c>
      <c r="H73" s="6">
        <v>44957</v>
      </c>
      <c r="I73">
        <f t="shared" si="2"/>
        <v>0</v>
      </c>
      <c r="J73" t="str">
        <f t="shared" si="3"/>
        <v>Complete</v>
      </c>
      <c r="K73">
        <f>COUNTIFS(RawData[Item], B73,RawData[Quantity],C73,RawData[Price Per Unit],D73,RawData[Total Spent],E73,RawData[Payment Method],F73,RawData[Location],G73,RawData[Transaction Date],H73)</f>
        <v>1</v>
      </c>
      <c r="L73"/>
    </row>
    <row r="74" spans="1:12" x14ac:dyDescent="0.3">
      <c r="A74" t="s">
        <v>80</v>
      </c>
      <c r="B74" t="s">
        <v>10069</v>
      </c>
      <c r="C74">
        <v>1</v>
      </c>
      <c r="D74">
        <v>1</v>
      </c>
      <c r="E74">
        <v>1</v>
      </c>
      <c r="F74" t="s">
        <v>10019</v>
      </c>
      <c r="G74" t="s">
        <v>10102</v>
      </c>
      <c r="H74" s="6">
        <v>45268</v>
      </c>
      <c r="I74">
        <f t="shared" si="2"/>
        <v>0</v>
      </c>
      <c r="J74" t="str">
        <f t="shared" si="3"/>
        <v>Complete</v>
      </c>
      <c r="K74">
        <f>COUNTIFS(RawData[Item], B74,RawData[Quantity],C74,RawData[Price Per Unit],D74,RawData[Total Spent],E74,RawData[Payment Method],F74,RawData[Location],G74,RawData[Transaction Date],H74)</f>
        <v>1</v>
      </c>
      <c r="L74"/>
    </row>
    <row r="75" spans="1:12" x14ac:dyDescent="0.3">
      <c r="A75" t="s">
        <v>81</v>
      </c>
      <c r="B75" t="s">
        <v>10011</v>
      </c>
      <c r="C75">
        <v>2</v>
      </c>
      <c r="D75">
        <v>5</v>
      </c>
      <c r="E75">
        <v>10</v>
      </c>
      <c r="F75" t="s">
        <v>10069</v>
      </c>
      <c r="G75" t="s">
        <v>10104</v>
      </c>
      <c r="H75" s="6">
        <v>45096</v>
      </c>
      <c r="I75">
        <f t="shared" si="2"/>
        <v>1</v>
      </c>
      <c r="J75" t="str">
        <f t="shared" si="3"/>
        <v>Complete</v>
      </c>
      <c r="K75">
        <f>COUNTIFS(RawData[Item], B75,RawData[Quantity],C75,RawData[Price Per Unit],D75,RawData[Total Spent],E75,RawData[Payment Method],F75,RawData[Location],G75,RawData[Transaction Date],H75)</f>
        <v>1</v>
      </c>
      <c r="L75"/>
    </row>
    <row r="76" spans="1:12" x14ac:dyDescent="0.3">
      <c r="A76" t="s">
        <v>82</v>
      </c>
      <c r="B76" t="s">
        <v>10012</v>
      </c>
      <c r="C76">
        <v>2</v>
      </c>
      <c r="D76">
        <v>4</v>
      </c>
      <c r="E76">
        <v>8</v>
      </c>
      <c r="F76" t="s">
        <v>10018</v>
      </c>
      <c r="G76" t="s">
        <v>10104</v>
      </c>
      <c r="H76" s="6">
        <v>45274</v>
      </c>
      <c r="I76">
        <f t="shared" si="2"/>
        <v>1</v>
      </c>
      <c r="J76" t="str">
        <f t="shared" si="3"/>
        <v>Complete</v>
      </c>
      <c r="K76">
        <f>COUNTIFS(RawData[Item], B76,RawData[Quantity],C76,RawData[Price Per Unit],D76,RawData[Total Spent],E76,RawData[Payment Method],F76,RawData[Location],G76,RawData[Transaction Date],H76)</f>
        <v>1</v>
      </c>
      <c r="L76"/>
    </row>
    <row r="77" spans="1:12" x14ac:dyDescent="0.3">
      <c r="A77" t="s">
        <v>83</v>
      </c>
      <c r="B77" t="s">
        <v>10008</v>
      </c>
      <c r="C77">
        <v>1</v>
      </c>
      <c r="D77">
        <v>2</v>
      </c>
      <c r="E77">
        <v>2</v>
      </c>
      <c r="F77" t="s">
        <v>10019</v>
      </c>
      <c r="G77" t="s">
        <v>10021</v>
      </c>
      <c r="H77" s="6">
        <v>45123</v>
      </c>
      <c r="I77">
        <f t="shared" si="2"/>
        <v>0</v>
      </c>
      <c r="J77" t="str">
        <f t="shared" si="3"/>
        <v>Complete</v>
      </c>
      <c r="K77">
        <f>COUNTIFS(RawData[Item], B77,RawData[Quantity],C77,RawData[Price Per Unit],D77,RawData[Total Spent],E77,RawData[Payment Method],F77,RawData[Location],G77,RawData[Transaction Date],H77)</f>
        <v>1</v>
      </c>
      <c r="L77"/>
    </row>
    <row r="78" spans="1:12" x14ac:dyDescent="0.3">
      <c r="A78" t="s">
        <v>84</v>
      </c>
      <c r="B78" t="s">
        <v>10014</v>
      </c>
      <c r="C78">
        <v>4</v>
      </c>
      <c r="D78">
        <v>4</v>
      </c>
      <c r="E78">
        <v>16</v>
      </c>
      <c r="F78" t="s">
        <v>10019</v>
      </c>
      <c r="G78" t="s">
        <v>10069</v>
      </c>
      <c r="H78" s="6">
        <v>44979</v>
      </c>
      <c r="I78">
        <f t="shared" si="2"/>
        <v>0</v>
      </c>
      <c r="J78" t="str">
        <f t="shared" si="3"/>
        <v>Complete</v>
      </c>
      <c r="K78">
        <f>COUNTIFS(RawData[Item], B78,RawData[Quantity],C78,RawData[Price Per Unit],D78,RawData[Total Spent],E78,RawData[Payment Method],F78,RawData[Location],G78,RawData[Transaction Date],H78)</f>
        <v>1</v>
      </c>
      <c r="L78"/>
    </row>
    <row r="79" spans="1:12" x14ac:dyDescent="0.3">
      <c r="A79" t="s">
        <v>85</v>
      </c>
      <c r="B79" t="s">
        <v>10011</v>
      </c>
      <c r="C79">
        <v>1</v>
      </c>
      <c r="D79">
        <v>5</v>
      </c>
      <c r="E79">
        <v>5</v>
      </c>
      <c r="F79" t="s">
        <v>10069</v>
      </c>
      <c r="G79" t="s">
        <v>10102</v>
      </c>
      <c r="H79" s="6" t="s">
        <v>10112</v>
      </c>
      <c r="I79">
        <f t="shared" si="2"/>
        <v>1</v>
      </c>
      <c r="J79" t="str">
        <f t="shared" si="3"/>
        <v>Incomplete</v>
      </c>
      <c r="K79">
        <f>COUNTIFS(RawData[Item], B79,RawData[Quantity],C79,RawData[Price Per Unit],D79,RawData[Total Spent],E79,RawData[Payment Method],F79,RawData[Location],G79,RawData[Transaction Date],H79)</f>
        <v>1</v>
      </c>
      <c r="L79"/>
    </row>
    <row r="80" spans="1:12" x14ac:dyDescent="0.3">
      <c r="A80" t="s">
        <v>86</v>
      </c>
      <c r="B80" t="s">
        <v>10017</v>
      </c>
      <c r="C80">
        <v>5</v>
      </c>
      <c r="D80">
        <v>1.5</v>
      </c>
      <c r="E80">
        <v>7.5</v>
      </c>
      <c r="F80" t="s">
        <v>10019</v>
      </c>
      <c r="G80" t="s">
        <v>10069</v>
      </c>
      <c r="H80" s="6">
        <v>45079</v>
      </c>
      <c r="I80">
        <f t="shared" si="2"/>
        <v>0</v>
      </c>
      <c r="J80" t="str">
        <f t="shared" si="3"/>
        <v>Complete</v>
      </c>
      <c r="K80">
        <f>COUNTIFS(RawData[Item], B80,RawData[Quantity],C80,RawData[Price Per Unit],D80,RawData[Total Spent],E80,RawData[Payment Method],F80,RawData[Location],G80,RawData[Transaction Date],H80)</f>
        <v>1</v>
      </c>
      <c r="L80"/>
    </row>
    <row r="81" spans="1:12" x14ac:dyDescent="0.3">
      <c r="A81" t="s">
        <v>87</v>
      </c>
      <c r="B81" t="s">
        <v>10016</v>
      </c>
      <c r="C81">
        <v>4</v>
      </c>
      <c r="D81">
        <v>3</v>
      </c>
      <c r="E81">
        <v>12</v>
      </c>
      <c r="F81" t="s">
        <v>10019</v>
      </c>
      <c r="G81" t="s">
        <v>10102</v>
      </c>
      <c r="H81" s="6">
        <v>45092</v>
      </c>
      <c r="I81">
        <f t="shared" si="2"/>
        <v>0</v>
      </c>
      <c r="J81" t="str">
        <f t="shared" si="3"/>
        <v>Complete</v>
      </c>
      <c r="K81">
        <f>COUNTIFS(RawData[Item], B81,RawData[Quantity],C81,RawData[Price Per Unit],D81,RawData[Total Spent],E81,RawData[Payment Method],F81,RawData[Location],G81,RawData[Transaction Date],H81)</f>
        <v>1</v>
      </c>
      <c r="L81"/>
    </row>
    <row r="82" spans="1:12" x14ac:dyDescent="0.3">
      <c r="A82" t="s">
        <v>88</v>
      </c>
      <c r="B82" t="s">
        <v>10008</v>
      </c>
      <c r="C82">
        <v>2</v>
      </c>
      <c r="D82">
        <v>2</v>
      </c>
      <c r="E82">
        <v>4</v>
      </c>
      <c r="F82" t="s">
        <v>10018</v>
      </c>
      <c r="G82" t="s">
        <v>10102</v>
      </c>
      <c r="H82" s="6">
        <v>45269</v>
      </c>
      <c r="I82">
        <f t="shared" si="2"/>
        <v>0</v>
      </c>
      <c r="J82" t="str">
        <f t="shared" si="3"/>
        <v>Complete</v>
      </c>
      <c r="K82">
        <f>COUNTIFS(RawData[Item], B82,RawData[Quantity],C82,RawData[Price Per Unit],D82,RawData[Total Spent],E82,RawData[Payment Method],F82,RawData[Location],G82,RawData[Transaction Date],H82)</f>
        <v>1</v>
      </c>
      <c r="L82"/>
    </row>
    <row r="83" spans="1:12" x14ac:dyDescent="0.3">
      <c r="A83" t="s">
        <v>89</v>
      </c>
      <c r="B83" t="s">
        <v>10014</v>
      </c>
      <c r="C83">
        <v>2</v>
      </c>
      <c r="D83">
        <v>4</v>
      </c>
      <c r="E83">
        <v>8</v>
      </c>
      <c r="F83" t="s">
        <v>10069</v>
      </c>
      <c r="G83" t="s">
        <v>10102</v>
      </c>
      <c r="H83" s="6">
        <v>45034</v>
      </c>
      <c r="I83">
        <f t="shared" si="2"/>
        <v>0</v>
      </c>
      <c r="J83" t="str">
        <f t="shared" si="3"/>
        <v>Complete</v>
      </c>
      <c r="K83">
        <f>COUNTIFS(RawData[Item], B83,RawData[Quantity],C83,RawData[Price Per Unit],D83,RawData[Total Spent],E83,RawData[Payment Method],F83,RawData[Location],G83,RawData[Transaction Date],H83)</f>
        <v>1</v>
      </c>
      <c r="L83"/>
    </row>
    <row r="84" spans="1:12" x14ac:dyDescent="0.3">
      <c r="A84" t="s">
        <v>90</v>
      </c>
      <c r="B84" t="s">
        <v>10010</v>
      </c>
      <c r="C84">
        <v>2</v>
      </c>
      <c r="D84">
        <v>1</v>
      </c>
      <c r="E84">
        <v>2</v>
      </c>
      <c r="F84" t="s">
        <v>10069</v>
      </c>
      <c r="G84" t="s">
        <v>10069</v>
      </c>
      <c r="H84" s="6">
        <v>45237</v>
      </c>
      <c r="I84">
        <f t="shared" si="2"/>
        <v>0</v>
      </c>
      <c r="J84" t="str">
        <f t="shared" si="3"/>
        <v>Complete</v>
      </c>
      <c r="K84">
        <f>COUNTIFS(RawData[Item], B84,RawData[Quantity],C84,RawData[Price Per Unit],D84,RawData[Total Spent],E84,RawData[Payment Method],F84,RawData[Location],G84,RawData[Transaction Date],H84)</f>
        <v>1</v>
      </c>
      <c r="L84"/>
    </row>
    <row r="85" spans="1:12" x14ac:dyDescent="0.3">
      <c r="A85" t="s">
        <v>91</v>
      </c>
      <c r="B85" t="s">
        <v>10009</v>
      </c>
      <c r="C85">
        <v>3</v>
      </c>
      <c r="D85">
        <v>3</v>
      </c>
      <c r="E85">
        <v>9</v>
      </c>
      <c r="F85" t="s">
        <v>10019</v>
      </c>
      <c r="G85" t="s">
        <v>10102</v>
      </c>
      <c r="H85" s="6">
        <v>45227</v>
      </c>
      <c r="I85">
        <f t="shared" si="2"/>
        <v>0</v>
      </c>
      <c r="J85" t="str">
        <f t="shared" si="3"/>
        <v>Complete</v>
      </c>
      <c r="K85">
        <f>COUNTIFS(RawData[Item], B85,RawData[Quantity],C85,RawData[Price Per Unit],D85,RawData[Total Spent],E85,RawData[Payment Method],F85,RawData[Location],G85,RawData[Transaction Date],H85)</f>
        <v>1</v>
      </c>
      <c r="L85"/>
    </row>
    <row r="86" spans="1:12" x14ac:dyDescent="0.3">
      <c r="A86" t="s">
        <v>92</v>
      </c>
      <c r="B86" t="s">
        <v>10009</v>
      </c>
      <c r="C86">
        <v>4</v>
      </c>
      <c r="D86">
        <v>3</v>
      </c>
      <c r="E86">
        <v>12</v>
      </c>
      <c r="F86" t="s">
        <v>10018</v>
      </c>
      <c r="G86" t="s">
        <v>10069</v>
      </c>
      <c r="H86" s="6">
        <v>45282</v>
      </c>
      <c r="I86">
        <f t="shared" si="2"/>
        <v>0</v>
      </c>
      <c r="J86" t="str">
        <f t="shared" si="3"/>
        <v>Complete</v>
      </c>
      <c r="K86">
        <f>COUNTIFS(RawData[Item], B86,RawData[Quantity],C86,RawData[Price Per Unit],D86,RawData[Total Spent],E86,RawData[Payment Method],F86,RawData[Location],G86,RawData[Transaction Date],H86)</f>
        <v>1</v>
      </c>
      <c r="L86"/>
    </row>
    <row r="87" spans="1:12" x14ac:dyDescent="0.3">
      <c r="A87" t="s">
        <v>93</v>
      </c>
      <c r="B87" t="s">
        <v>10017</v>
      </c>
      <c r="C87">
        <v>3</v>
      </c>
      <c r="D87">
        <v>0</v>
      </c>
      <c r="E87">
        <v>4.5</v>
      </c>
      <c r="F87" t="s">
        <v>10019</v>
      </c>
      <c r="G87" t="s">
        <v>10103</v>
      </c>
      <c r="H87" s="6">
        <v>45228</v>
      </c>
      <c r="I87">
        <f t="shared" si="2"/>
        <v>1</v>
      </c>
      <c r="J87" t="str">
        <f t="shared" si="3"/>
        <v>Complete</v>
      </c>
      <c r="K87">
        <f>COUNTIFS(RawData[Item], B87,RawData[Quantity],C87,RawData[Price Per Unit],D87,RawData[Total Spent],E87,RawData[Payment Method],F87,RawData[Location],G87,RawData[Transaction Date],H87)</f>
        <v>1</v>
      </c>
      <c r="L87"/>
    </row>
    <row r="88" spans="1:12" x14ac:dyDescent="0.3">
      <c r="A88" t="s">
        <v>94</v>
      </c>
      <c r="B88" t="s">
        <v>10009</v>
      </c>
      <c r="C88">
        <v>5</v>
      </c>
      <c r="D88">
        <v>3</v>
      </c>
      <c r="E88">
        <v>15</v>
      </c>
      <c r="F88" t="s">
        <v>10018</v>
      </c>
      <c r="G88" t="s">
        <v>10104</v>
      </c>
      <c r="H88" s="6">
        <v>45046</v>
      </c>
      <c r="I88">
        <f t="shared" si="2"/>
        <v>1</v>
      </c>
      <c r="J88" t="str">
        <f t="shared" si="3"/>
        <v>Complete</v>
      </c>
      <c r="K88">
        <f>COUNTIFS(RawData[Item], B88,RawData[Quantity],C88,RawData[Price Per Unit],D88,RawData[Total Spent],E88,RawData[Payment Method],F88,RawData[Location],G88,RawData[Transaction Date],H88)</f>
        <v>1</v>
      </c>
      <c r="L88"/>
    </row>
    <row r="89" spans="1:12" x14ac:dyDescent="0.3">
      <c r="A89" t="s">
        <v>95</v>
      </c>
      <c r="B89" t="s">
        <v>10010</v>
      </c>
      <c r="C89">
        <v>5</v>
      </c>
      <c r="D89">
        <v>1</v>
      </c>
      <c r="E89">
        <v>5</v>
      </c>
      <c r="F89" t="s">
        <v>10069</v>
      </c>
      <c r="G89" t="s">
        <v>10021</v>
      </c>
      <c r="H89" s="6">
        <v>45018</v>
      </c>
      <c r="I89">
        <f t="shared" si="2"/>
        <v>0</v>
      </c>
      <c r="J89" t="str">
        <f t="shared" si="3"/>
        <v>Complete</v>
      </c>
      <c r="K89">
        <f>COUNTIFS(RawData[Item], B89,RawData[Quantity],C89,RawData[Price Per Unit],D89,RawData[Total Spent],E89,RawData[Payment Method],F89,RawData[Location],G89,RawData[Transaction Date],H89)</f>
        <v>1</v>
      </c>
      <c r="L89"/>
    </row>
    <row r="90" spans="1:12" x14ac:dyDescent="0.3">
      <c r="A90" t="s">
        <v>96</v>
      </c>
      <c r="B90" t="s">
        <v>10015</v>
      </c>
      <c r="C90">
        <v>1</v>
      </c>
      <c r="D90">
        <v>5</v>
      </c>
      <c r="E90">
        <v>5</v>
      </c>
      <c r="F90" t="s">
        <v>10020</v>
      </c>
      <c r="G90" t="s">
        <v>10021</v>
      </c>
      <c r="H90" s="6">
        <v>45070</v>
      </c>
      <c r="I90">
        <f t="shared" si="2"/>
        <v>1</v>
      </c>
      <c r="J90" t="str">
        <f t="shared" si="3"/>
        <v>Complete</v>
      </c>
      <c r="K90">
        <f>COUNTIFS(RawData[Item], B90,RawData[Quantity],C90,RawData[Price Per Unit],D90,RawData[Total Spent],E90,RawData[Payment Method],F90,RawData[Location],G90,RawData[Transaction Date],H90)</f>
        <v>1</v>
      </c>
      <c r="L90"/>
    </row>
    <row r="91" spans="1:12" x14ac:dyDescent="0.3">
      <c r="A91" t="s">
        <v>97</v>
      </c>
      <c r="B91" t="s">
        <v>10069</v>
      </c>
      <c r="C91">
        <v>5</v>
      </c>
      <c r="D91">
        <v>1</v>
      </c>
      <c r="E91">
        <v>5</v>
      </c>
      <c r="F91" t="s">
        <v>10069</v>
      </c>
      <c r="G91" t="s">
        <v>10102</v>
      </c>
      <c r="H91" s="6">
        <v>44997</v>
      </c>
      <c r="I91">
        <f t="shared" si="2"/>
        <v>0</v>
      </c>
      <c r="J91" t="str">
        <f t="shared" si="3"/>
        <v>Complete</v>
      </c>
      <c r="K91">
        <f>COUNTIFS(RawData[Item], B91,RawData[Quantity],C91,RawData[Price Per Unit],D91,RawData[Total Spent],E91,RawData[Payment Method],F91,RawData[Location],G91,RawData[Transaction Date],H91)</f>
        <v>1</v>
      </c>
      <c r="L91"/>
    </row>
    <row r="92" spans="1:12" x14ac:dyDescent="0.3">
      <c r="A92" t="s">
        <v>98</v>
      </c>
      <c r="B92" t="s">
        <v>10017</v>
      </c>
      <c r="C92">
        <v>2</v>
      </c>
      <c r="D92">
        <v>1.5</v>
      </c>
      <c r="E92">
        <v>3</v>
      </c>
      <c r="F92" t="s">
        <v>10018</v>
      </c>
      <c r="G92" t="s">
        <v>10102</v>
      </c>
      <c r="H92" s="6">
        <v>45154</v>
      </c>
      <c r="I92">
        <f t="shared" si="2"/>
        <v>0</v>
      </c>
      <c r="J92" t="str">
        <f t="shared" si="3"/>
        <v>Complete</v>
      </c>
      <c r="K92">
        <f>COUNTIFS(RawData[Item], B92,RawData[Quantity],C92,RawData[Price Per Unit],D92,RawData[Total Spent],E92,RawData[Payment Method],F92,RawData[Location],G92,RawData[Transaction Date],H92)</f>
        <v>1</v>
      </c>
      <c r="L92"/>
    </row>
    <row r="93" spans="1:12" x14ac:dyDescent="0.3">
      <c r="A93" t="s">
        <v>99</v>
      </c>
      <c r="B93" t="s">
        <v>10013</v>
      </c>
      <c r="C93">
        <v>5</v>
      </c>
      <c r="D93">
        <v>3</v>
      </c>
      <c r="E93">
        <v>15</v>
      </c>
      <c r="F93" t="s">
        <v>10069</v>
      </c>
      <c r="G93" t="s">
        <v>10102</v>
      </c>
      <c r="H93" s="6">
        <v>45227</v>
      </c>
      <c r="I93">
        <f t="shared" si="2"/>
        <v>1</v>
      </c>
      <c r="J93" t="str">
        <f t="shared" si="3"/>
        <v>Complete</v>
      </c>
      <c r="K93">
        <f>COUNTIFS(RawData[Item], B93,RawData[Quantity],C93,RawData[Price Per Unit],D93,RawData[Total Spent],E93,RawData[Payment Method],F93,RawData[Location],G93,RawData[Transaction Date],H93)</f>
        <v>1</v>
      </c>
      <c r="L93"/>
    </row>
    <row r="94" spans="1:12" x14ac:dyDescent="0.3">
      <c r="A94" t="s">
        <v>100</v>
      </c>
      <c r="B94" t="s">
        <v>10016</v>
      </c>
      <c r="C94">
        <v>5</v>
      </c>
      <c r="D94">
        <v>3</v>
      </c>
      <c r="E94">
        <v>15</v>
      </c>
      <c r="F94" t="s">
        <v>10018</v>
      </c>
      <c r="G94" t="s">
        <v>10069</v>
      </c>
      <c r="H94" s="6">
        <v>45179</v>
      </c>
      <c r="I94">
        <f t="shared" si="2"/>
        <v>0</v>
      </c>
      <c r="J94" t="str">
        <f t="shared" si="3"/>
        <v>Complete</v>
      </c>
      <c r="K94">
        <f>COUNTIFS(RawData[Item], B94,RawData[Quantity],C94,RawData[Price Per Unit],D94,RawData[Total Spent],E94,RawData[Payment Method],F94,RawData[Location],G94,RawData[Transaction Date],H94)</f>
        <v>1</v>
      </c>
      <c r="L94"/>
    </row>
    <row r="95" spans="1:12" x14ac:dyDescent="0.3">
      <c r="A95" t="s">
        <v>101</v>
      </c>
      <c r="B95" t="s">
        <v>10008</v>
      </c>
      <c r="C95">
        <v>3</v>
      </c>
      <c r="D95">
        <v>2</v>
      </c>
      <c r="E95">
        <v>6</v>
      </c>
      <c r="F95" t="s">
        <v>10018</v>
      </c>
      <c r="G95" t="s">
        <v>10069</v>
      </c>
      <c r="H95" s="6">
        <v>44992</v>
      </c>
      <c r="I95">
        <f t="shared" si="2"/>
        <v>0</v>
      </c>
      <c r="J95" t="str">
        <f t="shared" si="3"/>
        <v>Complete</v>
      </c>
      <c r="K95">
        <f>COUNTIFS(RawData[Item], B95,RawData[Quantity],C95,RawData[Price Per Unit],D95,RawData[Total Spent],E95,RawData[Payment Method],F95,RawData[Location],G95,RawData[Transaction Date],H95)</f>
        <v>1</v>
      </c>
      <c r="L95"/>
    </row>
    <row r="96" spans="1:12" x14ac:dyDescent="0.3">
      <c r="A96" t="s">
        <v>102</v>
      </c>
      <c r="B96" t="s">
        <v>10016</v>
      </c>
      <c r="C96">
        <v>3</v>
      </c>
      <c r="D96">
        <v>3</v>
      </c>
      <c r="E96" t="s">
        <v>10013</v>
      </c>
      <c r="F96" t="s">
        <v>10019</v>
      </c>
      <c r="G96" t="s">
        <v>10021</v>
      </c>
      <c r="H96" s="6">
        <v>45145</v>
      </c>
      <c r="I96">
        <f t="shared" si="2"/>
        <v>1</v>
      </c>
      <c r="J96" t="str">
        <f t="shared" si="3"/>
        <v>Complete</v>
      </c>
      <c r="K96">
        <f>COUNTIFS(RawData[Item], B96,RawData[Quantity],C96,RawData[Price Per Unit],D96,RawData[Total Spent],E96,RawData[Payment Method],F96,RawData[Location],G96,RawData[Transaction Date],H96)</f>
        <v>1</v>
      </c>
      <c r="L96"/>
    </row>
    <row r="97" spans="1:12" x14ac:dyDescent="0.3">
      <c r="A97" t="s">
        <v>103</v>
      </c>
      <c r="B97" t="s">
        <v>10011</v>
      </c>
      <c r="C97">
        <v>3</v>
      </c>
      <c r="D97">
        <v>5</v>
      </c>
      <c r="E97">
        <v>15</v>
      </c>
      <c r="F97" t="s">
        <v>10104</v>
      </c>
      <c r="G97" t="s">
        <v>10021</v>
      </c>
      <c r="H97" s="6">
        <v>45158</v>
      </c>
      <c r="I97">
        <f t="shared" si="2"/>
        <v>1</v>
      </c>
      <c r="J97" t="str">
        <f t="shared" si="3"/>
        <v>Complete</v>
      </c>
      <c r="K97">
        <f>COUNTIFS(RawData[Item], B97,RawData[Quantity],C97,RawData[Price Per Unit],D97,RawData[Total Spent],E97,RawData[Payment Method],F97,RawData[Location],G97,RawData[Transaction Date],H97)</f>
        <v>1</v>
      </c>
      <c r="L97"/>
    </row>
    <row r="98" spans="1:12" x14ac:dyDescent="0.3">
      <c r="A98" t="s">
        <v>104</v>
      </c>
      <c r="B98" t="s">
        <v>10011</v>
      </c>
      <c r="C98">
        <v>5</v>
      </c>
      <c r="D98">
        <v>5</v>
      </c>
      <c r="E98">
        <v>25</v>
      </c>
      <c r="F98" t="s">
        <v>10019</v>
      </c>
      <c r="G98" t="s">
        <v>10102</v>
      </c>
      <c r="H98" s="6">
        <v>45087</v>
      </c>
      <c r="I98">
        <f t="shared" si="2"/>
        <v>0</v>
      </c>
      <c r="J98" t="str">
        <f t="shared" si="3"/>
        <v>Complete</v>
      </c>
      <c r="K98">
        <f>COUNTIFS(RawData[Item], B98,RawData[Quantity],C98,RawData[Price Per Unit],D98,RawData[Total Spent],E98,RawData[Payment Method],F98,RawData[Location],G98,RawData[Transaction Date],H98)</f>
        <v>1</v>
      </c>
      <c r="L98"/>
    </row>
    <row r="99" spans="1:12" x14ac:dyDescent="0.3">
      <c r="A99" t="s">
        <v>105</v>
      </c>
      <c r="B99" t="s">
        <v>10008</v>
      </c>
      <c r="C99">
        <v>4</v>
      </c>
      <c r="D99">
        <v>2</v>
      </c>
      <c r="E99">
        <v>8</v>
      </c>
      <c r="F99" t="s">
        <v>10020</v>
      </c>
      <c r="G99" t="s">
        <v>10102</v>
      </c>
      <c r="H99" s="6">
        <v>45031</v>
      </c>
      <c r="I99">
        <f t="shared" si="2"/>
        <v>0</v>
      </c>
      <c r="J99" t="str">
        <f t="shared" si="3"/>
        <v>Complete</v>
      </c>
      <c r="K99">
        <f>COUNTIFS(RawData[Item], B99,RawData[Quantity],C99,RawData[Price Per Unit],D99,RawData[Total Spent],E99,RawData[Payment Method],F99,RawData[Location],G99,RawData[Transaction Date],H99)</f>
        <v>1</v>
      </c>
      <c r="L99"/>
    </row>
    <row r="100" spans="1:12" x14ac:dyDescent="0.3">
      <c r="A100" t="s">
        <v>106</v>
      </c>
      <c r="B100" t="s">
        <v>10016</v>
      </c>
      <c r="C100">
        <v>4</v>
      </c>
      <c r="D100">
        <v>3</v>
      </c>
      <c r="E100">
        <v>12</v>
      </c>
      <c r="F100" t="s">
        <v>10019</v>
      </c>
      <c r="G100" t="s">
        <v>10021</v>
      </c>
      <c r="H100" s="6">
        <v>45073</v>
      </c>
      <c r="I100">
        <f t="shared" si="2"/>
        <v>0</v>
      </c>
      <c r="J100" t="str">
        <f t="shared" si="3"/>
        <v>Complete</v>
      </c>
      <c r="K100">
        <f>COUNTIFS(RawData[Item], B100,RawData[Quantity],C100,RawData[Price Per Unit],D100,RawData[Total Spent],E100,RawData[Payment Method],F100,RawData[Location],G100,RawData[Transaction Date],H100)</f>
        <v>1</v>
      </c>
      <c r="L100"/>
    </row>
    <row r="101" spans="1:12" x14ac:dyDescent="0.3">
      <c r="A101" t="s">
        <v>107</v>
      </c>
      <c r="B101" t="s">
        <v>10008</v>
      </c>
      <c r="C101">
        <v>4</v>
      </c>
      <c r="D101">
        <v>2</v>
      </c>
      <c r="E101">
        <v>8</v>
      </c>
      <c r="F101" t="s">
        <v>10019</v>
      </c>
      <c r="G101" t="s">
        <v>10102</v>
      </c>
      <c r="H101" s="6">
        <v>45132</v>
      </c>
      <c r="I101">
        <f t="shared" si="2"/>
        <v>0</v>
      </c>
      <c r="J101" t="str">
        <f t="shared" si="3"/>
        <v>Complete</v>
      </c>
      <c r="K101">
        <f>COUNTIFS(RawData[Item], B101,RawData[Quantity],C101,RawData[Price Per Unit],D101,RawData[Total Spent],E101,RawData[Payment Method],F101,RawData[Location],G101,RawData[Transaction Date],H101)</f>
        <v>1</v>
      </c>
      <c r="L101"/>
    </row>
    <row r="102" spans="1:12" x14ac:dyDescent="0.3">
      <c r="A102" t="s">
        <v>108</v>
      </c>
      <c r="B102" t="s">
        <v>10069</v>
      </c>
      <c r="C102">
        <v>5</v>
      </c>
      <c r="D102">
        <v>5</v>
      </c>
      <c r="E102">
        <v>25</v>
      </c>
      <c r="F102" t="s">
        <v>10019</v>
      </c>
      <c r="G102" t="s">
        <v>10021</v>
      </c>
      <c r="H102" s="6">
        <v>45229</v>
      </c>
      <c r="I102">
        <f t="shared" si="2"/>
        <v>0</v>
      </c>
      <c r="J102" t="str">
        <f t="shared" si="3"/>
        <v>Complete</v>
      </c>
      <c r="K102">
        <f>COUNTIFS(RawData[Item], B102,RawData[Quantity],C102,RawData[Price Per Unit],D102,RawData[Total Spent],E102,RawData[Payment Method],F102,RawData[Location],G102,RawData[Transaction Date],H102)</f>
        <v>1</v>
      </c>
      <c r="L102"/>
    </row>
    <row r="103" spans="1:12" x14ac:dyDescent="0.3">
      <c r="A103" t="s">
        <v>109</v>
      </c>
      <c r="B103" t="s">
        <v>10011</v>
      </c>
      <c r="C103">
        <v>3</v>
      </c>
      <c r="D103">
        <v>5</v>
      </c>
      <c r="E103">
        <v>15</v>
      </c>
      <c r="F103" t="s">
        <v>10069</v>
      </c>
      <c r="G103" t="s">
        <v>10021</v>
      </c>
      <c r="H103" s="6">
        <v>45227</v>
      </c>
      <c r="I103">
        <f t="shared" si="2"/>
        <v>0</v>
      </c>
      <c r="J103" t="str">
        <f t="shared" si="3"/>
        <v>Complete</v>
      </c>
      <c r="K103">
        <f>COUNTIFS(RawData[Item], B103,RawData[Quantity],C103,RawData[Price Per Unit],D103,RawData[Total Spent],E103,RawData[Payment Method],F103,RawData[Location],G103,RawData[Transaction Date],H103)</f>
        <v>1</v>
      </c>
      <c r="L103"/>
    </row>
    <row r="104" spans="1:12" x14ac:dyDescent="0.3">
      <c r="A104" t="s">
        <v>110</v>
      </c>
      <c r="B104" t="s">
        <v>10016</v>
      </c>
      <c r="C104">
        <v>2</v>
      </c>
      <c r="D104">
        <v>3</v>
      </c>
      <c r="E104">
        <v>6</v>
      </c>
      <c r="F104" t="s">
        <v>10020</v>
      </c>
      <c r="G104" t="s">
        <v>10021</v>
      </c>
      <c r="H104" s="6">
        <v>45275</v>
      </c>
      <c r="I104">
        <f t="shared" si="2"/>
        <v>0</v>
      </c>
      <c r="J104" t="str">
        <f t="shared" si="3"/>
        <v>Complete</v>
      </c>
      <c r="K104">
        <f>COUNTIFS(RawData[Item], B104,RawData[Quantity],C104,RawData[Price Per Unit],D104,RawData[Total Spent],E104,RawData[Payment Method],F104,RawData[Location],G104,RawData[Transaction Date],H104)</f>
        <v>1</v>
      </c>
      <c r="L104"/>
    </row>
    <row r="105" spans="1:12" x14ac:dyDescent="0.3">
      <c r="A105" t="s">
        <v>111</v>
      </c>
      <c r="B105" t="s">
        <v>10009</v>
      </c>
      <c r="C105">
        <v>4</v>
      </c>
      <c r="D105">
        <v>3</v>
      </c>
      <c r="E105">
        <v>12</v>
      </c>
      <c r="F105" t="s">
        <v>10069</v>
      </c>
      <c r="G105" t="s">
        <v>10021</v>
      </c>
      <c r="H105" s="6" t="s">
        <v>10112</v>
      </c>
      <c r="I105">
        <f t="shared" si="2"/>
        <v>1</v>
      </c>
      <c r="J105" t="str">
        <f t="shared" si="3"/>
        <v>Incomplete</v>
      </c>
      <c r="K105">
        <f>COUNTIFS(RawData[Item], B105,RawData[Quantity],C105,RawData[Price Per Unit],D105,RawData[Total Spent],E105,RawData[Payment Method],F105,RawData[Location],G105,RawData[Transaction Date],H105)</f>
        <v>1</v>
      </c>
      <c r="L105"/>
    </row>
    <row r="106" spans="1:12" x14ac:dyDescent="0.3">
      <c r="A106" t="s">
        <v>112</v>
      </c>
      <c r="B106" t="s">
        <v>10016</v>
      </c>
      <c r="C106">
        <v>2</v>
      </c>
      <c r="D106">
        <v>0</v>
      </c>
      <c r="E106">
        <v>6</v>
      </c>
      <c r="F106" t="s">
        <v>10069</v>
      </c>
      <c r="G106" t="s">
        <v>10069</v>
      </c>
      <c r="H106" s="6" t="s">
        <v>10112</v>
      </c>
      <c r="I106">
        <f t="shared" si="2"/>
        <v>1</v>
      </c>
      <c r="J106" t="str">
        <f t="shared" si="3"/>
        <v>Incomplete</v>
      </c>
      <c r="K106">
        <f>COUNTIFS(RawData[Item], B106,RawData[Quantity],C106,RawData[Price Per Unit],D106,RawData[Total Spent],E106,RawData[Payment Method],F106,RawData[Location],G106,RawData[Transaction Date],H106)</f>
        <v>1</v>
      </c>
      <c r="L106"/>
    </row>
    <row r="107" spans="1:12" x14ac:dyDescent="0.3">
      <c r="A107" t="s">
        <v>113</v>
      </c>
      <c r="B107" t="s">
        <v>10011</v>
      </c>
      <c r="C107">
        <v>4</v>
      </c>
      <c r="D107">
        <v>5</v>
      </c>
      <c r="E107">
        <v>20</v>
      </c>
      <c r="F107" t="s">
        <v>10104</v>
      </c>
      <c r="G107" t="s">
        <v>10102</v>
      </c>
      <c r="H107" s="6">
        <v>44982</v>
      </c>
      <c r="I107">
        <f t="shared" si="2"/>
        <v>1</v>
      </c>
      <c r="J107" t="str">
        <f t="shared" si="3"/>
        <v>Complete</v>
      </c>
      <c r="K107">
        <f>COUNTIFS(RawData[Item], B107,RawData[Quantity],C107,RawData[Price Per Unit],D107,RawData[Total Spent],E107,RawData[Payment Method],F107,RawData[Location],G107,RawData[Transaction Date],H107)</f>
        <v>1</v>
      </c>
      <c r="L107"/>
    </row>
    <row r="108" spans="1:12" x14ac:dyDescent="0.3">
      <c r="A108" t="s">
        <v>114</v>
      </c>
      <c r="B108" t="s">
        <v>10010</v>
      </c>
      <c r="C108">
        <v>3</v>
      </c>
      <c r="D108">
        <v>1</v>
      </c>
      <c r="E108">
        <v>3</v>
      </c>
      <c r="F108" t="s">
        <v>10018</v>
      </c>
      <c r="G108" t="s">
        <v>10103</v>
      </c>
      <c r="H108" s="6">
        <v>45019</v>
      </c>
      <c r="I108">
        <f t="shared" si="2"/>
        <v>1</v>
      </c>
      <c r="J108" t="str">
        <f t="shared" si="3"/>
        <v>Complete</v>
      </c>
      <c r="K108">
        <f>COUNTIFS(RawData[Item], B108,RawData[Quantity],C108,RawData[Price Per Unit],D108,RawData[Total Spent],E108,RawData[Payment Method],F108,RawData[Location],G108,RawData[Transaction Date],H108)</f>
        <v>1</v>
      </c>
      <c r="L108"/>
    </row>
    <row r="109" spans="1:12" x14ac:dyDescent="0.3">
      <c r="A109" t="s">
        <v>115</v>
      </c>
      <c r="B109" t="s">
        <v>10010</v>
      </c>
      <c r="C109">
        <v>3</v>
      </c>
      <c r="D109">
        <v>1</v>
      </c>
      <c r="E109">
        <v>3</v>
      </c>
      <c r="F109" t="s">
        <v>10018</v>
      </c>
      <c r="G109" t="s">
        <v>10069</v>
      </c>
      <c r="H109" s="6">
        <v>45207</v>
      </c>
      <c r="I109">
        <f t="shared" si="2"/>
        <v>0</v>
      </c>
      <c r="J109" t="str">
        <f t="shared" si="3"/>
        <v>Complete</v>
      </c>
      <c r="K109">
        <f>COUNTIFS(RawData[Item], B109,RawData[Quantity],C109,RawData[Price Per Unit],D109,RawData[Total Spent],E109,RawData[Payment Method],F109,RawData[Location],G109,RawData[Transaction Date],H109)</f>
        <v>1</v>
      </c>
      <c r="L109"/>
    </row>
    <row r="110" spans="1:12" x14ac:dyDescent="0.3">
      <c r="A110" t="s">
        <v>116</v>
      </c>
      <c r="B110" t="s">
        <v>10010</v>
      </c>
      <c r="C110">
        <v>5</v>
      </c>
      <c r="D110">
        <v>1</v>
      </c>
      <c r="E110">
        <v>5</v>
      </c>
      <c r="F110" t="s">
        <v>10020</v>
      </c>
      <c r="G110" t="s">
        <v>10021</v>
      </c>
      <c r="H110" s="6">
        <v>45288</v>
      </c>
      <c r="I110">
        <f t="shared" si="2"/>
        <v>0</v>
      </c>
      <c r="J110" t="str">
        <f t="shared" si="3"/>
        <v>Complete</v>
      </c>
      <c r="K110">
        <f>COUNTIFS(RawData[Item], B110,RawData[Quantity],C110,RawData[Price Per Unit],D110,RawData[Total Spent],E110,RawData[Payment Method],F110,RawData[Location],G110,RawData[Transaction Date],H110)</f>
        <v>1</v>
      </c>
      <c r="L110"/>
    </row>
    <row r="111" spans="1:12" x14ac:dyDescent="0.3">
      <c r="A111" t="s">
        <v>117</v>
      </c>
      <c r="B111" t="s">
        <v>10017</v>
      </c>
      <c r="C111">
        <v>4</v>
      </c>
      <c r="D111">
        <v>1.5</v>
      </c>
      <c r="E111">
        <v>6</v>
      </c>
      <c r="F111" t="s">
        <v>10020</v>
      </c>
      <c r="G111" t="s">
        <v>10069</v>
      </c>
      <c r="H111" s="6">
        <v>45168</v>
      </c>
      <c r="I111">
        <f t="shared" si="2"/>
        <v>0</v>
      </c>
      <c r="J111" t="str">
        <f t="shared" si="3"/>
        <v>Complete</v>
      </c>
      <c r="K111">
        <f>COUNTIFS(RawData[Item], B111,RawData[Quantity],C111,RawData[Price Per Unit],D111,RawData[Total Spent],E111,RawData[Payment Method],F111,RawData[Location],G111,RawData[Transaction Date],H111)</f>
        <v>1</v>
      </c>
      <c r="L111"/>
    </row>
    <row r="112" spans="1:12" x14ac:dyDescent="0.3">
      <c r="A112" t="s">
        <v>118</v>
      </c>
      <c r="B112" t="s">
        <v>10014</v>
      </c>
      <c r="C112">
        <v>1</v>
      </c>
      <c r="D112">
        <v>4</v>
      </c>
      <c r="E112">
        <v>4</v>
      </c>
      <c r="F112" t="s">
        <v>10069</v>
      </c>
      <c r="G112" t="s">
        <v>10102</v>
      </c>
      <c r="H112" s="6">
        <v>44960</v>
      </c>
      <c r="I112">
        <f t="shared" si="2"/>
        <v>0</v>
      </c>
      <c r="J112" t="str">
        <f t="shared" si="3"/>
        <v>Complete</v>
      </c>
      <c r="K112">
        <f>COUNTIFS(RawData[Item], B112,RawData[Quantity],C112,RawData[Price Per Unit],D112,RawData[Total Spent],E112,RawData[Payment Method],F112,RawData[Location],G112,RawData[Transaction Date],H112)</f>
        <v>1</v>
      </c>
      <c r="L112"/>
    </row>
    <row r="113" spans="1:12" x14ac:dyDescent="0.3">
      <c r="A113" t="s">
        <v>119</v>
      </c>
      <c r="B113" t="s">
        <v>10012</v>
      </c>
      <c r="C113">
        <v>2</v>
      </c>
      <c r="D113">
        <v>4</v>
      </c>
      <c r="E113">
        <v>8</v>
      </c>
      <c r="F113" t="s">
        <v>10018</v>
      </c>
      <c r="G113" t="s">
        <v>10069</v>
      </c>
      <c r="H113" s="6">
        <v>45181</v>
      </c>
      <c r="I113">
        <f t="shared" si="2"/>
        <v>0</v>
      </c>
      <c r="J113" t="str">
        <f t="shared" si="3"/>
        <v>Complete</v>
      </c>
      <c r="K113">
        <f>COUNTIFS(RawData[Item], B113,RawData[Quantity],C113,RawData[Price Per Unit],D113,RawData[Total Spent],E113,RawData[Payment Method],F113,RawData[Location],G113,RawData[Transaction Date],H113)</f>
        <v>1</v>
      </c>
      <c r="L113"/>
    </row>
    <row r="114" spans="1:12" x14ac:dyDescent="0.3">
      <c r="A114" t="s">
        <v>120</v>
      </c>
      <c r="B114" t="s">
        <v>10012</v>
      </c>
      <c r="C114">
        <v>5</v>
      </c>
      <c r="D114">
        <v>4</v>
      </c>
      <c r="E114">
        <v>20</v>
      </c>
      <c r="F114" t="s">
        <v>10069</v>
      </c>
      <c r="G114" t="s">
        <v>10021</v>
      </c>
      <c r="H114" s="6">
        <v>45043</v>
      </c>
      <c r="I114">
        <f t="shared" si="2"/>
        <v>0</v>
      </c>
      <c r="J114" t="str">
        <f t="shared" si="3"/>
        <v>Complete</v>
      </c>
      <c r="K114">
        <f>COUNTIFS(RawData[Item], B114,RawData[Quantity],C114,RawData[Price Per Unit],D114,RawData[Total Spent],E114,RawData[Payment Method],F114,RawData[Location],G114,RawData[Transaction Date],H114)</f>
        <v>1</v>
      </c>
      <c r="L114"/>
    </row>
    <row r="115" spans="1:12" x14ac:dyDescent="0.3">
      <c r="A115" t="s">
        <v>121</v>
      </c>
      <c r="B115" t="s">
        <v>10016</v>
      </c>
      <c r="C115">
        <v>3</v>
      </c>
      <c r="D115">
        <v>3</v>
      </c>
      <c r="E115">
        <v>9</v>
      </c>
      <c r="F115" t="s">
        <v>10020</v>
      </c>
      <c r="G115" t="s">
        <v>10069</v>
      </c>
      <c r="H115" s="6">
        <v>45050</v>
      </c>
      <c r="I115">
        <f t="shared" si="2"/>
        <v>0</v>
      </c>
      <c r="J115" t="str">
        <f t="shared" si="3"/>
        <v>Complete</v>
      </c>
      <c r="K115">
        <f>COUNTIFS(RawData[Item], B115,RawData[Quantity],C115,RawData[Price Per Unit],D115,RawData[Total Spent],E115,RawData[Payment Method],F115,RawData[Location],G115,RawData[Transaction Date],H115)</f>
        <v>1</v>
      </c>
      <c r="L115"/>
    </row>
    <row r="116" spans="1:12" x14ac:dyDescent="0.3">
      <c r="A116" t="s">
        <v>122</v>
      </c>
      <c r="B116" t="s">
        <v>10008</v>
      </c>
      <c r="C116">
        <v>5</v>
      </c>
      <c r="D116">
        <v>2</v>
      </c>
      <c r="E116">
        <v>10</v>
      </c>
      <c r="F116" t="s">
        <v>10020</v>
      </c>
      <c r="G116" t="s">
        <v>10069</v>
      </c>
      <c r="H116" s="6">
        <v>44978</v>
      </c>
      <c r="I116">
        <f t="shared" si="2"/>
        <v>0</v>
      </c>
      <c r="J116" t="str">
        <f t="shared" si="3"/>
        <v>Complete</v>
      </c>
      <c r="K116">
        <f>COUNTIFS(RawData[Item], B116,RawData[Quantity],C116,RawData[Price Per Unit],D116,RawData[Total Spent],E116,RawData[Payment Method],F116,RawData[Location],G116,RawData[Transaction Date],H116)</f>
        <v>1</v>
      </c>
      <c r="L116"/>
    </row>
    <row r="117" spans="1:12" x14ac:dyDescent="0.3">
      <c r="A117" t="s">
        <v>123</v>
      </c>
      <c r="B117" t="s">
        <v>10011</v>
      </c>
      <c r="C117">
        <v>2</v>
      </c>
      <c r="D117">
        <v>5</v>
      </c>
      <c r="E117">
        <v>10</v>
      </c>
      <c r="F117" t="s">
        <v>10019</v>
      </c>
      <c r="G117" t="s">
        <v>10021</v>
      </c>
      <c r="H117" s="6" t="s">
        <v>10112</v>
      </c>
      <c r="I117">
        <f t="shared" si="2"/>
        <v>1</v>
      </c>
      <c r="J117" t="str">
        <f t="shared" si="3"/>
        <v>Incomplete</v>
      </c>
      <c r="K117">
        <f>COUNTIFS(RawData[Item], B117,RawData[Quantity],C117,RawData[Price Per Unit],D117,RawData[Total Spent],E117,RawData[Payment Method],F117,RawData[Location],G117,RawData[Transaction Date],H117)</f>
        <v>2</v>
      </c>
      <c r="L117"/>
    </row>
    <row r="118" spans="1:12" x14ac:dyDescent="0.3">
      <c r="A118" t="s">
        <v>124</v>
      </c>
      <c r="B118" t="s">
        <v>10016</v>
      </c>
      <c r="C118">
        <v>3</v>
      </c>
      <c r="D118">
        <v>3</v>
      </c>
      <c r="E118">
        <v>9</v>
      </c>
      <c r="F118" t="s">
        <v>10019</v>
      </c>
      <c r="G118" t="s">
        <v>10069</v>
      </c>
      <c r="H118" s="6">
        <v>45001</v>
      </c>
      <c r="I118">
        <f t="shared" si="2"/>
        <v>0</v>
      </c>
      <c r="J118" t="str">
        <f t="shared" si="3"/>
        <v>Complete</v>
      </c>
      <c r="K118">
        <f>COUNTIFS(RawData[Item], B118,RawData[Quantity],C118,RawData[Price Per Unit],D118,RawData[Total Spent],E118,RawData[Payment Method],F118,RawData[Location],G118,RawData[Transaction Date],H118)</f>
        <v>1</v>
      </c>
      <c r="L118"/>
    </row>
    <row r="119" spans="1:12" x14ac:dyDescent="0.3">
      <c r="A119" t="s">
        <v>125</v>
      </c>
      <c r="B119" t="s">
        <v>10016</v>
      </c>
      <c r="C119" t="s">
        <v>10015</v>
      </c>
      <c r="D119">
        <v>3</v>
      </c>
      <c r="E119">
        <v>9</v>
      </c>
      <c r="F119" t="s">
        <v>10020</v>
      </c>
      <c r="G119" t="s">
        <v>10103</v>
      </c>
      <c r="H119" s="6">
        <v>44936</v>
      </c>
      <c r="I119">
        <f t="shared" si="2"/>
        <v>2</v>
      </c>
      <c r="J119" t="str">
        <f t="shared" si="3"/>
        <v>Complete</v>
      </c>
      <c r="K119">
        <f>COUNTIFS(RawData[Item], B119,RawData[Quantity],C119,RawData[Price Per Unit],D119,RawData[Total Spent],E119,RawData[Payment Method],F119,RawData[Location],G119,RawData[Transaction Date],H119)</f>
        <v>1</v>
      </c>
      <c r="L119"/>
    </row>
    <row r="120" spans="1:12" x14ac:dyDescent="0.3">
      <c r="A120" t="s">
        <v>126</v>
      </c>
      <c r="B120" t="s">
        <v>10015</v>
      </c>
      <c r="C120">
        <v>5</v>
      </c>
      <c r="D120">
        <v>0</v>
      </c>
      <c r="E120">
        <v>15</v>
      </c>
      <c r="F120" t="s">
        <v>10069</v>
      </c>
      <c r="G120" t="s">
        <v>10102</v>
      </c>
      <c r="H120" s="6">
        <v>44963</v>
      </c>
      <c r="I120">
        <f t="shared" si="2"/>
        <v>1</v>
      </c>
      <c r="J120" t="str">
        <f t="shared" si="3"/>
        <v>Complete</v>
      </c>
      <c r="K120">
        <f>COUNTIFS(RawData[Item], B120,RawData[Quantity],C120,RawData[Price Per Unit],D120,RawData[Total Spent],E120,RawData[Payment Method],F120,RawData[Location],G120,RawData[Transaction Date],H120)</f>
        <v>1</v>
      </c>
      <c r="L120"/>
    </row>
    <row r="121" spans="1:12" x14ac:dyDescent="0.3">
      <c r="A121" t="s">
        <v>127</v>
      </c>
      <c r="B121" t="s">
        <v>10011</v>
      </c>
      <c r="C121">
        <v>2</v>
      </c>
      <c r="D121">
        <v>5</v>
      </c>
      <c r="E121">
        <v>10</v>
      </c>
      <c r="F121" t="s">
        <v>10018</v>
      </c>
      <c r="G121" t="s">
        <v>10021</v>
      </c>
      <c r="H121" s="6">
        <v>44981</v>
      </c>
      <c r="I121">
        <f t="shared" si="2"/>
        <v>0</v>
      </c>
      <c r="J121" t="str">
        <f t="shared" si="3"/>
        <v>Complete</v>
      </c>
      <c r="K121">
        <f>COUNTIFS(RawData[Item], B121,RawData[Quantity],C121,RawData[Price Per Unit],D121,RawData[Total Spent],E121,RawData[Payment Method],F121,RawData[Location],G121,RawData[Transaction Date],H121)</f>
        <v>1</v>
      </c>
      <c r="L121"/>
    </row>
    <row r="122" spans="1:12" x14ac:dyDescent="0.3">
      <c r="A122" t="s">
        <v>128</v>
      </c>
      <c r="B122" t="s">
        <v>10009</v>
      </c>
      <c r="C122">
        <v>2</v>
      </c>
      <c r="D122">
        <v>3</v>
      </c>
      <c r="E122">
        <v>6</v>
      </c>
      <c r="F122" t="s">
        <v>10103</v>
      </c>
      <c r="G122" t="s">
        <v>10069</v>
      </c>
      <c r="H122" s="6">
        <v>45079</v>
      </c>
      <c r="I122">
        <f t="shared" si="2"/>
        <v>1</v>
      </c>
      <c r="J122" t="str">
        <f t="shared" si="3"/>
        <v>Complete</v>
      </c>
      <c r="K122">
        <f>COUNTIFS(RawData[Item], B122,RawData[Quantity],C122,RawData[Price Per Unit],D122,RawData[Total Spent],E122,RawData[Payment Method],F122,RawData[Location],G122,RawData[Transaction Date],H122)</f>
        <v>1</v>
      </c>
      <c r="L122"/>
    </row>
    <row r="123" spans="1:12" x14ac:dyDescent="0.3">
      <c r="A123" t="s">
        <v>129</v>
      </c>
      <c r="B123" t="s">
        <v>10008</v>
      </c>
      <c r="C123">
        <v>3</v>
      </c>
      <c r="D123">
        <v>2</v>
      </c>
      <c r="E123">
        <v>6</v>
      </c>
      <c r="F123" t="s">
        <v>10069</v>
      </c>
      <c r="G123" t="s">
        <v>10021</v>
      </c>
      <c r="H123" s="6">
        <v>45014</v>
      </c>
      <c r="I123">
        <f t="shared" si="2"/>
        <v>0</v>
      </c>
      <c r="J123" t="str">
        <f t="shared" si="3"/>
        <v>Complete</v>
      </c>
      <c r="K123">
        <f>COUNTIFS(RawData[Item], B123,RawData[Quantity],C123,RawData[Price Per Unit],D123,RawData[Total Spent],E123,RawData[Payment Method],F123,RawData[Location],G123,RawData[Transaction Date],H123)</f>
        <v>1</v>
      </c>
      <c r="L123"/>
    </row>
    <row r="124" spans="1:12" x14ac:dyDescent="0.3">
      <c r="A124" t="s">
        <v>130</v>
      </c>
      <c r="B124" t="s">
        <v>10009</v>
      </c>
      <c r="C124">
        <v>2</v>
      </c>
      <c r="D124">
        <v>3</v>
      </c>
      <c r="E124">
        <v>6</v>
      </c>
      <c r="F124" t="s">
        <v>10069</v>
      </c>
      <c r="G124" t="s">
        <v>10021</v>
      </c>
      <c r="H124" s="6">
        <v>45095</v>
      </c>
      <c r="I124">
        <f t="shared" si="2"/>
        <v>0</v>
      </c>
      <c r="J124" t="str">
        <f t="shared" si="3"/>
        <v>Complete</v>
      </c>
      <c r="K124">
        <f>COUNTIFS(RawData[Item], B124,RawData[Quantity],C124,RawData[Price Per Unit],D124,RawData[Total Spent],E124,RawData[Payment Method],F124,RawData[Location],G124,RawData[Transaction Date],H124)</f>
        <v>1</v>
      </c>
      <c r="L124"/>
    </row>
    <row r="125" spans="1:12" x14ac:dyDescent="0.3">
      <c r="A125" t="s">
        <v>131</v>
      </c>
      <c r="B125" t="s">
        <v>10008</v>
      </c>
      <c r="C125">
        <v>5</v>
      </c>
      <c r="D125">
        <v>2</v>
      </c>
      <c r="E125">
        <v>10</v>
      </c>
      <c r="F125" t="s">
        <v>10020</v>
      </c>
      <c r="G125" t="s">
        <v>10102</v>
      </c>
      <c r="H125" s="6">
        <v>45192</v>
      </c>
      <c r="I125">
        <f t="shared" si="2"/>
        <v>0</v>
      </c>
      <c r="J125" t="str">
        <f t="shared" si="3"/>
        <v>Complete</v>
      </c>
      <c r="K125">
        <f>COUNTIFS(RawData[Item], B125,RawData[Quantity],C125,RawData[Price Per Unit],D125,RawData[Total Spent],E125,RawData[Payment Method],F125,RawData[Location],G125,RawData[Transaction Date],H125)</f>
        <v>1</v>
      </c>
      <c r="L125"/>
    </row>
    <row r="126" spans="1:12" x14ac:dyDescent="0.3">
      <c r="A126" t="s">
        <v>132</v>
      </c>
      <c r="B126" t="s">
        <v>10016</v>
      </c>
      <c r="C126">
        <v>3</v>
      </c>
      <c r="D126">
        <v>3</v>
      </c>
      <c r="E126">
        <v>9</v>
      </c>
      <c r="F126" t="s">
        <v>10069</v>
      </c>
      <c r="G126" t="s">
        <v>10069</v>
      </c>
      <c r="H126" s="6">
        <v>44940</v>
      </c>
      <c r="I126">
        <f t="shared" si="2"/>
        <v>0</v>
      </c>
      <c r="J126" t="str">
        <f t="shared" si="3"/>
        <v>Complete</v>
      </c>
      <c r="K126">
        <f>COUNTIFS(RawData[Item], B126,RawData[Quantity],C126,RawData[Price Per Unit],D126,RawData[Total Spent],E126,RawData[Payment Method],F126,RawData[Location],G126,RawData[Transaction Date],H126)</f>
        <v>1</v>
      </c>
      <c r="L126"/>
    </row>
    <row r="127" spans="1:12" x14ac:dyDescent="0.3">
      <c r="A127" t="s">
        <v>133</v>
      </c>
      <c r="B127" t="s">
        <v>10017</v>
      </c>
      <c r="C127">
        <v>4</v>
      </c>
      <c r="D127">
        <v>1.5</v>
      </c>
      <c r="E127">
        <v>6</v>
      </c>
      <c r="F127" t="s">
        <v>10019</v>
      </c>
      <c r="G127" t="s">
        <v>10102</v>
      </c>
      <c r="H127" s="6">
        <v>45183</v>
      </c>
      <c r="I127">
        <f t="shared" si="2"/>
        <v>0</v>
      </c>
      <c r="J127" t="str">
        <f t="shared" si="3"/>
        <v>Complete</v>
      </c>
      <c r="K127">
        <f>COUNTIFS(RawData[Item], B127,RawData[Quantity],C127,RawData[Price Per Unit],D127,RawData[Total Spent],E127,RawData[Payment Method],F127,RawData[Location],G127,RawData[Transaction Date],H127)</f>
        <v>1</v>
      </c>
      <c r="L127"/>
    </row>
    <row r="128" spans="1:12" x14ac:dyDescent="0.3">
      <c r="A128" t="s">
        <v>134</v>
      </c>
      <c r="B128" t="s">
        <v>10016</v>
      </c>
      <c r="C128">
        <v>5</v>
      </c>
      <c r="D128">
        <v>3</v>
      </c>
      <c r="E128">
        <v>15</v>
      </c>
      <c r="F128" t="s">
        <v>10018</v>
      </c>
      <c r="G128" t="s">
        <v>10069</v>
      </c>
      <c r="H128" s="6">
        <v>45185</v>
      </c>
      <c r="I128">
        <f t="shared" si="2"/>
        <v>0</v>
      </c>
      <c r="J128" t="str">
        <f t="shared" si="3"/>
        <v>Complete</v>
      </c>
      <c r="K128">
        <f>COUNTIFS(RawData[Item], B128,RawData[Quantity],C128,RawData[Price Per Unit],D128,RawData[Total Spent],E128,RawData[Payment Method],F128,RawData[Location],G128,RawData[Transaction Date],H128)</f>
        <v>2</v>
      </c>
      <c r="L128"/>
    </row>
    <row r="129" spans="1:12" x14ac:dyDescent="0.3">
      <c r="A129" t="s">
        <v>135</v>
      </c>
      <c r="B129" t="s">
        <v>10012</v>
      </c>
      <c r="C129">
        <v>4</v>
      </c>
      <c r="D129">
        <v>4</v>
      </c>
      <c r="E129">
        <v>16</v>
      </c>
      <c r="F129" t="s">
        <v>10018</v>
      </c>
      <c r="G129" t="s">
        <v>10021</v>
      </c>
      <c r="H129" s="6">
        <v>45288</v>
      </c>
      <c r="I129">
        <f t="shared" si="2"/>
        <v>0</v>
      </c>
      <c r="J129" t="str">
        <f t="shared" si="3"/>
        <v>Complete</v>
      </c>
      <c r="K129">
        <f>COUNTIFS(RawData[Item], B129,RawData[Quantity],C129,RawData[Price Per Unit],D129,RawData[Total Spent],E129,RawData[Payment Method],F129,RawData[Location],G129,RawData[Transaction Date],H129)</f>
        <v>1</v>
      </c>
      <c r="L129"/>
    </row>
    <row r="130" spans="1:12" x14ac:dyDescent="0.3">
      <c r="A130" t="s">
        <v>136</v>
      </c>
      <c r="B130" t="s">
        <v>10016</v>
      </c>
      <c r="C130">
        <v>2</v>
      </c>
      <c r="D130">
        <v>3</v>
      </c>
      <c r="E130">
        <v>6</v>
      </c>
      <c r="F130" t="s">
        <v>10020</v>
      </c>
      <c r="G130" t="s">
        <v>10021</v>
      </c>
      <c r="H130" s="6">
        <v>44963</v>
      </c>
      <c r="I130">
        <f t="shared" ref="I130:I193" si="4">(B130="Unknown")+(B130="Error")+(C130="Unknown")+(C130="Error")+(D130="Unknown")+(D130="Error")+(E130="Unknown")+(E130="Error")+(F130="Unknown")+(F130="Error")+(G130="Unknown")+(G130="Error")+(H130="No Date")</f>
        <v>0</v>
      </c>
      <c r="J130" t="str">
        <f t="shared" ref="J130:J193" si="5">IF((H130="No Date"),"Incomplete","Complete")</f>
        <v>Complete</v>
      </c>
      <c r="K130">
        <f>COUNTIFS(RawData[Item], B130,RawData[Quantity],C130,RawData[Price Per Unit],D130,RawData[Total Spent],E130,RawData[Payment Method],F130,RawData[Location],G130,RawData[Transaction Date],H130)</f>
        <v>1</v>
      </c>
      <c r="L130"/>
    </row>
    <row r="131" spans="1:12" x14ac:dyDescent="0.3">
      <c r="A131" t="s">
        <v>137</v>
      </c>
      <c r="B131" t="s">
        <v>10014</v>
      </c>
      <c r="C131">
        <v>2</v>
      </c>
      <c r="D131">
        <v>4</v>
      </c>
      <c r="E131">
        <v>8</v>
      </c>
      <c r="F131" t="s">
        <v>10019</v>
      </c>
      <c r="G131" t="s">
        <v>10102</v>
      </c>
      <c r="H131" s="6">
        <v>44996</v>
      </c>
      <c r="I131">
        <f t="shared" si="4"/>
        <v>0</v>
      </c>
      <c r="J131" t="str">
        <f t="shared" si="5"/>
        <v>Complete</v>
      </c>
      <c r="K131">
        <f>COUNTIFS(RawData[Item], B131,RawData[Quantity],C131,RawData[Price Per Unit],D131,RawData[Total Spent],E131,RawData[Payment Method],F131,RawData[Location],G131,RawData[Transaction Date],H131)</f>
        <v>1</v>
      </c>
      <c r="L131"/>
    </row>
    <row r="132" spans="1:12" x14ac:dyDescent="0.3">
      <c r="A132" t="s">
        <v>138</v>
      </c>
      <c r="B132" t="s">
        <v>10017</v>
      </c>
      <c r="C132">
        <v>1</v>
      </c>
      <c r="D132">
        <v>1.5</v>
      </c>
      <c r="E132">
        <v>1.5</v>
      </c>
      <c r="F132" t="s">
        <v>10019</v>
      </c>
      <c r="G132" t="s">
        <v>10069</v>
      </c>
      <c r="H132" s="6">
        <v>45024</v>
      </c>
      <c r="I132">
        <f t="shared" si="4"/>
        <v>0</v>
      </c>
      <c r="J132" t="str">
        <f t="shared" si="5"/>
        <v>Complete</v>
      </c>
      <c r="K132">
        <f>COUNTIFS(RawData[Item], B132,RawData[Quantity],C132,RawData[Price Per Unit],D132,RawData[Total Spent],E132,RawData[Payment Method],F132,RawData[Location],G132,RawData[Transaction Date],H132)</f>
        <v>1</v>
      </c>
      <c r="L132"/>
    </row>
    <row r="133" spans="1:12" x14ac:dyDescent="0.3">
      <c r="A133" t="s">
        <v>139</v>
      </c>
      <c r="B133" t="s">
        <v>10017</v>
      </c>
      <c r="C133">
        <v>1</v>
      </c>
      <c r="D133">
        <v>1.5</v>
      </c>
      <c r="E133">
        <v>1.5</v>
      </c>
      <c r="F133" t="s">
        <v>10069</v>
      </c>
      <c r="G133" t="s">
        <v>10069</v>
      </c>
      <c r="H133" s="6">
        <v>45279</v>
      </c>
      <c r="I133">
        <f t="shared" si="4"/>
        <v>0</v>
      </c>
      <c r="J133" t="str">
        <f t="shared" si="5"/>
        <v>Complete</v>
      </c>
      <c r="K133">
        <f>COUNTIFS(RawData[Item], B133,RawData[Quantity],C133,RawData[Price Per Unit],D133,RawData[Total Spent],E133,RawData[Payment Method],F133,RawData[Location],G133,RawData[Transaction Date],H133)</f>
        <v>1</v>
      </c>
      <c r="L133"/>
    </row>
    <row r="134" spans="1:12" x14ac:dyDescent="0.3">
      <c r="A134" t="s">
        <v>140</v>
      </c>
      <c r="B134" t="s">
        <v>10016</v>
      </c>
      <c r="C134">
        <v>4</v>
      </c>
      <c r="D134">
        <v>3</v>
      </c>
      <c r="E134">
        <v>12</v>
      </c>
      <c r="F134" t="s">
        <v>10018</v>
      </c>
      <c r="G134" t="s">
        <v>10021</v>
      </c>
      <c r="H134" s="6">
        <v>45121</v>
      </c>
      <c r="I134">
        <f t="shared" si="4"/>
        <v>0</v>
      </c>
      <c r="J134" t="str">
        <f t="shared" si="5"/>
        <v>Complete</v>
      </c>
      <c r="K134">
        <f>COUNTIFS(RawData[Item], B134,RawData[Quantity],C134,RawData[Price Per Unit],D134,RawData[Total Spent],E134,RawData[Payment Method],F134,RawData[Location],G134,RawData[Transaction Date],H134)</f>
        <v>1</v>
      </c>
      <c r="L134"/>
    </row>
    <row r="135" spans="1:12" x14ac:dyDescent="0.3">
      <c r="A135" t="s">
        <v>141</v>
      </c>
      <c r="B135" t="s">
        <v>10016</v>
      </c>
      <c r="C135">
        <v>5</v>
      </c>
      <c r="D135">
        <v>3</v>
      </c>
      <c r="E135">
        <v>15</v>
      </c>
      <c r="F135" t="s">
        <v>10019</v>
      </c>
      <c r="G135" t="s">
        <v>10102</v>
      </c>
      <c r="H135" s="6">
        <v>45034</v>
      </c>
      <c r="I135">
        <f t="shared" si="4"/>
        <v>0</v>
      </c>
      <c r="J135" t="str">
        <f t="shared" si="5"/>
        <v>Complete</v>
      </c>
      <c r="K135">
        <f>COUNTIFS(RawData[Item], B135,RawData[Quantity],C135,RawData[Price Per Unit],D135,RawData[Total Spent],E135,RawData[Payment Method],F135,RawData[Location],G135,RawData[Transaction Date],H135)</f>
        <v>1</v>
      </c>
      <c r="L135"/>
    </row>
    <row r="136" spans="1:12" x14ac:dyDescent="0.3">
      <c r="A136" t="s">
        <v>142</v>
      </c>
      <c r="B136" t="s">
        <v>10016</v>
      </c>
      <c r="C136">
        <v>2</v>
      </c>
      <c r="D136">
        <v>3</v>
      </c>
      <c r="E136">
        <v>6</v>
      </c>
      <c r="F136" t="s">
        <v>10069</v>
      </c>
      <c r="G136" t="s">
        <v>10069</v>
      </c>
      <c r="H136" s="6">
        <v>45085</v>
      </c>
      <c r="I136">
        <f t="shared" si="4"/>
        <v>0</v>
      </c>
      <c r="J136" t="str">
        <f t="shared" si="5"/>
        <v>Complete</v>
      </c>
      <c r="K136">
        <f>COUNTIFS(RawData[Item], B136,RawData[Quantity],C136,RawData[Price Per Unit],D136,RawData[Total Spent],E136,RawData[Payment Method],F136,RawData[Location],G136,RawData[Transaction Date],H136)</f>
        <v>1</v>
      </c>
      <c r="L136"/>
    </row>
    <row r="137" spans="1:12" x14ac:dyDescent="0.3">
      <c r="A137" t="s">
        <v>143</v>
      </c>
      <c r="B137" t="s">
        <v>10017</v>
      </c>
      <c r="C137">
        <v>5</v>
      </c>
      <c r="D137">
        <v>1.5</v>
      </c>
      <c r="E137">
        <v>7.5</v>
      </c>
      <c r="F137" t="s">
        <v>10018</v>
      </c>
      <c r="G137" t="s">
        <v>10021</v>
      </c>
      <c r="H137" s="6">
        <v>45272</v>
      </c>
      <c r="I137">
        <f t="shared" si="4"/>
        <v>0</v>
      </c>
      <c r="J137" t="str">
        <f t="shared" si="5"/>
        <v>Complete</v>
      </c>
      <c r="K137">
        <f>COUNTIFS(RawData[Item], B137,RawData[Quantity],C137,RawData[Price Per Unit],D137,RawData[Total Spent],E137,RawData[Payment Method],F137,RawData[Location],G137,RawData[Transaction Date],H137)</f>
        <v>1</v>
      </c>
      <c r="L137"/>
    </row>
    <row r="138" spans="1:12" x14ac:dyDescent="0.3">
      <c r="A138" t="s">
        <v>144</v>
      </c>
      <c r="B138" t="s">
        <v>10008</v>
      </c>
      <c r="C138">
        <v>5</v>
      </c>
      <c r="D138">
        <v>2</v>
      </c>
      <c r="E138">
        <v>10</v>
      </c>
      <c r="F138" t="s">
        <v>10019</v>
      </c>
      <c r="G138" t="s">
        <v>10102</v>
      </c>
      <c r="H138" s="6">
        <v>44931</v>
      </c>
      <c r="I138">
        <f t="shared" si="4"/>
        <v>0</v>
      </c>
      <c r="J138" t="str">
        <f t="shared" si="5"/>
        <v>Complete</v>
      </c>
      <c r="K138">
        <f>COUNTIFS(RawData[Item], B138,RawData[Quantity],C138,RawData[Price Per Unit],D138,RawData[Total Spent],E138,RawData[Payment Method],F138,RawData[Location],G138,RawData[Transaction Date],H138)</f>
        <v>1</v>
      </c>
      <c r="L138"/>
    </row>
    <row r="139" spans="1:12" x14ac:dyDescent="0.3">
      <c r="A139" t="s">
        <v>145</v>
      </c>
      <c r="B139" t="s">
        <v>10011</v>
      </c>
      <c r="C139">
        <v>3</v>
      </c>
      <c r="D139">
        <v>5</v>
      </c>
      <c r="E139">
        <v>15</v>
      </c>
      <c r="F139" t="s">
        <v>10018</v>
      </c>
      <c r="G139" t="s">
        <v>10102</v>
      </c>
      <c r="H139" s="6">
        <v>45087</v>
      </c>
      <c r="I139">
        <f t="shared" si="4"/>
        <v>0</v>
      </c>
      <c r="J139" t="str">
        <f t="shared" si="5"/>
        <v>Complete</v>
      </c>
      <c r="K139">
        <f>COUNTIFS(RawData[Item], B139,RawData[Quantity],C139,RawData[Price Per Unit],D139,RawData[Total Spent],E139,RawData[Payment Method],F139,RawData[Location],G139,RawData[Transaction Date],H139)</f>
        <v>1</v>
      </c>
      <c r="L139"/>
    </row>
    <row r="140" spans="1:12" x14ac:dyDescent="0.3">
      <c r="A140" t="s">
        <v>146</v>
      </c>
      <c r="B140" t="s">
        <v>10014</v>
      </c>
      <c r="C140">
        <v>5</v>
      </c>
      <c r="D140">
        <v>4</v>
      </c>
      <c r="E140">
        <v>20</v>
      </c>
      <c r="F140" t="s">
        <v>10069</v>
      </c>
      <c r="G140" t="s">
        <v>10102</v>
      </c>
      <c r="H140" s="6">
        <v>44949</v>
      </c>
      <c r="I140">
        <f t="shared" si="4"/>
        <v>0</v>
      </c>
      <c r="J140" t="str">
        <f t="shared" si="5"/>
        <v>Complete</v>
      </c>
      <c r="K140">
        <f>COUNTIFS(RawData[Item], B140,RawData[Quantity],C140,RawData[Price Per Unit],D140,RawData[Total Spent],E140,RawData[Payment Method],F140,RawData[Location],G140,RawData[Transaction Date],H140)</f>
        <v>1</v>
      </c>
      <c r="L140"/>
    </row>
    <row r="141" spans="1:12" x14ac:dyDescent="0.3">
      <c r="A141" t="s">
        <v>147</v>
      </c>
      <c r="B141" t="s">
        <v>10017</v>
      </c>
      <c r="C141">
        <v>1</v>
      </c>
      <c r="D141">
        <v>1.5</v>
      </c>
      <c r="E141">
        <v>1.5</v>
      </c>
      <c r="F141" t="s">
        <v>10018</v>
      </c>
      <c r="G141" t="s">
        <v>10069</v>
      </c>
      <c r="H141" s="6">
        <v>44977</v>
      </c>
      <c r="I141">
        <f t="shared" si="4"/>
        <v>0</v>
      </c>
      <c r="J141" t="str">
        <f t="shared" si="5"/>
        <v>Complete</v>
      </c>
      <c r="K141">
        <f>COUNTIFS(RawData[Item], B141,RawData[Quantity],C141,RawData[Price Per Unit],D141,RawData[Total Spent],E141,RawData[Payment Method],F141,RawData[Location],G141,RawData[Transaction Date],H141)</f>
        <v>1</v>
      </c>
      <c r="L141"/>
    </row>
    <row r="142" spans="1:12" x14ac:dyDescent="0.3">
      <c r="A142" t="s">
        <v>148</v>
      </c>
      <c r="B142" t="s">
        <v>10009</v>
      </c>
      <c r="C142">
        <v>3</v>
      </c>
      <c r="D142" t="s">
        <v>10013</v>
      </c>
      <c r="E142">
        <v>9</v>
      </c>
      <c r="F142" t="s">
        <v>10020</v>
      </c>
      <c r="G142" t="s">
        <v>10069</v>
      </c>
      <c r="H142" s="6">
        <v>45126</v>
      </c>
      <c r="I142">
        <f t="shared" si="4"/>
        <v>1</v>
      </c>
      <c r="J142" t="str">
        <f t="shared" si="5"/>
        <v>Complete</v>
      </c>
      <c r="K142">
        <f>COUNTIFS(RawData[Item], B142,RawData[Quantity],C142,RawData[Price Per Unit],D142,RawData[Total Spent],E142,RawData[Payment Method],F142,RawData[Location],G142,RawData[Transaction Date],H142)</f>
        <v>1</v>
      </c>
      <c r="L142"/>
    </row>
    <row r="143" spans="1:12" x14ac:dyDescent="0.3">
      <c r="A143" t="s">
        <v>149</v>
      </c>
      <c r="B143" t="s">
        <v>10009</v>
      </c>
      <c r="C143">
        <v>5</v>
      </c>
      <c r="D143">
        <v>3</v>
      </c>
      <c r="E143">
        <v>15</v>
      </c>
      <c r="F143" t="s">
        <v>10069</v>
      </c>
      <c r="G143" t="s">
        <v>10102</v>
      </c>
      <c r="H143" s="6">
        <v>45266</v>
      </c>
      <c r="I143">
        <f t="shared" si="4"/>
        <v>0</v>
      </c>
      <c r="J143" t="str">
        <f t="shared" si="5"/>
        <v>Complete</v>
      </c>
      <c r="K143">
        <f>COUNTIFS(RawData[Item], B143,RawData[Quantity],C143,RawData[Price Per Unit],D143,RawData[Total Spent],E143,RawData[Payment Method],F143,RawData[Location],G143,RawData[Transaction Date],H143)</f>
        <v>1</v>
      </c>
      <c r="L143"/>
    </row>
    <row r="144" spans="1:12" x14ac:dyDescent="0.3">
      <c r="A144" t="s">
        <v>150</v>
      </c>
      <c r="B144" t="s">
        <v>10008</v>
      </c>
      <c r="C144">
        <v>1</v>
      </c>
      <c r="D144">
        <v>2</v>
      </c>
      <c r="E144">
        <v>2</v>
      </c>
      <c r="F144" t="s">
        <v>10018</v>
      </c>
      <c r="G144" t="s">
        <v>10069</v>
      </c>
      <c r="H144" s="6" t="s">
        <v>10112</v>
      </c>
      <c r="I144">
        <f t="shared" si="4"/>
        <v>1</v>
      </c>
      <c r="J144" t="str">
        <f t="shared" si="5"/>
        <v>Incomplete</v>
      </c>
      <c r="K144">
        <f>COUNTIFS(RawData[Item], B144,RawData[Quantity],C144,RawData[Price Per Unit],D144,RawData[Total Spent],E144,RawData[Payment Method],F144,RawData[Location],G144,RawData[Transaction Date],H144)</f>
        <v>2</v>
      </c>
      <c r="L144"/>
    </row>
    <row r="145" spans="1:12" x14ac:dyDescent="0.3">
      <c r="A145" t="s">
        <v>151</v>
      </c>
      <c r="B145" t="s">
        <v>10016</v>
      </c>
      <c r="C145">
        <v>1</v>
      </c>
      <c r="D145">
        <v>3</v>
      </c>
      <c r="E145" t="s">
        <v>10013</v>
      </c>
      <c r="F145" t="s">
        <v>10019</v>
      </c>
      <c r="G145" t="s">
        <v>10069</v>
      </c>
      <c r="H145" s="6">
        <v>45077</v>
      </c>
      <c r="I145">
        <f t="shared" si="4"/>
        <v>1</v>
      </c>
      <c r="J145" t="str">
        <f t="shared" si="5"/>
        <v>Complete</v>
      </c>
      <c r="K145">
        <f>COUNTIFS(RawData[Item], B145,RawData[Quantity],C145,RawData[Price Per Unit],D145,RawData[Total Spent],E145,RawData[Payment Method],F145,RawData[Location],G145,RawData[Transaction Date],H145)</f>
        <v>1</v>
      </c>
      <c r="L145"/>
    </row>
    <row r="146" spans="1:12" x14ac:dyDescent="0.3">
      <c r="A146" t="s">
        <v>152</v>
      </c>
      <c r="B146" t="s">
        <v>10011</v>
      </c>
      <c r="C146">
        <v>2</v>
      </c>
      <c r="D146">
        <v>5</v>
      </c>
      <c r="E146">
        <v>10</v>
      </c>
      <c r="F146" t="s">
        <v>10019</v>
      </c>
      <c r="G146" t="s">
        <v>10069</v>
      </c>
      <c r="H146" s="6">
        <v>45149</v>
      </c>
      <c r="I146">
        <f t="shared" si="4"/>
        <v>0</v>
      </c>
      <c r="J146" t="str">
        <f t="shared" si="5"/>
        <v>Complete</v>
      </c>
      <c r="K146">
        <f>COUNTIFS(RawData[Item], B146,RawData[Quantity],C146,RawData[Price Per Unit],D146,RawData[Total Spent],E146,RawData[Payment Method],F146,RawData[Location],G146,RawData[Transaction Date],H146)</f>
        <v>1</v>
      </c>
      <c r="L146"/>
    </row>
    <row r="147" spans="1:12" x14ac:dyDescent="0.3">
      <c r="A147" t="s">
        <v>153</v>
      </c>
      <c r="B147" t="s">
        <v>10017</v>
      </c>
      <c r="C147">
        <v>5</v>
      </c>
      <c r="D147">
        <v>1.5</v>
      </c>
      <c r="E147">
        <v>7.5</v>
      </c>
      <c r="F147" t="s">
        <v>10103</v>
      </c>
      <c r="G147" t="s">
        <v>10102</v>
      </c>
      <c r="H147" s="6">
        <v>45172</v>
      </c>
      <c r="I147">
        <f t="shared" si="4"/>
        <v>1</v>
      </c>
      <c r="J147" t="str">
        <f t="shared" si="5"/>
        <v>Complete</v>
      </c>
      <c r="K147">
        <f>COUNTIFS(RawData[Item], B147,RawData[Quantity],C147,RawData[Price Per Unit],D147,RawData[Total Spent],E147,RawData[Payment Method],F147,RawData[Location],G147,RawData[Transaction Date],H147)</f>
        <v>1</v>
      </c>
      <c r="L147"/>
    </row>
    <row r="148" spans="1:12" x14ac:dyDescent="0.3">
      <c r="A148" t="s">
        <v>154</v>
      </c>
      <c r="B148" t="s">
        <v>10009</v>
      </c>
      <c r="C148">
        <v>2</v>
      </c>
      <c r="D148">
        <v>3</v>
      </c>
      <c r="E148">
        <v>0</v>
      </c>
      <c r="F148" t="s">
        <v>10018</v>
      </c>
      <c r="G148" t="s">
        <v>10102</v>
      </c>
      <c r="H148" s="6">
        <v>45118</v>
      </c>
      <c r="I148">
        <f t="shared" si="4"/>
        <v>0</v>
      </c>
      <c r="J148" t="str">
        <f t="shared" si="5"/>
        <v>Complete</v>
      </c>
      <c r="K148">
        <f>COUNTIFS(RawData[Item], B148,RawData[Quantity],C148,RawData[Price Per Unit],D148,RawData[Total Spent],E148,RawData[Payment Method],F148,RawData[Location],G148,RawData[Transaction Date],H148)</f>
        <v>1</v>
      </c>
      <c r="L148"/>
    </row>
    <row r="149" spans="1:12" x14ac:dyDescent="0.3">
      <c r="A149" t="s">
        <v>155</v>
      </c>
      <c r="B149" t="s">
        <v>10011</v>
      </c>
      <c r="C149">
        <v>4</v>
      </c>
      <c r="D149" t="s">
        <v>10013</v>
      </c>
      <c r="E149">
        <v>20</v>
      </c>
      <c r="F149" t="s">
        <v>10019</v>
      </c>
      <c r="G149" t="s">
        <v>10102</v>
      </c>
      <c r="H149" s="6">
        <v>45083</v>
      </c>
      <c r="I149">
        <f t="shared" si="4"/>
        <v>1</v>
      </c>
      <c r="J149" t="str">
        <f t="shared" si="5"/>
        <v>Complete</v>
      </c>
      <c r="K149">
        <f>COUNTIFS(RawData[Item], B149,RawData[Quantity],C149,RawData[Price Per Unit],D149,RawData[Total Spent],E149,RawData[Payment Method],F149,RawData[Location],G149,RawData[Transaction Date],H149)</f>
        <v>1</v>
      </c>
      <c r="L149"/>
    </row>
    <row r="150" spans="1:12" x14ac:dyDescent="0.3">
      <c r="A150" t="s">
        <v>156</v>
      </c>
      <c r="B150" t="s">
        <v>10009</v>
      </c>
      <c r="C150">
        <v>4</v>
      </c>
      <c r="D150">
        <v>3</v>
      </c>
      <c r="E150">
        <v>12</v>
      </c>
      <c r="F150" t="s">
        <v>10069</v>
      </c>
      <c r="G150" t="s">
        <v>10069</v>
      </c>
      <c r="H150" s="6">
        <v>44944</v>
      </c>
      <c r="I150">
        <f t="shared" si="4"/>
        <v>0</v>
      </c>
      <c r="J150" t="str">
        <f t="shared" si="5"/>
        <v>Complete</v>
      </c>
      <c r="K150">
        <f>COUNTIFS(RawData[Item], B150,RawData[Quantity],C150,RawData[Price Per Unit],D150,RawData[Total Spent],E150,RawData[Payment Method],F150,RawData[Location],G150,RawData[Transaction Date],H150)</f>
        <v>1</v>
      </c>
      <c r="L150"/>
    </row>
    <row r="151" spans="1:12" x14ac:dyDescent="0.3">
      <c r="A151" t="s">
        <v>157</v>
      </c>
      <c r="B151" t="s">
        <v>10009</v>
      </c>
      <c r="C151">
        <v>2</v>
      </c>
      <c r="D151">
        <v>3</v>
      </c>
      <c r="E151">
        <v>6</v>
      </c>
      <c r="F151" t="s">
        <v>10019</v>
      </c>
      <c r="G151" t="s">
        <v>10021</v>
      </c>
      <c r="H151" s="6">
        <v>45008</v>
      </c>
      <c r="I151">
        <f t="shared" si="4"/>
        <v>0</v>
      </c>
      <c r="J151" t="str">
        <f t="shared" si="5"/>
        <v>Complete</v>
      </c>
      <c r="K151">
        <f>COUNTIFS(RawData[Item], B151,RawData[Quantity],C151,RawData[Price Per Unit],D151,RawData[Total Spent],E151,RawData[Payment Method],F151,RawData[Location],G151,RawData[Transaction Date],H151)</f>
        <v>1</v>
      </c>
      <c r="L151"/>
    </row>
    <row r="152" spans="1:12" x14ac:dyDescent="0.3">
      <c r="A152" t="s">
        <v>158</v>
      </c>
      <c r="B152" t="s">
        <v>10011</v>
      </c>
      <c r="C152">
        <v>5</v>
      </c>
      <c r="D152">
        <v>5</v>
      </c>
      <c r="E152">
        <v>25</v>
      </c>
      <c r="F152" t="s">
        <v>10019</v>
      </c>
      <c r="G152" t="s">
        <v>10069</v>
      </c>
      <c r="H152" s="6">
        <v>45087</v>
      </c>
      <c r="I152">
        <f t="shared" si="4"/>
        <v>0</v>
      </c>
      <c r="J152" t="str">
        <f t="shared" si="5"/>
        <v>Complete</v>
      </c>
      <c r="K152">
        <f>COUNTIFS(RawData[Item], B152,RawData[Quantity],C152,RawData[Price Per Unit],D152,RawData[Total Spent],E152,RawData[Payment Method],F152,RawData[Location],G152,RawData[Transaction Date],H152)</f>
        <v>1</v>
      </c>
      <c r="L152"/>
    </row>
    <row r="153" spans="1:12" x14ac:dyDescent="0.3">
      <c r="A153" t="s">
        <v>159</v>
      </c>
      <c r="B153" t="s">
        <v>10069</v>
      </c>
      <c r="C153">
        <v>4</v>
      </c>
      <c r="D153">
        <v>0</v>
      </c>
      <c r="E153">
        <v>16</v>
      </c>
      <c r="F153" t="s">
        <v>10018</v>
      </c>
      <c r="G153" t="s">
        <v>10021</v>
      </c>
      <c r="H153" s="6">
        <v>44930</v>
      </c>
      <c r="I153">
        <f t="shared" si="4"/>
        <v>0</v>
      </c>
      <c r="J153" t="str">
        <f t="shared" si="5"/>
        <v>Complete</v>
      </c>
      <c r="K153">
        <f>COUNTIFS(RawData[Item], B153,RawData[Quantity],C153,RawData[Price Per Unit],D153,RawData[Total Spent],E153,RawData[Payment Method],F153,RawData[Location],G153,RawData[Transaction Date],H153)</f>
        <v>1</v>
      </c>
      <c r="L153"/>
    </row>
    <row r="154" spans="1:12" x14ac:dyDescent="0.3">
      <c r="A154" t="s">
        <v>160</v>
      </c>
      <c r="B154" t="s">
        <v>10008</v>
      </c>
      <c r="C154">
        <v>1</v>
      </c>
      <c r="D154">
        <v>2</v>
      </c>
      <c r="E154">
        <v>2</v>
      </c>
      <c r="F154" t="s">
        <v>10104</v>
      </c>
      <c r="G154" t="s">
        <v>10069</v>
      </c>
      <c r="H154" s="6">
        <v>45100</v>
      </c>
      <c r="I154">
        <f t="shared" si="4"/>
        <v>1</v>
      </c>
      <c r="J154" t="str">
        <f t="shared" si="5"/>
        <v>Complete</v>
      </c>
      <c r="K154">
        <f>COUNTIFS(RawData[Item], B154,RawData[Quantity],C154,RawData[Price Per Unit],D154,RawData[Total Spent],E154,RawData[Payment Method],F154,RawData[Location],G154,RawData[Transaction Date],H154)</f>
        <v>1</v>
      </c>
      <c r="L154"/>
    </row>
    <row r="155" spans="1:12" x14ac:dyDescent="0.3">
      <c r="A155" t="s">
        <v>161</v>
      </c>
      <c r="B155" t="s">
        <v>10013</v>
      </c>
      <c r="C155" t="s">
        <v>10013</v>
      </c>
      <c r="D155">
        <v>3</v>
      </c>
      <c r="E155">
        <v>12</v>
      </c>
      <c r="F155" t="s">
        <v>10019</v>
      </c>
      <c r="G155" t="s">
        <v>10102</v>
      </c>
      <c r="H155" s="6">
        <v>45255</v>
      </c>
      <c r="I155">
        <f t="shared" si="4"/>
        <v>2</v>
      </c>
      <c r="J155" t="str">
        <f t="shared" si="5"/>
        <v>Complete</v>
      </c>
      <c r="K155">
        <f>COUNTIFS(RawData[Item], B155,RawData[Quantity],C155,RawData[Price Per Unit],D155,RawData[Total Spent],E155,RawData[Payment Method],F155,RawData[Location],G155,RawData[Transaction Date],H155)</f>
        <v>1</v>
      </c>
      <c r="L155"/>
    </row>
    <row r="156" spans="1:12" x14ac:dyDescent="0.3">
      <c r="A156" t="s">
        <v>162</v>
      </c>
      <c r="B156" t="s">
        <v>10008</v>
      </c>
      <c r="C156">
        <v>5</v>
      </c>
      <c r="D156">
        <v>2</v>
      </c>
      <c r="E156">
        <v>10</v>
      </c>
      <c r="F156" t="s">
        <v>10019</v>
      </c>
      <c r="G156" t="s">
        <v>10069</v>
      </c>
      <c r="H156" s="6">
        <v>45141</v>
      </c>
      <c r="I156">
        <f t="shared" si="4"/>
        <v>0</v>
      </c>
      <c r="J156" t="str">
        <f t="shared" si="5"/>
        <v>Complete</v>
      </c>
      <c r="K156">
        <f>COUNTIFS(RawData[Item], B156,RawData[Quantity],C156,RawData[Price Per Unit],D156,RawData[Total Spent],E156,RawData[Payment Method],F156,RawData[Location],G156,RawData[Transaction Date],H156)</f>
        <v>1</v>
      </c>
      <c r="L156"/>
    </row>
    <row r="157" spans="1:12" x14ac:dyDescent="0.3">
      <c r="A157" t="s">
        <v>163</v>
      </c>
      <c r="B157" t="s">
        <v>10012</v>
      </c>
      <c r="C157">
        <v>2</v>
      </c>
      <c r="D157">
        <v>4</v>
      </c>
      <c r="E157">
        <v>8</v>
      </c>
      <c r="F157" t="s">
        <v>10069</v>
      </c>
      <c r="G157" t="s">
        <v>10021</v>
      </c>
      <c r="H157" s="6">
        <v>45119</v>
      </c>
      <c r="I157">
        <f t="shared" si="4"/>
        <v>0</v>
      </c>
      <c r="J157" t="str">
        <f t="shared" si="5"/>
        <v>Complete</v>
      </c>
      <c r="K157">
        <f>COUNTIFS(RawData[Item], B157,RawData[Quantity],C157,RawData[Price Per Unit],D157,RawData[Total Spent],E157,RawData[Payment Method],F157,RawData[Location],G157,RawData[Transaction Date],H157)</f>
        <v>1</v>
      </c>
      <c r="L157"/>
    </row>
    <row r="158" spans="1:12" x14ac:dyDescent="0.3">
      <c r="A158" t="s">
        <v>164</v>
      </c>
      <c r="B158" t="s">
        <v>10008</v>
      </c>
      <c r="C158">
        <v>3</v>
      </c>
      <c r="D158">
        <v>2</v>
      </c>
      <c r="E158">
        <v>6</v>
      </c>
      <c r="F158" t="s">
        <v>10019</v>
      </c>
      <c r="G158" t="s">
        <v>10102</v>
      </c>
      <c r="H158" s="6">
        <v>45046</v>
      </c>
      <c r="I158">
        <f t="shared" si="4"/>
        <v>0</v>
      </c>
      <c r="J158" t="str">
        <f t="shared" si="5"/>
        <v>Complete</v>
      </c>
      <c r="K158">
        <f>COUNTIFS(RawData[Item], B158,RawData[Quantity],C158,RawData[Price Per Unit],D158,RawData[Total Spent],E158,RawData[Payment Method],F158,RawData[Location],G158,RawData[Transaction Date],H158)</f>
        <v>1</v>
      </c>
      <c r="L158"/>
    </row>
    <row r="159" spans="1:12" x14ac:dyDescent="0.3">
      <c r="A159" t="s">
        <v>165</v>
      </c>
      <c r="B159" t="s">
        <v>10011</v>
      </c>
      <c r="C159">
        <v>5</v>
      </c>
      <c r="D159">
        <v>5</v>
      </c>
      <c r="E159">
        <v>25</v>
      </c>
      <c r="F159" t="s">
        <v>10020</v>
      </c>
      <c r="G159" t="s">
        <v>10102</v>
      </c>
      <c r="H159" s="6">
        <v>45255</v>
      </c>
      <c r="I159">
        <f t="shared" si="4"/>
        <v>0</v>
      </c>
      <c r="J159" t="str">
        <f t="shared" si="5"/>
        <v>Complete</v>
      </c>
      <c r="K159">
        <f>COUNTIFS(RawData[Item], B159,RawData[Quantity],C159,RawData[Price Per Unit],D159,RawData[Total Spent],E159,RawData[Payment Method],F159,RawData[Location],G159,RawData[Transaction Date],H159)</f>
        <v>1</v>
      </c>
      <c r="L159"/>
    </row>
    <row r="160" spans="1:12" x14ac:dyDescent="0.3">
      <c r="A160" t="s">
        <v>166</v>
      </c>
      <c r="B160" t="s">
        <v>10008</v>
      </c>
      <c r="C160">
        <v>2</v>
      </c>
      <c r="D160">
        <v>2</v>
      </c>
      <c r="E160">
        <v>4</v>
      </c>
      <c r="F160" t="s">
        <v>10018</v>
      </c>
      <c r="G160" t="s">
        <v>10069</v>
      </c>
      <c r="H160" s="6">
        <v>44992</v>
      </c>
      <c r="I160">
        <f t="shared" si="4"/>
        <v>0</v>
      </c>
      <c r="J160" t="str">
        <f t="shared" si="5"/>
        <v>Complete</v>
      </c>
      <c r="K160">
        <f>COUNTIFS(RawData[Item], B160,RawData[Quantity],C160,RawData[Price Per Unit],D160,RawData[Total Spent],E160,RawData[Payment Method],F160,RawData[Location],G160,RawData[Transaction Date],H160)</f>
        <v>1</v>
      </c>
      <c r="L160"/>
    </row>
    <row r="161" spans="1:12" x14ac:dyDescent="0.3">
      <c r="A161" t="s">
        <v>167</v>
      </c>
      <c r="B161" t="s">
        <v>10016</v>
      </c>
      <c r="C161">
        <v>2</v>
      </c>
      <c r="D161">
        <v>3</v>
      </c>
      <c r="E161">
        <v>6</v>
      </c>
      <c r="F161" t="s">
        <v>10069</v>
      </c>
      <c r="G161" t="s">
        <v>10104</v>
      </c>
      <c r="H161" s="6">
        <v>45104</v>
      </c>
      <c r="I161">
        <f t="shared" si="4"/>
        <v>1</v>
      </c>
      <c r="J161" t="str">
        <f t="shared" si="5"/>
        <v>Complete</v>
      </c>
      <c r="K161">
        <f>COUNTIFS(RawData[Item], B161,RawData[Quantity],C161,RawData[Price Per Unit],D161,RawData[Total Spent],E161,RawData[Payment Method],F161,RawData[Location],G161,RawData[Transaction Date],H161)</f>
        <v>1</v>
      </c>
      <c r="L161"/>
    </row>
    <row r="162" spans="1:12" x14ac:dyDescent="0.3">
      <c r="A162" t="s">
        <v>168</v>
      </c>
      <c r="B162" t="s">
        <v>10014</v>
      </c>
      <c r="C162">
        <v>3</v>
      </c>
      <c r="D162">
        <v>4</v>
      </c>
      <c r="E162">
        <v>12</v>
      </c>
      <c r="F162" t="s">
        <v>10019</v>
      </c>
      <c r="G162" t="s">
        <v>10021</v>
      </c>
      <c r="H162" s="6" t="s">
        <v>10112</v>
      </c>
      <c r="I162">
        <f t="shared" si="4"/>
        <v>1</v>
      </c>
      <c r="J162" t="str">
        <f t="shared" si="5"/>
        <v>Incomplete</v>
      </c>
      <c r="K162">
        <f>COUNTIFS(RawData[Item], B162,RawData[Quantity],C162,RawData[Price Per Unit],D162,RawData[Total Spent],E162,RawData[Payment Method],F162,RawData[Location],G162,RawData[Transaction Date],H162)</f>
        <v>1</v>
      </c>
      <c r="L162"/>
    </row>
    <row r="163" spans="1:12" x14ac:dyDescent="0.3">
      <c r="A163" t="s">
        <v>169</v>
      </c>
      <c r="B163" t="s">
        <v>10016</v>
      </c>
      <c r="C163">
        <v>1</v>
      </c>
      <c r="D163" t="s">
        <v>10013</v>
      </c>
      <c r="E163">
        <v>3</v>
      </c>
      <c r="F163" t="s">
        <v>10018</v>
      </c>
      <c r="G163" t="s">
        <v>10102</v>
      </c>
      <c r="H163" s="6">
        <v>45232</v>
      </c>
      <c r="I163">
        <f t="shared" si="4"/>
        <v>1</v>
      </c>
      <c r="J163" t="str">
        <f t="shared" si="5"/>
        <v>Complete</v>
      </c>
      <c r="K163">
        <f>COUNTIFS(RawData[Item], B163,RawData[Quantity],C163,RawData[Price Per Unit],D163,RawData[Total Spent],E163,RawData[Payment Method],F163,RawData[Location],G163,RawData[Transaction Date],H163)</f>
        <v>1</v>
      </c>
      <c r="L163"/>
    </row>
    <row r="164" spans="1:12" x14ac:dyDescent="0.3">
      <c r="A164" t="s">
        <v>170</v>
      </c>
      <c r="B164" t="s">
        <v>10010</v>
      </c>
      <c r="C164">
        <v>1</v>
      </c>
      <c r="D164" t="s">
        <v>10013</v>
      </c>
      <c r="E164">
        <v>1</v>
      </c>
      <c r="F164" t="s">
        <v>10104</v>
      </c>
      <c r="G164" t="s">
        <v>10021</v>
      </c>
      <c r="H164" s="6">
        <v>45138</v>
      </c>
      <c r="I164">
        <f t="shared" si="4"/>
        <v>2</v>
      </c>
      <c r="J164" t="str">
        <f t="shared" si="5"/>
        <v>Complete</v>
      </c>
      <c r="K164">
        <f>COUNTIFS(RawData[Item], B164,RawData[Quantity],C164,RawData[Price Per Unit],D164,RawData[Total Spent],E164,RawData[Payment Method],F164,RawData[Location],G164,RawData[Transaction Date],H164)</f>
        <v>1</v>
      </c>
      <c r="L164"/>
    </row>
    <row r="165" spans="1:12" x14ac:dyDescent="0.3">
      <c r="A165" t="s">
        <v>171</v>
      </c>
      <c r="B165" t="s">
        <v>10017</v>
      </c>
      <c r="C165">
        <v>2</v>
      </c>
      <c r="D165">
        <v>1.5</v>
      </c>
      <c r="E165">
        <v>3</v>
      </c>
      <c r="F165" t="s">
        <v>10069</v>
      </c>
      <c r="G165" t="s">
        <v>10102</v>
      </c>
      <c r="H165" s="6">
        <v>45188</v>
      </c>
      <c r="I165">
        <f t="shared" si="4"/>
        <v>0</v>
      </c>
      <c r="J165" t="str">
        <f t="shared" si="5"/>
        <v>Complete</v>
      </c>
      <c r="K165">
        <f>COUNTIFS(RawData[Item], B165,RawData[Quantity],C165,RawData[Price Per Unit],D165,RawData[Total Spent],E165,RawData[Payment Method],F165,RawData[Location],G165,RawData[Transaction Date],H165)</f>
        <v>1</v>
      </c>
      <c r="L165"/>
    </row>
    <row r="166" spans="1:12" x14ac:dyDescent="0.3">
      <c r="A166" t="s">
        <v>172</v>
      </c>
      <c r="B166" t="s">
        <v>10009</v>
      </c>
      <c r="C166">
        <v>5</v>
      </c>
      <c r="D166">
        <v>0</v>
      </c>
      <c r="E166">
        <v>15</v>
      </c>
      <c r="F166" t="s">
        <v>10069</v>
      </c>
      <c r="G166" t="s">
        <v>10104</v>
      </c>
      <c r="H166" s="6">
        <v>44966</v>
      </c>
      <c r="I166">
        <f t="shared" si="4"/>
        <v>1</v>
      </c>
      <c r="J166" t="str">
        <f t="shared" si="5"/>
        <v>Complete</v>
      </c>
      <c r="K166">
        <f>COUNTIFS(RawData[Item], B166,RawData[Quantity],C166,RawData[Price Per Unit],D166,RawData[Total Spent],E166,RawData[Payment Method],F166,RawData[Location],G166,RawData[Transaction Date],H166)</f>
        <v>1</v>
      </c>
      <c r="L166"/>
    </row>
    <row r="167" spans="1:12" x14ac:dyDescent="0.3">
      <c r="A167" t="s">
        <v>173</v>
      </c>
      <c r="B167" t="s">
        <v>10013</v>
      </c>
      <c r="C167">
        <v>5</v>
      </c>
      <c r="D167">
        <v>4</v>
      </c>
      <c r="E167">
        <v>20</v>
      </c>
      <c r="F167" t="s">
        <v>10019</v>
      </c>
      <c r="G167" t="s">
        <v>10103</v>
      </c>
      <c r="H167" s="6">
        <v>45173</v>
      </c>
      <c r="I167">
        <f t="shared" si="4"/>
        <v>2</v>
      </c>
      <c r="J167" t="str">
        <f t="shared" si="5"/>
        <v>Complete</v>
      </c>
      <c r="K167">
        <f>COUNTIFS(RawData[Item], B167,RawData[Quantity],C167,RawData[Price Per Unit],D167,RawData[Total Spent],E167,RawData[Payment Method],F167,RawData[Location],G167,RawData[Transaction Date],H167)</f>
        <v>1</v>
      </c>
      <c r="L167"/>
    </row>
    <row r="168" spans="1:12" x14ac:dyDescent="0.3">
      <c r="A168" t="s">
        <v>174</v>
      </c>
      <c r="B168" t="s">
        <v>10014</v>
      </c>
      <c r="C168">
        <v>3</v>
      </c>
      <c r="D168">
        <v>4</v>
      </c>
      <c r="E168">
        <v>12</v>
      </c>
      <c r="F168" t="s">
        <v>10019</v>
      </c>
      <c r="G168" t="s">
        <v>10021</v>
      </c>
      <c r="H168" s="6">
        <v>45067</v>
      </c>
      <c r="I168">
        <f t="shared" si="4"/>
        <v>0</v>
      </c>
      <c r="J168" t="str">
        <f t="shared" si="5"/>
        <v>Complete</v>
      </c>
      <c r="K168">
        <f>COUNTIFS(RawData[Item], B168,RawData[Quantity],C168,RawData[Price Per Unit],D168,RawData[Total Spent],E168,RawData[Payment Method],F168,RawData[Location],G168,RawData[Transaction Date],H168)</f>
        <v>1</v>
      </c>
      <c r="L168"/>
    </row>
    <row r="169" spans="1:12" x14ac:dyDescent="0.3">
      <c r="A169" t="s">
        <v>175</v>
      </c>
      <c r="B169" t="s">
        <v>10009</v>
      </c>
      <c r="C169">
        <v>3</v>
      </c>
      <c r="D169">
        <v>3</v>
      </c>
      <c r="E169">
        <v>9</v>
      </c>
      <c r="F169" t="s">
        <v>10019</v>
      </c>
      <c r="G169" t="s">
        <v>10102</v>
      </c>
      <c r="H169" s="6">
        <v>45109</v>
      </c>
      <c r="I169">
        <f t="shared" si="4"/>
        <v>0</v>
      </c>
      <c r="J169" t="str">
        <f t="shared" si="5"/>
        <v>Complete</v>
      </c>
      <c r="K169">
        <f>COUNTIFS(RawData[Item], B169,RawData[Quantity],C169,RawData[Price Per Unit],D169,RawData[Total Spent],E169,RawData[Payment Method],F169,RawData[Location],G169,RawData[Transaction Date],H169)</f>
        <v>1</v>
      </c>
      <c r="L169"/>
    </row>
    <row r="170" spans="1:12" x14ac:dyDescent="0.3">
      <c r="A170" t="s">
        <v>176</v>
      </c>
      <c r="B170" t="s">
        <v>10069</v>
      </c>
      <c r="C170">
        <v>2</v>
      </c>
      <c r="D170">
        <v>4</v>
      </c>
      <c r="E170">
        <v>8</v>
      </c>
      <c r="F170" t="s">
        <v>10104</v>
      </c>
      <c r="G170" t="s">
        <v>10069</v>
      </c>
      <c r="H170" s="6">
        <v>45117</v>
      </c>
      <c r="I170">
        <f t="shared" si="4"/>
        <v>1</v>
      </c>
      <c r="J170" t="str">
        <f t="shared" si="5"/>
        <v>Complete</v>
      </c>
      <c r="K170">
        <f>COUNTIFS(RawData[Item], B170,RawData[Quantity],C170,RawData[Price Per Unit],D170,RawData[Total Spent],E170,RawData[Payment Method],F170,RawData[Location],G170,RawData[Transaction Date],H170)</f>
        <v>1</v>
      </c>
      <c r="L170"/>
    </row>
    <row r="171" spans="1:12" x14ac:dyDescent="0.3">
      <c r="A171" t="s">
        <v>177</v>
      </c>
      <c r="B171" t="s">
        <v>10010</v>
      </c>
      <c r="C171">
        <v>4</v>
      </c>
      <c r="D171">
        <v>1</v>
      </c>
      <c r="E171">
        <v>4</v>
      </c>
      <c r="F171" t="s">
        <v>10018</v>
      </c>
      <c r="G171" t="s">
        <v>10102</v>
      </c>
      <c r="H171" s="6">
        <v>45251</v>
      </c>
      <c r="I171">
        <f t="shared" si="4"/>
        <v>0</v>
      </c>
      <c r="J171" t="str">
        <f t="shared" si="5"/>
        <v>Complete</v>
      </c>
      <c r="K171">
        <f>COUNTIFS(RawData[Item], B171,RawData[Quantity],C171,RawData[Price Per Unit],D171,RawData[Total Spent],E171,RawData[Payment Method],F171,RawData[Location],G171,RawData[Transaction Date],H171)</f>
        <v>1</v>
      </c>
      <c r="L171"/>
    </row>
    <row r="172" spans="1:12" x14ac:dyDescent="0.3">
      <c r="A172" t="s">
        <v>178</v>
      </c>
      <c r="B172" t="s">
        <v>10014</v>
      </c>
      <c r="C172">
        <v>4</v>
      </c>
      <c r="D172">
        <v>4</v>
      </c>
      <c r="E172">
        <v>16</v>
      </c>
      <c r="F172" t="s">
        <v>10069</v>
      </c>
      <c r="G172" t="s">
        <v>10069</v>
      </c>
      <c r="H172" s="6">
        <v>45262</v>
      </c>
      <c r="I172">
        <f t="shared" si="4"/>
        <v>0</v>
      </c>
      <c r="J172" t="str">
        <f t="shared" si="5"/>
        <v>Complete</v>
      </c>
      <c r="K172">
        <f>COUNTIFS(RawData[Item], B172,RawData[Quantity],C172,RawData[Price Per Unit],D172,RawData[Total Spent],E172,RawData[Payment Method],F172,RawData[Location],G172,RawData[Transaction Date],H172)</f>
        <v>1</v>
      </c>
      <c r="L172"/>
    </row>
    <row r="173" spans="1:12" x14ac:dyDescent="0.3">
      <c r="A173" t="s">
        <v>179</v>
      </c>
      <c r="B173" t="s">
        <v>10017</v>
      </c>
      <c r="C173">
        <v>2</v>
      </c>
      <c r="D173">
        <v>1.5</v>
      </c>
      <c r="E173">
        <v>0</v>
      </c>
      <c r="F173" t="s">
        <v>10069</v>
      </c>
      <c r="G173" t="s">
        <v>10069</v>
      </c>
      <c r="H173" s="6">
        <v>45255</v>
      </c>
      <c r="I173">
        <f t="shared" si="4"/>
        <v>0</v>
      </c>
      <c r="J173" t="str">
        <f t="shared" si="5"/>
        <v>Complete</v>
      </c>
      <c r="K173">
        <f>COUNTIFS(RawData[Item], B173,RawData[Quantity],C173,RawData[Price Per Unit],D173,RawData[Total Spent],E173,RawData[Payment Method],F173,RawData[Location],G173,RawData[Transaction Date],H173)</f>
        <v>1</v>
      </c>
      <c r="L173"/>
    </row>
    <row r="174" spans="1:12" x14ac:dyDescent="0.3">
      <c r="A174" t="s">
        <v>180</v>
      </c>
      <c r="B174" t="s">
        <v>10008</v>
      </c>
      <c r="C174">
        <v>3</v>
      </c>
      <c r="D174">
        <v>2</v>
      </c>
      <c r="E174">
        <v>6</v>
      </c>
      <c r="F174" t="s">
        <v>10069</v>
      </c>
      <c r="G174" t="s">
        <v>10102</v>
      </c>
      <c r="H174" s="6">
        <v>45033</v>
      </c>
      <c r="I174">
        <f t="shared" si="4"/>
        <v>0</v>
      </c>
      <c r="J174" t="str">
        <f t="shared" si="5"/>
        <v>Complete</v>
      </c>
      <c r="K174">
        <f>COUNTIFS(RawData[Item], B174,RawData[Quantity],C174,RawData[Price Per Unit],D174,RawData[Total Spent],E174,RawData[Payment Method],F174,RawData[Location],G174,RawData[Transaction Date],H174)</f>
        <v>1</v>
      </c>
      <c r="L174"/>
    </row>
    <row r="175" spans="1:12" x14ac:dyDescent="0.3">
      <c r="A175" t="s">
        <v>181</v>
      </c>
      <c r="B175" t="s">
        <v>10010</v>
      </c>
      <c r="C175">
        <v>3</v>
      </c>
      <c r="D175">
        <v>1</v>
      </c>
      <c r="E175">
        <v>3</v>
      </c>
      <c r="F175" t="s">
        <v>10020</v>
      </c>
      <c r="G175" t="s">
        <v>10102</v>
      </c>
      <c r="H175" s="6">
        <v>44998</v>
      </c>
      <c r="I175">
        <f t="shared" si="4"/>
        <v>0</v>
      </c>
      <c r="J175" t="str">
        <f t="shared" si="5"/>
        <v>Complete</v>
      </c>
      <c r="K175">
        <f>COUNTIFS(RawData[Item], B175,RawData[Quantity],C175,RawData[Price Per Unit],D175,RawData[Total Spent],E175,RawData[Payment Method],F175,RawData[Location],G175,RawData[Transaction Date],H175)</f>
        <v>1</v>
      </c>
      <c r="L175"/>
    </row>
    <row r="176" spans="1:12" x14ac:dyDescent="0.3">
      <c r="A176" t="s">
        <v>182</v>
      </c>
      <c r="B176" t="s">
        <v>10009</v>
      </c>
      <c r="C176">
        <v>3</v>
      </c>
      <c r="D176">
        <v>3</v>
      </c>
      <c r="E176">
        <v>9</v>
      </c>
      <c r="F176" t="s">
        <v>10069</v>
      </c>
      <c r="G176" t="s">
        <v>10102</v>
      </c>
      <c r="H176" s="6">
        <v>45150</v>
      </c>
      <c r="I176">
        <f t="shared" si="4"/>
        <v>0</v>
      </c>
      <c r="J176" t="str">
        <f t="shared" si="5"/>
        <v>Complete</v>
      </c>
      <c r="K176">
        <f>COUNTIFS(RawData[Item], B176,RawData[Quantity],C176,RawData[Price Per Unit],D176,RawData[Total Spent],E176,RawData[Payment Method],F176,RawData[Location],G176,RawData[Transaction Date],H176)</f>
        <v>1</v>
      </c>
      <c r="L176"/>
    </row>
    <row r="177" spans="1:12" x14ac:dyDescent="0.3">
      <c r="A177" t="s">
        <v>183</v>
      </c>
      <c r="B177" t="s">
        <v>10010</v>
      </c>
      <c r="C177">
        <v>5</v>
      </c>
      <c r="D177">
        <v>1</v>
      </c>
      <c r="E177">
        <v>5</v>
      </c>
      <c r="F177" t="s">
        <v>10018</v>
      </c>
      <c r="G177" t="s">
        <v>10021</v>
      </c>
      <c r="H177" s="6" t="s">
        <v>10112</v>
      </c>
      <c r="I177">
        <f t="shared" si="4"/>
        <v>1</v>
      </c>
      <c r="J177" t="str">
        <f t="shared" si="5"/>
        <v>Incomplete</v>
      </c>
      <c r="K177">
        <f>COUNTIFS(RawData[Item], B177,RawData[Quantity],C177,RawData[Price Per Unit],D177,RawData[Total Spent],E177,RawData[Payment Method],F177,RawData[Location],G177,RawData[Transaction Date],H177)</f>
        <v>1</v>
      </c>
      <c r="L177"/>
    </row>
    <row r="178" spans="1:12" x14ac:dyDescent="0.3">
      <c r="A178" t="s">
        <v>184</v>
      </c>
      <c r="B178" t="s">
        <v>10010</v>
      </c>
      <c r="C178">
        <v>3</v>
      </c>
      <c r="D178">
        <v>1</v>
      </c>
      <c r="E178">
        <v>3</v>
      </c>
      <c r="F178" t="s">
        <v>10020</v>
      </c>
      <c r="G178" t="s">
        <v>10102</v>
      </c>
      <c r="H178" s="6">
        <v>44973</v>
      </c>
      <c r="I178">
        <f t="shared" si="4"/>
        <v>0</v>
      </c>
      <c r="J178" t="str">
        <f t="shared" si="5"/>
        <v>Complete</v>
      </c>
      <c r="K178">
        <f>COUNTIFS(RawData[Item], B178,RawData[Quantity],C178,RawData[Price Per Unit],D178,RawData[Total Spent],E178,RawData[Payment Method],F178,RawData[Location],G178,RawData[Transaction Date],H178)</f>
        <v>1</v>
      </c>
      <c r="L178"/>
    </row>
    <row r="179" spans="1:12" x14ac:dyDescent="0.3">
      <c r="A179" t="s">
        <v>185</v>
      </c>
      <c r="B179" t="s">
        <v>10011</v>
      </c>
      <c r="C179" t="s">
        <v>10015</v>
      </c>
      <c r="D179">
        <v>5</v>
      </c>
      <c r="E179">
        <v>25</v>
      </c>
      <c r="F179" t="s">
        <v>10069</v>
      </c>
      <c r="G179" t="s">
        <v>10102</v>
      </c>
      <c r="H179" s="6">
        <v>45192</v>
      </c>
      <c r="I179">
        <f t="shared" si="4"/>
        <v>1</v>
      </c>
      <c r="J179" t="str">
        <f t="shared" si="5"/>
        <v>Complete</v>
      </c>
      <c r="K179">
        <f>COUNTIFS(RawData[Item], B179,RawData[Quantity],C179,RawData[Price Per Unit],D179,RawData[Total Spent],E179,RawData[Payment Method],F179,RawData[Location],G179,RawData[Transaction Date],H179)</f>
        <v>1</v>
      </c>
      <c r="L179"/>
    </row>
    <row r="180" spans="1:12" x14ac:dyDescent="0.3">
      <c r="A180" t="s">
        <v>186</v>
      </c>
      <c r="B180" t="s">
        <v>10012</v>
      </c>
      <c r="C180" t="s">
        <v>10015</v>
      </c>
      <c r="D180">
        <v>4</v>
      </c>
      <c r="E180">
        <v>16</v>
      </c>
      <c r="F180" t="s">
        <v>10020</v>
      </c>
      <c r="G180" t="s">
        <v>10069</v>
      </c>
      <c r="H180" s="6">
        <v>45027</v>
      </c>
      <c r="I180">
        <f t="shared" si="4"/>
        <v>1</v>
      </c>
      <c r="J180" t="str">
        <f t="shared" si="5"/>
        <v>Complete</v>
      </c>
      <c r="K180">
        <f>COUNTIFS(RawData[Item], B180,RawData[Quantity],C180,RawData[Price Per Unit],D180,RawData[Total Spent],E180,RawData[Payment Method],F180,RawData[Location],G180,RawData[Transaction Date],H180)</f>
        <v>1</v>
      </c>
      <c r="L180"/>
    </row>
    <row r="181" spans="1:12" x14ac:dyDescent="0.3">
      <c r="A181" t="s">
        <v>187</v>
      </c>
      <c r="B181" t="s">
        <v>10012</v>
      </c>
      <c r="C181">
        <v>5</v>
      </c>
      <c r="D181">
        <v>4</v>
      </c>
      <c r="E181">
        <v>20</v>
      </c>
      <c r="F181" t="s">
        <v>10018</v>
      </c>
      <c r="G181" t="s">
        <v>10102</v>
      </c>
      <c r="H181" s="6">
        <v>44998</v>
      </c>
      <c r="I181">
        <f t="shared" si="4"/>
        <v>0</v>
      </c>
      <c r="J181" t="str">
        <f t="shared" si="5"/>
        <v>Complete</v>
      </c>
      <c r="K181">
        <f>COUNTIFS(RawData[Item], B181,RawData[Quantity],C181,RawData[Price Per Unit],D181,RawData[Total Spent],E181,RawData[Payment Method],F181,RawData[Location],G181,RawData[Transaction Date],H181)</f>
        <v>1</v>
      </c>
      <c r="L181"/>
    </row>
    <row r="182" spans="1:12" x14ac:dyDescent="0.3">
      <c r="A182" t="s">
        <v>188</v>
      </c>
      <c r="B182" t="s">
        <v>10014</v>
      </c>
      <c r="C182">
        <v>1</v>
      </c>
      <c r="D182">
        <v>4</v>
      </c>
      <c r="E182">
        <v>4</v>
      </c>
      <c r="F182" t="s">
        <v>10069</v>
      </c>
      <c r="G182" t="s">
        <v>10069</v>
      </c>
      <c r="H182" s="6">
        <v>45237</v>
      </c>
      <c r="I182">
        <f t="shared" si="4"/>
        <v>0</v>
      </c>
      <c r="J182" t="str">
        <f t="shared" si="5"/>
        <v>Complete</v>
      </c>
      <c r="K182">
        <f>COUNTIFS(RawData[Item], B182,RawData[Quantity],C182,RawData[Price Per Unit],D182,RawData[Total Spent],E182,RawData[Payment Method],F182,RawData[Location],G182,RawData[Transaction Date],H182)</f>
        <v>1</v>
      </c>
      <c r="L182"/>
    </row>
    <row r="183" spans="1:12" x14ac:dyDescent="0.3">
      <c r="A183" t="s">
        <v>189</v>
      </c>
      <c r="B183" t="s">
        <v>10012</v>
      </c>
      <c r="C183">
        <v>3</v>
      </c>
      <c r="D183">
        <v>4</v>
      </c>
      <c r="E183">
        <v>12</v>
      </c>
      <c r="F183" t="s">
        <v>10103</v>
      </c>
      <c r="G183" t="s">
        <v>10021</v>
      </c>
      <c r="H183" s="6">
        <v>45011</v>
      </c>
      <c r="I183">
        <f t="shared" si="4"/>
        <v>1</v>
      </c>
      <c r="J183" t="str">
        <f t="shared" si="5"/>
        <v>Complete</v>
      </c>
      <c r="K183">
        <f>COUNTIFS(RawData[Item], B183,RawData[Quantity],C183,RawData[Price Per Unit],D183,RawData[Total Spent],E183,RawData[Payment Method],F183,RawData[Location],G183,RawData[Transaction Date],H183)</f>
        <v>1</v>
      </c>
      <c r="L183"/>
    </row>
    <row r="184" spans="1:12" x14ac:dyDescent="0.3">
      <c r="A184" t="s">
        <v>190</v>
      </c>
      <c r="B184" t="s">
        <v>10009</v>
      </c>
      <c r="C184">
        <v>2</v>
      </c>
      <c r="D184">
        <v>3</v>
      </c>
      <c r="E184">
        <v>6</v>
      </c>
      <c r="F184" t="s">
        <v>10020</v>
      </c>
      <c r="G184" t="s">
        <v>10021</v>
      </c>
      <c r="H184" s="6">
        <v>45231</v>
      </c>
      <c r="I184">
        <f t="shared" si="4"/>
        <v>0</v>
      </c>
      <c r="J184" t="str">
        <f t="shared" si="5"/>
        <v>Complete</v>
      </c>
      <c r="K184">
        <f>COUNTIFS(RawData[Item], B184,RawData[Quantity],C184,RawData[Price Per Unit],D184,RawData[Total Spent],E184,RawData[Payment Method],F184,RawData[Location],G184,RawData[Transaction Date],H184)</f>
        <v>1</v>
      </c>
      <c r="L184"/>
    </row>
    <row r="185" spans="1:12" x14ac:dyDescent="0.3">
      <c r="A185" t="s">
        <v>191</v>
      </c>
      <c r="B185" t="s">
        <v>10011</v>
      </c>
      <c r="C185">
        <v>1</v>
      </c>
      <c r="D185">
        <v>5</v>
      </c>
      <c r="E185">
        <v>5</v>
      </c>
      <c r="F185" t="s">
        <v>10019</v>
      </c>
      <c r="G185" t="s">
        <v>10069</v>
      </c>
      <c r="H185" s="6">
        <v>45129</v>
      </c>
      <c r="I185">
        <f t="shared" si="4"/>
        <v>0</v>
      </c>
      <c r="J185" t="str">
        <f t="shared" si="5"/>
        <v>Complete</v>
      </c>
      <c r="K185">
        <f>COUNTIFS(RawData[Item], B185,RawData[Quantity],C185,RawData[Price Per Unit],D185,RawData[Total Spent],E185,RawData[Payment Method],F185,RawData[Location],G185,RawData[Transaction Date],H185)</f>
        <v>1</v>
      </c>
      <c r="L185"/>
    </row>
    <row r="186" spans="1:12" x14ac:dyDescent="0.3">
      <c r="A186" t="s">
        <v>192</v>
      </c>
      <c r="B186" t="s">
        <v>10013</v>
      </c>
      <c r="C186">
        <v>1</v>
      </c>
      <c r="D186">
        <v>4</v>
      </c>
      <c r="E186">
        <v>4</v>
      </c>
      <c r="F186" t="s">
        <v>10020</v>
      </c>
      <c r="G186" t="s">
        <v>10021</v>
      </c>
      <c r="H186" s="6">
        <v>45233</v>
      </c>
      <c r="I186">
        <f t="shared" si="4"/>
        <v>1</v>
      </c>
      <c r="J186" t="str">
        <f t="shared" si="5"/>
        <v>Complete</v>
      </c>
      <c r="K186">
        <f>COUNTIFS(RawData[Item], B186,RawData[Quantity],C186,RawData[Price Per Unit],D186,RawData[Total Spent],E186,RawData[Payment Method],F186,RawData[Location],G186,RawData[Transaction Date],H186)</f>
        <v>1</v>
      </c>
      <c r="L186"/>
    </row>
    <row r="187" spans="1:12" x14ac:dyDescent="0.3">
      <c r="A187" t="s">
        <v>193</v>
      </c>
      <c r="B187" t="s">
        <v>10009</v>
      </c>
      <c r="C187">
        <v>3</v>
      </c>
      <c r="D187">
        <v>3</v>
      </c>
      <c r="E187">
        <v>9</v>
      </c>
      <c r="F187" t="s">
        <v>10019</v>
      </c>
      <c r="G187" t="s">
        <v>10102</v>
      </c>
      <c r="H187" s="6">
        <v>45183</v>
      </c>
      <c r="I187">
        <f t="shared" si="4"/>
        <v>0</v>
      </c>
      <c r="J187" t="str">
        <f t="shared" si="5"/>
        <v>Complete</v>
      </c>
      <c r="K187">
        <f>COUNTIFS(RawData[Item], B187,RawData[Quantity],C187,RawData[Price Per Unit],D187,RawData[Total Spent],E187,RawData[Payment Method],F187,RawData[Location],G187,RawData[Transaction Date],H187)</f>
        <v>1</v>
      </c>
      <c r="L187"/>
    </row>
    <row r="188" spans="1:12" x14ac:dyDescent="0.3">
      <c r="A188" t="s">
        <v>194</v>
      </c>
      <c r="B188" t="s">
        <v>10012</v>
      </c>
      <c r="C188">
        <v>2</v>
      </c>
      <c r="D188">
        <v>0</v>
      </c>
      <c r="E188">
        <v>8</v>
      </c>
      <c r="F188" t="s">
        <v>10069</v>
      </c>
      <c r="G188" t="s">
        <v>10069</v>
      </c>
      <c r="H188" s="6">
        <v>45133</v>
      </c>
      <c r="I188">
        <f t="shared" si="4"/>
        <v>0</v>
      </c>
      <c r="J188" t="str">
        <f t="shared" si="5"/>
        <v>Complete</v>
      </c>
      <c r="K188">
        <f>COUNTIFS(RawData[Item], B188,RawData[Quantity],C188,RawData[Price Per Unit],D188,RawData[Total Spent],E188,RawData[Payment Method],F188,RawData[Location],G188,RawData[Transaction Date],H188)</f>
        <v>1</v>
      </c>
      <c r="L188"/>
    </row>
    <row r="189" spans="1:12" x14ac:dyDescent="0.3">
      <c r="A189" t="s">
        <v>195</v>
      </c>
      <c r="B189" t="s">
        <v>10012</v>
      </c>
      <c r="C189">
        <v>5</v>
      </c>
      <c r="D189">
        <v>4</v>
      </c>
      <c r="E189">
        <v>20</v>
      </c>
      <c r="F189" t="s">
        <v>10018</v>
      </c>
      <c r="G189" t="s">
        <v>10102</v>
      </c>
      <c r="H189" s="6">
        <v>44985</v>
      </c>
      <c r="I189">
        <f t="shared" si="4"/>
        <v>0</v>
      </c>
      <c r="J189" t="str">
        <f t="shared" si="5"/>
        <v>Complete</v>
      </c>
      <c r="K189">
        <f>COUNTIFS(RawData[Item], B189,RawData[Quantity],C189,RawData[Price Per Unit],D189,RawData[Total Spent],E189,RawData[Payment Method],F189,RawData[Location],G189,RawData[Transaction Date],H189)</f>
        <v>1</v>
      </c>
      <c r="L189"/>
    </row>
    <row r="190" spans="1:12" x14ac:dyDescent="0.3">
      <c r="A190" t="s">
        <v>196</v>
      </c>
      <c r="B190" t="s">
        <v>10008</v>
      </c>
      <c r="C190">
        <v>4</v>
      </c>
      <c r="D190">
        <v>2</v>
      </c>
      <c r="E190">
        <v>8</v>
      </c>
      <c r="F190" t="s">
        <v>10103</v>
      </c>
      <c r="G190" t="s">
        <v>10102</v>
      </c>
      <c r="H190" s="6">
        <v>44953</v>
      </c>
      <c r="I190">
        <f t="shared" si="4"/>
        <v>1</v>
      </c>
      <c r="J190" t="str">
        <f t="shared" si="5"/>
        <v>Complete</v>
      </c>
      <c r="K190">
        <f>COUNTIFS(RawData[Item], B190,RawData[Quantity],C190,RawData[Price Per Unit],D190,RawData[Total Spent],E190,RawData[Payment Method],F190,RawData[Location],G190,RawData[Transaction Date],H190)</f>
        <v>1</v>
      </c>
      <c r="L190"/>
    </row>
    <row r="191" spans="1:12" x14ac:dyDescent="0.3">
      <c r="A191" t="s">
        <v>197</v>
      </c>
      <c r="B191" t="s">
        <v>10010</v>
      </c>
      <c r="C191" t="s">
        <v>10013</v>
      </c>
      <c r="D191">
        <v>1</v>
      </c>
      <c r="E191">
        <v>3</v>
      </c>
      <c r="F191" t="s">
        <v>10104</v>
      </c>
      <c r="G191" t="s">
        <v>10069</v>
      </c>
      <c r="H191" s="6">
        <v>45266</v>
      </c>
      <c r="I191">
        <f t="shared" si="4"/>
        <v>2</v>
      </c>
      <c r="J191" t="str">
        <f t="shared" si="5"/>
        <v>Complete</v>
      </c>
      <c r="K191">
        <f>COUNTIFS(RawData[Item], B191,RawData[Quantity],C191,RawData[Price Per Unit],D191,RawData[Total Spent],E191,RawData[Payment Method],F191,RawData[Location],G191,RawData[Transaction Date],H191)</f>
        <v>1</v>
      </c>
      <c r="L191"/>
    </row>
    <row r="192" spans="1:12" x14ac:dyDescent="0.3">
      <c r="A192" t="s">
        <v>198</v>
      </c>
      <c r="B192" t="s">
        <v>10009</v>
      </c>
      <c r="C192">
        <v>5</v>
      </c>
      <c r="D192">
        <v>3</v>
      </c>
      <c r="E192">
        <v>15</v>
      </c>
      <c r="F192" t="s">
        <v>10019</v>
      </c>
      <c r="G192" t="s">
        <v>10069</v>
      </c>
      <c r="H192" s="6">
        <v>44945</v>
      </c>
      <c r="I192">
        <f t="shared" si="4"/>
        <v>0</v>
      </c>
      <c r="J192" t="str">
        <f t="shared" si="5"/>
        <v>Complete</v>
      </c>
      <c r="K192">
        <f>COUNTIFS(RawData[Item], B192,RawData[Quantity],C192,RawData[Price Per Unit],D192,RawData[Total Spent],E192,RawData[Payment Method],F192,RawData[Location],G192,RawData[Transaction Date],H192)</f>
        <v>1</v>
      </c>
      <c r="L192"/>
    </row>
    <row r="193" spans="1:12" x14ac:dyDescent="0.3">
      <c r="A193" t="s">
        <v>199</v>
      </c>
      <c r="B193" t="s">
        <v>10012</v>
      </c>
      <c r="C193">
        <v>1</v>
      </c>
      <c r="D193">
        <v>4</v>
      </c>
      <c r="E193">
        <v>4</v>
      </c>
      <c r="F193" t="s">
        <v>10069</v>
      </c>
      <c r="G193" t="s">
        <v>10069</v>
      </c>
      <c r="H193" s="6">
        <v>44977</v>
      </c>
      <c r="I193">
        <f t="shared" si="4"/>
        <v>0</v>
      </c>
      <c r="J193" t="str">
        <f t="shared" si="5"/>
        <v>Complete</v>
      </c>
      <c r="K193">
        <f>COUNTIFS(RawData[Item], B193,RawData[Quantity],C193,RawData[Price Per Unit],D193,RawData[Total Spent],E193,RawData[Payment Method],F193,RawData[Location],G193,RawData[Transaction Date],H193)</f>
        <v>1</v>
      </c>
      <c r="L193"/>
    </row>
    <row r="194" spans="1:12" x14ac:dyDescent="0.3">
      <c r="A194" t="s">
        <v>200</v>
      </c>
      <c r="B194" t="s">
        <v>10016</v>
      </c>
      <c r="C194">
        <v>4</v>
      </c>
      <c r="D194">
        <v>3</v>
      </c>
      <c r="E194">
        <v>12</v>
      </c>
      <c r="F194" t="s">
        <v>10019</v>
      </c>
      <c r="G194" t="s">
        <v>10102</v>
      </c>
      <c r="H194" s="6">
        <v>45023</v>
      </c>
      <c r="I194">
        <f t="shared" ref="I194:I257" si="6">(B194="Unknown")+(B194="Error")+(C194="Unknown")+(C194="Error")+(D194="Unknown")+(D194="Error")+(E194="Unknown")+(E194="Error")+(F194="Unknown")+(F194="Error")+(G194="Unknown")+(G194="Error")+(H194="No Date")</f>
        <v>0</v>
      </c>
      <c r="J194" t="str">
        <f t="shared" ref="J194:J257" si="7">IF((H194="No Date"),"Incomplete","Complete")</f>
        <v>Complete</v>
      </c>
      <c r="K194">
        <f>COUNTIFS(RawData[Item], B194,RawData[Quantity],C194,RawData[Price Per Unit],D194,RawData[Total Spent],E194,RawData[Payment Method],F194,RawData[Location],G194,RawData[Transaction Date],H194)</f>
        <v>1</v>
      </c>
      <c r="L194"/>
    </row>
    <row r="195" spans="1:12" x14ac:dyDescent="0.3">
      <c r="A195" t="s">
        <v>201</v>
      </c>
      <c r="B195" t="s">
        <v>10012</v>
      </c>
      <c r="C195">
        <v>2</v>
      </c>
      <c r="D195">
        <v>4</v>
      </c>
      <c r="E195">
        <v>8</v>
      </c>
      <c r="F195" t="s">
        <v>10069</v>
      </c>
      <c r="G195" t="s">
        <v>10102</v>
      </c>
      <c r="H195" s="6">
        <v>45005</v>
      </c>
      <c r="I195">
        <f t="shared" si="6"/>
        <v>0</v>
      </c>
      <c r="J195" t="str">
        <f t="shared" si="7"/>
        <v>Complete</v>
      </c>
      <c r="K195">
        <f>COUNTIFS(RawData[Item], B195,RawData[Quantity],C195,RawData[Price Per Unit],D195,RawData[Total Spent],E195,RawData[Payment Method],F195,RawData[Location],G195,RawData[Transaction Date],H195)</f>
        <v>1</v>
      </c>
      <c r="L195"/>
    </row>
    <row r="196" spans="1:12" x14ac:dyDescent="0.3">
      <c r="A196" t="s">
        <v>202</v>
      </c>
      <c r="B196" t="s">
        <v>10010</v>
      </c>
      <c r="C196">
        <v>3</v>
      </c>
      <c r="D196">
        <v>1</v>
      </c>
      <c r="E196">
        <v>3</v>
      </c>
      <c r="F196" t="s">
        <v>10019</v>
      </c>
      <c r="G196" t="s">
        <v>10021</v>
      </c>
      <c r="H196" s="6">
        <v>44973</v>
      </c>
      <c r="I196">
        <f t="shared" si="6"/>
        <v>0</v>
      </c>
      <c r="J196" t="str">
        <f t="shared" si="7"/>
        <v>Complete</v>
      </c>
      <c r="K196">
        <f>COUNTIFS(RawData[Item], B196,RawData[Quantity],C196,RawData[Price Per Unit],D196,RawData[Total Spent],E196,RawData[Payment Method],F196,RawData[Location],G196,RawData[Transaction Date],H196)</f>
        <v>1</v>
      </c>
      <c r="L196"/>
    </row>
    <row r="197" spans="1:12" x14ac:dyDescent="0.3">
      <c r="A197" t="s">
        <v>203</v>
      </c>
      <c r="B197" t="s">
        <v>10010</v>
      </c>
      <c r="C197">
        <v>4</v>
      </c>
      <c r="D197">
        <v>1</v>
      </c>
      <c r="E197">
        <v>4</v>
      </c>
      <c r="F197" t="s">
        <v>10069</v>
      </c>
      <c r="G197" t="s">
        <v>10102</v>
      </c>
      <c r="H197" s="6">
        <v>45287</v>
      </c>
      <c r="I197">
        <f t="shared" si="6"/>
        <v>0</v>
      </c>
      <c r="J197" t="str">
        <f t="shared" si="7"/>
        <v>Complete</v>
      </c>
      <c r="K197">
        <f>COUNTIFS(RawData[Item], B197,RawData[Quantity],C197,RawData[Price Per Unit],D197,RawData[Total Spent],E197,RawData[Payment Method],F197,RawData[Location],G197,RawData[Transaction Date],H197)</f>
        <v>1</v>
      </c>
      <c r="L197"/>
    </row>
    <row r="198" spans="1:12" x14ac:dyDescent="0.3">
      <c r="A198" t="s">
        <v>204</v>
      </c>
      <c r="B198" t="s">
        <v>10017</v>
      </c>
      <c r="C198">
        <v>2</v>
      </c>
      <c r="D198" t="s">
        <v>10015</v>
      </c>
      <c r="E198">
        <v>3</v>
      </c>
      <c r="F198" t="s">
        <v>10019</v>
      </c>
      <c r="G198" t="s">
        <v>10102</v>
      </c>
      <c r="H198" s="6">
        <v>45225</v>
      </c>
      <c r="I198">
        <f t="shared" si="6"/>
        <v>1</v>
      </c>
      <c r="J198" t="str">
        <f t="shared" si="7"/>
        <v>Complete</v>
      </c>
      <c r="K198">
        <f>COUNTIFS(RawData[Item], B198,RawData[Quantity],C198,RawData[Price Per Unit],D198,RawData[Total Spent],E198,RawData[Payment Method],F198,RawData[Location],G198,RawData[Transaction Date],H198)</f>
        <v>1</v>
      </c>
      <c r="L198"/>
    </row>
    <row r="199" spans="1:12" x14ac:dyDescent="0.3">
      <c r="A199" t="s">
        <v>205</v>
      </c>
      <c r="B199" t="s">
        <v>10069</v>
      </c>
      <c r="C199">
        <v>5</v>
      </c>
      <c r="D199">
        <v>3</v>
      </c>
      <c r="E199">
        <v>15</v>
      </c>
      <c r="F199" t="s">
        <v>10018</v>
      </c>
      <c r="G199" t="s">
        <v>10069</v>
      </c>
      <c r="H199" s="6">
        <v>44975</v>
      </c>
      <c r="I199">
        <f t="shared" si="6"/>
        <v>0</v>
      </c>
      <c r="J199" t="str">
        <f t="shared" si="7"/>
        <v>Complete</v>
      </c>
      <c r="K199">
        <f>COUNTIFS(RawData[Item], B199,RawData[Quantity],C199,RawData[Price Per Unit],D199,RawData[Total Spent],E199,RawData[Payment Method],F199,RawData[Location],G199,RawData[Transaction Date],H199)</f>
        <v>1</v>
      </c>
      <c r="L199"/>
    </row>
    <row r="200" spans="1:12" x14ac:dyDescent="0.3">
      <c r="A200" t="s">
        <v>206</v>
      </c>
      <c r="B200" t="s">
        <v>10016</v>
      </c>
      <c r="C200" t="s">
        <v>10015</v>
      </c>
      <c r="D200">
        <v>3</v>
      </c>
      <c r="E200">
        <v>12</v>
      </c>
      <c r="F200" t="s">
        <v>10104</v>
      </c>
      <c r="G200" t="s">
        <v>10069</v>
      </c>
      <c r="H200" s="6">
        <v>45027</v>
      </c>
      <c r="I200">
        <f t="shared" si="6"/>
        <v>2</v>
      </c>
      <c r="J200" t="str">
        <f t="shared" si="7"/>
        <v>Complete</v>
      </c>
      <c r="K200">
        <f>COUNTIFS(RawData[Item], B200,RawData[Quantity],C200,RawData[Price Per Unit],D200,RawData[Total Spent],E200,RawData[Payment Method],F200,RawData[Location],G200,RawData[Transaction Date],H200)</f>
        <v>1</v>
      </c>
      <c r="L200"/>
    </row>
    <row r="201" spans="1:12" x14ac:dyDescent="0.3">
      <c r="A201" t="s">
        <v>207</v>
      </c>
      <c r="B201" t="s">
        <v>10016</v>
      </c>
      <c r="C201">
        <v>3</v>
      </c>
      <c r="D201">
        <v>3</v>
      </c>
      <c r="E201">
        <v>9</v>
      </c>
      <c r="F201" t="s">
        <v>10018</v>
      </c>
      <c r="G201" t="s">
        <v>10069</v>
      </c>
      <c r="H201" s="6">
        <v>45061</v>
      </c>
      <c r="I201">
        <f t="shared" si="6"/>
        <v>0</v>
      </c>
      <c r="J201" t="str">
        <f t="shared" si="7"/>
        <v>Complete</v>
      </c>
      <c r="K201">
        <f>COUNTIFS(RawData[Item], B201,RawData[Quantity],C201,RawData[Price Per Unit],D201,RawData[Total Spent],E201,RawData[Payment Method],F201,RawData[Location],G201,RawData[Transaction Date],H201)</f>
        <v>1</v>
      </c>
      <c r="L201"/>
    </row>
    <row r="202" spans="1:12" x14ac:dyDescent="0.3">
      <c r="A202" t="s">
        <v>208</v>
      </c>
      <c r="B202" t="s">
        <v>10008</v>
      </c>
      <c r="C202">
        <v>2</v>
      </c>
      <c r="D202">
        <v>2</v>
      </c>
      <c r="E202">
        <v>4</v>
      </c>
      <c r="F202" t="s">
        <v>10018</v>
      </c>
      <c r="G202" t="s">
        <v>10021</v>
      </c>
      <c r="H202" s="6">
        <v>45270</v>
      </c>
      <c r="I202">
        <f t="shared" si="6"/>
        <v>0</v>
      </c>
      <c r="J202" t="str">
        <f t="shared" si="7"/>
        <v>Complete</v>
      </c>
      <c r="K202">
        <f>COUNTIFS(RawData[Item], B202,RawData[Quantity],C202,RawData[Price Per Unit],D202,RawData[Total Spent],E202,RawData[Payment Method],F202,RawData[Location],G202,RawData[Transaction Date],H202)</f>
        <v>1</v>
      </c>
      <c r="L202"/>
    </row>
    <row r="203" spans="1:12" x14ac:dyDescent="0.3">
      <c r="A203" t="s">
        <v>209</v>
      </c>
      <c r="B203" t="s">
        <v>10009</v>
      </c>
      <c r="C203">
        <v>2</v>
      </c>
      <c r="D203">
        <v>3</v>
      </c>
      <c r="E203">
        <v>6</v>
      </c>
      <c r="F203" t="s">
        <v>10018</v>
      </c>
      <c r="G203" t="s">
        <v>10069</v>
      </c>
      <c r="H203" s="6">
        <v>45153</v>
      </c>
      <c r="I203">
        <f t="shared" si="6"/>
        <v>0</v>
      </c>
      <c r="J203" t="str">
        <f t="shared" si="7"/>
        <v>Complete</v>
      </c>
      <c r="K203">
        <f>COUNTIFS(RawData[Item], B203,RawData[Quantity],C203,RawData[Price Per Unit],D203,RawData[Total Spent],E203,RawData[Payment Method],F203,RawData[Location],G203,RawData[Transaction Date],H203)</f>
        <v>1</v>
      </c>
      <c r="L203"/>
    </row>
    <row r="204" spans="1:12" x14ac:dyDescent="0.3">
      <c r="A204" t="s">
        <v>210</v>
      </c>
      <c r="B204" t="s">
        <v>10012</v>
      </c>
      <c r="C204">
        <v>1</v>
      </c>
      <c r="D204">
        <v>4</v>
      </c>
      <c r="E204">
        <v>4</v>
      </c>
      <c r="F204" t="s">
        <v>10069</v>
      </c>
      <c r="G204" t="s">
        <v>10102</v>
      </c>
      <c r="H204" s="6">
        <v>45037</v>
      </c>
      <c r="I204">
        <f t="shared" si="6"/>
        <v>0</v>
      </c>
      <c r="J204" t="str">
        <f t="shared" si="7"/>
        <v>Complete</v>
      </c>
      <c r="K204">
        <f>COUNTIFS(RawData[Item], B204,RawData[Quantity],C204,RawData[Price Per Unit],D204,RawData[Total Spent],E204,RawData[Payment Method],F204,RawData[Location],G204,RawData[Transaction Date],H204)</f>
        <v>1</v>
      </c>
      <c r="L204"/>
    </row>
    <row r="205" spans="1:12" x14ac:dyDescent="0.3">
      <c r="A205" t="s">
        <v>211</v>
      </c>
      <c r="B205" t="s">
        <v>10069</v>
      </c>
      <c r="C205">
        <v>3</v>
      </c>
      <c r="D205">
        <v>3</v>
      </c>
      <c r="E205">
        <v>9</v>
      </c>
      <c r="F205" t="s">
        <v>10018</v>
      </c>
      <c r="G205" t="s">
        <v>10021</v>
      </c>
      <c r="H205" s="6">
        <v>45227</v>
      </c>
      <c r="I205">
        <f t="shared" si="6"/>
        <v>0</v>
      </c>
      <c r="J205" t="str">
        <f t="shared" si="7"/>
        <v>Complete</v>
      </c>
      <c r="K205">
        <f>COUNTIFS(RawData[Item], B205,RawData[Quantity],C205,RawData[Price Per Unit],D205,RawData[Total Spent],E205,RawData[Payment Method],F205,RawData[Location],G205,RawData[Transaction Date],H205)</f>
        <v>1</v>
      </c>
      <c r="L205"/>
    </row>
    <row r="206" spans="1:12" x14ac:dyDescent="0.3">
      <c r="A206" t="s">
        <v>212</v>
      </c>
      <c r="B206" t="s">
        <v>10008</v>
      </c>
      <c r="C206">
        <v>3</v>
      </c>
      <c r="D206">
        <v>2</v>
      </c>
      <c r="E206">
        <v>6</v>
      </c>
      <c r="F206" t="s">
        <v>10019</v>
      </c>
      <c r="G206" t="s">
        <v>10021</v>
      </c>
      <c r="H206" s="6">
        <v>44961</v>
      </c>
      <c r="I206">
        <f t="shared" si="6"/>
        <v>0</v>
      </c>
      <c r="J206" t="str">
        <f t="shared" si="7"/>
        <v>Complete</v>
      </c>
      <c r="K206">
        <f>COUNTIFS(RawData[Item], B206,RawData[Quantity],C206,RawData[Price Per Unit],D206,RawData[Total Spent],E206,RawData[Payment Method],F206,RawData[Location],G206,RawData[Transaction Date],H206)</f>
        <v>1</v>
      </c>
      <c r="L206"/>
    </row>
    <row r="207" spans="1:12" x14ac:dyDescent="0.3">
      <c r="A207" t="s">
        <v>213</v>
      </c>
      <c r="B207" t="s">
        <v>10010</v>
      </c>
      <c r="C207">
        <v>1</v>
      </c>
      <c r="D207">
        <v>1</v>
      </c>
      <c r="E207">
        <v>1</v>
      </c>
      <c r="F207" t="s">
        <v>10020</v>
      </c>
      <c r="G207" t="s">
        <v>10102</v>
      </c>
      <c r="H207" s="6">
        <v>45031</v>
      </c>
      <c r="I207">
        <f t="shared" si="6"/>
        <v>0</v>
      </c>
      <c r="J207" t="str">
        <f t="shared" si="7"/>
        <v>Complete</v>
      </c>
      <c r="K207">
        <f>COUNTIFS(RawData[Item], B207,RawData[Quantity],C207,RawData[Price Per Unit],D207,RawData[Total Spent],E207,RawData[Payment Method],F207,RawData[Location],G207,RawData[Transaction Date],H207)</f>
        <v>1</v>
      </c>
      <c r="L207"/>
    </row>
    <row r="208" spans="1:12" x14ac:dyDescent="0.3">
      <c r="A208" t="s">
        <v>214</v>
      </c>
      <c r="B208" t="s">
        <v>10012</v>
      </c>
      <c r="C208">
        <v>1</v>
      </c>
      <c r="D208">
        <v>4</v>
      </c>
      <c r="E208">
        <v>4</v>
      </c>
      <c r="F208" t="s">
        <v>10104</v>
      </c>
      <c r="G208" t="s">
        <v>10102</v>
      </c>
      <c r="H208" s="6">
        <v>45242</v>
      </c>
      <c r="I208">
        <f t="shared" si="6"/>
        <v>1</v>
      </c>
      <c r="J208" t="str">
        <f t="shared" si="7"/>
        <v>Complete</v>
      </c>
      <c r="K208">
        <f>COUNTIFS(RawData[Item], B208,RawData[Quantity],C208,RawData[Price Per Unit],D208,RawData[Total Spent],E208,RawData[Payment Method],F208,RawData[Location],G208,RawData[Transaction Date],H208)</f>
        <v>1</v>
      </c>
      <c r="L208"/>
    </row>
    <row r="209" spans="1:12" x14ac:dyDescent="0.3">
      <c r="A209" t="s">
        <v>215</v>
      </c>
      <c r="B209" t="s">
        <v>10017</v>
      </c>
      <c r="C209">
        <v>5</v>
      </c>
      <c r="D209">
        <v>1.5</v>
      </c>
      <c r="E209">
        <v>7.5</v>
      </c>
      <c r="F209" t="s">
        <v>10069</v>
      </c>
      <c r="G209" t="s">
        <v>10069</v>
      </c>
      <c r="H209" s="6">
        <v>45143</v>
      </c>
      <c r="I209">
        <f t="shared" si="6"/>
        <v>0</v>
      </c>
      <c r="J209" t="str">
        <f t="shared" si="7"/>
        <v>Complete</v>
      </c>
      <c r="K209">
        <f>COUNTIFS(RawData[Item], B209,RawData[Quantity],C209,RawData[Price Per Unit],D209,RawData[Total Spent],E209,RawData[Payment Method],F209,RawData[Location],G209,RawData[Transaction Date],H209)</f>
        <v>1</v>
      </c>
      <c r="L209"/>
    </row>
    <row r="210" spans="1:12" x14ac:dyDescent="0.3">
      <c r="A210" t="s">
        <v>216</v>
      </c>
      <c r="B210" t="s">
        <v>10012</v>
      </c>
      <c r="C210">
        <v>3</v>
      </c>
      <c r="D210">
        <v>4</v>
      </c>
      <c r="E210">
        <v>12</v>
      </c>
      <c r="F210" t="s">
        <v>10018</v>
      </c>
      <c r="G210" t="s">
        <v>10102</v>
      </c>
      <c r="H210" s="6">
        <v>45056</v>
      </c>
      <c r="I210">
        <f t="shared" si="6"/>
        <v>0</v>
      </c>
      <c r="J210" t="str">
        <f t="shared" si="7"/>
        <v>Complete</v>
      </c>
      <c r="K210">
        <f>COUNTIFS(RawData[Item], B210,RawData[Quantity],C210,RawData[Price Per Unit],D210,RawData[Total Spent],E210,RawData[Payment Method],F210,RawData[Location],G210,RawData[Transaction Date],H210)</f>
        <v>1</v>
      </c>
      <c r="L210"/>
    </row>
    <row r="211" spans="1:12" x14ac:dyDescent="0.3">
      <c r="A211" t="s">
        <v>217</v>
      </c>
      <c r="B211" t="s">
        <v>10014</v>
      </c>
      <c r="C211">
        <v>2</v>
      </c>
      <c r="D211">
        <v>4</v>
      </c>
      <c r="E211">
        <v>8</v>
      </c>
      <c r="F211" t="s">
        <v>10018</v>
      </c>
      <c r="G211" t="s">
        <v>10069</v>
      </c>
      <c r="H211" s="6" t="s">
        <v>10112</v>
      </c>
      <c r="I211">
        <f t="shared" si="6"/>
        <v>1</v>
      </c>
      <c r="J211" t="str">
        <f t="shared" si="7"/>
        <v>Incomplete</v>
      </c>
      <c r="K211">
        <f>COUNTIFS(RawData[Item], B211,RawData[Quantity],C211,RawData[Price Per Unit],D211,RawData[Total Spent],E211,RawData[Payment Method],F211,RawData[Location],G211,RawData[Transaction Date],H211)</f>
        <v>1</v>
      </c>
      <c r="L211"/>
    </row>
    <row r="212" spans="1:12" x14ac:dyDescent="0.3">
      <c r="A212" t="s">
        <v>218</v>
      </c>
      <c r="B212" t="s">
        <v>10012</v>
      </c>
      <c r="C212">
        <v>5</v>
      </c>
      <c r="D212">
        <v>4</v>
      </c>
      <c r="E212">
        <v>20</v>
      </c>
      <c r="F212" t="s">
        <v>10069</v>
      </c>
      <c r="G212" t="s">
        <v>10102</v>
      </c>
      <c r="H212" s="6">
        <v>45122</v>
      </c>
      <c r="I212">
        <f t="shared" si="6"/>
        <v>0</v>
      </c>
      <c r="J212" t="str">
        <f t="shared" si="7"/>
        <v>Complete</v>
      </c>
      <c r="K212">
        <f>COUNTIFS(RawData[Item], B212,RawData[Quantity],C212,RawData[Price Per Unit],D212,RawData[Total Spent],E212,RawData[Payment Method],F212,RawData[Location],G212,RawData[Transaction Date],H212)</f>
        <v>1</v>
      </c>
      <c r="L212"/>
    </row>
    <row r="213" spans="1:12" x14ac:dyDescent="0.3">
      <c r="A213" t="s">
        <v>219</v>
      </c>
      <c r="B213" t="s">
        <v>10015</v>
      </c>
      <c r="C213">
        <v>3</v>
      </c>
      <c r="D213">
        <v>5</v>
      </c>
      <c r="E213">
        <v>15</v>
      </c>
      <c r="F213" t="s">
        <v>10020</v>
      </c>
      <c r="G213" t="s">
        <v>10069</v>
      </c>
      <c r="H213" s="6">
        <v>45245</v>
      </c>
      <c r="I213">
        <f t="shared" si="6"/>
        <v>1</v>
      </c>
      <c r="J213" t="str">
        <f t="shared" si="7"/>
        <v>Complete</v>
      </c>
      <c r="K213">
        <f>COUNTIFS(RawData[Item], B213,RawData[Quantity],C213,RawData[Price Per Unit],D213,RawData[Total Spent],E213,RawData[Payment Method],F213,RawData[Location],G213,RawData[Transaction Date],H213)</f>
        <v>1</v>
      </c>
      <c r="L213"/>
    </row>
    <row r="214" spans="1:12" x14ac:dyDescent="0.3">
      <c r="A214" t="s">
        <v>220</v>
      </c>
      <c r="B214" t="s">
        <v>10011</v>
      </c>
      <c r="C214">
        <v>3</v>
      </c>
      <c r="D214" t="s">
        <v>10015</v>
      </c>
      <c r="E214">
        <v>15</v>
      </c>
      <c r="F214" t="s">
        <v>10018</v>
      </c>
      <c r="G214" t="s">
        <v>10069</v>
      </c>
      <c r="H214" s="6">
        <v>44937</v>
      </c>
      <c r="I214">
        <f t="shared" si="6"/>
        <v>1</v>
      </c>
      <c r="J214" t="str">
        <f t="shared" si="7"/>
        <v>Complete</v>
      </c>
      <c r="K214">
        <f>COUNTIFS(RawData[Item], B214,RawData[Quantity],C214,RawData[Price Per Unit],D214,RawData[Total Spent],E214,RawData[Payment Method],F214,RawData[Location],G214,RawData[Transaction Date],H214)</f>
        <v>1</v>
      </c>
      <c r="L214"/>
    </row>
    <row r="215" spans="1:12" x14ac:dyDescent="0.3">
      <c r="A215" t="s">
        <v>221</v>
      </c>
      <c r="B215" t="s">
        <v>10009</v>
      </c>
      <c r="C215">
        <v>1</v>
      </c>
      <c r="D215" t="s">
        <v>10015</v>
      </c>
      <c r="E215">
        <v>3</v>
      </c>
      <c r="F215" t="s">
        <v>10069</v>
      </c>
      <c r="G215" t="s">
        <v>10069</v>
      </c>
      <c r="H215" s="6">
        <v>45200</v>
      </c>
      <c r="I215">
        <f t="shared" si="6"/>
        <v>1</v>
      </c>
      <c r="J215" t="str">
        <f t="shared" si="7"/>
        <v>Complete</v>
      </c>
      <c r="K215">
        <f>COUNTIFS(RawData[Item], B215,RawData[Quantity],C215,RawData[Price Per Unit],D215,RawData[Total Spent],E215,RawData[Payment Method],F215,RawData[Location],G215,RawData[Transaction Date],H215)</f>
        <v>1</v>
      </c>
      <c r="L215"/>
    </row>
    <row r="216" spans="1:12" x14ac:dyDescent="0.3">
      <c r="A216" t="s">
        <v>222</v>
      </c>
      <c r="B216" t="s">
        <v>10011</v>
      </c>
      <c r="C216" t="s">
        <v>10015</v>
      </c>
      <c r="D216">
        <v>5</v>
      </c>
      <c r="E216">
        <v>25</v>
      </c>
      <c r="F216" t="s">
        <v>10019</v>
      </c>
      <c r="G216" t="s">
        <v>10102</v>
      </c>
      <c r="H216" s="6">
        <v>45050</v>
      </c>
      <c r="I216">
        <f t="shared" si="6"/>
        <v>1</v>
      </c>
      <c r="J216" t="str">
        <f t="shared" si="7"/>
        <v>Complete</v>
      </c>
      <c r="K216">
        <f>COUNTIFS(RawData[Item], B216,RawData[Quantity],C216,RawData[Price Per Unit],D216,RawData[Total Spent],E216,RawData[Payment Method],F216,RawData[Location],G216,RawData[Transaction Date],H216)</f>
        <v>1</v>
      </c>
      <c r="L216"/>
    </row>
    <row r="217" spans="1:12" x14ac:dyDescent="0.3">
      <c r="A217" t="s">
        <v>223</v>
      </c>
      <c r="B217" t="s">
        <v>10011</v>
      </c>
      <c r="C217">
        <v>4</v>
      </c>
      <c r="D217">
        <v>5</v>
      </c>
      <c r="E217">
        <v>20</v>
      </c>
      <c r="F217" t="s">
        <v>10019</v>
      </c>
      <c r="G217" t="s">
        <v>10102</v>
      </c>
      <c r="H217" s="6">
        <v>45042</v>
      </c>
      <c r="I217">
        <f t="shared" si="6"/>
        <v>0</v>
      </c>
      <c r="J217" t="str">
        <f t="shared" si="7"/>
        <v>Complete</v>
      </c>
      <c r="K217">
        <f>COUNTIFS(RawData[Item], B217,RawData[Quantity],C217,RawData[Price Per Unit],D217,RawData[Total Spent],E217,RawData[Payment Method],F217,RawData[Location],G217,RawData[Transaction Date],H217)</f>
        <v>1</v>
      </c>
      <c r="L217"/>
    </row>
    <row r="218" spans="1:12" x14ac:dyDescent="0.3">
      <c r="A218" t="s">
        <v>224</v>
      </c>
      <c r="B218" t="s">
        <v>10015</v>
      </c>
      <c r="C218">
        <v>4</v>
      </c>
      <c r="D218">
        <v>4</v>
      </c>
      <c r="E218">
        <v>16</v>
      </c>
      <c r="F218" t="s">
        <v>10018</v>
      </c>
      <c r="G218" t="s">
        <v>10069</v>
      </c>
      <c r="H218" s="6">
        <v>45163</v>
      </c>
      <c r="I218">
        <f t="shared" si="6"/>
        <v>1</v>
      </c>
      <c r="J218" t="str">
        <f t="shared" si="7"/>
        <v>Complete</v>
      </c>
      <c r="K218">
        <f>COUNTIFS(RawData[Item], B218,RawData[Quantity],C218,RawData[Price Per Unit],D218,RawData[Total Spent],E218,RawData[Payment Method],F218,RawData[Location],G218,RawData[Transaction Date],H218)</f>
        <v>1</v>
      </c>
      <c r="L218"/>
    </row>
    <row r="219" spans="1:12" x14ac:dyDescent="0.3">
      <c r="A219" t="s">
        <v>225</v>
      </c>
      <c r="B219" t="s">
        <v>10011</v>
      </c>
      <c r="C219">
        <v>1</v>
      </c>
      <c r="D219">
        <v>5</v>
      </c>
      <c r="E219">
        <v>5</v>
      </c>
      <c r="F219" t="s">
        <v>10019</v>
      </c>
      <c r="G219" t="s">
        <v>10102</v>
      </c>
      <c r="H219" s="6">
        <v>45074</v>
      </c>
      <c r="I219">
        <f t="shared" si="6"/>
        <v>0</v>
      </c>
      <c r="J219" t="str">
        <f t="shared" si="7"/>
        <v>Complete</v>
      </c>
      <c r="K219">
        <f>COUNTIFS(RawData[Item], B219,RawData[Quantity],C219,RawData[Price Per Unit],D219,RawData[Total Spent],E219,RawData[Payment Method],F219,RawData[Location],G219,RawData[Transaction Date],H219)</f>
        <v>1</v>
      </c>
      <c r="L219"/>
    </row>
    <row r="220" spans="1:12" x14ac:dyDescent="0.3">
      <c r="A220" t="s">
        <v>226</v>
      </c>
      <c r="B220" t="s">
        <v>10016</v>
      </c>
      <c r="C220">
        <v>1</v>
      </c>
      <c r="D220">
        <v>3</v>
      </c>
      <c r="E220">
        <v>3</v>
      </c>
      <c r="F220" t="s">
        <v>10069</v>
      </c>
      <c r="G220" t="s">
        <v>10021</v>
      </c>
      <c r="H220" s="6">
        <v>45046</v>
      </c>
      <c r="I220">
        <f t="shared" si="6"/>
        <v>0</v>
      </c>
      <c r="J220" t="str">
        <f t="shared" si="7"/>
        <v>Complete</v>
      </c>
      <c r="K220">
        <f>COUNTIFS(RawData[Item], B220,RawData[Quantity],C220,RawData[Price Per Unit],D220,RawData[Total Spent],E220,RawData[Payment Method],F220,RawData[Location],G220,RawData[Transaction Date],H220)</f>
        <v>1</v>
      </c>
      <c r="L220"/>
    </row>
    <row r="221" spans="1:12" x14ac:dyDescent="0.3">
      <c r="A221" t="s">
        <v>227</v>
      </c>
      <c r="B221" t="s">
        <v>10011</v>
      </c>
      <c r="C221">
        <v>1</v>
      </c>
      <c r="D221">
        <v>5</v>
      </c>
      <c r="E221">
        <v>5</v>
      </c>
      <c r="F221" t="s">
        <v>10069</v>
      </c>
      <c r="G221" t="s">
        <v>10104</v>
      </c>
      <c r="H221" s="6">
        <v>44940</v>
      </c>
      <c r="I221">
        <f t="shared" si="6"/>
        <v>1</v>
      </c>
      <c r="J221" t="str">
        <f t="shared" si="7"/>
        <v>Complete</v>
      </c>
      <c r="K221">
        <f>COUNTIFS(RawData[Item], B221,RawData[Quantity],C221,RawData[Price Per Unit],D221,RawData[Total Spent],E221,RawData[Payment Method],F221,RawData[Location],G221,RawData[Transaction Date],H221)</f>
        <v>1</v>
      </c>
      <c r="L221"/>
    </row>
    <row r="222" spans="1:12" x14ac:dyDescent="0.3">
      <c r="A222" t="s">
        <v>228</v>
      </c>
      <c r="B222" t="s">
        <v>10008</v>
      </c>
      <c r="C222">
        <v>4</v>
      </c>
      <c r="D222">
        <v>2</v>
      </c>
      <c r="E222">
        <v>8</v>
      </c>
      <c r="F222" t="s">
        <v>10020</v>
      </c>
      <c r="G222" t="s">
        <v>10102</v>
      </c>
      <c r="H222" s="6">
        <v>44986</v>
      </c>
      <c r="I222">
        <f t="shared" si="6"/>
        <v>0</v>
      </c>
      <c r="J222" t="str">
        <f t="shared" si="7"/>
        <v>Complete</v>
      </c>
      <c r="K222">
        <f>COUNTIFS(RawData[Item], B222,RawData[Quantity],C222,RawData[Price Per Unit],D222,RawData[Total Spent],E222,RawData[Payment Method],F222,RawData[Location],G222,RawData[Transaction Date],H222)</f>
        <v>1</v>
      </c>
      <c r="L222"/>
    </row>
    <row r="223" spans="1:12" x14ac:dyDescent="0.3">
      <c r="A223" t="s">
        <v>229</v>
      </c>
      <c r="B223" t="s">
        <v>10009</v>
      </c>
      <c r="C223">
        <v>3</v>
      </c>
      <c r="D223">
        <v>3</v>
      </c>
      <c r="E223">
        <v>9</v>
      </c>
      <c r="F223" t="s">
        <v>10018</v>
      </c>
      <c r="G223" t="s">
        <v>10102</v>
      </c>
      <c r="H223" s="6">
        <v>45243</v>
      </c>
      <c r="I223">
        <f t="shared" si="6"/>
        <v>0</v>
      </c>
      <c r="J223" t="str">
        <f t="shared" si="7"/>
        <v>Complete</v>
      </c>
      <c r="K223">
        <f>COUNTIFS(RawData[Item], B223,RawData[Quantity],C223,RawData[Price Per Unit],D223,RawData[Total Spent],E223,RawData[Payment Method],F223,RawData[Location],G223,RawData[Transaction Date],H223)</f>
        <v>1</v>
      </c>
      <c r="L223"/>
    </row>
    <row r="224" spans="1:12" x14ac:dyDescent="0.3">
      <c r="A224" t="s">
        <v>230</v>
      </c>
      <c r="B224" t="s">
        <v>10010</v>
      </c>
      <c r="C224">
        <v>2</v>
      </c>
      <c r="D224">
        <v>1</v>
      </c>
      <c r="E224">
        <v>2</v>
      </c>
      <c r="F224" t="s">
        <v>10020</v>
      </c>
      <c r="G224" t="s">
        <v>10069</v>
      </c>
      <c r="H224" s="6">
        <v>45116</v>
      </c>
      <c r="I224">
        <f t="shared" si="6"/>
        <v>0</v>
      </c>
      <c r="J224" t="str">
        <f t="shared" si="7"/>
        <v>Complete</v>
      </c>
      <c r="K224">
        <f>COUNTIFS(RawData[Item], B224,RawData[Quantity],C224,RawData[Price Per Unit],D224,RawData[Total Spent],E224,RawData[Payment Method],F224,RawData[Location],G224,RawData[Transaction Date],H224)</f>
        <v>1</v>
      </c>
      <c r="L224"/>
    </row>
    <row r="225" spans="1:12" x14ac:dyDescent="0.3">
      <c r="A225" t="s">
        <v>231</v>
      </c>
      <c r="B225" t="s">
        <v>10011</v>
      </c>
      <c r="C225">
        <v>2</v>
      </c>
      <c r="D225">
        <v>5</v>
      </c>
      <c r="E225">
        <v>10</v>
      </c>
      <c r="F225" t="s">
        <v>10018</v>
      </c>
      <c r="G225" t="s">
        <v>10069</v>
      </c>
      <c r="H225" s="6">
        <v>45059</v>
      </c>
      <c r="I225">
        <f t="shared" si="6"/>
        <v>0</v>
      </c>
      <c r="J225" t="str">
        <f t="shared" si="7"/>
        <v>Complete</v>
      </c>
      <c r="K225">
        <f>COUNTIFS(RawData[Item], B225,RawData[Quantity],C225,RawData[Price Per Unit],D225,RawData[Total Spent],E225,RawData[Payment Method],F225,RawData[Location],G225,RawData[Transaction Date],H225)</f>
        <v>1</v>
      </c>
      <c r="L225"/>
    </row>
    <row r="226" spans="1:12" x14ac:dyDescent="0.3">
      <c r="A226" t="s">
        <v>232</v>
      </c>
      <c r="B226" t="s">
        <v>10010</v>
      </c>
      <c r="C226">
        <v>1</v>
      </c>
      <c r="D226">
        <v>1</v>
      </c>
      <c r="E226">
        <v>1</v>
      </c>
      <c r="F226" t="s">
        <v>10019</v>
      </c>
      <c r="G226" t="s">
        <v>10102</v>
      </c>
      <c r="H226" s="6" t="s">
        <v>10112</v>
      </c>
      <c r="I226">
        <f t="shared" si="6"/>
        <v>1</v>
      </c>
      <c r="J226" t="str">
        <f t="shared" si="7"/>
        <v>Incomplete</v>
      </c>
      <c r="K226">
        <f>COUNTIFS(RawData[Item], B226,RawData[Quantity],C226,RawData[Price Per Unit],D226,RawData[Total Spent],E226,RawData[Payment Method],F226,RawData[Location],G226,RawData[Transaction Date],H226)</f>
        <v>2</v>
      </c>
      <c r="L226"/>
    </row>
    <row r="227" spans="1:12" x14ac:dyDescent="0.3">
      <c r="A227" t="s">
        <v>233</v>
      </c>
      <c r="B227" t="s">
        <v>10011</v>
      </c>
      <c r="C227">
        <v>1</v>
      </c>
      <c r="D227">
        <v>5</v>
      </c>
      <c r="E227">
        <v>5</v>
      </c>
      <c r="F227" t="s">
        <v>10020</v>
      </c>
      <c r="G227" t="s">
        <v>10021</v>
      </c>
      <c r="H227" s="6">
        <v>45287</v>
      </c>
      <c r="I227">
        <f t="shared" si="6"/>
        <v>0</v>
      </c>
      <c r="J227" t="str">
        <f t="shared" si="7"/>
        <v>Complete</v>
      </c>
      <c r="K227">
        <f>COUNTIFS(RawData[Item], B227,RawData[Quantity],C227,RawData[Price Per Unit],D227,RawData[Total Spent],E227,RawData[Payment Method],F227,RawData[Location],G227,RawData[Transaction Date],H227)</f>
        <v>1</v>
      </c>
      <c r="L227"/>
    </row>
    <row r="228" spans="1:12" x14ac:dyDescent="0.3">
      <c r="A228" t="s">
        <v>234</v>
      </c>
      <c r="B228" t="s">
        <v>10010</v>
      </c>
      <c r="C228">
        <v>5</v>
      </c>
      <c r="D228">
        <v>1</v>
      </c>
      <c r="E228">
        <v>5</v>
      </c>
      <c r="F228" t="s">
        <v>10020</v>
      </c>
      <c r="G228" t="s">
        <v>10021</v>
      </c>
      <c r="H228" s="6">
        <v>45064</v>
      </c>
      <c r="I228">
        <f t="shared" si="6"/>
        <v>0</v>
      </c>
      <c r="J228" t="str">
        <f t="shared" si="7"/>
        <v>Complete</v>
      </c>
      <c r="K228">
        <f>COUNTIFS(RawData[Item], B228,RawData[Quantity],C228,RawData[Price Per Unit],D228,RawData[Total Spent],E228,RawData[Payment Method],F228,RawData[Location],G228,RawData[Transaction Date],H228)</f>
        <v>1</v>
      </c>
      <c r="L228"/>
    </row>
    <row r="229" spans="1:12" x14ac:dyDescent="0.3">
      <c r="A229" t="s">
        <v>235</v>
      </c>
      <c r="B229" t="s">
        <v>10013</v>
      </c>
      <c r="C229">
        <v>3</v>
      </c>
      <c r="D229">
        <v>4</v>
      </c>
      <c r="E229">
        <v>12</v>
      </c>
      <c r="F229" t="s">
        <v>10069</v>
      </c>
      <c r="G229" t="s">
        <v>10069</v>
      </c>
      <c r="H229" s="6">
        <v>45020</v>
      </c>
      <c r="I229">
        <f t="shared" si="6"/>
        <v>1</v>
      </c>
      <c r="J229" t="str">
        <f t="shared" si="7"/>
        <v>Complete</v>
      </c>
      <c r="K229">
        <f>COUNTIFS(RawData[Item], B229,RawData[Quantity],C229,RawData[Price Per Unit],D229,RawData[Total Spent],E229,RawData[Payment Method],F229,RawData[Location],G229,RawData[Transaction Date],H229)</f>
        <v>1</v>
      </c>
      <c r="L229"/>
    </row>
    <row r="230" spans="1:12" x14ac:dyDescent="0.3">
      <c r="A230" t="s">
        <v>236</v>
      </c>
      <c r="B230" t="s">
        <v>10009</v>
      </c>
      <c r="C230">
        <v>1</v>
      </c>
      <c r="D230" t="s">
        <v>10013</v>
      </c>
      <c r="E230">
        <v>3</v>
      </c>
      <c r="F230" t="s">
        <v>10019</v>
      </c>
      <c r="G230" t="s">
        <v>10021</v>
      </c>
      <c r="H230" s="6">
        <v>44943</v>
      </c>
      <c r="I230">
        <f t="shared" si="6"/>
        <v>1</v>
      </c>
      <c r="J230" t="str">
        <f t="shared" si="7"/>
        <v>Complete</v>
      </c>
      <c r="K230">
        <f>COUNTIFS(RawData[Item], B230,RawData[Quantity],C230,RawData[Price Per Unit],D230,RawData[Total Spent],E230,RawData[Payment Method],F230,RawData[Location],G230,RawData[Transaction Date],H230)</f>
        <v>1</v>
      </c>
      <c r="L230"/>
    </row>
    <row r="231" spans="1:12" x14ac:dyDescent="0.3">
      <c r="A231" t="s">
        <v>237</v>
      </c>
      <c r="B231" t="s">
        <v>10009</v>
      </c>
      <c r="C231">
        <v>5</v>
      </c>
      <c r="D231">
        <v>3</v>
      </c>
      <c r="E231">
        <v>15</v>
      </c>
      <c r="F231" t="s">
        <v>10069</v>
      </c>
      <c r="G231" t="s">
        <v>10102</v>
      </c>
      <c r="H231" s="6">
        <v>45121</v>
      </c>
      <c r="I231">
        <f t="shared" si="6"/>
        <v>0</v>
      </c>
      <c r="J231" t="str">
        <f t="shared" si="7"/>
        <v>Complete</v>
      </c>
      <c r="K231">
        <f>COUNTIFS(RawData[Item], B231,RawData[Quantity],C231,RawData[Price Per Unit],D231,RawData[Total Spent],E231,RawData[Payment Method],F231,RawData[Location],G231,RawData[Transaction Date],H231)</f>
        <v>1</v>
      </c>
      <c r="L231"/>
    </row>
    <row r="232" spans="1:12" x14ac:dyDescent="0.3">
      <c r="A232" t="s">
        <v>238</v>
      </c>
      <c r="B232" t="s">
        <v>10011</v>
      </c>
      <c r="C232">
        <v>1</v>
      </c>
      <c r="D232">
        <v>5</v>
      </c>
      <c r="E232">
        <v>5</v>
      </c>
      <c r="F232" t="s">
        <v>10018</v>
      </c>
      <c r="G232" t="s">
        <v>10104</v>
      </c>
      <c r="H232" s="6">
        <v>45014</v>
      </c>
      <c r="I232">
        <f t="shared" si="6"/>
        <v>1</v>
      </c>
      <c r="J232" t="str">
        <f t="shared" si="7"/>
        <v>Complete</v>
      </c>
      <c r="K232">
        <f>COUNTIFS(RawData[Item], B232,RawData[Quantity],C232,RawData[Price Per Unit],D232,RawData[Total Spent],E232,RawData[Payment Method],F232,RawData[Location],G232,RawData[Transaction Date],H232)</f>
        <v>1</v>
      </c>
      <c r="L232"/>
    </row>
    <row r="233" spans="1:12" x14ac:dyDescent="0.3">
      <c r="A233" t="s">
        <v>239</v>
      </c>
      <c r="B233" t="s">
        <v>10009</v>
      </c>
      <c r="C233">
        <v>4</v>
      </c>
      <c r="D233">
        <v>3</v>
      </c>
      <c r="E233">
        <v>12</v>
      </c>
      <c r="F233" t="s">
        <v>10020</v>
      </c>
      <c r="G233" t="s">
        <v>10021</v>
      </c>
      <c r="H233" s="6">
        <v>45191</v>
      </c>
      <c r="I233">
        <f t="shared" si="6"/>
        <v>0</v>
      </c>
      <c r="J233" t="str">
        <f t="shared" si="7"/>
        <v>Complete</v>
      </c>
      <c r="K233">
        <f>COUNTIFS(RawData[Item], B233,RawData[Quantity],C233,RawData[Price Per Unit],D233,RawData[Total Spent],E233,RawData[Payment Method],F233,RawData[Location],G233,RawData[Transaction Date],H233)</f>
        <v>1</v>
      </c>
      <c r="L233"/>
    </row>
    <row r="234" spans="1:12" x14ac:dyDescent="0.3">
      <c r="A234" t="s">
        <v>240</v>
      </c>
      <c r="B234" t="s">
        <v>10017</v>
      </c>
      <c r="C234">
        <v>3</v>
      </c>
      <c r="D234">
        <v>1.5</v>
      </c>
      <c r="E234">
        <v>4.5</v>
      </c>
      <c r="F234" t="s">
        <v>10104</v>
      </c>
      <c r="G234" t="s">
        <v>10069</v>
      </c>
      <c r="H234" s="6">
        <v>45199</v>
      </c>
      <c r="I234">
        <f t="shared" si="6"/>
        <v>1</v>
      </c>
      <c r="J234" t="str">
        <f t="shared" si="7"/>
        <v>Complete</v>
      </c>
      <c r="K234">
        <f>COUNTIFS(RawData[Item], B234,RawData[Quantity],C234,RawData[Price Per Unit],D234,RawData[Total Spent],E234,RawData[Payment Method],F234,RawData[Location],G234,RawData[Transaction Date],H234)</f>
        <v>1</v>
      </c>
      <c r="L234"/>
    </row>
    <row r="235" spans="1:12" x14ac:dyDescent="0.3">
      <c r="A235" t="s">
        <v>241</v>
      </c>
      <c r="B235" t="s">
        <v>10009</v>
      </c>
      <c r="C235">
        <v>4</v>
      </c>
      <c r="D235">
        <v>3</v>
      </c>
      <c r="E235">
        <v>12</v>
      </c>
      <c r="F235" t="s">
        <v>10020</v>
      </c>
      <c r="G235" t="s">
        <v>10104</v>
      </c>
      <c r="H235" s="6">
        <v>45160</v>
      </c>
      <c r="I235">
        <f t="shared" si="6"/>
        <v>1</v>
      </c>
      <c r="J235" t="str">
        <f t="shared" si="7"/>
        <v>Complete</v>
      </c>
      <c r="K235">
        <f>COUNTIFS(RawData[Item], B235,RawData[Quantity],C235,RawData[Price Per Unit],D235,RawData[Total Spent],E235,RawData[Payment Method],F235,RawData[Location],G235,RawData[Transaction Date],H235)</f>
        <v>1</v>
      </c>
      <c r="L235"/>
    </row>
    <row r="236" spans="1:12" x14ac:dyDescent="0.3">
      <c r="A236" t="s">
        <v>242</v>
      </c>
      <c r="B236" t="s">
        <v>10012</v>
      </c>
      <c r="C236">
        <v>1</v>
      </c>
      <c r="D236">
        <v>4</v>
      </c>
      <c r="E236">
        <v>4</v>
      </c>
      <c r="F236" t="s">
        <v>10018</v>
      </c>
      <c r="G236" t="s">
        <v>10104</v>
      </c>
      <c r="H236" s="6">
        <v>45134</v>
      </c>
      <c r="I236">
        <f t="shared" si="6"/>
        <v>1</v>
      </c>
      <c r="J236" t="str">
        <f t="shared" si="7"/>
        <v>Complete</v>
      </c>
      <c r="K236">
        <f>COUNTIFS(RawData[Item], B236,RawData[Quantity],C236,RawData[Price Per Unit],D236,RawData[Total Spent],E236,RawData[Payment Method],F236,RawData[Location],G236,RawData[Transaction Date],H236)</f>
        <v>1</v>
      </c>
      <c r="L236"/>
    </row>
    <row r="237" spans="1:12" x14ac:dyDescent="0.3">
      <c r="A237" t="s">
        <v>243</v>
      </c>
      <c r="B237" t="s">
        <v>10015</v>
      </c>
      <c r="C237">
        <v>1</v>
      </c>
      <c r="D237">
        <v>4</v>
      </c>
      <c r="E237">
        <v>4</v>
      </c>
      <c r="F237" t="s">
        <v>10020</v>
      </c>
      <c r="G237" t="s">
        <v>10102</v>
      </c>
      <c r="H237" s="6">
        <v>45290</v>
      </c>
      <c r="I237">
        <f t="shared" si="6"/>
        <v>1</v>
      </c>
      <c r="J237" t="str">
        <f t="shared" si="7"/>
        <v>Complete</v>
      </c>
      <c r="K237">
        <f>COUNTIFS(RawData[Item], B237,RawData[Quantity],C237,RawData[Price Per Unit],D237,RawData[Total Spent],E237,RawData[Payment Method],F237,RawData[Location],G237,RawData[Transaction Date],H237)</f>
        <v>1</v>
      </c>
      <c r="L237"/>
    </row>
    <row r="238" spans="1:12" x14ac:dyDescent="0.3">
      <c r="A238" t="s">
        <v>244</v>
      </c>
      <c r="B238" t="s">
        <v>10011</v>
      </c>
      <c r="C238" t="s">
        <v>10015</v>
      </c>
      <c r="D238">
        <v>5</v>
      </c>
      <c r="E238" t="s">
        <v>10013</v>
      </c>
      <c r="F238" t="s">
        <v>10069</v>
      </c>
      <c r="G238" t="s">
        <v>10102</v>
      </c>
      <c r="H238" s="6">
        <v>45064</v>
      </c>
      <c r="I238">
        <f t="shared" si="6"/>
        <v>2</v>
      </c>
      <c r="J238" t="str">
        <f t="shared" si="7"/>
        <v>Complete</v>
      </c>
      <c r="K238">
        <f>COUNTIFS(RawData[Item], B238,RawData[Quantity],C238,RawData[Price Per Unit],D238,RawData[Total Spent],E238,RawData[Payment Method],F238,RawData[Location],G238,RawData[Transaction Date],H238)</f>
        <v>1</v>
      </c>
      <c r="L238"/>
    </row>
    <row r="239" spans="1:12" x14ac:dyDescent="0.3">
      <c r="A239" t="s">
        <v>245</v>
      </c>
      <c r="B239" t="s">
        <v>10008</v>
      </c>
      <c r="C239">
        <v>4</v>
      </c>
      <c r="D239">
        <v>2</v>
      </c>
      <c r="E239">
        <v>8</v>
      </c>
      <c r="F239" t="s">
        <v>10069</v>
      </c>
      <c r="G239" t="s">
        <v>10102</v>
      </c>
      <c r="H239" s="6">
        <v>45281</v>
      </c>
      <c r="I239">
        <f t="shared" si="6"/>
        <v>0</v>
      </c>
      <c r="J239" t="str">
        <f t="shared" si="7"/>
        <v>Complete</v>
      </c>
      <c r="K239">
        <f>COUNTIFS(RawData[Item], B239,RawData[Quantity],C239,RawData[Price Per Unit],D239,RawData[Total Spent],E239,RawData[Payment Method],F239,RawData[Location],G239,RawData[Transaction Date],H239)</f>
        <v>1</v>
      </c>
      <c r="L239"/>
    </row>
    <row r="240" spans="1:12" x14ac:dyDescent="0.3">
      <c r="A240" t="s">
        <v>246</v>
      </c>
      <c r="B240" t="s">
        <v>10014</v>
      </c>
      <c r="C240">
        <v>5</v>
      </c>
      <c r="D240">
        <v>4</v>
      </c>
      <c r="E240">
        <v>0</v>
      </c>
      <c r="F240" t="s">
        <v>10020</v>
      </c>
      <c r="G240" t="s">
        <v>10102</v>
      </c>
      <c r="H240" s="6">
        <v>45197</v>
      </c>
      <c r="I240">
        <f t="shared" si="6"/>
        <v>0</v>
      </c>
      <c r="J240" t="str">
        <f t="shared" si="7"/>
        <v>Complete</v>
      </c>
      <c r="K240">
        <f>COUNTIFS(RawData[Item], B240,RawData[Quantity],C240,RawData[Price Per Unit],D240,RawData[Total Spent],E240,RawData[Payment Method],F240,RawData[Location],G240,RawData[Transaction Date],H240)</f>
        <v>1</v>
      </c>
      <c r="L240"/>
    </row>
    <row r="241" spans="1:12" x14ac:dyDescent="0.3">
      <c r="A241" t="s">
        <v>247</v>
      </c>
      <c r="B241" t="s">
        <v>10011</v>
      </c>
      <c r="C241">
        <v>3</v>
      </c>
      <c r="D241">
        <v>0</v>
      </c>
      <c r="E241">
        <v>15</v>
      </c>
      <c r="F241" t="s">
        <v>10069</v>
      </c>
      <c r="G241" t="s">
        <v>10102</v>
      </c>
      <c r="H241" s="6">
        <v>45246</v>
      </c>
      <c r="I241">
        <f t="shared" si="6"/>
        <v>0</v>
      </c>
      <c r="J241" t="str">
        <f t="shared" si="7"/>
        <v>Complete</v>
      </c>
      <c r="K241">
        <f>COUNTIFS(RawData[Item], B241,RawData[Quantity],C241,RawData[Price Per Unit],D241,RawData[Total Spent],E241,RawData[Payment Method],F241,RawData[Location],G241,RawData[Transaction Date],H241)</f>
        <v>1</v>
      </c>
      <c r="L241"/>
    </row>
    <row r="242" spans="1:12" x14ac:dyDescent="0.3">
      <c r="A242" t="s">
        <v>248</v>
      </c>
      <c r="B242" t="s">
        <v>10016</v>
      </c>
      <c r="C242">
        <v>4</v>
      </c>
      <c r="D242">
        <v>3</v>
      </c>
      <c r="E242">
        <v>12</v>
      </c>
      <c r="F242" t="s">
        <v>10069</v>
      </c>
      <c r="G242" t="s">
        <v>10069</v>
      </c>
      <c r="H242" s="6">
        <v>45030</v>
      </c>
      <c r="I242">
        <f t="shared" si="6"/>
        <v>0</v>
      </c>
      <c r="J242" t="str">
        <f t="shared" si="7"/>
        <v>Complete</v>
      </c>
      <c r="K242">
        <f>COUNTIFS(RawData[Item], B242,RawData[Quantity],C242,RawData[Price Per Unit],D242,RawData[Total Spent],E242,RawData[Payment Method],F242,RawData[Location],G242,RawData[Transaction Date],H242)</f>
        <v>1</v>
      </c>
      <c r="L242"/>
    </row>
    <row r="243" spans="1:12" x14ac:dyDescent="0.3">
      <c r="A243" t="s">
        <v>249</v>
      </c>
      <c r="B243" t="s">
        <v>10015</v>
      </c>
      <c r="C243">
        <v>2</v>
      </c>
      <c r="D243">
        <v>1.5</v>
      </c>
      <c r="E243">
        <v>3</v>
      </c>
      <c r="F243" t="s">
        <v>10019</v>
      </c>
      <c r="G243" t="s">
        <v>10102</v>
      </c>
      <c r="H243" s="6">
        <v>44929</v>
      </c>
      <c r="I243">
        <f t="shared" si="6"/>
        <v>1</v>
      </c>
      <c r="J243" t="str">
        <f t="shared" si="7"/>
        <v>Complete</v>
      </c>
      <c r="K243">
        <f>COUNTIFS(RawData[Item], B243,RawData[Quantity],C243,RawData[Price Per Unit],D243,RawData[Total Spent],E243,RawData[Payment Method],F243,RawData[Location],G243,RawData[Transaction Date],H243)</f>
        <v>1</v>
      </c>
      <c r="L243"/>
    </row>
    <row r="244" spans="1:12" x14ac:dyDescent="0.3">
      <c r="A244" t="s">
        <v>250</v>
      </c>
      <c r="B244" t="s">
        <v>10017</v>
      </c>
      <c r="C244">
        <v>3</v>
      </c>
      <c r="D244">
        <v>1.5</v>
      </c>
      <c r="E244">
        <v>4.5</v>
      </c>
      <c r="F244" t="s">
        <v>10018</v>
      </c>
      <c r="G244" t="s">
        <v>10102</v>
      </c>
      <c r="H244" s="6">
        <v>45219</v>
      </c>
      <c r="I244">
        <f t="shared" si="6"/>
        <v>0</v>
      </c>
      <c r="J244" t="str">
        <f t="shared" si="7"/>
        <v>Complete</v>
      </c>
      <c r="K244">
        <f>COUNTIFS(RawData[Item], B244,RawData[Quantity],C244,RawData[Price Per Unit],D244,RawData[Total Spent],E244,RawData[Payment Method],F244,RawData[Location],G244,RawData[Transaction Date],H244)</f>
        <v>1</v>
      </c>
      <c r="L244"/>
    </row>
    <row r="245" spans="1:12" x14ac:dyDescent="0.3">
      <c r="A245" t="s">
        <v>251</v>
      </c>
      <c r="B245" t="s">
        <v>10008</v>
      </c>
      <c r="C245">
        <v>4</v>
      </c>
      <c r="D245">
        <v>2</v>
      </c>
      <c r="E245">
        <v>8</v>
      </c>
      <c r="F245" t="s">
        <v>10069</v>
      </c>
      <c r="G245" t="s">
        <v>10069</v>
      </c>
      <c r="H245" s="6">
        <v>44938</v>
      </c>
      <c r="I245">
        <f t="shared" si="6"/>
        <v>0</v>
      </c>
      <c r="J245" t="str">
        <f t="shared" si="7"/>
        <v>Complete</v>
      </c>
      <c r="K245">
        <f>COUNTIFS(RawData[Item], B245,RawData[Quantity],C245,RawData[Price Per Unit],D245,RawData[Total Spent],E245,RawData[Payment Method],F245,RawData[Location],G245,RawData[Transaction Date],H245)</f>
        <v>1</v>
      </c>
      <c r="L245"/>
    </row>
    <row r="246" spans="1:12" x14ac:dyDescent="0.3">
      <c r="A246" t="s">
        <v>252</v>
      </c>
      <c r="B246" t="s">
        <v>10014</v>
      </c>
      <c r="C246">
        <v>3</v>
      </c>
      <c r="D246">
        <v>4</v>
      </c>
      <c r="E246">
        <v>12</v>
      </c>
      <c r="F246" t="s">
        <v>10018</v>
      </c>
      <c r="G246" t="s">
        <v>10102</v>
      </c>
      <c r="H246" s="6">
        <v>45169</v>
      </c>
      <c r="I246">
        <f t="shared" si="6"/>
        <v>0</v>
      </c>
      <c r="J246" t="str">
        <f t="shared" si="7"/>
        <v>Complete</v>
      </c>
      <c r="K246">
        <f>COUNTIFS(RawData[Item], B246,RawData[Quantity],C246,RawData[Price Per Unit],D246,RawData[Total Spent],E246,RawData[Payment Method],F246,RawData[Location],G246,RawData[Transaction Date],H246)</f>
        <v>1</v>
      </c>
      <c r="L246"/>
    </row>
    <row r="247" spans="1:12" x14ac:dyDescent="0.3">
      <c r="A247" t="s">
        <v>253</v>
      </c>
      <c r="B247" t="s">
        <v>10016</v>
      </c>
      <c r="C247">
        <v>2</v>
      </c>
      <c r="D247">
        <v>3</v>
      </c>
      <c r="E247">
        <v>6</v>
      </c>
      <c r="F247" t="s">
        <v>10019</v>
      </c>
      <c r="G247" t="s">
        <v>10069</v>
      </c>
      <c r="H247" s="6">
        <v>45114</v>
      </c>
      <c r="I247">
        <f t="shared" si="6"/>
        <v>0</v>
      </c>
      <c r="J247" t="str">
        <f t="shared" si="7"/>
        <v>Complete</v>
      </c>
      <c r="K247">
        <f>COUNTIFS(RawData[Item], B247,RawData[Quantity],C247,RawData[Price Per Unit],D247,RawData[Total Spent],E247,RawData[Payment Method],F247,RawData[Location],G247,RawData[Transaction Date],H247)</f>
        <v>1</v>
      </c>
      <c r="L247"/>
    </row>
    <row r="248" spans="1:12" x14ac:dyDescent="0.3">
      <c r="A248" t="s">
        <v>254</v>
      </c>
      <c r="B248" t="s">
        <v>10017</v>
      </c>
      <c r="C248">
        <v>2</v>
      </c>
      <c r="D248">
        <v>1.5</v>
      </c>
      <c r="E248">
        <v>3</v>
      </c>
      <c r="F248" t="s">
        <v>10069</v>
      </c>
      <c r="G248" t="s">
        <v>10103</v>
      </c>
      <c r="H248" s="6" t="s">
        <v>10112</v>
      </c>
      <c r="I248">
        <f t="shared" si="6"/>
        <v>2</v>
      </c>
      <c r="J248" t="str">
        <f t="shared" si="7"/>
        <v>Incomplete</v>
      </c>
      <c r="K248">
        <f>COUNTIFS(RawData[Item], B248,RawData[Quantity],C248,RawData[Price Per Unit],D248,RawData[Total Spent],E248,RawData[Payment Method],F248,RawData[Location],G248,RawData[Transaction Date],H248)</f>
        <v>2</v>
      </c>
      <c r="L248"/>
    </row>
    <row r="249" spans="1:12" x14ac:dyDescent="0.3">
      <c r="A249" t="s">
        <v>255</v>
      </c>
      <c r="B249" t="s">
        <v>10069</v>
      </c>
      <c r="C249">
        <v>5</v>
      </c>
      <c r="D249">
        <v>1.5</v>
      </c>
      <c r="E249">
        <v>7.5</v>
      </c>
      <c r="F249" t="s">
        <v>10020</v>
      </c>
      <c r="G249" t="s">
        <v>10102</v>
      </c>
      <c r="H249" s="6">
        <v>45184</v>
      </c>
      <c r="I249">
        <f t="shared" si="6"/>
        <v>0</v>
      </c>
      <c r="J249" t="str">
        <f t="shared" si="7"/>
        <v>Complete</v>
      </c>
      <c r="K249">
        <f>COUNTIFS(RawData[Item], B249,RawData[Quantity],C249,RawData[Price Per Unit],D249,RawData[Total Spent],E249,RawData[Payment Method],F249,RawData[Location],G249,RawData[Transaction Date],H249)</f>
        <v>1</v>
      </c>
      <c r="L249"/>
    </row>
    <row r="250" spans="1:12" x14ac:dyDescent="0.3">
      <c r="A250" t="s">
        <v>256</v>
      </c>
      <c r="B250" t="s">
        <v>10009</v>
      </c>
      <c r="C250">
        <v>2</v>
      </c>
      <c r="D250">
        <v>3</v>
      </c>
      <c r="E250">
        <v>6</v>
      </c>
      <c r="F250" t="s">
        <v>10020</v>
      </c>
      <c r="G250" t="s">
        <v>10069</v>
      </c>
      <c r="H250" s="6">
        <v>45220</v>
      </c>
      <c r="I250">
        <f t="shared" si="6"/>
        <v>0</v>
      </c>
      <c r="J250" t="str">
        <f t="shared" si="7"/>
        <v>Complete</v>
      </c>
      <c r="K250">
        <f>COUNTIFS(RawData[Item], B250,RawData[Quantity],C250,RawData[Price Per Unit],D250,RawData[Total Spent],E250,RawData[Payment Method],F250,RawData[Location],G250,RawData[Transaction Date],H250)</f>
        <v>1</v>
      </c>
      <c r="L250"/>
    </row>
    <row r="251" spans="1:12" x14ac:dyDescent="0.3">
      <c r="A251" t="s">
        <v>257</v>
      </c>
      <c r="B251" t="s">
        <v>10015</v>
      </c>
      <c r="C251">
        <v>2</v>
      </c>
      <c r="D251">
        <v>3</v>
      </c>
      <c r="E251">
        <v>6</v>
      </c>
      <c r="F251" t="s">
        <v>10018</v>
      </c>
      <c r="G251" t="s">
        <v>10021</v>
      </c>
      <c r="H251" s="6">
        <v>45015</v>
      </c>
      <c r="I251">
        <f t="shared" si="6"/>
        <v>1</v>
      </c>
      <c r="J251" t="str">
        <f t="shared" si="7"/>
        <v>Complete</v>
      </c>
      <c r="K251">
        <f>COUNTIFS(RawData[Item], B251,RawData[Quantity],C251,RawData[Price Per Unit],D251,RawData[Total Spent],E251,RawData[Payment Method],F251,RawData[Location],G251,RawData[Transaction Date],H251)</f>
        <v>1</v>
      </c>
      <c r="L251"/>
    </row>
    <row r="252" spans="1:12" x14ac:dyDescent="0.3">
      <c r="A252" t="s">
        <v>258</v>
      </c>
      <c r="B252" t="s">
        <v>10016</v>
      </c>
      <c r="C252">
        <v>2</v>
      </c>
      <c r="D252">
        <v>3</v>
      </c>
      <c r="E252">
        <v>6</v>
      </c>
      <c r="F252" t="s">
        <v>10020</v>
      </c>
      <c r="G252" t="s">
        <v>10021</v>
      </c>
      <c r="H252" s="6">
        <v>45171</v>
      </c>
      <c r="I252">
        <f t="shared" si="6"/>
        <v>0</v>
      </c>
      <c r="J252" t="str">
        <f t="shared" si="7"/>
        <v>Complete</v>
      </c>
      <c r="K252">
        <f>COUNTIFS(RawData[Item], B252,RawData[Quantity],C252,RawData[Price Per Unit],D252,RawData[Total Spent],E252,RawData[Payment Method],F252,RawData[Location],G252,RawData[Transaction Date],H252)</f>
        <v>1</v>
      </c>
      <c r="L252"/>
    </row>
    <row r="253" spans="1:12" x14ac:dyDescent="0.3">
      <c r="A253" t="s">
        <v>259</v>
      </c>
      <c r="B253" t="s">
        <v>10011</v>
      </c>
      <c r="C253">
        <v>3</v>
      </c>
      <c r="D253">
        <v>5</v>
      </c>
      <c r="E253">
        <v>15</v>
      </c>
      <c r="F253" t="s">
        <v>10019</v>
      </c>
      <c r="G253" t="s">
        <v>10102</v>
      </c>
      <c r="H253" s="6">
        <v>45273</v>
      </c>
      <c r="I253">
        <f t="shared" si="6"/>
        <v>0</v>
      </c>
      <c r="J253" t="str">
        <f t="shared" si="7"/>
        <v>Complete</v>
      </c>
      <c r="K253">
        <f>COUNTIFS(RawData[Item], B253,RawData[Quantity],C253,RawData[Price Per Unit],D253,RawData[Total Spent],E253,RawData[Payment Method],F253,RawData[Location],G253,RawData[Transaction Date],H253)</f>
        <v>1</v>
      </c>
      <c r="L253"/>
    </row>
    <row r="254" spans="1:12" x14ac:dyDescent="0.3">
      <c r="A254" t="s">
        <v>260</v>
      </c>
      <c r="B254" t="s">
        <v>10010</v>
      </c>
      <c r="C254">
        <v>5</v>
      </c>
      <c r="D254">
        <v>1</v>
      </c>
      <c r="E254">
        <v>5</v>
      </c>
      <c r="F254" t="s">
        <v>10069</v>
      </c>
      <c r="G254" t="s">
        <v>10021</v>
      </c>
      <c r="H254" s="6" t="s">
        <v>10112</v>
      </c>
      <c r="I254">
        <f t="shared" si="6"/>
        <v>1</v>
      </c>
      <c r="J254" t="str">
        <f t="shared" si="7"/>
        <v>Incomplete</v>
      </c>
      <c r="K254">
        <f>COUNTIFS(RawData[Item], B254,RawData[Quantity],C254,RawData[Price Per Unit],D254,RawData[Total Spent],E254,RawData[Payment Method],F254,RawData[Location],G254,RawData[Transaction Date],H254)</f>
        <v>1</v>
      </c>
      <c r="L254"/>
    </row>
    <row r="255" spans="1:12" x14ac:dyDescent="0.3">
      <c r="A255" t="s">
        <v>261</v>
      </c>
      <c r="B255" t="s">
        <v>10017</v>
      </c>
      <c r="C255">
        <v>4</v>
      </c>
      <c r="D255">
        <v>1.5</v>
      </c>
      <c r="E255" t="s">
        <v>10015</v>
      </c>
      <c r="F255" t="s">
        <v>10103</v>
      </c>
      <c r="G255" t="s">
        <v>10102</v>
      </c>
      <c r="H255" s="6">
        <v>45121</v>
      </c>
      <c r="I255">
        <f t="shared" si="6"/>
        <v>2</v>
      </c>
      <c r="J255" t="str">
        <f t="shared" si="7"/>
        <v>Complete</v>
      </c>
      <c r="K255">
        <f>COUNTIFS(RawData[Item], B255,RawData[Quantity],C255,RawData[Price Per Unit],D255,RawData[Total Spent],E255,RawData[Payment Method],F255,RawData[Location],G255,RawData[Transaction Date],H255)</f>
        <v>1</v>
      </c>
      <c r="L255"/>
    </row>
    <row r="256" spans="1:12" x14ac:dyDescent="0.3">
      <c r="A256" t="s">
        <v>262</v>
      </c>
      <c r="B256" t="s">
        <v>10011</v>
      </c>
      <c r="C256">
        <v>1</v>
      </c>
      <c r="D256">
        <v>5</v>
      </c>
      <c r="E256">
        <v>5</v>
      </c>
      <c r="F256" t="s">
        <v>10019</v>
      </c>
      <c r="G256" t="s">
        <v>10102</v>
      </c>
      <c r="H256" s="6">
        <v>45056</v>
      </c>
      <c r="I256">
        <f t="shared" si="6"/>
        <v>0</v>
      </c>
      <c r="J256" t="str">
        <f t="shared" si="7"/>
        <v>Complete</v>
      </c>
      <c r="K256">
        <f>COUNTIFS(RawData[Item], B256,RawData[Quantity],C256,RawData[Price Per Unit],D256,RawData[Total Spent],E256,RawData[Payment Method],F256,RawData[Location],G256,RawData[Transaction Date],H256)</f>
        <v>1</v>
      </c>
      <c r="L256"/>
    </row>
    <row r="257" spans="1:12" x14ac:dyDescent="0.3">
      <c r="A257" t="s">
        <v>263</v>
      </c>
      <c r="B257" t="s">
        <v>10010</v>
      </c>
      <c r="C257">
        <v>2</v>
      </c>
      <c r="D257">
        <v>1</v>
      </c>
      <c r="E257">
        <v>2</v>
      </c>
      <c r="F257" t="s">
        <v>10020</v>
      </c>
      <c r="G257" t="s">
        <v>10021</v>
      </c>
      <c r="H257" s="6">
        <v>45157</v>
      </c>
      <c r="I257">
        <f t="shared" si="6"/>
        <v>0</v>
      </c>
      <c r="J257" t="str">
        <f t="shared" si="7"/>
        <v>Complete</v>
      </c>
      <c r="K257">
        <f>COUNTIFS(RawData[Item], B257,RawData[Quantity],C257,RawData[Price Per Unit],D257,RawData[Total Spent],E257,RawData[Payment Method],F257,RawData[Location],G257,RawData[Transaction Date],H257)</f>
        <v>1</v>
      </c>
      <c r="L257"/>
    </row>
    <row r="258" spans="1:12" x14ac:dyDescent="0.3">
      <c r="A258" t="s">
        <v>264</v>
      </c>
      <c r="B258" t="s">
        <v>10012</v>
      </c>
      <c r="C258">
        <v>5</v>
      </c>
      <c r="D258">
        <v>4</v>
      </c>
      <c r="E258">
        <v>20</v>
      </c>
      <c r="F258" t="s">
        <v>10018</v>
      </c>
      <c r="G258" t="s">
        <v>10021</v>
      </c>
      <c r="H258" s="6">
        <v>45016</v>
      </c>
      <c r="I258">
        <f t="shared" ref="I258:I321" si="8">(B258="Unknown")+(B258="Error")+(C258="Unknown")+(C258="Error")+(D258="Unknown")+(D258="Error")+(E258="Unknown")+(E258="Error")+(F258="Unknown")+(F258="Error")+(G258="Unknown")+(G258="Error")+(H258="No Date")</f>
        <v>0</v>
      </c>
      <c r="J258" t="str">
        <f t="shared" ref="J258:J321" si="9">IF((H258="No Date"),"Incomplete","Complete")</f>
        <v>Complete</v>
      </c>
      <c r="K258">
        <f>COUNTIFS(RawData[Item], B258,RawData[Quantity],C258,RawData[Price Per Unit],D258,RawData[Total Spent],E258,RawData[Payment Method],F258,RawData[Location],G258,RawData[Transaction Date],H258)</f>
        <v>1</v>
      </c>
      <c r="L258"/>
    </row>
    <row r="259" spans="1:12" x14ac:dyDescent="0.3">
      <c r="A259" t="s">
        <v>265</v>
      </c>
      <c r="B259" t="s">
        <v>10014</v>
      </c>
      <c r="C259">
        <v>2</v>
      </c>
      <c r="D259">
        <v>4</v>
      </c>
      <c r="E259">
        <v>8</v>
      </c>
      <c r="F259" t="s">
        <v>10019</v>
      </c>
      <c r="G259" t="s">
        <v>10021</v>
      </c>
      <c r="H259" s="6">
        <v>44932</v>
      </c>
      <c r="I259">
        <f t="shared" si="8"/>
        <v>0</v>
      </c>
      <c r="J259" t="str">
        <f t="shared" si="9"/>
        <v>Complete</v>
      </c>
      <c r="K259">
        <f>COUNTIFS(RawData[Item], B259,RawData[Quantity],C259,RawData[Price Per Unit],D259,RawData[Total Spent],E259,RawData[Payment Method],F259,RawData[Location],G259,RawData[Transaction Date],H259)</f>
        <v>1</v>
      </c>
      <c r="L259"/>
    </row>
    <row r="260" spans="1:12" x14ac:dyDescent="0.3">
      <c r="A260" t="s">
        <v>266</v>
      </c>
      <c r="B260" t="s">
        <v>10015</v>
      </c>
      <c r="C260">
        <v>3</v>
      </c>
      <c r="D260">
        <v>3</v>
      </c>
      <c r="E260">
        <v>9</v>
      </c>
      <c r="F260" t="s">
        <v>10019</v>
      </c>
      <c r="G260" t="s">
        <v>10069</v>
      </c>
      <c r="H260" s="6">
        <v>45201</v>
      </c>
      <c r="I260">
        <f t="shared" si="8"/>
        <v>1</v>
      </c>
      <c r="J260" t="str">
        <f t="shared" si="9"/>
        <v>Complete</v>
      </c>
      <c r="K260">
        <f>COUNTIFS(RawData[Item], B260,RawData[Quantity],C260,RawData[Price Per Unit],D260,RawData[Total Spent],E260,RawData[Payment Method],F260,RawData[Location],G260,RawData[Transaction Date],H260)</f>
        <v>1</v>
      </c>
      <c r="L260"/>
    </row>
    <row r="261" spans="1:12" x14ac:dyDescent="0.3">
      <c r="A261" t="s">
        <v>267</v>
      </c>
      <c r="B261" t="s">
        <v>10010</v>
      </c>
      <c r="C261">
        <v>4</v>
      </c>
      <c r="D261">
        <v>1</v>
      </c>
      <c r="E261" t="s">
        <v>10013</v>
      </c>
      <c r="F261" t="s">
        <v>10020</v>
      </c>
      <c r="G261" t="s">
        <v>10069</v>
      </c>
      <c r="H261" s="6" t="s">
        <v>10112</v>
      </c>
      <c r="I261">
        <f t="shared" si="8"/>
        <v>2</v>
      </c>
      <c r="J261" t="str">
        <f t="shared" si="9"/>
        <v>Incomplete</v>
      </c>
      <c r="K261">
        <f>COUNTIFS(RawData[Item], B261,RawData[Quantity],C261,RawData[Price Per Unit],D261,RawData[Total Spent],E261,RawData[Payment Method],F261,RawData[Location],G261,RawData[Transaction Date],H261)</f>
        <v>1</v>
      </c>
      <c r="L261"/>
    </row>
    <row r="262" spans="1:12" x14ac:dyDescent="0.3">
      <c r="A262" t="s">
        <v>268</v>
      </c>
      <c r="B262" t="s">
        <v>10014</v>
      </c>
      <c r="C262">
        <v>5</v>
      </c>
      <c r="D262">
        <v>4</v>
      </c>
      <c r="E262">
        <v>20</v>
      </c>
      <c r="F262" t="s">
        <v>10020</v>
      </c>
      <c r="G262" t="s">
        <v>10021</v>
      </c>
      <c r="H262" s="6">
        <v>45117</v>
      </c>
      <c r="I262">
        <f t="shared" si="8"/>
        <v>0</v>
      </c>
      <c r="J262" t="str">
        <f t="shared" si="9"/>
        <v>Complete</v>
      </c>
      <c r="K262">
        <f>COUNTIFS(RawData[Item], B262,RawData[Quantity],C262,RawData[Price Per Unit],D262,RawData[Total Spent],E262,RawData[Payment Method],F262,RawData[Location],G262,RawData[Transaction Date],H262)</f>
        <v>1</v>
      </c>
      <c r="L262"/>
    </row>
    <row r="263" spans="1:12" x14ac:dyDescent="0.3">
      <c r="A263" t="s">
        <v>269</v>
      </c>
      <c r="B263" t="s">
        <v>10011</v>
      </c>
      <c r="C263">
        <v>2</v>
      </c>
      <c r="D263">
        <v>5</v>
      </c>
      <c r="E263">
        <v>10</v>
      </c>
      <c r="F263" t="s">
        <v>10019</v>
      </c>
      <c r="G263" t="s">
        <v>10069</v>
      </c>
      <c r="H263" s="6">
        <v>45212</v>
      </c>
      <c r="I263">
        <f t="shared" si="8"/>
        <v>0</v>
      </c>
      <c r="J263" t="str">
        <f t="shared" si="9"/>
        <v>Complete</v>
      </c>
      <c r="K263">
        <f>COUNTIFS(RawData[Item], B263,RawData[Quantity],C263,RawData[Price Per Unit],D263,RawData[Total Spent],E263,RawData[Payment Method],F263,RawData[Location],G263,RawData[Transaction Date],H263)</f>
        <v>1</v>
      </c>
      <c r="L263"/>
    </row>
    <row r="264" spans="1:12" x14ac:dyDescent="0.3">
      <c r="A264" t="s">
        <v>270</v>
      </c>
      <c r="B264" t="s">
        <v>10017</v>
      </c>
      <c r="C264">
        <v>1</v>
      </c>
      <c r="D264">
        <v>1.5</v>
      </c>
      <c r="E264">
        <v>1.5</v>
      </c>
      <c r="F264" t="s">
        <v>10020</v>
      </c>
      <c r="G264" t="s">
        <v>10102</v>
      </c>
      <c r="H264" s="6">
        <v>45075</v>
      </c>
      <c r="I264">
        <f t="shared" si="8"/>
        <v>0</v>
      </c>
      <c r="J264" t="str">
        <f t="shared" si="9"/>
        <v>Complete</v>
      </c>
      <c r="K264">
        <f>COUNTIFS(RawData[Item], B264,RawData[Quantity],C264,RawData[Price Per Unit],D264,RawData[Total Spent],E264,RawData[Payment Method],F264,RawData[Location],G264,RawData[Transaction Date],H264)</f>
        <v>1</v>
      </c>
      <c r="L264"/>
    </row>
    <row r="265" spans="1:12" x14ac:dyDescent="0.3">
      <c r="A265" t="s">
        <v>271</v>
      </c>
      <c r="B265" t="s">
        <v>10012</v>
      </c>
      <c r="C265">
        <v>5</v>
      </c>
      <c r="D265">
        <v>4</v>
      </c>
      <c r="E265">
        <v>20</v>
      </c>
      <c r="F265" t="s">
        <v>10019</v>
      </c>
      <c r="G265" t="s">
        <v>10102</v>
      </c>
      <c r="H265" s="6">
        <v>45114</v>
      </c>
      <c r="I265">
        <f t="shared" si="8"/>
        <v>0</v>
      </c>
      <c r="J265" t="str">
        <f t="shared" si="9"/>
        <v>Complete</v>
      </c>
      <c r="K265">
        <f>COUNTIFS(RawData[Item], B265,RawData[Quantity],C265,RawData[Price Per Unit],D265,RawData[Total Spent],E265,RawData[Payment Method],F265,RawData[Location],G265,RawData[Transaction Date],H265)</f>
        <v>1</v>
      </c>
      <c r="L265"/>
    </row>
    <row r="266" spans="1:12" x14ac:dyDescent="0.3">
      <c r="A266" t="s">
        <v>272</v>
      </c>
      <c r="B266" t="s">
        <v>10014</v>
      </c>
      <c r="C266">
        <v>1</v>
      </c>
      <c r="D266">
        <v>4</v>
      </c>
      <c r="E266">
        <v>4</v>
      </c>
      <c r="F266" t="s">
        <v>10018</v>
      </c>
      <c r="G266" t="s">
        <v>10103</v>
      </c>
      <c r="H266" s="6">
        <v>45075</v>
      </c>
      <c r="I266">
        <f t="shared" si="8"/>
        <v>1</v>
      </c>
      <c r="J266" t="str">
        <f t="shared" si="9"/>
        <v>Complete</v>
      </c>
      <c r="K266">
        <f>COUNTIFS(RawData[Item], B266,RawData[Quantity],C266,RawData[Price Per Unit],D266,RawData[Total Spent],E266,RawData[Payment Method],F266,RawData[Location],G266,RawData[Transaction Date],H266)</f>
        <v>1</v>
      </c>
      <c r="L266"/>
    </row>
    <row r="267" spans="1:12" x14ac:dyDescent="0.3">
      <c r="A267" t="s">
        <v>273</v>
      </c>
      <c r="B267" t="s">
        <v>10014</v>
      </c>
      <c r="C267">
        <v>4</v>
      </c>
      <c r="D267">
        <v>4</v>
      </c>
      <c r="E267">
        <v>16</v>
      </c>
      <c r="F267" t="s">
        <v>10020</v>
      </c>
      <c r="G267" t="s">
        <v>10102</v>
      </c>
      <c r="H267" s="6">
        <v>45246</v>
      </c>
      <c r="I267">
        <f t="shared" si="8"/>
        <v>0</v>
      </c>
      <c r="J267" t="str">
        <f t="shared" si="9"/>
        <v>Complete</v>
      </c>
      <c r="K267">
        <f>COUNTIFS(RawData[Item], B267,RawData[Quantity],C267,RawData[Price Per Unit],D267,RawData[Total Spent],E267,RawData[Payment Method],F267,RawData[Location],G267,RawData[Transaction Date],H267)</f>
        <v>1</v>
      </c>
      <c r="L267"/>
    </row>
    <row r="268" spans="1:12" x14ac:dyDescent="0.3">
      <c r="A268" t="s">
        <v>274</v>
      </c>
      <c r="B268" t="s">
        <v>10014</v>
      </c>
      <c r="C268">
        <v>4</v>
      </c>
      <c r="D268">
        <v>4</v>
      </c>
      <c r="E268">
        <v>16</v>
      </c>
      <c r="F268" t="s">
        <v>10020</v>
      </c>
      <c r="G268" t="s">
        <v>10102</v>
      </c>
      <c r="H268" s="6">
        <v>44998</v>
      </c>
      <c r="I268">
        <f t="shared" si="8"/>
        <v>0</v>
      </c>
      <c r="J268" t="str">
        <f t="shared" si="9"/>
        <v>Complete</v>
      </c>
      <c r="K268">
        <f>COUNTIFS(RawData[Item], B268,RawData[Quantity],C268,RawData[Price Per Unit],D268,RawData[Total Spent],E268,RawData[Payment Method],F268,RawData[Location],G268,RawData[Transaction Date],H268)</f>
        <v>1</v>
      </c>
      <c r="L268"/>
    </row>
    <row r="269" spans="1:12" x14ac:dyDescent="0.3">
      <c r="A269" t="s">
        <v>275</v>
      </c>
      <c r="B269" t="s">
        <v>10009</v>
      </c>
      <c r="C269">
        <v>4</v>
      </c>
      <c r="D269">
        <v>3</v>
      </c>
      <c r="E269">
        <v>12</v>
      </c>
      <c r="F269" t="s">
        <v>10069</v>
      </c>
      <c r="G269" t="s">
        <v>10021</v>
      </c>
      <c r="H269" s="6">
        <v>45068</v>
      </c>
      <c r="I269">
        <f t="shared" si="8"/>
        <v>0</v>
      </c>
      <c r="J269" t="str">
        <f t="shared" si="9"/>
        <v>Complete</v>
      </c>
      <c r="K269">
        <f>COUNTIFS(RawData[Item], B269,RawData[Quantity],C269,RawData[Price Per Unit],D269,RawData[Total Spent],E269,RawData[Payment Method],F269,RawData[Location],G269,RawData[Transaction Date],H269)</f>
        <v>1</v>
      </c>
      <c r="L269"/>
    </row>
    <row r="270" spans="1:12" x14ac:dyDescent="0.3">
      <c r="A270" t="s">
        <v>276</v>
      </c>
      <c r="B270" t="s">
        <v>10009</v>
      </c>
      <c r="C270">
        <v>5</v>
      </c>
      <c r="D270">
        <v>3</v>
      </c>
      <c r="E270">
        <v>15</v>
      </c>
      <c r="F270" t="s">
        <v>10020</v>
      </c>
      <c r="G270" t="s">
        <v>10021</v>
      </c>
      <c r="H270" s="6">
        <v>45253</v>
      </c>
      <c r="I270">
        <f t="shared" si="8"/>
        <v>0</v>
      </c>
      <c r="J270" t="str">
        <f t="shared" si="9"/>
        <v>Complete</v>
      </c>
      <c r="K270">
        <f>COUNTIFS(RawData[Item], B270,RawData[Quantity],C270,RawData[Price Per Unit],D270,RawData[Total Spent],E270,RawData[Payment Method],F270,RawData[Location],G270,RawData[Transaction Date],H270)</f>
        <v>1</v>
      </c>
      <c r="L270"/>
    </row>
    <row r="271" spans="1:12" x14ac:dyDescent="0.3">
      <c r="A271" t="s">
        <v>277</v>
      </c>
      <c r="B271" t="s">
        <v>10069</v>
      </c>
      <c r="C271">
        <v>4</v>
      </c>
      <c r="D271">
        <v>3</v>
      </c>
      <c r="E271">
        <v>12</v>
      </c>
      <c r="F271" t="s">
        <v>10019</v>
      </c>
      <c r="G271" t="s">
        <v>10021</v>
      </c>
      <c r="H271" s="6">
        <v>45214</v>
      </c>
      <c r="I271">
        <f t="shared" si="8"/>
        <v>0</v>
      </c>
      <c r="J271" t="str">
        <f t="shared" si="9"/>
        <v>Complete</v>
      </c>
      <c r="K271">
        <f>COUNTIFS(RawData[Item], B271,RawData[Quantity],C271,RawData[Price Per Unit],D271,RawData[Total Spent],E271,RawData[Payment Method],F271,RawData[Location],G271,RawData[Transaction Date],H271)</f>
        <v>1</v>
      </c>
      <c r="L271"/>
    </row>
    <row r="272" spans="1:12" x14ac:dyDescent="0.3">
      <c r="A272" t="s">
        <v>278</v>
      </c>
      <c r="B272" t="s">
        <v>10012</v>
      </c>
      <c r="C272">
        <v>5</v>
      </c>
      <c r="D272">
        <v>4</v>
      </c>
      <c r="E272">
        <v>20</v>
      </c>
      <c r="F272" t="s">
        <v>10018</v>
      </c>
      <c r="G272" t="s">
        <v>10021</v>
      </c>
      <c r="H272" s="6">
        <v>45233</v>
      </c>
      <c r="I272">
        <f t="shared" si="8"/>
        <v>0</v>
      </c>
      <c r="J272" t="str">
        <f t="shared" si="9"/>
        <v>Complete</v>
      </c>
      <c r="K272">
        <f>COUNTIFS(RawData[Item], B272,RawData[Quantity],C272,RawData[Price Per Unit],D272,RawData[Total Spent],E272,RawData[Payment Method],F272,RawData[Location],G272,RawData[Transaction Date],H272)</f>
        <v>1</v>
      </c>
      <c r="L272"/>
    </row>
    <row r="273" spans="1:12" x14ac:dyDescent="0.3">
      <c r="A273" t="s">
        <v>279</v>
      </c>
      <c r="B273" t="s">
        <v>10014</v>
      </c>
      <c r="C273">
        <v>3</v>
      </c>
      <c r="D273">
        <v>4</v>
      </c>
      <c r="E273">
        <v>12</v>
      </c>
      <c r="F273" t="s">
        <v>10019</v>
      </c>
      <c r="G273" t="s">
        <v>10069</v>
      </c>
      <c r="H273" s="6">
        <v>45085</v>
      </c>
      <c r="I273">
        <f t="shared" si="8"/>
        <v>0</v>
      </c>
      <c r="J273" t="str">
        <f t="shared" si="9"/>
        <v>Complete</v>
      </c>
      <c r="K273">
        <f>COUNTIFS(RawData[Item], B273,RawData[Quantity],C273,RawData[Price Per Unit],D273,RawData[Total Spent],E273,RawData[Payment Method],F273,RawData[Location],G273,RawData[Transaction Date],H273)</f>
        <v>1</v>
      </c>
      <c r="L273"/>
    </row>
    <row r="274" spans="1:12" x14ac:dyDescent="0.3">
      <c r="A274" t="s">
        <v>280</v>
      </c>
      <c r="B274" t="s">
        <v>10011</v>
      </c>
      <c r="C274">
        <v>1</v>
      </c>
      <c r="D274">
        <v>5</v>
      </c>
      <c r="E274">
        <v>5</v>
      </c>
      <c r="F274" t="s">
        <v>10019</v>
      </c>
      <c r="G274" t="s">
        <v>10069</v>
      </c>
      <c r="H274" s="6">
        <v>45244</v>
      </c>
      <c r="I274">
        <f t="shared" si="8"/>
        <v>0</v>
      </c>
      <c r="J274" t="str">
        <f t="shared" si="9"/>
        <v>Complete</v>
      </c>
      <c r="K274">
        <f>COUNTIFS(RawData[Item], B274,RawData[Quantity],C274,RawData[Price Per Unit],D274,RawData[Total Spent],E274,RawData[Payment Method],F274,RawData[Location],G274,RawData[Transaction Date],H274)</f>
        <v>1</v>
      </c>
      <c r="L274"/>
    </row>
    <row r="275" spans="1:12" x14ac:dyDescent="0.3">
      <c r="A275" t="s">
        <v>281</v>
      </c>
      <c r="B275" t="s">
        <v>10010</v>
      </c>
      <c r="C275">
        <v>1</v>
      </c>
      <c r="D275">
        <v>1</v>
      </c>
      <c r="E275">
        <v>1</v>
      </c>
      <c r="F275" t="s">
        <v>10069</v>
      </c>
      <c r="G275" t="s">
        <v>10102</v>
      </c>
      <c r="H275" s="6">
        <v>45181</v>
      </c>
      <c r="I275">
        <f t="shared" si="8"/>
        <v>0</v>
      </c>
      <c r="J275" t="str">
        <f t="shared" si="9"/>
        <v>Complete</v>
      </c>
      <c r="K275">
        <f>COUNTIFS(RawData[Item], B275,RawData[Quantity],C275,RawData[Price Per Unit],D275,RawData[Total Spent],E275,RawData[Payment Method],F275,RawData[Location],G275,RawData[Transaction Date],H275)</f>
        <v>1</v>
      </c>
      <c r="L275"/>
    </row>
    <row r="276" spans="1:12" x14ac:dyDescent="0.3">
      <c r="A276" t="s">
        <v>282</v>
      </c>
      <c r="B276" t="s">
        <v>10014</v>
      </c>
      <c r="C276" t="s">
        <v>10013</v>
      </c>
      <c r="D276">
        <v>4</v>
      </c>
      <c r="E276">
        <v>16</v>
      </c>
      <c r="F276" t="s">
        <v>10069</v>
      </c>
      <c r="G276" t="s">
        <v>10102</v>
      </c>
      <c r="H276" s="6">
        <v>45256</v>
      </c>
      <c r="I276">
        <f t="shared" si="8"/>
        <v>1</v>
      </c>
      <c r="J276" t="str">
        <f t="shared" si="9"/>
        <v>Complete</v>
      </c>
      <c r="K276">
        <f>COUNTIFS(RawData[Item], B276,RawData[Quantity],C276,RawData[Price Per Unit],D276,RawData[Total Spent],E276,RawData[Payment Method],F276,RawData[Location],G276,RawData[Transaction Date],H276)</f>
        <v>1</v>
      </c>
      <c r="L276"/>
    </row>
    <row r="277" spans="1:12" x14ac:dyDescent="0.3">
      <c r="A277" t="s">
        <v>283</v>
      </c>
      <c r="B277" t="s">
        <v>10012</v>
      </c>
      <c r="C277">
        <v>1</v>
      </c>
      <c r="D277">
        <v>4</v>
      </c>
      <c r="E277">
        <v>4</v>
      </c>
      <c r="F277" t="s">
        <v>10069</v>
      </c>
      <c r="G277" t="s">
        <v>10069</v>
      </c>
      <c r="H277" s="6">
        <v>45212</v>
      </c>
      <c r="I277">
        <f t="shared" si="8"/>
        <v>0</v>
      </c>
      <c r="J277" t="str">
        <f t="shared" si="9"/>
        <v>Complete</v>
      </c>
      <c r="K277">
        <f>COUNTIFS(RawData[Item], B277,RawData[Quantity],C277,RawData[Price Per Unit],D277,RawData[Total Spent],E277,RawData[Payment Method],F277,RawData[Location],G277,RawData[Transaction Date],H277)</f>
        <v>1</v>
      </c>
      <c r="L277"/>
    </row>
    <row r="278" spans="1:12" x14ac:dyDescent="0.3">
      <c r="A278" t="s">
        <v>284</v>
      </c>
      <c r="B278" t="s">
        <v>10010</v>
      </c>
      <c r="C278">
        <v>2</v>
      </c>
      <c r="D278">
        <v>1</v>
      </c>
      <c r="E278">
        <v>2</v>
      </c>
      <c r="F278" t="s">
        <v>10069</v>
      </c>
      <c r="G278" t="s">
        <v>10021</v>
      </c>
      <c r="H278" s="6">
        <v>45233</v>
      </c>
      <c r="I278">
        <f t="shared" si="8"/>
        <v>0</v>
      </c>
      <c r="J278" t="str">
        <f t="shared" si="9"/>
        <v>Complete</v>
      </c>
      <c r="K278">
        <f>COUNTIFS(RawData[Item], B278,RawData[Quantity],C278,RawData[Price Per Unit],D278,RawData[Total Spent],E278,RawData[Payment Method],F278,RawData[Location],G278,RawData[Transaction Date],H278)</f>
        <v>1</v>
      </c>
      <c r="L278"/>
    </row>
    <row r="279" spans="1:12" x14ac:dyDescent="0.3">
      <c r="A279" t="s">
        <v>285</v>
      </c>
      <c r="B279" t="s">
        <v>10012</v>
      </c>
      <c r="C279">
        <v>5</v>
      </c>
      <c r="D279">
        <v>4</v>
      </c>
      <c r="E279">
        <v>20</v>
      </c>
      <c r="F279" t="s">
        <v>10018</v>
      </c>
      <c r="G279" t="s">
        <v>10069</v>
      </c>
      <c r="H279" s="6">
        <v>45243</v>
      </c>
      <c r="I279">
        <f t="shared" si="8"/>
        <v>0</v>
      </c>
      <c r="J279" t="str">
        <f t="shared" si="9"/>
        <v>Complete</v>
      </c>
      <c r="K279">
        <f>COUNTIFS(RawData[Item], B279,RawData[Quantity],C279,RawData[Price Per Unit],D279,RawData[Total Spent],E279,RawData[Payment Method],F279,RawData[Location],G279,RawData[Transaction Date],H279)</f>
        <v>1</v>
      </c>
      <c r="L279"/>
    </row>
    <row r="280" spans="1:12" x14ac:dyDescent="0.3">
      <c r="A280" t="s">
        <v>286</v>
      </c>
      <c r="B280" t="s">
        <v>10016</v>
      </c>
      <c r="C280" t="s">
        <v>10013</v>
      </c>
      <c r="D280">
        <v>3</v>
      </c>
      <c r="E280" t="s">
        <v>10013</v>
      </c>
      <c r="F280" t="s">
        <v>10019</v>
      </c>
      <c r="G280" t="s">
        <v>10021</v>
      </c>
      <c r="H280" s="6">
        <v>45031</v>
      </c>
      <c r="I280">
        <f t="shared" si="8"/>
        <v>2</v>
      </c>
      <c r="J280" t="str">
        <f t="shared" si="9"/>
        <v>Complete</v>
      </c>
      <c r="K280">
        <f>COUNTIFS(RawData[Item], B280,RawData[Quantity],C280,RawData[Price Per Unit],D280,RawData[Total Spent],E280,RawData[Payment Method],F280,RawData[Location],G280,RawData[Transaction Date],H280)</f>
        <v>1</v>
      </c>
      <c r="L280"/>
    </row>
    <row r="281" spans="1:12" x14ac:dyDescent="0.3">
      <c r="A281" t="s">
        <v>287</v>
      </c>
      <c r="B281" t="s">
        <v>10009</v>
      </c>
      <c r="C281">
        <v>1</v>
      </c>
      <c r="D281">
        <v>3</v>
      </c>
      <c r="E281">
        <v>3</v>
      </c>
      <c r="F281" t="s">
        <v>10019</v>
      </c>
      <c r="G281" t="s">
        <v>10069</v>
      </c>
      <c r="H281" s="6">
        <v>45277</v>
      </c>
      <c r="I281">
        <f t="shared" si="8"/>
        <v>0</v>
      </c>
      <c r="J281" t="str">
        <f t="shared" si="9"/>
        <v>Complete</v>
      </c>
      <c r="K281">
        <f>COUNTIFS(RawData[Item], B281,RawData[Quantity],C281,RawData[Price Per Unit],D281,RawData[Total Spent],E281,RawData[Payment Method],F281,RawData[Location],G281,RawData[Transaction Date],H281)</f>
        <v>1</v>
      </c>
      <c r="L281"/>
    </row>
    <row r="282" spans="1:12" x14ac:dyDescent="0.3">
      <c r="A282" t="s">
        <v>288</v>
      </c>
      <c r="B282" t="s">
        <v>10017</v>
      </c>
      <c r="C282">
        <v>5</v>
      </c>
      <c r="D282">
        <v>1.5</v>
      </c>
      <c r="E282" t="s">
        <v>10015</v>
      </c>
      <c r="F282" t="s">
        <v>10103</v>
      </c>
      <c r="G282" t="s">
        <v>10021</v>
      </c>
      <c r="H282" s="6">
        <v>44998</v>
      </c>
      <c r="I282">
        <f t="shared" si="8"/>
        <v>2</v>
      </c>
      <c r="J282" t="str">
        <f t="shared" si="9"/>
        <v>Complete</v>
      </c>
      <c r="K282">
        <f>COUNTIFS(RawData[Item], B282,RawData[Quantity],C282,RawData[Price Per Unit],D282,RawData[Total Spent],E282,RawData[Payment Method],F282,RawData[Location],G282,RawData[Transaction Date],H282)</f>
        <v>1</v>
      </c>
      <c r="L282"/>
    </row>
    <row r="283" spans="1:12" x14ac:dyDescent="0.3">
      <c r="A283" t="s">
        <v>289</v>
      </c>
      <c r="B283" t="s">
        <v>10015</v>
      </c>
      <c r="C283">
        <v>2</v>
      </c>
      <c r="D283">
        <v>2</v>
      </c>
      <c r="E283">
        <v>4</v>
      </c>
      <c r="F283" t="s">
        <v>10018</v>
      </c>
      <c r="G283" t="s">
        <v>10069</v>
      </c>
      <c r="H283" s="6">
        <v>45055</v>
      </c>
      <c r="I283">
        <f t="shared" si="8"/>
        <v>1</v>
      </c>
      <c r="J283" t="str">
        <f t="shared" si="9"/>
        <v>Complete</v>
      </c>
      <c r="K283">
        <f>COUNTIFS(RawData[Item], B283,RawData[Quantity],C283,RawData[Price Per Unit],D283,RawData[Total Spent],E283,RawData[Payment Method],F283,RawData[Location],G283,RawData[Transaction Date],H283)</f>
        <v>1</v>
      </c>
      <c r="L283"/>
    </row>
    <row r="284" spans="1:12" x14ac:dyDescent="0.3">
      <c r="A284" t="s">
        <v>290</v>
      </c>
      <c r="B284" t="s">
        <v>10012</v>
      </c>
      <c r="C284">
        <v>1</v>
      </c>
      <c r="D284">
        <v>4</v>
      </c>
      <c r="E284">
        <v>4</v>
      </c>
      <c r="F284" t="s">
        <v>10018</v>
      </c>
      <c r="G284" t="s">
        <v>10104</v>
      </c>
      <c r="H284" s="6">
        <v>45221</v>
      </c>
      <c r="I284">
        <f t="shared" si="8"/>
        <v>1</v>
      </c>
      <c r="J284" t="str">
        <f t="shared" si="9"/>
        <v>Complete</v>
      </c>
      <c r="K284">
        <f>COUNTIFS(RawData[Item], B284,RawData[Quantity],C284,RawData[Price Per Unit],D284,RawData[Total Spent],E284,RawData[Payment Method],F284,RawData[Location],G284,RawData[Transaction Date],H284)</f>
        <v>1</v>
      </c>
      <c r="L284"/>
    </row>
    <row r="285" spans="1:12" x14ac:dyDescent="0.3">
      <c r="A285" t="s">
        <v>291</v>
      </c>
      <c r="B285" t="s">
        <v>10015</v>
      </c>
      <c r="C285">
        <v>4</v>
      </c>
      <c r="D285">
        <v>1</v>
      </c>
      <c r="E285">
        <v>4</v>
      </c>
      <c r="F285" t="s">
        <v>10018</v>
      </c>
      <c r="G285" t="s">
        <v>10021</v>
      </c>
      <c r="H285" s="6">
        <v>45100</v>
      </c>
      <c r="I285">
        <f t="shared" si="8"/>
        <v>1</v>
      </c>
      <c r="J285" t="str">
        <f t="shared" si="9"/>
        <v>Complete</v>
      </c>
      <c r="K285">
        <f>COUNTIFS(RawData[Item], B285,RawData[Quantity],C285,RawData[Price Per Unit],D285,RawData[Total Spent],E285,RawData[Payment Method],F285,RawData[Location],G285,RawData[Transaction Date],H285)</f>
        <v>1</v>
      </c>
      <c r="L285"/>
    </row>
    <row r="286" spans="1:12" x14ac:dyDescent="0.3">
      <c r="A286" t="s">
        <v>292</v>
      </c>
      <c r="B286" t="s">
        <v>10010</v>
      </c>
      <c r="C286">
        <v>1</v>
      </c>
      <c r="D286">
        <v>1</v>
      </c>
      <c r="E286">
        <v>1</v>
      </c>
      <c r="F286" t="s">
        <v>10069</v>
      </c>
      <c r="G286" t="s">
        <v>10069</v>
      </c>
      <c r="H286" s="6">
        <v>45107</v>
      </c>
      <c r="I286">
        <f t="shared" si="8"/>
        <v>0</v>
      </c>
      <c r="J286" t="str">
        <f t="shared" si="9"/>
        <v>Complete</v>
      </c>
      <c r="K286">
        <f>COUNTIFS(RawData[Item], B286,RawData[Quantity],C286,RawData[Price Per Unit],D286,RawData[Total Spent],E286,RawData[Payment Method],F286,RawData[Location],G286,RawData[Transaction Date],H286)</f>
        <v>1</v>
      </c>
      <c r="L286"/>
    </row>
    <row r="287" spans="1:12" x14ac:dyDescent="0.3">
      <c r="A287" t="s">
        <v>293</v>
      </c>
      <c r="B287" t="s">
        <v>10014</v>
      </c>
      <c r="C287">
        <v>5</v>
      </c>
      <c r="D287">
        <v>4</v>
      </c>
      <c r="E287">
        <v>20</v>
      </c>
      <c r="F287" t="s">
        <v>10069</v>
      </c>
      <c r="G287" t="s">
        <v>10102</v>
      </c>
      <c r="H287" s="6">
        <v>45059</v>
      </c>
      <c r="I287">
        <f t="shared" si="8"/>
        <v>0</v>
      </c>
      <c r="J287" t="str">
        <f t="shared" si="9"/>
        <v>Complete</v>
      </c>
      <c r="K287">
        <f>COUNTIFS(RawData[Item], B287,RawData[Quantity],C287,RawData[Price Per Unit],D287,RawData[Total Spent],E287,RawData[Payment Method],F287,RawData[Location],G287,RawData[Transaction Date],H287)</f>
        <v>1</v>
      </c>
      <c r="L287"/>
    </row>
    <row r="288" spans="1:12" x14ac:dyDescent="0.3">
      <c r="A288" t="s">
        <v>294</v>
      </c>
      <c r="B288" t="s">
        <v>10016</v>
      </c>
      <c r="C288">
        <v>5</v>
      </c>
      <c r="D288">
        <v>3</v>
      </c>
      <c r="E288">
        <v>15</v>
      </c>
      <c r="F288" t="s">
        <v>10069</v>
      </c>
      <c r="G288" t="s">
        <v>10102</v>
      </c>
      <c r="H288" s="6" t="s">
        <v>10112</v>
      </c>
      <c r="I288">
        <f t="shared" si="8"/>
        <v>1</v>
      </c>
      <c r="J288" t="str">
        <f t="shared" si="9"/>
        <v>Incomplete</v>
      </c>
      <c r="K288">
        <f>COUNTIFS(RawData[Item], B288,RawData[Quantity],C288,RawData[Price Per Unit],D288,RawData[Total Spent],E288,RawData[Payment Method],F288,RawData[Location],G288,RawData[Transaction Date],H288)</f>
        <v>2</v>
      </c>
      <c r="L288"/>
    </row>
    <row r="289" spans="1:12" x14ac:dyDescent="0.3">
      <c r="A289" t="s">
        <v>295</v>
      </c>
      <c r="B289" t="s">
        <v>10008</v>
      </c>
      <c r="C289" t="s">
        <v>10013</v>
      </c>
      <c r="D289">
        <v>2</v>
      </c>
      <c r="E289">
        <v>8</v>
      </c>
      <c r="F289" t="s">
        <v>10019</v>
      </c>
      <c r="G289" t="s">
        <v>10069</v>
      </c>
      <c r="H289" s="6">
        <v>45041</v>
      </c>
      <c r="I289">
        <f t="shared" si="8"/>
        <v>1</v>
      </c>
      <c r="J289" t="str">
        <f t="shared" si="9"/>
        <v>Complete</v>
      </c>
      <c r="K289">
        <f>COUNTIFS(RawData[Item], B289,RawData[Quantity],C289,RawData[Price Per Unit],D289,RawData[Total Spent],E289,RawData[Payment Method],F289,RawData[Location],G289,RawData[Transaction Date],H289)</f>
        <v>1</v>
      </c>
      <c r="L289"/>
    </row>
    <row r="290" spans="1:12" x14ac:dyDescent="0.3">
      <c r="A290" t="s">
        <v>296</v>
      </c>
      <c r="B290" t="s">
        <v>10013</v>
      </c>
      <c r="C290">
        <v>3</v>
      </c>
      <c r="D290">
        <v>4</v>
      </c>
      <c r="E290">
        <v>12</v>
      </c>
      <c r="F290" t="s">
        <v>10069</v>
      </c>
      <c r="G290" t="s">
        <v>10021</v>
      </c>
      <c r="H290" s="6">
        <v>45073</v>
      </c>
      <c r="I290">
        <f t="shared" si="8"/>
        <v>1</v>
      </c>
      <c r="J290" t="str">
        <f t="shared" si="9"/>
        <v>Complete</v>
      </c>
      <c r="K290">
        <f>COUNTIFS(RawData[Item], B290,RawData[Quantity],C290,RawData[Price Per Unit],D290,RawData[Total Spent],E290,RawData[Payment Method],F290,RawData[Location],G290,RawData[Transaction Date],H290)</f>
        <v>1</v>
      </c>
      <c r="L290"/>
    </row>
    <row r="291" spans="1:12" x14ac:dyDescent="0.3">
      <c r="A291" t="s">
        <v>297</v>
      </c>
      <c r="B291" t="s">
        <v>10069</v>
      </c>
      <c r="C291">
        <v>4</v>
      </c>
      <c r="D291" t="s">
        <v>10015</v>
      </c>
      <c r="E291">
        <v>6</v>
      </c>
      <c r="F291" t="s">
        <v>10018</v>
      </c>
      <c r="G291" t="s">
        <v>10102</v>
      </c>
      <c r="H291" s="6">
        <v>44976</v>
      </c>
      <c r="I291">
        <f t="shared" si="8"/>
        <v>1</v>
      </c>
      <c r="J291" t="str">
        <f t="shared" si="9"/>
        <v>Complete</v>
      </c>
      <c r="K291">
        <f>COUNTIFS(RawData[Item], B291,RawData[Quantity],C291,RawData[Price Per Unit],D291,RawData[Total Spent],E291,RawData[Payment Method],F291,RawData[Location],G291,RawData[Transaction Date],H291)</f>
        <v>1</v>
      </c>
      <c r="L291"/>
    </row>
    <row r="292" spans="1:12" x14ac:dyDescent="0.3">
      <c r="A292" t="s">
        <v>298</v>
      </c>
      <c r="B292" t="s">
        <v>10017</v>
      </c>
      <c r="C292">
        <v>5</v>
      </c>
      <c r="D292">
        <v>1.5</v>
      </c>
      <c r="E292">
        <v>7.5</v>
      </c>
      <c r="F292" t="s">
        <v>10018</v>
      </c>
      <c r="G292" t="s">
        <v>10102</v>
      </c>
      <c r="H292" s="6">
        <v>45271</v>
      </c>
      <c r="I292">
        <f t="shared" si="8"/>
        <v>0</v>
      </c>
      <c r="J292" t="str">
        <f t="shared" si="9"/>
        <v>Complete</v>
      </c>
      <c r="K292">
        <f>COUNTIFS(RawData[Item], B292,RawData[Quantity],C292,RawData[Price Per Unit],D292,RawData[Total Spent],E292,RawData[Payment Method],F292,RawData[Location],G292,RawData[Transaction Date],H292)</f>
        <v>1</v>
      </c>
      <c r="L292"/>
    </row>
    <row r="293" spans="1:12" x14ac:dyDescent="0.3">
      <c r="A293" t="s">
        <v>299</v>
      </c>
      <c r="B293" t="s">
        <v>10012</v>
      </c>
      <c r="C293">
        <v>1</v>
      </c>
      <c r="D293">
        <v>4</v>
      </c>
      <c r="E293">
        <v>4</v>
      </c>
      <c r="F293" t="s">
        <v>10020</v>
      </c>
      <c r="G293" t="s">
        <v>10102</v>
      </c>
      <c r="H293" s="6">
        <v>45041</v>
      </c>
      <c r="I293">
        <f t="shared" si="8"/>
        <v>0</v>
      </c>
      <c r="J293" t="str">
        <f t="shared" si="9"/>
        <v>Complete</v>
      </c>
      <c r="K293">
        <f>COUNTIFS(RawData[Item], B293,RawData[Quantity],C293,RawData[Price Per Unit],D293,RawData[Total Spent],E293,RawData[Payment Method],F293,RawData[Location],G293,RawData[Transaction Date],H293)</f>
        <v>1</v>
      </c>
      <c r="L293"/>
    </row>
    <row r="294" spans="1:12" x14ac:dyDescent="0.3">
      <c r="A294" t="s">
        <v>300</v>
      </c>
      <c r="B294" t="s">
        <v>10017</v>
      </c>
      <c r="C294">
        <v>3</v>
      </c>
      <c r="D294">
        <v>1.5</v>
      </c>
      <c r="E294">
        <v>4.5</v>
      </c>
      <c r="F294" t="s">
        <v>10020</v>
      </c>
      <c r="G294" t="s">
        <v>10102</v>
      </c>
      <c r="H294" s="6">
        <v>45211</v>
      </c>
      <c r="I294">
        <f t="shared" si="8"/>
        <v>0</v>
      </c>
      <c r="J294" t="str">
        <f t="shared" si="9"/>
        <v>Complete</v>
      </c>
      <c r="K294">
        <f>COUNTIFS(RawData[Item], B294,RawData[Quantity],C294,RawData[Price Per Unit],D294,RawData[Total Spent],E294,RawData[Payment Method],F294,RawData[Location],G294,RawData[Transaction Date],H294)</f>
        <v>1</v>
      </c>
      <c r="L294"/>
    </row>
    <row r="295" spans="1:12" x14ac:dyDescent="0.3">
      <c r="A295" t="s">
        <v>301</v>
      </c>
      <c r="B295" t="s">
        <v>10008</v>
      </c>
      <c r="C295">
        <v>5</v>
      </c>
      <c r="D295">
        <v>2</v>
      </c>
      <c r="E295">
        <v>10</v>
      </c>
      <c r="F295" t="s">
        <v>10069</v>
      </c>
      <c r="G295" t="s">
        <v>10021</v>
      </c>
      <c r="H295" s="6">
        <v>45168</v>
      </c>
      <c r="I295">
        <f t="shared" si="8"/>
        <v>0</v>
      </c>
      <c r="J295" t="str">
        <f t="shared" si="9"/>
        <v>Complete</v>
      </c>
      <c r="K295">
        <f>COUNTIFS(RawData[Item], B295,RawData[Quantity],C295,RawData[Price Per Unit],D295,RawData[Total Spent],E295,RawData[Payment Method],F295,RawData[Location],G295,RawData[Transaction Date],H295)</f>
        <v>1</v>
      </c>
      <c r="L295"/>
    </row>
    <row r="296" spans="1:12" x14ac:dyDescent="0.3">
      <c r="A296" t="s">
        <v>302</v>
      </c>
      <c r="B296" t="s">
        <v>10009</v>
      </c>
      <c r="C296">
        <v>3</v>
      </c>
      <c r="D296">
        <v>3</v>
      </c>
      <c r="E296" t="s">
        <v>10015</v>
      </c>
      <c r="F296" t="s">
        <v>10020</v>
      </c>
      <c r="G296" t="s">
        <v>10021</v>
      </c>
      <c r="H296" s="6">
        <v>45220</v>
      </c>
      <c r="I296">
        <f t="shared" si="8"/>
        <v>1</v>
      </c>
      <c r="J296" t="str">
        <f t="shared" si="9"/>
        <v>Complete</v>
      </c>
      <c r="K296">
        <f>COUNTIFS(RawData[Item], B296,RawData[Quantity],C296,RawData[Price Per Unit],D296,RawData[Total Spent],E296,RawData[Payment Method],F296,RawData[Location],G296,RawData[Transaction Date],H296)</f>
        <v>1</v>
      </c>
      <c r="L296"/>
    </row>
    <row r="297" spans="1:12" x14ac:dyDescent="0.3">
      <c r="A297" t="s">
        <v>303</v>
      </c>
      <c r="B297" t="s">
        <v>10008</v>
      </c>
      <c r="C297">
        <v>3</v>
      </c>
      <c r="D297">
        <v>2</v>
      </c>
      <c r="E297">
        <v>6</v>
      </c>
      <c r="F297" t="s">
        <v>10018</v>
      </c>
      <c r="G297" t="s">
        <v>10069</v>
      </c>
      <c r="H297" s="6">
        <v>45232</v>
      </c>
      <c r="I297">
        <f t="shared" si="8"/>
        <v>0</v>
      </c>
      <c r="J297" t="str">
        <f t="shared" si="9"/>
        <v>Complete</v>
      </c>
      <c r="K297">
        <f>COUNTIFS(RawData[Item], B297,RawData[Quantity],C297,RawData[Price Per Unit],D297,RawData[Total Spent],E297,RawData[Payment Method],F297,RawData[Location],G297,RawData[Transaction Date],H297)</f>
        <v>1</v>
      </c>
      <c r="L297"/>
    </row>
    <row r="298" spans="1:12" x14ac:dyDescent="0.3">
      <c r="A298" t="s">
        <v>304</v>
      </c>
      <c r="B298" t="s">
        <v>10016</v>
      </c>
      <c r="C298">
        <v>1</v>
      </c>
      <c r="D298">
        <v>3</v>
      </c>
      <c r="E298">
        <v>3</v>
      </c>
      <c r="F298" t="s">
        <v>10019</v>
      </c>
      <c r="G298" t="s">
        <v>10103</v>
      </c>
      <c r="H298" s="6">
        <v>45188</v>
      </c>
      <c r="I298">
        <f t="shared" si="8"/>
        <v>1</v>
      </c>
      <c r="J298" t="str">
        <f t="shared" si="9"/>
        <v>Complete</v>
      </c>
      <c r="K298">
        <f>COUNTIFS(RawData[Item], B298,RawData[Quantity],C298,RawData[Price Per Unit],D298,RawData[Total Spent],E298,RawData[Payment Method],F298,RawData[Location],G298,RawData[Transaction Date],H298)</f>
        <v>1</v>
      </c>
      <c r="L298"/>
    </row>
    <row r="299" spans="1:12" x14ac:dyDescent="0.3">
      <c r="A299" t="s">
        <v>305</v>
      </c>
      <c r="B299" t="s">
        <v>10009</v>
      </c>
      <c r="C299">
        <v>3</v>
      </c>
      <c r="D299">
        <v>3</v>
      </c>
      <c r="E299">
        <v>9</v>
      </c>
      <c r="F299" t="s">
        <v>10019</v>
      </c>
      <c r="G299" t="s">
        <v>10021</v>
      </c>
      <c r="H299" s="6">
        <v>45111</v>
      </c>
      <c r="I299">
        <f t="shared" si="8"/>
        <v>0</v>
      </c>
      <c r="J299" t="str">
        <f t="shared" si="9"/>
        <v>Complete</v>
      </c>
      <c r="K299">
        <f>COUNTIFS(RawData[Item], B299,RawData[Quantity],C299,RawData[Price Per Unit],D299,RawData[Total Spent],E299,RawData[Payment Method],F299,RawData[Location],G299,RawData[Transaction Date],H299)</f>
        <v>1</v>
      </c>
      <c r="L299"/>
    </row>
    <row r="300" spans="1:12" x14ac:dyDescent="0.3">
      <c r="A300" t="s">
        <v>306</v>
      </c>
      <c r="B300" t="s">
        <v>10012</v>
      </c>
      <c r="C300">
        <v>1</v>
      </c>
      <c r="D300">
        <v>4</v>
      </c>
      <c r="E300">
        <v>4</v>
      </c>
      <c r="F300" t="s">
        <v>10020</v>
      </c>
      <c r="G300" t="s">
        <v>10069</v>
      </c>
      <c r="H300" s="6">
        <v>44954</v>
      </c>
      <c r="I300">
        <f t="shared" si="8"/>
        <v>0</v>
      </c>
      <c r="J300" t="str">
        <f t="shared" si="9"/>
        <v>Complete</v>
      </c>
      <c r="K300">
        <f>COUNTIFS(RawData[Item], B300,RawData[Quantity],C300,RawData[Price Per Unit],D300,RawData[Total Spent],E300,RawData[Payment Method],F300,RawData[Location],G300,RawData[Transaction Date],H300)</f>
        <v>1</v>
      </c>
      <c r="L300"/>
    </row>
    <row r="301" spans="1:12" x14ac:dyDescent="0.3">
      <c r="A301" t="s">
        <v>307</v>
      </c>
      <c r="B301" t="s">
        <v>10010</v>
      </c>
      <c r="C301">
        <v>2</v>
      </c>
      <c r="D301">
        <v>0</v>
      </c>
      <c r="E301">
        <v>2</v>
      </c>
      <c r="F301" t="s">
        <v>10019</v>
      </c>
      <c r="G301" t="s">
        <v>10102</v>
      </c>
      <c r="H301" s="6">
        <v>45203</v>
      </c>
      <c r="I301">
        <f t="shared" si="8"/>
        <v>0</v>
      </c>
      <c r="J301" t="str">
        <f t="shared" si="9"/>
        <v>Complete</v>
      </c>
      <c r="K301">
        <f>COUNTIFS(RawData[Item], B301,RawData[Quantity],C301,RawData[Price Per Unit],D301,RawData[Total Spent],E301,RawData[Payment Method],F301,RawData[Location],G301,RawData[Transaction Date],H301)</f>
        <v>1</v>
      </c>
      <c r="L301"/>
    </row>
    <row r="302" spans="1:12" x14ac:dyDescent="0.3">
      <c r="A302" t="s">
        <v>308</v>
      </c>
      <c r="B302" t="s">
        <v>10017</v>
      </c>
      <c r="C302">
        <v>2</v>
      </c>
      <c r="D302">
        <v>1.5</v>
      </c>
      <c r="E302">
        <v>3</v>
      </c>
      <c r="F302" t="s">
        <v>10019</v>
      </c>
      <c r="G302" t="s">
        <v>10021</v>
      </c>
      <c r="H302" s="6" t="s">
        <v>10112</v>
      </c>
      <c r="I302">
        <f t="shared" si="8"/>
        <v>1</v>
      </c>
      <c r="J302" t="str">
        <f t="shared" si="9"/>
        <v>Incomplete</v>
      </c>
      <c r="K302">
        <f>COUNTIFS(RawData[Item], B302,RawData[Quantity],C302,RawData[Price Per Unit],D302,RawData[Total Spent],E302,RawData[Payment Method],F302,RawData[Location],G302,RawData[Transaction Date],H302)</f>
        <v>3</v>
      </c>
      <c r="L302"/>
    </row>
    <row r="303" spans="1:12" x14ac:dyDescent="0.3">
      <c r="A303" t="s">
        <v>309</v>
      </c>
      <c r="B303" t="s">
        <v>10012</v>
      </c>
      <c r="C303">
        <v>3</v>
      </c>
      <c r="D303">
        <v>4</v>
      </c>
      <c r="E303">
        <v>12</v>
      </c>
      <c r="F303" t="s">
        <v>10018</v>
      </c>
      <c r="G303" t="s">
        <v>10102</v>
      </c>
      <c r="H303" s="6">
        <v>44983</v>
      </c>
      <c r="I303">
        <f t="shared" si="8"/>
        <v>0</v>
      </c>
      <c r="J303" t="str">
        <f t="shared" si="9"/>
        <v>Complete</v>
      </c>
      <c r="K303">
        <f>COUNTIFS(RawData[Item], B303,RawData[Quantity],C303,RawData[Price Per Unit],D303,RawData[Total Spent],E303,RawData[Payment Method],F303,RawData[Location],G303,RawData[Transaction Date],H303)</f>
        <v>1</v>
      </c>
      <c r="L303"/>
    </row>
    <row r="304" spans="1:12" x14ac:dyDescent="0.3">
      <c r="A304" t="s">
        <v>310</v>
      </c>
      <c r="B304" t="s">
        <v>10008</v>
      </c>
      <c r="C304">
        <v>2</v>
      </c>
      <c r="D304">
        <v>2</v>
      </c>
      <c r="E304">
        <v>4</v>
      </c>
      <c r="F304" t="s">
        <v>10069</v>
      </c>
      <c r="G304" t="s">
        <v>10021</v>
      </c>
      <c r="H304" s="6">
        <v>44941</v>
      </c>
      <c r="I304">
        <f t="shared" si="8"/>
        <v>0</v>
      </c>
      <c r="J304" t="str">
        <f t="shared" si="9"/>
        <v>Complete</v>
      </c>
      <c r="K304">
        <f>COUNTIFS(RawData[Item], B304,RawData[Quantity],C304,RawData[Price Per Unit],D304,RawData[Total Spent],E304,RawData[Payment Method],F304,RawData[Location],G304,RawData[Transaction Date],H304)</f>
        <v>1</v>
      </c>
      <c r="L304"/>
    </row>
    <row r="305" spans="1:12" x14ac:dyDescent="0.3">
      <c r="A305" t="s">
        <v>311</v>
      </c>
      <c r="B305" t="s">
        <v>10017</v>
      </c>
      <c r="C305">
        <v>3</v>
      </c>
      <c r="D305">
        <v>1.5</v>
      </c>
      <c r="E305">
        <v>4.5</v>
      </c>
      <c r="F305" t="s">
        <v>10020</v>
      </c>
      <c r="G305" t="s">
        <v>10102</v>
      </c>
      <c r="H305" s="6">
        <v>45064</v>
      </c>
      <c r="I305">
        <f t="shared" si="8"/>
        <v>0</v>
      </c>
      <c r="J305" t="str">
        <f t="shared" si="9"/>
        <v>Complete</v>
      </c>
      <c r="K305">
        <f>COUNTIFS(RawData[Item], B305,RawData[Quantity],C305,RawData[Price Per Unit],D305,RawData[Total Spent],E305,RawData[Payment Method],F305,RawData[Location],G305,RawData[Transaction Date],H305)</f>
        <v>1</v>
      </c>
      <c r="L305"/>
    </row>
    <row r="306" spans="1:12" x14ac:dyDescent="0.3">
      <c r="A306" t="s">
        <v>312</v>
      </c>
      <c r="B306" t="s">
        <v>10014</v>
      </c>
      <c r="C306">
        <v>3</v>
      </c>
      <c r="D306">
        <v>4</v>
      </c>
      <c r="E306">
        <v>12</v>
      </c>
      <c r="F306" t="s">
        <v>10069</v>
      </c>
      <c r="G306" t="s">
        <v>10069</v>
      </c>
      <c r="H306" s="6">
        <v>45049</v>
      </c>
      <c r="I306">
        <f t="shared" si="8"/>
        <v>0</v>
      </c>
      <c r="J306" t="str">
        <f t="shared" si="9"/>
        <v>Complete</v>
      </c>
      <c r="K306">
        <f>COUNTIFS(RawData[Item], B306,RawData[Quantity],C306,RawData[Price Per Unit],D306,RawData[Total Spent],E306,RawData[Payment Method],F306,RawData[Location],G306,RawData[Transaction Date],H306)</f>
        <v>1</v>
      </c>
      <c r="L306"/>
    </row>
    <row r="307" spans="1:12" x14ac:dyDescent="0.3">
      <c r="A307" t="s">
        <v>313</v>
      </c>
      <c r="B307" t="s">
        <v>10011</v>
      </c>
      <c r="C307">
        <v>3</v>
      </c>
      <c r="D307">
        <v>5</v>
      </c>
      <c r="E307">
        <v>15</v>
      </c>
      <c r="F307" t="s">
        <v>10019</v>
      </c>
      <c r="G307" t="s">
        <v>10069</v>
      </c>
      <c r="H307" s="6">
        <v>45236</v>
      </c>
      <c r="I307">
        <f t="shared" si="8"/>
        <v>0</v>
      </c>
      <c r="J307" t="str">
        <f t="shared" si="9"/>
        <v>Complete</v>
      </c>
      <c r="K307">
        <f>COUNTIFS(RawData[Item], B307,RawData[Quantity],C307,RawData[Price Per Unit],D307,RawData[Total Spent],E307,RawData[Payment Method],F307,RawData[Location],G307,RawData[Transaction Date],H307)</f>
        <v>1</v>
      </c>
      <c r="L307"/>
    </row>
    <row r="308" spans="1:12" x14ac:dyDescent="0.3">
      <c r="A308" t="s">
        <v>314</v>
      </c>
      <c r="B308" t="s">
        <v>10010</v>
      </c>
      <c r="C308">
        <v>1</v>
      </c>
      <c r="D308">
        <v>1</v>
      </c>
      <c r="E308">
        <v>1</v>
      </c>
      <c r="F308" t="s">
        <v>10069</v>
      </c>
      <c r="G308" t="s">
        <v>10102</v>
      </c>
      <c r="H308" s="6">
        <v>45210</v>
      </c>
      <c r="I308">
        <f t="shared" si="8"/>
        <v>0</v>
      </c>
      <c r="J308" t="str">
        <f t="shared" si="9"/>
        <v>Complete</v>
      </c>
      <c r="K308">
        <f>COUNTIFS(RawData[Item], B308,RawData[Quantity],C308,RawData[Price Per Unit],D308,RawData[Total Spent],E308,RawData[Payment Method],F308,RawData[Location],G308,RawData[Transaction Date],H308)</f>
        <v>1</v>
      </c>
      <c r="L308"/>
    </row>
    <row r="309" spans="1:12" x14ac:dyDescent="0.3">
      <c r="A309" t="s">
        <v>315</v>
      </c>
      <c r="B309" t="s">
        <v>10012</v>
      </c>
      <c r="C309">
        <v>3</v>
      </c>
      <c r="D309">
        <v>4</v>
      </c>
      <c r="E309">
        <v>12</v>
      </c>
      <c r="F309" t="s">
        <v>10018</v>
      </c>
      <c r="G309" t="s">
        <v>10069</v>
      </c>
      <c r="H309" s="6">
        <v>44982</v>
      </c>
      <c r="I309">
        <f t="shared" si="8"/>
        <v>0</v>
      </c>
      <c r="J309" t="str">
        <f t="shared" si="9"/>
        <v>Complete</v>
      </c>
      <c r="K309">
        <f>COUNTIFS(RawData[Item], B309,RawData[Quantity],C309,RawData[Price Per Unit],D309,RawData[Total Spent],E309,RawData[Payment Method],F309,RawData[Location],G309,RawData[Transaction Date],H309)</f>
        <v>1</v>
      </c>
      <c r="L309"/>
    </row>
    <row r="310" spans="1:12" x14ac:dyDescent="0.3">
      <c r="A310" t="s">
        <v>316</v>
      </c>
      <c r="B310" t="s">
        <v>10010</v>
      </c>
      <c r="C310">
        <v>4</v>
      </c>
      <c r="D310">
        <v>1</v>
      </c>
      <c r="E310">
        <v>4</v>
      </c>
      <c r="F310" t="s">
        <v>10020</v>
      </c>
      <c r="G310" t="s">
        <v>10102</v>
      </c>
      <c r="H310" s="6" t="s">
        <v>10112</v>
      </c>
      <c r="I310">
        <f t="shared" si="8"/>
        <v>1</v>
      </c>
      <c r="J310" t="str">
        <f t="shared" si="9"/>
        <v>Incomplete</v>
      </c>
      <c r="K310">
        <f>COUNTIFS(RawData[Item], B310,RawData[Quantity],C310,RawData[Price Per Unit],D310,RawData[Total Spent],E310,RawData[Payment Method],F310,RawData[Location],G310,RawData[Transaction Date],H310)</f>
        <v>2</v>
      </c>
      <c r="L310"/>
    </row>
    <row r="311" spans="1:12" x14ac:dyDescent="0.3">
      <c r="A311" t="s">
        <v>317</v>
      </c>
      <c r="B311" t="s">
        <v>10012</v>
      </c>
      <c r="C311">
        <v>2</v>
      </c>
      <c r="D311">
        <v>4</v>
      </c>
      <c r="E311">
        <v>8</v>
      </c>
      <c r="F311" t="s">
        <v>10069</v>
      </c>
      <c r="G311" t="s">
        <v>10069</v>
      </c>
      <c r="H311" s="6">
        <v>45179</v>
      </c>
      <c r="I311">
        <f t="shared" si="8"/>
        <v>0</v>
      </c>
      <c r="J311" t="str">
        <f t="shared" si="9"/>
        <v>Complete</v>
      </c>
      <c r="K311">
        <f>COUNTIFS(RawData[Item], B311,RawData[Quantity],C311,RawData[Price Per Unit],D311,RawData[Total Spent],E311,RawData[Payment Method],F311,RawData[Location],G311,RawData[Transaction Date],H311)</f>
        <v>1</v>
      </c>
      <c r="L311"/>
    </row>
    <row r="312" spans="1:12" x14ac:dyDescent="0.3">
      <c r="A312" t="s">
        <v>318</v>
      </c>
      <c r="B312" t="s">
        <v>10012</v>
      </c>
      <c r="C312">
        <v>2</v>
      </c>
      <c r="D312">
        <v>4</v>
      </c>
      <c r="E312">
        <v>8</v>
      </c>
      <c r="F312" t="s">
        <v>10069</v>
      </c>
      <c r="G312" t="s">
        <v>10069</v>
      </c>
      <c r="H312" s="6">
        <v>45149</v>
      </c>
      <c r="I312">
        <f t="shared" si="8"/>
        <v>0</v>
      </c>
      <c r="J312" t="str">
        <f t="shared" si="9"/>
        <v>Complete</v>
      </c>
      <c r="K312">
        <f>COUNTIFS(RawData[Item], B312,RawData[Quantity],C312,RawData[Price Per Unit],D312,RawData[Total Spent],E312,RawData[Payment Method],F312,RawData[Location],G312,RawData[Transaction Date],H312)</f>
        <v>1</v>
      </c>
      <c r="L312"/>
    </row>
    <row r="313" spans="1:12" x14ac:dyDescent="0.3">
      <c r="A313" t="s">
        <v>319</v>
      </c>
      <c r="B313" t="s">
        <v>10069</v>
      </c>
      <c r="C313">
        <v>1</v>
      </c>
      <c r="D313">
        <v>1</v>
      </c>
      <c r="E313">
        <v>1</v>
      </c>
      <c r="F313" t="s">
        <v>10019</v>
      </c>
      <c r="G313" t="s">
        <v>10102</v>
      </c>
      <c r="H313" s="6">
        <v>45237</v>
      </c>
      <c r="I313">
        <f t="shared" si="8"/>
        <v>0</v>
      </c>
      <c r="J313" t="str">
        <f t="shared" si="9"/>
        <v>Complete</v>
      </c>
      <c r="K313">
        <f>COUNTIFS(RawData[Item], B313,RawData[Quantity],C313,RawData[Price Per Unit],D313,RawData[Total Spent],E313,RawData[Payment Method],F313,RawData[Location],G313,RawData[Transaction Date],H313)</f>
        <v>1</v>
      </c>
      <c r="L313"/>
    </row>
    <row r="314" spans="1:12" x14ac:dyDescent="0.3">
      <c r="A314" t="s">
        <v>320</v>
      </c>
      <c r="B314" t="s">
        <v>10017</v>
      </c>
      <c r="C314">
        <v>3</v>
      </c>
      <c r="D314">
        <v>1.5</v>
      </c>
      <c r="E314">
        <v>4.5</v>
      </c>
      <c r="F314" t="s">
        <v>10069</v>
      </c>
      <c r="G314" t="s">
        <v>10069</v>
      </c>
      <c r="H314" s="6">
        <v>44971</v>
      </c>
      <c r="I314">
        <f t="shared" si="8"/>
        <v>0</v>
      </c>
      <c r="J314" t="str">
        <f t="shared" si="9"/>
        <v>Complete</v>
      </c>
      <c r="K314">
        <f>COUNTIFS(RawData[Item], B314,RawData[Quantity],C314,RawData[Price Per Unit],D314,RawData[Total Spent],E314,RawData[Payment Method],F314,RawData[Location],G314,RawData[Transaction Date],H314)</f>
        <v>1</v>
      </c>
      <c r="L314"/>
    </row>
    <row r="315" spans="1:12" x14ac:dyDescent="0.3">
      <c r="A315" t="s">
        <v>321</v>
      </c>
      <c r="B315" t="s">
        <v>10010</v>
      </c>
      <c r="C315" t="s">
        <v>10015</v>
      </c>
      <c r="D315">
        <v>1</v>
      </c>
      <c r="E315">
        <v>1</v>
      </c>
      <c r="F315" t="s">
        <v>10069</v>
      </c>
      <c r="G315" t="s">
        <v>10069</v>
      </c>
      <c r="H315" s="6">
        <v>45044</v>
      </c>
      <c r="I315">
        <f t="shared" si="8"/>
        <v>1</v>
      </c>
      <c r="J315" t="str">
        <f t="shared" si="9"/>
        <v>Complete</v>
      </c>
      <c r="K315">
        <f>COUNTIFS(RawData[Item], B315,RawData[Quantity],C315,RawData[Price Per Unit],D315,RawData[Total Spent],E315,RawData[Payment Method],F315,RawData[Location],G315,RawData[Transaction Date],H315)</f>
        <v>1</v>
      </c>
      <c r="L315"/>
    </row>
    <row r="316" spans="1:12" x14ac:dyDescent="0.3">
      <c r="A316" t="s">
        <v>322</v>
      </c>
      <c r="B316" t="s">
        <v>10010</v>
      </c>
      <c r="C316">
        <v>1</v>
      </c>
      <c r="D316">
        <v>1</v>
      </c>
      <c r="E316">
        <v>1</v>
      </c>
      <c r="F316" t="s">
        <v>10069</v>
      </c>
      <c r="G316" t="s">
        <v>10069</v>
      </c>
      <c r="H316" s="6">
        <v>45175</v>
      </c>
      <c r="I316">
        <f t="shared" si="8"/>
        <v>0</v>
      </c>
      <c r="J316" t="str">
        <f t="shared" si="9"/>
        <v>Complete</v>
      </c>
      <c r="K316">
        <f>COUNTIFS(RawData[Item], B316,RawData[Quantity],C316,RawData[Price Per Unit],D316,RawData[Total Spent],E316,RawData[Payment Method],F316,RawData[Location],G316,RawData[Transaction Date],H316)</f>
        <v>1</v>
      </c>
      <c r="L316"/>
    </row>
    <row r="317" spans="1:12" x14ac:dyDescent="0.3">
      <c r="A317" t="s">
        <v>323</v>
      </c>
      <c r="B317" t="s">
        <v>10008</v>
      </c>
      <c r="C317">
        <v>2</v>
      </c>
      <c r="D317">
        <v>0</v>
      </c>
      <c r="E317">
        <v>4</v>
      </c>
      <c r="F317" t="s">
        <v>10018</v>
      </c>
      <c r="G317" t="s">
        <v>10021</v>
      </c>
      <c r="H317" s="6">
        <v>44936</v>
      </c>
      <c r="I317">
        <f t="shared" si="8"/>
        <v>0</v>
      </c>
      <c r="J317" t="str">
        <f t="shared" si="9"/>
        <v>Complete</v>
      </c>
      <c r="K317">
        <f>COUNTIFS(RawData[Item], B317,RawData[Quantity],C317,RawData[Price Per Unit],D317,RawData[Total Spent],E317,RawData[Payment Method],F317,RawData[Location],G317,RawData[Transaction Date],H317)</f>
        <v>1</v>
      </c>
      <c r="L317"/>
    </row>
    <row r="318" spans="1:12" x14ac:dyDescent="0.3">
      <c r="A318" t="s">
        <v>324</v>
      </c>
      <c r="B318" t="s">
        <v>10014</v>
      </c>
      <c r="C318">
        <v>3</v>
      </c>
      <c r="D318">
        <v>4</v>
      </c>
      <c r="E318">
        <v>12</v>
      </c>
      <c r="F318" t="s">
        <v>10104</v>
      </c>
      <c r="G318" t="s">
        <v>10102</v>
      </c>
      <c r="H318" s="6">
        <v>45039</v>
      </c>
      <c r="I318">
        <f t="shared" si="8"/>
        <v>1</v>
      </c>
      <c r="J318" t="str">
        <f t="shared" si="9"/>
        <v>Complete</v>
      </c>
      <c r="K318">
        <f>COUNTIFS(RawData[Item], B318,RawData[Quantity],C318,RawData[Price Per Unit],D318,RawData[Total Spent],E318,RawData[Payment Method],F318,RawData[Location],G318,RawData[Transaction Date],H318)</f>
        <v>1</v>
      </c>
      <c r="L318"/>
    </row>
    <row r="319" spans="1:12" x14ac:dyDescent="0.3">
      <c r="A319" t="s">
        <v>325</v>
      </c>
      <c r="B319" t="s">
        <v>10012</v>
      </c>
      <c r="C319">
        <v>3</v>
      </c>
      <c r="D319">
        <v>4</v>
      </c>
      <c r="E319">
        <v>12</v>
      </c>
      <c r="F319" t="s">
        <v>10019</v>
      </c>
      <c r="G319" t="s">
        <v>10102</v>
      </c>
      <c r="H319" s="6" t="s">
        <v>10112</v>
      </c>
      <c r="I319">
        <f t="shared" si="8"/>
        <v>1</v>
      </c>
      <c r="J319" t="str">
        <f t="shared" si="9"/>
        <v>Incomplete</v>
      </c>
      <c r="K319">
        <f>COUNTIFS(RawData[Item], B319,RawData[Quantity],C319,RawData[Price Per Unit],D319,RawData[Total Spent],E319,RawData[Payment Method],F319,RawData[Location],G319,RawData[Transaction Date],H319)</f>
        <v>3</v>
      </c>
      <c r="L319"/>
    </row>
    <row r="320" spans="1:12" x14ac:dyDescent="0.3">
      <c r="A320" t="s">
        <v>326</v>
      </c>
      <c r="B320" t="s">
        <v>10011</v>
      </c>
      <c r="C320">
        <v>4</v>
      </c>
      <c r="D320">
        <v>5</v>
      </c>
      <c r="E320">
        <v>20</v>
      </c>
      <c r="F320" t="s">
        <v>10020</v>
      </c>
      <c r="G320" t="s">
        <v>10021</v>
      </c>
      <c r="H320" s="6">
        <v>44983</v>
      </c>
      <c r="I320">
        <f t="shared" si="8"/>
        <v>0</v>
      </c>
      <c r="J320" t="str">
        <f t="shared" si="9"/>
        <v>Complete</v>
      </c>
      <c r="K320">
        <f>COUNTIFS(RawData[Item], B320,RawData[Quantity],C320,RawData[Price Per Unit],D320,RawData[Total Spent],E320,RawData[Payment Method],F320,RawData[Location],G320,RawData[Transaction Date],H320)</f>
        <v>1</v>
      </c>
      <c r="L320"/>
    </row>
    <row r="321" spans="1:12" x14ac:dyDescent="0.3">
      <c r="A321" t="s">
        <v>327</v>
      </c>
      <c r="B321" t="s">
        <v>10010</v>
      </c>
      <c r="C321">
        <v>3</v>
      </c>
      <c r="D321">
        <v>1</v>
      </c>
      <c r="E321">
        <v>3</v>
      </c>
      <c r="F321" t="s">
        <v>10019</v>
      </c>
      <c r="G321" t="s">
        <v>10102</v>
      </c>
      <c r="H321" s="6">
        <v>44948</v>
      </c>
      <c r="I321">
        <f t="shared" si="8"/>
        <v>0</v>
      </c>
      <c r="J321" t="str">
        <f t="shared" si="9"/>
        <v>Complete</v>
      </c>
      <c r="K321">
        <f>COUNTIFS(RawData[Item], B321,RawData[Quantity],C321,RawData[Price Per Unit],D321,RawData[Total Spent],E321,RawData[Payment Method],F321,RawData[Location],G321,RawData[Transaction Date],H321)</f>
        <v>1</v>
      </c>
      <c r="L321"/>
    </row>
    <row r="322" spans="1:12" x14ac:dyDescent="0.3">
      <c r="A322" t="s">
        <v>328</v>
      </c>
      <c r="B322" t="s">
        <v>10010</v>
      </c>
      <c r="C322">
        <v>3</v>
      </c>
      <c r="D322">
        <v>1</v>
      </c>
      <c r="E322">
        <v>3</v>
      </c>
      <c r="F322" t="s">
        <v>10069</v>
      </c>
      <c r="G322" t="s">
        <v>10102</v>
      </c>
      <c r="H322" s="6">
        <v>44995</v>
      </c>
      <c r="I322">
        <f t="shared" ref="I322:I385" si="10">(B322="Unknown")+(B322="Error")+(C322="Unknown")+(C322="Error")+(D322="Unknown")+(D322="Error")+(E322="Unknown")+(E322="Error")+(F322="Unknown")+(F322="Error")+(G322="Unknown")+(G322="Error")+(H322="No Date")</f>
        <v>0</v>
      </c>
      <c r="J322" t="str">
        <f t="shared" ref="J322:J385" si="11">IF((H322="No Date"),"Incomplete","Complete")</f>
        <v>Complete</v>
      </c>
      <c r="K322">
        <f>COUNTIFS(RawData[Item], B322,RawData[Quantity],C322,RawData[Price Per Unit],D322,RawData[Total Spent],E322,RawData[Payment Method],F322,RawData[Location],G322,RawData[Transaction Date],H322)</f>
        <v>1</v>
      </c>
      <c r="L322"/>
    </row>
    <row r="323" spans="1:12" x14ac:dyDescent="0.3">
      <c r="A323" t="s">
        <v>329</v>
      </c>
      <c r="B323" t="s">
        <v>10010</v>
      </c>
      <c r="C323">
        <v>4</v>
      </c>
      <c r="D323">
        <v>1</v>
      </c>
      <c r="E323">
        <v>4</v>
      </c>
      <c r="F323" t="s">
        <v>10020</v>
      </c>
      <c r="G323" t="s">
        <v>10021</v>
      </c>
      <c r="H323" s="6">
        <v>44954</v>
      </c>
      <c r="I323">
        <f t="shared" si="10"/>
        <v>0</v>
      </c>
      <c r="J323" t="str">
        <f t="shared" si="11"/>
        <v>Complete</v>
      </c>
      <c r="K323">
        <f>COUNTIFS(RawData[Item], B323,RawData[Quantity],C323,RawData[Price Per Unit],D323,RawData[Total Spent],E323,RawData[Payment Method],F323,RawData[Location],G323,RawData[Transaction Date],H323)</f>
        <v>1</v>
      </c>
      <c r="L323"/>
    </row>
    <row r="324" spans="1:12" x14ac:dyDescent="0.3">
      <c r="A324" t="s">
        <v>330</v>
      </c>
      <c r="B324" t="s">
        <v>10008</v>
      </c>
      <c r="C324">
        <v>5</v>
      </c>
      <c r="D324">
        <v>2</v>
      </c>
      <c r="E324">
        <v>10</v>
      </c>
      <c r="F324" t="s">
        <v>10019</v>
      </c>
      <c r="G324" t="s">
        <v>10021</v>
      </c>
      <c r="H324" s="6">
        <v>45149</v>
      </c>
      <c r="I324">
        <f t="shared" si="10"/>
        <v>0</v>
      </c>
      <c r="J324" t="str">
        <f t="shared" si="11"/>
        <v>Complete</v>
      </c>
      <c r="K324">
        <f>COUNTIFS(RawData[Item], B324,RawData[Quantity],C324,RawData[Price Per Unit],D324,RawData[Total Spent],E324,RawData[Payment Method],F324,RawData[Location],G324,RawData[Transaction Date],H324)</f>
        <v>1</v>
      </c>
      <c r="L324"/>
    </row>
    <row r="325" spans="1:12" x14ac:dyDescent="0.3">
      <c r="A325" t="s">
        <v>331</v>
      </c>
      <c r="B325" t="s">
        <v>10015</v>
      </c>
      <c r="C325">
        <v>2</v>
      </c>
      <c r="D325">
        <v>4</v>
      </c>
      <c r="E325">
        <v>8</v>
      </c>
      <c r="F325" t="s">
        <v>10018</v>
      </c>
      <c r="G325" t="s">
        <v>10069</v>
      </c>
      <c r="H325" s="6">
        <v>45248</v>
      </c>
      <c r="I325">
        <f t="shared" si="10"/>
        <v>1</v>
      </c>
      <c r="J325" t="str">
        <f t="shared" si="11"/>
        <v>Complete</v>
      </c>
      <c r="K325">
        <f>COUNTIFS(RawData[Item], B325,RawData[Quantity],C325,RawData[Price Per Unit],D325,RawData[Total Spent],E325,RawData[Payment Method],F325,RawData[Location],G325,RawData[Transaction Date],H325)</f>
        <v>1</v>
      </c>
      <c r="L325"/>
    </row>
    <row r="326" spans="1:12" x14ac:dyDescent="0.3">
      <c r="A326" t="s">
        <v>332</v>
      </c>
      <c r="B326" t="s">
        <v>10008</v>
      </c>
      <c r="C326">
        <v>5</v>
      </c>
      <c r="D326">
        <v>2</v>
      </c>
      <c r="E326">
        <v>10</v>
      </c>
      <c r="F326" t="s">
        <v>10019</v>
      </c>
      <c r="G326" t="s">
        <v>10069</v>
      </c>
      <c r="H326" s="6">
        <v>44935</v>
      </c>
      <c r="I326">
        <f t="shared" si="10"/>
        <v>0</v>
      </c>
      <c r="J326" t="str">
        <f t="shared" si="11"/>
        <v>Complete</v>
      </c>
      <c r="K326">
        <f>COUNTIFS(RawData[Item], B326,RawData[Quantity],C326,RawData[Price Per Unit],D326,RawData[Total Spent],E326,RawData[Payment Method],F326,RawData[Location],G326,RawData[Transaction Date],H326)</f>
        <v>1</v>
      </c>
      <c r="L326"/>
    </row>
    <row r="327" spans="1:12" x14ac:dyDescent="0.3">
      <c r="A327" t="s">
        <v>333</v>
      </c>
      <c r="B327" t="s">
        <v>10008</v>
      </c>
      <c r="C327">
        <v>5</v>
      </c>
      <c r="D327">
        <v>2</v>
      </c>
      <c r="E327">
        <v>10</v>
      </c>
      <c r="F327" t="s">
        <v>10069</v>
      </c>
      <c r="G327" t="s">
        <v>10102</v>
      </c>
      <c r="H327" s="6">
        <v>45263</v>
      </c>
      <c r="I327">
        <f t="shared" si="10"/>
        <v>0</v>
      </c>
      <c r="J327" t="str">
        <f t="shared" si="11"/>
        <v>Complete</v>
      </c>
      <c r="K327">
        <f>COUNTIFS(RawData[Item], B327,RawData[Quantity],C327,RawData[Price Per Unit],D327,RawData[Total Spent],E327,RawData[Payment Method],F327,RawData[Location],G327,RawData[Transaction Date],H327)</f>
        <v>1</v>
      </c>
      <c r="L327"/>
    </row>
    <row r="328" spans="1:12" x14ac:dyDescent="0.3">
      <c r="A328" t="s">
        <v>334</v>
      </c>
      <c r="B328" t="s">
        <v>10015</v>
      </c>
      <c r="C328">
        <v>4</v>
      </c>
      <c r="D328">
        <v>2</v>
      </c>
      <c r="E328">
        <v>8</v>
      </c>
      <c r="F328" t="s">
        <v>10069</v>
      </c>
      <c r="G328" t="s">
        <v>10069</v>
      </c>
      <c r="H328" s="6">
        <v>45225</v>
      </c>
      <c r="I328">
        <f t="shared" si="10"/>
        <v>1</v>
      </c>
      <c r="J328" t="str">
        <f t="shared" si="11"/>
        <v>Complete</v>
      </c>
      <c r="K328">
        <f>COUNTIFS(RawData[Item], B328,RawData[Quantity],C328,RawData[Price Per Unit],D328,RawData[Total Spent],E328,RawData[Payment Method],F328,RawData[Location],G328,RawData[Transaction Date],H328)</f>
        <v>1</v>
      </c>
      <c r="L328"/>
    </row>
    <row r="329" spans="1:12" x14ac:dyDescent="0.3">
      <c r="A329" t="s">
        <v>335</v>
      </c>
      <c r="B329" t="s">
        <v>10014</v>
      </c>
      <c r="C329" t="s">
        <v>10013</v>
      </c>
      <c r="D329">
        <v>4</v>
      </c>
      <c r="E329">
        <v>12</v>
      </c>
      <c r="F329" t="s">
        <v>10020</v>
      </c>
      <c r="G329" t="s">
        <v>10102</v>
      </c>
      <c r="H329" s="6">
        <v>45207</v>
      </c>
      <c r="I329">
        <f t="shared" si="10"/>
        <v>1</v>
      </c>
      <c r="J329" t="str">
        <f t="shared" si="11"/>
        <v>Complete</v>
      </c>
      <c r="K329">
        <f>COUNTIFS(RawData[Item], B329,RawData[Quantity],C329,RawData[Price Per Unit],D329,RawData[Total Spent],E329,RawData[Payment Method],F329,RawData[Location],G329,RawData[Transaction Date],H329)</f>
        <v>1</v>
      </c>
      <c r="L329"/>
    </row>
    <row r="330" spans="1:12" x14ac:dyDescent="0.3">
      <c r="A330" t="s">
        <v>336</v>
      </c>
      <c r="B330" t="s">
        <v>10016</v>
      </c>
      <c r="C330">
        <v>1</v>
      </c>
      <c r="D330">
        <v>3</v>
      </c>
      <c r="E330">
        <v>3</v>
      </c>
      <c r="F330" t="s">
        <v>10020</v>
      </c>
      <c r="G330" t="s">
        <v>10069</v>
      </c>
      <c r="H330" s="6">
        <v>45144</v>
      </c>
      <c r="I330">
        <f t="shared" si="10"/>
        <v>0</v>
      </c>
      <c r="J330" t="str">
        <f t="shared" si="11"/>
        <v>Complete</v>
      </c>
      <c r="K330">
        <f>COUNTIFS(RawData[Item], B330,RawData[Quantity],C330,RawData[Price Per Unit],D330,RawData[Total Spent],E330,RawData[Payment Method],F330,RawData[Location],G330,RawData[Transaction Date],H330)</f>
        <v>1</v>
      </c>
      <c r="L330"/>
    </row>
    <row r="331" spans="1:12" x14ac:dyDescent="0.3">
      <c r="A331" t="s">
        <v>337</v>
      </c>
      <c r="B331" t="s">
        <v>10014</v>
      </c>
      <c r="C331">
        <v>4</v>
      </c>
      <c r="D331">
        <v>4</v>
      </c>
      <c r="E331">
        <v>16</v>
      </c>
      <c r="F331" t="s">
        <v>10018</v>
      </c>
      <c r="G331" t="s">
        <v>10069</v>
      </c>
      <c r="H331" s="6" t="s">
        <v>10112</v>
      </c>
      <c r="I331">
        <f t="shared" si="10"/>
        <v>1</v>
      </c>
      <c r="J331" t="str">
        <f t="shared" si="11"/>
        <v>Incomplete</v>
      </c>
      <c r="K331">
        <f>COUNTIFS(RawData[Item], B331,RawData[Quantity],C331,RawData[Price Per Unit],D331,RawData[Total Spent],E331,RawData[Payment Method],F331,RawData[Location],G331,RawData[Transaction Date],H331)</f>
        <v>1</v>
      </c>
      <c r="L331"/>
    </row>
    <row r="332" spans="1:12" x14ac:dyDescent="0.3">
      <c r="A332" t="s">
        <v>338</v>
      </c>
      <c r="B332" t="s">
        <v>10011</v>
      </c>
      <c r="C332">
        <v>5</v>
      </c>
      <c r="D332">
        <v>5</v>
      </c>
      <c r="E332">
        <v>25</v>
      </c>
      <c r="F332" t="s">
        <v>10018</v>
      </c>
      <c r="G332" t="s">
        <v>10021</v>
      </c>
      <c r="H332" s="6">
        <v>45109</v>
      </c>
      <c r="I332">
        <f t="shared" si="10"/>
        <v>0</v>
      </c>
      <c r="J332" t="str">
        <f t="shared" si="11"/>
        <v>Complete</v>
      </c>
      <c r="K332">
        <f>COUNTIFS(RawData[Item], B332,RawData[Quantity],C332,RawData[Price Per Unit],D332,RawData[Total Spent],E332,RawData[Payment Method],F332,RawData[Location],G332,RawData[Transaction Date],H332)</f>
        <v>1</v>
      </c>
      <c r="L332"/>
    </row>
    <row r="333" spans="1:12" x14ac:dyDescent="0.3">
      <c r="A333" t="s">
        <v>339</v>
      </c>
      <c r="B333" t="s">
        <v>10014</v>
      </c>
      <c r="C333">
        <v>3</v>
      </c>
      <c r="D333">
        <v>4</v>
      </c>
      <c r="E333">
        <v>12</v>
      </c>
      <c r="F333" t="s">
        <v>10018</v>
      </c>
      <c r="G333" t="s">
        <v>10102</v>
      </c>
      <c r="H333" s="6">
        <v>45092</v>
      </c>
      <c r="I333">
        <f t="shared" si="10"/>
        <v>0</v>
      </c>
      <c r="J333" t="str">
        <f t="shared" si="11"/>
        <v>Complete</v>
      </c>
      <c r="K333">
        <f>COUNTIFS(RawData[Item], B333,RawData[Quantity],C333,RawData[Price Per Unit],D333,RawData[Total Spent],E333,RawData[Payment Method],F333,RawData[Location],G333,RawData[Transaction Date],H333)</f>
        <v>1</v>
      </c>
      <c r="L333"/>
    </row>
    <row r="334" spans="1:12" x14ac:dyDescent="0.3">
      <c r="A334" t="s">
        <v>340</v>
      </c>
      <c r="B334" t="s">
        <v>10012</v>
      </c>
      <c r="C334">
        <v>5</v>
      </c>
      <c r="D334">
        <v>4</v>
      </c>
      <c r="E334">
        <v>20</v>
      </c>
      <c r="F334" t="s">
        <v>10104</v>
      </c>
      <c r="G334" t="s">
        <v>10069</v>
      </c>
      <c r="H334" s="6">
        <v>44937</v>
      </c>
      <c r="I334">
        <f t="shared" si="10"/>
        <v>1</v>
      </c>
      <c r="J334" t="str">
        <f t="shared" si="11"/>
        <v>Complete</v>
      </c>
      <c r="K334">
        <f>COUNTIFS(RawData[Item], B334,RawData[Quantity],C334,RawData[Price Per Unit],D334,RawData[Total Spent],E334,RawData[Payment Method],F334,RawData[Location],G334,RawData[Transaction Date],H334)</f>
        <v>1</v>
      </c>
      <c r="L334"/>
    </row>
    <row r="335" spans="1:12" x14ac:dyDescent="0.3">
      <c r="A335" t="s">
        <v>341</v>
      </c>
      <c r="B335" t="s">
        <v>10017</v>
      </c>
      <c r="C335">
        <v>1</v>
      </c>
      <c r="D335" t="s">
        <v>10013</v>
      </c>
      <c r="E335">
        <v>1.5</v>
      </c>
      <c r="F335" t="s">
        <v>10018</v>
      </c>
      <c r="G335" t="s">
        <v>10069</v>
      </c>
      <c r="H335" s="6">
        <v>45201</v>
      </c>
      <c r="I335">
        <f t="shared" si="10"/>
        <v>1</v>
      </c>
      <c r="J335" t="str">
        <f t="shared" si="11"/>
        <v>Complete</v>
      </c>
      <c r="K335">
        <f>COUNTIFS(RawData[Item], B335,RawData[Quantity],C335,RawData[Price Per Unit],D335,RawData[Total Spent],E335,RawData[Payment Method],F335,RawData[Location],G335,RawData[Transaction Date],H335)</f>
        <v>1</v>
      </c>
      <c r="L335"/>
    </row>
    <row r="336" spans="1:12" x14ac:dyDescent="0.3">
      <c r="A336" t="s">
        <v>342</v>
      </c>
      <c r="B336" t="s">
        <v>10069</v>
      </c>
      <c r="C336">
        <v>4</v>
      </c>
      <c r="D336">
        <v>0</v>
      </c>
      <c r="E336">
        <v>6</v>
      </c>
      <c r="F336" t="s">
        <v>10104</v>
      </c>
      <c r="G336" t="s">
        <v>10102</v>
      </c>
      <c r="H336" s="6">
        <v>45010</v>
      </c>
      <c r="I336">
        <f t="shared" si="10"/>
        <v>1</v>
      </c>
      <c r="J336" t="str">
        <f t="shared" si="11"/>
        <v>Complete</v>
      </c>
      <c r="K336">
        <f>COUNTIFS(RawData[Item], B336,RawData[Quantity],C336,RawData[Price Per Unit],D336,RawData[Total Spent],E336,RawData[Payment Method],F336,RawData[Location],G336,RawData[Transaction Date],H336)</f>
        <v>1</v>
      </c>
      <c r="L336"/>
    </row>
    <row r="337" spans="1:12" x14ac:dyDescent="0.3">
      <c r="A337" t="s">
        <v>343</v>
      </c>
      <c r="B337" t="s">
        <v>10012</v>
      </c>
      <c r="C337">
        <v>2</v>
      </c>
      <c r="D337">
        <v>4</v>
      </c>
      <c r="E337">
        <v>8</v>
      </c>
      <c r="F337" t="s">
        <v>10069</v>
      </c>
      <c r="G337" t="s">
        <v>10102</v>
      </c>
      <c r="H337" s="6">
        <v>45232</v>
      </c>
      <c r="I337">
        <f t="shared" si="10"/>
        <v>0</v>
      </c>
      <c r="J337" t="str">
        <f t="shared" si="11"/>
        <v>Complete</v>
      </c>
      <c r="K337">
        <f>COUNTIFS(RawData[Item], B337,RawData[Quantity],C337,RawData[Price Per Unit],D337,RawData[Total Spent],E337,RawData[Payment Method],F337,RawData[Location],G337,RawData[Transaction Date],H337)</f>
        <v>1</v>
      </c>
      <c r="L337"/>
    </row>
    <row r="338" spans="1:12" x14ac:dyDescent="0.3">
      <c r="A338" t="s">
        <v>344</v>
      </c>
      <c r="B338" t="s">
        <v>10010</v>
      </c>
      <c r="C338">
        <v>2</v>
      </c>
      <c r="D338" t="s">
        <v>10013</v>
      </c>
      <c r="E338">
        <v>2</v>
      </c>
      <c r="F338" t="s">
        <v>10069</v>
      </c>
      <c r="G338" t="s">
        <v>10104</v>
      </c>
      <c r="H338" s="6">
        <v>44953</v>
      </c>
      <c r="I338">
        <f t="shared" si="10"/>
        <v>2</v>
      </c>
      <c r="J338" t="str">
        <f t="shared" si="11"/>
        <v>Complete</v>
      </c>
      <c r="K338">
        <f>COUNTIFS(RawData[Item], B338,RawData[Quantity],C338,RawData[Price Per Unit],D338,RawData[Total Spent],E338,RawData[Payment Method],F338,RawData[Location],G338,RawData[Transaction Date],H338)</f>
        <v>1</v>
      </c>
      <c r="L338"/>
    </row>
    <row r="339" spans="1:12" x14ac:dyDescent="0.3">
      <c r="A339" t="s">
        <v>345</v>
      </c>
      <c r="B339" t="s">
        <v>10012</v>
      </c>
      <c r="C339">
        <v>2</v>
      </c>
      <c r="D339">
        <v>4</v>
      </c>
      <c r="E339">
        <v>8</v>
      </c>
      <c r="F339" t="s">
        <v>10020</v>
      </c>
      <c r="G339" t="s">
        <v>10069</v>
      </c>
      <c r="H339" s="6">
        <v>45289</v>
      </c>
      <c r="I339">
        <f t="shared" si="10"/>
        <v>0</v>
      </c>
      <c r="J339" t="str">
        <f t="shared" si="11"/>
        <v>Complete</v>
      </c>
      <c r="K339">
        <f>COUNTIFS(RawData[Item], B339,RawData[Quantity],C339,RawData[Price Per Unit],D339,RawData[Total Spent],E339,RawData[Payment Method],F339,RawData[Location],G339,RawData[Transaction Date],H339)</f>
        <v>1</v>
      </c>
      <c r="L339"/>
    </row>
    <row r="340" spans="1:12" x14ac:dyDescent="0.3">
      <c r="A340" t="s">
        <v>346</v>
      </c>
      <c r="B340" t="s">
        <v>10012</v>
      </c>
      <c r="C340">
        <v>2</v>
      </c>
      <c r="D340">
        <v>4</v>
      </c>
      <c r="E340">
        <v>8</v>
      </c>
      <c r="F340" t="s">
        <v>10020</v>
      </c>
      <c r="G340" t="s">
        <v>10102</v>
      </c>
      <c r="H340" s="6">
        <v>45219</v>
      </c>
      <c r="I340">
        <f t="shared" si="10"/>
        <v>0</v>
      </c>
      <c r="J340" t="str">
        <f t="shared" si="11"/>
        <v>Complete</v>
      </c>
      <c r="K340">
        <f>COUNTIFS(RawData[Item], B340,RawData[Quantity],C340,RawData[Price Per Unit],D340,RawData[Total Spent],E340,RawData[Payment Method],F340,RawData[Location],G340,RawData[Transaction Date],H340)</f>
        <v>1</v>
      </c>
      <c r="L340"/>
    </row>
    <row r="341" spans="1:12" x14ac:dyDescent="0.3">
      <c r="A341" t="s">
        <v>347</v>
      </c>
      <c r="B341" t="s">
        <v>10016</v>
      </c>
      <c r="C341">
        <v>4</v>
      </c>
      <c r="D341">
        <v>3</v>
      </c>
      <c r="E341">
        <v>12</v>
      </c>
      <c r="F341" t="s">
        <v>10018</v>
      </c>
      <c r="G341" t="s">
        <v>10069</v>
      </c>
      <c r="H341" s="6">
        <v>45231</v>
      </c>
      <c r="I341">
        <f t="shared" si="10"/>
        <v>0</v>
      </c>
      <c r="J341" t="str">
        <f t="shared" si="11"/>
        <v>Complete</v>
      </c>
      <c r="K341">
        <f>COUNTIFS(RawData[Item], B341,RawData[Quantity],C341,RawData[Price Per Unit],D341,RawData[Total Spent],E341,RawData[Payment Method],F341,RawData[Location],G341,RawData[Transaction Date],H341)</f>
        <v>1</v>
      </c>
      <c r="L341"/>
    </row>
    <row r="342" spans="1:12" x14ac:dyDescent="0.3">
      <c r="A342" t="s">
        <v>348</v>
      </c>
      <c r="B342" t="s">
        <v>10010</v>
      </c>
      <c r="C342" t="s">
        <v>10015</v>
      </c>
      <c r="D342">
        <v>1</v>
      </c>
      <c r="E342">
        <v>1</v>
      </c>
      <c r="F342" t="s">
        <v>10018</v>
      </c>
      <c r="G342" t="s">
        <v>10069</v>
      </c>
      <c r="H342" s="6">
        <v>45121</v>
      </c>
      <c r="I342">
        <f t="shared" si="10"/>
        <v>1</v>
      </c>
      <c r="J342" t="str">
        <f t="shared" si="11"/>
        <v>Complete</v>
      </c>
      <c r="K342">
        <f>COUNTIFS(RawData[Item], B342,RawData[Quantity],C342,RawData[Price Per Unit],D342,RawData[Total Spent],E342,RawData[Payment Method],F342,RawData[Location],G342,RawData[Transaction Date],H342)</f>
        <v>1</v>
      </c>
      <c r="L342"/>
    </row>
    <row r="343" spans="1:12" x14ac:dyDescent="0.3">
      <c r="A343" t="s">
        <v>349</v>
      </c>
      <c r="B343" t="s">
        <v>10010</v>
      </c>
      <c r="C343">
        <v>0</v>
      </c>
      <c r="D343">
        <v>1</v>
      </c>
      <c r="E343">
        <v>3</v>
      </c>
      <c r="F343" t="s">
        <v>10018</v>
      </c>
      <c r="G343" t="s">
        <v>10102</v>
      </c>
      <c r="H343" s="6">
        <v>45289</v>
      </c>
      <c r="I343">
        <f t="shared" si="10"/>
        <v>0</v>
      </c>
      <c r="J343" t="str">
        <f t="shared" si="11"/>
        <v>Complete</v>
      </c>
      <c r="K343">
        <f>COUNTIFS(RawData[Item], B343,RawData[Quantity],C343,RawData[Price Per Unit],D343,RawData[Total Spent],E343,RawData[Payment Method],F343,RawData[Location],G343,RawData[Transaction Date],H343)</f>
        <v>1</v>
      </c>
      <c r="L343"/>
    </row>
    <row r="344" spans="1:12" x14ac:dyDescent="0.3">
      <c r="A344" t="s">
        <v>350</v>
      </c>
      <c r="B344" t="s">
        <v>10011</v>
      </c>
      <c r="C344">
        <v>3</v>
      </c>
      <c r="D344">
        <v>5</v>
      </c>
      <c r="E344">
        <v>15</v>
      </c>
      <c r="F344" t="s">
        <v>10019</v>
      </c>
      <c r="G344" t="s">
        <v>10021</v>
      </c>
      <c r="H344" s="6">
        <v>45107</v>
      </c>
      <c r="I344">
        <f t="shared" si="10"/>
        <v>0</v>
      </c>
      <c r="J344" t="str">
        <f t="shared" si="11"/>
        <v>Complete</v>
      </c>
      <c r="K344">
        <f>COUNTIFS(RawData[Item], B344,RawData[Quantity],C344,RawData[Price Per Unit],D344,RawData[Total Spent],E344,RawData[Payment Method],F344,RawData[Location],G344,RawData[Transaction Date],H344)</f>
        <v>1</v>
      </c>
      <c r="L344"/>
    </row>
    <row r="345" spans="1:12" x14ac:dyDescent="0.3">
      <c r="A345" t="s">
        <v>351</v>
      </c>
      <c r="B345" t="s">
        <v>10011</v>
      </c>
      <c r="C345">
        <v>1</v>
      </c>
      <c r="D345">
        <v>0</v>
      </c>
      <c r="E345">
        <v>5</v>
      </c>
      <c r="F345" t="s">
        <v>10069</v>
      </c>
      <c r="G345" t="s">
        <v>10103</v>
      </c>
      <c r="H345" s="6">
        <v>44972</v>
      </c>
      <c r="I345">
        <f t="shared" si="10"/>
        <v>1</v>
      </c>
      <c r="J345" t="str">
        <f t="shared" si="11"/>
        <v>Complete</v>
      </c>
      <c r="K345">
        <f>COUNTIFS(RawData[Item], B345,RawData[Quantity],C345,RawData[Price Per Unit],D345,RawData[Total Spent],E345,RawData[Payment Method],F345,RawData[Location],G345,RawData[Transaction Date],H345)</f>
        <v>1</v>
      </c>
      <c r="L345"/>
    </row>
    <row r="346" spans="1:12" x14ac:dyDescent="0.3">
      <c r="A346" t="s">
        <v>352</v>
      </c>
      <c r="B346" t="s">
        <v>10009</v>
      </c>
      <c r="C346">
        <v>1</v>
      </c>
      <c r="D346">
        <v>3</v>
      </c>
      <c r="E346">
        <v>3</v>
      </c>
      <c r="F346" t="s">
        <v>10103</v>
      </c>
      <c r="G346" t="s">
        <v>10102</v>
      </c>
      <c r="H346" s="6">
        <v>45246</v>
      </c>
      <c r="I346">
        <f t="shared" si="10"/>
        <v>1</v>
      </c>
      <c r="J346" t="str">
        <f t="shared" si="11"/>
        <v>Complete</v>
      </c>
      <c r="K346">
        <f>COUNTIFS(RawData[Item], B346,RawData[Quantity],C346,RawData[Price Per Unit],D346,RawData[Total Spent],E346,RawData[Payment Method],F346,RawData[Location],G346,RawData[Transaction Date],H346)</f>
        <v>1</v>
      </c>
      <c r="L346"/>
    </row>
    <row r="347" spans="1:12" x14ac:dyDescent="0.3">
      <c r="A347" t="s">
        <v>353</v>
      </c>
      <c r="B347" t="s">
        <v>10017</v>
      </c>
      <c r="C347">
        <v>2</v>
      </c>
      <c r="D347">
        <v>1.5</v>
      </c>
      <c r="E347">
        <v>3</v>
      </c>
      <c r="F347" t="s">
        <v>10069</v>
      </c>
      <c r="G347" t="s">
        <v>10069</v>
      </c>
      <c r="H347" s="6">
        <v>45109</v>
      </c>
      <c r="I347">
        <f t="shared" si="10"/>
        <v>0</v>
      </c>
      <c r="J347" t="str">
        <f t="shared" si="11"/>
        <v>Complete</v>
      </c>
      <c r="K347">
        <f>COUNTIFS(RawData[Item], B347,RawData[Quantity],C347,RawData[Price Per Unit],D347,RawData[Total Spent],E347,RawData[Payment Method],F347,RawData[Location],G347,RawData[Transaction Date],H347)</f>
        <v>2</v>
      </c>
      <c r="L347"/>
    </row>
    <row r="348" spans="1:12" x14ac:dyDescent="0.3">
      <c r="A348" t="s">
        <v>354</v>
      </c>
      <c r="B348" t="s">
        <v>10016</v>
      </c>
      <c r="C348">
        <v>3</v>
      </c>
      <c r="D348">
        <v>3</v>
      </c>
      <c r="E348">
        <v>9</v>
      </c>
      <c r="F348" t="s">
        <v>10019</v>
      </c>
      <c r="G348" t="s">
        <v>10102</v>
      </c>
      <c r="H348" s="6">
        <v>45067</v>
      </c>
      <c r="I348">
        <f t="shared" si="10"/>
        <v>0</v>
      </c>
      <c r="J348" t="str">
        <f t="shared" si="11"/>
        <v>Complete</v>
      </c>
      <c r="K348">
        <f>COUNTIFS(RawData[Item], B348,RawData[Quantity],C348,RawData[Price Per Unit],D348,RawData[Total Spent],E348,RawData[Payment Method],F348,RawData[Location],G348,RawData[Transaction Date],H348)</f>
        <v>1</v>
      </c>
      <c r="L348"/>
    </row>
    <row r="349" spans="1:12" x14ac:dyDescent="0.3">
      <c r="A349" t="s">
        <v>355</v>
      </c>
      <c r="B349" t="s">
        <v>10009</v>
      </c>
      <c r="C349">
        <v>1</v>
      </c>
      <c r="D349">
        <v>3</v>
      </c>
      <c r="E349">
        <v>3</v>
      </c>
      <c r="F349" t="s">
        <v>10018</v>
      </c>
      <c r="G349" t="s">
        <v>10069</v>
      </c>
      <c r="H349" s="6">
        <v>45071</v>
      </c>
      <c r="I349">
        <f t="shared" si="10"/>
        <v>0</v>
      </c>
      <c r="J349" t="str">
        <f t="shared" si="11"/>
        <v>Complete</v>
      </c>
      <c r="K349">
        <f>COUNTIFS(RawData[Item], B349,RawData[Quantity],C349,RawData[Price Per Unit],D349,RawData[Total Spent],E349,RawData[Payment Method],F349,RawData[Location],G349,RawData[Transaction Date],H349)</f>
        <v>1</v>
      </c>
      <c r="L349"/>
    </row>
    <row r="350" spans="1:12" x14ac:dyDescent="0.3">
      <c r="A350" t="s">
        <v>356</v>
      </c>
      <c r="B350" t="s">
        <v>10012</v>
      </c>
      <c r="C350">
        <v>1</v>
      </c>
      <c r="D350">
        <v>4</v>
      </c>
      <c r="E350">
        <v>4</v>
      </c>
      <c r="F350" t="s">
        <v>10018</v>
      </c>
      <c r="G350" t="s">
        <v>10069</v>
      </c>
      <c r="H350" s="6">
        <v>45230</v>
      </c>
      <c r="I350">
        <f t="shared" si="10"/>
        <v>0</v>
      </c>
      <c r="J350" t="str">
        <f t="shared" si="11"/>
        <v>Complete</v>
      </c>
      <c r="K350">
        <f>COUNTIFS(RawData[Item], B350,RawData[Quantity],C350,RawData[Price Per Unit],D350,RawData[Total Spent],E350,RawData[Payment Method],F350,RawData[Location],G350,RawData[Transaction Date],H350)</f>
        <v>1</v>
      </c>
      <c r="L350"/>
    </row>
    <row r="351" spans="1:12" x14ac:dyDescent="0.3">
      <c r="A351" t="s">
        <v>357</v>
      </c>
      <c r="B351" t="s">
        <v>10014</v>
      </c>
      <c r="C351">
        <v>5</v>
      </c>
      <c r="D351">
        <v>4</v>
      </c>
      <c r="E351">
        <v>20</v>
      </c>
      <c r="F351" t="s">
        <v>10020</v>
      </c>
      <c r="G351" t="s">
        <v>10021</v>
      </c>
      <c r="H351" s="6">
        <v>44981</v>
      </c>
      <c r="I351">
        <f t="shared" si="10"/>
        <v>0</v>
      </c>
      <c r="J351" t="str">
        <f t="shared" si="11"/>
        <v>Complete</v>
      </c>
      <c r="K351">
        <f>COUNTIFS(RawData[Item], B351,RawData[Quantity],C351,RawData[Price Per Unit],D351,RawData[Total Spent],E351,RawData[Payment Method],F351,RawData[Location],G351,RawData[Transaction Date],H351)</f>
        <v>1</v>
      </c>
      <c r="L351"/>
    </row>
    <row r="352" spans="1:12" x14ac:dyDescent="0.3">
      <c r="A352" t="s">
        <v>358</v>
      </c>
      <c r="B352" t="s">
        <v>10017</v>
      </c>
      <c r="C352">
        <v>2</v>
      </c>
      <c r="D352">
        <v>1.5</v>
      </c>
      <c r="E352">
        <v>3</v>
      </c>
      <c r="F352" t="s">
        <v>10019</v>
      </c>
      <c r="G352" t="s">
        <v>10021</v>
      </c>
      <c r="H352" s="6">
        <v>44984</v>
      </c>
      <c r="I352">
        <f t="shared" si="10"/>
        <v>0</v>
      </c>
      <c r="J352" t="str">
        <f t="shared" si="11"/>
        <v>Complete</v>
      </c>
      <c r="K352">
        <f>COUNTIFS(RawData[Item], B352,RawData[Quantity],C352,RawData[Price Per Unit],D352,RawData[Total Spent],E352,RawData[Payment Method],F352,RawData[Location],G352,RawData[Transaction Date],H352)</f>
        <v>1</v>
      </c>
      <c r="L352"/>
    </row>
    <row r="353" spans="1:12" x14ac:dyDescent="0.3">
      <c r="A353" t="s">
        <v>359</v>
      </c>
      <c r="B353" t="s">
        <v>10014</v>
      </c>
      <c r="C353">
        <v>5</v>
      </c>
      <c r="D353">
        <v>4</v>
      </c>
      <c r="E353" t="s">
        <v>10013</v>
      </c>
      <c r="F353" t="s">
        <v>10103</v>
      </c>
      <c r="G353" t="s">
        <v>10021</v>
      </c>
      <c r="H353" s="6">
        <v>45269</v>
      </c>
      <c r="I353">
        <f t="shared" si="10"/>
        <v>2</v>
      </c>
      <c r="J353" t="str">
        <f t="shared" si="11"/>
        <v>Complete</v>
      </c>
      <c r="K353">
        <f>COUNTIFS(RawData[Item], B353,RawData[Quantity],C353,RawData[Price Per Unit],D353,RawData[Total Spent],E353,RawData[Payment Method],F353,RawData[Location],G353,RawData[Transaction Date],H353)</f>
        <v>1</v>
      </c>
      <c r="L353"/>
    </row>
    <row r="354" spans="1:12" x14ac:dyDescent="0.3">
      <c r="A354" t="s">
        <v>360</v>
      </c>
      <c r="B354" t="s">
        <v>10012</v>
      </c>
      <c r="C354">
        <v>2</v>
      </c>
      <c r="D354">
        <v>4</v>
      </c>
      <c r="E354">
        <v>8</v>
      </c>
      <c r="F354" t="s">
        <v>10019</v>
      </c>
      <c r="G354" t="s">
        <v>10102</v>
      </c>
      <c r="H354" s="6">
        <v>45022</v>
      </c>
      <c r="I354">
        <f t="shared" si="10"/>
        <v>0</v>
      </c>
      <c r="J354" t="str">
        <f t="shared" si="11"/>
        <v>Complete</v>
      </c>
      <c r="K354">
        <f>COUNTIFS(RawData[Item], B354,RawData[Quantity],C354,RawData[Price Per Unit],D354,RawData[Total Spent],E354,RawData[Payment Method],F354,RawData[Location],G354,RawData[Transaction Date],H354)</f>
        <v>1</v>
      </c>
      <c r="L354"/>
    </row>
    <row r="355" spans="1:12" x14ac:dyDescent="0.3">
      <c r="A355" t="s">
        <v>361</v>
      </c>
      <c r="B355" t="s">
        <v>10014</v>
      </c>
      <c r="C355">
        <v>5</v>
      </c>
      <c r="D355">
        <v>4</v>
      </c>
      <c r="E355">
        <v>20</v>
      </c>
      <c r="F355" t="s">
        <v>10020</v>
      </c>
      <c r="G355" t="s">
        <v>10069</v>
      </c>
      <c r="H355" s="6">
        <v>45232</v>
      </c>
      <c r="I355">
        <f t="shared" si="10"/>
        <v>0</v>
      </c>
      <c r="J355" t="str">
        <f t="shared" si="11"/>
        <v>Complete</v>
      </c>
      <c r="K355">
        <f>COUNTIFS(RawData[Item], B355,RawData[Quantity],C355,RawData[Price Per Unit],D355,RawData[Total Spent],E355,RawData[Payment Method],F355,RawData[Location],G355,RawData[Transaction Date],H355)</f>
        <v>1</v>
      </c>
      <c r="L355"/>
    </row>
    <row r="356" spans="1:12" x14ac:dyDescent="0.3">
      <c r="A356" t="s">
        <v>362</v>
      </c>
      <c r="B356" t="s">
        <v>10008</v>
      </c>
      <c r="C356">
        <v>3</v>
      </c>
      <c r="D356">
        <v>2</v>
      </c>
      <c r="E356">
        <v>6</v>
      </c>
      <c r="F356" t="s">
        <v>10019</v>
      </c>
      <c r="G356" t="s">
        <v>10021</v>
      </c>
      <c r="H356" s="6">
        <v>45134</v>
      </c>
      <c r="I356">
        <f t="shared" si="10"/>
        <v>0</v>
      </c>
      <c r="J356" t="str">
        <f t="shared" si="11"/>
        <v>Complete</v>
      </c>
      <c r="K356">
        <f>COUNTIFS(RawData[Item], B356,RawData[Quantity],C356,RawData[Price Per Unit],D356,RawData[Total Spent],E356,RawData[Payment Method],F356,RawData[Location],G356,RawData[Transaction Date],H356)</f>
        <v>1</v>
      </c>
      <c r="L356"/>
    </row>
    <row r="357" spans="1:12" x14ac:dyDescent="0.3">
      <c r="A357" t="s">
        <v>363</v>
      </c>
      <c r="B357" t="s">
        <v>10016</v>
      </c>
      <c r="C357">
        <v>5</v>
      </c>
      <c r="D357">
        <v>3</v>
      </c>
      <c r="E357">
        <v>15</v>
      </c>
      <c r="F357" t="s">
        <v>10104</v>
      </c>
      <c r="G357" t="s">
        <v>10102</v>
      </c>
      <c r="H357" s="6">
        <v>44988</v>
      </c>
      <c r="I357">
        <f t="shared" si="10"/>
        <v>1</v>
      </c>
      <c r="J357" t="str">
        <f t="shared" si="11"/>
        <v>Complete</v>
      </c>
      <c r="K357">
        <f>COUNTIFS(RawData[Item], B357,RawData[Quantity],C357,RawData[Price Per Unit],D357,RawData[Total Spent],E357,RawData[Payment Method],F357,RawData[Location],G357,RawData[Transaction Date],H357)</f>
        <v>1</v>
      </c>
      <c r="L357"/>
    </row>
    <row r="358" spans="1:12" x14ac:dyDescent="0.3">
      <c r="A358" t="s">
        <v>364</v>
      </c>
      <c r="B358" t="s">
        <v>10069</v>
      </c>
      <c r="C358">
        <v>3</v>
      </c>
      <c r="D358">
        <v>4</v>
      </c>
      <c r="E358">
        <v>12</v>
      </c>
      <c r="F358" t="s">
        <v>10019</v>
      </c>
      <c r="G358" t="s">
        <v>10021</v>
      </c>
      <c r="H358" s="6">
        <v>44963</v>
      </c>
      <c r="I358">
        <f t="shared" si="10"/>
        <v>0</v>
      </c>
      <c r="J358" t="str">
        <f t="shared" si="11"/>
        <v>Complete</v>
      </c>
      <c r="K358">
        <f>COUNTIFS(RawData[Item], B358,RawData[Quantity],C358,RawData[Price Per Unit],D358,RawData[Total Spent],E358,RawData[Payment Method],F358,RawData[Location],G358,RawData[Transaction Date],H358)</f>
        <v>1</v>
      </c>
      <c r="L358"/>
    </row>
    <row r="359" spans="1:12" x14ac:dyDescent="0.3">
      <c r="A359" t="s">
        <v>365</v>
      </c>
      <c r="B359" t="s">
        <v>10008</v>
      </c>
      <c r="C359">
        <v>3</v>
      </c>
      <c r="D359">
        <v>2</v>
      </c>
      <c r="E359">
        <v>6</v>
      </c>
      <c r="F359" t="s">
        <v>10020</v>
      </c>
      <c r="G359" t="s">
        <v>10021</v>
      </c>
      <c r="H359" s="6">
        <v>45188</v>
      </c>
      <c r="I359">
        <f t="shared" si="10"/>
        <v>0</v>
      </c>
      <c r="J359" t="str">
        <f t="shared" si="11"/>
        <v>Complete</v>
      </c>
      <c r="K359">
        <f>COUNTIFS(RawData[Item], B359,RawData[Quantity],C359,RawData[Price Per Unit],D359,RawData[Total Spent],E359,RawData[Payment Method],F359,RawData[Location],G359,RawData[Transaction Date],H359)</f>
        <v>1</v>
      </c>
      <c r="L359"/>
    </row>
    <row r="360" spans="1:12" x14ac:dyDescent="0.3">
      <c r="A360" t="s">
        <v>366</v>
      </c>
      <c r="B360" t="s">
        <v>10012</v>
      </c>
      <c r="C360">
        <v>4</v>
      </c>
      <c r="D360">
        <v>4</v>
      </c>
      <c r="E360">
        <v>16</v>
      </c>
      <c r="F360" t="s">
        <v>10103</v>
      </c>
      <c r="G360" t="s">
        <v>10102</v>
      </c>
      <c r="H360" s="6">
        <v>44978</v>
      </c>
      <c r="I360">
        <f t="shared" si="10"/>
        <v>1</v>
      </c>
      <c r="J360" t="str">
        <f t="shared" si="11"/>
        <v>Complete</v>
      </c>
      <c r="K360">
        <f>COUNTIFS(RawData[Item], B360,RawData[Quantity],C360,RawData[Price Per Unit],D360,RawData[Total Spent],E360,RawData[Payment Method],F360,RawData[Location],G360,RawData[Transaction Date],H360)</f>
        <v>1</v>
      </c>
      <c r="L360"/>
    </row>
    <row r="361" spans="1:12" x14ac:dyDescent="0.3">
      <c r="A361" t="s">
        <v>367</v>
      </c>
      <c r="B361" t="s">
        <v>10009</v>
      </c>
      <c r="C361">
        <v>3</v>
      </c>
      <c r="D361">
        <v>3</v>
      </c>
      <c r="E361">
        <v>9</v>
      </c>
      <c r="F361" t="s">
        <v>10018</v>
      </c>
      <c r="G361" t="s">
        <v>10069</v>
      </c>
      <c r="H361" s="6">
        <v>45150</v>
      </c>
      <c r="I361">
        <f t="shared" si="10"/>
        <v>0</v>
      </c>
      <c r="J361" t="str">
        <f t="shared" si="11"/>
        <v>Complete</v>
      </c>
      <c r="K361">
        <f>COUNTIFS(RawData[Item], B361,RawData[Quantity],C361,RawData[Price Per Unit],D361,RawData[Total Spent],E361,RawData[Payment Method],F361,RawData[Location],G361,RawData[Transaction Date],H361)</f>
        <v>1</v>
      </c>
      <c r="L361"/>
    </row>
    <row r="362" spans="1:12" x14ac:dyDescent="0.3">
      <c r="A362" t="s">
        <v>368</v>
      </c>
      <c r="B362" t="s">
        <v>10014</v>
      </c>
      <c r="C362">
        <v>3</v>
      </c>
      <c r="D362">
        <v>4</v>
      </c>
      <c r="E362">
        <v>12</v>
      </c>
      <c r="F362" t="s">
        <v>10020</v>
      </c>
      <c r="G362" t="s">
        <v>10102</v>
      </c>
      <c r="H362" s="6">
        <v>45196</v>
      </c>
      <c r="I362">
        <f t="shared" si="10"/>
        <v>0</v>
      </c>
      <c r="J362" t="str">
        <f t="shared" si="11"/>
        <v>Complete</v>
      </c>
      <c r="K362">
        <f>COUNTIFS(RawData[Item], B362,RawData[Quantity],C362,RawData[Price Per Unit],D362,RawData[Total Spent],E362,RawData[Payment Method],F362,RawData[Location],G362,RawData[Transaction Date],H362)</f>
        <v>1</v>
      </c>
      <c r="L362"/>
    </row>
    <row r="363" spans="1:12" x14ac:dyDescent="0.3">
      <c r="A363" t="s">
        <v>369</v>
      </c>
      <c r="B363" t="s">
        <v>10010</v>
      </c>
      <c r="C363">
        <v>4</v>
      </c>
      <c r="D363">
        <v>1</v>
      </c>
      <c r="E363">
        <v>4</v>
      </c>
      <c r="F363" t="s">
        <v>10019</v>
      </c>
      <c r="G363" t="s">
        <v>10102</v>
      </c>
      <c r="H363" s="6">
        <v>45156</v>
      </c>
      <c r="I363">
        <f t="shared" si="10"/>
        <v>0</v>
      </c>
      <c r="J363" t="str">
        <f t="shared" si="11"/>
        <v>Complete</v>
      </c>
      <c r="K363">
        <f>COUNTIFS(RawData[Item], B363,RawData[Quantity],C363,RawData[Price Per Unit],D363,RawData[Total Spent],E363,RawData[Payment Method],F363,RawData[Location],G363,RawData[Transaction Date],H363)</f>
        <v>1</v>
      </c>
      <c r="L363"/>
    </row>
    <row r="364" spans="1:12" x14ac:dyDescent="0.3">
      <c r="A364" t="s">
        <v>370</v>
      </c>
      <c r="B364" t="s">
        <v>10069</v>
      </c>
      <c r="C364">
        <v>4</v>
      </c>
      <c r="D364">
        <v>4</v>
      </c>
      <c r="E364">
        <v>16</v>
      </c>
      <c r="F364" t="s">
        <v>10020</v>
      </c>
      <c r="G364" t="s">
        <v>10021</v>
      </c>
      <c r="H364" s="6">
        <v>45276</v>
      </c>
      <c r="I364">
        <f t="shared" si="10"/>
        <v>0</v>
      </c>
      <c r="J364" t="str">
        <f t="shared" si="11"/>
        <v>Complete</v>
      </c>
      <c r="K364">
        <f>COUNTIFS(RawData[Item], B364,RawData[Quantity],C364,RawData[Price Per Unit],D364,RawData[Total Spent],E364,RawData[Payment Method],F364,RawData[Location],G364,RawData[Transaction Date],H364)</f>
        <v>1</v>
      </c>
      <c r="L364"/>
    </row>
    <row r="365" spans="1:12" x14ac:dyDescent="0.3">
      <c r="A365" t="s">
        <v>371</v>
      </c>
      <c r="B365" t="s">
        <v>10017</v>
      </c>
      <c r="C365">
        <v>4</v>
      </c>
      <c r="D365">
        <v>1.5</v>
      </c>
      <c r="E365">
        <v>6</v>
      </c>
      <c r="F365" t="s">
        <v>10020</v>
      </c>
      <c r="G365" t="s">
        <v>10102</v>
      </c>
      <c r="H365" s="6">
        <v>44996</v>
      </c>
      <c r="I365">
        <f t="shared" si="10"/>
        <v>0</v>
      </c>
      <c r="J365" t="str">
        <f t="shared" si="11"/>
        <v>Complete</v>
      </c>
      <c r="K365">
        <f>COUNTIFS(RawData[Item], B365,RawData[Quantity],C365,RawData[Price Per Unit],D365,RawData[Total Spent],E365,RawData[Payment Method],F365,RawData[Location],G365,RawData[Transaction Date],H365)</f>
        <v>1</v>
      </c>
      <c r="L365"/>
    </row>
    <row r="366" spans="1:12" x14ac:dyDescent="0.3">
      <c r="A366" t="s">
        <v>372</v>
      </c>
      <c r="B366" t="s">
        <v>10016</v>
      </c>
      <c r="C366">
        <v>1</v>
      </c>
      <c r="D366">
        <v>3</v>
      </c>
      <c r="E366">
        <v>3</v>
      </c>
      <c r="F366" t="s">
        <v>10069</v>
      </c>
      <c r="G366" t="s">
        <v>10102</v>
      </c>
      <c r="H366" s="6">
        <v>45067</v>
      </c>
      <c r="I366">
        <f t="shared" si="10"/>
        <v>0</v>
      </c>
      <c r="J366" t="str">
        <f t="shared" si="11"/>
        <v>Complete</v>
      </c>
      <c r="K366">
        <f>COUNTIFS(RawData[Item], B366,RawData[Quantity],C366,RawData[Price Per Unit],D366,RawData[Total Spent],E366,RawData[Payment Method],F366,RawData[Location],G366,RawData[Transaction Date],H366)</f>
        <v>1</v>
      </c>
      <c r="L366"/>
    </row>
    <row r="367" spans="1:12" x14ac:dyDescent="0.3">
      <c r="A367" t="s">
        <v>373</v>
      </c>
      <c r="B367" t="s">
        <v>10017</v>
      </c>
      <c r="C367">
        <v>2</v>
      </c>
      <c r="D367">
        <v>1.5</v>
      </c>
      <c r="E367">
        <v>3</v>
      </c>
      <c r="F367" t="s">
        <v>10069</v>
      </c>
      <c r="G367" t="s">
        <v>10021</v>
      </c>
      <c r="H367" s="6">
        <v>44980</v>
      </c>
      <c r="I367">
        <f t="shared" si="10"/>
        <v>0</v>
      </c>
      <c r="J367" t="str">
        <f t="shared" si="11"/>
        <v>Complete</v>
      </c>
      <c r="K367">
        <f>COUNTIFS(RawData[Item], B367,RawData[Quantity],C367,RawData[Price Per Unit],D367,RawData[Total Spent],E367,RawData[Payment Method],F367,RawData[Location],G367,RawData[Transaction Date],H367)</f>
        <v>1</v>
      </c>
      <c r="L367"/>
    </row>
    <row r="368" spans="1:12" x14ac:dyDescent="0.3">
      <c r="A368" t="s">
        <v>374</v>
      </c>
      <c r="B368" t="s">
        <v>10015</v>
      </c>
      <c r="C368">
        <v>2</v>
      </c>
      <c r="D368">
        <v>3</v>
      </c>
      <c r="E368">
        <v>6</v>
      </c>
      <c r="F368" t="s">
        <v>10019</v>
      </c>
      <c r="G368" t="s">
        <v>10021</v>
      </c>
      <c r="H368" s="6">
        <v>45084</v>
      </c>
      <c r="I368">
        <f t="shared" si="10"/>
        <v>1</v>
      </c>
      <c r="J368" t="str">
        <f t="shared" si="11"/>
        <v>Complete</v>
      </c>
      <c r="K368">
        <f>COUNTIFS(RawData[Item], B368,RawData[Quantity],C368,RawData[Price Per Unit],D368,RawData[Total Spent],E368,RawData[Payment Method],F368,RawData[Location],G368,RawData[Transaction Date],H368)</f>
        <v>1</v>
      </c>
      <c r="L368"/>
    </row>
    <row r="369" spans="1:12" x14ac:dyDescent="0.3">
      <c r="A369" t="s">
        <v>375</v>
      </c>
      <c r="B369" t="s">
        <v>10009</v>
      </c>
      <c r="C369">
        <v>5</v>
      </c>
      <c r="D369">
        <v>3</v>
      </c>
      <c r="E369">
        <v>15</v>
      </c>
      <c r="F369" t="s">
        <v>10069</v>
      </c>
      <c r="G369" t="s">
        <v>10102</v>
      </c>
      <c r="H369" s="6">
        <v>45058</v>
      </c>
      <c r="I369">
        <f t="shared" si="10"/>
        <v>0</v>
      </c>
      <c r="J369" t="str">
        <f t="shared" si="11"/>
        <v>Complete</v>
      </c>
      <c r="K369">
        <f>COUNTIFS(RawData[Item], B369,RawData[Quantity],C369,RawData[Price Per Unit],D369,RawData[Total Spent],E369,RawData[Payment Method],F369,RawData[Location],G369,RawData[Transaction Date],H369)</f>
        <v>1</v>
      </c>
      <c r="L369"/>
    </row>
    <row r="370" spans="1:12" x14ac:dyDescent="0.3">
      <c r="A370" t="s">
        <v>376</v>
      </c>
      <c r="B370" t="s">
        <v>10012</v>
      </c>
      <c r="C370">
        <v>3</v>
      </c>
      <c r="D370">
        <v>4</v>
      </c>
      <c r="E370">
        <v>12</v>
      </c>
      <c r="F370" t="s">
        <v>10018</v>
      </c>
      <c r="G370" t="s">
        <v>10102</v>
      </c>
      <c r="H370" s="6">
        <v>45113</v>
      </c>
      <c r="I370">
        <f t="shared" si="10"/>
        <v>0</v>
      </c>
      <c r="J370" t="str">
        <f t="shared" si="11"/>
        <v>Complete</v>
      </c>
      <c r="K370">
        <f>COUNTIFS(RawData[Item], B370,RawData[Quantity],C370,RawData[Price Per Unit],D370,RawData[Total Spent],E370,RawData[Payment Method],F370,RawData[Location],G370,RawData[Transaction Date],H370)</f>
        <v>1</v>
      </c>
      <c r="L370"/>
    </row>
    <row r="371" spans="1:12" x14ac:dyDescent="0.3">
      <c r="A371" t="s">
        <v>377</v>
      </c>
      <c r="B371" t="s">
        <v>10069</v>
      </c>
      <c r="C371">
        <v>2</v>
      </c>
      <c r="D371">
        <v>4</v>
      </c>
      <c r="E371">
        <v>8</v>
      </c>
      <c r="F371" t="s">
        <v>10019</v>
      </c>
      <c r="G371" t="s">
        <v>10069</v>
      </c>
      <c r="H371" s="6">
        <v>45097</v>
      </c>
      <c r="I371">
        <f t="shared" si="10"/>
        <v>0</v>
      </c>
      <c r="J371" t="str">
        <f t="shared" si="11"/>
        <v>Complete</v>
      </c>
      <c r="K371">
        <f>COUNTIFS(RawData[Item], B371,RawData[Quantity],C371,RawData[Price Per Unit],D371,RawData[Total Spent],E371,RawData[Payment Method],F371,RawData[Location],G371,RawData[Transaction Date],H371)</f>
        <v>1</v>
      </c>
      <c r="L371"/>
    </row>
    <row r="372" spans="1:12" x14ac:dyDescent="0.3">
      <c r="A372" t="s">
        <v>378</v>
      </c>
      <c r="B372" t="s">
        <v>10013</v>
      </c>
      <c r="C372">
        <v>1</v>
      </c>
      <c r="D372">
        <v>5</v>
      </c>
      <c r="E372">
        <v>5</v>
      </c>
      <c r="F372" t="s">
        <v>10019</v>
      </c>
      <c r="G372" t="s">
        <v>10021</v>
      </c>
      <c r="H372" s="6">
        <v>45282</v>
      </c>
      <c r="I372">
        <f t="shared" si="10"/>
        <v>1</v>
      </c>
      <c r="J372" t="str">
        <f t="shared" si="11"/>
        <v>Complete</v>
      </c>
      <c r="K372">
        <f>COUNTIFS(RawData[Item], B372,RawData[Quantity],C372,RawData[Price Per Unit],D372,RawData[Total Spent],E372,RawData[Payment Method],F372,RawData[Location],G372,RawData[Transaction Date],H372)</f>
        <v>1</v>
      </c>
      <c r="L372"/>
    </row>
    <row r="373" spans="1:12" x14ac:dyDescent="0.3">
      <c r="A373" t="s">
        <v>379</v>
      </c>
      <c r="B373" t="s">
        <v>10010</v>
      </c>
      <c r="C373">
        <v>2</v>
      </c>
      <c r="D373">
        <v>0</v>
      </c>
      <c r="E373">
        <v>2</v>
      </c>
      <c r="F373" t="s">
        <v>10019</v>
      </c>
      <c r="G373" t="s">
        <v>10021</v>
      </c>
      <c r="H373" s="6">
        <v>45171</v>
      </c>
      <c r="I373">
        <f t="shared" si="10"/>
        <v>0</v>
      </c>
      <c r="J373" t="str">
        <f t="shared" si="11"/>
        <v>Complete</v>
      </c>
      <c r="K373">
        <f>COUNTIFS(RawData[Item], B373,RawData[Quantity],C373,RawData[Price Per Unit],D373,RawData[Total Spent],E373,RawData[Payment Method],F373,RawData[Location],G373,RawData[Transaction Date],H373)</f>
        <v>1</v>
      </c>
      <c r="L373"/>
    </row>
    <row r="374" spans="1:12" x14ac:dyDescent="0.3">
      <c r="A374" t="s">
        <v>380</v>
      </c>
      <c r="B374" t="s">
        <v>10015</v>
      </c>
      <c r="C374">
        <v>4</v>
      </c>
      <c r="D374">
        <v>4</v>
      </c>
      <c r="E374">
        <v>16</v>
      </c>
      <c r="F374" t="s">
        <v>10019</v>
      </c>
      <c r="G374" t="s">
        <v>10021</v>
      </c>
      <c r="H374" s="6">
        <v>44940</v>
      </c>
      <c r="I374">
        <f t="shared" si="10"/>
        <v>1</v>
      </c>
      <c r="J374" t="str">
        <f t="shared" si="11"/>
        <v>Complete</v>
      </c>
      <c r="K374">
        <f>COUNTIFS(RawData[Item], B374,RawData[Quantity],C374,RawData[Price Per Unit],D374,RawData[Total Spent],E374,RawData[Payment Method],F374,RawData[Location],G374,RawData[Transaction Date],H374)</f>
        <v>1</v>
      </c>
      <c r="L374"/>
    </row>
    <row r="375" spans="1:12" x14ac:dyDescent="0.3">
      <c r="A375" t="s">
        <v>381</v>
      </c>
      <c r="B375" t="s">
        <v>10011</v>
      </c>
      <c r="C375">
        <v>2</v>
      </c>
      <c r="D375">
        <v>5</v>
      </c>
      <c r="E375">
        <v>10</v>
      </c>
      <c r="F375" t="s">
        <v>10020</v>
      </c>
      <c r="G375" t="s">
        <v>10021</v>
      </c>
      <c r="H375" s="6">
        <v>45147</v>
      </c>
      <c r="I375">
        <f t="shared" si="10"/>
        <v>0</v>
      </c>
      <c r="J375" t="str">
        <f t="shared" si="11"/>
        <v>Complete</v>
      </c>
      <c r="K375">
        <f>COUNTIFS(RawData[Item], B375,RawData[Quantity],C375,RawData[Price Per Unit],D375,RawData[Total Spent],E375,RawData[Payment Method],F375,RawData[Location],G375,RawData[Transaction Date],H375)</f>
        <v>1</v>
      </c>
      <c r="L375"/>
    </row>
    <row r="376" spans="1:12" x14ac:dyDescent="0.3">
      <c r="A376" t="s">
        <v>382</v>
      </c>
      <c r="B376" t="s">
        <v>10009</v>
      </c>
      <c r="C376">
        <v>3</v>
      </c>
      <c r="D376">
        <v>3</v>
      </c>
      <c r="E376">
        <v>9</v>
      </c>
      <c r="F376" t="s">
        <v>10020</v>
      </c>
      <c r="G376" t="s">
        <v>10102</v>
      </c>
      <c r="H376" s="6">
        <v>44984</v>
      </c>
      <c r="I376">
        <f t="shared" si="10"/>
        <v>0</v>
      </c>
      <c r="J376" t="str">
        <f t="shared" si="11"/>
        <v>Complete</v>
      </c>
      <c r="K376">
        <f>COUNTIFS(RawData[Item], B376,RawData[Quantity],C376,RawData[Price Per Unit],D376,RawData[Total Spent],E376,RawData[Payment Method],F376,RawData[Location],G376,RawData[Transaction Date],H376)</f>
        <v>1</v>
      </c>
      <c r="L376"/>
    </row>
    <row r="377" spans="1:12" x14ac:dyDescent="0.3">
      <c r="A377" t="s">
        <v>383</v>
      </c>
      <c r="B377" t="s">
        <v>10008</v>
      </c>
      <c r="C377">
        <v>1</v>
      </c>
      <c r="D377">
        <v>2</v>
      </c>
      <c r="E377">
        <v>2</v>
      </c>
      <c r="F377" t="s">
        <v>10019</v>
      </c>
      <c r="G377" t="s">
        <v>10102</v>
      </c>
      <c r="H377" s="6">
        <v>45060</v>
      </c>
      <c r="I377">
        <f t="shared" si="10"/>
        <v>0</v>
      </c>
      <c r="J377" t="str">
        <f t="shared" si="11"/>
        <v>Complete</v>
      </c>
      <c r="K377">
        <f>COUNTIFS(RawData[Item], B377,RawData[Quantity],C377,RawData[Price Per Unit],D377,RawData[Total Spent],E377,RawData[Payment Method],F377,RawData[Location],G377,RawData[Transaction Date],H377)</f>
        <v>1</v>
      </c>
      <c r="L377"/>
    </row>
    <row r="378" spans="1:12" x14ac:dyDescent="0.3">
      <c r="A378" t="s">
        <v>384</v>
      </c>
      <c r="B378" t="s">
        <v>10008</v>
      </c>
      <c r="C378">
        <v>0</v>
      </c>
      <c r="D378">
        <v>2</v>
      </c>
      <c r="E378">
        <v>4</v>
      </c>
      <c r="F378" t="s">
        <v>10018</v>
      </c>
      <c r="G378" t="s">
        <v>10102</v>
      </c>
      <c r="H378" s="6">
        <v>45125</v>
      </c>
      <c r="I378">
        <f t="shared" si="10"/>
        <v>0</v>
      </c>
      <c r="J378" t="str">
        <f t="shared" si="11"/>
        <v>Complete</v>
      </c>
      <c r="K378">
        <f>COUNTIFS(RawData[Item], B378,RawData[Quantity],C378,RawData[Price Per Unit],D378,RawData[Total Spent],E378,RawData[Payment Method],F378,RawData[Location],G378,RawData[Transaction Date],H378)</f>
        <v>1</v>
      </c>
      <c r="L378"/>
    </row>
    <row r="379" spans="1:12" x14ac:dyDescent="0.3">
      <c r="A379" t="s">
        <v>385</v>
      </c>
      <c r="B379" t="s">
        <v>10010</v>
      </c>
      <c r="C379">
        <v>2</v>
      </c>
      <c r="D379">
        <v>1</v>
      </c>
      <c r="E379">
        <v>2</v>
      </c>
      <c r="F379" t="s">
        <v>10018</v>
      </c>
      <c r="G379" t="s">
        <v>10021</v>
      </c>
      <c r="H379" s="6">
        <v>45207</v>
      </c>
      <c r="I379">
        <f t="shared" si="10"/>
        <v>0</v>
      </c>
      <c r="J379" t="str">
        <f t="shared" si="11"/>
        <v>Complete</v>
      </c>
      <c r="K379">
        <f>COUNTIFS(RawData[Item], B379,RawData[Quantity],C379,RawData[Price Per Unit],D379,RawData[Total Spent],E379,RawData[Payment Method],F379,RawData[Location],G379,RawData[Transaction Date],H379)</f>
        <v>2</v>
      </c>
      <c r="L379"/>
    </row>
    <row r="380" spans="1:12" x14ac:dyDescent="0.3">
      <c r="A380" t="s">
        <v>386</v>
      </c>
      <c r="B380" t="s">
        <v>10009</v>
      </c>
      <c r="C380">
        <v>5</v>
      </c>
      <c r="D380">
        <v>3</v>
      </c>
      <c r="E380">
        <v>15</v>
      </c>
      <c r="F380" t="s">
        <v>10020</v>
      </c>
      <c r="G380" t="s">
        <v>10069</v>
      </c>
      <c r="H380" s="6">
        <v>45006</v>
      </c>
      <c r="I380">
        <f t="shared" si="10"/>
        <v>0</v>
      </c>
      <c r="J380" t="str">
        <f t="shared" si="11"/>
        <v>Complete</v>
      </c>
      <c r="K380">
        <f>COUNTIFS(RawData[Item], B380,RawData[Quantity],C380,RawData[Price Per Unit],D380,RawData[Total Spent],E380,RawData[Payment Method],F380,RawData[Location],G380,RawData[Transaction Date],H380)</f>
        <v>1</v>
      </c>
      <c r="L380"/>
    </row>
    <row r="381" spans="1:12" x14ac:dyDescent="0.3">
      <c r="A381" t="s">
        <v>387</v>
      </c>
      <c r="B381" t="s">
        <v>10009</v>
      </c>
      <c r="C381">
        <v>5</v>
      </c>
      <c r="D381">
        <v>3</v>
      </c>
      <c r="E381">
        <v>15</v>
      </c>
      <c r="F381" t="s">
        <v>10069</v>
      </c>
      <c r="G381" t="s">
        <v>10069</v>
      </c>
      <c r="H381" s="6">
        <v>45154</v>
      </c>
      <c r="I381">
        <f t="shared" si="10"/>
        <v>0</v>
      </c>
      <c r="J381" t="str">
        <f t="shared" si="11"/>
        <v>Complete</v>
      </c>
      <c r="K381">
        <f>COUNTIFS(RawData[Item], B381,RawData[Quantity],C381,RawData[Price Per Unit],D381,RawData[Total Spent],E381,RawData[Payment Method],F381,RawData[Location],G381,RawData[Transaction Date],H381)</f>
        <v>1</v>
      </c>
      <c r="L381"/>
    </row>
    <row r="382" spans="1:12" x14ac:dyDescent="0.3">
      <c r="A382" t="s">
        <v>388</v>
      </c>
      <c r="B382" t="s">
        <v>10017</v>
      </c>
      <c r="C382">
        <v>3</v>
      </c>
      <c r="D382">
        <v>1.5</v>
      </c>
      <c r="E382">
        <v>4.5</v>
      </c>
      <c r="F382" t="s">
        <v>10019</v>
      </c>
      <c r="G382" t="s">
        <v>10021</v>
      </c>
      <c r="H382" s="6" t="s">
        <v>10112</v>
      </c>
      <c r="I382">
        <f t="shared" si="10"/>
        <v>1</v>
      </c>
      <c r="J382" t="str">
        <f t="shared" si="11"/>
        <v>Incomplete</v>
      </c>
      <c r="K382">
        <f>COUNTIFS(RawData[Item], B382,RawData[Quantity],C382,RawData[Price Per Unit],D382,RawData[Total Spent],E382,RawData[Payment Method],F382,RawData[Location],G382,RawData[Transaction Date],H382)</f>
        <v>1</v>
      </c>
      <c r="L382"/>
    </row>
    <row r="383" spans="1:12" x14ac:dyDescent="0.3">
      <c r="A383" t="s">
        <v>389</v>
      </c>
      <c r="B383" t="s">
        <v>10017</v>
      </c>
      <c r="C383">
        <v>5</v>
      </c>
      <c r="D383">
        <v>1.5</v>
      </c>
      <c r="E383">
        <v>7.5</v>
      </c>
      <c r="F383" t="s">
        <v>10069</v>
      </c>
      <c r="G383" t="s">
        <v>10021</v>
      </c>
      <c r="H383" s="6">
        <v>45036</v>
      </c>
      <c r="I383">
        <f t="shared" si="10"/>
        <v>0</v>
      </c>
      <c r="J383" t="str">
        <f t="shared" si="11"/>
        <v>Complete</v>
      </c>
      <c r="K383">
        <f>COUNTIFS(RawData[Item], B383,RawData[Quantity],C383,RawData[Price Per Unit],D383,RawData[Total Spent],E383,RawData[Payment Method],F383,RawData[Location],G383,RawData[Transaction Date],H383)</f>
        <v>1</v>
      </c>
      <c r="L383"/>
    </row>
    <row r="384" spans="1:12" x14ac:dyDescent="0.3">
      <c r="A384" t="s">
        <v>390</v>
      </c>
      <c r="B384" t="s">
        <v>10010</v>
      </c>
      <c r="C384">
        <v>1</v>
      </c>
      <c r="D384">
        <v>1</v>
      </c>
      <c r="E384">
        <v>1</v>
      </c>
      <c r="F384" t="s">
        <v>10018</v>
      </c>
      <c r="G384" t="s">
        <v>10102</v>
      </c>
      <c r="H384" s="6">
        <v>45256</v>
      </c>
      <c r="I384">
        <f t="shared" si="10"/>
        <v>0</v>
      </c>
      <c r="J384" t="str">
        <f t="shared" si="11"/>
        <v>Complete</v>
      </c>
      <c r="K384">
        <f>COUNTIFS(RawData[Item], B384,RawData[Quantity],C384,RawData[Price Per Unit],D384,RawData[Total Spent],E384,RawData[Payment Method],F384,RawData[Location],G384,RawData[Transaction Date],H384)</f>
        <v>1</v>
      </c>
      <c r="L384"/>
    </row>
    <row r="385" spans="1:12" x14ac:dyDescent="0.3">
      <c r="A385" t="s">
        <v>391</v>
      </c>
      <c r="B385" t="s">
        <v>10011</v>
      </c>
      <c r="C385">
        <v>4</v>
      </c>
      <c r="D385">
        <v>5</v>
      </c>
      <c r="E385">
        <v>20</v>
      </c>
      <c r="F385" t="s">
        <v>10018</v>
      </c>
      <c r="G385" t="s">
        <v>10069</v>
      </c>
      <c r="H385" s="6">
        <v>45209</v>
      </c>
      <c r="I385">
        <f t="shared" si="10"/>
        <v>0</v>
      </c>
      <c r="J385" t="str">
        <f t="shared" si="11"/>
        <v>Complete</v>
      </c>
      <c r="K385">
        <f>COUNTIFS(RawData[Item], B385,RawData[Quantity],C385,RawData[Price Per Unit],D385,RawData[Total Spent],E385,RawData[Payment Method],F385,RawData[Location],G385,RawData[Transaction Date],H385)</f>
        <v>1</v>
      </c>
      <c r="L385"/>
    </row>
    <row r="386" spans="1:12" x14ac:dyDescent="0.3">
      <c r="A386" t="s">
        <v>392</v>
      </c>
      <c r="B386" t="s">
        <v>10011</v>
      </c>
      <c r="C386">
        <v>1</v>
      </c>
      <c r="D386">
        <v>5</v>
      </c>
      <c r="E386">
        <v>5</v>
      </c>
      <c r="F386" t="s">
        <v>10019</v>
      </c>
      <c r="G386" t="s">
        <v>10021</v>
      </c>
      <c r="H386" s="6">
        <v>45056</v>
      </c>
      <c r="I386">
        <f t="shared" ref="I386:I449" si="12">(B386="Unknown")+(B386="Error")+(C386="Unknown")+(C386="Error")+(D386="Unknown")+(D386="Error")+(E386="Unknown")+(E386="Error")+(F386="Unknown")+(F386="Error")+(G386="Unknown")+(G386="Error")+(H386="No Date")</f>
        <v>0</v>
      </c>
      <c r="J386" t="str">
        <f t="shared" ref="J386:J449" si="13">IF((H386="No Date"),"Incomplete","Complete")</f>
        <v>Complete</v>
      </c>
      <c r="K386">
        <f>COUNTIFS(RawData[Item], B386,RawData[Quantity],C386,RawData[Price Per Unit],D386,RawData[Total Spent],E386,RawData[Payment Method],F386,RawData[Location],G386,RawData[Transaction Date],H386)</f>
        <v>1</v>
      </c>
      <c r="L386"/>
    </row>
    <row r="387" spans="1:12" x14ac:dyDescent="0.3">
      <c r="A387" t="s">
        <v>393</v>
      </c>
      <c r="B387" t="s">
        <v>10015</v>
      </c>
      <c r="C387">
        <v>5</v>
      </c>
      <c r="D387">
        <v>2</v>
      </c>
      <c r="E387">
        <v>10</v>
      </c>
      <c r="F387" t="s">
        <v>10019</v>
      </c>
      <c r="G387" t="s">
        <v>10021</v>
      </c>
      <c r="H387" s="6">
        <v>44985</v>
      </c>
      <c r="I387">
        <f t="shared" si="12"/>
        <v>1</v>
      </c>
      <c r="J387" t="str">
        <f t="shared" si="13"/>
        <v>Complete</v>
      </c>
      <c r="K387">
        <f>COUNTIFS(RawData[Item], B387,RawData[Quantity],C387,RawData[Price Per Unit],D387,RawData[Total Spent],E387,RawData[Payment Method],F387,RawData[Location],G387,RawData[Transaction Date],H387)</f>
        <v>1</v>
      </c>
      <c r="L387"/>
    </row>
    <row r="388" spans="1:12" x14ac:dyDescent="0.3">
      <c r="A388" t="s">
        <v>394</v>
      </c>
      <c r="B388" t="s">
        <v>10013</v>
      </c>
      <c r="C388">
        <v>2</v>
      </c>
      <c r="D388">
        <v>3</v>
      </c>
      <c r="E388">
        <v>6</v>
      </c>
      <c r="F388" t="s">
        <v>10020</v>
      </c>
      <c r="G388" t="s">
        <v>10102</v>
      </c>
      <c r="H388" s="6">
        <v>44959</v>
      </c>
      <c r="I388">
        <f t="shared" si="12"/>
        <v>1</v>
      </c>
      <c r="J388" t="str">
        <f t="shared" si="13"/>
        <v>Complete</v>
      </c>
      <c r="K388">
        <f>COUNTIFS(RawData[Item], B388,RawData[Quantity],C388,RawData[Price Per Unit],D388,RawData[Total Spent],E388,RawData[Payment Method],F388,RawData[Location],G388,RawData[Transaction Date],H388)</f>
        <v>1</v>
      </c>
      <c r="L388"/>
    </row>
    <row r="389" spans="1:12" x14ac:dyDescent="0.3">
      <c r="A389" t="s">
        <v>395</v>
      </c>
      <c r="B389" t="s">
        <v>10016</v>
      </c>
      <c r="C389">
        <v>5</v>
      </c>
      <c r="D389">
        <v>3</v>
      </c>
      <c r="E389" t="s">
        <v>10013</v>
      </c>
      <c r="F389" t="s">
        <v>10019</v>
      </c>
      <c r="G389" t="s">
        <v>10069</v>
      </c>
      <c r="H389" s="6">
        <v>44954</v>
      </c>
      <c r="I389">
        <f t="shared" si="12"/>
        <v>1</v>
      </c>
      <c r="J389" t="str">
        <f t="shared" si="13"/>
        <v>Complete</v>
      </c>
      <c r="K389">
        <f>COUNTIFS(RawData[Item], B389,RawData[Quantity],C389,RawData[Price Per Unit],D389,RawData[Total Spent],E389,RawData[Payment Method],F389,RawData[Location],G389,RawData[Transaction Date],H389)</f>
        <v>1</v>
      </c>
      <c r="L389"/>
    </row>
    <row r="390" spans="1:12" x14ac:dyDescent="0.3">
      <c r="A390" t="s">
        <v>396</v>
      </c>
      <c r="B390" t="s">
        <v>10069</v>
      </c>
      <c r="C390">
        <v>1</v>
      </c>
      <c r="D390">
        <v>1</v>
      </c>
      <c r="E390">
        <v>1</v>
      </c>
      <c r="F390" t="s">
        <v>10018</v>
      </c>
      <c r="G390" t="s">
        <v>10069</v>
      </c>
      <c r="H390" s="6">
        <v>45152</v>
      </c>
      <c r="I390">
        <f t="shared" si="12"/>
        <v>0</v>
      </c>
      <c r="J390" t="str">
        <f t="shared" si="13"/>
        <v>Complete</v>
      </c>
      <c r="K390">
        <f>COUNTIFS(RawData[Item], B390,RawData[Quantity],C390,RawData[Price Per Unit],D390,RawData[Total Spent],E390,RawData[Payment Method],F390,RawData[Location],G390,RawData[Transaction Date],H390)</f>
        <v>1</v>
      </c>
      <c r="L390"/>
    </row>
    <row r="391" spans="1:12" x14ac:dyDescent="0.3">
      <c r="A391" t="s">
        <v>397</v>
      </c>
      <c r="B391" t="s">
        <v>10008</v>
      </c>
      <c r="C391">
        <v>5</v>
      </c>
      <c r="D391">
        <v>2</v>
      </c>
      <c r="E391">
        <v>10</v>
      </c>
      <c r="F391" t="s">
        <v>10019</v>
      </c>
      <c r="G391" t="s">
        <v>10021</v>
      </c>
      <c r="H391" s="6" t="s">
        <v>10112</v>
      </c>
      <c r="I391">
        <f t="shared" si="12"/>
        <v>1</v>
      </c>
      <c r="J391" t="str">
        <f t="shared" si="13"/>
        <v>Incomplete</v>
      </c>
      <c r="K391">
        <f>COUNTIFS(RawData[Item], B391,RawData[Quantity],C391,RawData[Price Per Unit],D391,RawData[Total Spent],E391,RawData[Payment Method],F391,RawData[Location],G391,RawData[Transaction Date],H391)</f>
        <v>2</v>
      </c>
      <c r="L391"/>
    </row>
    <row r="392" spans="1:12" x14ac:dyDescent="0.3">
      <c r="A392" t="s">
        <v>398</v>
      </c>
      <c r="B392" t="s">
        <v>10017</v>
      </c>
      <c r="C392">
        <v>5</v>
      </c>
      <c r="D392">
        <v>1.5</v>
      </c>
      <c r="E392">
        <v>7.5</v>
      </c>
      <c r="F392" t="s">
        <v>10069</v>
      </c>
      <c r="G392" t="s">
        <v>10069</v>
      </c>
      <c r="H392" s="6">
        <v>45195</v>
      </c>
      <c r="I392">
        <f t="shared" si="12"/>
        <v>0</v>
      </c>
      <c r="J392" t="str">
        <f t="shared" si="13"/>
        <v>Complete</v>
      </c>
      <c r="K392">
        <f>COUNTIFS(RawData[Item], B392,RawData[Quantity],C392,RawData[Price Per Unit],D392,RawData[Total Spent],E392,RawData[Payment Method],F392,RawData[Location],G392,RawData[Transaction Date],H392)</f>
        <v>1</v>
      </c>
      <c r="L392"/>
    </row>
    <row r="393" spans="1:12" x14ac:dyDescent="0.3">
      <c r="A393" t="s">
        <v>399</v>
      </c>
      <c r="B393" t="s">
        <v>10016</v>
      </c>
      <c r="C393">
        <v>3</v>
      </c>
      <c r="D393">
        <v>3</v>
      </c>
      <c r="E393">
        <v>9</v>
      </c>
      <c r="F393" t="s">
        <v>10019</v>
      </c>
      <c r="G393" t="s">
        <v>10102</v>
      </c>
      <c r="H393" s="6">
        <v>45000</v>
      </c>
      <c r="I393">
        <f t="shared" si="12"/>
        <v>0</v>
      </c>
      <c r="J393" t="str">
        <f t="shared" si="13"/>
        <v>Complete</v>
      </c>
      <c r="K393">
        <f>COUNTIFS(RawData[Item], B393,RawData[Quantity],C393,RawData[Price Per Unit],D393,RawData[Total Spent],E393,RawData[Payment Method],F393,RawData[Location],G393,RawData[Transaction Date],H393)</f>
        <v>1</v>
      </c>
      <c r="L393"/>
    </row>
    <row r="394" spans="1:12" x14ac:dyDescent="0.3">
      <c r="A394" t="s">
        <v>400</v>
      </c>
      <c r="B394" t="s">
        <v>10009</v>
      </c>
      <c r="C394">
        <v>2</v>
      </c>
      <c r="D394">
        <v>3</v>
      </c>
      <c r="E394">
        <v>6</v>
      </c>
      <c r="F394" t="s">
        <v>10018</v>
      </c>
      <c r="G394" t="s">
        <v>10069</v>
      </c>
      <c r="H394" s="6">
        <v>44939</v>
      </c>
      <c r="I394">
        <f t="shared" si="12"/>
        <v>0</v>
      </c>
      <c r="J394" t="str">
        <f t="shared" si="13"/>
        <v>Complete</v>
      </c>
      <c r="K394">
        <f>COUNTIFS(RawData[Item], B394,RawData[Quantity],C394,RawData[Price Per Unit],D394,RawData[Total Spent],E394,RawData[Payment Method],F394,RawData[Location],G394,RawData[Transaction Date],H394)</f>
        <v>1</v>
      </c>
      <c r="L394"/>
    </row>
    <row r="395" spans="1:12" x14ac:dyDescent="0.3">
      <c r="A395" t="s">
        <v>401</v>
      </c>
      <c r="B395" t="s">
        <v>10017</v>
      </c>
      <c r="C395">
        <v>2</v>
      </c>
      <c r="D395">
        <v>1.5</v>
      </c>
      <c r="E395">
        <v>3</v>
      </c>
      <c r="F395" t="s">
        <v>10069</v>
      </c>
      <c r="G395" t="s">
        <v>10021</v>
      </c>
      <c r="H395" s="6">
        <v>44963</v>
      </c>
      <c r="I395">
        <f t="shared" si="12"/>
        <v>0</v>
      </c>
      <c r="J395" t="str">
        <f t="shared" si="13"/>
        <v>Complete</v>
      </c>
      <c r="K395">
        <f>COUNTIFS(RawData[Item], B395,RawData[Quantity],C395,RawData[Price Per Unit],D395,RawData[Total Spent],E395,RawData[Payment Method],F395,RawData[Location],G395,RawData[Transaction Date],H395)</f>
        <v>1</v>
      </c>
      <c r="L395"/>
    </row>
    <row r="396" spans="1:12" x14ac:dyDescent="0.3">
      <c r="A396" t="s">
        <v>402</v>
      </c>
      <c r="B396" t="s">
        <v>10010</v>
      </c>
      <c r="C396">
        <v>5</v>
      </c>
      <c r="D396">
        <v>1</v>
      </c>
      <c r="E396">
        <v>5</v>
      </c>
      <c r="F396" t="s">
        <v>10019</v>
      </c>
      <c r="G396" t="s">
        <v>10102</v>
      </c>
      <c r="H396" s="6">
        <v>45215</v>
      </c>
      <c r="I396">
        <f t="shared" si="12"/>
        <v>0</v>
      </c>
      <c r="J396" t="str">
        <f t="shared" si="13"/>
        <v>Complete</v>
      </c>
      <c r="K396">
        <f>COUNTIFS(RawData[Item], B396,RawData[Quantity],C396,RawData[Price Per Unit],D396,RawData[Total Spent],E396,RawData[Payment Method],F396,RawData[Location],G396,RawData[Transaction Date],H396)</f>
        <v>1</v>
      </c>
      <c r="L396"/>
    </row>
    <row r="397" spans="1:12" x14ac:dyDescent="0.3">
      <c r="A397" t="s">
        <v>403</v>
      </c>
      <c r="B397" t="s">
        <v>10009</v>
      </c>
      <c r="C397">
        <v>1</v>
      </c>
      <c r="D397">
        <v>3</v>
      </c>
      <c r="E397">
        <v>3</v>
      </c>
      <c r="F397" t="s">
        <v>10019</v>
      </c>
      <c r="G397" t="s">
        <v>10102</v>
      </c>
      <c r="H397" s="6">
        <v>45122</v>
      </c>
      <c r="I397">
        <f t="shared" si="12"/>
        <v>0</v>
      </c>
      <c r="J397" t="str">
        <f t="shared" si="13"/>
        <v>Complete</v>
      </c>
      <c r="K397">
        <f>COUNTIFS(RawData[Item], B397,RawData[Quantity],C397,RawData[Price Per Unit],D397,RawData[Total Spent],E397,RawData[Payment Method],F397,RawData[Location],G397,RawData[Transaction Date],H397)</f>
        <v>1</v>
      </c>
      <c r="L397"/>
    </row>
    <row r="398" spans="1:12" x14ac:dyDescent="0.3">
      <c r="A398" t="s">
        <v>404</v>
      </c>
      <c r="B398" t="s">
        <v>10014</v>
      </c>
      <c r="C398">
        <v>5</v>
      </c>
      <c r="D398">
        <v>4</v>
      </c>
      <c r="E398">
        <v>20</v>
      </c>
      <c r="F398" t="s">
        <v>10020</v>
      </c>
      <c r="G398" t="s">
        <v>10102</v>
      </c>
      <c r="H398" s="6">
        <v>45074</v>
      </c>
      <c r="I398">
        <f t="shared" si="12"/>
        <v>0</v>
      </c>
      <c r="J398" t="str">
        <f t="shared" si="13"/>
        <v>Complete</v>
      </c>
      <c r="K398">
        <f>COUNTIFS(RawData[Item], B398,RawData[Quantity],C398,RawData[Price Per Unit],D398,RawData[Total Spent],E398,RawData[Payment Method],F398,RawData[Location],G398,RawData[Transaction Date],H398)</f>
        <v>1</v>
      </c>
      <c r="L398"/>
    </row>
    <row r="399" spans="1:12" x14ac:dyDescent="0.3">
      <c r="A399" t="s">
        <v>405</v>
      </c>
      <c r="B399" t="s">
        <v>10017</v>
      </c>
      <c r="C399">
        <v>4</v>
      </c>
      <c r="D399">
        <v>1.5</v>
      </c>
      <c r="E399">
        <v>6</v>
      </c>
      <c r="F399" t="s">
        <v>10020</v>
      </c>
      <c r="G399" t="s">
        <v>10021</v>
      </c>
      <c r="H399" s="6">
        <v>45011</v>
      </c>
      <c r="I399">
        <f t="shared" si="12"/>
        <v>0</v>
      </c>
      <c r="J399" t="str">
        <f t="shared" si="13"/>
        <v>Complete</v>
      </c>
      <c r="K399">
        <f>COUNTIFS(RawData[Item], B399,RawData[Quantity],C399,RawData[Price Per Unit],D399,RawData[Total Spent],E399,RawData[Payment Method],F399,RawData[Location],G399,RawData[Transaction Date],H399)</f>
        <v>1</v>
      </c>
      <c r="L399"/>
    </row>
    <row r="400" spans="1:12" x14ac:dyDescent="0.3">
      <c r="A400" t="s">
        <v>406</v>
      </c>
      <c r="B400" t="s">
        <v>10010</v>
      </c>
      <c r="C400">
        <v>1</v>
      </c>
      <c r="D400">
        <v>1</v>
      </c>
      <c r="E400">
        <v>1</v>
      </c>
      <c r="F400" t="s">
        <v>10018</v>
      </c>
      <c r="G400" t="s">
        <v>10069</v>
      </c>
      <c r="H400" s="6">
        <v>45039</v>
      </c>
      <c r="I400">
        <f t="shared" si="12"/>
        <v>0</v>
      </c>
      <c r="J400" t="str">
        <f t="shared" si="13"/>
        <v>Complete</v>
      </c>
      <c r="K400">
        <f>COUNTIFS(RawData[Item], B400,RawData[Quantity],C400,RawData[Price Per Unit],D400,RawData[Total Spent],E400,RawData[Payment Method],F400,RawData[Location],G400,RawData[Transaction Date],H400)</f>
        <v>2</v>
      </c>
      <c r="L400"/>
    </row>
    <row r="401" spans="1:12" x14ac:dyDescent="0.3">
      <c r="A401" t="s">
        <v>407</v>
      </c>
      <c r="B401" t="s">
        <v>10009</v>
      </c>
      <c r="C401">
        <v>1</v>
      </c>
      <c r="D401">
        <v>3</v>
      </c>
      <c r="E401">
        <v>3</v>
      </c>
      <c r="F401" t="s">
        <v>10103</v>
      </c>
      <c r="G401" t="s">
        <v>10103</v>
      </c>
      <c r="H401" s="6">
        <v>45247</v>
      </c>
      <c r="I401">
        <f t="shared" si="12"/>
        <v>2</v>
      </c>
      <c r="J401" t="str">
        <f t="shared" si="13"/>
        <v>Complete</v>
      </c>
      <c r="K401">
        <f>COUNTIFS(RawData[Item], B401,RawData[Quantity],C401,RawData[Price Per Unit],D401,RawData[Total Spent],E401,RawData[Payment Method],F401,RawData[Location],G401,RawData[Transaction Date],H401)</f>
        <v>1</v>
      </c>
      <c r="L401"/>
    </row>
    <row r="402" spans="1:12" x14ac:dyDescent="0.3">
      <c r="A402" t="s">
        <v>408</v>
      </c>
      <c r="B402" t="s">
        <v>10011</v>
      </c>
      <c r="C402">
        <v>4</v>
      </c>
      <c r="D402">
        <v>5</v>
      </c>
      <c r="E402">
        <v>20</v>
      </c>
      <c r="F402" t="s">
        <v>10018</v>
      </c>
      <c r="G402" t="s">
        <v>10021</v>
      </c>
      <c r="H402" s="6">
        <v>45280</v>
      </c>
      <c r="I402">
        <f t="shared" si="12"/>
        <v>0</v>
      </c>
      <c r="J402" t="str">
        <f t="shared" si="13"/>
        <v>Complete</v>
      </c>
      <c r="K402">
        <f>COUNTIFS(RawData[Item], B402,RawData[Quantity],C402,RawData[Price Per Unit],D402,RawData[Total Spent],E402,RawData[Payment Method],F402,RawData[Location],G402,RawData[Transaction Date],H402)</f>
        <v>1</v>
      </c>
      <c r="L402"/>
    </row>
    <row r="403" spans="1:12" x14ac:dyDescent="0.3">
      <c r="A403" t="s">
        <v>409</v>
      </c>
      <c r="B403" t="s">
        <v>10008</v>
      </c>
      <c r="C403">
        <v>4</v>
      </c>
      <c r="D403">
        <v>2</v>
      </c>
      <c r="E403">
        <v>8</v>
      </c>
      <c r="F403" t="s">
        <v>10018</v>
      </c>
      <c r="G403" t="s">
        <v>10069</v>
      </c>
      <c r="H403" s="6">
        <v>45087</v>
      </c>
      <c r="I403">
        <f t="shared" si="12"/>
        <v>0</v>
      </c>
      <c r="J403" t="str">
        <f t="shared" si="13"/>
        <v>Complete</v>
      </c>
      <c r="K403">
        <f>COUNTIFS(RawData[Item], B403,RawData[Quantity],C403,RawData[Price Per Unit],D403,RawData[Total Spent],E403,RawData[Payment Method],F403,RawData[Location],G403,RawData[Transaction Date],H403)</f>
        <v>1</v>
      </c>
      <c r="L403"/>
    </row>
    <row r="404" spans="1:12" x14ac:dyDescent="0.3">
      <c r="A404" t="s">
        <v>410</v>
      </c>
      <c r="B404" t="s">
        <v>10015</v>
      </c>
      <c r="C404">
        <v>1</v>
      </c>
      <c r="D404">
        <v>3</v>
      </c>
      <c r="E404">
        <v>3</v>
      </c>
      <c r="F404" t="s">
        <v>10019</v>
      </c>
      <c r="G404" t="s">
        <v>10021</v>
      </c>
      <c r="H404" s="6">
        <v>45119</v>
      </c>
      <c r="I404">
        <f t="shared" si="12"/>
        <v>1</v>
      </c>
      <c r="J404" t="str">
        <f t="shared" si="13"/>
        <v>Complete</v>
      </c>
      <c r="K404">
        <f>COUNTIFS(RawData[Item], B404,RawData[Quantity],C404,RawData[Price Per Unit],D404,RawData[Total Spent],E404,RawData[Payment Method],F404,RawData[Location],G404,RawData[Transaction Date],H404)</f>
        <v>1</v>
      </c>
      <c r="L404"/>
    </row>
    <row r="405" spans="1:12" x14ac:dyDescent="0.3">
      <c r="A405" t="s">
        <v>411</v>
      </c>
      <c r="B405" t="s">
        <v>10010</v>
      </c>
      <c r="C405">
        <v>4</v>
      </c>
      <c r="D405">
        <v>0</v>
      </c>
      <c r="E405">
        <v>4</v>
      </c>
      <c r="F405" t="s">
        <v>10019</v>
      </c>
      <c r="G405" t="s">
        <v>10069</v>
      </c>
      <c r="H405" s="6">
        <v>45264</v>
      </c>
      <c r="I405">
        <f t="shared" si="12"/>
        <v>0</v>
      </c>
      <c r="J405" t="str">
        <f t="shared" si="13"/>
        <v>Complete</v>
      </c>
      <c r="K405">
        <f>COUNTIFS(RawData[Item], B405,RawData[Quantity],C405,RawData[Price Per Unit],D405,RawData[Total Spent],E405,RawData[Payment Method],F405,RawData[Location],G405,RawData[Transaction Date],H405)</f>
        <v>1</v>
      </c>
      <c r="L405"/>
    </row>
    <row r="406" spans="1:12" x14ac:dyDescent="0.3">
      <c r="A406" t="s">
        <v>412</v>
      </c>
      <c r="B406" t="s">
        <v>10017</v>
      </c>
      <c r="C406">
        <v>5</v>
      </c>
      <c r="D406">
        <v>1.5</v>
      </c>
      <c r="E406">
        <v>7.5</v>
      </c>
      <c r="F406" t="s">
        <v>10018</v>
      </c>
      <c r="G406" t="s">
        <v>10102</v>
      </c>
      <c r="H406" s="6">
        <v>44965</v>
      </c>
      <c r="I406">
        <f t="shared" si="12"/>
        <v>0</v>
      </c>
      <c r="J406" t="str">
        <f t="shared" si="13"/>
        <v>Complete</v>
      </c>
      <c r="K406">
        <f>COUNTIFS(RawData[Item], B406,RawData[Quantity],C406,RawData[Price Per Unit],D406,RawData[Total Spent],E406,RawData[Payment Method],F406,RawData[Location],G406,RawData[Transaction Date],H406)</f>
        <v>1</v>
      </c>
      <c r="L406"/>
    </row>
    <row r="407" spans="1:12" x14ac:dyDescent="0.3">
      <c r="A407" t="s">
        <v>413</v>
      </c>
      <c r="B407" t="s">
        <v>10008</v>
      </c>
      <c r="C407">
        <v>3</v>
      </c>
      <c r="D407">
        <v>2</v>
      </c>
      <c r="E407" t="s">
        <v>10013</v>
      </c>
      <c r="F407" t="s">
        <v>10104</v>
      </c>
      <c r="G407" t="s">
        <v>10021</v>
      </c>
      <c r="H407" s="6">
        <v>45220</v>
      </c>
      <c r="I407">
        <f t="shared" si="12"/>
        <v>2</v>
      </c>
      <c r="J407" t="str">
        <f t="shared" si="13"/>
        <v>Complete</v>
      </c>
      <c r="K407">
        <f>COUNTIFS(RawData[Item], B407,RawData[Quantity],C407,RawData[Price Per Unit],D407,RawData[Total Spent],E407,RawData[Payment Method],F407,RawData[Location],G407,RawData[Transaction Date],H407)</f>
        <v>1</v>
      </c>
      <c r="L407"/>
    </row>
    <row r="408" spans="1:12" x14ac:dyDescent="0.3">
      <c r="A408" t="s">
        <v>414</v>
      </c>
      <c r="B408" t="s">
        <v>10015</v>
      </c>
      <c r="C408">
        <v>4</v>
      </c>
      <c r="D408">
        <v>1</v>
      </c>
      <c r="E408">
        <v>4</v>
      </c>
      <c r="F408" t="s">
        <v>10020</v>
      </c>
      <c r="G408" t="s">
        <v>10021</v>
      </c>
      <c r="H408" s="6">
        <v>45177</v>
      </c>
      <c r="I408">
        <f t="shared" si="12"/>
        <v>1</v>
      </c>
      <c r="J408" t="str">
        <f t="shared" si="13"/>
        <v>Complete</v>
      </c>
      <c r="K408">
        <f>COUNTIFS(RawData[Item], B408,RawData[Quantity],C408,RawData[Price Per Unit],D408,RawData[Total Spent],E408,RawData[Payment Method],F408,RawData[Location],G408,RawData[Transaction Date],H408)</f>
        <v>1</v>
      </c>
      <c r="L408"/>
    </row>
    <row r="409" spans="1:12" x14ac:dyDescent="0.3">
      <c r="A409" t="s">
        <v>415</v>
      </c>
      <c r="B409" t="s">
        <v>10015</v>
      </c>
      <c r="C409">
        <v>1</v>
      </c>
      <c r="D409">
        <v>1</v>
      </c>
      <c r="E409">
        <v>1</v>
      </c>
      <c r="F409" t="s">
        <v>10019</v>
      </c>
      <c r="G409" t="s">
        <v>10102</v>
      </c>
      <c r="H409" s="6">
        <v>45084</v>
      </c>
      <c r="I409">
        <f t="shared" si="12"/>
        <v>1</v>
      </c>
      <c r="J409" t="str">
        <f t="shared" si="13"/>
        <v>Complete</v>
      </c>
      <c r="K409">
        <f>COUNTIFS(RawData[Item], B409,RawData[Quantity],C409,RawData[Price Per Unit],D409,RawData[Total Spent],E409,RawData[Payment Method],F409,RawData[Location],G409,RawData[Transaction Date],H409)</f>
        <v>1</v>
      </c>
      <c r="L409"/>
    </row>
    <row r="410" spans="1:12" x14ac:dyDescent="0.3">
      <c r="A410" t="s">
        <v>416</v>
      </c>
      <c r="B410" t="s">
        <v>10017</v>
      </c>
      <c r="C410">
        <v>4</v>
      </c>
      <c r="D410">
        <v>1.5</v>
      </c>
      <c r="E410">
        <v>6</v>
      </c>
      <c r="F410" t="s">
        <v>10019</v>
      </c>
      <c r="G410" t="s">
        <v>10069</v>
      </c>
      <c r="H410" s="6">
        <v>45096</v>
      </c>
      <c r="I410">
        <f t="shared" si="12"/>
        <v>0</v>
      </c>
      <c r="J410" t="str">
        <f t="shared" si="13"/>
        <v>Complete</v>
      </c>
      <c r="K410">
        <f>COUNTIFS(RawData[Item], B410,RawData[Quantity],C410,RawData[Price Per Unit],D410,RawData[Total Spent],E410,RawData[Payment Method],F410,RawData[Location],G410,RawData[Transaction Date],H410)</f>
        <v>1</v>
      </c>
      <c r="L410"/>
    </row>
    <row r="411" spans="1:12" x14ac:dyDescent="0.3">
      <c r="A411" t="s">
        <v>417</v>
      </c>
      <c r="B411" t="s">
        <v>10009</v>
      </c>
      <c r="C411">
        <v>5</v>
      </c>
      <c r="D411">
        <v>3</v>
      </c>
      <c r="E411" t="s">
        <v>10015</v>
      </c>
      <c r="F411" t="s">
        <v>10018</v>
      </c>
      <c r="G411" t="s">
        <v>10069</v>
      </c>
      <c r="H411" s="6">
        <v>45180</v>
      </c>
      <c r="I411">
        <f t="shared" si="12"/>
        <v>1</v>
      </c>
      <c r="J411" t="str">
        <f t="shared" si="13"/>
        <v>Complete</v>
      </c>
      <c r="K411">
        <f>COUNTIFS(RawData[Item], B411,RawData[Quantity],C411,RawData[Price Per Unit],D411,RawData[Total Spent],E411,RawData[Payment Method],F411,RawData[Location],G411,RawData[Transaction Date],H411)</f>
        <v>1</v>
      </c>
      <c r="L411"/>
    </row>
    <row r="412" spans="1:12" x14ac:dyDescent="0.3">
      <c r="A412" t="s">
        <v>418</v>
      </c>
      <c r="B412" t="s">
        <v>10009</v>
      </c>
      <c r="C412">
        <v>4</v>
      </c>
      <c r="D412">
        <v>3</v>
      </c>
      <c r="E412">
        <v>12</v>
      </c>
      <c r="F412" t="s">
        <v>10018</v>
      </c>
      <c r="G412" t="s">
        <v>10102</v>
      </c>
      <c r="H412" s="6">
        <v>45287</v>
      </c>
      <c r="I412">
        <f t="shared" si="12"/>
        <v>0</v>
      </c>
      <c r="J412" t="str">
        <f t="shared" si="13"/>
        <v>Complete</v>
      </c>
      <c r="K412">
        <f>COUNTIFS(RawData[Item], B412,RawData[Quantity],C412,RawData[Price Per Unit],D412,RawData[Total Spent],E412,RawData[Payment Method],F412,RawData[Location],G412,RawData[Transaction Date],H412)</f>
        <v>1</v>
      </c>
      <c r="L412"/>
    </row>
    <row r="413" spans="1:12" x14ac:dyDescent="0.3">
      <c r="A413" t="s">
        <v>419</v>
      </c>
      <c r="B413" t="s">
        <v>10010</v>
      </c>
      <c r="C413">
        <v>2</v>
      </c>
      <c r="D413">
        <v>1</v>
      </c>
      <c r="E413">
        <v>2</v>
      </c>
      <c r="F413" t="s">
        <v>10020</v>
      </c>
      <c r="G413" t="s">
        <v>10021</v>
      </c>
      <c r="H413" s="6">
        <v>44958</v>
      </c>
      <c r="I413">
        <f t="shared" si="12"/>
        <v>0</v>
      </c>
      <c r="J413" t="str">
        <f t="shared" si="13"/>
        <v>Complete</v>
      </c>
      <c r="K413">
        <f>COUNTIFS(RawData[Item], B413,RawData[Quantity],C413,RawData[Price Per Unit],D413,RawData[Total Spent],E413,RawData[Payment Method],F413,RawData[Location],G413,RawData[Transaction Date],H413)</f>
        <v>1</v>
      </c>
      <c r="L413"/>
    </row>
    <row r="414" spans="1:12" x14ac:dyDescent="0.3">
      <c r="A414" t="s">
        <v>420</v>
      </c>
      <c r="B414" t="s">
        <v>10016</v>
      </c>
      <c r="C414">
        <v>0</v>
      </c>
      <c r="D414">
        <v>3</v>
      </c>
      <c r="E414">
        <v>3</v>
      </c>
      <c r="F414" t="s">
        <v>10018</v>
      </c>
      <c r="G414" t="s">
        <v>10021</v>
      </c>
      <c r="H414" s="6">
        <v>45203</v>
      </c>
      <c r="I414">
        <f t="shared" si="12"/>
        <v>0</v>
      </c>
      <c r="J414" t="str">
        <f t="shared" si="13"/>
        <v>Complete</v>
      </c>
      <c r="K414">
        <f>COUNTIFS(RawData[Item], B414,RawData[Quantity],C414,RawData[Price Per Unit],D414,RawData[Total Spent],E414,RawData[Payment Method],F414,RawData[Location],G414,RawData[Transaction Date],H414)</f>
        <v>1</v>
      </c>
      <c r="L414"/>
    </row>
    <row r="415" spans="1:12" x14ac:dyDescent="0.3">
      <c r="A415" t="s">
        <v>421</v>
      </c>
      <c r="B415" t="s">
        <v>10014</v>
      </c>
      <c r="C415">
        <v>4</v>
      </c>
      <c r="D415" t="s">
        <v>10015</v>
      </c>
      <c r="E415">
        <v>16</v>
      </c>
      <c r="F415" t="s">
        <v>10019</v>
      </c>
      <c r="G415" t="s">
        <v>10021</v>
      </c>
      <c r="H415" s="6">
        <v>44969</v>
      </c>
      <c r="I415">
        <f t="shared" si="12"/>
        <v>1</v>
      </c>
      <c r="J415" t="str">
        <f t="shared" si="13"/>
        <v>Complete</v>
      </c>
      <c r="K415">
        <f>COUNTIFS(RawData[Item], B415,RawData[Quantity],C415,RawData[Price Per Unit],D415,RawData[Total Spent],E415,RawData[Payment Method],F415,RawData[Location],G415,RawData[Transaction Date],H415)</f>
        <v>1</v>
      </c>
      <c r="L415"/>
    </row>
    <row r="416" spans="1:12" x14ac:dyDescent="0.3">
      <c r="A416" t="s">
        <v>422</v>
      </c>
      <c r="B416" t="s">
        <v>10011</v>
      </c>
      <c r="C416">
        <v>3</v>
      </c>
      <c r="D416">
        <v>5</v>
      </c>
      <c r="E416">
        <v>15</v>
      </c>
      <c r="F416" t="s">
        <v>10020</v>
      </c>
      <c r="G416" t="s">
        <v>10102</v>
      </c>
      <c r="H416" s="6">
        <v>44999</v>
      </c>
      <c r="I416">
        <f t="shared" si="12"/>
        <v>0</v>
      </c>
      <c r="J416" t="str">
        <f t="shared" si="13"/>
        <v>Complete</v>
      </c>
      <c r="K416">
        <f>COUNTIFS(RawData[Item], B416,RawData[Quantity],C416,RawData[Price Per Unit],D416,RawData[Total Spent],E416,RawData[Payment Method],F416,RawData[Location],G416,RawData[Transaction Date],H416)</f>
        <v>1</v>
      </c>
      <c r="L416"/>
    </row>
    <row r="417" spans="1:12" x14ac:dyDescent="0.3">
      <c r="A417" t="s">
        <v>423</v>
      </c>
      <c r="B417" t="s">
        <v>10009</v>
      </c>
      <c r="C417">
        <v>1</v>
      </c>
      <c r="D417">
        <v>3</v>
      </c>
      <c r="E417">
        <v>3</v>
      </c>
      <c r="F417" t="s">
        <v>10019</v>
      </c>
      <c r="G417" t="s">
        <v>10102</v>
      </c>
      <c r="H417" s="6">
        <v>44987</v>
      </c>
      <c r="I417">
        <f t="shared" si="12"/>
        <v>0</v>
      </c>
      <c r="J417" t="str">
        <f t="shared" si="13"/>
        <v>Complete</v>
      </c>
      <c r="K417">
        <f>COUNTIFS(RawData[Item], B417,RawData[Quantity],C417,RawData[Price Per Unit],D417,RawData[Total Spent],E417,RawData[Payment Method],F417,RawData[Location],G417,RawData[Transaction Date],H417)</f>
        <v>1</v>
      </c>
      <c r="L417"/>
    </row>
    <row r="418" spans="1:12" x14ac:dyDescent="0.3">
      <c r="A418" t="s">
        <v>424</v>
      </c>
      <c r="B418" t="s">
        <v>10008</v>
      </c>
      <c r="C418">
        <v>4</v>
      </c>
      <c r="D418">
        <v>2</v>
      </c>
      <c r="E418">
        <v>8</v>
      </c>
      <c r="F418" t="s">
        <v>10019</v>
      </c>
      <c r="G418" t="s">
        <v>10021</v>
      </c>
      <c r="H418" s="6" t="s">
        <v>10112</v>
      </c>
      <c r="I418">
        <f t="shared" si="12"/>
        <v>1</v>
      </c>
      <c r="J418" t="str">
        <f t="shared" si="13"/>
        <v>Incomplete</v>
      </c>
      <c r="K418">
        <f>COUNTIFS(RawData[Item], B418,RawData[Quantity],C418,RawData[Price Per Unit],D418,RawData[Total Spent],E418,RawData[Payment Method],F418,RawData[Location],G418,RawData[Transaction Date],H418)</f>
        <v>1</v>
      </c>
      <c r="L418"/>
    </row>
    <row r="419" spans="1:12" x14ac:dyDescent="0.3">
      <c r="A419" t="s">
        <v>425</v>
      </c>
      <c r="B419" t="s">
        <v>10014</v>
      </c>
      <c r="C419">
        <v>2</v>
      </c>
      <c r="D419">
        <v>4</v>
      </c>
      <c r="E419">
        <v>8</v>
      </c>
      <c r="F419" t="s">
        <v>10019</v>
      </c>
      <c r="G419" t="s">
        <v>10069</v>
      </c>
      <c r="H419" s="6">
        <v>45075</v>
      </c>
      <c r="I419">
        <f t="shared" si="12"/>
        <v>0</v>
      </c>
      <c r="J419" t="str">
        <f t="shared" si="13"/>
        <v>Complete</v>
      </c>
      <c r="K419">
        <f>COUNTIFS(RawData[Item], B419,RawData[Quantity],C419,RawData[Price Per Unit],D419,RawData[Total Spent],E419,RawData[Payment Method],F419,RawData[Location],G419,RawData[Transaction Date],H419)</f>
        <v>1</v>
      </c>
      <c r="L419"/>
    </row>
    <row r="420" spans="1:12" x14ac:dyDescent="0.3">
      <c r="A420" t="s">
        <v>426</v>
      </c>
      <c r="B420" t="s">
        <v>10010</v>
      </c>
      <c r="C420">
        <v>5</v>
      </c>
      <c r="D420">
        <v>1</v>
      </c>
      <c r="E420">
        <v>5</v>
      </c>
      <c r="F420" t="s">
        <v>10020</v>
      </c>
      <c r="G420" t="s">
        <v>10021</v>
      </c>
      <c r="H420" s="6">
        <v>45198</v>
      </c>
      <c r="I420">
        <f t="shared" si="12"/>
        <v>0</v>
      </c>
      <c r="J420" t="str">
        <f t="shared" si="13"/>
        <v>Complete</v>
      </c>
      <c r="K420">
        <f>COUNTIFS(RawData[Item], B420,RawData[Quantity],C420,RawData[Price Per Unit],D420,RawData[Total Spent],E420,RawData[Payment Method],F420,RawData[Location],G420,RawData[Transaction Date],H420)</f>
        <v>1</v>
      </c>
      <c r="L420"/>
    </row>
    <row r="421" spans="1:12" x14ac:dyDescent="0.3">
      <c r="A421" t="s">
        <v>427</v>
      </c>
      <c r="B421" t="s">
        <v>10012</v>
      </c>
      <c r="C421">
        <v>5</v>
      </c>
      <c r="D421">
        <v>4</v>
      </c>
      <c r="E421">
        <v>20</v>
      </c>
      <c r="F421" t="s">
        <v>10069</v>
      </c>
      <c r="G421" t="s">
        <v>10102</v>
      </c>
      <c r="H421" s="6">
        <v>45036</v>
      </c>
      <c r="I421">
        <f t="shared" si="12"/>
        <v>0</v>
      </c>
      <c r="J421" t="str">
        <f t="shared" si="13"/>
        <v>Complete</v>
      </c>
      <c r="K421">
        <f>COUNTIFS(RawData[Item], B421,RawData[Quantity],C421,RawData[Price Per Unit],D421,RawData[Total Spent],E421,RawData[Payment Method],F421,RawData[Location],G421,RawData[Transaction Date],H421)</f>
        <v>1</v>
      </c>
      <c r="L421"/>
    </row>
    <row r="422" spans="1:12" x14ac:dyDescent="0.3">
      <c r="A422" t="s">
        <v>428</v>
      </c>
      <c r="B422" t="s">
        <v>10014</v>
      </c>
      <c r="C422">
        <v>1</v>
      </c>
      <c r="D422">
        <v>4</v>
      </c>
      <c r="E422">
        <v>4</v>
      </c>
      <c r="F422" t="s">
        <v>10020</v>
      </c>
      <c r="G422" t="s">
        <v>10102</v>
      </c>
      <c r="H422" s="6">
        <v>45038</v>
      </c>
      <c r="I422">
        <f t="shared" si="12"/>
        <v>0</v>
      </c>
      <c r="J422" t="str">
        <f t="shared" si="13"/>
        <v>Complete</v>
      </c>
      <c r="K422">
        <f>COUNTIFS(RawData[Item], B422,RawData[Quantity],C422,RawData[Price Per Unit],D422,RawData[Total Spent],E422,RawData[Payment Method],F422,RawData[Location],G422,RawData[Transaction Date],H422)</f>
        <v>1</v>
      </c>
      <c r="L422"/>
    </row>
    <row r="423" spans="1:12" x14ac:dyDescent="0.3">
      <c r="A423" t="s">
        <v>429</v>
      </c>
      <c r="B423" t="s">
        <v>10009</v>
      </c>
      <c r="C423">
        <v>3</v>
      </c>
      <c r="D423">
        <v>3</v>
      </c>
      <c r="E423">
        <v>9</v>
      </c>
      <c r="F423" t="s">
        <v>10018</v>
      </c>
      <c r="G423" t="s">
        <v>10104</v>
      </c>
      <c r="H423" s="6">
        <v>45138</v>
      </c>
      <c r="I423">
        <f t="shared" si="12"/>
        <v>1</v>
      </c>
      <c r="J423" t="str">
        <f t="shared" si="13"/>
        <v>Complete</v>
      </c>
      <c r="K423">
        <f>COUNTIFS(RawData[Item], B423,RawData[Quantity],C423,RawData[Price Per Unit],D423,RawData[Total Spent],E423,RawData[Payment Method],F423,RawData[Location],G423,RawData[Transaction Date],H423)</f>
        <v>1</v>
      </c>
      <c r="L423"/>
    </row>
    <row r="424" spans="1:12" x14ac:dyDescent="0.3">
      <c r="A424" t="s">
        <v>430</v>
      </c>
      <c r="B424" t="s">
        <v>10009</v>
      </c>
      <c r="C424">
        <v>2</v>
      </c>
      <c r="D424">
        <v>3</v>
      </c>
      <c r="E424">
        <v>6</v>
      </c>
      <c r="F424" t="s">
        <v>10019</v>
      </c>
      <c r="G424" t="s">
        <v>10021</v>
      </c>
      <c r="H424" s="6">
        <v>44931</v>
      </c>
      <c r="I424">
        <f t="shared" si="12"/>
        <v>0</v>
      </c>
      <c r="J424" t="str">
        <f t="shared" si="13"/>
        <v>Complete</v>
      </c>
      <c r="K424">
        <f>COUNTIFS(RawData[Item], B424,RawData[Quantity],C424,RawData[Price Per Unit],D424,RawData[Total Spent],E424,RawData[Payment Method],F424,RawData[Location],G424,RawData[Transaction Date],H424)</f>
        <v>1</v>
      </c>
      <c r="L424"/>
    </row>
    <row r="425" spans="1:12" x14ac:dyDescent="0.3">
      <c r="A425" t="s">
        <v>431</v>
      </c>
      <c r="B425" t="s">
        <v>10008</v>
      </c>
      <c r="C425">
        <v>5</v>
      </c>
      <c r="D425">
        <v>2</v>
      </c>
      <c r="E425">
        <v>10</v>
      </c>
      <c r="F425" t="s">
        <v>10020</v>
      </c>
      <c r="G425" t="s">
        <v>10021</v>
      </c>
      <c r="H425" s="6">
        <v>45163</v>
      </c>
      <c r="I425">
        <f t="shared" si="12"/>
        <v>0</v>
      </c>
      <c r="J425" t="str">
        <f t="shared" si="13"/>
        <v>Complete</v>
      </c>
      <c r="K425">
        <f>COUNTIFS(RawData[Item], B425,RawData[Quantity],C425,RawData[Price Per Unit],D425,RawData[Total Spent],E425,RawData[Payment Method],F425,RawData[Location],G425,RawData[Transaction Date],H425)</f>
        <v>1</v>
      </c>
      <c r="L425"/>
    </row>
    <row r="426" spans="1:12" x14ac:dyDescent="0.3">
      <c r="A426" t="s">
        <v>432</v>
      </c>
      <c r="B426" t="s">
        <v>10008</v>
      </c>
      <c r="C426">
        <v>5</v>
      </c>
      <c r="D426">
        <v>2</v>
      </c>
      <c r="E426">
        <v>10</v>
      </c>
      <c r="F426" t="s">
        <v>10018</v>
      </c>
      <c r="G426" t="s">
        <v>10021</v>
      </c>
      <c r="H426" s="6">
        <v>45135</v>
      </c>
      <c r="I426">
        <f t="shared" si="12"/>
        <v>0</v>
      </c>
      <c r="J426" t="str">
        <f t="shared" si="13"/>
        <v>Complete</v>
      </c>
      <c r="K426">
        <f>COUNTIFS(RawData[Item], B426,RawData[Quantity],C426,RawData[Price Per Unit],D426,RawData[Total Spent],E426,RawData[Payment Method],F426,RawData[Location],G426,RawData[Transaction Date],H426)</f>
        <v>1</v>
      </c>
      <c r="L426"/>
    </row>
    <row r="427" spans="1:12" x14ac:dyDescent="0.3">
      <c r="A427" t="s">
        <v>433</v>
      </c>
      <c r="B427" t="s">
        <v>10014</v>
      </c>
      <c r="C427">
        <v>2</v>
      </c>
      <c r="D427">
        <v>4</v>
      </c>
      <c r="E427">
        <v>8</v>
      </c>
      <c r="F427" t="s">
        <v>10020</v>
      </c>
      <c r="G427" t="s">
        <v>10021</v>
      </c>
      <c r="H427" s="6">
        <v>45016</v>
      </c>
      <c r="I427">
        <f t="shared" si="12"/>
        <v>0</v>
      </c>
      <c r="J427" t="str">
        <f t="shared" si="13"/>
        <v>Complete</v>
      </c>
      <c r="K427">
        <f>COUNTIFS(RawData[Item], B427,RawData[Quantity],C427,RawData[Price Per Unit],D427,RawData[Total Spent],E427,RawData[Payment Method],F427,RawData[Location],G427,RawData[Transaction Date],H427)</f>
        <v>1</v>
      </c>
      <c r="L427"/>
    </row>
    <row r="428" spans="1:12" x14ac:dyDescent="0.3">
      <c r="A428" t="s">
        <v>434</v>
      </c>
      <c r="B428" t="s">
        <v>10014</v>
      </c>
      <c r="C428">
        <v>3</v>
      </c>
      <c r="D428">
        <v>4</v>
      </c>
      <c r="E428">
        <v>12</v>
      </c>
      <c r="F428" t="s">
        <v>10018</v>
      </c>
      <c r="G428" t="s">
        <v>10102</v>
      </c>
      <c r="H428" s="6" t="s">
        <v>10112</v>
      </c>
      <c r="I428">
        <f t="shared" si="12"/>
        <v>1</v>
      </c>
      <c r="J428" t="str">
        <f t="shared" si="13"/>
        <v>Incomplete</v>
      </c>
      <c r="K428">
        <f>COUNTIFS(RawData[Item], B428,RawData[Quantity],C428,RawData[Price Per Unit],D428,RawData[Total Spent],E428,RawData[Payment Method],F428,RawData[Location],G428,RawData[Transaction Date],H428)</f>
        <v>1</v>
      </c>
      <c r="L428"/>
    </row>
    <row r="429" spans="1:12" x14ac:dyDescent="0.3">
      <c r="A429" t="s">
        <v>435</v>
      </c>
      <c r="B429" t="s">
        <v>10009</v>
      </c>
      <c r="C429">
        <v>4</v>
      </c>
      <c r="D429">
        <v>3</v>
      </c>
      <c r="E429">
        <v>12</v>
      </c>
      <c r="F429" t="s">
        <v>10104</v>
      </c>
      <c r="G429" t="s">
        <v>10069</v>
      </c>
      <c r="H429" s="6">
        <v>45062</v>
      </c>
      <c r="I429">
        <f t="shared" si="12"/>
        <v>1</v>
      </c>
      <c r="J429" t="str">
        <f t="shared" si="13"/>
        <v>Complete</v>
      </c>
      <c r="K429">
        <f>COUNTIFS(RawData[Item], B429,RawData[Quantity],C429,RawData[Price Per Unit],D429,RawData[Total Spent],E429,RawData[Payment Method],F429,RawData[Location],G429,RawData[Transaction Date],H429)</f>
        <v>1</v>
      </c>
      <c r="L429"/>
    </row>
    <row r="430" spans="1:12" x14ac:dyDescent="0.3">
      <c r="A430" t="s">
        <v>436</v>
      </c>
      <c r="B430" t="s">
        <v>10014</v>
      </c>
      <c r="C430">
        <v>4</v>
      </c>
      <c r="D430">
        <v>4</v>
      </c>
      <c r="E430">
        <v>16</v>
      </c>
      <c r="F430" t="s">
        <v>10019</v>
      </c>
      <c r="G430" t="s">
        <v>10102</v>
      </c>
      <c r="H430" s="6">
        <v>44977</v>
      </c>
      <c r="I430">
        <f t="shared" si="12"/>
        <v>0</v>
      </c>
      <c r="J430" t="str">
        <f t="shared" si="13"/>
        <v>Complete</v>
      </c>
      <c r="K430">
        <f>COUNTIFS(RawData[Item], B430,RawData[Quantity],C430,RawData[Price Per Unit],D430,RawData[Total Spent],E430,RawData[Payment Method],F430,RawData[Location],G430,RawData[Transaction Date],H430)</f>
        <v>1</v>
      </c>
      <c r="L430"/>
    </row>
    <row r="431" spans="1:12" x14ac:dyDescent="0.3">
      <c r="A431" t="s">
        <v>437</v>
      </c>
      <c r="B431" t="s">
        <v>10017</v>
      </c>
      <c r="C431">
        <v>1</v>
      </c>
      <c r="D431">
        <v>1.5</v>
      </c>
      <c r="E431">
        <v>1.5</v>
      </c>
      <c r="F431" t="s">
        <v>10069</v>
      </c>
      <c r="G431" t="s">
        <v>10102</v>
      </c>
      <c r="H431" s="6">
        <v>45268</v>
      </c>
      <c r="I431">
        <f t="shared" si="12"/>
        <v>0</v>
      </c>
      <c r="J431" t="str">
        <f t="shared" si="13"/>
        <v>Complete</v>
      </c>
      <c r="K431">
        <f>COUNTIFS(RawData[Item], B431,RawData[Quantity],C431,RawData[Price Per Unit],D431,RawData[Total Spent],E431,RawData[Payment Method],F431,RawData[Location],G431,RawData[Transaction Date],H431)</f>
        <v>1</v>
      </c>
      <c r="L431"/>
    </row>
    <row r="432" spans="1:12" x14ac:dyDescent="0.3">
      <c r="A432" t="s">
        <v>438</v>
      </c>
      <c r="B432" t="s">
        <v>10014</v>
      </c>
      <c r="C432">
        <v>1</v>
      </c>
      <c r="D432">
        <v>4</v>
      </c>
      <c r="E432">
        <v>4</v>
      </c>
      <c r="F432" t="s">
        <v>10069</v>
      </c>
      <c r="G432" t="s">
        <v>10102</v>
      </c>
      <c r="H432" s="6">
        <v>45141</v>
      </c>
      <c r="I432">
        <f t="shared" si="12"/>
        <v>0</v>
      </c>
      <c r="J432" t="str">
        <f t="shared" si="13"/>
        <v>Complete</v>
      </c>
      <c r="K432">
        <f>COUNTIFS(RawData[Item], B432,RawData[Quantity],C432,RawData[Price Per Unit],D432,RawData[Total Spent],E432,RawData[Payment Method],F432,RawData[Location],G432,RawData[Transaction Date],H432)</f>
        <v>1</v>
      </c>
      <c r="L432"/>
    </row>
    <row r="433" spans="1:12" x14ac:dyDescent="0.3">
      <c r="A433" t="s">
        <v>439</v>
      </c>
      <c r="B433" t="s">
        <v>10017</v>
      </c>
      <c r="C433">
        <v>2</v>
      </c>
      <c r="D433">
        <v>1.5</v>
      </c>
      <c r="E433">
        <v>3</v>
      </c>
      <c r="F433" t="s">
        <v>10069</v>
      </c>
      <c r="G433" t="s">
        <v>10021</v>
      </c>
      <c r="H433" s="6">
        <v>45141</v>
      </c>
      <c r="I433">
        <f t="shared" si="12"/>
        <v>0</v>
      </c>
      <c r="J433" t="str">
        <f t="shared" si="13"/>
        <v>Complete</v>
      </c>
      <c r="K433">
        <f>COUNTIFS(RawData[Item], B433,RawData[Quantity],C433,RawData[Price Per Unit],D433,RawData[Total Spent],E433,RawData[Payment Method],F433,RawData[Location],G433,RawData[Transaction Date],H433)</f>
        <v>2</v>
      </c>
      <c r="L433"/>
    </row>
    <row r="434" spans="1:12" x14ac:dyDescent="0.3">
      <c r="A434" t="s">
        <v>440</v>
      </c>
      <c r="B434" t="s">
        <v>10011</v>
      </c>
      <c r="C434">
        <v>2</v>
      </c>
      <c r="D434">
        <v>5</v>
      </c>
      <c r="E434">
        <v>10</v>
      </c>
      <c r="F434" t="s">
        <v>10103</v>
      </c>
      <c r="G434" t="s">
        <v>10102</v>
      </c>
      <c r="H434" s="6">
        <v>45083</v>
      </c>
      <c r="I434">
        <f t="shared" si="12"/>
        <v>1</v>
      </c>
      <c r="J434" t="str">
        <f t="shared" si="13"/>
        <v>Complete</v>
      </c>
      <c r="K434">
        <f>COUNTIFS(RawData[Item], B434,RawData[Quantity],C434,RawData[Price Per Unit],D434,RawData[Total Spent],E434,RawData[Payment Method],F434,RawData[Location],G434,RawData[Transaction Date],H434)</f>
        <v>1</v>
      </c>
      <c r="L434"/>
    </row>
    <row r="435" spans="1:12" x14ac:dyDescent="0.3">
      <c r="A435" t="s">
        <v>441</v>
      </c>
      <c r="B435" t="s">
        <v>10009</v>
      </c>
      <c r="C435">
        <v>5</v>
      </c>
      <c r="D435">
        <v>3</v>
      </c>
      <c r="E435">
        <v>15</v>
      </c>
      <c r="F435" t="s">
        <v>10069</v>
      </c>
      <c r="G435" t="s">
        <v>10021</v>
      </c>
      <c r="H435" s="6">
        <v>44934</v>
      </c>
      <c r="I435">
        <f t="shared" si="12"/>
        <v>0</v>
      </c>
      <c r="J435" t="str">
        <f t="shared" si="13"/>
        <v>Complete</v>
      </c>
      <c r="K435">
        <f>COUNTIFS(RawData[Item], B435,RawData[Quantity],C435,RawData[Price Per Unit],D435,RawData[Total Spent],E435,RawData[Payment Method],F435,RawData[Location],G435,RawData[Transaction Date],H435)</f>
        <v>1</v>
      </c>
      <c r="L435"/>
    </row>
    <row r="436" spans="1:12" x14ac:dyDescent="0.3">
      <c r="A436" t="s">
        <v>442</v>
      </c>
      <c r="B436" t="s">
        <v>10015</v>
      </c>
      <c r="C436" t="s">
        <v>10015</v>
      </c>
      <c r="D436">
        <v>4</v>
      </c>
      <c r="E436">
        <v>12</v>
      </c>
      <c r="F436" t="s">
        <v>10069</v>
      </c>
      <c r="G436" t="s">
        <v>10021</v>
      </c>
      <c r="H436" s="6" t="s">
        <v>10112</v>
      </c>
      <c r="I436">
        <f t="shared" si="12"/>
        <v>3</v>
      </c>
      <c r="J436" t="str">
        <f t="shared" si="13"/>
        <v>Incomplete</v>
      </c>
      <c r="K436">
        <f>COUNTIFS(RawData[Item], B436,RawData[Quantity],C436,RawData[Price Per Unit],D436,RawData[Total Spent],E436,RawData[Payment Method],F436,RawData[Location],G436,RawData[Transaction Date],H436)</f>
        <v>1</v>
      </c>
      <c r="L436"/>
    </row>
    <row r="437" spans="1:12" x14ac:dyDescent="0.3">
      <c r="A437" t="s">
        <v>443</v>
      </c>
      <c r="B437" t="s">
        <v>10014</v>
      </c>
      <c r="C437">
        <v>3</v>
      </c>
      <c r="D437">
        <v>4</v>
      </c>
      <c r="E437">
        <v>12</v>
      </c>
      <c r="F437" t="s">
        <v>10019</v>
      </c>
      <c r="G437" t="s">
        <v>10104</v>
      </c>
      <c r="H437" s="6">
        <v>44975</v>
      </c>
      <c r="I437">
        <f t="shared" si="12"/>
        <v>1</v>
      </c>
      <c r="J437" t="str">
        <f t="shared" si="13"/>
        <v>Complete</v>
      </c>
      <c r="K437">
        <f>COUNTIFS(RawData[Item], B437,RawData[Quantity],C437,RawData[Price Per Unit],D437,RawData[Total Spent],E437,RawData[Payment Method],F437,RawData[Location],G437,RawData[Transaction Date],H437)</f>
        <v>1</v>
      </c>
      <c r="L437"/>
    </row>
    <row r="438" spans="1:12" x14ac:dyDescent="0.3">
      <c r="A438" t="s">
        <v>444</v>
      </c>
      <c r="B438" t="s">
        <v>10016</v>
      </c>
      <c r="C438">
        <v>5</v>
      </c>
      <c r="D438">
        <v>3</v>
      </c>
      <c r="E438">
        <v>15</v>
      </c>
      <c r="F438" t="s">
        <v>10020</v>
      </c>
      <c r="G438" t="s">
        <v>10102</v>
      </c>
      <c r="H438" s="6">
        <v>45090</v>
      </c>
      <c r="I438">
        <f t="shared" si="12"/>
        <v>0</v>
      </c>
      <c r="J438" t="str">
        <f t="shared" si="13"/>
        <v>Complete</v>
      </c>
      <c r="K438">
        <f>COUNTIFS(RawData[Item], B438,RawData[Quantity],C438,RawData[Price Per Unit],D438,RawData[Total Spent],E438,RawData[Payment Method],F438,RawData[Location],G438,RawData[Transaction Date],H438)</f>
        <v>1</v>
      </c>
      <c r="L438"/>
    </row>
    <row r="439" spans="1:12" x14ac:dyDescent="0.3">
      <c r="A439" t="s">
        <v>445</v>
      </c>
      <c r="B439" t="s">
        <v>10008</v>
      </c>
      <c r="C439">
        <v>5</v>
      </c>
      <c r="D439" t="s">
        <v>10015</v>
      </c>
      <c r="E439">
        <v>10</v>
      </c>
      <c r="F439" t="s">
        <v>10104</v>
      </c>
      <c r="G439" t="s">
        <v>10069</v>
      </c>
      <c r="H439" s="6">
        <v>45284</v>
      </c>
      <c r="I439">
        <f t="shared" si="12"/>
        <v>2</v>
      </c>
      <c r="J439" t="str">
        <f t="shared" si="13"/>
        <v>Complete</v>
      </c>
      <c r="K439">
        <f>COUNTIFS(RawData[Item], B439,RawData[Quantity],C439,RawData[Price Per Unit],D439,RawData[Total Spent],E439,RawData[Payment Method],F439,RawData[Location],G439,RawData[Transaction Date],H439)</f>
        <v>1</v>
      </c>
      <c r="L439"/>
    </row>
    <row r="440" spans="1:12" x14ac:dyDescent="0.3">
      <c r="A440" t="s">
        <v>446</v>
      </c>
      <c r="B440" t="s">
        <v>10017</v>
      </c>
      <c r="C440" t="s">
        <v>10013</v>
      </c>
      <c r="D440">
        <v>1.5</v>
      </c>
      <c r="E440">
        <v>4.5</v>
      </c>
      <c r="F440" t="s">
        <v>10020</v>
      </c>
      <c r="G440" t="s">
        <v>10021</v>
      </c>
      <c r="H440" s="6">
        <v>45275</v>
      </c>
      <c r="I440">
        <f t="shared" si="12"/>
        <v>1</v>
      </c>
      <c r="J440" t="str">
        <f t="shared" si="13"/>
        <v>Complete</v>
      </c>
      <c r="K440">
        <f>COUNTIFS(RawData[Item], B440,RawData[Quantity],C440,RawData[Price Per Unit],D440,RawData[Total Spent],E440,RawData[Payment Method],F440,RawData[Location],G440,RawData[Transaction Date],H440)</f>
        <v>1</v>
      </c>
      <c r="L440"/>
    </row>
    <row r="441" spans="1:12" x14ac:dyDescent="0.3">
      <c r="A441" t="s">
        <v>447</v>
      </c>
      <c r="B441" t="s">
        <v>10014</v>
      </c>
      <c r="C441">
        <v>2</v>
      </c>
      <c r="D441">
        <v>4</v>
      </c>
      <c r="E441">
        <v>8</v>
      </c>
      <c r="F441" t="s">
        <v>10069</v>
      </c>
      <c r="G441" t="s">
        <v>10021</v>
      </c>
      <c r="H441" s="6">
        <v>45138</v>
      </c>
      <c r="I441">
        <f t="shared" si="12"/>
        <v>0</v>
      </c>
      <c r="J441" t="str">
        <f t="shared" si="13"/>
        <v>Complete</v>
      </c>
      <c r="K441">
        <f>COUNTIFS(RawData[Item], B441,RawData[Quantity],C441,RawData[Price Per Unit],D441,RawData[Total Spent],E441,RawData[Payment Method],F441,RawData[Location],G441,RawData[Transaction Date],H441)</f>
        <v>1</v>
      </c>
      <c r="L441"/>
    </row>
    <row r="442" spans="1:12" x14ac:dyDescent="0.3">
      <c r="A442" t="s">
        <v>448</v>
      </c>
      <c r="B442" t="s">
        <v>10009</v>
      </c>
      <c r="C442">
        <v>1</v>
      </c>
      <c r="D442">
        <v>3</v>
      </c>
      <c r="E442">
        <v>3</v>
      </c>
      <c r="F442" t="s">
        <v>10020</v>
      </c>
      <c r="G442" t="s">
        <v>10102</v>
      </c>
      <c r="H442" s="6">
        <v>45221</v>
      </c>
      <c r="I442">
        <f t="shared" si="12"/>
        <v>0</v>
      </c>
      <c r="J442" t="str">
        <f t="shared" si="13"/>
        <v>Complete</v>
      </c>
      <c r="K442">
        <f>COUNTIFS(RawData[Item], B442,RawData[Quantity],C442,RawData[Price Per Unit],D442,RawData[Total Spent],E442,RawData[Payment Method],F442,RawData[Location],G442,RawData[Transaction Date],H442)</f>
        <v>1</v>
      </c>
      <c r="L442"/>
    </row>
    <row r="443" spans="1:12" x14ac:dyDescent="0.3">
      <c r="A443" t="s">
        <v>449</v>
      </c>
      <c r="B443" t="s">
        <v>10017</v>
      </c>
      <c r="C443">
        <v>1</v>
      </c>
      <c r="D443" t="s">
        <v>10015</v>
      </c>
      <c r="E443">
        <v>1.5</v>
      </c>
      <c r="F443" t="s">
        <v>10103</v>
      </c>
      <c r="G443" t="s">
        <v>10102</v>
      </c>
      <c r="H443" s="6">
        <v>45013</v>
      </c>
      <c r="I443">
        <f t="shared" si="12"/>
        <v>2</v>
      </c>
      <c r="J443" t="str">
        <f t="shared" si="13"/>
        <v>Complete</v>
      </c>
      <c r="K443">
        <f>COUNTIFS(RawData[Item], B443,RawData[Quantity],C443,RawData[Price Per Unit],D443,RawData[Total Spent],E443,RawData[Payment Method],F443,RawData[Location],G443,RawData[Transaction Date],H443)</f>
        <v>1</v>
      </c>
      <c r="L443"/>
    </row>
    <row r="444" spans="1:12" x14ac:dyDescent="0.3">
      <c r="A444" t="s">
        <v>450</v>
      </c>
      <c r="B444" t="s">
        <v>10069</v>
      </c>
      <c r="C444">
        <v>4</v>
      </c>
      <c r="D444">
        <v>3</v>
      </c>
      <c r="E444">
        <v>12</v>
      </c>
      <c r="F444" t="s">
        <v>10018</v>
      </c>
      <c r="G444" t="s">
        <v>10069</v>
      </c>
      <c r="H444" s="6">
        <v>44991</v>
      </c>
      <c r="I444">
        <f t="shared" si="12"/>
        <v>0</v>
      </c>
      <c r="J444" t="str">
        <f t="shared" si="13"/>
        <v>Complete</v>
      </c>
      <c r="K444">
        <f>COUNTIFS(RawData[Item], B444,RawData[Quantity],C444,RawData[Price Per Unit],D444,RawData[Total Spent],E444,RawData[Payment Method],F444,RawData[Location],G444,RawData[Transaction Date],H444)</f>
        <v>1</v>
      </c>
      <c r="L444"/>
    </row>
    <row r="445" spans="1:12" x14ac:dyDescent="0.3">
      <c r="A445" t="s">
        <v>451</v>
      </c>
      <c r="B445" t="s">
        <v>10012</v>
      </c>
      <c r="C445">
        <v>5</v>
      </c>
      <c r="D445">
        <v>4</v>
      </c>
      <c r="E445">
        <v>20</v>
      </c>
      <c r="F445" t="s">
        <v>10019</v>
      </c>
      <c r="G445" t="s">
        <v>10104</v>
      </c>
      <c r="H445" s="6">
        <v>45030</v>
      </c>
      <c r="I445">
        <f t="shared" si="12"/>
        <v>1</v>
      </c>
      <c r="J445" t="str">
        <f t="shared" si="13"/>
        <v>Complete</v>
      </c>
      <c r="K445">
        <f>COUNTIFS(RawData[Item], B445,RawData[Quantity],C445,RawData[Price Per Unit],D445,RawData[Total Spent],E445,RawData[Payment Method],F445,RawData[Location],G445,RawData[Transaction Date],H445)</f>
        <v>1</v>
      </c>
      <c r="L445"/>
    </row>
    <row r="446" spans="1:12" x14ac:dyDescent="0.3">
      <c r="A446" t="s">
        <v>452</v>
      </c>
      <c r="B446" t="s">
        <v>10009</v>
      </c>
      <c r="C446">
        <v>4</v>
      </c>
      <c r="D446" t="s">
        <v>10013</v>
      </c>
      <c r="E446">
        <v>12</v>
      </c>
      <c r="F446" t="s">
        <v>10018</v>
      </c>
      <c r="G446" t="s">
        <v>10102</v>
      </c>
      <c r="H446" s="6">
        <v>44968</v>
      </c>
      <c r="I446">
        <f t="shared" si="12"/>
        <v>1</v>
      </c>
      <c r="J446" t="str">
        <f t="shared" si="13"/>
        <v>Complete</v>
      </c>
      <c r="K446">
        <f>COUNTIFS(RawData[Item], B446,RawData[Quantity],C446,RawData[Price Per Unit],D446,RawData[Total Spent],E446,RawData[Payment Method],F446,RawData[Location],G446,RawData[Transaction Date],H446)</f>
        <v>1</v>
      </c>
      <c r="L446"/>
    </row>
    <row r="447" spans="1:12" x14ac:dyDescent="0.3">
      <c r="A447" t="s">
        <v>453</v>
      </c>
      <c r="B447" t="s">
        <v>10010</v>
      </c>
      <c r="C447">
        <v>3</v>
      </c>
      <c r="D447">
        <v>1</v>
      </c>
      <c r="E447">
        <v>3</v>
      </c>
      <c r="F447" t="s">
        <v>10018</v>
      </c>
      <c r="G447" t="s">
        <v>10021</v>
      </c>
      <c r="H447" s="6">
        <v>44956</v>
      </c>
      <c r="I447">
        <f t="shared" si="12"/>
        <v>0</v>
      </c>
      <c r="J447" t="str">
        <f t="shared" si="13"/>
        <v>Complete</v>
      </c>
      <c r="K447">
        <f>COUNTIFS(RawData[Item], B447,RawData[Quantity],C447,RawData[Price Per Unit],D447,RawData[Total Spent],E447,RawData[Payment Method],F447,RawData[Location],G447,RawData[Transaction Date],H447)</f>
        <v>1</v>
      </c>
      <c r="L447"/>
    </row>
    <row r="448" spans="1:12" x14ac:dyDescent="0.3">
      <c r="A448" t="s">
        <v>454</v>
      </c>
      <c r="B448" t="s">
        <v>10011</v>
      </c>
      <c r="C448">
        <v>2</v>
      </c>
      <c r="D448">
        <v>5</v>
      </c>
      <c r="E448">
        <v>10</v>
      </c>
      <c r="F448" t="s">
        <v>10019</v>
      </c>
      <c r="G448" t="s">
        <v>10069</v>
      </c>
      <c r="H448" s="6">
        <v>45180</v>
      </c>
      <c r="I448">
        <f t="shared" si="12"/>
        <v>0</v>
      </c>
      <c r="J448" t="str">
        <f t="shared" si="13"/>
        <v>Complete</v>
      </c>
      <c r="K448">
        <f>COUNTIFS(RawData[Item], B448,RawData[Quantity],C448,RawData[Price Per Unit],D448,RawData[Total Spent],E448,RawData[Payment Method],F448,RawData[Location],G448,RawData[Transaction Date],H448)</f>
        <v>1</v>
      </c>
      <c r="L448"/>
    </row>
    <row r="449" spans="1:12" x14ac:dyDescent="0.3">
      <c r="A449" t="s">
        <v>455</v>
      </c>
      <c r="B449" t="s">
        <v>10009</v>
      </c>
      <c r="C449">
        <v>4</v>
      </c>
      <c r="D449">
        <v>3</v>
      </c>
      <c r="E449">
        <v>12</v>
      </c>
      <c r="F449" t="s">
        <v>10018</v>
      </c>
      <c r="G449" t="s">
        <v>10021</v>
      </c>
      <c r="H449" s="6">
        <v>45025</v>
      </c>
      <c r="I449">
        <f t="shared" si="12"/>
        <v>0</v>
      </c>
      <c r="J449" t="str">
        <f t="shared" si="13"/>
        <v>Complete</v>
      </c>
      <c r="K449">
        <f>COUNTIFS(RawData[Item], B449,RawData[Quantity],C449,RawData[Price Per Unit],D449,RawData[Total Spent],E449,RawData[Payment Method],F449,RawData[Location],G449,RawData[Transaction Date],H449)</f>
        <v>1</v>
      </c>
      <c r="L449"/>
    </row>
    <row r="450" spans="1:12" x14ac:dyDescent="0.3">
      <c r="A450" t="s">
        <v>456</v>
      </c>
      <c r="B450" t="s">
        <v>10017</v>
      </c>
      <c r="C450">
        <v>4</v>
      </c>
      <c r="D450">
        <v>1.5</v>
      </c>
      <c r="E450">
        <v>6</v>
      </c>
      <c r="F450" t="s">
        <v>10019</v>
      </c>
      <c r="G450" t="s">
        <v>10102</v>
      </c>
      <c r="H450" s="6">
        <v>45206</v>
      </c>
      <c r="I450">
        <f t="shared" ref="I450:I513" si="14">(B450="Unknown")+(B450="Error")+(C450="Unknown")+(C450="Error")+(D450="Unknown")+(D450="Error")+(E450="Unknown")+(E450="Error")+(F450="Unknown")+(F450="Error")+(G450="Unknown")+(G450="Error")+(H450="No Date")</f>
        <v>0</v>
      </c>
      <c r="J450" t="str">
        <f t="shared" ref="J450:J513" si="15">IF((H450="No Date"),"Incomplete","Complete")</f>
        <v>Complete</v>
      </c>
      <c r="K450">
        <f>COUNTIFS(RawData[Item], B450,RawData[Quantity],C450,RawData[Price Per Unit],D450,RawData[Total Spent],E450,RawData[Payment Method],F450,RawData[Location],G450,RawData[Transaction Date],H450)</f>
        <v>1</v>
      </c>
      <c r="L450"/>
    </row>
    <row r="451" spans="1:12" x14ac:dyDescent="0.3">
      <c r="A451" t="s">
        <v>457</v>
      </c>
      <c r="B451" t="s">
        <v>10008</v>
      </c>
      <c r="C451">
        <v>2</v>
      </c>
      <c r="D451">
        <v>2</v>
      </c>
      <c r="E451">
        <v>4</v>
      </c>
      <c r="F451" t="s">
        <v>10019</v>
      </c>
      <c r="G451" t="s">
        <v>10103</v>
      </c>
      <c r="H451" s="6">
        <v>45158</v>
      </c>
      <c r="I451">
        <f t="shared" si="14"/>
        <v>1</v>
      </c>
      <c r="J451" t="str">
        <f t="shared" si="15"/>
        <v>Complete</v>
      </c>
      <c r="K451">
        <f>COUNTIFS(RawData[Item], B451,RawData[Quantity],C451,RawData[Price Per Unit],D451,RawData[Total Spent],E451,RawData[Payment Method],F451,RawData[Location],G451,RawData[Transaction Date],H451)</f>
        <v>1</v>
      </c>
      <c r="L451"/>
    </row>
    <row r="452" spans="1:12" x14ac:dyDescent="0.3">
      <c r="A452" t="s">
        <v>458</v>
      </c>
      <c r="B452" t="s">
        <v>10012</v>
      </c>
      <c r="C452">
        <v>1</v>
      </c>
      <c r="D452">
        <v>4</v>
      </c>
      <c r="E452">
        <v>0</v>
      </c>
      <c r="F452" t="s">
        <v>10069</v>
      </c>
      <c r="G452" t="s">
        <v>10021</v>
      </c>
      <c r="H452" s="6">
        <v>45032</v>
      </c>
      <c r="I452">
        <f t="shared" si="14"/>
        <v>0</v>
      </c>
      <c r="J452" t="str">
        <f t="shared" si="15"/>
        <v>Complete</v>
      </c>
      <c r="K452">
        <f>COUNTIFS(RawData[Item], B452,RawData[Quantity],C452,RawData[Price Per Unit],D452,RawData[Total Spent],E452,RawData[Payment Method],F452,RawData[Location],G452,RawData[Transaction Date],H452)</f>
        <v>1</v>
      </c>
      <c r="L452"/>
    </row>
    <row r="453" spans="1:12" x14ac:dyDescent="0.3">
      <c r="A453" t="s">
        <v>459</v>
      </c>
      <c r="B453" t="s">
        <v>10014</v>
      </c>
      <c r="C453">
        <v>5</v>
      </c>
      <c r="D453">
        <v>4</v>
      </c>
      <c r="E453">
        <v>20</v>
      </c>
      <c r="F453" t="s">
        <v>10069</v>
      </c>
      <c r="G453" t="s">
        <v>10104</v>
      </c>
      <c r="H453" s="6">
        <v>44980</v>
      </c>
      <c r="I453">
        <f t="shared" si="14"/>
        <v>1</v>
      </c>
      <c r="J453" t="str">
        <f t="shared" si="15"/>
        <v>Complete</v>
      </c>
      <c r="K453">
        <f>COUNTIFS(RawData[Item], B453,RawData[Quantity],C453,RawData[Price Per Unit],D453,RawData[Total Spent],E453,RawData[Payment Method],F453,RawData[Location],G453,RawData[Transaction Date],H453)</f>
        <v>1</v>
      </c>
      <c r="L453"/>
    </row>
    <row r="454" spans="1:12" x14ac:dyDescent="0.3">
      <c r="A454" t="s">
        <v>460</v>
      </c>
      <c r="B454" t="s">
        <v>10012</v>
      </c>
      <c r="C454">
        <v>1</v>
      </c>
      <c r="D454">
        <v>4</v>
      </c>
      <c r="E454" t="s">
        <v>10015</v>
      </c>
      <c r="F454" t="s">
        <v>10069</v>
      </c>
      <c r="G454" t="s">
        <v>10104</v>
      </c>
      <c r="H454" s="6">
        <v>45283</v>
      </c>
      <c r="I454">
        <f t="shared" si="14"/>
        <v>2</v>
      </c>
      <c r="J454" t="str">
        <f t="shared" si="15"/>
        <v>Complete</v>
      </c>
      <c r="K454">
        <f>COUNTIFS(RawData[Item], B454,RawData[Quantity],C454,RawData[Price Per Unit],D454,RawData[Total Spent],E454,RawData[Payment Method],F454,RawData[Location],G454,RawData[Transaction Date],H454)</f>
        <v>1</v>
      </c>
      <c r="L454"/>
    </row>
    <row r="455" spans="1:12" x14ac:dyDescent="0.3">
      <c r="A455" t="s">
        <v>461</v>
      </c>
      <c r="B455" t="s">
        <v>10017</v>
      </c>
      <c r="C455">
        <v>4</v>
      </c>
      <c r="D455">
        <v>1.5</v>
      </c>
      <c r="E455">
        <v>6</v>
      </c>
      <c r="F455" t="s">
        <v>10019</v>
      </c>
      <c r="G455" t="s">
        <v>10103</v>
      </c>
      <c r="H455" s="6">
        <v>45157</v>
      </c>
      <c r="I455">
        <f t="shared" si="14"/>
        <v>1</v>
      </c>
      <c r="J455" t="str">
        <f t="shared" si="15"/>
        <v>Complete</v>
      </c>
      <c r="K455">
        <f>COUNTIFS(RawData[Item], B455,RawData[Quantity],C455,RawData[Price Per Unit],D455,RawData[Total Spent],E455,RawData[Payment Method],F455,RawData[Location],G455,RawData[Transaction Date],H455)</f>
        <v>1</v>
      </c>
      <c r="L455"/>
    </row>
    <row r="456" spans="1:12" x14ac:dyDescent="0.3">
      <c r="A456" t="s">
        <v>462</v>
      </c>
      <c r="B456" t="s">
        <v>10008</v>
      </c>
      <c r="C456">
        <v>1</v>
      </c>
      <c r="D456">
        <v>2</v>
      </c>
      <c r="E456">
        <v>2</v>
      </c>
      <c r="F456" t="s">
        <v>10020</v>
      </c>
      <c r="G456" t="s">
        <v>10102</v>
      </c>
      <c r="H456" s="6">
        <v>45282</v>
      </c>
      <c r="I456">
        <f t="shared" si="14"/>
        <v>0</v>
      </c>
      <c r="J456" t="str">
        <f t="shared" si="15"/>
        <v>Complete</v>
      </c>
      <c r="K456">
        <f>COUNTIFS(RawData[Item], B456,RawData[Quantity],C456,RawData[Price Per Unit],D456,RawData[Total Spent],E456,RawData[Payment Method],F456,RawData[Location],G456,RawData[Transaction Date],H456)</f>
        <v>1</v>
      </c>
      <c r="L456"/>
    </row>
    <row r="457" spans="1:12" x14ac:dyDescent="0.3">
      <c r="A457" t="s">
        <v>463</v>
      </c>
      <c r="B457" t="s">
        <v>10016</v>
      </c>
      <c r="C457">
        <v>2</v>
      </c>
      <c r="D457">
        <v>3</v>
      </c>
      <c r="E457">
        <v>6</v>
      </c>
      <c r="F457" t="s">
        <v>10069</v>
      </c>
      <c r="G457" t="s">
        <v>10021</v>
      </c>
      <c r="H457" s="6">
        <v>44990</v>
      </c>
      <c r="I457">
        <f t="shared" si="14"/>
        <v>0</v>
      </c>
      <c r="J457" t="str">
        <f t="shared" si="15"/>
        <v>Complete</v>
      </c>
      <c r="K457">
        <f>COUNTIFS(RawData[Item], B457,RawData[Quantity],C457,RawData[Price Per Unit],D457,RawData[Total Spent],E457,RawData[Payment Method],F457,RawData[Location],G457,RawData[Transaction Date],H457)</f>
        <v>1</v>
      </c>
      <c r="L457"/>
    </row>
    <row r="458" spans="1:12" x14ac:dyDescent="0.3">
      <c r="A458" t="s">
        <v>464</v>
      </c>
      <c r="B458" t="s">
        <v>10016</v>
      </c>
      <c r="C458">
        <v>2</v>
      </c>
      <c r="D458">
        <v>3</v>
      </c>
      <c r="E458">
        <v>6</v>
      </c>
      <c r="F458" t="s">
        <v>10018</v>
      </c>
      <c r="G458" t="s">
        <v>10021</v>
      </c>
      <c r="H458" s="6" t="s">
        <v>10112</v>
      </c>
      <c r="I458">
        <f t="shared" si="14"/>
        <v>1</v>
      </c>
      <c r="J458" t="str">
        <f t="shared" si="15"/>
        <v>Incomplete</v>
      </c>
      <c r="K458">
        <f>COUNTIFS(RawData[Item], B458,RawData[Quantity],C458,RawData[Price Per Unit],D458,RawData[Total Spent],E458,RawData[Payment Method],F458,RawData[Location],G458,RawData[Transaction Date],H458)</f>
        <v>1</v>
      </c>
      <c r="L458"/>
    </row>
    <row r="459" spans="1:12" x14ac:dyDescent="0.3">
      <c r="A459" t="s">
        <v>465</v>
      </c>
      <c r="B459" t="s">
        <v>10017</v>
      </c>
      <c r="C459">
        <v>4</v>
      </c>
      <c r="D459">
        <v>1.5</v>
      </c>
      <c r="E459">
        <v>6</v>
      </c>
      <c r="F459" t="s">
        <v>10019</v>
      </c>
      <c r="G459" t="s">
        <v>10069</v>
      </c>
      <c r="H459" s="6">
        <v>45255</v>
      </c>
      <c r="I459">
        <f t="shared" si="14"/>
        <v>0</v>
      </c>
      <c r="J459" t="str">
        <f t="shared" si="15"/>
        <v>Complete</v>
      </c>
      <c r="K459">
        <f>COUNTIFS(RawData[Item], B459,RawData[Quantity],C459,RawData[Price Per Unit],D459,RawData[Total Spent],E459,RawData[Payment Method],F459,RawData[Location],G459,RawData[Transaction Date],H459)</f>
        <v>1</v>
      </c>
      <c r="L459"/>
    </row>
    <row r="460" spans="1:12" x14ac:dyDescent="0.3">
      <c r="A460" t="s">
        <v>466</v>
      </c>
      <c r="B460" t="s">
        <v>10014</v>
      </c>
      <c r="C460">
        <v>5</v>
      </c>
      <c r="D460">
        <v>4</v>
      </c>
      <c r="E460">
        <v>20</v>
      </c>
      <c r="F460" t="s">
        <v>10020</v>
      </c>
      <c r="G460" t="s">
        <v>10069</v>
      </c>
      <c r="H460" s="6">
        <v>45117</v>
      </c>
      <c r="I460">
        <f t="shared" si="14"/>
        <v>0</v>
      </c>
      <c r="J460" t="str">
        <f t="shared" si="15"/>
        <v>Complete</v>
      </c>
      <c r="K460">
        <f>COUNTIFS(RawData[Item], B460,RawData[Quantity],C460,RawData[Price Per Unit],D460,RawData[Total Spent],E460,RawData[Payment Method],F460,RawData[Location],G460,RawData[Transaction Date],H460)</f>
        <v>1</v>
      </c>
      <c r="L460"/>
    </row>
    <row r="461" spans="1:12" x14ac:dyDescent="0.3">
      <c r="A461" t="s">
        <v>467</v>
      </c>
      <c r="B461" t="s">
        <v>10008</v>
      </c>
      <c r="C461">
        <v>5</v>
      </c>
      <c r="D461">
        <v>2</v>
      </c>
      <c r="E461">
        <v>0</v>
      </c>
      <c r="F461" t="s">
        <v>10019</v>
      </c>
      <c r="G461" t="s">
        <v>10069</v>
      </c>
      <c r="H461" s="6">
        <v>45109</v>
      </c>
      <c r="I461">
        <f t="shared" si="14"/>
        <v>0</v>
      </c>
      <c r="J461" t="str">
        <f t="shared" si="15"/>
        <v>Complete</v>
      </c>
      <c r="K461">
        <f>COUNTIFS(RawData[Item], B461,RawData[Quantity],C461,RawData[Price Per Unit],D461,RawData[Total Spent],E461,RawData[Payment Method],F461,RawData[Location],G461,RawData[Transaction Date],H461)</f>
        <v>1</v>
      </c>
      <c r="L461"/>
    </row>
    <row r="462" spans="1:12" x14ac:dyDescent="0.3">
      <c r="A462" t="s">
        <v>468</v>
      </c>
      <c r="B462" t="s">
        <v>10009</v>
      </c>
      <c r="C462">
        <v>3</v>
      </c>
      <c r="D462">
        <v>3</v>
      </c>
      <c r="E462">
        <v>9</v>
      </c>
      <c r="F462" t="s">
        <v>10020</v>
      </c>
      <c r="G462" t="s">
        <v>10069</v>
      </c>
      <c r="H462" s="6">
        <v>45247</v>
      </c>
      <c r="I462">
        <f t="shared" si="14"/>
        <v>0</v>
      </c>
      <c r="J462" t="str">
        <f t="shared" si="15"/>
        <v>Complete</v>
      </c>
      <c r="K462">
        <f>COUNTIFS(RawData[Item], B462,RawData[Quantity],C462,RawData[Price Per Unit],D462,RawData[Total Spent],E462,RawData[Payment Method],F462,RawData[Location],G462,RawData[Transaction Date],H462)</f>
        <v>1</v>
      </c>
      <c r="L462"/>
    </row>
    <row r="463" spans="1:12" x14ac:dyDescent="0.3">
      <c r="A463" t="s">
        <v>469</v>
      </c>
      <c r="B463" t="s">
        <v>10016</v>
      </c>
      <c r="C463">
        <v>1</v>
      </c>
      <c r="D463">
        <v>3</v>
      </c>
      <c r="E463" t="s">
        <v>10013</v>
      </c>
      <c r="F463" t="s">
        <v>10069</v>
      </c>
      <c r="G463" t="s">
        <v>10021</v>
      </c>
      <c r="H463" s="6">
        <v>45080</v>
      </c>
      <c r="I463">
        <f t="shared" si="14"/>
        <v>1</v>
      </c>
      <c r="J463" t="str">
        <f t="shared" si="15"/>
        <v>Complete</v>
      </c>
      <c r="K463">
        <f>COUNTIFS(RawData[Item], B463,RawData[Quantity],C463,RawData[Price Per Unit],D463,RawData[Total Spent],E463,RawData[Payment Method],F463,RawData[Location],G463,RawData[Transaction Date],H463)</f>
        <v>1</v>
      </c>
      <c r="L463"/>
    </row>
    <row r="464" spans="1:12" x14ac:dyDescent="0.3">
      <c r="A464" t="s">
        <v>470</v>
      </c>
      <c r="B464" t="s">
        <v>10010</v>
      </c>
      <c r="C464">
        <v>4</v>
      </c>
      <c r="D464">
        <v>1</v>
      </c>
      <c r="E464">
        <v>4</v>
      </c>
      <c r="F464" t="s">
        <v>10020</v>
      </c>
      <c r="G464" t="s">
        <v>10069</v>
      </c>
      <c r="H464" s="6">
        <v>45009</v>
      </c>
      <c r="I464">
        <f t="shared" si="14"/>
        <v>0</v>
      </c>
      <c r="J464" t="str">
        <f t="shared" si="15"/>
        <v>Complete</v>
      </c>
      <c r="K464">
        <f>COUNTIFS(RawData[Item], B464,RawData[Quantity],C464,RawData[Price Per Unit],D464,RawData[Total Spent],E464,RawData[Payment Method],F464,RawData[Location],G464,RawData[Transaction Date],H464)</f>
        <v>1</v>
      </c>
      <c r="L464"/>
    </row>
    <row r="465" spans="1:12" x14ac:dyDescent="0.3">
      <c r="A465" t="s">
        <v>471</v>
      </c>
      <c r="B465" t="s">
        <v>10012</v>
      </c>
      <c r="C465">
        <v>1</v>
      </c>
      <c r="D465">
        <v>4</v>
      </c>
      <c r="E465">
        <v>4</v>
      </c>
      <c r="F465" t="s">
        <v>10019</v>
      </c>
      <c r="G465" t="s">
        <v>10069</v>
      </c>
      <c r="H465" s="6">
        <v>45130</v>
      </c>
      <c r="I465">
        <f t="shared" si="14"/>
        <v>0</v>
      </c>
      <c r="J465" t="str">
        <f t="shared" si="15"/>
        <v>Complete</v>
      </c>
      <c r="K465">
        <f>COUNTIFS(RawData[Item], B465,RawData[Quantity],C465,RawData[Price Per Unit],D465,RawData[Total Spent],E465,RawData[Payment Method],F465,RawData[Location],G465,RawData[Transaction Date],H465)</f>
        <v>1</v>
      </c>
      <c r="L465"/>
    </row>
    <row r="466" spans="1:12" x14ac:dyDescent="0.3">
      <c r="A466" t="s">
        <v>472</v>
      </c>
      <c r="B466" t="s">
        <v>10008</v>
      </c>
      <c r="C466">
        <v>4</v>
      </c>
      <c r="D466">
        <v>2</v>
      </c>
      <c r="E466">
        <v>8</v>
      </c>
      <c r="F466" t="s">
        <v>10019</v>
      </c>
      <c r="G466" t="s">
        <v>10021</v>
      </c>
      <c r="H466" s="6">
        <v>45136</v>
      </c>
      <c r="I466">
        <f t="shared" si="14"/>
        <v>0</v>
      </c>
      <c r="J466" t="str">
        <f t="shared" si="15"/>
        <v>Complete</v>
      </c>
      <c r="K466">
        <f>COUNTIFS(RawData[Item], B466,RawData[Quantity],C466,RawData[Price Per Unit],D466,RawData[Total Spent],E466,RawData[Payment Method],F466,RawData[Location],G466,RawData[Transaction Date],H466)</f>
        <v>1</v>
      </c>
      <c r="L466"/>
    </row>
    <row r="467" spans="1:12" x14ac:dyDescent="0.3">
      <c r="A467" t="s">
        <v>473</v>
      </c>
      <c r="B467" t="s">
        <v>10009</v>
      </c>
      <c r="C467">
        <v>4</v>
      </c>
      <c r="D467">
        <v>3</v>
      </c>
      <c r="E467">
        <v>12</v>
      </c>
      <c r="F467" t="s">
        <v>10018</v>
      </c>
      <c r="G467" t="s">
        <v>10021</v>
      </c>
      <c r="H467" s="6">
        <v>44929</v>
      </c>
      <c r="I467">
        <f t="shared" si="14"/>
        <v>0</v>
      </c>
      <c r="J467" t="str">
        <f t="shared" si="15"/>
        <v>Complete</v>
      </c>
      <c r="K467">
        <f>COUNTIFS(RawData[Item], B467,RawData[Quantity],C467,RawData[Price Per Unit],D467,RawData[Total Spent],E467,RawData[Payment Method],F467,RawData[Location],G467,RawData[Transaction Date],H467)</f>
        <v>1</v>
      </c>
      <c r="L467"/>
    </row>
    <row r="468" spans="1:12" x14ac:dyDescent="0.3">
      <c r="A468" t="s">
        <v>474</v>
      </c>
      <c r="B468" t="s">
        <v>10014</v>
      </c>
      <c r="C468">
        <v>4</v>
      </c>
      <c r="D468">
        <v>4</v>
      </c>
      <c r="E468">
        <v>16</v>
      </c>
      <c r="F468" t="s">
        <v>10018</v>
      </c>
      <c r="G468" t="s">
        <v>10021</v>
      </c>
      <c r="H468" s="6">
        <v>44931</v>
      </c>
      <c r="I468">
        <f t="shared" si="14"/>
        <v>0</v>
      </c>
      <c r="J468" t="str">
        <f t="shared" si="15"/>
        <v>Complete</v>
      </c>
      <c r="K468">
        <f>COUNTIFS(RawData[Item], B468,RawData[Quantity],C468,RawData[Price Per Unit],D468,RawData[Total Spent],E468,RawData[Payment Method],F468,RawData[Location],G468,RawData[Transaction Date],H468)</f>
        <v>1</v>
      </c>
      <c r="L468"/>
    </row>
    <row r="469" spans="1:12" x14ac:dyDescent="0.3">
      <c r="A469" t="s">
        <v>475</v>
      </c>
      <c r="B469" t="s">
        <v>10011</v>
      </c>
      <c r="C469">
        <v>1</v>
      </c>
      <c r="D469">
        <v>5</v>
      </c>
      <c r="E469">
        <v>5</v>
      </c>
      <c r="F469" t="s">
        <v>10018</v>
      </c>
      <c r="G469" t="s">
        <v>10021</v>
      </c>
      <c r="H469" s="6">
        <v>45000</v>
      </c>
      <c r="I469">
        <f t="shared" si="14"/>
        <v>0</v>
      </c>
      <c r="J469" t="str">
        <f t="shared" si="15"/>
        <v>Complete</v>
      </c>
      <c r="K469">
        <f>COUNTIFS(RawData[Item], B469,RawData[Quantity],C469,RawData[Price Per Unit],D469,RawData[Total Spent],E469,RawData[Payment Method],F469,RawData[Location],G469,RawData[Transaction Date],H469)</f>
        <v>1</v>
      </c>
      <c r="L469"/>
    </row>
    <row r="470" spans="1:12" x14ac:dyDescent="0.3">
      <c r="A470" t="s">
        <v>476</v>
      </c>
      <c r="B470" t="s">
        <v>10010</v>
      </c>
      <c r="C470">
        <v>1</v>
      </c>
      <c r="D470">
        <v>1</v>
      </c>
      <c r="E470">
        <v>1</v>
      </c>
      <c r="F470" t="s">
        <v>10020</v>
      </c>
      <c r="G470" t="s">
        <v>10021</v>
      </c>
      <c r="H470" s="6" t="s">
        <v>10112</v>
      </c>
      <c r="I470">
        <f t="shared" si="14"/>
        <v>1</v>
      </c>
      <c r="J470" t="str">
        <f t="shared" si="15"/>
        <v>Incomplete</v>
      </c>
      <c r="K470">
        <f>COUNTIFS(RawData[Item], B470,RawData[Quantity],C470,RawData[Price Per Unit],D470,RawData[Total Spent],E470,RawData[Payment Method],F470,RawData[Location],G470,RawData[Transaction Date],H470)</f>
        <v>2</v>
      </c>
      <c r="L470"/>
    </row>
    <row r="471" spans="1:12" x14ac:dyDescent="0.3">
      <c r="A471" t="s">
        <v>477</v>
      </c>
      <c r="B471" t="s">
        <v>10014</v>
      </c>
      <c r="C471">
        <v>2</v>
      </c>
      <c r="D471">
        <v>4</v>
      </c>
      <c r="E471">
        <v>8</v>
      </c>
      <c r="F471" t="s">
        <v>10069</v>
      </c>
      <c r="G471" t="s">
        <v>10069</v>
      </c>
      <c r="H471" s="6">
        <v>44997</v>
      </c>
      <c r="I471">
        <f t="shared" si="14"/>
        <v>0</v>
      </c>
      <c r="J471" t="str">
        <f t="shared" si="15"/>
        <v>Complete</v>
      </c>
      <c r="K471">
        <f>COUNTIFS(RawData[Item], B471,RawData[Quantity],C471,RawData[Price Per Unit],D471,RawData[Total Spent],E471,RawData[Payment Method],F471,RawData[Location],G471,RawData[Transaction Date],H471)</f>
        <v>1</v>
      </c>
      <c r="L471"/>
    </row>
    <row r="472" spans="1:12" x14ac:dyDescent="0.3">
      <c r="A472" t="s">
        <v>478</v>
      </c>
      <c r="B472" t="s">
        <v>10014</v>
      </c>
      <c r="C472">
        <v>4</v>
      </c>
      <c r="D472">
        <v>4</v>
      </c>
      <c r="E472">
        <v>16</v>
      </c>
      <c r="F472" t="s">
        <v>10018</v>
      </c>
      <c r="G472" t="s">
        <v>10069</v>
      </c>
      <c r="H472" s="6">
        <v>45154</v>
      </c>
      <c r="I472">
        <f t="shared" si="14"/>
        <v>0</v>
      </c>
      <c r="J472" t="str">
        <f t="shared" si="15"/>
        <v>Complete</v>
      </c>
      <c r="K472">
        <f>COUNTIFS(RawData[Item], B472,RawData[Quantity],C472,RawData[Price Per Unit],D472,RawData[Total Spent],E472,RawData[Payment Method],F472,RawData[Location],G472,RawData[Transaction Date],H472)</f>
        <v>1</v>
      </c>
      <c r="L472"/>
    </row>
    <row r="473" spans="1:12" x14ac:dyDescent="0.3">
      <c r="A473" t="s">
        <v>479</v>
      </c>
      <c r="B473" t="s">
        <v>10008</v>
      </c>
      <c r="C473">
        <v>4</v>
      </c>
      <c r="D473">
        <v>2</v>
      </c>
      <c r="E473">
        <v>8</v>
      </c>
      <c r="F473" t="s">
        <v>10069</v>
      </c>
      <c r="G473" t="s">
        <v>10102</v>
      </c>
      <c r="H473" s="6">
        <v>45141</v>
      </c>
      <c r="I473">
        <f t="shared" si="14"/>
        <v>0</v>
      </c>
      <c r="J473" t="str">
        <f t="shared" si="15"/>
        <v>Complete</v>
      </c>
      <c r="K473">
        <f>COUNTIFS(RawData[Item], B473,RawData[Quantity],C473,RawData[Price Per Unit],D473,RawData[Total Spent],E473,RawData[Payment Method],F473,RawData[Location],G473,RawData[Transaction Date],H473)</f>
        <v>1</v>
      </c>
      <c r="L473"/>
    </row>
    <row r="474" spans="1:12" x14ac:dyDescent="0.3">
      <c r="A474" t="s">
        <v>480</v>
      </c>
      <c r="B474" t="s">
        <v>10011</v>
      </c>
      <c r="C474">
        <v>4</v>
      </c>
      <c r="D474">
        <v>5</v>
      </c>
      <c r="E474">
        <v>20</v>
      </c>
      <c r="F474" t="s">
        <v>10020</v>
      </c>
      <c r="G474" t="s">
        <v>10102</v>
      </c>
      <c r="H474" s="6">
        <v>45082</v>
      </c>
      <c r="I474">
        <f t="shared" si="14"/>
        <v>0</v>
      </c>
      <c r="J474" t="str">
        <f t="shared" si="15"/>
        <v>Complete</v>
      </c>
      <c r="K474">
        <f>COUNTIFS(RawData[Item], B474,RawData[Quantity],C474,RawData[Price Per Unit],D474,RawData[Total Spent],E474,RawData[Payment Method],F474,RawData[Location],G474,RawData[Transaction Date],H474)</f>
        <v>1</v>
      </c>
      <c r="L474"/>
    </row>
    <row r="475" spans="1:12" x14ac:dyDescent="0.3">
      <c r="A475" t="s">
        <v>481</v>
      </c>
      <c r="B475" t="s">
        <v>10016</v>
      </c>
      <c r="C475">
        <v>5</v>
      </c>
      <c r="D475">
        <v>3</v>
      </c>
      <c r="E475">
        <v>15</v>
      </c>
      <c r="F475" t="s">
        <v>10018</v>
      </c>
      <c r="G475" t="s">
        <v>10102</v>
      </c>
      <c r="H475" s="6">
        <v>45006</v>
      </c>
      <c r="I475">
        <f t="shared" si="14"/>
        <v>0</v>
      </c>
      <c r="J475" t="str">
        <f t="shared" si="15"/>
        <v>Complete</v>
      </c>
      <c r="K475">
        <f>COUNTIFS(RawData[Item], B475,RawData[Quantity],C475,RawData[Price Per Unit],D475,RawData[Total Spent],E475,RawData[Payment Method],F475,RawData[Location],G475,RawData[Transaction Date],H475)</f>
        <v>1</v>
      </c>
      <c r="L475"/>
    </row>
    <row r="476" spans="1:12" x14ac:dyDescent="0.3">
      <c r="A476" t="s">
        <v>482</v>
      </c>
      <c r="B476" t="s">
        <v>10014</v>
      </c>
      <c r="C476">
        <v>5</v>
      </c>
      <c r="D476">
        <v>4</v>
      </c>
      <c r="E476">
        <v>20</v>
      </c>
      <c r="F476" t="s">
        <v>10020</v>
      </c>
      <c r="G476" t="s">
        <v>10021</v>
      </c>
      <c r="H476" s="6">
        <v>45218</v>
      </c>
      <c r="I476">
        <f t="shared" si="14"/>
        <v>0</v>
      </c>
      <c r="J476" t="str">
        <f t="shared" si="15"/>
        <v>Complete</v>
      </c>
      <c r="K476">
        <f>COUNTIFS(RawData[Item], B476,RawData[Quantity],C476,RawData[Price Per Unit],D476,RawData[Total Spent],E476,RawData[Payment Method],F476,RawData[Location],G476,RawData[Transaction Date],H476)</f>
        <v>1</v>
      </c>
      <c r="L476"/>
    </row>
    <row r="477" spans="1:12" x14ac:dyDescent="0.3">
      <c r="A477" t="s">
        <v>483</v>
      </c>
      <c r="B477" t="s">
        <v>10010</v>
      </c>
      <c r="C477">
        <v>5</v>
      </c>
      <c r="D477">
        <v>1</v>
      </c>
      <c r="E477">
        <v>5</v>
      </c>
      <c r="F477" t="s">
        <v>10069</v>
      </c>
      <c r="G477" t="s">
        <v>10102</v>
      </c>
      <c r="H477" s="6">
        <v>44933</v>
      </c>
      <c r="I477">
        <f t="shared" si="14"/>
        <v>0</v>
      </c>
      <c r="J477" t="str">
        <f t="shared" si="15"/>
        <v>Complete</v>
      </c>
      <c r="K477">
        <f>COUNTIFS(RawData[Item], B477,RawData[Quantity],C477,RawData[Price Per Unit],D477,RawData[Total Spent],E477,RawData[Payment Method],F477,RawData[Location],G477,RawData[Transaction Date],H477)</f>
        <v>1</v>
      </c>
      <c r="L477"/>
    </row>
    <row r="478" spans="1:12" x14ac:dyDescent="0.3">
      <c r="A478" t="s">
        <v>484</v>
      </c>
      <c r="B478" t="s">
        <v>10015</v>
      </c>
      <c r="C478">
        <v>1</v>
      </c>
      <c r="D478">
        <v>3</v>
      </c>
      <c r="E478">
        <v>3</v>
      </c>
      <c r="F478" t="s">
        <v>10069</v>
      </c>
      <c r="G478" t="s">
        <v>10102</v>
      </c>
      <c r="H478" s="6">
        <v>45259</v>
      </c>
      <c r="I478">
        <f t="shared" si="14"/>
        <v>1</v>
      </c>
      <c r="J478" t="str">
        <f t="shared" si="15"/>
        <v>Complete</v>
      </c>
      <c r="K478">
        <f>COUNTIFS(RawData[Item], B478,RawData[Quantity],C478,RawData[Price Per Unit],D478,RawData[Total Spent],E478,RawData[Payment Method],F478,RawData[Location],G478,RawData[Transaction Date],H478)</f>
        <v>1</v>
      </c>
      <c r="L478"/>
    </row>
    <row r="479" spans="1:12" x14ac:dyDescent="0.3">
      <c r="A479" t="s">
        <v>485</v>
      </c>
      <c r="B479" t="s">
        <v>10010</v>
      </c>
      <c r="C479">
        <v>1</v>
      </c>
      <c r="D479">
        <v>1</v>
      </c>
      <c r="E479">
        <v>1</v>
      </c>
      <c r="F479" t="s">
        <v>10019</v>
      </c>
      <c r="G479" t="s">
        <v>10021</v>
      </c>
      <c r="H479" s="6">
        <v>45226</v>
      </c>
      <c r="I479">
        <f t="shared" si="14"/>
        <v>0</v>
      </c>
      <c r="J479" t="str">
        <f t="shared" si="15"/>
        <v>Complete</v>
      </c>
      <c r="K479">
        <f>COUNTIFS(RawData[Item], B479,RawData[Quantity],C479,RawData[Price Per Unit],D479,RawData[Total Spent],E479,RawData[Payment Method],F479,RawData[Location],G479,RawData[Transaction Date],H479)</f>
        <v>1</v>
      </c>
      <c r="L479"/>
    </row>
    <row r="480" spans="1:12" x14ac:dyDescent="0.3">
      <c r="A480" t="s">
        <v>486</v>
      </c>
      <c r="B480" t="s">
        <v>10017</v>
      </c>
      <c r="C480">
        <v>4</v>
      </c>
      <c r="D480">
        <v>1.5</v>
      </c>
      <c r="E480">
        <v>6</v>
      </c>
      <c r="F480" t="s">
        <v>10018</v>
      </c>
      <c r="G480" t="s">
        <v>10102</v>
      </c>
      <c r="H480" s="6">
        <v>45121</v>
      </c>
      <c r="I480">
        <f t="shared" si="14"/>
        <v>0</v>
      </c>
      <c r="J480" t="str">
        <f t="shared" si="15"/>
        <v>Complete</v>
      </c>
      <c r="K480">
        <f>COUNTIFS(RawData[Item], B480,RawData[Quantity],C480,RawData[Price Per Unit],D480,RawData[Total Spent],E480,RawData[Payment Method],F480,RawData[Location],G480,RawData[Transaction Date],H480)</f>
        <v>1</v>
      </c>
      <c r="L480"/>
    </row>
    <row r="481" spans="1:12" x14ac:dyDescent="0.3">
      <c r="A481" t="s">
        <v>487</v>
      </c>
      <c r="B481" t="s">
        <v>10015</v>
      </c>
      <c r="C481">
        <v>3</v>
      </c>
      <c r="D481">
        <v>3</v>
      </c>
      <c r="E481">
        <v>9</v>
      </c>
      <c r="F481" t="s">
        <v>10018</v>
      </c>
      <c r="G481" t="s">
        <v>10102</v>
      </c>
      <c r="H481" s="6">
        <v>45067</v>
      </c>
      <c r="I481">
        <f t="shared" si="14"/>
        <v>1</v>
      </c>
      <c r="J481" t="str">
        <f t="shared" si="15"/>
        <v>Complete</v>
      </c>
      <c r="K481">
        <f>COUNTIFS(RawData[Item], B481,RawData[Quantity],C481,RawData[Price Per Unit],D481,RawData[Total Spent],E481,RawData[Payment Method],F481,RawData[Location],G481,RawData[Transaction Date],H481)</f>
        <v>1</v>
      </c>
      <c r="L481"/>
    </row>
    <row r="482" spans="1:12" x14ac:dyDescent="0.3">
      <c r="A482" t="s">
        <v>488</v>
      </c>
      <c r="B482" t="s">
        <v>10009</v>
      </c>
      <c r="C482">
        <v>1</v>
      </c>
      <c r="D482">
        <v>3</v>
      </c>
      <c r="E482">
        <v>3</v>
      </c>
      <c r="F482" t="s">
        <v>10069</v>
      </c>
      <c r="G482" t="s">
        <v>10102</v>
      </c>
      <c r="H482" s="6">
        <v>45218</v>
      </c>
      <c r="I482">
        <f t="shared" si="14"/>
        <v>0</v>
      </c>
      <c r="J482" t="str">
        <f t="shared" si="15"/>
        <v>Complete</v>
      </c>
      <c r="K482">
        <f>COUNTIFS(RawData[Item], B482,RawData[Quantity],C482,RawData[Price Per Unit],D482,RawData[Total Spent],E482,RawData[Payment Method],F482,RawData[Location],G482,RawData[Transaction Date],H482)</f>
        <v>1</v>
      </c>
      <c r="L482"/>
    </row>
    <row r="483" spans="1:12" x14ac:dyDescent="0.3">
      <c r="A483" t="s">
        <v>489</v>
      </c>
      <c r="B483" t="s">
        <v>10012</v>
      </c>
      <c r="C483">
        <v>5</v>
      </c>
      <c r="D483">
        <v>4</v>
      </c>
      <c r="E483">
        <v>20</v>
      </c>
      <c r="F483" t="s">
        <v>10018</v>
      </c>
      <c r="G483" t="s">
        <v>10069</v>
      </c>
      <c r="H483" s="6">
        <v>45144</v>
      </c>
      <c r="I483">
        <f t="shared" si="14"/>
        <v>0</v>
      </c>
      <c r="J483" t="str">
        <f t="shared" si="15"/>
        <v>Complete</v>
      </c>
      <c r="K483">
        <f>COUNTIFS(RawData[Item], B483,RawData[Quantity],C483,RawData[Price Per Unit],D483,RawData[Total Spent],E483,RawData[Payment Method],F483,RawData[Location],G483,RawData[Transaction Date],H483)</f>
        <v>1</v>
      </c>
      <c r="L483"/>
    </row>
    <row r="484" spans="1:12" x14ac:dyDescent="0.3">
      <c r="A484" t="s">
        <v>490</v>
      </c>
      <c r="B484" t="s">
        <v>10069</v>
      </c>
      <c r="C484">
        <v>2</v>
      </c>
      <c r="D484">
        <v>3</v>
      </c>
      <c r="E484">
        <v>6</v>
      </c>
      <c r="F484" t="s">
        <v>10019</v>
      </c>
      <c r="G484" t="s">
        <v>10102</v>
      </c>
      <c r="H484" s="6">
        <v>45112</v>
      </c>
      <c r="I484">
        <f t="shared" si="14"/>
        <v>0</v>
      </c>
      <c r="J484" t="str">
        <f t="shared" si="15"/>
        <v>Complete</v>
      </c>
      <c r="K484">
        <f>COUNTIFS(RawData[Item], B484,RawData[Quantity],C484,RawData[Price Per Unit],D484,RawData[Total Spent],E484,RawData[Payment Method],F484,RawData[Location],G484,RawData[Transaction Date],H484)</f>
        <v>1</v>
      </c>
      <c r="L484"/>
    </row>
    <row r="485" spans="1:12" x14ac:dyDescent="0.3">
      <c r="A485" t="s">
        <v>491</v>
      </c>
      <c r="B485" t="s">
        <v>10008</v>
      </c>
      <c r="C485">
        <v>3</v>
      </c>
      <c r="D485" t="s">
        <v>10015</v>
      </c>
      <c r="E485">
        <v>6</v>
      </c>
      <c r="F485" t="s">
        <v>10018</v>
      </c>
      <c r="G485" t="s">
        <v>10069</v>
      </c>
      <c r="H485" s="6">
        <v>44943</v>
      </c>
      <c r="I485">
        <f t="shared" si="14"/>
        <v>1</v>
      </c>
      <c r="J485" t="str">
        <f t="shared" si="15"/>
        <v>Complete</v>
      </c>
      <c r="K485">
        <f>COUNTIFS(RawData[Item], B485,RawData[Quantity],C485,RawData[Price Per Unit],D485,RawData[Total Spent],E485,RawData[Payment Method],F485,RawData[Location],G485,RawData[Transaction Date],H485)</f>
        <v>1</v>
      </c>
      <c r="L485"/>
    </row>
    <row r="486" spans="1:12" x14ac:dyDescent="0.3">
      <c r="A486" t="s">
        <v>492</v>
      </c>
      <c r="B486" t="s">
        <v>10017</v>
      </c>
      <c r="C486">
        <v>4</v>
      </c>
      <c r="D486">
        <v>1.5</v>
      </c>
      <c r="E486">
        <v>6</v>
      </c>
      <c r="F486" t="s">
        <v>10018</v>
      </c>
      <c r="G486" t="s">
        <v>10102</v>
      </c>
      <c r="H486" s="6">
        <v>45282</v>
      </c>
      <c r="I486">
        <f t="shared" si="14"/>
        <v>0</v>
      </c>
      <c r="J486" t="str">
        <f t="shared" si="15"/>
        <v>Complete</v>
      </c>
      <c r="K486">
        <f>COUNTIFS(RawData[Item], B486,RawData[Quantity],C486,RawData[Price Per Unit],D486,RawData[Total Spent],E486,RawData[Payment Method],F486,RawData[Location],G486,RawData[Transaction Date],H486)</f>
        <v>1</v>
      </c>
      <c r="L486"/>
    </row>
    <row r="487" spans="1:12" x14ac:dyDescent="0.3">
      <c r="A487" t="s">
        <v>493</v>
      </c>
      <c r="B487" t="s">
        <v>10016</v>
      </c>
      <c r="C487">
        <v>4</v>
      </c>
      <c r="D487">
        <v>0</v>
      </c>
      <c r="E487">
        <v>12</v>
      </c>
      <c r="F487" t="s">
        <v>10020</v>
      </c>
      <c r="G487" t="s">
        <v>10069</v>
      </c>
      <c r="H487" s="6">
        <v>45127</v>
      </c>
      <c r="I487">
        <f t="shared" si="14"/>
        <v>0</v>
      </c>
      <c r="J487" t="str">
        <f t="shared" si="15"/>
        <v>Complete</v>
      </c>
      <c r="K487">
        <f>COUNTIFS(RawData[Item], B487,RawData[Quantity],C487,RawData[Price Per Unit],D487,RawData[Total Spent],E487,RawData[Payment Method],F487,RawData[Location],G487,RawData[Transaction Date],H487)</f>
        <v>1</v>
      </c>
      <c r="L487"/>
    </row>
    <row r="488" spans="1:12" x14ac:dyDescent="0.3">
      <c r="A488" t="s">
        <v>494</v>
      </c>
      <c r="B488" t="s">
        <v>10016</v>
      </c>
      <c r="C488">
        <v>2</v>
      </c>
      <c r="D488">
        <v>3</v>
      </c>
      <c r="E488">
        <v>6</v>
      </c>
      <c r="F488" t="s">
        <v>10019</v>
      </c>
      <c r="G488" t="s">
        <v>10069</v>
      </c>
      <c r="H488" s="6">
        <v>45010</v>
      </c>
      <c r="I488">
        <f t="shared" si="14"/>
        <v>0</v>
      </c>
      <c r="J488" t="str">
        <f t="shared" si="15"/>
        <v>Complete</v>
      </c>
      <c r="K488">
        <f>COUNTIFS(RawData[Item], B488,RawData[Quantity],C488,RawData[Price Per Unit],D488,RawData[Total Spent],E488,RawData[Payment Method],F488,RawData[Location],G488,RawData[Transaction Date],H488)</f>
        <v>1</v>
      </c>
      <c r="L488"/>
    </row>
    <row r="489" spans="1:12" x14ac:dyDescent="0.3">
      <c r="A489" t="s">
        <v>495</v>
      </c>
      <c r="B489" t="s">
        <v>10010</v>
      </c>
      <c r="C489">
        <v>1</v>
      </c>
      <c r="D489">
        <v>1</v>
      </c>
      <c r="E489">
        <v>1</v>
      </c>
      <c r="F489" t="s">
        <v>10019</v>
      </c>
      <c r="G489" t="s">
        <v>10102</v>
      </c>
      <c r="H489" s="6">
        <v>45005</v>
      </c>
      <c r="I489">
        <f t="shared" si="14"/>
        <v>0</v>
      </c>
      <c r="J489" t="str">
        <f t="shared" si="15"/>
        <v>Complete</v>
      </c>
      <c r="K489">
        <f>COUNTIFS(RawData[Item], B489,RawData[Quantity],C489,RawData[Price Per Unit],D489,RawData[Total Spent],E489,RawData[Payment Method],F489,RawData[Location],G489,RawData[Transaction Date],H489)</f>
        <v>1</v>
      </c>
      <c r="L489"/>
    </row>
    <row r="490" spans="1:12" x14ac:dyDescent="0.3">
      <c r="A490" t="s">
        <v>496</v>
      </c>
      <c r="B490" t="s">
        <v>10017</v>
      </c>
      <c r="C490">
        <v>5</v>
      </c>
      <c r="D490">
        <v>1.5</v>
      </c>
      <c r="E490">
        <v>7.5</v>
      </c>
      <c r="F490" t="s">
        <v>10020</v>
      </c>
      <c r="G490" t="s">
        <v>10069</v>
      </c>
      <c r="H490" s="6">
        <v>45284</v>
      </c>
      <c r="I490">
        <f t="shared" si="14"/>
        <v>0</v>
      </c>
      <c r="J490" t="str">
        <f t="shared" si="15"/>
        <v>Complete</v>
      </c>
      <c r="K490">
        <f>COUNTIFS(RawData[Item], B490,RawData[Quantity],C490,RawData[Price Per Unit],D490,RawData[Total Spent],E490,RawData[Payment Method],F490,RawData[Location],G490,RawData[Transaction Date],H490)</f>
        <v>1</v>
      </c>
      <c r="L490"/>
    </row>
    <row r="491" spans="1:12" x14ac:dyDescent="0.3">
      <c r="A491" t="s">
        <v>497</v>
      </c>
      <c r="B491" t="s">
        <v>10014</v>
      </c>
      <c r="C491">
        <v>1</v>
      </c>
      <c r="D491">
        <v>4</v>
      </c>
      <c r="E491">
        <v>4</v>
      </c>
      <c r="F491" t="s">
        <v>10069</v>
      </c>
      <c r="G491" t="s">
        <v>10021</v>
      </c>
      <c r="H491" s="6">
        <v>45060</v>
      </c>
      <c r="I491">
        <f t="shared" si="14"/>
        <v>0</v>
      </c>
      <c r="J491" t="str">
        <f t="shared" si="15"/>
        <v>Complete</v>
      </c>
      <c r="K491">
        <f>COUNTIFS(RawData[Item], B491,RawData[Quantity],C491,RawData[Price Per Unit],D491,RawData[Total Spent],E491,RawData[Payment Method],F491,RawData[Location],G491,RawData[Transaction Date],H491)</f>
        <v>1</v>
      </c>
      <c r="L491"/>
    </row>
    <row r="492" spans="1:12" x14ac:dyDescent="0.3">
      <c r="A492" t="s">
        <v>498</v>
      </c>
      <c r="B492" t="s">
        <v>10009</v>
      </c>
      <c r="C492">
        <v>5</v>
      </c>
      <c r="D492">
        <v>3</v>
      </c>
      <c r="E492">
        <v>15</v>
      </c>
      <c r="F492" t="s">
        <v>10019</v>
      </c>
      <c r="G492" t="s">
        <v>10069</v>
      </c>
      <c r="H492" s="6">
        <v>45236</v>
      </c>
      <c r="I492">
        <f t="shared" si="14"/>
        <v>0</v>
      </c>
      <c r="J492" t="str">
        <f t="shared" si="15"/>
        <v>Complete</v>
      </c>
      <c r="K492">
        <f>COUNTIFS(RawData[Item], B492,RawData[Quantity],C492,RawData[Price Per Unit],D492,RawData[Total Spent],E492,RawData[Payment Method],F492,RawData[Location],G492,RawData[Transaction Date],H492)</f>
        <v>1</v>
      </c>
      <c r="L492"/>
    </row>
    <row r="493" spans="1:12" x14ac:dyDescent="0.3">
      <c r="A493" t="s">
        <v>499</v>
      </c>
      <c r="B493" t="s">
        <v>10014</v>
      </c>
      <c r="C493">
        <v>4</v>
      </c>
      <c r="D493">
        <v>4</v>
      </c>
      <c r="E493">
        <v>16</v>
      </c>
      <c r="F493" t="s">
        <v>10019</v>
      </c>
      <c r="G493" t="s">
        <v>10021</v>
      </c>
      <c r="H493" s="6">
        <v>45185</v>
      </c>
      <c r="I493">
        <f t="shared" si="14"/>
        <v>0</v>
      </c>
      <c r="J493" t="str">
        <f t="shared" si="15"/>
        <v>Complete</v>
      </c>
      <c r="K493">
        <f>COUNTIFS(RawData[Item], B493,RawData[Quantity],C493,RawData[Price Per Unit],D493,RawData[Total Spent],E493,RawData[Payment Method],F493,RawData[Location],G493,RawData[Transaction Date],H493)</f>
        <v>1</v>
      </c>
      <c r="L493"/>
    </row>
    <row r="494" spans="1:12" x14ac:dyDescent="0.3">
      <c r="A494" t="s">
        <v>500</v>
      </c>
      <c r="B494" t="s">
        <v>10009</v>
      </c>
      <c r="C494">
        <v>2</v>
      </c>
      <c r="D494">
        <v>3</v>
      </c>
      <c r="E494">
        <v>6</v>
      </c>
      <c r="F494" t="s">
        <v>10018</v>
      </c>
      <c r="G494" t="s">
        <v>10069</v>
      </c>
      <c r="H494" s="6">
        <v>45136</v>
      </c>
      <c r="I494">
        <f t="shared" si="14"/>
        <v>0</v>
      </c>
      <c r="J494" t="str">
        <f t="shared" si="15"/>
        <v>Complete</v>
      </c>
      <c r="K494">
        <f>COUNTIFS(RawData[Item], B494,RawData[Quantity],C494,RawData[Price Per Unit],D494,RawData[Total Spent],E494,RawData[Payment Method],F494,RawData[Location],G494,RawData[Transaction Date],H494)</f>
        <v>1</v>
      </c>
      <c r="L494"/>
    </row>
    <row r="495" spans="1:12" x14ac:dyDescent="0.3">
      <c r="A495" t="s">
        <v>501</v>
      </c>
      <c r="B495" t="s">
        <v>10015</v>
      </c>
      <c r="C495">
        <v>4</v>
      </c>
      <c r="D495">
        <v>1</v>
      </c>
      <c r="E495">
        <v>4</v>
      </c>
      <c r="F495" t="s">
        <v>10069</v>
      </c>
      <c r="G495" t="s">
        <v>10021</v>
      </c>
      <c r="H495" s="6">
        <v>45138</v>
      </c>
      <c r="I495">
        <f t="shared" si="14"/>
        <v>1</v>
      </c>
      <c r="J495" t="str">
        <f t="shared" si="15"/>
        <v>Complete</v>
      </c>
      <c r="K495">
        <f>COUNTIFS(RawData[Item], B495,RawData[Quantity],C495,RawData[Price Per Unit],D495,RawData[Total Spent],E495,RawData[Payment Method],F495,RawData[Location],G495,RawData[Transaction Date],H495)</f>
        <v>1</v>
      </c>
      <c r="L495"/>
    </row>
    <row r="496" spans="1:12" x14ac:dyDescent="0.3">
      <c r="A496" t="s">
        <v>502</v>
      </c>
      <c r="B496" t="s">
        <v>10014</v>
      </c>
      <c r="C496">
        <v>3</v>
      </c>
      <c r="D496">
        <v>4</v>
      </c>
      <c r="E496">
        <v>12</v>
      </c>
      <c r="F496" t="s">
        <v>10020</v>
      </c>
      <c r="G496" t="s">
        <v>10102</v>
      </c>
      <c r="H496" s="6">
        <v>45157</v>
      </c>
      <c r="I496">
        <f t="shared" si="14"/>
        <v>0</v>
      </c>
      <c r="J496" t="str">
        <f t="shared" si="15"/>
        <v>Complete</v>
      </c>
      <c r="K496">
        <f>COUNTIFS(RawData[Item], B496,RawData[Quantity],C496,RawData[Price Per Unit],D496,RawData[Total Spent],E496,RawData[Payment Method],F496,RawData[Location],G496,RawData[Transaction Date],H496)</f>
        <v>1</v>
      </c>
      <c r="L496"/>
    </row>
    <row r="497" spans="1:12" x14ac:dyDescent="0.3">
      <c r="A497" t="s">
        <v>503</v>
      </c>
      <c r="B497" t="s">
        <v>10011</v>
      </c>
      <c r="C497">
        <v>3</v>
      </c>
      <c r="D497">
        <v>5</v>
      </c>
      <c r="E497">
        <v>15</v>
      </c>
      <c r="F497" t="s">
        <v>10069</v>
      </c>
      <c r="G497" t="s">
        <v>10021</v>
      </c>
      <c r="H497" s="6">
        <v>45053</v>
      </c>
      <c r="I497">
        <f t="shared" si="14"/>
        <v>0</v>
      </c>
      <c r="J497" t="str">
        <f t="shared" si="15"/>
        <v>Complete</v>
      </c>
      <c r="K497">
        <f>COUNTIFS(RawData[Item], B497,RawData[Quantity],C497,RawData[Price Per Unit],D497,RawData[Total Spent],E497,RawData[Payment Method],F497,RawData[Location],G497,RawData[Transaction Date],H497)</f>
        <v>1</v>
      </c>
      <c r="L497"/>
    </row>
    <row r="498" spans="1:12" x14ac:dyDescent="0.3">
      <c r="A498" t="s">
        <v>504</v>
      </c>
      <c r="B498" t="s">
        <v>10011</v>
      </c>
      <c r="C498">
        <v>2</v>
      </c>
      <c r="D498">
        <v>5</v>
      </c>
      <c r="E498">
        <v>10</v>
      </c>
      <c r="F498" t="s">
        <v>10020</v>
      </c>
      <c r="G498" t="s">
        <v>10021</v>
      </c>
      <c r="H498" s="6">
        <v>44948</v>
      </c>
      <c r="I498">
        <f t="shared" si="14"/>
        <v>0</v>
      </c>
      <c r="J498" t="str">
        <f t="shared" si="15"/>
        <v>Complete</v>
      </c>
      <c r="K498">
        <f>COUNTIFS(RawData[Item], B498,RawData[Quantity],C498,RawData[Price Per Unit],D498,RawData[Total Spent],E498,RawData[Payment Method],F498,RawData[Location],G498,RawData[Transaction Date],H498)</f>
        <v>1</v>
      </c>
      <c r="L498"/>
    </row>
    <row r="499" spans="1:12" x14ac:dyDescent="0.3">
      <c r="A499" t="s">
        <v>505</v>
      </c>
      <c r="B499" t="s">
        <v>10014</v>
      </c>
      <c r="C499">
        <v>2</v>
      </c>
      <c r="D499">
        <v>4</v>
      </c>
      <c r="E499">
        <v>8</v>
      </c>
      <c r="F499" t="s">
        <v>10069</v>
      </c>
      <c r="G499" t="s">
        <v>10102</v>
      </c>
      <c r="H499" s="6">
        <v>45148</v>
      </c>
      <c r="I499">
        <f t="shared" si="14"/>
        <v>0</v>
      </c>
      <c r="J499" t="str">
        <f t="shared" si="15"/>
        <v>Complete</v>
      </c>
      <c r="K499">
        <f>COUNTIFS(RawData[Item], B499,RawData[Quantity],C499,RawData[Price Per Unit],D499,RawData[Total Spent],E499,RawData[Payment Method],F499,RawData[Location],G499,RawData[Transaction Date],H499)</f>
        <v>1</v>
      </c>
      <c r="L499"/>
    </row>
    <row r="500" spans="1:12" x14ac:dyDescent="0.3">
      <c r="A500" t="s">
        <v>506</v>
      </c>
      <c r="B500" t="s">
        <v>10016</v>
      </c>
      <c r="C500">
        <v>2</v>
      </c>
      <c r="D500">
        <v>3</v>
      </c>
      <c r="E500">
        <v>6</v>
      </c>
      <c r="F500" t="s">
        <v>10020</v>
      </c>
      <c r="G500" t="s">
        <v>10021</v>
      </c>
      <c r="H500" s="6">
        <v>45223</v>
      </c>
      <c r="I500">
        <f t="shared" si="14"/>
        <v>0</v>
      </c>
      <c r="J500" t="str">
        <f t="shared" si="15"/>
        <v>Complete</v>
      </c>
      <c r="K500">
        <f>COUNTIFS(RawData[Item], B500,RawData[Quantity],C500,RawData[Price Per Unit],D500,RawData[Total Spent],E500,RawData[Payment Method],F500,RawData[Location],G500,RawData[Transaction Date],H500)</f>
        <v>1</v>
      </c>
      <c r="L500"/>
    </row>
    <row r="501" spans="1:12" x14ac:dyDescent="0.3">
      <c r="A501" t="s">
        <v>507</v>
      </c>
      <c r="B501" t="s">
        <v>10017</v>
      </c>
      <c r="C501">
        <v>1</v>
      </c>
      <c r="D501">
        <v>1.5</v>
      </c>
      <c r="E501">
        <v>1.5</v>
      </c>
      <c r="F501" t="s">
        <v>10020</v>
      </c>
      <c r="G501" t="s">
        <v>10102</v>
      </c>
      <c r="H501" s="6">
        <v>45062</v>
      </c>
      <c r="I501">
        <f t="shared" si="14"/>
        <v>0</v>
      </c>
      <c r="J501" t="str">
        <f t="shared" si="15"/>
        <v>Complete</v>
      </c>
      <c r="K501">
        <f>COUNTIFS(RawData[Item], B501,RawData[Quantity],C501,RawData[Price Per Unit],D501,RawData[Total Spent],E501,RawData[Payment Method],F501,RawData[Location],G501,RawData[Transaction Date],H501)</f>
        <v>1</v>
      </c>
      <c r="L501"/>
    </row>
    <row r="502" spans="1:12" x14ac:dyDescent="0.3">
      <c r="A502" t="s">
        <v>508</v>
      </c>
      <c r="B502" t="s">
        <v>10009</v>
      </c>
      <c r="C502">
        <v>3</v>
      </c>
      <c r="D502">
        <v>3</v>
      </c>
      <c r="E502">
        <v>9</v>
      </c>
      <c r="F502" t="s">
        <v>10069</v>
      </c>
      <c r="G502" t="s">
        <v>10069</v>
      </c>
      <c r="H502" s="6">
        <v>44983</v>
      </c>
      <c r="I502">
        <f t="shared" si="14"/>
        <v>0</v>
      </c>
      <c r="J502" t="str">
        <f t="shared" si="15"/>
        <v>Complete</v>
      </c>
      <c r="K502">
        <f>COUNTIFS(RawData[Item], B502,RawData[Quantity],C502,RawData[Price Per Unit],D502,RawData[Total Spent],E502,RawData[Payment Method],F502,RawData[Location],G502,RawData[Transaction Date],H502)</f>
        <v>1</v>
      </c>
      <c r="L502"/>
    </row>
    <row r="503" spans="1:12" x14ac:dyDescent="0.3">
      <c r="A503" t="s">
        <v>509</v>
      </c>
      <c r="B503" t="s">
        <v>10014</v>
      </c>
      <c r="C503">
        <v>3</v>
      </c>
      <c r="D503">
        <v>4</v>
      </c>
      <c r="E503">
        <v>12</v>
      </c>
      <c r="F503" t="s">
        <v>10019</v>
      </c>
      <c r="G503" t="s">
        <v>10069</v>
      </c>
      <c r="H503" s="6">
        <v>45171</v>
      </c>
      <c r="I503">
        <f t="shared" si="14"/>
        <v>0</v>
      </c>
      <c r="J503" t="str">
        <f t="shared" si="15"/>
        <v>Complete</v>
      </c>
      <c r="K503">
        <f>COUNTIFS(RawData[Item], B503,RawData[Quantity],C503,RawData[Price Per Unit],D503,RawData[Total Spent],E503,RawData[Payment Method],F503,RawData[Location],G503,RawData[Transaction Date],H503)</f>
        <v>1</v>
      </c>
      <c r="L503"/>
    </row>
    <row r="504" spans="1:12" x14ac:dyDescent="0.3">
      <c r="A504" t="s">
        <v>510</v>
      </c>
      <c r="B504" t="s">
        <v>10009</v>
      </c>
      <c r="C504">
        <v>5</v>
      </c>
      <c r="D504">
        <v>3</v>
      </c>
      <c r="E504">
        <v>15</v>
      </c>
      <c r="F504" t="s">
        <v>10069</v>
      </c>
      <c r="G504" t="s">
        <v>10021</v>
      </c>
      <c r="H504" s="6">
        <v>44945</v>
      </c>
      <c r="I504">
        <f t="shared" si="14"/>
        <v>0</v>
      </c>
      <c r="J504" t="str">
        <f t="shared" si="15"/>
        <v>Complete</v>
      </c>
      <c r="K504">
        <f>COUNTIFS(RawData[Item], B504,RawData[Quantity],C504,RawData[Price Per Unit],D504,RawData[Total Spent],E504,RawData[Payment Method],F504,RawData[Location],G504,RawData[Transaction Date],H504)</f>
        <v>1</v>
      </c>
      <c r="L504"/>
    </row>
    <row r="505" spans="1:12" x14ac:dyDescent="0.3">
      <c r="A505" t="s">
        <v>511</v>
      </c>
      <c r="B505" t="s">
        <v>10010</v>
      </c>
      <c r="C505">
        <v>5</v>
      </c>
      <c r="D505">
        <v>1</v>
      </c>
      <c r="E505">
        <v>5</v>
      </c>
      <c r="F505" t="s">
        <v>10069</v>
      </c>
      <c r="G505" t="s">
        <v>10021</v>
      </c>
      <c r="H505" s="6">
        <v>45151</v>
      </c>
      <c r="I505">
        <f t="shared" si="14"/>
        <v>0</v>
      </c>
      <c r="J505" t="str">
        <f t="shared" si="15"/>
        <v>Complete</v>
      </c>
      <c r="K505">
        <f>COUNTIFS(RawData[Item], B505,RawData[Quantity],C505,RawData[Price Per Unit],D505,RawData[Total Spent],E505,RawData[Payment Method],F505,RawData[Location],G505,RawData[Transaction Date],H505)</f>
        <v>1</v>
      </c>
      <c r="L505"/>
    </row>
    <row r="506" spans="1:12" x14ac:dyDescent="0.3">
      <c r="A506" t="s">
        <v>512</v>
      </c>
      <c r="B506" t="s">
        <v>10016</v>
      </c>
      <c r="C506">
        <v>2</v>
      </c>
      <c r="D506">
        <v>3</v>
      </c>
      <c r="E506">
        <v>6</v>
      </c>
      <c r="F506" t="s">
        <v>10069</v>
      </c>
      <c r="G506" t="s">
        <v>10069</v>
      </c>
      <c r="H506" s="6">
        <v>45219</v>
      </c>
      <c r="I506">
        <f t="shared" si="14"/>
        <v>0</v>
      </c>
      <c r="J506" t="str">
        <f t="shared" si="15"/>
        <v>Complete</v>
      </c>
      <c r="K506">
        <f>COUNTIFS(RawData[Item], B506,RawData[Quantity],C506,RawData[Price Per Unit],D506,RawData[Total Spent],E506,RawData[Payment Method],F506,RawData[Location],G506,RawData[Transaction Date],H506)</f>
        <v>1</v>
      </c>
      <c r="L506"/>
    </row>
    <row r="507" spans="1:12" x14ac:dyDescent="0.3">
      <c r="A507" t="s">
        <v>513</v>
      </c>
      <c r="B507" t="s">
        <v>10011</v>
      </c>
      <c r="C507">
        <v>3</v>
      </c>
      <c r="D507">
        <v>5</v>
      </c>
      <c r="E507">
        <v>15</v>
      </c>
      <c r="F507" t="s">
        <v>10019</v>
      </c>
      <c r="G507" t="s">
        <v>10102</v>
      </c>
      <c r="H507" s="6">
        <v>45166</v>
      </c>
      <c r="I507">
        <f t="shared" si="14"/>
        <v>0</v>
      </c>
      <c r="J507" t="str">
        <f t="shared" si="15"/>
        <v>Complete</v>
      </c>
      <c r="K507">
        <f>COUNTIFS(RawData[Item], B507,RawData[Quantity],C507,RawData[Price Per Unit],D507,RawData[Total Spent],E507,RawData[Payment Method],F507,RawData[Location],G507,RawData[Transaction Date],H507)</f>
        <v>1</v>
      </c>
      <c r="L507"/>
    </row>
    <row r="508" spans="1:12" x14ac:dyDescent="0.3">
      <c r="A508" t="s">
        <v>514</v>
      </c>
      <c r="B508" t="s">
        <v>10012</v>
      </c>
      <c r="C508">
        <v>2</v>
      </c>
      <c r="D508">
        <v>4</v>
      </c>
      <c r="E508">
        <v>8</v>
      </c>
      <c r="F508" t="s">
        <v>10019</v>
      </c>
      <c r="G508" t="s">
        <v>10102</v>
      </c>
      <c r="H508" s="6">
        <v>45098</v>
      </c>
      <c r="I508">
        <f t="shared" si="14"/>
        <v>0</v>
      </c>
      <c r="J508" t="str">
        <f t="shared" si="15"/>
        <v>Complete</v>
      </c>
      <c r="K508">
        <f>COUNTIFS(RawData[Item], B508,RawData[Quantity],C508,RawData[Price Per Unit],D508,RawData[Total Spent],E508,RawData[Payment Method],F508,RawData[Location],G508,RawData[Transaction Date],H508)</f>
        <v>1</v>
      </c>
      <c r="L508"/>
    </row>
    <row r="509" spans="1:12" x14ac:dyDescent="0.3">
      <c r="A509" t="s">
        <v>515</v>
      </c>
      <c r="B509" t="s">
        <v>10009</v>
      </c>
      <c r="C509" t="s">
        <v>10013</v>
      </c>
      <c r="D509">
        <v>3</v>
      </c>
      <c r="E509">
        <v>9</v>
      </c>
      <c r="F509" t="s">
        <v>10019</v>
      </c>
      <c r="G509" t="s">
        <v>10021</v>
      </c>
      <c r="H509" s="6">
        <v>45184</v>
      </c>
      <c r="I509">
        <f t="shared" si="14"/>
        <v>1</v>
      </c>
      <c r="J509" t="str">
        <f t="shared" si="15"/>
        <v>Complete</v>
      </c>
      <c r="K509">
        <f>COUNTIFS(RawData[Item], B509,RawData[Quantity],C509,RawData[Price Per Unit],D509,RawData[Total Spent],E509,RawData[Payment Method],F509,RawData[Location],G509,RawData[Transaction Date],H509)</f>
        <v>1</v>
      </c>
      <c r="L509"/>
    </row>
    <row r="510" spans="1:12" x14ac:dyDescent="0.3">
      <c r="A510" t="s">
        <v>516</v>
      </c>
      <c r="B510" t="s">
        <v>10014</v>
      </c>
      <c r="C510">
        <v>3</v>
      </c>
      <c r="D510">
        <v>4</v>
      </c>
      <c r="E510">
        <v>12</v>
      </c>
      <c r="F510" t="s">
        <v>10103</v>
      </c>
      <c r="G510" t="s">
        <v>10021</v>
      </c>
      <c r="H510" s="6">
        <v>45010</v>
      </c>
      <c r="I510">
        <f t="shared" si="14"/>
        <v>1</v>
      </c>
      <c r="J510" t="str">
        <f t="shared" si="15"/>
        <v>Complete</v>
      </c>
      <c r="K510">
        <f>COUNTIFS(RawData[Item], B510,RawData[Quantity],C510,RawData[Price Per Unit],D510,RawData[Total Spent],E510,RawData[Payment Method],F510,RawData[Location],G510,RawData[Transaction Date],H510)</f>
        <v>1</v>
      </c>
      <c r="L510"/>
    </row>
    <row r="511" spans="1:12" x14ac:dyDescent="0.3">
      <c r="A511" t="s">
        <v>517</v>
      </c>
      <c r="B511" t="s">
        <v>10010</v>
      </c>
      <c r="C511">
        <v>3</v>
      </c>
      <c r="D511">
        <v>1</v>
      </c>
      <c r="E511">
        <v>3</v>
      </c>
      <c r="F511" t="s">
        <v>10019</v>
      </c>
      <c r="G511" t="s">
        <v>10102</v>
      </c>
      <c r="H511" s="6" t="s">
        <v>10112</v>
      </c>
      <c r="I511">
        <f t="shared" si="14"/>
        <v>1</v>
      </c>
      <c r="J511" t="str">
        <f t="shared" si="15"/>
        <v>Incomplete</v>
      </c>
      <c r="K511">
        <f>COUNTIFS(RawData[Item], B511,RawData[Quantity],C511,RawData[Price Per Unit],D511,RawData[Total Spent],E511,RawData[Payment Method],F511,RawData[Location],G511,RawData[Transaction Date],H511)</f>
        <v>1</v>
      </c>
      <c r="L511"/>
    </row>
    <row r="512" spans="1:12" x14ac:dyDescent="0.3">
      <c r="A512" t="s">
        <v>518</v>
      </c>
      <c r="B512" t="s">
        <v>10017</v>
      </c>
      <c r="C512">
        <v>3</v>
      </c>
      <c r="D512">
        <v>1.5</v>
      </c>
      <c r="E512">
        <v>4.5</v>
      </c>
      <c r="F512" t="s">
        <v>10019</v>
      </c>
      <c r="G512" t="s">
        <v>10021</v>
      </c>
      <c r="H512" s="6">
        <v>44987</v>
      </c>
      <c r="I512">
        <f t="shared" si="14"/>
        <v>0</v>
      </c>
      <c r="J512" t="str">
        <f t="shared" si="15"/>
        <v>Complete</v>
      </c>
      <c r="K512">
        <f>COUNTIFS(RawData[Item], B512,RawData[Quantity],C512,RawData[Price Per Unit],D512,RawData[Total Spent],E512,RawData[Payment Method],F512,RawData[Location],G512,RawData[Transaction Date],H512)</f>
        <v>1</v>
      </c>
      <c r="L512"/>
    </row>
    <row r="513" spans="1:12" x14ac:dyDescent="0.3">
      <c r="A513" t="s">
        <v>519</v>
      </c>
      <c r="B513" t="s">
        <v>10015</v>
      </c>
      <c r="C513">
        <v>3</v>
      </c>
      <c r="D513">
        <v>4</v>
      </c>
      <c r="E513">
        <v>12</v>
      </c>
      <c r="F513" t="s">
        <v>10018</v>
      </c>
      <c r="G513" t="s">
        <v>10103</v>
      </c>
      <c r="H513" s="6">
        <v>45269</v>
      </c>
      <c r="I513">
        <f t="shared" si="14"/>
        <v>2</v>
      </c>
      <c r="J513" t="str">
        <f t="shared" si="15"/>
        <v>Complete</v>
      </c>
      <c r="K513">
        <f>COUNTIFS(RawData[Item], B513,RawData[Quantity],C513,RawData[Price Per Unit],D513,RawData[Total Spent],E513,RawData[Payment Method],F513,RawData[Location],G513,RawData[Transaction Date],H513)</f>
        <v>1</v>
      </c>
      <c r="L513"/>
    </row>
    <row r="514" spans="1:12" x14ac:dyDescent="0.3">
      <c r="A514" t="s">
        <v>520</v>
      </c>
      <c r="B514" t="s">
        <v>10009</v>
      </c>
      <c r="C514">
        <v>2</v>
      </c>
      <c r="D514">
        <v>3</v>
      </c>
      <c r="E514">
        <v>6</v>
      </c>
      <c r="F514" t="s">
        <v>10019</v>
      </c>
      <c r="G514" t="s">
        <v>10102</v>
      </c>
      <c r="H514" s="6" t="s">
        <v>10112</v>
      </c>
      <c r="I514">
        <f t="shared" ref="I514:I577" si="16">(B514="Unknown")+(B514="Error")+(C514="Unknown")+(C514="Error")+(D514="Unknown")+(D514="Error")+(E514="Unknown")+(E514="Error")+(F514="Unknown")+(F514="Error")+(G514="Unknown")+(G514="Error")+(H514="No Date")</f>
        <v>1</v>
      </c>
      <c r="J514" t="str">
        <f t="shared" ref="J514:J577" si="17">IF((H514="No Date"),"Incomplete","Complete")</f>
        <v>Incomplete</v>
      </c>
      <c r="K514">
        <f>COUNTIFS(RawData[Item], B514,RawData[Quantity],C514,RawData[Price Per Unit],D514,RawData[Total Spent],E514,RawData[Payment Method],F514,RawData[Location],G514,RawData[Transaction Date],H514)</f>
        <v>3</v>
      </c>
      <c r="L514"/>
    </row>
    <row r="515" spans="1:12" x14ac:dyDescent="0.3">
      <c r="A515" t="s">
        <v>521</v>
      </c>
      <c r="B515" t="s">
        <v>10012</v>
      </c>
      <c r="C515">
        <v>5</v>
      </c>
      <c r="D515">
        <v>4</v>
      </c>
      <c r="E515">
        <v>20</v>
      </c>
      <c r="F515" t="s">
        <v>10069</v>
      </c>
      <c r="G515" t="s">
        <v>10021</v>
      </c>
      <c r="H515" s="6" t="s">
        <v>10112</v>
      </c>
      <c r="I515">
        <f t="shared" si="16"/>
        <v>1</v>
      </c>
      <c r="J515" t="str">
        <f t="shared" si="17"/>
        <v>Incomplete</v>
      </c>
      <c r="K515">
        <f>COUNTIFS(RawData[Item], B515,RawData[Quantity],C515,RawData[Price Per Unit],D515,RawData[Total Spent],E515,RawData[Payment Method],F515,RawData[Location],G515,RawData[Transaction Date],H515)</f>
        <v>1</v>
      </c>
      <c r="L515"/>
    </row>
    <row r="516" spans="1:12" x14ac:dyDescent="0.3">
      <c r="A516" t="s">
        <v>522</v>
      </c>
      <c r="B516" t="s">
        <v>10017</v>
      </c>
      <c r="C516" t="s">
        <v>10013</v>
      </c>
      <c r="D516">
        <v>1.5</v>
      </c>
      <c r="E516">
        <v>3</v>
      </c>
      <c r="F516" t="s">
        <v>10069</v>
      </c>
      <c r="G516" t="s">
        <v>10102</v>
      </c>
      <c r="H516" s="6">
        <v>45273</v>
      </c>
      <c r="I516">
        <f t="shared" si="16"/>
        <v>1</v>
      </c>
      <c r="J516" t="str">
        <f t="shared" si="17"/>
        <v>Complete</v>
      </c>
      <c r="K516">
        <f>COUNTIFS(RawData[Item], B516,RawData[Quantity],C516,RawData[Price Per Unit],D516,RawData[Total Spent],E516,RawData[Payment Method],F516,RawData[Location],G516,RawData[Transaction Date],H516)</f>
        <v>1</v>
      </c>
      <c r="L516"/>
    </row>
    <row r="517" spans="1:12" x14ac:dyDescent="0.3">
      <c r="A517" t="s">
        <v>523</v>
      </c>
      <c r="B517" t="s">
        <v>10014</v>
      </c>
      <c r="C517">
        <v>4</v>
      </c>
      <c r="D517">
        <v>4</v>
      </c>
      <c r="E517">
        <v>16</v>
      </c>
      <c r="F517" t="s">
        <v>10018</v>
      </c>
      <c r="G517" t="s">
        <v>10104</v>
      </c>
      <c r="H517" s="6">
        <v>45013</v>
      </c>
      <c r="I517">
        <f t="shared" si="16"/>
        <v>1</v>
      </c>
      <c r="J517" t="str">
        <f t="shared" si="17"/>
        <v>Complete</v>
      </c>
      <c r="K517">
        <f>COUNTIFS(RawData[Item], B517,RawData[Quantity],C517,RawData[Price Per Unit],D517,RawData[Total Spent],E517,RawData[Payment Method],F517,RawData[Location],G517,RawData[Transaction Date],H517)</f>
        <v>1</v>
      </c>
      <c r="L517"/>
    </row>
    <row r="518" spans="1:12" x14ac:dyDescent="0.3">
      <c r="A518" t="s">
        <v>524</v>
      </c>
      <c r="B518" t="s">
        <v>10015</v>
      </c>
      <c r="C518">
        <v>4</v>
      </c>
      <c r="D518">
        <v>1.5</v>
      </c>
      <c r="E518">
        <v>6</v>
      </c>
      <c r="F518" t="s">
        <v>10069</v>
      </c>
      <c r="G518" t="s">
        <v>10102</v>
      </c>
      <c r="H518" s="6">
        <v>45223</v>
      </c>
      <c r="I518">
        <f t="shared" si="16"/>
        <v>1</v>
      </c>
      <c r="J518" t="str">
        <f t="shared" si="17"/>
        <v>Complete</v>
      </c>
      <c r="K518">
        <f>COUNTIFS(RawData[Item], B518,RawData[Quantity],C518,RawData[Price Per Unit],D518,RawData[Total Spent],E518,RawData[Payment Method],F518,RawData[Location],G518,RawData[Transaction Date],H518)</f>
        <v>1</v>
      </c>
      <c r="L518"/>
    </row>
    <row r="519" spans="1:12" x14ac:dyDescent="0.3">
      <c r="A519" t="s">
        <v>525</v>
      </c>
      <c r="B519" t="s">
        <v>10010</v>
      </c>
      <c r="C519">
        <v>1</v>
      </c>
      <c r="D519">
        <v>1</v>
      </c>
      <c r="E519">
        <v>1</v>
      </c>
      <c r="F519" t="s">
        <v>10019</v>
      </c>
      <c r="G519" t="s">
        <v>10102</v>
      </c>
      <c r="H519" s="6">
        <v>45073</v>
      </c>
      <c r="I519">
        <f t="shared" si="16"/>
        <v>0</v>
      </c>
      <c r="J519" t="str">
        <f t="shared" si="17"/>
        <v>Complete</v>
      </c>
      <c r="K519">
        <f>COUNTIFS(RawData[Item], B519,RawData[Quantity],C519,RawData[Price Per Unit],D519,RawData[Total Spent],E519,RawData[Payment Method],F519,RawData[Location],G519,RawData[Transaction Date],H519)</f>
        <v>1</v>
      </c>
      <c r="L519"/>
    </row>
    <row r="520" spans="1:12" x14ac:dyDescent="0.3">
      <c r="A520" t="s">
        <v>526</v>
      </c>
      <c r="B520" t="s">
        <v>10012</v>
      </c>
      <c r="C520">
        <v>5</v>
      </c>
      <c r="D520">
        <v>4</v>
      </c>
      <c r="E520">
        <v>20</v>
      </c>
      <c r="F520" t="s">
        <v>10019</v>
      </c>
      <c r="G520" t="s">
        <v>10102</v>
      </c>
      <c r="H520" s="6">
        <v>44940</v>
      </c>
      <c r="I520">
        <f t="shared" si="16"/>
        <v>0</v>
      </c>
      <c r="J520" t="str">
        <f t="shared" si="17"/>
        <v>Complete</v>
      </c>
      <c r="K520">
        <f>COUNTIFS(RawData[Item], B520,RawData[Quantity],C520,RawData[Price Per Unit],D520,RawData[Total Spent],E520,RawData[Payment Method],F520,RawData[Location],G520,RawData[Transaction Date],H520)</f>
        <v>1</v>
      </c>
      <c r="L520"/>
    </row>
    <row r="521" spans="1:12" x14ac:dyDescent="0.3">
      <c r="A521" t="s">
        <v>527</v>
      </c>
      <c r="B521" t="s">
        <v>10016</v>
      </c>
      <c r="C521">
        <v>2</v>
      </c>
      <c r="D521">
        <v>3</v>
      </c>
      <c r="E521">
        <v>6</v>
      </c>
      <c r="F521" t="s">
        <v>10069</v>
      </c>
      <c r="G521" t="s">
        <v>10021</v>
      </c>
      <c r="H521" s="6">
        <v>45097</v>
      </c>
      <c r="I521">
        <f t="shared" si="16"/>
        <v>0</v>
      </c>
      <c r="J521" t="str">
        <f t="shared" si="17"/>
        <v>Complete</v>
      </c>
      <c r="K521">
        <f>COUNTIFS(RawData[Item], B521,RawData[Quantity],C521,RawData[Price Per Unit],D521,RawData[Total Spent],E521,RawData[Payment Method],F521,RawData[Location],G521,RawData[Transaction Date],H521)</f>
        <v>1</v>
      </c>
      <c r="L521"/>
    </row>
    <row r="522" spans="1:12" x14ac:dyDescent="0.3">
      <c r="A522" t="s">
        <v>528</v>
      </c>
      <c r="B522" t="s">
        <v>10008</v>
      </c>
      <c r="C522">
        <v>3</v>
      </c>
      <c r="D522">
        <v>2</v>
      </c>
      <c r="E522">
        <v>6</v>
      </c>
      <c r="F522" t="s">
        <v>10069</v>
      </c>
      <c r="G522" t="s">
        <v>10069</v>
      </c>
      <c r="H522" s="6">
        <v>45106</v>
      </c>
      <c r="I522">
        <f t="shared" si="16"/>
        <v>0</v>
      </c>
      <c r="J522" t="str">
        <f t="shared" si="17"/>
        <v>Complete</v>
      </c>
      <c r="K522">
        <f>COUNTIFS(RawData[Item], B522,RawData[Quantity],C522,RawData[Price Per Unit],D522,RawData[Total Spent],E522,RawData[Payment Method],F522,RawData[Location],G522,RawData[Transaction Date],H522)</f>
        <v>1</v>
      </c>
      <c r="L522"/>
    </row>
    <row r="523" spans="1:12" x14ac:dyDescent="0.3">
      <c r="A523" t="s">
        <v>529</v>
      </c>
      <c r="B523" t="s">
        <v>10017</v>
      </c>
      <c r="C523">
        <v>2</v>
      </c>
      <c r="D523">
        <v>1.5</v>
      </c>
      <c r="E523">
        <v>3</v>
      </c>
      <c r="F523" t="s">
        <v>10069</v>
      </c>
      <c r="G523" t="s">
        <v>10103</v>
      </c>
      <c r="H523" s="6">
        <v>45221</v>
      </c>
      <c r="I523">
        <f t="shared" si="16"/>
        <v>1</v>
      </c>
      <c r="J523" t="str">
        <f t="shared" si="17"/>
        <v>Complete</v>
      </c>
      <c r="K523">
        <f>COUNTIFS(RawData[Item], B523,RawData[Quantity],C523,RawData[Price Per Unit],D523,RawData[Total Spent],E523,RawData[Payment Method],F523,RawData[Location],G523,RawData[Transaction Date],H523)</f>
        <v>1</v>
      </c>
      <c r="L523"/>
    </row>
    <row r="524" spans="1:12" x14ac:dyDescent="0.3">
      <c r="A524" t="s">
        <v>530</v>
      </c>
      <c r="B524" t="s">
        <v>10009</v>
      </c>
      <c r="C524">
        <v>4</v>
      </c>
      <c r="D524">
        <v>3</v>
      </c>
      <c r="E524">
        <v>12</v>
      </c>
      <c r="F524" t="s">
        <v>10020</v>
      </c>
      <c r="G524" t="s">
        <v>10102</v>
      </c>
      <c r="H524" s="6">
        <v>45226</v>
      </c>
      <c r="I524">
        <f t="shared" si="16"/>
        <v>0</v>
      </c>
      <c r="J524" t="str">
        <f t="shared" si="17"/>
        <v>Complete</v>
      </c>
      <c r="K524">
        <f>COUNTIFS(RawData[Item], B524,RawData[Quantity],C524,RawData[Price Per Unit],D524,RawData[Total Spent],E524,RawData[Payment Method],F524,RawData[Location],G524,RawData[Transaction Date],H524)</f>
        <v>1</v>
      </c>
      <c r="L524"/>
    </row>
    <row r="525" spans="1:12" x14ac:dyDescent="0.3">
      <c r="A525" t="s">
        <v>531</v>
      </c>
      <c r="B525" t="s">
        <v>10069</v>
      </c>
      <c r="C525">
        <v>2</v>
      </c>
      <c r="D525">
        <v>1.5</v>
      </c>
      <c r="E525">
        <v>3</v>
      </c>
      <c r="F525" t="s">
        <v>10019</v>
      </c>
      <c r="G525" t="s">
        <v>10103</v>
      </c>
      <c r="H525" s="6">
        <v>44935</v>
      </c>
      <c r="I525">
        <f t="shared" si="16"/>
        <v>1</v>
      </c>
      <c r="J525" t="str">
        <f t="shared" si="17"/>
        <v>Complete</v>
      </c>
      <c r="K525">
        <f>COUNTIFS(RawData[Item], B525,RawData[Quantity],C525,RawData[Price Per Unit],D525,RawData[Total Spent],E525,RawData[Payment Method],F525,RawData[Location],G525,RawData[Transaction Date],H525)</f>
        <v>1</v>
      </c>
      <c r="L525"/>
    </row>
    <row r="526" spans="1:12" x14ac:dyDescent="0.3">
      <c r="A526" t="s">
        <v>532</v>
      </c>
      <c r="B526" t="s">
        <v>10014</v>
      </c>
      <c r="C526">
        <v>2</v>
      </c>
      <c r="D526">
        <v>4</v>
      </c>
      <c r="E526">
        <v>8</v>
      </c>
      <c r="F526" t="s">
        <v>10018</v>
      </c>
      <c r="G526" t="s">
        <v>10069</v>
      </c>
      <c r="H526" s="6">
        <v>45143</v>
      </c>
      <c r="I526">
        <f t="shared" si="16"/>
        <v>0</v>
      </c>
      <c r="J526" t="str">
        <f t="shared" si="17"/>
        <v>Complete</v>
      </c>
      <c r="K526">
        <f>COUNTIFS(RawData[Item], B526,RawData[Quantity],C526,RawData[Price Per Unit],D526,RawData[Total Spent],E526,RawData[Payment Method],F526,RawData[Location],G526,RawData[Transaction Date],H526)</f>
        <v>1</v>
      </c>
      <c r="L526"/>
    </row>
    <row r="527" spans="1:12" x14ac:dyDescent="0.3">
      <c r="A527" t="s">
        <v>533</v>
      </c>
      <c r="B527" t="s">
        <v>10010</v>
      </c>
      <c r="C527">
        <v>3</v>
      </c>
      <c r="D527">
        <v>1</v>
      </c>
      <c r="E527">
        <v>3</v>
      </c>
      <c r="F527" t="s">
        <v>10020</v>
      </c>
      <c r="G527" t="s">
        <v>10103</v>
      </c>
      <c r="H527" s="6">
        <v>45240</v>
      </c>
      <c r="I527">
        <f t="shared" si="16"/>
        <v>1</v>
      </c>
      <c r="J527" t="str">
        <f t="shared" si="17"/>
        <v>Complete</v>
      </c>
      <c r="K527">
        <f>COUNTIFS(RawData[Item], B527,RawData[Quantity],C527,RawData[Price Per Unit],D527,RawData[Total Spent],E527,RawData[Payment Method],F527,RawData[Location],G527,RawData[Transaction Date],H527)</f>
        <v>1</v>
      </c>
      <c r="L527"/>
    </row>
    <row r="528" spans="1:12" x14ac:dyDescent="0.3">
      <c r="A528" t="s">
        <v>534</v>
      </c>
      <c r="B528" t="s">
        <v>10016</v>
      </c>
      <c r="C528">
        <v>4</v>
      </c>
      <c r="D528">
        <v>3</v>
      </c>
      <c r="E528" t="s">
        <v>10015</v>
      </c>
      <c r="F528" t="s">
        <v>10069</v>
      </c>
      <c r="G528" t="s">
        <v>10021</v>
      </c>
      <c r="H528" s="6" t="s">
        <v>10112</v>
      </c>
      <c r="I528">
        <f t="shared" si="16"/>
        <v>2</v>
      </c>
      <c r="J528" t="str">
        <f t="shared" si="17"/>
        <v>Incomplete</v>
      </c>
      <c r="K528">
        <f>COUNTIFS(RawData[Item], B528,RawData[Quantity],C528,RawData[Price Per Unit],D528,RawData[Total Spent],E528,RawData[Payment Method],F528,RawData[Location],G528,RawData[Transaction Date],H528)</f>
        <v>1</v>
      </c>
      <c r="L528"/>
    </row>
    <row r="529" spans="1:12" x14ac:dyDescent="0.3">
      <c r="A529" t="s">
        <v>535</v>
      </c>
      <c r="B529" t="s">
        <v>10011</v>
      </c>
      <c r="C529">
        <v>4</v>
      </c>
      <c r="D529">
        <v>5</v>
      </c>
      <c r="E529">
        <v>20</v>
      </c>
      <c r="F529" t="s">
        <v>10020</v>
      </c>
      <c r="G529" t="s">
        <v>10069</v>
      </c>
      <c r="H529" s="6">
        <v>45217</v>
      </c>
      <c r="I529">
        <f t="shared" si="16"/>
        <v>0</v>
      </c>
      <c r="J529" t="str">
        <f t="shared" si="17"/>
        <v>Complete</v>
      </c>
      <c r="K529">
        <f>COUNTIFS(RawData[Item], B529,RawData[Quantity],C529,RawData[Price Per Unit],D529,RawData[Total Spent],E529,RawData[Payment Method],F529,RawData[Location],G529,RawData[Transaction Date],H529)</f>
        <v>1</v>
      </c>
      <c r="L529"/>
    </row>
    <row r="530" spans="1:12" x14ac:dyDescent="0.3">
      <c r="A530" t="s">
        <v>536</v>
      </c>
      <c r="B530" t="s">
        <v>10012</v>
      </c>
      <c r="C530">
        <v>1</v>
      </c>
      <c r="D530">
        <v>4</v>
      </c>
      <c r="E530">
        <v>4</v>
      </c>
      <c r="F530" t="s">
        <v>10020</v>
      </c>
      <c r="G530" t="s">
        <v>10069</v>
      </c>
      <c r="H530" s="6">
        <v>45218</v>
      </c>
      <c r="I530">
        <f t="shared" si="16"/>
        <v>0</v>
      </c>
      <c r="J530" t="str">
        <f t="shared" si="17"/>
        <v>Complete</v>
      </c>
      <c r="K530">
        <f>COUNTIFS(RawData[Item], B530,RawData[Quantity],C530,RawData[Price Per Unit],D530,RawData[Total Spent],E530,RawData[Payment Method],F530,RawData[Location],G530,RawData[Transaction Date],H530)</f>
        <v>1</v>
      </c>
      <c r="L530"/>
    </row>
    <row r="531" spans="1:12" x14ac:dyDescent="0.3">
      <c r="A531" t="s">
        <v>537</v>
      </c>
      <c r="B531" t="s">
        <v>10014</v>
      </c>
      <c r="C531">
        <v>1</v>
      </c>
      <c r="D531">
        <v>4</v>
      </c>
      <c r="E531">
        <v>4</v>
      </c>
      <c r="F531" t="s">
        <v>10019</v>
      </c>
      <c r="G531" t="s">
        <v>10021</v>
      </c>
      <c r="H531" s="6">
        <v>45065</v>
      </c>
      <c r="I531">
        <f t="shared" si="16"/>
        <v>0</v>
      </c>
      <c r="J531" t="str">
        <f t="shared" si="17"/>
        <v>Complete</v>
      </c>
      <c r="K531">
        <f>COUNTIFS(RawData[Item], B531,RawData[Quantity],C531,RawData[Price Per Unit],D531,RawData[Total Spent],E531,RawData[Payment Method],F531,RawData[Location],G531,RawData[Transaction Date],H531)</f>
        <v>1</v>
      </c>
      <c r="L531"/>
    </row>
    <row r="532" spans="1:12" x14ac:dyDescent="0.3">
      <c r="A532" t="s">
        <v>538</v>
      </c>
      <c r="B532" t="s">
        <v>10016</v>
      </c>
      <c r="C532">
        <v>3</v>
      </c>
      <c r="D532">
        <v>3</v>
      </c>
      <c r="E532">
        <v>9</v>
      </c>
      <c r="F532" t="s">
        <v>10019</v>
      </c>
      <c r="G532" t="s">
        <v>10021</v>
      </c>
      <c r="H532" s="6">
        <v>45037</v>
      </c>
      <c r="I532">
        <f t="shared" si="16"/>
        <v>0</v>
      </c>
      <c r="J532" t="str">
        <f t="shared" si="17"/>
        <v>Complete</v>
      </c>
      <c r="K532">
        <f>COUNTIFS(RawData[Item], B532,RawData[Quantity],C532,RawData[Price Per Unit],D532,RawData[Total Spent],E532,RawData[Payment Method],F532,RawData[Location],G532,RawData[Transaction Date],H532)</f>
        <v>1</v>
      </c>
      <c r="L532"/>
    </row>
    <row r="533" spans="1:12" x14ac:dyDescent="0.3">
      <c r="A533" t="s">
        <v>539</v>
      </c>
      <c r="B533" t="s">
        <v>10009</v>
      </c>
      <c r="C533">
        <v>2</v>
      </c>
      <c r="D533">
        <v>3</v>
      </c>
      <c r="E533">
        <v>6</v>
      </c>
      <c r="F533" t="s">
        <v>10020</v>
      </c>
      <c r="G533" t="s">
        <v>10069</v>
      </c>
      <c r="H533" s="6">
        <v>45240</v>
      </c>
      <c r="I533">
        <f t="shared" si="16"/>
        <v>0</v>
      </c>
      <c r="J533" t="str">
        <f t="shared" si="17"/>
        <v>Complete</v>
      </c>
      <c r="K533">
        <f>COUNTIFS(RawData[Item], B533,RawData[Quantity],C533,RawData[Price Per Unit],D533,RawData[Total Spent],E533,RawData[Payment Method],F533,RawData[Location],G533,RawData[Transaction Date],H533)</f>
        <v>1</v>
      </c>
      <c r="L533"/>
    </row>
    <row r="534" spans="1:12" x14ac:dyDescent="0.3">
      <c r="A534" t="s">
        <v>540</v>
      </c>
      <c r="B534" t="s">
        <v>10010</v>
      </c>
      <c r="C534">
        <v>0</v>
      </c>
      <c r="D534">
        <v>1</v>
      </c>
      <c r="E534">
        <v>1</v>
      </c>
      <c r="F534" t="s">
        <v>10020</v>
      </c>
      <c r="G534" t="s">
        <v>10102</v>
      </c>
      <c r="H534" s="6">
        <v>45239</v>
      </c>
      <c r="I534">
        <f t="shared" si="16"/>
        <v>0</v>
      </c>
      <c r="J534" t="str">
        <f t="shared" si="17"/>
        <v>Complete</v>
      </c>
      <c r="K534">
        <f>COUNTIFS(RawData[Item], B534,RawData[Quantity],C534,RawData[Price Per Unit],D534,RawData[Total Spent],E534,RawData[Payment Method],F534,RawData[Location],G534,RawData[Transaction Date],H534)</f>
        <v>1</v>
      </c>
      <c r="L534"/>
    </row>
    <row r="535" spans="1:12" x14ac:dyDescent="0.3">
      <c r="A535" t="s">
        <v>541</v>
      </c>
      <c r="B535" t="s">
        <v>10017</v>
      </c>
      <c r="C535">
        <v>5</v>
      </c>
      <c r="D535">
        <v>1.5</v>
      </c>
      <c r="E535">
        <v>7.5</v>
      </c>
      <c r="F535" t="s">
        <v>10019</v>
      </c>
      <c r="G535" t="s">
        <v>10102</v>
      </c>
      <c r="H535" s="6">
        <v>45148</v>
      </c>
      <c r="I535">
        <f t="shared" si="16"/>
        <v>0</v>
      </c>
      <c r="J535" t="str">
        <f t="shared" si="17"/>
        <v>Complete</v>
      </c>
      <c r="K535">
        <f>COUNTIFS(RawData[Item], B535,RawData[Quantity],C535,RawData[Price Per Unit],D535,RawData[Total Spent],E535,RawData[Payment Method],F535,RawData[Location],G535,RawData[Transaction Date],H535)</f>
        <v>1</v>
      </c>
      <c r="L535"/>
    </row>
    <row r="536" spans="1:12" x14ac:dyDescent="0.3">
      <c r="A536" t="s">
        <v>542</v>
      </c>
      <c r="B536" t="s">
        <v>10008</v>
      </c>
      <c r="C536">
        <v>1</v>
      </c>
      <c r="D536">
        <v>2</v>
      </c>
      <c r="E536">
        <v>2</v>
      </c>
      <c r="F536" t="s">
        <v>10069</v>
      </c>
      <c r="G536" t="s">
        <v>10021</v>
      </c>
      <c r="H536" s="6">
        <v>45059</v>
      </c>
      <c r="I536">
        <f t="shared" si="16"/>
        <v>0</v>
      </c>
      <c r="J536" t="str">
        <f t="shared" si="17"/>
        <v>Complete</v>
      </c>
      <c r="K536">
        <f>COUNTIFS(RawData[Item], B536,RawData[Quantity],C536,RawData[Price Per Unit],D536,RawData[Total Spent],E536,RawData[Payment Method],F536,RawData[Location],G536,RawData[Transaction Date],H536)</f>
        <v>1</v>
      </c>
      <c r="L536"/>
    </row>
    <row r="537" spans="1:12" x14ac:dyDescent="0.3">
      <c r="A537" t="s">
        <v>543</v>
      </c>
      <c r="B537" t="s">
        <v>10069</v>
      </c>
      <c r="C537">
        <v>4</v>
      </c>
      <c r="D537">
        <v>3</v>
      </c>
      <c r="E537">
        <v>12</v>
      </c>
      <c r="F537" t="s">
        <v>10020</v>
      </c>
      <c r="G537" t="s">
        <v>10069</v>
      </c>
      <c r="H537" s="6" t="s">
        <v>10112</v>
      </c>
      <c r="I537">
        <f t="shared" si="16"/>
        <v>1</v>
      </c>
      <c r="J537" t="str">
        <f t="shared" si="17"/>
        <v>Incomplete</v>
      </c>
      <c r="K537">
        <f>COUNTIFS(RawData[Item], B537,RawData[Quantity],C537,RawData[Price Per Unit],D537,RawData[Total Spent],E537,RawData[Payment Method],F537,RawData[Location],G537,RawData[Transaction Date],H537)</f>
        <v>1</v>
      </c>
      <c r="L537"/>
    </row>
    <row r="538" spans="1:12" x14ac:dyDescent="0.3">
      <c r="A538" t="s">
        <v>544</v>
      </c>
      <c r="B538" t="s">
        <v>10011</v>
      </c>
      <c r="C538">
        <v>5</v>
      </c>
      <c r="D538">
        <v>5</v>
      </c>
      <c r="E538">
        <v>25</v>
      </c>
      <c r="F538" t="s">
        <v>10020</v>
      </c>
      <c r="G538" t="s">
        <v>10021</v>
      </c>
      <c r="H538" s="6">
        <v>45183</v>
      </c>
      <c r="I538">
        <f t="shared" si="16"/>
        <v>0</v>
      </c>
      <c r="J538" t="str">
        <f t="shared" si="17"/>
        <v>Complete</v>
      </c>
      <c r="K538">
        <f>COUNTIFS(RawData[Item], B538,RawData[Quantity],C538,RawData[Price Per Unit],D538,RawData[Total Spent],E538,RawData[Payment Method],F538,RawData[Location],G538,RawData[Transaction Date],H538)</f>
        <v>1</v>
      </c>
      <c r="L538"/>
    </row>
    <row r="539" spans="1:12" x14ac:dyDescent="0.3">
      <c r="A539" t="s">
        <v>545</v>
      </c>
      <c r="B539" t="s">
        <v>10015</v>
      </c>
      <c r="C539">
        <v>1</v>
      </c>
      <c r="D539">
        <v>5</v>
      </c>
      <c r="E539">
        <v>5</v>
      </c>
      <c r="F539" t="s">
        <v>10018</v>
      </c>
      <c r="G539" t="s">
        <v>10069</v>
      </c>
      <c r="H539" s="6">
        <v>44977</v>
      </c>
      <c r="I539">
        <f t="shared" si="16"/>
        <v>1</v>
      </c>
      <c r="J539" t="str">
        <f t="shared" si="17"/>
        <v>Complete</v>
      </c>
      <c r="K539">
        <f>COUNTIFS(RawData[Item], B539,RawData[Quantity],C539,RawData[Price Per Unit],D539,RawData[Total Spent],E539,RawData[Payment Method],F539,RawData[Location],G539,RawData[Transaction Date],H539)</f>
        <v>1</v>
      </c>
      <c r="L539"/>
    </row>
    <row r="540" spans="1:12" x14ac:dyDescent="0.3">
      <c r="A540" t="s">
        <v>546</v>
      </c>
      <c r="B540" t="s">
        <v>10010</v>
      </c>
      <c r="C540">
        <v>4</v>
      </c>
      <c r="D540">
        <v>1</v>
      </c>
      <c r="E540">
        <v>4</v>
      </c>
      <c r="F540" t="s">
        <v>10019</v>
      </c>
      <c r="G540" t="s">
        <v>10102</v>
      </c>
      <c r="H540" s="6">
        <v>45218</v>
      </c>
      <c r="I540">
        <f t="shared" si="16"/>
        <v>0</v>
      </c>
      <c r="J540" t="str">
        <f t="shared" si="17"/>
        <v>Complete</v>
      </c>
      <c r="K540">
        <f>COUNTIFS(RawData[Item], B540,RawData[Quantity],C540,RawData[Price Per Unit],D540,RawData[Total Spent],E540,RawData[Payment Method],F540,RawData[Location],G540,RawData[Transaction Date],H540)</f>
        <v>1</v>
      </c>
      <c r="L540"/>
    </row>
    <row r="541" spans="1:12" x14ac:dyDescent="0.3">
      <c r="A541" t="s">
        <v>547</v>
      </c>
      <c r="B541" t="s">
        <v>10017</v>
      </c>
      <c r="C541">
        <v>2</v>
      </c>
      <c r="D541">
        <v>1.5</v>
      </c>
      <c r="E541">
        <v>3</v>
      </c>
      <c r="F541" t="s">
        <v>10069</v>
      </c>
      <c r="G541" t="s">
        <v>10021</v>
      </c>
      <c r="H541" s="6">
        <v>45114</v>
      </c>
      <c r="I541">
        <f t="shared" si="16"/>
        <v>0</v>
      </c>
      <c r="J541" t="str">
        <f t="shared" si="17"/>
        <v>Complete</v>
      </c>
      <c r="K541">
        <f>COUNTIFS(RawData[Item], B541,RawData[Quantity],C541,RawData[Price Per Unit],D541,RawData[Total Spent],E541,RawData[Payment Method],F541,RawData[Location],G541,RawData[Transaction Date],H541)</f>
        <v>1</v>
      </c>
      <c r="L541"/>
    </row>
    <row r="542" spans="1:12" x14ac:dyDescent="0.3">
      <c r="A542" t="s">
        <v>548</v>
      </c>
      <c r="B542" t="s">
        <v>10016</v>
      </c>
      <c r="C542">
        <v>5</v>
      </c>
      <c r="D542">
        <v>3</v>
      </c>
      <c r="E542">
        <v>15</v>
      </c>
      <c r="F542" t="s">
        <v>10018</v>
      </c>
      <c r="G542" t="s">
        <v>10021</v>
      </c>
      <c r="H542" s="6">
        <v>45247</v>
      </c>
      <c r="I542">
        <f t="shared" si="16"/>
        <v>0</v>
      </c>
      <c r="J542" t="str">
        <f t="shared" si="17"/>
        <v>Complete</v>
      </c>
      <c r="K542">
        <f>COUNTIFS(RawData[Item], B542,RawData[Quantity],C542,RawData[Price Per Unit],D542,RawData[Total Spent],E542,RawData[Payment Method],F542,RawData[Location],G542,RawData[Transaction Date],H542)</f>
        <v>1</v>
      </c>
      <c r="L542"/>
    </row>
    <row r="543" spans="1:12" x14ac:dyDescent="0.3">
      <c r="A543" t="s">
        <v>549</v>
      </c>
      <c r="B543" t="s">
        <v>10014</v>
      </c>
      <c r="C543">
        <v>4</v>
      </c>
      <c r="D543">
        <v>4</v>
      </c>
      <c r="E543">
        <v>16</v>
      </c>
      <c r="F543" t="s">
        <v>10069</v>
      </c>
      <c r="G543" t="s">
        <v>10069</v>
      </c>
      <c r="H543" s="6">
        <v>45154</v>
      </c>
      <c r="I543">
        <f t="shared" si="16"/>
        <v>0</v>
      </c>
      <c r="J543" t="str">
        <f t="shared" si="17"/>
        <v>Complete</v>
      </c>
      <c r="K543">
        <f>COUNTIFS(RawData[Item], B543,RawData[Quantity],C543,RawData[Price Per Unit],D543,RawData[Total Spent],E543,RawData[Payment Method],F543,RawData[Location],G543,RawData[Transaction Date],H543)</f>
        <v>1</v>
      </c>
      <c r="L543"/>
    </row>
    <row r="544" spans="1:12" x14ac:dyDescent="0.3">
      <c r="A544" t="s">
        <v>550</v>
      </c>
      <c r="B544" t="s">
        <v>10014</v>
      </c>
      <c r="C544">
        <v>4</v>
      </c>
      <c r="D544">
        <v>4</v>
      </c>
      <c r="E544">
        <v>16</v>
      </c>
      <c r="F544" t="s">
        <v>10020</v>
      </c>
      <c r="G544" t="s">
        <v>10021</v>
      </c>
      <c r="H544" s="6">
        <v>45261</v>
      </c>
      <c r="I544">
        <f t="shared" si="16"/>
        <v>0</v>
      </c>
      <c r="J544" t="str">
        <f t="shared" si="17"/>
        <v>Complete</v>
      </c>
      <c r="K544">
        <f>COUNTIFS(RawData[Item], B544,RawData[Quantity],C544,RawData[Price Per Unit],D544,RawData[Total Spent],E544,RawData[Payment Method],F544,RawData[Location],G544,RawData[Transaction Date],H544)</f>
        <v>1</v>
      </c>
      <c r="L544"/>
    </row>
    <row r="545" spans="1:12" x14ac:dyDescent="0.3">
      <c r="A545" t="s">
        <v>551</v>
      </c>
      <c r="B545" t="s">
        <v>10012</v>
      </c>
      <c r="C545">
        <v>3</v>
      </c>
      <c r="D545">
        <v>4</v>
      </c>
      <c r="E545" t="s">
        <v>10015</v>
      </c>
      <c r="F545" t="s">
        <v>10019</v>
      </c>
      <c r="G545" t="s">
        <v>10021</v>
      </c>
      <c r="H545" s="6">
        <v>45067</v>
      </c>
      <c r="I545">
        <f t="shared" si="16"/>
        <v>1</v>
      </c>
      <c r="J545" t="str">
        <f t="shared" si="17"/>
        <v>Complete</v>
      </c>
      <c r="K545">
        <f>COUNTIFS(RawData[Item], B545,RawData[Quantity],C545,RawData[Price Per Unit],D545,RawData[Total Spent],E545,RawData[Payment Method],F545,RawData[Location],G545,RawData[Transaction Date],H545)</f>
        <v>1</v>
      </c>
      <c r="L545"/>
    </row>
    <row r="546" spans="1:12" x14ac:dyDescent="0.3">
      <c r="A546" t="s">
        <v>552</v>
      </c>
      <c r="B546" t="s">
        <v>10017</v>
      </c>
      <c r="C546">
        <v>3</v>
      </c>
      <c r="D546">
        <v>1.5</v>
      </c>
      <c r="E546">
        <v>4.5</v>
      </c>
      <c r="F546" t="s">
        <v>10018</v>
      </c>
      <c r="G546" t="s">
        <v>10021</v>
      </c>
      <c r="H546" s="6">
        <v>45160</v>
      </c>
      <c r="I546">
        <f t="shared" si="16"/>
        <v>0</v>
      </c>
      <c r="J546" t="str">
        <f t="shared" si="17"/>
        <v>Complete</v>
      </c>
      <c r="K546">
        <f>COUNTIFS(RawData[Item], B546,RawData[Quantity],C546,RawData[Price Per Unit],D546,RawData[Total Spent],E546,RawData[Payment Method],F546,RawData[Location],G546,RawData[Transaction Date],H546)</f>
        <v>1</v>
      </c>
      <c r="L546"/>
    </row>
    <row r="547" spans="1:12" x14ac:dyDescent="0.3">
      <c r="A547" t="s">
        <v>553</v>
      </c>
      <c r="B547" t="s">
        <v>10012</v>
      </c>
      <c r="C547">
        <v>5</v>
      </c>
      <c r="D547">
        <v>0</v>
      </c>
      <c r="E547">
        <v>20</v>
      </c>
      <c r="F547" t="s">
        <v>10069</v>
      </c>
      <c r="G547" t="s">
        <v>10069</v>
      </c>
      <c r="H547" s="6">
        <v>44943</v>
      </c>
      <c r="I547">
        <f t="shared" si="16"/>
        <v>0</v>
      </c>
      <c r="J547" t="str">
        <f t="shared" si="17"/>
        <v>Complete</v>
      </c>
      <c r="K547">
        <f>COUNTIFS(RawData[Item], B547,RawData[Quantity],C547,RawData[Price Per Unit],D547,RawData[Total Spent],E547,RawData[Payment Method],F547,RawData[Location],G547,RawData[Transaction Date],H547)</f>
        <v>1</v>
      </c>
      <c r="L547"/>
    </row>
    <row r="548" spans="1:12" x14ac:dyDescent="0.3">
      <c r="A548" t="s">
        <v>554</v>
      </c>
      <c r="B548" t="s">
        <v>10011</v>
      </c>
      <c r="C548">
        <v>5</v>
      </c>
      <c r="D548">
        <v>5</v>
      </c>
      <c r="E548">
        <v>25</v>
      </c>
      <c r="F548" t="s">
        <v>10069</v>
      </c>
      <c r="G548" t="s">
        <v>10021</v>
      </c>
      <c r="H548" s="6">
        <v>44929</v>
      </c>
      <c r="I548">
        <f t="shared" si="16"/>
        <v>0</v>
      </c>
      <c r="J548" t="str">
        <f t="shared" si="17"/>
        <v>Complete</v>
      </c>
      <c r="K548">
        <f>COUNTIFS(RawData[Item], B548,RawData[Quantity],C548,RawData[Price Per Unit],D548,RawData[Total Spent],E548,RawData[Payment Method],F548,RawData[Location],G548,RawData[Transaction Date],H548)</f>
        <v>1</v>
      </c>
      <c r="L548"/>
    </row>
    <row r="549" spans="1:12" x14ac:dyDescent="0.3">
      <c r="A549" t="s">
        <v>555</v>
      </c>
      <c r="B549" t="s">
        <v>10014</v>
      </c>
      <c r="C549">
        <v>5</v>
      </c>
      <c r="D549">
        <v>4</v>
      </c>
      <c r="E549">
        <v>20</v>
      </c>
      <c r="F549" t="s">
        <v>10069</v>
      </c>
      <c r="G549" t="s">
        <v>10021</v>
      </c>
      <c r="H549" s="6">
        <v>45124</v>
      </c>
      <c r="I549">
        <f t="shared" si="16"/>
        <v>0</v>
      </c>
      <c r="J549" t="str">
        <f t="shared" si="17"/>
        <v>Complete</v>
      </c>
      <c r="K549">
        <f>COUNTIFS(RawData[Item], B549,RawData[Quantity],C549,RawData[Price Per Unit],D549,RawData[Total Spent],E549,RawData[Payment Method],F549,RawData[Location],G549,RawData[Transaction Date],H549)</f>
        <v>1</v>
      </c>
      <c r="L549"/>
    </row>
    <row r="550" spans="1:12" x14ac:dyDescent="0.3">
      <c r="A550" t="s">
        <v>556</v>
      </c>
      <c r="B550" t="s">
        <v>10016</v>
      </c>
      <c r="C550">
        <v>5</v>
      </c>
      <c r="D550">
        <v>3</v>
      </c>
      <c r="E550">
        <v>15</v>
      </c>
      <c r="F550" t="s">
        <v>10018</v>
      </c>
      <c r="G550" t="s">
        <v>10069</v>
      </c>
      <c r="H550" s="6">
        <v>45283</v>
      </c>
      <c r="I550">
        <f t="shared" si="16"/>
        <v>0</v>
      </c>
      <c r="J550" t="str">
        <f t="shared" si="17"/>
        <v>Complete</v>
      </c>
      <c r="K550">
        <f>COUNTIFS(RawData[Item], B550,RawData[Quantity],C550,RawData[Price Per Unit],D550,RawData[Total Spent],E550,RawData[Payment Method],F550,RawData[Location],G550,RawData[Transaction Date],H550)</f>
        <v>1</v>
      </c>
      <c r="L550"/>
    </row>
    <row r="551" spans="1:12" x14ac:dyDescent="0.3">
      <c r="A551" t="s">
        <v>557</v>
      </c>
      <c r="B551" t="s">
        <v>10011</v>
      </c>
      <c r="C551">
        <v>1</v>
      </c>
      <c r="D551">
        <v>5</v>
      </c>
      <c r="E551">
        <v>5</v>
      </c>
      <c r="F551" t="s">
        <v>10069</v>
      </c>
      <c r="G551" t="s">
        <v>10104</v>
      </c>
      <c r="H551" s="6">
        <v>45101</v>
      </c>
      <c r="I551">
        <f t="shared" si="16"/>
        <v>1</v>
      </c>
      <c r="J551" t="str">
        <f t="shared" si="17"/>
        <v>Complete</v>
      </c>
      <c r="K551">
        <f>COUNTIFS(RawData[Item], B551,RawData[Quantity],C551,RawData[Price Per Unit],D551,RawData[Total Spent],E551,RawData[Payment Method],F551,RawData[Location],G551,RawData[Transaction Date],H551)</f>
        <v>1</v>
      </c>
      <c r="L551"/>
    </row>
    <row r="552" spans="1:12" x14ac:dyDescent="0.3">
      <c r="A552" t="s">
        <v>558</v>
      </c>
      <c r="B552" t="s">
        <v>10015</v>
      </c>
      <c r="C552">
        <v>4</v>
      </c>
      <c r="D552">
        <v>0</v>
      </c>
      <c r="E552">
        <v>6</v>
      </c>
      <c r="F552" t="s">
        <v>10020</v>
      </c>
      <c r="G552" t="s">
        <v>10069</v>
      </c>
      <c r="H552" s="6">
        <v>45070</v>
      </c>
      <c r="I552">
        <f t="shared" si="16"/>
        <v>1</v>
      </c>
      <c r="J552" t="str">
        <f t="shared" si="17"/>
        <v>Complete</v>
      </c>
      <c r="K552">
        <f>COUNTIFS(RawData[Item], B552,RawData[Quantity],C552,RawData[Price Per Unit],D552,RawData[Total Spent],E552,RawData[Payment Method],F552,RawData[Location],G552,RawData[Transaction Date],H552)</f>
        <v>1</v>
      </c>
      <c r="L552"/>
    </row>
    <row r="553" spans="1:12" x14ac:dyDescent="0.3">
      <c r="A553" t="s">
        <v>559</v>
      </c>
      <c r="B553" t="s">
        <v>10015</v>
      </c>
      <c r="C553">
        <v>0</v>
      </c>
      <c r="D553">
        <v>3</v>
      </c>
      <c r="E553">
        <v>6</v>
      </c>
      <c r="F553" t="s">
        <v>10019</v>
      </c>
      <c r="G553" t="s">
        <v>10069</v>
      </c>
      <c r="H553" s="6" t="s">
        <v>10112</v>
      </c>
      <c r="I553">
        <f t="shared" si="16"/>
        <v>2</v>
      </c>
      <c r="J553" t="str">
        <f t="shared" si="17"/>
        <v>Incomplete</v>
      </c>
      <c r="K553">
        <f>COUNTIFS(RawData[Item], B553,RawData[Quantity],C553,RawData[Price Per Unit],D553,RawData[Total Spent],E553,RawData[Payment Method],F553,RawData[Location],G553,RawData[Transaction Date],H553)</f>
        <v>1</v>
      </c>
      <c r="L553"/>
    </row>
    <row r="554" spans="1:12" x14ac:dyDescent="0.3">
      <c r="A554" t="s">
        <v>560</v>
      </c>
      <c r="B554" t="s">
        <v>10015</v>
      </c>
      <c r="C554">
        <v>3</v>
      </c>
      <c r="D554">
        <v>4</v>
      </c>
      <c r="E554">
        <v>12</v>
      </c>
      <c r="F554" t="s">
        <v>10069</v>
      </c>
      <c r="G554" t="s">
        <v>10069</v>
      </c>
      <c r="H554" s="6">
        <v>45037</v>
      </c>
      <c r="I554">
        <f t="shared" si="16"/>
        <v>1</v>
      </c>
      <c r="J554" t="str">
        <f t="shared" si="17"/>
        <v>Complete</v>
      </c>
      <c r="K554">
        <f>COUNTIFS(RawData[Item], B554,RawData[Quantity],C554,RawData[Price Per Unit],D554,RawData[Total Spent],E554,RawData[Payment Method],F554,RawData[Location],G554,RawData[Transaction Date],H554)</f>
        <v>1</v>
      </c>
      <c r="L554"/>
    </row>
    <row r="555" spans="1:12" x14ac:dyDescent="0.3">
      <c r="A555" t="s">
        <v>561</v>
      </c>
      <c r="B555" t="s">
        <v>10009</v>
      </c>
      <c r="C555">
        <v>5</v>
      </c>
      <c r="D555">
        <v>3</v>
      </c>
      <c r="E555">
        <v>15</v>
      </c>
      <c r="F555" t="s">
        <v>10019</v>
      </c>
      <c r="G555" t="s">
        <v>10021</v>
      </c>
      <c r="H555" s="6">
        <v>45225</v>
      </c>
      <c r="I555">
        <f t="shared" si="16"/>
        <v>0</v>
      </c>
      <c r="J555" t="str">
        <f t="shared" si="17"/>
        <v>Complete</v>
      </c>
      <c r="K555">
        <f>COUNTIFS(RawData[Item], B555,RawData[Quantity],C555,RawData[Price Per Unit],D555,RawData[Total Spent],E555,RawData[Payment Method],F555,RawData[Location],G555,RawData[Transaction Date],H555)</f>
        <v>1</v>
      </c>
      <c r="L555"/>
    </row>
    <row r="556" spans="1:12" x14ac:dyDescent="0.3">
      <c r="A556" t="s">
        <v>562</v>
      </c>
      <c r="B556" t="s">
        <v>10009</v>
      </c>
      <c r="C556">
        <v>4</v>
      </c>
      <c r="D556">
        <v>3</v>
      </c>
      <c r="E556">
        <v>12</v>
      </c>
      <c r="F556" t="s">
        <v>10069</v>
      </c>
      <c r="G556" t="s">
        <v>10102</v>
      </c>
      <c r="H556" s="6">
        <v>45057</v>
      </c>
      <c r="I556">
        <f t="shared" si="16"/>
        <v>0</v>
      </c>
      <c r="J556" t="str">
        <f t="shared" si="17"/>
        <v>Complete</v>
      </c>
      <c r="K556">
        <f>COUNTIFS(RawData[Item], B556,RawData[Quantity],C556,RawData[Price Per Unit],D556,RawData[Total Spent],E556,RawData[Payment Method],F556,RawData[Location],G556,RawData[Transaction Date],H556)</f>
        <v>1</v>
      </c>
      <c r="L556"/>
    </row>
    <row r="557" spans="1:12" x14ac:dyDescent="0.3">
      <c r="A557" t="s">
        <v>563</v>
      </c>
      <c r="B557" t="s">
        <v>10015</v>
      </c>
      <c r="C557">
        <v>4</v>
      </c>
      <c r="D557">
        <v>5</v>
      </c>
      <c r="E557">
        <v>20</v>
      </c>
      <c r="F557" t="s">
        <v>10019</v>
      </c>
      <c r="G557" t="s">
        <v>10069</v>
      </c>
      <c r="H557" s="6">
        <v>45267</v>
      </c>
      <c r="I557">
        <f t="shared" si="16"/>
        <v>1</v>
      </c>
      <c r="J557" t="str">
        <f t="shared" si="17"/>
        <v>Complete</v>
      </c>
      <c r="K557">
        <f>COUNTIFS(RawData[Item], B557,RawData[Quantity],C557,RawData[Price Per Unit],D557,RawData[Total Spent],E557,RawData[Payment Method],F557,RawData[Location],G557,RawData[Transaction Date],H557)</f>
        <v>1</v>
      </c>
      <c r="L557"/>
    </row>
    <row r="558" spans="1:12" x14ac:dyDescent="0.3">
      <c r="A558" t="s">
        <v>564</v>
      </c>
      <c r="B558" t="s">
        <v>10014</v>
      </c>
      <c r="C558">
        <v>1</v>
      </c>
      <c r="D558">
        <v>4</v>
      </c>
      <c r="E558">
        <v>4</v>
      </c>
      <c r="F558" t="s">
        <v>10103</v>
      </c>
      <c r="G558" t="s">
        <v>10069</v>
      </c>
      <c r="H558" s="6">
        <v>45170</v>
      </c>
      <c r="I558">
        <f t="shared" si="16"/>
        <v>1</v>
      </c>
      <c r="J558" t="str">
        <f t="shared" si="17"/>
        <v>Complete</v>
      </c>
      <c r="K558">
        <f>COUNTIFS(RawData[Item], B558,RawData[Quantity],C558,RawData[Price Per Unit],D558,RawData[Total Spent],E558,RawData[Payment Method],F558,RawData[Location],G558,RawData[Transaction Date],H558)</f>
        <v>1</v>
      </c>
      <c r="L558"/>
    </row>
    <row r="559" spans="1:12" x14ac:dyDescent="0.3">
      <c r="A559" t="s">
        <v>565</v>
      </c>
      <c r="B559" t="s">
        <v>10011</v>
      </c>
      <c r="C559">
        <v>5</v>
      </c>
      <c r="D559">
        <v>5</v>
      </c>
      <c r="E559">
        <v>25</v>
      </c>
      <c r="F559" t="s">
        <v>10020</v>
      </c>
      <c r="G559" t="s">
        <v>10021</v>
      </c>
      <c r="H559" s="6">
        <v>45013</v>
      </c>
      <c r="I559">
        <f t="shared" si="16"/>
        <v>0</v>
      </c>
      <c r="J559" t="str">
        <f t="shared" si="17"/>
        <v>Complete</v>
      </c>
      <c r="K559">
        <f>COUNTIFS(RawData[Item], B559,RawData[Quantity],C559,RawData[Price Per Unit],D559,RawData[Total Spent],E559,RawData[Payment Method],F559,RawData[Location],G559,RawData[Transaction Date],H559)</f>
        <v>1</v>
      </c>
      <c r="L559"/>
    </row>
    <row r="560" spans="1:12" x14ac:dyDescent="0.3">
      <c r="A560" t="s">
        <v>566</v>
      </c>
      <c r="B560" t="s">
        <v>10017</v>
      </c>
      <c r="C560">
        <v>1</v>
      </c>
      <c r="D560">
        <v>1.5</v>
      </c>
      <c r="E560">
        <v>1.5</v>
      </c>
      <c r="F560" t="s">
        <v>10104</v>
      </c>
      <c r="G560" t="s">
        <v>10102</v>
      </c>
      <c r="H560" s="6">
        <v>44983</v>
      </c>
      <c r="I560">
        <f t="shared" si="16"/>
        <v>1</v>
      </c>
      <c r="J560" t="str">
        <f t="shared" si="17"/>
        <v>Complete</v>
      </c>
      <c r="K560">
        <f>COUNTIFS(RawData[Item], B560,RawData[Quantity],C560,RawData[Price Per Unit],D560,RawData[Total Spent],E560,RawData[Payment Method],F560,RawData[Location],G560,RawData[Transaction Date],H560)</f>
        <v>1</v>
      </c>
      <c r="L560"/>
    </row>
    <row r="561" spans="1:12" x14ac:dyDescent="0.3">
      <c r="A561" t="s">
        <v>567</v>
      </c>
      <c r="B561" t="s">
        <v>10008</v>
      </c>
      <c r="C561">
        <v>4</v>
      </c>
      <c r="D561">
        <v>2</v>
      </c>
      <c r="E561">
        <v>8</v>
      </c>
      <c r="F561" t="s">
        <v>10069</v>
      </c>
      <c r="G561" t="s">
        <v>10102</v>
      </c>
      <c r="H561" s="6">
        <v>44930</v>
      </c>
      <c r="I561">
        <f t="shared" si="16"/>
        <v>0</v>
      </c>
      <c r="J561" t="str">
        <f t="shared" si="17"/>
        <v>Complete</v>
      </c>
      <c r="K561">
        <f>COUNTIFS(RawData[Item], B561,RawData[Quantity],C561,RawData[Price Per Unit],D561,RawData[Total Spent],E561,RawData[Payment Method],F561,RawData[Location],G561,RawData[Transaction Date],H561)</f>
        <v>1</v>
      </c>
      <c r="L561"/>
    </row>
    <row r="562" spans="1:12" x14ac:dyDescent="0.3">
      <c r="A562" t="s">
        <v>568</v>
      </c>
      <c r="B562" t="s">
        <v>10010</v>
      </c>
      <c r="C562">
        <v>5</v>
      </c>
      <c r="D562">
        <v>1</v>
      </c>
      <c r="E562">
        <v>5</v>
      </c>
      <c r="F562" t="s">
        <v>10020</v>
      </c>
      <c r="G562" t="s">
        <v>10103</v>
      </c>
      <c r="H562" s="6">
        <v>45206</v>
      </c>
      <c r="I562">
        <f t="shared" si="16"/>
        <v>1</v>
      </c>
      <c r="J562" t="str">
        <f t="shared" si="17"/>
        <v>Complete</v>
      </c>
      <c r="K562">
        <f>COUNTIFS(RawData[Item], B562,RawData[Quantity],C562,RawData[Price Per Unit],D562,RawData[Total Spent],E562,RawData[Payment Method],F562,RawData[Location],G562,RawData[Transaction Date],H562)</f>
        <v>1</v>
      </c>
      <c r="L562"/>
    </row>
    <row r="563" spans="1:12" x14ac:dyDescent="0.3">
      <c r="A563" t="s">
        <v>569</v>
      </c>
      <c r="B563" t="s">
        <v>10012</v>
      </c>
      <c r="C563">
        <v>4</v>
      </c>
      <c r="D563">
        <v>4</v>
      </c>
      <c r="E563">
        <v>16</v>
      </c>
      <c r="F563" t="s">
        <v>10069</v>
      </c>
      <c r="G563" t="s">
        <v>10102</v>
      </c>
      <c r="H563" s="6">
        <v>45067</v>
      </c>
      <c r="I563">
        <f t="shared" si="16"/>
        <v>0</v>
      </c>
      <c r="J563" t="str">
        <f t="shared" si="17"/>
        <v>Complete</v>
      </c>
      <c r="K563">
        <f>COUNTIFS(RawData[Item], B563,RawData[Quantity],C563,RawData[Price Per Unit],D563,RawData[Total Spent],E563,RawData[Payment Method],F563,RawData[Location],G563,RawData[Transaction Date],H563)</f>
        <v>1</v>
      </c>
      <c r="L563"/>
    </row>
    <row r="564" spans="1:12" x14ac:dyDescent="0.3">
      <c r="A564" t="s">
        <v>570</v>
      </c>
      <c r="B564" t="s">
        <v>10016</v>
      </c>
      <c r="C564">
        <v>3</v>
      </c>
      <c r="D564" t="s">
        <v>10015</v>
      </c>
      <c r="E564">
        <v>9</v>
      </c>
      <c r="F564" t="s">
        <v>10020</v>
      </c>
      <c r="G564" t="s">
        <v>10021</v>
      </c>
      <c r="H564" s="6">
        <v>45276</v>
      </c>
      <c r="I564">
        <f t="shared" si="16"/>
        <v>1</v>
      </c>
      <c r="J564" t="str">
        <f t="shared" si="17"/>
        <v>Complete</v>
      </c>
      <c r="K564">
        <f>COUNTIFS(RawData[Item], B564,RawData[Quantity],C564,RawData[Price Per Unit],D564,RawData[Total Spent],E564,RawData[Payment Method],F564,RawData[Location],G564,RawData[Transaction Date],H564)</f>
        <v>1</v>
      </c>
      <c r="L564"/>
    </row>
    <row r="565" spans="1:12" x14ac:dyDescent="0.3">
      <c r="A565" t="s">
        <v>571</v>
      </c>
      <c r="B565" t="s">
        <v>10014</v>
      </c>
      <c r="C565">
        <v>5</v>
      </c>
      <c r="D565">
        <v>4</v>
      </c>
      <c r="E565">
        <v>20</v>
      </c>
      <c r="F565" t="s">
        <v>10020</v>
      </c>
      <c r="G565" t="s">
        <v>10021</v>
      </c>
      <c r="H565" s="6">
        <v>44956</v>
      </c>
      <c r="I565">
        <f t="shared" si="16"/>
        <v>0</v>
      </c>
      <c r="J565" t="str">
        <f t="shared" si="17"/>
        <v>Complete</v>
      </c>
      <c r="K565">
        <f>COUNTIFS(RawData[Item], B565,RawData[Quantity],C565,RawData[Price Per Unit],D565,RawData[Total Spent],E565,RawData[Payment Method],F565,RawData[Location],G565,RawData[Transaction Date],H565)</f>
        <v>2</v>
      </c>
      <c r="L565"/>
    </row>
    <row r="566" spans="1:12" x14ac:dyDescent="0.3">
      <c r="A566" t="s">
        <v>572</v>
      </c>
      <c r="B566" t="s">
        <v>10008</v>
      </c>
      <c r="C566">
        <v>2</v>
      </c>
      <c r="D566">
        <v>2</v>
      </c>
      <c r="E566">
        <v>4</v>
      </c>
      <c r="F566" t="s">
        <v>10019</v>
      </c>
      <c r="G566" t="s">
        <v>10021</v>
      </c>
      <c r="H566" s="6">
        <v>45194</v>
      </c>
      <c r="I566">
        <f t="shared" si="16"/>
        <v>0</v>
      </c>
      <c r="J566" t="str">
        <f t="shared" si="17"/>
        <v>Complete</v>
      </c>
      <c r="K566">
        <f>COUNTIFS(RawData[Item], B566,RawData[Quantity],C566,RawData[Price Per Unit],D566,RawData[Total Spent],E566,RawData[Payment Method],F566,RawData[Location],G566,RawData[Transaction Date],H566)</f>
        <v>1</v>
      </c>
      <c r="L566"/>
    </row>
    <row r="567" spans="1:12" x14ac:dyDescent="0.3">
      <c r="A567" t="s">
        <v>573</v>
      </c>
      <c r="B567" t="s">
        <v>10016</v>
      </c>
      <c r="C567">
        <v>1</v>
      </c>
      <c r="D567">
        <v>3</v>
      </c>
      <c r="E567">
        <v>3</v>
      </c>
      <c r="F567" t="s">
        <v>10018</v>
      </c>
      <c r="G567" t="s">
        <v>10069</v>
      </c>
      <c r="H567" s="6">
        <v>44991</v>
      </c>
      <c r="I567">
        <f t="shared" si="16"/>
        <v>0</v>
      </c>
      <c r="J567" t="str">
        <f t="shared" si="17"/>
        <v>Complete</v>
      </c>
      <c r="K567">
        <f>COUNTIFS(RawData[Item], B567,RawData[Quantity],C567,RawData[Price Per Unit],D567,RawData[Total Spent],E567,RawData[Payment Method],F567,RawData[Location],G567,RawData[Transaction Date],H567)</f>
        <v>1</v>
      </c>
      <c r="L567"/>
    </row>
    <row r="568" spans="1:12" x14ac:dyDescent="0.3">
      <c r="A568" t="s">
        <v>574</v>
      </c>
      <c r="B568" t="s">
        <v>10010</v>
      </c>
      <c r="C568">
        <v>4</v>
      </c>
      <c r="D568">
        <v>1</v>
      </c>
      <c r="E568">
        <v>4</v>
      </c>
      <c r="F568" t="s">
        <v>10018</v>
      </c>
      <c r="G568" t="s">
        <v>10069</v>
      </c>
      <c r="H568" s="6">
        <v>44982</v>
      </c>
      <c r="I568">
        <f t="shared" si="16"/>
        <v>0</v>
      </c>
      <c r="J568" t="str">
        <f t="shared" si="17"/>
        <v>Complete</v>
      </c>
      <c r="K568">
        <f>COUNTIFS(RawData[Item], B568,RawData[Quantity],C568,RawData[Price Per Unit],D568,RawData[Total Spent],E568,RawData[Payment Method],F568,RawData[Location],G568,RawData[Transaction Date],H568)</f>
        <v>1</v>
      </c>
      <c r="L568"/>
    </row>
    <row r="569" spans="1:12" x14ac:dyDescent="0.3">
      <c r="A569" t="s">
        <v>575</v>
      </c>
      <c r="B569" t="s">
        <v>10014</v>
      </c>
      <c r="C569">
        <v>5</v>
      </c>
      <c r="D569">
        <v>4</v>
      </c>
      <c r="E569">
        <v>20</v>
      </c>
      <c r="F569" t="s">
        <v>10020</v>
      </c>
      <c r="G569" t="s">
        <v>10021</v>
      </c>
      <c r="H569" s="6">
        <v>45055</v>
      </c>
      <c r="I569">
        <f t="shared" si="16"/>
        <v>0</v>
      </c>
      <c r="J569" t="str">
        <f t="shared" si="17"/>
        <v>Complete</v>
      </c>
      <c r="K569">
        <f>COUNTIFS(RawData[Item], B569,RawData[Quantity],C569,RawData[Price Per Unit],D569,RawData[Total Spent],E569,RawData[Payment Method],F569,RawData[Location],G569,RawData[Transaction Date],H569)</f>
        <v>1</v>
      </c>
      <c r="L569"/>
    </row>
    <row r="570" spans="1:12" x14ac:dyDescent="0.3">
      <c r="A570" t="s">
        <v>576</v>
      </c>
      <c r="B570" t="s">
        <v>10008</v>
      </c>
      <c r="C570">
        <v>2</v>
      </c>
      <c r="D570">
        <v>2</v>
      </c>
      <c r="E570">
        <v>0</v>
      </c>
      <c r="F570" t="s">
        <v>10019</v>
      </c>
      <c r="G570" t="s">
        <v>10069</v>
      </c>
      <c r="H570" s="6">
        <v>45141</v>
      </c>
      <c r="I570">
        <f t="shared" si="16"/>
        <v>0</v>
      </c>
      <c r="J570" t="str">
        <f t="shared" si="17"/>
        <v>Complete</v>
      </c>
      <c r="K570">
        <f>COUNTIFS(RawData[Item], B570,RawData[Quantity],C570,RawData[Price Per Unit],D570,RawData[Total Spent],E570,RawData[Payment Method],F570,RawData[Location],G570,RawData[Transaction Date],H570)</f>
        <v>1</v>
      </c>
      <c r="L570"/>
    </row>
    <row r="571" spans="1:12" x14ac:dyDescent="0.3">
      <c r="A571" t="s">
        <v>577</v>
      </c>
      <c r="B571" t="s">
        <v>10011</v>
      </c>
      <c r="C571">
        <v>4</v>
      </c>
      <c r="D571">
        <v>5</v>
      </c>
      <c r="E571">
        <v>20</v>
      </c>
      <c r="F571" t="s">
        <v>10069</v>
      </c>
      <c r="G571" t="s">
        <v>10102</v>
      </c>
      <c r="H571" s="6">
        <v>45059</v>
      </c>
      <c r="I571">
        <f t="shared" si="16"/>
        <v>0</v>
      </c>
      <c r="J571" t="str">
        <f t="shared" si="17"/>
        <v>Complete</v>
      </c>
      <c r="K571">
        <f>COUNTIFS(RawData[Item], B571,RawData[Quantity],C571,RawData[Price Per Unit],D571,RawData[Total Spent],E571,RawData[Payment Method],F571,RawData[Location],G571,RawData[Transaction Date],H571)</f>
        <v>1</v>
      </c>
      <c r="L571"/>
    </row>
    <row r="572" spans="1:12" x14ac:dyDescent="0.3">
      <c r="A572" t="s">
        <v>578</v>
      </c>
      <c r="B572" t="s">
        <v>10011</v>
      </c>
      <c r="C572">
        <v>5</v>
      </c>
      <c r="D572">
        <v>5</v>
      </c>
      <c r="E572">
        <v>25</v>
      </c>
      <c r="F572" t="s">
        <v>10069</v>
      </c>
      <c r="G572" t="s">
        <v>10021</v>
      </c>
      <c r="H572" s="6">
        <v>44965</v>
      </c>
      <c r="I572">
        <f t="shared" si="16"/>
        <v>0</v>
      </c>
      <c r="J572" t="str">
        <f t="shared" si="17"/>
        <v>Complete</v>
      </c>
      <c r="K572">
        <f>COUNTIFS(RawData[Item], B572,RawData[Quantity],C572,RawData[Price Per Unit],D572,RawData[Total Spent],E572,RawData[Payment Method],F572,RawData[Location],G572,RawData[Transaction Date],H572)</f>
        <v>1</v>
      </c>
      <c r="L572"/>
    </row>
    <row r="573" spans="1:12" x14ac:dyDescent="0.3">
      <c r="A573" t="s">
        <v>579</v>
      </c>
      <c r="B573" t="s">
        <v>10016</v>
      </c>
      <c r="C573">
        <v>4</v>
      </c>
      <c r="D573">
        <v>3</v>
      </c>
      <c r="E573">
        <v>12</v>
      </c>
      <c r="F573" t="s">
        <v>10069</v>
      </c>
      <c r="G573" t="s">
        <v>10104</v>
      </c>
      <c r="H573" s="6" t="s">
        <v>10112</v>
      </c>
      <c r="I573">
        <f t="shared" si="16"/>
        <v>2</v>
      </c>
      <c r="J573" t="str">
        <f t="shared" si="17"/>
        <v>Incomplete</v>
      </c>
      <c r="K573">
        <f>COUNTIFS(RawData[Item], B573,RawData[Quantity],C573,RawData[Price Per Unit],D573,RawData[Total Spent],E573,RawData[Payment Method],F573,RawData[Location],G573,RawData[Transaction Date],H573)</f>
        <v>1</v>
      </c>
      <c r="L573"/>
    </row>
    <row r="574" spans="1:12" x14ac:dyDescent="0.3">
      <c r="A574" t="s">
        <v>580</v>
      </c>
      <c r="B574" t="s">
        <v>10010</v>
      </c>
      <c r="C574">
        <v>1</v>
      </c>
      <c r="D574">
        <v>1</v>
      </c>
      <c r="E574">
        <v>1</v>
      </c>
      <c r="F574" t="s">
        <v>10020</v>
      </c>
      <c r="G574" t="s">
        <v>10102</v>
      </c>
      <c r="H574" s="6">
        <v>45281</v>
      </c>
      <c r="I574">
        <f t="shared" si="16"/>
        <v>0</v>
      </c>
      <c r="J574" t="str">
        <f t="shared" si="17"/>
        <v>Complete</v>
      </c>
      <c r="K574">
        <f>COUNTIFS(RawData[Item], B574,RawData[Quantity],C574,RawData[Price Per Unit],D574,RawData[Total Spent],E574,RawData[Payment Method],F574,RawData[Location],G574,RawData[Transaction Date],H574)</f>
        <v>1</v>
      </c>
      <c r="L574"/>
    </row>
    <row r="575" spans="1:12" x14ac:dyDescent="0.3">
      <c r="A575" t="s">
        <v>581</v>
      </c>
      <c r="B575" t="s">
        <v>10009</v>
      </c>
      <c r="C575">
        <v>3</v>
      </c>
      <c r="D575">
        <v>3</v>
      </c>
      <c r="E575">
        <v>9</v>
      </c>
      <c r="F575" t="s">
        <v>10069</v>
      </c>
      <c r="G575" t="s">
        <v>10021</v>
      </c>
      <c r="H575" s="6">
        <v>45046</v>
      </c>
      <c r="I575">
        <f t="shared" si="16"/>
        <v>0</v>
      </c>
      <c r="J575" t="str">
        <f t="shared" si="17"/>
        <v>Complete</v>
      </c>
      <c r="K575">
        <f>COUNTIFS(RawData[Item], B575,RawData[Quantity],C575,RawData[Price Per Unit],D575,RawData[Total Spent],E575,RawData[Payment Method],F575,RawData[Location],G575,RawData[Transaction Date],H575)</f>
        <v>1</v>
      </c>
      <c r="L575"/>
    </row>
    <row r="576" spans="1:12" x14ac:dyDescent="0.3">
      <c r="A576" t="s">
        <v>582</v>
      </c>
      <c r="B576" t="s">
        <v>10012</v>
      </c>
      <c r="C576">
        <v>4</v>
      </c>
      <c r="D576" t="s">
        <v>10013</v>
      </c>
      <c r="E576">
        <v>16</v>
      </c>
      <c r="F576" t="s">
        <v>10103</v>
      </c>
      <c r="G576" t="s">
        <v>10069</v>
      </c>
      <c r="H576" s="6">
        <v>45099</v>
      </c>
      <c r="I576">
        <f t="shared" si="16"/>
        <v>2</v>
      </c>
      <c r="J576" t="str">
        <f t="shared" si="17"/>
        <v>Complete</v>
      </c>
      <c r="K576">
        <f>COUNTIFS(RawData[Item], B576,RawData[Quantity],C576,RawData[Price Per Unit],D576,RawData[Total Spent],E576,RawData[Payment Method],F576,RawData[Location],G576,RawData[Transaction Date],H576)</f>
        <v>1</v>
      </c>
      <c r="L576"/>
    </row>
    <row r="577" spans="1:12" x14ac:dyDescent="0.3">
      <c r="A577" t="s">
        <v>583</v>
      </c>
      <c r="B577" t="s">
        <v>10009</v>
      </c>
      <c r="C577">
        <v>1</v>
      </c>
      <c r="D577" t="s">
        <v>10015</v>
      </c>
      <c r="E577">
        <v>3</v>
      </c>
      <c r="F577" t="s">
        <v>10103</v>
      </c>
      <c r="G577" t="s">
        <v>10102</v>
      </c>
      <c r="H577" s="6">
        <v>45122</v>
      </c>
      <c r="I577">
        <f t="shared" si="16"/>
        <v>2</v>
      </c>
      <c r="J577" t="str">
        <f t="shared" si="17"/>
        <v>Complete</v>
      </c>
      <c r="K577">
        <f>COUNTIFS(RawData[Item], B577,RawData[Quantity],C577,RawData[Price Per Unit],D577,RawData[Total Spent],E577,RawData[Payment Method],F577,RawData[Location],G577,RawData[Transaction Date],H577)</f>
        <v>1</v>
      </c>
      <c r="L577"/>
    </row>
    <row r="578" spans="1:12" x14ac:dyDescent="0.3">
      <c r="A578" t="s">
        <v>584</v>
      </c>
      <c r="B578" t="s">
        <v>10017</v>
      </c>
      <c r="C578">
        <v>3</v>
      </c>
      <c r="D578">
        <v>1.5</v>
      </c>
      <c r="E578">
        <v>4.5</v>
      </c>
      <c r="F578" t="s">
        <v>10069</v>
      </c>
      <c r="G578" t="s">
        <v>10021</v>
      </c>
      <c r="H578" s="6">
        <v>45025</v>
      </c>
      <c r="I578">
        <f t="shared" ref="I578:I641" si="18">(B578="Unknown")+(B578="Error")+(C578="Unknown")+(C578="Error")+(D578="Unknown")+(D578="Error")+(E578="Unknown")+(E578="Error")+(F578="Unknown")+(F578="Error")+(G578="Unknown")+(G578="Error")+(H578="No Date")</f>
        <v>0</v>
      </c>
      <c r="J578" t="str">
        <f t="shared" ref="J578:J641" si="19">IF((H578="No Date"),"Incomplete","Complete")</f>
        <v>Complete</v>
      </c>
      <c r="K578">
        <f>COUNTIFS(RawData[Item], B578,RawData[Quantity],C578,RawData[Price Per Unit],D578,RawData[Total Spent],E578,RawData[Payment Method],F578,RawData[Location],G578,RawData[Transaction Date],H578)</f>
        <v>1</v>
      </c>
      <c r="L578"/>
    </row>
    <row r="579" spans="1:12" x14ac:dyDescent="0.3">
      <c r="A579" t="s">
        <v>585</v>
      </c>
      <c r="B579" t="s">
        <v>10012</v>
      </c>
      <c r="C579">
        <v>1</v>
      </c>
      <c r="D579">
        <v>4</v>
      </c>
      <c r="E579">
        <v>4</v>
      </c>
      <c r="F579" t="s">
        <v>10104</v>
      </c>
      <c r="G579" t="s">
        <v>10104</v>
      </c>
      <c r="H579" s="6">
        <v>45011</v>
      </c>
      <c r="I579">
        <f t="shared" si="18"/>
        <v>2</v>
      </c>
      <c r="J579" t="str">
        <f t="shared" si="19"/>
        <v>Complete</v>
      </c>
      <c r="K579">
        <f>COUNTIFS(RawData[Item], B579,RawData[Quantity],C579,RawData[Price Per Unit],D579,RawData[Total Spent],E579,RawData[Payment Method],F579,RawData[Location],G579,RawData[Transaction Date],H579)</f>
        <v>1</v>
      </c>
      <c r="L579"/>
    </row>
    <row r="580" spans="1:12" x14ac:dyDescent="0.3">
      <c r="A580" t="s">
        <v>586</v>
      </c>
      <c r="B580" t="s">
        <v>10012</v>
      </c>
      <c r="C580">
        <v>3</v>
      </c>
      <c r="D580">
        <v>4</v>
      </c>
      <c r="E580">
        <v>12</v>
      </c>
      <c r="F580" t="s">
        <v>10018</v>
      </c>
      <c r="G580" t="s">
        <v>10069</v>
      </c>
      <c r="H580" s="6">
        <v>45097</v>
      </c>
      <c r="I580">
        <f t="shared" si="18"/>
        <v>0</v>
      </c>
      <c r="J580" t="str">
        <f t="shared" si="19"/>
        <v>Complete</v>
      </c>
      <c r="K580">
        <f>COUNTIFS(RawData[Item], B580,RawData[Quantity],C580,RawData[Price Per Unit],D580,RawData[Total Spent],E580,RawData[Payment Method],F580,RawData[Location],G580,RawData[Transaction Date],H580)</f>
        <v>1</v>
      </c>
      <c r="L580"/>
    </row>
    <row r="581" spans="1:12" x14ac:dyDescent="0.3">
      <c r="A581" t="s">
        <v>587</v>
      </c>
      <c r="B581" t="s">
        <v>10011</v>
      </c>
      <c r="C581">
        <v>2</v>
      </c>
      <c r="D581">
        <v>5</v>
      </c>
      <c r="E581">
        <v>10</v>
      </c>
      <c r="F581" t="s">
        <v>10020</v>
      </c>
      <c r="G581" t="s">
        <v>10069</v>
      </c>
      <c r="H581" s="6" t="s">
        <v>10112</v>
      </c>
      <c r="I581">
        <f t="shared" si="18"/>
        <v>1</v>
      </c>
      <c r="J581" t="str">
        <f t="shared" si="19"/>
        <v>Incomplete</v>
      </c>
      <c r="K581">
        <f>COUNTIFS(RawData[Item], B581,RawData[Quantity],C581,RawData[Price Per Unit],D581,RawData[Total Spent],E581,RawData[Payment Method],F581,RawData[Location],G581,RawData[Transaction Date],H581)</f>
        <v>2</v>
      </c>
      <c r="L581"/>
    </row>
    <row r="582" spans="1:12" x14ac:dyDescent="0.3">
      <c r="A582" t="s">
        <v>588</v>
      </c>
      <c r="B582" t="s">
        <v>10017</v>
      </c>
      <c r="C582">
        <v>2</v>
      </c>
      <c r="D582">
        <v>1.5</v>
      </c>
      <c r="E582">
        <v>3</v>
      </c>
      <c r="F582" t="s">
        <v>10069</v>
      </c>
      <c r="G582" t="s">
        <v>10021</v>
      </c>
      <c r="H582" s="6">
        <v>45150</v>
      </c>
      <c r="I582">
        <f t="shared" si="18"/>
        <v>0</v>
      </c>
      <c r="J582" t="str">
        <f t="shared" si="19"/>
        <v>Complete</v>
      </c>
      <c r="K582">
        <f>COUNTIFS(RawData[Item], B582,RawData[Quantity],C582,RawData[Price Per Unit],D582,RawData[Total Spent],E582,RawData[Payment Method],F582,RawData[Location],G582,RawData[Transaction Date],H582)</f>
        <v>1</v>
      </c>
      <c r="L582"/>
    </row>
    <row r="583" spans="1:12" x14ac:dyDescent="0.3">
      <c r="A583" t="s">
        <v>589</v>
      </c>
      <c r="B583" t="s">
        <v>10008</v>
      </c>
      <c r="C583">
        <v>1</v>
      </c>
      <c r="D583">
        <v>2</v>
      </c>
      <c r="E583">
        <v>2</v>
      </c>
      <c r="F583" t="s">
        <v>10019</v>
      </c>
      <c r="G583" t="s">
        <v>10102</v>
      </c>
      <c r="H583" s="6">
        <v>45076</v>
      </c>
      <c r="I583">
        <f t="shared" si="18"/>
        <v>0</v>
      </c>
      <c r="J583" t="str">
        <f t="shared" si="19"/>
        <v>Complete</v>
      </c>
      <c r="K583">
        <f>COUNTIFS(RawData[Item], B583,RawData[Quantity],C583,RawData[Price Per Unit],D583,RawData[Total Spent],E583,RawData[Payment Method],F583,RawData[Location],G583,RawData[Transaction Date],H583)</f>
        <v>1</v>
      </c>
      <c r="L583"/>
    </row>
    <row r="584" spans="1:12" x14ac:dyDescent="0.3">
      <c r="A584" t="s">
        <v>590</v>
      </c>
      <c r="B584" t="s">
        <v>10011</v>
      </c>
      <c r="C584">
        <v>1</v>
      </c>
      <c r="D584">
        <v>5</v>
      </c>
      <c r="E584">
        <v>5</v>
      </c>
      <c r="F584" t="s">
        <v>10019</v>
      </c>
      <c r="G584" t="s">
        <v>10021</v>
      </c>
      <c r="H584" s="6">
        <v>45219</v>
      </c>
      <c r="I584">
        <f t="shared" si="18"/>
        <v>0</v>
      </c>
      <c r="J584" t="str">
        <f t="shared" si="19"/>
        <v>Complete</v>
      </c>
      <c r="K584">
        <f>COUNTIFS(RawData[Item], B584,RawData[Quantity],C584,RawData[Price Per Unit],D584,RawData[Total Spent],E584,RawData[Payment Method],F584,RawData[Location],G584,RawData[Transaction Date],H584)</f>
        <v>1</v>
      </c>
      <c r="L584"/>
    </row>
    <row r="585" spans="1:12" x14ac:dyDescent="0.3">
      <c r="A585" t="s">
        <v>591</v>
      </c>
      <c r="B585" t="s">
        <v>10017</v>
      </c>
      <c r="C585">
        <v>3</v>
      </c>
      <c r="D585">
        <v>1.5</v>
      </c>
      <c r="E585">
        <v>4.5</v>
      </c>
      <c r="F585" t="s">
        <v>10018</v>
      </c>
      <c r="G585" t="s">
        <v>10069</v>
      </c>
      <c r="H585" s="6">
        <v>44965</v>
      </c>
      <c r="I585">
        <f t="shared" si="18"/>
        <v>0</v>
      </c>
      <c r="J585" t="str">
        <f t="shared" si="19"/>
        <v>Complete</v>
      </c>
      <c r="K585">
        <f>COUNTIFS(RawData[Item], B585,RawData[Quantity],C585,RawData[Price Per Unit],D585,RawData[Total Spent],E585,RawData[Payment Method],F585,RawData[Location],G585,RawData[Transaction Date],H585)</f>
        <v>2</v>
      </c>
      <c r="L585"/>
    </row>
    <row r="586" spans="1:12" x14ac:dyDescent="0.3">
      <c r="A586" t="s">
        <v>592</v>
      </c>
      <c r="B586" t="s">
        <v>10014</v>
      </c>
      <c r="C586">
        <v>4</v>
      </c>
      <c r="D586">
        <v>4</v>
      </c>
      <c r="E586">
        <v>16</v>
      </c>
      <c r="F586" t="s">
        <v>10020</v>
      </c>
      <c r="G586" t="s">
        <v>10021</v>
      </c>
      <c r="H586" s="6">
        <v>45040</v>
      </c>
      <c r="I586">
        <f t="shared" si="18"/>
        <v>0</v>
      </c>
      <c r="J586" t="str">
        <f t="shared" si="19"/>
        <v>Complete</v>
      </c>
      <c r="K586">
        <f>COUNTIFS(RawData[Item], B586,RawData[Quantity],C586,RawData[Price Per Unit],D586,RawData[Total Spent],E586,RawData[Payment Method],F586,RawData[Location],G586,RawData[Transaction Date],H586)</f>
        <v>1</v>
      </c>
      <c r="L586"/>
    </row>
    <row r="587" spans="1:12" x14ac:dyDescent="0.3">
      <c r="A587" t="s">
        <v>593</v>
      </c>
      <c r="B587" t="s">
        <v>10012</v>
      </c>
      <c r="C587">
        <v>4</v>
      </c>
      <c r="D587">
        <v>4</v>
      </c>
      <c r="E587">
        <v>16</v>
      </c>
      <c r="F587" t="s">
        <v>10019</v>
      </c>
      <c r="G587" t="s">
        <v>10069</v>
      </c>
      <c r="H587" s="6">
        <v>45189</v>
      </c>
      <c r="I587">
        <f t="shared" si="18"/>
        <v>0</v>
      </c>
      <c r="J587" t="str">
        <f t="shared" si="19"/>
        <v>Complete</v>
      </c>
      <c r="K587">
        <f>COUNTIFS(RawData[Item], B587,RawData[Quantity],C587,RawData[Price Per Unit],D587,RawData[Total Spent],E587,RawData[Payment Method],F587,RawData[Location],G587,RawData[Transaction Date],H587)</f>
        <v>1</v>
      </c>
      <c r="L587"/>
    </row>
    <row r="588" spans="1:12" x14ac:dyDescent="0.3">
      <c r="A588" t="s">
        <v>594</v>
      </c>
      <c r="B588" t="s">
        <v>10016</v>
      </c>
      <c r="C588">
        <v>3</v>
      </c>
      <c r="D588">
        <v>3</v>
      </c>
      <c r="E588">
        <v>9</v>
      </c>
      <c r="F588" t="s">
        <v>10069</v>
      </c>
      <c r="G588" t="s">
        <v>10102</v>
      </c>
      <c r="H588" s="6">
        <v>45055</v>
      </c>
      <c r="I588">
        <f t="shared" si="18"/>
        <v>0</v>
      </c>
      <c r="J588" t="str">
        <f t="shared" si="19"/>
        <v>Complete</v>
      </c>
      <c r="K588">
        <f>COUNTIFS(RawData[Item], B588,RawData[Quantity],C588,RawData[Price Per Unit],D588,RawData[Total Spent],E588,RawData[Payment Method],F588,RawData[Location],G588,RawData[Transaction Date],H588)</f>
        <v>1</v>
      </c>
      <c r="L588"/>
    </row>
    <row r="589" spans="1:12" x14ac:dyDescent="0.3">
      <c r="A589" t="s">
        <v>595</v>
      </c>
      <c r="B589" t="s">
        <v>10014</v>
      </c>
      <c r="C589">
        <v>0</v>
      </c>
      <c r="D589">
        <v>4</v>
      </c>
      <c r="E589">
        <v>4</v>
      </c>
      <c r="F589" t="s">
        <v>10020</v>
      </c>
      <c r="G589" t="s">
        <v>10102</v>
      </c>
      <c r="H589" s="6">
        <v>45038</v>
      </c>
      <c r="I589">
        <f t="shared" si="18"/>
        <v>0</v>
      </c>
      <c r="J589" t="str">
        <f t="shared" si="19"/>
        <v>Complete</v>
      </c>
      <c r="K589">
        <f>COUNTIFS(RawData[Item], B589,RawData[Quantity],C589,RawData[Price Per Unit],D589,RawData[Total Spent],E589,RawData[Payment Method],F589,RawData[Location],G589,RawData[Transaction Date],H589)</f>
        <v>1</v>
      </c>
      <c r="L589"/>
    </row>
    <row r="590" spans="1:12" x14ac:dyDescent="0.3">
      <c r="A590" t="s">
        <v>596</v>
      </c>
      <c r="B590" t="s">
        <v>10010</v>
      </c>
      <c r="C590">
        <v>2</v>
      </c>
      <c r="D590">
        <v>1</v>
      </c>
      <c r="E590">
        <v>2</v>
      </c>
      <c r="F590" t="s">
        <v>10018</v>
      </c>
      <c r="G590" t="s">
        <v>10102</v>
      </c>
      <c r="H590" s="6">
        <v>45119</v>
      </c>
      <c r="I590">
        <f t="shared" si="18"/>
        <v>0</v>
      </c>
      <c r="J590" t="str">
        <f t="shared" si="19"/>
        <v>Complete</v>
      </c>
      <c r="K590">
        <f>COUNTIFS(RawData[Item], B590,RawData[Quantity],C590,RawData[Price Per Unit],D590,RawData[Total Spent],E590,RawData[Payment Method],F590,RawData[Location],G590,RawData[Transaction Date],H590)</f>
        <v>1</v>
      </c>
      <c r="L590"/>
    </row>
    <row r="591" spans="1:12" x14ac:dyDescent="0.3">
      <c r="A591" t="s">
        <v>597</v>
      </c>
      <c r="B591" t="s">
        <v>10013</v>
      </c>
      <c r="C591">
        <v>3</v>
      </c>
      <c r="D591">
        <v>1</v>
      </c>
      <c r="E591">
        <v>3</v>
      </c>
      <c r="F591" t="s">
        <v>10018</v>
      </c>
      <c r="G591" t="s">
        <v>10104</v>
      </c>
      <c r="H591" s="6">
        <v>44937</v>
      </c>
      <c r="I591">
        <f t="shared" si="18"/>
        <v>2</v>
      </c>
      <c r="J591" t="str">
        <f t="shared" si="19"/>
        <v>Complete</v>
      </c>
      <c r="K591">
        <f>COUNTIFS(RawData[Item], B591,RawData[Quantity],C591,RawData[Price Per Unit],D591,RawData[Total Spent],E591,RawData[Payment Method],F591,RawData[Location],G591,RawData[Transaction Date],H591)</f>
        <v>1</v>
      </c>
      <c r="L591"/>
    </row>
    <row r="592" spans="1:12" x14ac:dyDescent="0.3">
      <c r="A592" t="s">
        <v>598</v>
      </c>
      <c r="B592" t="s">
        <v>10017</v>
      </c>
      <c r="C592">
        <v>2</v>
      </c>
      <c r="D592">
        <v>1.5</v>
      </c>
      <c r="E592">
        <v>3</v>
      </c>
      <c r="F592" t="s">
        <v>10020</v>
      </c>
      <c r="G592" t="s">
        <v>10102</v>
      </c>
      <c r="H592" s="6" t="s">
        <v>10112</v>
      </c>
      <c r="I592">
        <f t="shared" si="18"/>
        <v>1</v>
      </c>
      <c r="J592" t="str">
        <f t="shared" si="19"/>
        <v>Incomplete</v>
      </c>
      <c r="K592">
        <f>COUNTIFS(RawData[Item], B592,RawData[Quantity],C592,RawData[Price Per Unit],D592,RawData[Total Spent],E592,RawData[Payment Method],F592,RawData[Location],G592,RawData[Transaction Date],H592)</f>
        <v>1</v>
      </c>
      <c r="L592"/>
    </row>
    <row r="593" spans="1:12" x14ac:dyDescent="0.3">
      <c r="A593" t="s">
        <v>599</v>
      </c>
      <c r="B593" t="s">
        <v>10017</v>
      </c>
      <c r="C593">
        <v>4</v>
      </c>
      <c r="D593">
        <v>1.5</v>
      </c>
      <c r="E593">
        <v>6</v>
      </c>
      <c r="F593" t="s">
        <v>10069</v>
      </c>
      <c r="G593" t="s">
        <v>10021</v>
      </c>
      <c r="H593" s="6" t="s">
        <v>10112</v>
      </c>
      <c r="I593">
        <f t="shared" si="18"/>
        <v>1</v>
      </c>
      <c r="J593" t="str">
        <f t="shared" si="19"/>
        <v>Incomplete</v>
      </c>
      <c r="K593">
        <f>COUNTIFS(RawData[Item], B593,RawData[Quantity],C593,RawData[Price Per Unit],D593,RawData[Total Spent],E593,RawData[Payment Method],F593,RawData[Location],G593,RawData[Transaction Date],H593)</f>
        <v>1</v>
      </c>
      <c r="L593"/>
    </row>
    <row r="594" spans="1:12" x14ac:dyDescent="0.3">
      <c r="A594" t="s">
        <v>600</v>
      </c>
      <c r="B594" t="s">
        <v>10008</v>
      </c>
      <c r="C594">
        <v>3</v>
      </c>
      <c r="D594">
        <v>2</v>
      </c>
      <c r="E594">
        <v>6</v>
      </c>
      <c r="F594" t="s">
        <v>10019</v>
      </c>
      <c r="G594" t="s">
        <v>10021</v>
      </c>
      <c r="H594" s="6">
        <v>45251</v>
      </c>
      <c r="I594">
        <f t="shared" si="18"/>
        <v>0</v>
      </c>
      <c r="J594" t="str">
        <f t="shared" si="19"/>
        <v>Complete</v>
      </c>
      <c r="K594">
        <f>COUNTIFS(RawData[Item], B594,RawData[Quantity],C594,RawData[Price Per Unit],D594,RawData[Total Spent],E594,RawData[Payment Method],F594,RawData[Location],G594,RawData[Transaction Date],H594)</f>
        <v>1</v>
      </c>
      <c r="L594"/>
    </row>
    <row r="595" spans="1:12" x14ac:dyDescent="0.3">
      <c r="A595" t="s">
        <v>601</v>
      </c>
      <c r="B595" t="s">
        <v>10013</v>
      </c>
      <c r="C595">
        <v>5</v>
      </c>
      <c r="D595">
        <v>1</v>
      </c>
      <c r="E595">
        <v>5</v>
      </c>
      <c r="F595" t="s">
        <v>10019</v>
      </c>
      <c r="G595" t="s">
        <v>10069</v>
      </c>
      <c r="H595" s="6">
        <v>44985</v>
      </c>
      <c r="I595">
        <f t="shared" si="18"/>
        <v>1</v>
      </c>
      <c r="J595" t="str">
        <f t="shared" si="19"/>
        <v>Complete</v>
      </c>
      <c r="K595">
        <f>COUNTIFS(RawData[Item], B595,RawData[Quantity],C595,RawData[Price Per Unit],D595,RawData[Total Spent],E595,RawData[Payment Method],F595,RawData[Location],G595,RawData[Transaction Date],H595)</f>
        <v>1</v>
      </c>
      <c r="L595"/>
    </row>
    <row r="596" spans="1:12" x14ac:dyDescent="0.3">
      <c r="A596" t="s">
        <v>602</v>
      </c>
      <c r="B596" t="s">
        <v>10012</v>
      </c>
      <c r="C596">
        <v>2</v>
      </c>
      <c r="D596">
        <v>4</v>
      </c>
      <c r="E596">
        <v>8</v>
      </c>
      <c r="F596" t="s">
        <v>10069</v>
      </c>
      <c r="G596" t="s">
        <v>10069</v>
      </c>
      <c r="H596" s="6">
        <v>44961</v>
      </c>
      <c r="I596">
        <f t="shared" si="18"/>
        <v>0</v>
      </c>
      <c r="J596" t="str">
        <f t="shared" si="19"/>
        <v>Complete</v>
      </c>
      <c r="K596">
        <f>COUNTIFS(RawData[Item], B596,RawData[Quantity],C596,RawData[Price Per Unit],D596,RawData[Total Spent],E596,RawData[Payment Method],F596,RawData[Location],G596,RawData[Transaction Date],H596)</f>
        <v>1</v>
      </c>
      <c r="L596"/>
    </row>
    <row r="597" spans="1:12" x14ac:dyDescent="0.3">
      <c r="A597" t="s">
        <v>603</v>
      </c>
      <c r="B597" t="s">
        <v>10011</v>
      </c>
      <c r="C597">
        <v>4</v>
      </c>
      <c r="D597">
        <v>5</v>
      </c>
      <c r="E597" t="s">
        <v>10015</v>
      </c>
      <c r="F597" t="s">
        <v>10069</v>
      </c>
      <c r="G597" t="s">
        <v>10021</v>
      </c>
      <c r="H597" s="6">
        <v>45233</v>
      </c>
      <c r="I597">
        <f t="shared" si="18"/>
        <v>1</v>
      </c>
      <c r="J597" t="str">
        <f t="shared" si="19"/>
        <v>Complete</v>
      </c>
      <c r="K597">
        <f>COUNTIFS(RawData[Item], B597,RawData[Quantity],C597,RawData[Price Per Unit],D597,RawData[Total Spent],E597,RawData[Payment Method],F597,RawData[Location],G597,RawData[Transaction Date],H597)</f>
        <v>1</v>
      </c>
      <c r="L597"/>
    </row>
    <row r="598" spans="1:12" x14ac:dyDescent="0.3">
      <c r="A598" t="s">
        <v>604</v>
      </c>
      <c r="B598" t="s">
        <v>10012</v>
      </c>
      <c r="C598">
        <v>3</v>
      </c>
      <c r="D598">
        <v>4</v>
      </c>
      <c r="E598">
        <v>12</v>
      </c>
      <c r="F598" t="s">
        <v>10018</v>
      </c>
      <c r="G598" t="s">
        <v>10102</v>
      </c>
      <c r="H598" s="6">
        <v>45187</v>
      </c>
      <c r="I598">
        <f t="shared" si="18"/>
        <v>0</v>
      </c>
      <c r="J598" t="str">
        <f t="shared" si="19"/>
        <v>Complete</v>
      </c>
      <c r="K598">
        <f>COUNTIFS(RawData[Item], B598,RawData[Quantity],C598,RawData[Price Per Unit],D598,RawData[Total Spent],E598,RawData[Payment Method],F598,RawData[Location],G598,RawData[Transaction Date],H598)</f>
        <v>2</v>
      </c>
      <c r="L598"/>
    </row>
    <row r="599" spans="1:12" x14ac:dyDescent="0.3">
      <c r="A599" t="s">
        <v>605</v>
      </c>
      <c r="B599" t="s">
        <v>10008</v>
      </c>
      <c r="C599">
        <v>5</v>
      </c>
      <c r="D599">
        <v>2</v>
      </c>
      <c r="E599">
        <v>10</v>
      </c>
      <c r="F599" t="s">
        <v>10020</v>
      </c>
      <c r="G599" t="s">
        <v>10102</v>
      </c>
      <c r="H599" s="6">
        <v>44966</v>
      </c>
      <c r="I599">
        <f t="shared" si="18"/>
        <v>0</v>
      </c>
      <c r="J599" t="str">
        <f t="shared" si="19"/>
        <v>Complete</v>
      </c>
      <c r="K599">
        <f>COUNTIFS(RawData[Item], B599,RawData[Quantity],C599,RawData[Price Per Unit],D599,RawData[Total Spent],E599,RawData[Payment Method],F599,RawData[Location],G599,RawData[Transaction Date],H599)</f>
        <v>2</v>
      </c>
      <c r="L599"/>
    </row>
    <row r="600" spans="1:12" x14ac:dyDescent="0.3">
      <c r="A600" t="s">
        <v>606</v>
      </c>
      <c r="B600" t="s">
        <v>10010</v>
      </c>
      <c r="C600">
        <v>1</v>
      </c>
      <c r="D600">
        <v>1</v>
      </c>
      <c r="E600">
        <v>1</v>
      </c>
      <c r="F600" t="s">
        <v>10069</v>
      </c>
      <c r="G600" t="s">
        <v>10102</v>
      </c>
      <c r="H600" s="6">
        <v>45087</v>
      </c>
      <c r="I600">
        <f t="shared" si="18"/>
        <v>0</v>
      </c>
      <c r="J600" t="str">
        <f t="shared" si="19"/>
        <v>Complete</v>
      </c>
      <c r="K600">
        <f>COUNTIFS(RawData[Item], B600,RawData[Quantity],C600,RawData[Price Per Unit],D600,RawData[Total Spent],E600,RawData[Payment Method],F600,RawData[Location],G600,RawData[Transaction Date],H600)</f>
        <v>1</v>
      </c>
      <c r="L600"/>
    </row>
    <row r="601" spans="1:12" x14ac:dyDescent="0.3">
      <c r="A601" t="s">
        <v>607</v>
      </c>
      <c r="B601" t="s">
        <v>10009</v>
      </c>
      <c r="C601">
        <v>5</v>
      </c>
      <c r="D601">
        <v>3</v>
      </c>
      <c r="E601">
        <v>15</v>
      </c>
      <c r="F601" t="s">
        <v>10020</v>
      </c>
      <c r="G601" t="s">
        <v>10104</v>
      </c>
      <c r="H601" s="6">
        <v>45022</v>
      </c>
      <c r="I601">
        <f t="shared" si="18"/>
        <v>1</v>
      </c>
      <c r="J601" t="str">
        <f t="shared" si="19"/>
        <v>Complete</v>
      </c>
      <c r="K601">
        <f>COUNTIFS(RawData[Item], B601,RawData[Quantity],C601,RawData[Price Per Unit],D601,RawData[Total Spent],E601,RawData[Payment Method],F601,RawData[Location],G601,RawData[Transaction Date],H601)</f>
        <v>1</v>
      </c>
      <c r="L601"/>
    </row>
    <row r="602" spans="1:12" x14ac:dyDescent="0.3">
      <c r="A602" t="s">
        <v>608</v>
      </c>
      <c r="B602" t="s">
        <v>10011</v>
      </c>
      <c r="C602">
        <v>4</v>
      </c>
      <c r="D602">
        <v>5</v>
      </c>
      <c r="E602">
        <v>20</v>
      </c>
      <c r="F602" t="s">
        <v>10018</v>
      </c>
      <c r="G602" t="s">
        <v>10069</v>
      </c>
      <c r="H602" s="6">
        <v>45171</v>
      </c>
      <c r="I602">
        <f t="shared" si="18"/>
        <v>0</v>
      </c>
      <c r="J602" t="str">
        <f t="shared" si="19"/>
        <v>Complete</v>
      </c>
      <c r="K602">
        <f>COUNTIFS(RawData[Item], B602,RawData[Quantity],C602,RawData[Price Per Unit],D602,RawData[Total Spent],E602,RawData[Payment Method],F602,RawData[Location],G602,RawData[Transaction Date],H602)</f>
        <v>1</v>
      </c>
      <c r="L602"/>
    </row>
    <row r="603" spans="1:12" x14ac:dyDescent="0.3">
      <c r="A603" t="s">
        <v>609</v>
      </c>
      <c r="B603" t="s">
        <v>10012</v>
      </c>
      <c r="C603">
        <v>3</v>
      </c>
      <c r="D603">
        <v>4</v>
      </c>
      <c r="E603">
        <v>12</v>
      </c>
      <c r="F603" t="s">
        <v>10019</v>
      </c>
      <c r="G603" t="s">
        <v>10069</v>
      </c>
      <c r="H603" s="6" t="s">
        <v>10112</v>
      </c>
      <c r="I603">
        <f t="shared" si="18"/>
        <v>1</v>
      </c>
      <c r="J603" t="str">
        <f t="shared" si="19"/>
        <v>Incomplete</v>
      </c>
      <c r="K603">
        <f>COUNTIFS(RawData[Item], B603,RawData[Quantity],C603,RawData[Price Per Unit],D603,RawData[Total Spent],E603,RawData[Payment Method],F603,RawData[Location],G603,RawData[Transaction Date],H603)</f>
        <v>2</v>
      </c>
      <c r="L603"/>
    </row>
    <row r="604" spans="1:12" x14ac:dyDescent="0.3">
      <c r="A604" t="s">
        <v>610</v>
      </c>
      <c r="B604" t="s">
        <v>10013</v>
      </c>
      <c r="C604">
        <v>4</v>
      </c>
      <c r="D604">
        <v>3</v>
      </c>
      <c r="E604">
        <v>12</v>
      </c>
      <c r="F604" t="s">
        <v>10019</v>
      </c>
      <c r="G604" t="s">
        <v>10102</v>
      </c>
      <c r="H604" s="6">
        <v>44959</v>
      </c>
      <c r="I604">
        <f t="shared" si="18"/>
        <v>1</v>
      </c>
      <c r="J604" t="str">
        <f t="shared" si="19"/>
        <v>Complete</v>
      </c>
      <c r="K604">
        <f>COUNTIFS(RawData[Item], B604,RawData[Quantity],C604,RawData[Price Per Unit],D604,RawData[Total Spent],E604,RawData[Payment Method],F604,RawData[Location],G604,RawData[Transaction Date],H604)</f>
        <v>1</v>
      </c>
      <c r="L604"/>
    </row>
    <row r="605" spans="1:12" x14ac:dyDescent="0.3">
      <c r="A605" t="s">
        <v>611</v>
      </c>
      <c r="B605" t="s">
        <v>10011</v>
      </c>
      <c r="C605">
        <v>4</v>
      </c>
      <c r="D605">
        <v>5</v>
      </c>
      <c r="E605">
        <v>20</v>
      </c>
      <c r="F605" t="s">
        <v>10020</v>
      </c>
      <c r="G605" t="s">
        <v>10102</v>
      </c>
      <c r="H605" s="6">
        <v>45218</v>
      </c>
      <c r="I605">
        <f t="shared" si="18"/>
        <v>0</v>
      </c>
      <c r="J605" t="str">
        <f t="shared" si="19"/>
        <v>Complete</v>
      </c>
      <c r="K605">
        <f>COUNTIFS(RawData[Item], B605,RawData[Quantity],C605,RawData[Price Per Unit],D605,RawData[Total Spent],E605,RawData[Payment Method],F605,RawData[Location],G605,RawData[Transaction Date],H605)</f>
        <v>1</v>
      </c>
      <c r="L605"/>
    </row>
    <row r="606" spans="1:12" x14ac:dyDescent="0.3">
      <c r="A606" t="s">
        <v>612</v>
      </c>
      <c r="B606" t="s">
        <v>10010</v>
      </c>
      <c r="C606">
        <v>2</v>
      </c>
      <c r="D606">
        <v>1</v>
      </c>
      <c r="E606">
        <v>2</v>
      </c>
      <c r="F606" t="s">
        <v>10069</v>
      </c>
      <c r="G606" t="s">
        <v>10021</v>
      </c>
      <c r="H606" s="6">
        <v>44964</v>
      </c>
      <c r="I606">
        <f t="shared" si="18"/>
        <v>0</v>
      </c>
      <c r="J606" t="str">
        <f t="shared" si="19"/>
        <v>Complete</v>
      </c>
      <c r="K606">
        <f>COUNTIFS(RawData[Item], B606,RawData[Quantity],C606,RawData[Price Per Unit],D606,RawData[Total Spent],E606,RawData[Payment Method],F606,RawData[Location],G606,RawData[Transaction Date],H606)</f>
        <v>1</v>
      </c>
      <c r="L606"/>
    </row>
    <row r="607" spans="1:12" x14ac:dyDescent="0.3">
      <c r="A607" t="s">
        <v>613</v>
      </c>
      <c r="B607" t="s">
        <v>10069</v>
      </c>
      <c r="C607">
        <v>4</v>
      </c>
      <c r="D607">
        <v>4</v>
      </c>
      <c r="E607">
        <v>16</v>
      </c>
      <c r="F607" t="s">
        <v>10069</v>
      </c>
      <c r="G607" t="s">
        <v>10102</v>
      </c>
      <c r="H607" s="6" t="s">
        <v>10112</v>
      </c>
      <c r="I607">
        <f t="shared" si="18"/>
        <v>1</v>
      </c>
      <c r="J607" t="str">
        <f t="shared" si="19"/>
        <v>Incomplete</v>
      </c>
      <c r="K607">
        <f>COUNTIFS(RawData[Item], B607,RawData[Quantity],C607,RawData[Price Per Unit],D607,RawData[Total Spent],E607,RawData[Payment Method],F607,RawData[Location],G607,RawData[Transaction Date],H607)</f>
        <v>1</v>
      </c>
      <c r="L607"/>
    </row>
    <row r="608" spans="1:12" x14ac:dyDescent="0.3">
      <c r="A608" t="s">
        <v>614</v>
      </c>
      <c r="B608" t="s">
        <v>10016</v>
      </c>
      <c r="C608">
        <v>2</v>
      </c>
      <c r="D608">
        <v>3</v>
      </c>
      <c r="E608">
        <v>6</v>
      </c>
      <c r="F608" t="s">
        <v>10019</v>
      </c>
      <c r="G608" t="s">
        <v>10021</v>
      </c>
      <c r="H608" s="6">
        <v>45015</v>
      </c>
      <c r="I608">
        <f t="shared" si="18"/>
        <v>0</v>
      </c>
      <c r="J608" t="str">
        <f t="shared" si="19"/>
        <v>Complete</v>
      </c>
      <c r="K608">
        <f>COUNTIFS(RawData[Item], B608,RawData[Quantity],C608,RawData[Price Per Unit],D608,RawData[Total Spent],E608,RawData[Payment Method],F608,RawData[Location],G608,RawData[Transaction Date],H608)</f>
        <v>1</v>
      </c>
      <c r="L608"/>
    </row>
    <row r="609" spans="1:12" x14ac:dyDescent="0.3">
      <c r="A609" t="s">
        <v>615</v>
      </c>
      <c r="B609" t="s">
        <v>10014</v>
      </c>
      <c r="C609">
        <v>5</v>
      </c>
      <c r="D609">
        <v>4</v>
      </c>
      <c r="E609">
        <v>20</v>
      </c>
      <c r="F609" t="s">
        <v>10020</v>
      </c>
      <c r="G609" t="s">
        <v>10103</v>
      </c>
      <c r="H609" s="6">
        <v>45174</v>
      </c>
      <c r="I609">
        <f t="shared" si="18"/>
        <v>1</v>
      </c>
      <c r="J609" t="str">
        <f t="shared" si="19"/>
        <v>Complete</v>
      </c>
      <c r="K609">
        <f>COUNTIFS(RawData[Item], B609,RawData[Quantity],C609,RawData[Price Per Unit],D609,RawData[Total Spent],E609,RawData[Payment Method],F609,RawData[Location],G609,RawData[Transaction Date],H609)</f>
        <v>1</v>
      </c>
      <c r="L609"/>
    </row>
    <row r="610" spans="1:12" x14ac:dyDescent="0.3">
      <c r="A610" t="s">
        <v>616</v>
      </c>
      <c r="B610" t="s">
        <v>10008</v>
      </c>
      <c r="C610">
        <v>1</v>
      </c>
      <c r="D610">
        <v>2</v>
      </c>
      <c r="E610">
        <v>2</v>
      </c>
      <c r="F610" t="s">
        <v>10069</v>
      </c>
      <c r="G610" t="s">
        <v>10021</v>
      </c>
      <c r="H610" s="6">
        <v>44939</v>
      </c>
      <c r="I610">
        <f t="shared" si="18"/>
        <v>0</v>
      </c>
      <c r="J610" t="str">
        <f t="shared" si="19"/>
        <v>Complete</v>
      </c>
      <c r="K610">
        <f>COUNTIFS(RawData[Item], B610,RawData[Quantity],C610,RawData[Price Per Unit],D610,RawData[Total Spent],E610,RawData[Payment Method],F610,RawData[Location],G610,RawData[Transaction Date],H610)</f>
        <v>1</v>
      </c>
      <c r="L610"/>
    </row>
    <row r="611" spans="1:12" x14ac:dyDescent="0.3">
      <c r="A611" t="s">
        <v>617</v>
      </c>
      <c r="B611" t="s">
        <v>10009</v>
      </c>
      <c r="C611">
        <v>4</v>
      </c>
      <c r="D611">
        <v>3</v>
      </c>
      <c r="E611">
        <v>12</v>
      </c>
      <c r="F611" t="s">
        <v>10069</v>
      </c>
      <c r="G611" t="s">
        <v>10102</v>
      </c>
      <c r="H611" s="6">
        <v>45168</v>
      </c>
      <c r="I611">
        <f t="shared" si="18"/>
        <v>0</v>
      </c>
      <c r="J611" t="str">
        <f t="shared" si="19"/>
        <v>Complete</v>
      </c>
      <c r="K611">
        <f>COUNTIFS(RawData[Item], B611,RawData[Quantity],C611,RawData[Price Per Unit],D611,RawData[Total Spent],E611,RawData[Payment Method],F611,RawData[Location],G611,RawData[Transaction Date],H611)</f>
        <v>1</v>
      </c>
      <c r="L611"/>
    </row>
    <row r="612" spans="1:12" x14ac:dyDescent="0.3">
      <c r="A612" t="s">
        <v>618</v>
      </c>
      <c r="B612" t="s">
        <v>10017</v>
      </c>
      <c r="C612">
        <v>2</v>
      </c>
      <c r="D612">
        <v>1.5</v>
      </c>
      <c r="E612">
        <v>3</v>
      </c>
      <c r="F612" t="s">
        <v>10019</v>
      </c>
      <c r="G612" t="s">
        <v>10102</v>
      </c>
      <c r="H612" s="6">
        <v>45240</v>
      </c>
      <c r="I612">
        <f t="shared" si="18"/>
        <v>0</v>
      </c>
      <c r="J612" t="str">
        <f t="shared" si="19"/>
        <v>Complete</v>
      </c>
      <c r="K612">
        <f>COUNTIFS(RawData[Item], B612,RawData[Quantity],C612,RawData[Price Per Unit],D612,RawData[Total Spent],E612,RawData[Payment Method],F612,RawData[Location],G612,RawData[Transaction Date],H612)</f>
        <v>2</v>
      </c>
      <c r="L612"/>
    </row>
    <row r="613" spans="1:12" x14ac:dyDescent="0.3">
      <c r="A613" t="s">
        <v>619</v>
      </c>
      <c r="B613" t="s">
        <v>10010</v>
      </c>
      <c r="C613">
        <v>5</v>
      </c>
      <c r="D613">
        <v>1</v>
      </c>
      <c r="E613">
        <v>5</v>
      </c>
      <c r="F613" t="s">
        <v>10018</v>
      </c>
      <c r="G613" t="s">
        <v>10021</v>
      </c>
      <c r="H613" s="6">
        <v>45217</v>
      </c>
      <c r="I613">
        <f t="shared" si="18"/>
        <v>0</v>
      </c>
      <c r="J613" t="str">
        <f t="shared" si="19"/>
        <v>Complete</v>
      </c>
      <c r="K613">
        <f>COUNTIFS(RawData[Item], B613,RawData[Quantity],C613,RawData[Price Per Unit],D613,RawData[Total Spent],E613,RawData[Payment Method],F613,RawData[Location],G613,RawData[Transaction Date],H613)</f>
        <v>1</v>
      </c>
      <c r="L613"/>
    </row>
    <row r="614" spans="1:12" x14ac:dyDescent="0.3">
      <c r="A614" t="s">
        <v>620</v>
      </c>
      <c r="B614" t="s">
        <v>10011</v>
      </c>
      <c r="C614">
        <v>5</v>
      </c>
      <c r="D614">
        <v>5</v>
      </c>
      <c r="E614" t="s">
        <v>10013</v>
      </c>
      <c r="F614" t="s">
        <v>10019</v>
      </c>
      <c r="G614" t="s">
        <v>10103</v>
      </c>
      <c r="H614" s="6">
        <v>45051</v>
      </c>
      <c r="I614">
        <f t="shared" si="18"/>
        <v>2</v>
      </c>
      <c r="J614" t="str">
        <f t="shared" si="19"/>
        <v>Complete</v>
      </c>
      <c r="K614">
        <f>COUNTIFS(RawData[Item], B614,RawData[Quantity],C614,RawData[Price Per Unit],D614,RawData[Total Spent],E614,RawData[Payment Method],F614,RawData[Location],G614,RawData[Transaction Date],H614)</f>
        <v>1</v>
      </c>
      <c r="L614"/>
    </row>
    <row r="615" spans="1:12" x14ac:dyDescent="0.3">
      <c r="A615" t="s">
        <v>621</v>
      </c>
      <c r="B615" t="s">
        <v>10009</v>
      </c>
      <c r="C615">
        <v>4</v>
      </c>
      <c r="D615">
        <v>3</v>
      </c>
      <c r="E615">
        <v>12</v>
      </c>
      <c r="F615" t="s">
        <v>10018</v>
      </c>
      <c r="G615" t="s">
        <v>10069</v>
      </c>
      <c r="H615" s="6">
        <v>45008</v>
      </c>
      <c r="I615">
        <f t="shared" si="18"/>
        <v>0</v>
      </c>
      <c r="J615" t="str">
        <f t="shared" si="19"/>
        <v>Complete</v>
      </c>
      <c r="K615">
        <f>COUNTIFS(RawData[Item], B615,RawData[Quantity],C615,RawData[Price Per Unit],D615,RawData[Total Spent],E615,RawData[Payment Method],F615,RawData[Location],G615,RawData[Transaction Date],H615)</f>
        <v>1</v>
      </c>
      <c r="L615"/>
    </row>
    <row r="616" spans="1:12" x14ac:dyDescent="0.3">
      <c r="A616" t="s">
        <v>622</v>
      </c>
      <c r="B616" t="s">
        <v>10009</v>
      </c>
      <c r="C616">
        <v>5</v>
      </c>
      <c r="D616">
        <v>3</v>
      </c>
      <c r="E616">
        <v>15</v>
      </c>
      <c r="F616" t="s">
        <v>10018</v>
      </c>
      <c r="G616" t="s">
        <v>10069</v>
      </c>
      <c r="H616" s="6" t="s">
        <v>10112</v>
      </c>
      <c r="I616">
        <f t="shared" si="18"/>
        <v>1</v>
      </c>
      <c r="J616" t="str">
        <f t="shared" si="19"/>
        <v>Incomplete</v>
      </c>
      <c r="K616">
        <f>COUNTIFS(RawData[Item], B616,RawData[Quantity],C616,RawData[Price Per Unit],D616,RawData[Total Spent],E616,RawData[Payment Method],F616,RawData[Location],G616,RawData[Transaction Date],H616)</f>
        <v>6</v>
      </c>
      <c r="L616"/>
    </row>
    <row r="617" spans="1:12" x14ac:dyDescent="0.3">
      <c r="A617" t="s">
        <v>623</v>
      </c>
      <c r="B617" t="s">
        <v>10011</v>
      </c>
      <c r="C617">
        <v>1</v>
      </c>
      <c r="D617">
        <v>5</v>
      </c>
      <c r="E617">
        <v>5</v>
      </c>
      <c r="F617" t="s">
        <v>10019</v>
      </c>
      <c r="G617" t="s">
        <v>10102</v>
      </c>
      <c r="H617" s="6">
        <v>44967</v>
      </c>
      <c r="I617">
        <f t="shared" si="18"/>
        <v>0</v>
      </c>
      <c r="J617" t="str">
        <f t="shared" si="19"/>
        <v>Complete</v>
      </c>
      <c r="K617">
        <f>COUNTIFS(RawData[Item], B617,RawData[Quantity],C617,RawData[Price Per Unit],D617,RawData[Total Spent],E617,RawData[Payment Method],F617,RawData[Location],G617,RawData[Transaction Date],H617)</f>
        <v>1</v>
      </c>
      <c r="L617"/>
    </row>
    <row r="618" spans="1:12" x14ac:dyDescent="0.3">
      <c r="A618" t="s">
        <v>624</v>
      </c>
      <c r="B618" t="s">
        <v>10011</v>
      </c>
      <c r="C618">
        <v>2</v>
      </c>
      <c r="D618">
        <v>5</v>
      </c>
      <c r="E618">
        <v>10</v>
      </c>
      <c r="F618" t="s">
        <v>10020</v>
      </c>
      <c r="G618" t="s">
        <v>10021</v>
      </c>
      <c r="H618" s="6">
        <v>45207</v>
      </c>
      <c r="I618">
        <f t="shared" si="18"/>
        <v>0</v>
      </c>
      <c r="J618" t="str">
        <f t="shared" si="19"/>
        <v>Complete</v>
      </c>
      <c r="K618">
        <f>COUNTIFS(RawData[Item], B618,RawData[Quantity],C618,RawData[Price Per Unit],D618,RawData[Total Spent],E618,RawData[Payment Method],F618,RawData[Location],G618,RawData[Transaction Date],H618)</f>
        <v>1</v>
      </c>
      <c r="L618"/>
    </row>
    <row r="619" spans="1:12" x14ac:dyDescent="0.3">
      <c r="A619" t="s">
        <v>625</v>
      </c>
      <c r="B619" t="s">
        <v>10014</v>
      </c>
      <c r="C619">
        <v>0</v>
      </c>
      <c r="D619">
        <v>4</v>
      </c>
      <c r="E619">
        <v>8</v>
      </c>
      <c r="F619" t="s">
        <v>10104</v>
      </c>
      <c r="G619" t="s">
        <v>10104</v>
      </c>
      <c r="H619" s="6">
        <v>45254</v>
      </c>
      <c r="I619">
        <f t="shared" si="18"/>
        <v>2</v>
      </c>
      <c r="J619" t="str">
        <f t="shared" si="19"/>
        <v>Complete</v>
      </c>
      <c r="K619">
        <f>COUNTIFS(RawData[Item], B619,RawData[Quantity],C619,RawData[Price Per Unit],D619,RawData[Total Spent],E619,RawData[Payment Method],F619,RawData[Location],G619,RawData[Transaction Date],H619)</f>
        <v>1</v>
      </c>
      <c r="L619"/>
    </row>
    <row r="620" spans="1:12" x14ac:dyDescent="0.3">
      <c r="A620" t="s">
        <v>626</v>
      </c>
      <c r="B620" t="s">
        <v>10010</v>
      </c>
      <c r="C620">
        <v>0</v>
      </c>
      <c r="D620">
        <v>1</v>
      </c>
      <c r="E620">
        <v>5</v>
      </c>
      <c r="F620" t="s">
        <v>10020</v>
      </c>
      <c r="G620" t="s">
        <v>10021</v>
      </c>
      <c r="H620" s="6">
        <v>45045</v>
      </c>
      <c r="I620">
        <f t="shared" si="18"/>
        <v>0</v>
      </c>
      <c r="J620" t="str">
        <f t="shared" si="19"/>
        <v>Complete</v>
      </c>
      <c r="K620">
        <f>COUNTIFS(RawData[Item], B620,RawData[Quantity],C620,RawData[Price Per Unit],D620,RawData[Total Spent],E620,RawData[Payment Method],F620,RawData[Location],G620,RawData[Transaction Date],H620)</f>
        <v>1</v>
      </c>
      <c r="L620"/>
    </row>
    <row r="621" spans="1:12" x14ac:dyDescent="0.3">
      <c r="A621" t="s">
        <v>627</v>
      </c>
      <c r="B621" t="s">
        <v>10016</v>
      </c>
      <c r="C621">
        <v>5</v>
      </c>
      <c r="D621">
        <v>3</v>
      </c>
      <c r="E621">
        <v>15</v>
      </c>
      <c r="F621" t="s">
        <v>10020</v>
      </c>
      <c r="G621" t="s">
        <v>10069</v>
      </c>
      <c r="H621" s="6" t="s">
        <v>10112</v>
      </c>
      <c r="I621">
        <f t="shared" si="18"/>
        <v>1</v>
      </c>
      <c r="J621" t="str">
        <f t="shared" si="19"/>
        <v>Incomplete</v>
      </c>
      <c r="K621">
        <f>COUNTIFS(RawData[Item], B621,RawData[Quantity],C621,RawData[Price Per Unit],D621,RawData[Total Spent],E621,RawData[Payment Method],F621,RawData[Location],G621,RawData[Transaction Date],H621)</f>
        <v>1</v>
      </c>
      <c r="L621"/>
    </row>
    <row r="622" spans="1:12" x14ac:dyDescent="0.3">
      <c r="A622" t="s">
        <v>628</v>
      </c>
      <c r="B622" t="s">
        <v>10011</v>
      </c>
      <c r="C622">
        <v>4</v>
      </c>
      <c r="D622">
        <v>5</v>
      </c>
      <c r="E622">
        <v>20</v>
      </c>
      <c r="F622" t="s">
        <v>10020</v>
      </c>
      <c r="G622" t="s">
        <v>10021</v>
      </c>
      <c r="H622" s="6">
        <v>44940</v>
      </c>
      <c r="I622">
        <f t="shared" si="18"/>
        <v>0</v>
      </c>
      <c r="J622" t="str">
        <f t="shared" si="19"/>
        <v>Complete</v>
      </c>
      <c r="K622">
        <f>COUNTIFS(RawData[Item], B622,RawData[Quantity],C622,RawData[Price Per Unit],D622,RawData[Total Spent],E622,RawData[Payment Method],F622,RawData[Location],G622,RawData[Transaction Date],H622)</f>
        <v>2</v>
      </c>
      <c r="L622"/>
    </row>
    <row r="623" spans="1:12" x14ac:dyDescent="0.3">
      <c r="A623" t="s">
        <v>629</v>
      </c>
      <c r="B623" t="s">
        <v>10017</v>
      </c>
      <c r="C623">
        <v>4</v>
      </c>
      <c r="D623">
        <v>1.5</v>
      </c>
      <c r="E623">
        <v>6</v>
      </c>
      <c r="F623" t="s">
        <v>10069</v>
      </c>
      <c r="G623" t="s">
        <v>10103</v>
      </c>
      <c r="H623" s="6">
        <v>45262</v>
      </c>
      <c r="I623">
        <f t="shared" si="18"/>
        <v>1</v>
      </c>
      <c r="J623" t="str">
        <f t="shared" si="19"/>
        <v>Complete</v>
      </c>
      <c r="K623">
        <f>COUNTIFS(RawData[Item], B623,RawData[Quantity],C623,RawData[Price Per Unit],D623,RawData[Total Spent],E623,RawData[Payment Method],F623,RawData[Location],G623,RawData[Transaction Date],H623)</f>
        <v>1</v>
      </c>
      <c r="L623"/>
    </row>
    <row r="624" spans="1:12" x14ac:dyDescent="0.3">
      <c r="A624" t="s">
        <v>630</v>
      </c>
      <c r="B624" t="s">
        <v>10011</v>
      </c>
      <c r="C624">
        <v>2</v>
      </c>
      <c r="D624">
        <v>5</v>
      </c>
      <c r="E624">
        <v>10</v>
      </c>
      <c r="F624" t="s">
        <v>10018</v>
      </c>
      <c r="G624" t="s">
        <v>10069</v>
      </c>
      <c r="H624" s="6">
        <v>45032</v>
      </c>
      <c r="I624">
        <f t="shared" si="18"/>
        <v>0</v>
      </c>
      <c r="J624" t="str">
        <f t="shared" si="19"/>
        <v>Complete</v>
      </c>
      <c r="K624">
        <f>COUNTIFS(RawData[Item], B624,RawData[Quantity],C624,RawData[Price Per Unit],D624,RawData[Total Spent],E624,RawData[Payment Method],F624,RawData[Location],G624,RawData[Transaction Date],H624)</f>
        <v>1</v>
      </c>
      <c r="L624"/>
    </row>
    <row r="625" spans="1:12" x14ac:dyDescent="0.3">
      <c r="A625" t="s">
        <v>631</v>
      </c>
      <c r="B625" t="s">
        <v>10010</v>
      </c>
      <c r="C625">
        <v>1</v>
      </c>
      <c r="D625">
        <v>1</v>
      </c>
      <c r="E625">
        <v>1</v>
      </c>
      <c r="F625" t="s">
        <v>10020</v>
      </c>
      <c r="G625" t="s">
        <v>10021</v>
      </c>
      <c r="H625" s="6">
        <v>45118</v>
      </c>
      <c r="I625">
        <f t="shared" si="18"/>
        <v>0</v>
      </c>
      <c r="J625" t="str">
        <f t="shared" si="19"/>
        <v>Complete</v>
      </c>
      <c r="K625">
        <f>COUNTIFS(RawData[Item], B625,RawData[Quantity],C625,RawData[Price Per Unit],D625,RawData[Total Spent],E625,RawData[Payment Method],F625,RawData[Location],G625,RawData[Transaction Date],H625)</f>
        <v>1</v>
      </c>
      <c r="L625"/>
    </row>
    <row r="626" spans="1:12" x14ac:dyDescent="0.3">
      <c r="A626" t="s">
        <v>632</v>
      </c>
      <c r="B626" t="s">
        <v>10011</v>
      </c>
      <c r="C626">
        <v>4</v>
      </c>
      <c r="D626">
        <v>5</v>
      </c>
      <c r="E626">
        <v>20</v>
      </c>
      <c r="F626" t="s">
        <v>10018</v>
      </c>
      <c r="G626" t="s">
        <v>10102</v>
      </c>
      <c r="H626" s="6">
        <v>45284</v>
      </c>
      <c r="I626">
        <f t="shared" si="18"/>
        <v>0</v>
      </c>
      <c r="J626" t="str">
        <f t="shared" si="19"/>
        <v>Complete</v>
      </c>
      <c r="K626">
        <f>COUNTIFS(RawData[Item], B626,RawData[Quantity],C626,RawData[Price Per Unit],D626,RawData[Total Spent],E626,RawData[Payment Method],F626,RawData[Location],G626,RawData[Transaction Date],H626)</f>
        <v>1</v>
      </c>
      <c r="L626"/>
    </row>
    <row r="627" spans="1:12" x14ac:dyDescent="0.3">
      <c r="A627" t="s">
        <v>633</v>
      </c>
      <c r="B627" t="s">
        <v>10011</v>
      </c>
      <c r="C627" t="s">
        <v>10015</v>
      </c>
      <c r="D627">
        <v>5</v>
      </c>
      <c r="E627">
        <v>10</v>
      </c>
      <c r="F627" t="s">
        <v>10018</v>
      </c>
      <c r="G627" t="s">
        <v>10104</v>
      </c>
      <c r="H627" s="6">
        <v>45206</v>
      </c>
      <c r="I627">
        <f t="shared" si="18"/>
        <v>2</v>
      </c>
      <c r="J627" t="str">
        <f t="shared" si="19"/>
        <v>Complete</v>
      </c>
      <c r="K627">
        <f>COUNTIFS(RawData[Item], B627,RawData[Quantity],C627,RawData[Price Per Unit],D627,RawData[Total Spent],E627,RawData[Payment Method],F627,RawData[Location],G627,RawData[Transaction Date],H627)</f>
        <v>1</v>
      </c>
      <c r="L627"/>
    </row>
    <row r="628" spans="1:12" x14ac:dyDescent="0.3">
      <c r="A628" t="s">
        <v>634</v>
      </c>
      <c r="B628" t="s">
        <v>10010</v>
      </c>
      <c r="C628">
        <v>1</v>
      </c>
      <c r="D628">
        <v>1</v>
      </c>
      <c r="E628">
        <v>1</v>
      </c>
      <c r="F628" t="s">
        <v>10020</v>
      </c>
      <c r="G628" t="s">
        <v>10102</v>
      </c>
      <c r="H628" s="6">
        <v>45224</v>
      </c>
      <c r="I628">
        <f t="shared" si="18"/>
        <v>0</v>
      </c>
      <c r="J628" t="str">
        <f t="shared" si="19"/>
        <v>Complete</v>
      </c>
      <c r="K628">
        <f>COUNTIFS(RawData[Item], B628,RawData[Quantity],C628,RawData[Price Per Unit],D628,RawData[Total Spent],E628,RawData[Payment Method],F628,RawData[Location],G628,RawData[Transaction Date],H628)</f>
        <v>1</v>
      </c>
      <c r="L628"/>
    </row>
    <row r="629" spans="1:12" x14ac:dyDescent="0.3">
      <c r="A629" t="s">
        <v>635</v>
      </c>
      <c r="B629" t="s">
        <v>10013</v>
      </c>
      <c r="C629">
        <v>3</v>
      </c>
      <c r="D629">
        <v>1</v>
      </c>
      <c r="E629">
        <v>3</v>
      </c>
      <c r="F629" t="s">
        <v>10020</v>
      </c>
      <c r="G629" t="s">
        <v>10102</v>
      </c>
      <c r="H629" s="6">
        <v>45204</v>
      </c>
      <c r="I629">
        <f t="shared" si="18"/>
        <v>1</v>
      </c>
      <c r="J629" t="str">
        <f t="shared" si="19"/>
        <v>Complete</v>
      </c>
      <c r="K629">
        <f>COUNTIFS(RawData[Item], B629,RawData[Quantity],C629,RawData[Price Per Unit],D629,RawData[Total Spent],E629,RawData[Payment Method],F629,RawData[Location],G629,RawData[Transaction Date],H629)</f>
        <v>1</v>
      </c>
      <c r="L629"/>
    </row>
    <row r="630" spans="1:12" x14ac:dyDescent="0.3">
      <c r="A630" t="s">
        <v>636</v>
      </c>
      <c r="B630" t="s">
        <v>10017</v>
      </c>
      <c r="C630">
        <v>2</v>
      </c>
      <c r="D630">
        <v>1.5</v>
      </c>
      <c r="E630">
        <v>3</v>
      </c>
      <c r="F630" t="s">
        <v>10020</v>
      </c>
      <c r="G630" t="s">
        <v>10069</v>
      </c>
      <c r="H630" s="6">
        <v>45073</v>
      </c>
      <c r="I630">
        <f t="shared" si="18"/>
        <v>0</v>
      </c>
      <c r="J630" t="str">
        <f t="shared" si="19"/>
        <v>Complete</v>
      </c>
      <c r="K630">
        <f>COUNTIFS(RawData[Item], B630,RawData[Quantity],C630,RawData[Price Per Unit],D630,RawData[Total Spent],E630,RawData[Payment Method],F630,RawData[Location],G630,RawData[Transaction Date],H630)</f>
        <v>1</v>
      </c>
      <c r="L630"/>
    </row>
    <row r="631" spans="1:12" x14ac:dyDescent="0.3">
      <c r="A631" t="s">
        <v>637</v>
      </c>
      <c r="B631" t="s">
        <v>10009</v>
      </c>
      <c r="C631" t="s">
        <v>10015</v>
      </c>
      <c r="D631">
        <v>0</v>
      </c>
      <c r="E631">
        <v>12</v>
      </c>
      <c r="F631" t="s">
        <v>10020</v>
      </c>
      <c r="G631" t="s">
        <v>10102</v>
      </c>
      <c r="H631" s="6">
        <v>45290</v>
      </c>
      <c r="I631">
        <f t="shared" si="18"/>
        <v>1</v>
      </c>
      <c r="J631" t="str">
        <f t="shared" si="19"/>
        <v>Complete</v>
      </c>
      <c r="K631">
        <f>COUNTIFS(RawData[Item], B631,RawData[Quantity],C631,RawData[Price Per Unit],D631,RawData[Total Spent],E631,RawData[Payment Method],F631,RawData[Location],G631,RawData[Transaction Date],H631)</f>
        <v>1</v>
      </c>
      <c r="L631"/>
    </row>
    <row r="632" spans="1:12" x14ac:dyDescent="0.3">
      <c r="A632" t="s">
        <v>638</v>
      </c>
      <c r="B632" t="s">
        <v>10009</v>
      </c>
      <c r="C632">
        <v>1</v>
      </c>
      <c r="D632">
        <v>3</v>
      </c>
      <c r="E632">
        <v>3</v>
      </c>
      <c r="F632" t="s">
        <v>10020</v>
      </c>
      <c r="G632" t="s">
        <v>10069</v>
      </c>
      <c r="H632" s="6">
        <v>45128</v>
      </c>
      <c r="I632">
        <f t="shared" si="18"/>
        <v>0</v>
      </c>
      <c r="J632" t="str">
        <f t="shared" si="19"/>
        <v>Complete</v>
      </c>
      <c r="K632">
        <f>COUNTIFS(RawData[Item], B632,RawData[Quantity],C632,RawData[Price Per Unit],D632,RawData[Total Spent],E632,RawData[Payment Method],F632,RawData[Location],G632,RawData[Transaction Date],H632)</f>
        <v>1</v>
      </c>
      <c r="L632"/>
    </row>
    <row r="633" spans="1:12" x14ac:dyDescent="0.3">
      <c r="A633" t="s">
        <v>639</v>
      </c>
      <c r="B633" t="s">
        <v>10009</v>
      </c>
      <c r="C633">
        <v>2</v>
      </c>
      <c r="D633">
        <v>3</v>
      </c>
      <c r="E633">
        <v>6</v>
      </c>
      <c r="F633" t="s">
        <v>10019</v>
      </c>
      <c r="G633" t="s">
        <v>10069</v>
      </c>
      <c r="H633" s="6">
        <v>45231</v>
      </c>
      <c r="I633">
        <f t="shared" si="18"/>
        <v>0</v>
      </c>
      <c r="J633" t="str">
        <f t="shared" si="19"/>
        <v>Complete</v>
      </c>
      <c r="K633">
        <f>COUNTIFS(RawData[Item], B633,RawData[Quantity],C633,RawData[Price Per Unit],D633,RawData[Total Spent],E633,RawData[Payment Method],F633,RawData[Location],G633,RawData[Transaction Date],H633)</f>
        <v>1</v>
      </c>
      <c r="L633"/>
    </row>
    <row r="634" spans="1:12" x14ac:dyDescent="0.3">
      <c r="A634" t="s">
        <v>640</v>
      </c>
      <c r="B634" t="s">
        <v>10009</v>
      </c>
      <c r="C634">
        <v>5</v>
      </c>
      <c r="D634">
        <v>3</v>
      </c>
      <c r="E634">
        <v>15</v>
      </c>
      <c r="F634" t="s">
        <v>10018</v>
      </c>
      <c r="G634" t="s">
        <v>10021</v>
      </c>
      <c r="H634" s="6">
        <v>45224</v>
      </c>
      <c r="I634">
        <f t="shared" si="18"/>
        <v>0</v>
      </c>
      <c r="J634" t="str">
        <f t="shared" si="19"/>
        <v>Complete</v>
      </c>
      <c r="K634">
        <f>COUNTIFS(RawData[Item], B634,RawData[Quantity],C634,RawData[Price Per Unit],D634,RawData[Total Spent],E634,RawData[Payment Method],F634,RawData[Location],G634,RawData[Transaction Date],H634)</f>
        <v>1</v>
      </c>
      <c r="L634"/>
    </row>
    <row r="635" spans="1:12" x14ac:dyDescent="0.3">
      <c r="A635" t="s">
        <v>641</v>
      </c>
      <c r="B635" t="s">
        <v>10011</v>
      </c>
      <c r="C635">
        <v>1</v>
      </c>
      <c r="D635" t="s">
        <v>10015</v>
      </c>
      <c r="E635">
        <v>5</v>
      </c>
      <c r="F635" t="s">
        <v>10069</v>
      </c>
      <c r="G635" t="s">
        <v>10102</v>
      </c>
      <c r="H635" s="6">
        <v>45037</v>
      </c>
      <c r="I635">
        <f t="shared" si="18"/>
        <v>1</v>
      </c>
      <c r="J635" t="str">
        <f t="shared" si="19"/>
        <v>Complete</v>
      </c>
      <c r="K635">
        <f>COUNTIFS(RawData[Item], B635,RawData[Quantity],C635,RawData[Price Per Unit],D635,RawData[Total Spent],E635,RawData[Payment Method],F635,RawData[Location],G635,RawData[Transaction Date],H635)</f>
        <v>1</v>
      </c>
      <c r="L635"/>
    </row>
    <row r="636" spans="1:12" x14ac:dyDescent="0.3">
      <c r="A636" t="s">
        <v>642</v>
      </c>
      <c r="B636" t="s">
        <v>10008</v>
      </c>
      <c r="C636">
        <v>4</v>
      </c>
      <c r="D636">
        <v>2</v>
      </c>
      <c r="E636">
        <v>8</v>
      </c>
      <c r="F636" t="s">
        <v>10018</v>
      </c>
      <c r="G636" t="s">
        <v>10069</v>
      </c>
      <c r="H636" s="6">
        <v>44976</v>
      </c>
      <c r="I636">
        <f t="shared" si="18"/>
        <v>0</v>
      </c>
      <c r="J636" t="str">
        <f t="shared" si="19"/>
        <v>Complete</v>
      </c>
      <c r="K636">
        <f>COUNTIFS(RawData[Item], B636,RawData[Quantity],C636,RawData[Price Per Unit],D636,RawData[Total Spent],E636,RawData[Payment Method],F636,RawData[Location],G636,RawData[Transaction Date],H636)</f>
        <v>1</v>
      </c>
      <c r="L636"/>
    </row>
    <row r="637" spans="1:12" x14ac:dyDescent="0.3">
      <c r="A637" t="s">
        <v>643</v>
      </c>
      <c r="B637" t="s">
        <v>10010</v>
      </c>
      <c r="C637">
        <v>3</v>
      </c>
      <c r="D637">
        <v>1</v>
      </c>
      <c r="E637">
        <v>3</v>
      </c>
      <c r="F637" t="s">
        <v>10019</v>
      </c>
      <c r="G637" t="s">
        <v>10021</v>
      </c>
      <c r="H637" s="6">
        <v>45218</v>
      </c>
      <c r="I637">
        <f t="shared" si="18"/>
        <v>0</v>
      </c>
      <c r="J637" t="str">
        <f t="shared" si="19"/>
        <v>Complete</v>
      </c>
      <c r="K637">
        <f>COUNTIFS(RawData[Item], B637,RawData[Quantity],C637,RawData[Price Per Unit],D637,RawData[Total Spent],E637,RawData[Payment Method],F637,RawData[Location],G637,RawData[Transaction Date],H637)</f>
        <v>1</v>
      </c>
      <c r="L637"/>
    </row>
    <row r="638" spans="1:12" x14ac:dyDescent="0.3">
      <c r="A638" t="s">
        <v>644</v>
      </c>
      <c r="B638" t="s">
        <v>10011</v>
      </c>
      <c r="C638">
        <v>2</v>
      </c>
      <c r="D638">
        <v>5</v>
      </c>
      <c r="E638">
        <v>10</v>
      </c>
      <c r="F638" t="s">
        <v>10019</v>
      </c>
      <c r="G638" t="s">
        <v>10069</v>
      </c>
      <c r="H638" s="6">
        <v>45152</v>
      </c>
      <c r="I638">
        <f t="shared" si="18"/>
        <v>0</v>
      </c>
      <c r="J638" t="str">
        <f t="shared" si="19"/>
        <v>Complete</v>
      </c>
      <c r="K638">
        <f>COUNTIFS(RawData[Item], B638,RawData[Quantity],C638,RawData[Price Per Unit],D638,RawData[Total Spent],E638,RawData[Payment Method],F638,RawData[Location],G638,RawData[Transaction Date],H638)</f>
        <v>1</v>
      </c>
      <c r="L638"/>
    </row>
    <row r="639" spans="1:12" x14ac:dyDescent="0.3">
      <c r="A639" t="s">
        <v>645</v>
      </c>
      <c r="B639" t="s">
        <v>10016</v>
      </c>
      <c r="C639">
        <v>5</v>
      </c>
      <c r="D639">
        <v>3</v>
      </c>
      <c r="E639">
        <v>15</v>
      </c>
      <c r="F639" t="s">
        <v>10020</v>
      </c>
      <c r="G639" t="s">
        <v>10102</v>
      </c>
      <c r="H639" s="6">
        <v>45115</v>
      </c>
      <c r="I639">
        <f t="shared" si="18"/>
        <v>0</v>
      </c>
      <c r="J639" t="str">
        <f t="shared" si="19"/>
        <v>Complete</v>
      </c>
      <c r="K639">
        <f>COUNTIFS(RawData[Item], B639,RawData[Quantity],C639,RawData[Price Per Unit],D639,RawData[Total Spent],E639,RawData[Payment Method],F639,RawData[Location],G639,RawData[Transaction Date],H639)</f>
        <v>1</v>
      </c>
      <c r="L639"/>
    </row>
    <row r="640" spans="1:12" x14ac:dyDescent="0.3">
      <c r="A640" t="s">
        <v>646</v>
      </c>
      <c r="B640" t="s">
        <v>10014</v>
      </c>
      <c r="C640">
        <v>2</v>
      </c>
      <c r="D640">
        <v>4</v>
      </c>
      <c r="E640">
        <v>8</v>
      </c>
      <c r="F640" t="s">
        <v>10020</v>
      </c>
      <c r="G640" t="s">
        <v>10102</v>
      </c>
      <c r="H640" s="6">
        <v>45188</v>
      </c>
      <c r="I640">
        <f t="shared" si="18"/>
        <v>0</v>
      </c>
      <c r="J640" t="str">
        <f t="shared" si="19"/>
        <v>Complete</v>
      </c>
      <c r="K640">
        <f>COUNTIFS(RawData[Item], B640,RawData[Quantity],C640,RawData[Price Per Unit],D640,RawData[Total Spent],E640,RawData[Payment Method],F640,RawData[Location],G640,RawData[Transaction Date],H640)</f>
        <v>1</v>
      </c>
      <c r="L640"/>
    </row>
    <row r="641" spans="1:12" x14ac:dyDescent="0.3">
      <c r="A641" t="s">
        <v>647</v>
      </c>
      <c r="B641" t="s">
        <v>10012</v>
      </c>
      <c r="C641">
        <v>1</v>
      </c>
      <c r="D641">
        <v>4</v>
      </c>
      <c r="E641">
        <v>4</v>
      </c>
      <c r="F641" t="s">
        <v>10018</v>
      </c>
      <c r="G641" t="s">
        <v>10102</v>
      </c>
      <c r="H641" s="6">
        <v>45083</v>
      </c>
      <c r="I641">
        <f t="shared" si="18"/>
        <v>0</v>
      </c>
      <c r="J641" t="str">
        <f t="shared" si="19"/>
        <v>Complete</v>
      </c>
      <c r="K641">
        <f>COUNTIFS(RawData[Item], B641,RawData[Quantity],C641,RawData[Price Per Unit],D641,RawData[Total Spent],E641,RawData[Payment Method],F641,RawData[Location],G641,RawData[Transaction Date],H641)</f>
        <v>1</v>
      </c>
      <c r="L641"/>
    </row>
    <row r="642" spans="1:12" x14ac:dyDescent="0.3">
      <c r="A642" t="s">
        <v>648</v>
      </c>
      <c r="B642" t="s">
        <v>10017</v>
      </c>
      <c r="C642">
        <v>5</v>
      </c>
      <c r="D642">
        <v>1.5</v>
      </c>
      <c r="E642">
        <v>7.5</v>
      </c>
      <c r="F642" t="s">
        <v>10020</v>
      </c>
      <c r="G642" t="s">
        <v>10069</v>
      </c>
      <c r="H642" s="6">
        <v>45276</v>
      </c>
      <c r="I642">
        <f t="shared" ref="I642:I705" si="20">(B642="Unknown")+(B642="Error")+(C642="Unknown")+(C642="Error")+(D642="Unknown")+(D642="Error")+(E642="Unknown")+(E642="Error")+(F642="Unknown")+(F642="Error")+(G642="Unknown")+(G642="Error")+(H642="No Date")</f>
        <v>0</v>
      </c>
      <c r="J642" t="str">
        <f t="shared" ref="J642:J705" si="21">IF((H642="No Date"),"Incomplete","Complete")</f>
        <v>Complete</v>
      </c>
      <c r="K642">
        <f>COUNTIFS(RawData[Item], B642,RawData[Quantity],C642,RawData[Price Per Unit],D642,RawData[Total Spent],E642,RawData[Payment Method],F642,RawData[Location],G642,RawData[Transaction Date],H642)</f>
        <v>1</v>
      </c>
      <c r="L642"/>
    </row>
    <row r="643" spans="1:12" x14ac:dyDescent="0.3">
      <c r="A643" t="s">
        <v>649</v>
      </c>
      <c r="B643" t="s">
        <v>10016</v>
      </c>
      <c r="C643" t="s">
        <v>10013</v>
      </c>
      <c r="D643">
        <v>3</v>
      </c>
      <c r="E643" t="s">
        <v>10015</v>
      </c>
      <c r="F643" t="s">
        <v>10069</v>
      </c>
      <c r="G643" t="s">
        <v>10069</v>
      </c>
      <c r="H643" s="6">
        <v>45002</v>
      </c>
      <c r="I643">
        <f t="shared" si="20"/>
        <v>2</v>
      </c>
      <c r="J643" t="str">
        <f t="shared" si="21"/>
        <v>Complete</v>
      </c>
      <c r="K643">
        <f>COUNTIFS(RawData[Item], B643,RawData[Quantity],C643,RawData[Price Per Unit],D643,RawData[Total Spent],E643,RawData[Payment Method],F643,RawData[Location],G643,RawData[Transaction Date],H643)</f>
        <v>1</v>
      </c>
      <c r="L643"/>
    </row>
    <row r="644" spans="1:12" x14ac:dyDescent="0.3">
      <c r="A644" t="s">
        <v>650</v>
      </c>
      <c r="B644" t="s">
        <v>10016</v>
      </c>
      <c r="C644">
        <v>1</v>
      </c>
      <c r="D644">
        <v>3</v>
      </c>
      <c r="E644">
        <v>3</v>
      </c>
      <c r="F644" t="s">
        <v>10069</v>
      </c>
      <c r="G644" t="s">
        <v>10102</v>
      </c>
      <c r="H644" s="6">
        <v>45265</v>
      </c>
      <c r="I644">
        <f t="shared" si="20"/>
        <v>0</v>
      </c>
      <c r="J644" t="str">
        <f t="shared" si="21"/>
        <v>Complete</v>
      </c>
      <c r="K644">
        <f>COUNTIFS(RawData[Item], B644,RawData[Quantity],C644,RawData[Price Per Unit],D644,RawData[Total Spent],E644,RawData[Payment Method],F644,RawData[Location],G644,RawData[Transaction Date],H644)</f>
        <v>2</v>
      </c>
      <c r="L644"/>
    </row>
    <row r="645" spans="1:12" x14ac:dyDescent="0.3">
      <c r="A645" t="s">
        <v>651</v>
      </c>
      <c r="B645" t="s">
        <v>10016</v>
      </c>
      <c r="C645">
        <v>4</v>
      </c>
      <c r="D645">
        <v>0</v>
      </c>
      <c r="E645">
        <v>12</v>
      </c>
      <c r="F645" t="s">
        <v>10018</v>
      </c>
      <c r="G645" t="s">
        <v>10021</v>
      </c>
      <c r="H645" s="6">
        <v>44938</v>
      </c>
      <c r="I645">
        <f t="shared" si="20"/>
        <v>0</v>
      </c>
      <c r="J645" t="str">
        <f t="shared" si="21"/>
        <v>Complete</v>
      </c>
      <c r="K645">
        <f>COUNTIFS(RawData[Item], B645,RawData[Quantity],C645,RawData[Price Per Unit],D645,RawData[Total Spent],E645,RawData[Payment Method],F645,RawData[Location],G645,RawData[Transaction Date],H645)</f>
        <v>1</v>
      </c>
      <c r="L645"/>
    </row>
    <row r="646" spans="1:12" x14ac:dyDescent="0.3">
      <c r="A646" t="s">
        <v>652</v>
      </c>
      <c r="B646" t="s">
        <v>10014</v>
      </c>
      <c r="C646">
        <v>3</v>
      </c>
      <c r="D646">
        <v>4</v>
      </c>
      <c r="E646">
        <v>12</v>
      </c>
      <c r="F646" t="s">
        <v>10020</v>
      </c>
      <c r="G646" t="s">
        <v>10102</v>
      </c>
      <c r="H646" s="6">
        <v>45173</v>
      </c>
      <c r="I646">
        <f t="shared" si="20"/>
        <v>0</v>
      </c>
      <c r="J646" t="str">
        <f t="shared" si="21"/>
        <v>Complete</v>
      </c>
      <c r="K646">
        <f>COUNTIFS(RawData[Item], B646,RawData[Quantity],C646,RawData[Price Per Unit],D646,RawData[Total Spent],E646,RawData[Payment Method],F646,RawData[Location],G646,RawData[Transaction Date],H646)</f>
        <v>1</v>
      </c>
      <c r="L646"/>
    </row>
    <row r="647" spans="1:12" x14ac:dyDescent="0.3">
      <c r="A647" t="s">
        <v>653</v>
      </c>
      <c r="B647" t="s">
        <v>10016</v>
      </c>
      <c r="C647">
        <v>0</v>
      </c>
      <c r="D647">
        <v>3</v>
      </c>
      <c r="E647">
        <v>6</v>
      </c>
      <c r="F647" t="s">
        <v>10069</v>
      </c>
      <c r="G647" t="s">
        <v>10102</v>
      </c>
      <c r="H647" s="6">
        <v>45246</v>
      </c>
      <c r="I647">
        <f t="shared" si="20"/>
        <v>0</v>
      </c>
      <c r="J647" t="str">
        <f t="shared" si="21"/>
        <v>Complete</v>
      </c>
      <c r="K647">
        <f>COUNTIFS(RawData[Item], B647,RawData[Quantity],C647,RawData[Price Per Unit],D647,RawData[Total Spent],E647,RawData[Payment Method],F647,RawData[Location],G647,RawData[Transaction Date],H647)</f>
        <v>1</v>
      </c>
      <c r="L647"/>
    </row>
    <row r="648" spans="1:12" x14ac:dyDescent="0.3">
      <c r="A648" t="s">
        <v>654</v>
      </c>
      <c r="B648" t="s">
        <v>10012</v>
      </c>
      <c r="C648">
        <v>1</v>
      </c>
      <c r="D648">
        <v>4</v>
      </c>
      <c r="E648">
        <v>4</v>
      </c>
      <c r="F648" t="s">
        <v>10104</v>
      </c>
      <c r="G648" t="s">
        <v>10021</v>
      </c>
      <c r="H648" s="6">
        <v>45030</v>
      </c>
      <c r="I648">
        <f t="shared" si="20"/>
        <v>1</v>
      </c>
      <c r="J648" t="str">
        <f t="shared" si="21"/>
        <v>Complete</v>
      </c>
      <c r="K648">
        <f>COUNTIFS(RawData[Item], B648,RawData[Quantity],C648,RawData[Price Per Unit],D648,RawData[Total Spent],E648,RawData[Payment Method],F648,RawData[Location],G648,RawData[Transaction Date],H648)</f>
        <v>1</v>
      </c>
      <c r="L648"/>
    </row>
    <row r="649" spans="1:12" x14ac:dyDescent="0.3">
      <c r="A649" t="s">
        <v>655</v>
      </c>
      <c r="B649" t="s">
        <v>10069</v>
      </c>
      <c r="C649">
        <v>4</v>
      </c>
      <c r="D649">
        <v>3</v>
      </c>
      <c r="E649">
        <v>12</v>
      </c>
      <c r="F649" t="s">
        <v>10069</v>
      </c>
      <c r="G649" t="s">
        <v>10021</v>
      </c>
      <c r="H649" s="6">
        <v>45231</v>
      </c>
      <c r="I649">
        <f t="shared" si="20"/>
        <v>0</v>
      </c>
      <c r="J649" t="str">
        <f t="shared" si="21"/>
        <v>Complete</v>
      </c>
      <c r="K649">
        <f>COUNTIFS(RawData[Item], B649,RawData[Quantity],C649,RawData[Price Per Unit],D649,RawData[Total Spent],E649,RawData[Payment Method],F649,RawData[Location],G649,RawData[Transaction Date],H649)</f>
        <v>1</v>
      </c>
      <c r="L649"/>
    </row>
    <row r="650" spans="1:12" x14ac:dyDescent="0.3">
      <c r="A650" t="s">
        <v>656</v>
      </c>
      <c r="B650" t="s">
        <v>10011</v>
      </c>
      <c r="C650">
        <v>4</v>
      </c>
      <c r="D650">
        <v>0</v>
      </c>
      <c r="E650">
        <v>20</v>
      </c>
      <c r="F650" t="s">
        <v>10020</v>
      </c>
      <c r="G650" t="s">
        <v>10069</v>
      </c>
      <c r="H650" s="6">
        <v>45213</v>
      </c>
      <c r="I650">
        <f t="shared" si="20"/>
        <v>0</v>
      </c>
      <c r="J650" t="str">
        <f t="shared" si="21"/>
        <v>Complete</v>
      </c>
      <c r="K650">
        <f>COUNTIFS(RawData[Item], B650,RawData[Quantity],C650,RawData[Price Per Unit],D650,RawData[Total Spent],E650,RawData[Payment Method],F650,RawData[Location],G650,RawData[Transaction Date],H650)</f>
        <v>1</v>
      </c>
      <c r="L650"/>
    </row>
    <row r="651" spans="1:12" x14ac:dyDescent="0.3">
      <c r="A651" t="s">
        <v>657</v>
      </c>
      <c r="B651" t="s">
        <v>10017</v>
      </c>
      <c r="C651">
        <v>4</v>
      </c>
      <c r="D651">
        <v>1.5</v>
      </c>
      <c r="E651">
        <v>6</v>
      </c>
      <c r="F651" t="s">
        <v>10069</v>
      </c>
      <c r="G651" t="s">
        <v>10102</v>
      </c>
      <c r="H651" s="6">
        <v>44991</v>
      </c>
      <c r="I651">
        <f t="shared" si="20"/>
        <v>0</v>
      </c>
      <c r="J651" t="str">
        <f t="shared" si="21"/>
        <v>Complete</v>
      </c>
      <c r="K651">
        <f>COUNTIFS(RawData[Item], B651,RawData[Quantity],C651,RawData[Price Per Unit],D651,RawData[Total Spent],E651,RawData[Payment Method],F651,RawData[Location],G651,RawData[Transaction Date],H651)</f>
        <v>1</v>
      </c>
      <c r="L651"/>
    </row>
    <row r="652" spans="1:12" x14ac:dyDescent="0.3">
      <c r="A652" t="s">
        <v>658</v>
      </c>
      <c r="B652" t="s">
        <v>10014</v>
      </c>
      <c r="C652">
        <v>3</v>
      </c>
      <c r="D652">
        <v>4</v>
      </c>
      <c r="E652">
        <v>12</v>
      </c>
      <c r="F652" t="s">
        <v>10020</v>
      </c>
      <c r="G652" t="s">
        <v>10021</v>
      </c>
      <c r="H652" s="6">
        <v>45105</v>
      </c>
      <c r="I652">
        <f t="shared" si="20"/>
        <v>0</v>
      </c>
      <c r="J652" t="str">
        <f t="shared" si="21"/>
        <v>Complete</v>
      </c>
      <c r="K652">
        <f>COUNTIFS(RawData[Item], B652,RawData[Quantity],C652,RawData[Price Per Unit],D652,RawData[Total Spent],E652,RawData[Payment Method],F652,RawData[Location],G652,RawData[Transaction Date],H652)</f>
        <v>1</v>
      </c>
      <c r="L652"/>
    </row>
    <row r="653" spans="1:12" x14ac:dyDescent="0.3">
      <c r="A653" t="s">
        <v>659</v>
      </c>
      <c r="B653" t="s">
        <v>10014</v>
      </c>
      <c r="C653">
        <v>5</v>
      </c>
      <c r="D653">
        <v>4</v>
      </c>
      <c r="E653">
        <v>20</v>
      </c>
      <c r="F653" t="s">
        <v>10020</v>
      </c>
      <c r="G653" t="s">
        <v>10102</v>
      </c>
      <c r="H653" s="6">
        <v>45178</v>
      </c>
      <c r="I653">
        <f t="shared" si="20"/>
        <v>0</v>
      </c>
      <c r="J653" t="str">
        <f t="shared" si="21"/>
        <v>Complete</v>
      </c>
      <c r="K653">
        <f>COUNTIFS(RawData[Item], B653,RawData[Quantity],C653,RawData[Price Per Unit],D653,RawData[Total Spent],E653,RawData[Payment Method],F653,RawData[Location],G653,RawData[Transaction Date],H653)</f>
        <v>1</v>
      </c>
      <c r="L653"/>
    </row>
    <row r="654" spans="1:12" x14ac:dyDescent="0.3">
      <c r="A654" t="s">
        <v>660</v>
      </c>
      <c r="B654" t="s">
        <v>10011</v>
      </c>
      <c r="C654">
        <v>1</v>
      </c>
      <c r="D654">
        <v>5</v>
      </c>
      <c r="E654">
        <v>5</v>
      </c>
      <c r="F654" t="s">
        <v>10019</v>
      </c>
      <c r="G654" t="s">
        <v>10103</v>
      </c>
      <c r="H654" s="6">
        <v>44935</v>
      </c>
      <c r="I654">
        <f t="shared" si="20"/>
        <v>1</v>
      </c>
      <c r="J654" t="str">
        <f t="shared" si="21"/>
        <v>Complete</v>
      </c>
      <c r="K654">
        <f>COUNTIFS(RawData[Item], B654,RawData[Quantity],C654,RawData[Price Per Unit],D654,RawData[Total Spent],E654,RawData[Payment Method],F654,RawData[Location],G654,RawData[Transaction Date],H654)</f>
        <v>1</v>
      </c>
      <c r="L654"/>
    </row>
    <row r="655" spans="1:12" x14ac:dyDescent="0.3">
      <c r="A655" t="s">
        <v>661</v>
      </c>
      <c r="B655" t="s">
        <v>10011</v>
      </c>
      <c r="C655">
        <v>3</v>
      </c>
      <c r="D655">
        <v>5</v>
      </c>
      <c r="E655">
        <v>15</v>
      </c>
      <c r="F655" t="s">
        <v>10019</v>
      </c>
      <c r="G655" t="s">
        <v>10069</v>
      </c>
      <c r="H655" s="6">
        <v>45245</v>
      </c>
      <c r="I655">
        <f t="shared" si="20"/>
        <v>0</v>
      </c>
      <c r="J655" t="str">
        <f t="shared" si="21"/>
        <v>Complete</v>
      </c>
      <c r="K655">
        <f>COUNTIFS(RawData[Item], B655,RawData[Quantity],C655,RawData[Price Per Unit],D655,RawData[Total Spent],E655,RawData[Payment Method],F655,RawData[Location],G655,RawData[Transaction Date],H655)</f>
        <v>1</v>
      </c>
      <c r="L655"/>
    </row>
    <row r="656" spans="1:12" x14ac:dyDescent="0.3">
      <c r="A656" t="s">
        <v>662</v>
      </c>
      <c r="B656" t="s">
        <v>10009</v>
      </c>
      <c r="C656">
        <v>3</v>
      </c>
      <c r="D656">
        <v>3</v>
      </c>
      <c r="E656">
        <v>9</v>
      </c>
      <c r="F656" t="s">
        <v>10069</v>
      </c>
      <c r="G656" t="s">
        <v>10102</v>
      </c>
      <c r="H656" s="6">
        <v>45200</v>
      </c>
      <c r="I656">
        <f t="shared" si="20"/>
        <v>0</v>
      </c>
      <c r="J656" t="str">
        <f t="shared" si="21"/>
        <v>Complete</v>
      </c>
      <c r="K656">
        <f>COUNTIFS(RawData[Item], B656,RawData[Quantity],C656,RawData[Price Per Unit],D656,RawData[Total Spent],E656,RawData[Payment Method],F656,RawData[Location],G656,RawData[Transaction Date],H656)</f>
        <v>1</v>
      </c>
      <c r="L656"/>
    </row>
    <row r="657" spans="1:12" x14ac:dyDescent="0.3">
      <c r="A657" t="s">
        <v>663</v>
      </c>
      <c r="B657" t="s">
        <v>10012</v>
      </c>
      <c r="C657">
        <v>2</v>
      </c>
      <c r="D657">
        <v>4</v>
      </c>
      <c r="E657">
        <v>8</v>
      </c>
      <c r="F657" t="s">
        <v>10020</v>
      </c>
      <c r="G657" t="s">
        <v>10102</v>
      </c>
      <c r="H657" s="6">
        <v>45129</v>
      </c>
      <c r="I657">
        <f t="shared" si="20"/>
        <v>0</v>
      </c>
      <c r="J657" t="str">
        <f t="shared" si="21"/>
        <v>Complete</v>
      </c>
      <c r="K657">
        <f>COUNTIFS(RawData[Item], B657,RawData[Quantity],C657,RawData[Price Per Unit],D657,RawData[Total Spent],E657,RawData[Payment Method],F657,RawData[Location],G657,RawData[Transaction Date],H657)</f>
        <v>1</v>
      </c>
      <c r="L657"/>
    </row>
    <row r="658" spans="1:12" x14ac:dyDescent="0.3">
      <c r="A658" t="s">
        <v>664</v>
      </c>
      <c r="B658" t="s">
        <v>10014</v>
      </c>
      <c r="C658">
        <v>5</v>
      </c>
      <c r="D658">
        <v>4</v>
      </c>
      <c r="E658">
        <v>20</v>
      </c>
      <c r="F658" t="s">
        <v>10019</v>
      </c>
      <c r="G658" t="s">
        <v>10102</v>
      </c>
      <c r="H658" s="6">
        <v>45031</v>
      </c>
      <c r="I658">
        <f t="shared" si="20"/>
        <v>0</v>
      </c>
      <c r="J658" t="str">
        <f t="shared" si="21"/>
        <v>Complete</v>
      </c>
      <c r="K658">
        <f>COUNTIFS(RawData[Item], B658,RawData[Quantity],C658,RawData[Price Per Unit],D658,RawData[Total Spent],E658,RawData[Payment Method],F658,RawData[Location],G658,RawData[Transaction Date],H658)</f>
        <v>1</v>
      </c>
      <c r="L658"/>
    </row>
    <row r="659" spans="1:12" x14ac:dyDescent="0.3">
      <c r="A659" t="s">
        <v>665</v>
      </c>
      <c r="B659" t="s">
        <v>10011</v>
      </c>
      <c r="C659">
        <v>1</v>
      </c>
      <c r="D659">
        <v>5</v>
      </c>
      <c r="E659">
        <v>5</v>
      </c>
      <c r="F659" t="s">
        <v>10018</v>
      </c>
      <c r="G659" t="s">
        <v>10069</v>
      </c>
      <c r="H659" s="6">
        <v>44958</v>
      </c>
      <c r="I659">
        <f t="shared" si="20"/>
        <v>0</v>
      </c>
      <c r="J659" t="str">
        <f t="shared" si="21"/>
        <v>Complete</v>
      </c>
      <c r="K659">
        <f>COUNTIFS(RawData[Item], B659,RawData[Quantity],C659,RawData[Price Per Unit],D659,RawData[Total Spent],E659,RawData[Payment Method],F659,RawData[Location],G659,RawData[Transaction Date],H659)</f>
        <v>1</v>
      </c>
      <c r="L659"/>
    </row>
    <row r="660" spans="1:12" x14ac:dyDescent="0.3">
      <c r="A660" t="s">
        <v>666</v>
      </c>
      <c r="B660" t="s">
        <v>10009</v>
      </c>
      <c r="C660">
        <v>3</v>
      </c>
      <c r="D660">
        <v>3</v>
      </c>
      <c r="E660">
        <v>9</v>
      </c>
      <c r="F660" t="s">
        <v>10019</v>
      </c>
      <c r="G660" t="s">
        <v>10021</v>
      </c>
      <c r="H660" s="6">
        <v>45115</v>
      </c>
      <c r="I660">
        <f t="shared" si="20"/>
        <v>0</v>
      </c>
      <c r="J660" t="str">
        <f t="shared" si="21"/>
        <v>Complete</v>
      </c>
      <c r="K660">
        <f>COUNTIFS(RawData[Item], B660,RawData[Quantity],C660,RawData[Price Per Unit],D660,RawData[Total Spent],E660,RawData[Payment Method],F660,RawData[Location],G660,RawData[Transaction Date],H660)</f>
        <v>1</v>
      </c>
      <c r="L660"/>
    </row>
    <row r="661" spans="1:12" x14ac:dyDescent="0.3">
      <c r="A661" t="s">
        <v>667</v>
      </c>
      <c r="B661" t="s">
        <v>10011</v>
      </c>
      <c r="C661">
        <v>5</v>
      </c>
      <c r="D661">
        <v>5</v>
      </c>
      <c r="E661">
        <v>25</v>
      </c>
      <c r="F661" t="s">
        <v>10018</v>
      </c>
      <c r="G661" t="s">
        <v>10102</v>
      </c>
      <c r="H661" s="6">
        <v>44977</v>
      </c>
      <c r="I661">
        <f t="shared" si="20"/>
        <v>0</v>
      </c>
      <c r="J661" t="str">
        <f t="shared" si="21"/>
        <v>Complete</v>
      </c>
      <c r="K661">
        <f>COUNTIFS(RawData[Item], B661,RawData[Quantity],C661,RawData[Price Per Unit],D661,RawData[Total Spent],E661,RawData[Payment Method],F661,RawData[Location],G661,RawData[Transaction Date],H661)</f>
        <v>1</v>
      </c>
      <c r="L661"/>
    </row>
    <row r="662" spans="1:12" x14ac:dyDescent="0.3">
      <c r="A662" t="s">
        <v>668</v>
      </c>
      <c r="B662" t="s">
        <v>10010</v>
      </c>
      <c r="C662">
        <v>4</v>
      </c>
      <c r="D662">
        <v>1</v>
      </c>
      <c r="E662">
        <v>4</v>
      </c>
      <c r="F662" t="s">
        <v>10069</v>
      </c>
      <c r="G662" t="s">
        <v>10021</v>
      </c>
      <c r="H662" s="6">
        <v>45159</v>
      </c>
      <c r="I662">
        <f t="shared" si="20"/>
        <v>0</v>
      </c>
      <c r="J662" t="str">
        <f t="shared" si="21"/>
        <v>Complete</v>
      </c>
      <c r="K662">
        <f>COUNTIFS(RawData[Item], B662,RawData[Quantity],C662,RawData[Price Per Unit],D662,RawData[Total Spent],E662,RawData[Payment Method],F662,RawData[Location],G662,RawData[Transaction Date],H662)</f>
        <v>1</v>
      </c>
      <c r="L662"/>
    </row>
    <row r="663" spans="1:12" x14ac:dyDescent="0.3">
      <c r="A663" t="s">
        <v>669</v>
      </c>
      <c r="B663" t="s">
        <v>10011</v>
      </c>
      <c r="C663">
        <v>0</v>
      </c>
      <c r="D663">
        <v>5</v>
      </c>
      <c r="E663">
        <v>15</v>
      </c>
      <c r="F663" t="s">
        <v>10018</v>
      </c>
      <c r="G663" t="s">
        <v>10069</v>
      </c>
      <c r="H663" s="6">
        <v>45083</v>
      </c>
      <c r="I663">
        <f t="shared" si="20"/>
        <v>0</v>
      </c>
      <c r="J663" t="str">
        <f t="shared" si="21"/>
        <v>Complete</v>
      </c>
      <c r="K663">
        <f>COUNTIFS(RawData[Item], B663,RawData[Quantity],C663,RawData[Price Per Unit],D663,RawData[Total Spent],E663,RawData[Payment Method],F663,RawData[Location],G663,RawData[Transaction Date],H663)</f>
        <v>1</v>
      </c>
      <c r="L663"/>
    </row>
    <row r="664" spans="1:12" x14ac:dyDescent="0.3">
      <c r="A664" t="s">
        <v>670</v>
      </c>
      <c r="B664" t="s">
        <v>10017</v>
      </c>
      <c r="C664">
        <v>2</v>
      </c>
      <c r="D664">
        <v>1.5</v>
      </c>
      <c r="E664">
        <v>3</v>
      </c>
      <c r="F664" t="s">
        <v>10020</v>
      </c>
      <c r="G664" t="s">
        <v>10021</v>
      </c>
      <c r="H664" s="6">
        <v>45274</v>
      </c>
      <c r="I664">
        <f t="shared" si="20"/>
        <v>0</v>
      </c>
      <c r="J664" t="str">
        <f t="shared" si="21"/>
        <v>Complete</v>
      </c>
      <c r="K664">
        <f>COUNTIFS(RawData[Item], B664,RawData[Quantity],C664,RawData[Price Per Unit],D664,RawData[Total Spent],E664,RawData[Payment Method],F664,RawData[Location],G664,RawData[Transaction Date],H664)</f>
        <v>1</v>
      </c>
      <c r="L664"/>
    </row>
    <row r="665" spans="1:12" x14ac:dyDescent="0.3">
      <c r="A665" t="s">
        <v>671</v>
      </c>
      <c r="B665" t="s">
        <v>10069</v>
      </c>
      <c r="C665">
        <v>3</v>
      </c>
      <c r="D665">
        <v>2</v>
      </c>
      <c r="E665">
        <v>6</v>
      </c>
      <c r="F665" t="s">
        <v>10069</v>
      </c>
      <c r="G665" t="s">
        <v>10069</v>
      </c>
      <c r="H665" s="6">
        <v>45004</v>
      </c>
      <c r="I665">
        <f t="shared" si="20"/>
        <v>0</v>
      </c>
      <c r="J665" t="str">
        <f t="shared" si="21"/>
        <v>Complete</v>
      </c>
      <c r="K665">
        <f>COUNTIFS(RawData[Item], B665,RawData[Quantity],C665,RawData[Price Per Unit],D665,RawData[Total Spent],E665,RawData[Payment Method],F665,RawData[Location],G665,RawData[Transaction Date],H665)</f>
        <v>1</v>
      </c>
      <c r="L665"/>
    </row>
    <row r="666" spans="1:12" x14ac:dyDescent="0.3">
      <c r="A666" t="s">
        <v>672</v>
      </c>
      <c r="B666" t="s">
        <v>10010</v>
      </c>
      <c r="C666">
        <v>3</v>
      </c>
      <c r="D666">
        <v>1</v>
      </c>
      <c r="E666">
        <v>3</v>
      </c>
      <c r="F666" t="s">
        <v>10069</v>
      </c>
      <c r="G666" t="s">
        <v>10021</v>
      </c>
      <c r="H666" s="6">
        <v>45108</v>
      </c>
      <c r="I666">
        <f t="shared" si="20"/>
        <v>0</v>
      </c>
      <c r="J666" t="str">
        <f t="shared" si="21"/>
        <v>Complete</v>
      </c>
      <c r="K666">
        <f>COUNTIFS(RawData[Item], B666,RawData[Quantity],C666,RawData[Price Per Unit],D666,RawData[Total Spent],E666,RawData[Payment Method],F666,RawData[Location],G666,RawData[Transaction Date],H666)</f>
        <v>1</v>
      </c>
      <c r="L666"/>
    </row>
    <row r="667" spans="1:12" x14ac:dyDescent="0.3">
      <c r="A667" t="s">
        <v>673</v>
      </c>
      <c r="B667" t="s">
        <v>10009</v>
      </c>
      <c r="C667">
        <v>3</v>
      </c>
      <c r="D667">
        <v>3</v>
      </c>
      <c r="E667">
        <v>9</v>
      </c>
      <c r="F667" t="s">
        <v>10069</v>
      </c>
      <c r="G667" t="s">
        <v>10021</v>
      </c>
      <c r="H667" s="6">
        <v>45050</v>
      </c>
      <c r="I667">
        <f t="shared" si="20"/>
        <v>0</v>
      </c>
      <c r="J667" t="str">
        <f t="shared" si="21"/>
        <v>Complete</v>
      </c>
      <c r="K667">
        <f>COUNTIFS(RawData[Item], B667,RawData[Quantity],C667,RawData[Price Per Unit],D667,RawData[Total Spent],E667,RawData[Payment Method],F667,RawData[Location],G667,RawData[Transaction Date],H667)</f>
        <v>1</v>
      </c>
      <c r="L667"/>
    </row>
    <row r="668" spans="1:12" x14ac:dyDescent="0.3">
      <c r="A668" t="s">
        <v>674</v>
      </c>
      <c r="B668" t="s">
        <v>10009</v>
      </c>
      <c r="C668">
        <v>4</v>
      </c>
      <c r="D668">
        <v>3</v>
      </c>
      <c r="E668">
        <v>12</v>
      </c>
      <c r="F668" t="s">
        <v>10019</v>
      </c>
      <c r="G668" t="s">
        <v>10021</v>
      </c>
      <c r="H668" s="6">
        <v>45276</v>
      </c>
      <c r="I668">
        <f t="shared" si="20"/>
        <v>0</v>
      </c>
      <c r="J668" t="str">
        <f t="shared" si="21"/>
        <v>Complete</v>
      </c>
      <c r="K668">
        <f>COUNTIFS(RawData[Item], B668,RawData[Quantity],C668,RawData[Price Per Unit],D668,RawData[Total Spent],E668,RawData[Payment Method],F668,RawData[Location],G668,RawData[Transaction Date],H668)</f>
        <v>1</v>
      </c>
      <c r="L668"/>
    </row>
    <row r="669" spans="1:12" x14ac:dyDescent="0.3">
      <c r="A669" t="s">
        <v>675</v>
      </c>
      <c r="B669" t="s">
        <v>10016</v>
      </c>
      <c r="C669">
        <v>4</v>
      </c>
      <c r="D669">
        <v>3</v>
      </c>
      <c r="E669">
        <v>12</v>
      </c>
      <c r="F669" t="s">
        <v>10019</v>
      </c>
      <c r="G669" t="s">
        <v>10069</v>
      </c>
      <c r="H669" s="6">
        <v>45207</v>
      </c>
      <c r="I669">
        <f t="shared" si="20"/>
        <v>0</v>
      </c>
      <c r="J669" t="str">
        <f t="shared" si="21"/>
        <v>Complete</v>
      </c>
      <c r="K669">
        <f>COUNTIFS(RawData[Item], B669,RawData[Quantity],C669,RawData[Price Per Unit],D669,RawData[Total Spent],E669,RawData[Payment Method],F669,RawData[Location],G669,RawData[Transaction Date],H669)</f>
        <v>1</v>
      </c>
      <c r="L669"/>
    </row>
    <row r="670" spans="1:12" x14ac:dyDescent="0.3">
      <c r="A670" t="s">
        <v>676</v>
      </c>
      <c r="B670" t="s">
        <v>10009</v>
      </c>
      <c r="C670">
        <v>1</v>
      </c>
      <c r="D670">
        <v>3</v>
      </c>
      <c r="E670">
        <v>3</v>
      </c>
      <c r="F670" t="s">
        <v>10018</v>
      </c>
      <c r="G670" t="s">
        <v>10021</v>
      </c>
      <c r="H670" s="6">
        <v>45118</v>
      </c>
      <c r="I670">
        <f t="shared" si="20"/>
        <v>0</v>
      </c>
      <c r="J670" t="str">
        <f t="shared" si="21"/>
        <v>Complete</v>
      </c>
      <c r="K670">
        <f>COUNTIFS(RawData[Item], B670,RawData[Quantity],C670,RawData[Price Per Unit],D670,RawData[Total Spent],E670,RawData[Payment Method],F670,RawData[Location],G670,RawData[Transaction Date],H670)</f>
        <v>1</v>
      </c>
      <c r="L670"/>
    </row>
    <row r="671" spans="1:12" x14ac:dyDescent="0.3">
      <c r="A671" t="s">
        <v>677</v>
      </c>
      <c r="B671" t="s">
        <v>10017</v>
      </c>
      <c r="C671">
        <v>1</v>
      </c>
      <c r="D671">
        <v>1.5</v>
      </c>
      <c r="E671">
        <v>1.5</v>
      </c>
      <c r="F671" t="s">
        <v>10019</v>
      </c>
      <c r="G671" t="s">
        <v>10069</v>
      </c>
      <c r="H671" s="6">
        <v>45091</v>
      </c>
      <c r="I671">
        <f t="shared" si="20"/>
        <v>0</v>
      </c>
      <c r="J671" t="str">
        <f t="shared" si="21"/>
        <v>Complete</v>
      </c>
      <c r="K671">
        <f>COUNTIFS(RawData[Item], B671,RawData[Quantity],C671,RawData[Price Per Unit],D671,RawData[Total Spent],E671,RawData[Payment Method],F671,RawData[Location],G671,RawData[Transaction Date],H671)</f>
        <v>1</v>
      </c>
      <c r="L671"/>
    </row>
    <row r="672" spans="1:12" x14ac:dyDescent="0.3">
      <c r="A672" t="s">
        <v>678</v>
      </c>
      <c r="B672" t="s">
        <v>10010</v>
      </c>
      <c r="C672">
        <v>1</v>
      </c>
      <c r="D672">
        <v>1</v>
      </c>
      <c r="E672">
        <v>1</v>
      </c>
      <c r="F672" t="s">
        <v>10020</v>
      </c>
      <c r="G672" t="s">
        <v>10102</v>
      </c>
      <c r="H672" s="6">
        <v>45108</v>
      </c>
      <c r="I672">
        <f t="shared" si="20"/>
        <v>0</v>
      </c>
      <c r="J672" t="str">
        <f t="shared" si="21"/>
        <v>Complete</v>
      </c>
      <c r="K672">
        <f>COUNTIFS(RawData[Item], B672,RawData[Quantity],C672,RawData[Price Per Unit],D672,RawData[Total Spent],E672,RawData[Payment Method],F672,RawData[Location],G672,RawData[Transaction Date],H672)</f>
        <v>1</v>
      </c>
      <c r="L672"/>
    </row>
    <row r="673" spans="1:12" x14ac:dyDescent="0.3">
      <c r="A673" t="s">
        <v>679</v>
      </c>
      <c r="B673" t="s">
        <v>10012</v>
      </c>
      <c r="C673">
        <v>3</v>
      </c>
      <c r="D673">
        <v>4</v>
      </c>
      <c r="E673">
        <v>12</v>
      </c>
      <c r="F673" t="s">
        <v>10018</v>
      </c>
      <c r="G673" t="s">
        <v>10021</v>
      </c>
      <c r="H673" s="6">
        <v>45135</v>
      </c>
      <c r="I673">
        <f t="shared" si="20"/>
        <v>0</v>
      </c>
      <c r="J673" t="str">
        <f t="shared" si="21"/>
        <v>Complete</v>
      </c>
      <c r="K673">
        <f>COUNTIFS(RawData[Item], B673,RawData[Quantity],C673,RawData[Price Per Unit],D673,RawData[Total Spent],E673,RawData[Payment Method],F673,RawData[Location],G673,RawData[Transaction Date],H673)</f>
        <v>1</v>
      </c>
      <c r="L673"/>
    </row>
    <row r="674" spans="1:12" x14ac:dyDescent="0.3">
      <c r="A674" t="s">
        <v>680</v>
      </c>
      <c r="B674" t="s">
        <v>10016</v>
      </c>
      <c r="C674">
        <v>4</v>
      </c>
      <c r="D674">
        <v>3</v>
      </c>
      <c r="E674">
        <v>12</v>
      </c>
      <c r="F674" t="s">
        <v>10018</v>
      </c>
      <c r="G674" t="s">
        <v>10102</v>
      </c>
      <c r="H674" s="6">
        <v>45032</v>
      </c>
      <c r="I674">
        <f t="shared" si="20"/>
        <v>0</v>
      </c>
      <c r="J674" t="str">
        <f t="shared" si="21"/>
        <v>Complete</v>
      </c>
      <c r="K674">
        <f>COUNTIFS(RawData[Item], B674,RawData[Quantity],C674,RawData[Price Per Unit],D674,RawData[Total Spent],E674,RawData[Payment Method],F674,RawData[Location],G674,RawData[Transaction Date],H674)</f>
        <v>1</v>
      </c>
      <c r="L674"/>
    </row>
    <row r="675" spans="1:12" x14ac:dyDescent="0.3">
      <c r="A675" t="s">
        <v>681</v>
      </c>
      <c r="B675" t="s">
        <v>10009</v>
      </c>
      <c r="C675">
        <v>3</v>
      </c>
      <c r="D675" t="s">
        <v>10015</v>
      </c>
      <c r="E675">
        <v>9</v>
      </c>
      <c r="F675" t="s">
        <v>10020</v>
      </c>
      <c r="G675" t="s">
        <v>10102</v>
      </c>
      <c r="H675" s="6">
        <v>44956</v>
      </c>
      <c r="I675">
        <f t="shared" si="20"/>
        <v>1</v>
      </c>
      <c r="J675" t="str">
        <f t="shared" si="21"/>
        <v>Complete</v>
      </c>
      <c r="K675">
        <f>COUNTIFS(RawData[Item], B675,RawData[Quantity],C675,RawData[Price Per Unit],D675,RawData[Total Spent],E675,RawData[Payment Method],F675,RawData[Location],G675,RawData[Transaction Date],H675)</f>
        <v>1</v>
      </c>
      <c r="L675"/>
    </row>
    <row r="676" spans="1:12" x14ac:dyDescent="0.3">
      <c r="A676" t="s">
        <v>682</v>
      </c>
      <c r="B676" t="s">
        <v>10009</v>
      </c>
      <c r="C676">
        <v>1</v>
      </c>
      <c r="D676">
        <v>3</v>
      </c>
      <c r="E676">
        <v>3</v>
      </c>
      <c r="F676" t="s">
        <v>10020</v>
      </c>
      <c r="G676" t="s">
        <v>10102</v>
      </c>
      <c r="H676" s="6">
        <v>44994</v>
      </c>
      <c r="I676">
        <f t="shared" si="20"/>
        <v>0</v>
      </c>
      <c r="J676" t="str">
        <f t="shared" si="21"/>
        <v>Complete</v>
      </c>
      <c r="K676">
        <f>COUNTIFS(RawData[Item], B676,RawData[Quantity],C676,RawData[Price Per Unit],D676,RawData[Total Spent],E676,RawData[Payment Method],F676,RawData[Location],G676,RawData[Transaction Date],H676)</f>
        <v>1</v>
      </c>
      <c r="L676"/>
    </row>
    <row r="677" spans="1:12" x14ac:dyDescent="0.3">
      <c r="A677" t="s">
        <v>683</v>
      </c>
      <c r="B677" t="s">
        <v>10011</v>
      </c>
      <c r="C677">
        <v>4</v>
      </c>
      <c r="D677">
        <v>5</v>
      </c>
      <c r="E677">
        <v>20</v>
      </c>
      <c r="F677" t="s">
        <v>10020</v>
      </c>
      <c r="G677" t="s">
        <v>10021</v>
      </c>
      <c r="H677" s="6">
        <v>44940</v>
      </c>
      <c r="I677">
        <f t="shared" si="20"/>
        <v>0</v>
      </c>
      <c r="J677" t="str">
        <f t="shared" si="21"/>
        <v>Complete</v>
      </c>
      <c r="K677">
        <f>COUNTIFS(RawData[Item], B677,RawData[Quantity],C677,RawData[Price Per Unit],D677,RawData[Total Spent],E677,RawData[Payment Method],F677,RawData[Location],G677,RawData[Transaction Date],H677)</f>
        <v>2</v>
      </c>
      <c r="L677"/>
    </row>
    <row r="678" spans="1:12" x14ac:dyDescent="0.3">
      <c r="A678" t="s">
        <v>684</v>
      </c>
      <c r="B678" t="s">
        <v>10009</v>
      </c>
      <c r="C678">
        <v>5</v>
      </c>
      <c r="D678">
        <v>3</v>
      </c>
      <c r="E678">
        <v>15</v>
      </c>
      <c r="F678" t="s">
        <v>10019</v>
      </c>
      <c r="G678" t="s">
        <v>10102</v>
      </c>
      <c r="H678" s="6">
        <v>45240</v>
      </c>
      <c r="I678">
        <f t="shared" si="20"/>
        <v>0</v>
      </c>
      <c r="J678" t="str">
        <f t="shared" si="21"/>
        <v>Complete</v>
      </c>
      <c r="K678">
        <f>COUNTIFS(RawData[Item], B678,RawData[Quantity],C678,RawData[Price Per Unit],D678,RawData[Total Spent],E678,RawData[Payment Method],F678,RawData[Location],G678,RawData[Transaction Date],H678)</f>
        <v>1</v>
      </c>
      <c r="L678"/>
    </row>
    <row r="679" spans="1:12" x14ac:dyDescent="0.3">
      <c r="A679" t="s">
        <v>685</v>
      </c>
      <c r="B679" t="s">
        <v>10008</v>
      </c>
      <c r="C679">
        <v>3</v>
      </c>
      <c r="D679">
        <v>2</v>
      </c>
      <c r="E679">
        <v>6</v>
      </c>
      <c r="F679" t="s">
        <v>10020</v>
      </c>
      <c r="G679" t="s">
        <v>10021</v>
      </c>
      <c r="H679" s="6">
        <v>45238</v>
      </c>
      <c r="I679">
        <f t="shared" si="20"/>
        <v>0</v>
      </c>
      <c r="J679" t="str">
        <f t="shared" si="21"/>
        <v>Complete</v>
      </c>
      <c r="K679">
        <f>COUNTIFS(RawData[Item], B679,RawData[Quantity],C679,RawData[Price Per Unit],D679,RawData[Total Spent],E679,RawData[Payment Method],F679,RawData[Location],G679,RawData[Transaction Date],H679)</f>
        <v>1</v>
      </c>
      <c r="L679"/>
    </row>
    <row r="680" spans="1:12" x14ac:dyDescent="0.3">
      <c r="A680" t="s">
        <v>686</v>
      </c>
      <c r="B680" t="s">
        <v>10012</v>
      </c>
      <c r="C680">
        <v>5</v>
      </c>
      <c r="D680">
        <v>4</v>
      </c>
      <c r="E680">
        <v>20</v>
      </c>
      <c r="F680" t="s">
        <v>10019</v>
      </c>
      <c r="G680" t="s">
        <v>10021</v>
      </c>
      <c r="H680" s="6">
        <v>44984</v>
      </c>
      <c r="I680">
        <f t="shared" si="20"/>
        <v>0</v>
      </c>
      <c r="J680" t="str">
        <f t="shared" si="21"/>
        <v>Complete</v>
      </c>
      <c r="K680">
        <f>COUNTIFS(RawData[Item], B680,RawData[Quantity],C680,RawData[Price Per Unit],D680,RawData[Total Spent],E680,RawData[Payment Method],F680,RawData[Location],G680,RawData[Transaction Date],H680)</f>
        <v>1</v>
      </c>
      <c r="L680"/>
    </row>
    <row r="681" spans="1:12" x14ac:dyDescent="0.3">
      <c r="A681" t="s">
        <v>687</v>
      </c>
      <c r="B681" t="s">
        <v>10013</v>
      </c>
      <c r="C681">
        <v>4</v>
      </c>
      <c r="D681">
        <v>4</v>
      </c>
      <c r="E681">
        <v>16</v>
      </c>
      <c r="F681" t="s">
        <v>10020</v>
      </c>
      <c r="G681" t="s">
        <v>10102</v>
      </c>
      <c r="H681" s="6">
        <v>45286</v>
      </c>
      <c r="I681">
        <f t="shared" si="20"/>
        <v>1</v>
      </c>
      <c r="J681" t="str">
        <f t="shared" si="21"/>
        <v>Complete</v>
      </c>
      <c r="K681">
        <f>COUNTIFS(RawData[Item], B681,RawData[Quantity],C681,RawData[Price Per Unit],D681,RawData[Total Spent],E681,RawData[Payment Method],F681,RawData[Location],G681,RawData[Transaction Date],H681)</f>
        <v>1</v>
      </c>
      <c r="L681"/>
    </row>
    <row r="682" spans="1:12" x14ac:dyDescent="0.3">
      <c r="A682" t="s">
        <v>688</v>
      </c>
      <c r="B682" t="s">
        <v>10010</v>
      </c>
      <c r="C682">
        <v>5</v>
      </c>
      <c r="D682">
        <v>1</v>
      </c>
      <c r="E682">
        <v>5</v>
      </c>
      <c r="F682" t="s">
        <v>10019</v>
      </c>
      <c r="G682" t="s">
        <v>10102</v>
      </c>
      <c r="H682" s="6">
        <v>45182</v>
      </c>
      <c r="I682">
        <f t="shared" si="20"/>
        <v>0</v>
      </c>
      <c r="J682" t="str">
        <f t="shared" si="21"/>
        <v>Complete</v>
      </c>
      <c r="K682">
        <f>COUNTIFS(RawData[Item], B682,RawData[Quantity],C682,RawData[Price Per Unit],D682,RawData[Total Spent],E682,RawData[Payment Method],F682,RawData[Location],G682,RawData[Transaction Date],H682)</f>
        <v>1</v>
      </c>
      <c r="L682"/>
    </row>
    <row r="683" spans="1:12" x14ac:dyDescent="0.3">
      <c r="A683" t="s">
        <v>689</v>
      </c>
      <c r="B683" t="s">
        <v>10012</v>
      </c>
      <c r="C683">
        <v>1</v>
      </c>
      <c r="D683">
        <v>0</v>
      </c>
      <c r="E683">
        <v>4</v>
      </c>
      <c r="F683" t="s">
        <v>10069</v>
      </c>
      <c r="G683" t="s">
        <v>10021</v>
      </c>
      <c r="H683" s="6">
        <v>44965</v>
      </c>
      <c r="I683">
        <f t="shared" si="20"/>
        <v>0</v>
      </c>
      <c r="J683" t="str">
        <f t="shared" si="21"/>
        <v>Complete</v>
      </c>
      <c r="K683">
        <f>COUNTIFS(RawData[Item], B683,RawData[Quantity],C683,RawData[Price Per Unit],D683,RawData[Total Spent],E683,RawData[Payment Method],F683,RawData[Location],G683,RawData[Transaction Date],H683)</f>
        <v>1</v>
      </c>
      <c r="L683"/>
    </row>
    <row r="684" spans="1:12" x14ac:dyDescent="0.3">
      <c r="A684" t="s">
        <v>690</v>
      </c>
      <c r="B684" t="s">
        <v>10009</v>
      </c>
      <c r="C684">
        <v>1</v>
      </c>
      <c r="D684">
        <v>3</v>
      </c>
      <c r="E684">
        <v>3</v>
      </c>
      <c r="F684" t="s">
        <v>10019</v>
      </c>
      <c r="G684" t="s">
        <v>10021</v>
      </c>
      <c r="H684" s="6">
        <v>45069</v>
      </c>
      <c r="I684">
        <f t="shared" si="20"/>
        <v>0</v>
      </c>
      <c r="J684" t="str">
        <f t="shared" si="21"/>
        <v>Complete</v>
      </c>
      <c r="K684">
        <f>COUNTIFS(RawData[Item], B684,RawData[Quantity],C684,RawData[Price Per Unit],D684,RawData[Total Spent],E684,RawData[Payment Method],F684,RawData[Location],G684,RawData[Transaction Date],H684)</f>
        <v>1</v>
      </c>
      <c r="L684"/>
    </row>
    <row r="685" spans="1:12" x14ac:dyDescent="0.3">
      <c r="A685" t="s">
        <v>691</v>
      </c>
      <c r="B685" t="s">
        <v>10016</v>
      </c>
      <c r="C685">
        <v>1</v>
      </c>
      <c r="D685">
        <v>3</v>
      </c>
      <c r="E685">
        <v>3</v>
      </c>
      <c r="F685" t="s">
        <v>10019</v>
      </c>
      <c r="G685" t="s">
        <v>10021</v>
      </c>
      <c r="H685" s="6">
        <v>45180</v>
      </c>
      <c r="I685">
        <f t="shared" si="20"/>
        <v>0</v>
      </c>
      <c r="J685" t="str">
        <f t="shared" si="21"/>
        <v>Complete</v>
      </c>
      <c r="K685">
        <f>COUNTIFS(RawData[Item], B685,RawData[Quantity],C685,RawData[Price Per Unit],D685,RawData[Total Spent],E685,RawData[Payment Method],F685,RawData[Location],G685,RawData[Transaction Date],H685)</f>
        <v>1</v>
      </c>
      <c r="L685"/>
    </row>
    <row r="686" spans="1:12" x14ac:dyDescent="0.3">
      <c r="A686" t="s">
        <v>692</v>
      </c>
      <c r="B686" t="s">
        <v>10011</v>
      </c>
      <c r="C686">
        <v>2</v>
      </c>
      <c r="D686">
        <v>5</v>
      </c>
      <c r="E686">
        <v>10</v>
      </c>
      <c r="F686" t="s">
        <v>10020</v>
      </c>
      <c r="G686" t="s">
        <v>10021</v>
      </c>
      <c r="H686" s="6">
        <v>44953</v>
      </c>
      <c r="I686">
        <f t="shared" si="20"/>
        <v>0</v>
      </c>
      <c r="J686" t="str">
        <f t="shared" si="21"/>
        <v>Complete</v>
      </c>
      <c r="K686">
        <f>COUNTIFS(RawData[Item], B686,RawData[Quantity],C686,RawData[Price Per Unit],D686,RawData[Total Spent],E686,RawData[Payment Method],F686,RawData[Location],G686,RawData[Transaction Date],H686)</f>
        <v>1</v>
      </c>
      <c r="L686"/>
    </row>
    <row r="687" spans="1:12" x14ac:dyDescent="0.3">
      <c r="A687" t="s">
        <v>693</v>
      </c>
      <c r="B687" t="s">
        <v>10008</v>
      </c>
      <c r="C687">
        <v>5</v>
      </c>
      <c r="D687">
        <v>2</v>
      </c>
      <c r="E687">
        <v>10</v>
      </c>
      <c r="F687" t="s">
        <v>10019</v>
      </c>
      <c r="G687" t="s">
        <v>10069</v>
      </c>
      <c r="H687" s="6">
        <v>44975</v>
      </c>
      <c r="I687">
        <f t="shared" si="20"/>
        <v>0</v>
      </c>
      <c r="J687" t="str">
        <f t="shared" si="21"/>
        <v>Complete</v>
      </c>
      <c r="K687">
        <f>COUNTIFS(RawData[Item], B687,RawData[Quantity],C687,RawData[Price Per Unit],D687,RawData[Total Spent],E687,RawData[Payment Method],F687,RawData[Location],G687,RawData[Transaction Date],H687)</f>
        <v>1</v>
      </c>
      <c r="L687"/>
    </row>
    <row r="688" spans="1:12" x14ac:dyDescent="0.3">
      <c r="A688" t="s">
        <v>694</v>
      </c>
      <c r="B688" t="s">
        <v>10015</v>
      </c>
      <c r="C688">
        <v>0</v>
      </c>
      <c r="D688">
        <v>2</v>
      </c>
      <c r="E688">
        <v>2</v>
      </c>
      <c r="F688" t="s">
        <v>10069</v>
      </c>
      <c r="G688" t="s">
        <v>10102</v>
      </c>
      <c r="H688" s="6">
        <v>45010</v>
      </c>
      <c r="I688">
        <f t="shared" si="20"/>
        <v>1</v>
      </c>
      <c r="J688" t="str">
        <f t="shared" si="21"/>
        <v>Complete</v>
      </c>
      <c r="K688">
        <f>COUNTIFS(RawData[Item], B688,RawData[Quantity],C688,RawData[Price Per Unit],D688,RawData[Total Spent],E688,RawData[Payment Method],F688,RawData[Location],G688,RawData[Transaction Date],H688)</f>
        <v>1</v>
      </c>
      <c r="L688"/>
    </row>
    <row r="689" spans="1:12" x14ac:dyDescent="0.3">
      <c r="A689" t="s">
        <v>695</v>
      </c>
      <c r="B689" t="s">
        <v>10016</v>
      </c>
      <c r="C689">
        <v>2</v>
      </c>
      <c r="D689">
        <v>3</v>
      </c>
      <c r="E689">
        <v>6</v>
      </c>
      <c r="F689" t="s">
        <v>10103</v>
      </c>
      <c r="G689" t="s">
        <v>10021</v>
      </c>
      <c r="H689" s="6">
        <v>45166</v>
      </c>
      <c r="I689">
        <f t="shared" si="20"/>
        <v>1</v>
      </c>
      <c r="J689" t="str">
        <f t="shared" si="21"/>
        <v>Complete</v>
      </c>
      <c r="K689">
        <f>COUNTIFS(RawData[Item], B689,RawData[Quantity],C689,RawData[Price Per Unit],D689,RawData[Total Spent],E689,RawData[Payment Method],F689,RawData[Location],G689,RawData[Transaction Date],H689)</f>
        <v>1</v>
      </c>
      <c r="L689"/>
    </row>
    <row r="690" spans="1:12" x14ac:dyDescent="0.3">
      <c r="A690" t="s">
        <v>696</v>
      </c>
      <c r="B690" t="s">
        <v>10013</v>
      </c>
      <c r="C690">
        <v>2</v>
      </c>
      <c r="D690">
        <v>3</v>
      </c>
      <c r="E690">
        <v>6</v>
      </c>
      <c r="F690" t="s">
        <v>10020</v>
      </c>
      <c r="G690" t="s">
        <v>10021</v>
      </c>
      <c r="H690" s="6">
        <v>45162</v>
      </c>
      <c r="I690">
        <f t="shared" si="20"/>
        <v>1</v>
      </c>
      <c r="J690" t="str">
        <f t="shared" si="21"/>
        <v>Complete</v>
      </c>
      <c r="K690">
        <f>COUNTIFS(RawData[Item], B690,RawData[Quantity],C690,RawData[Price Per Unit],D690,RawData[Total Spent],E690,RawData[Payment Method],F690,RawData[Location],G690,RawData[Transaction Date],H690)</f>
        <v>1</v>
      </c>
      <c r="L690"/>
    </row>
    <row r="691" spans="1:12" x14ac:dyDescent="0.3">
      <c r="A691" t="s">
        <v>697</v>
      </c>
      <c r="B691" t="s">
        <v>10011</v>
      </c>
      <c r="C691">
        <v>2</v>
      </c>
      <c r="D691">
        <v>5</v>
      </c>
      <c r="E691">
        <v>10</v>
      </c>
      <c r="F691" t="s">
        <v>10019</v>
      </c>
      <c r="G691" t="s">
        <v>10069</v>
      </c>
      <c r="H691" s="6">
        <v>45259</v>
      </c>
      <c r="I691">
        <f t="shared" si="20"/>
        <v>0</v>
      </c>
      <c r="J691" t="str">
        <f t="shared" si="21"/>
        <v>Complete</v>
      </c>
      <c r="K691">
        <f>COUNTIFS(RawData[Item], B691,RawData[Quantity],C691,RawData[Price Per Unit],D691,RawData[Total Spent],E691,RawData[Payment Method],F691,RawData[Location],G691,RawData[Transaction Date],H691)</f>
        <v>1</v>
      </c>
      <c r="L691"/>
    </row>
    <row r="692" spans="1:12" x14ac:dyDescent="0.3">
      <c r="A692" t="s">
        <v>698</v>
      </c>
      <c r="B692" t="s">
        <v>10010</v>
      </c>
      <c r="C692">
        <v>5</v>
      </c>
      <c r="D692">
        <v>1</v>
      </c>
      <c r="E692">
        <v>5</v>
      </c>
      <c r="F692" t="s">
        <v>10018</v>
      </c>
      <c r="G692" t="s">
        <v>10069</v>
      </c>
      <c r="H692" s="6">
        <v>45106</v>
      </c>
      <c r="I692">
        <f t="shared" si="20"/>
        <v>0</v>
      </c>
      <c r="J692" t="str">
        <f t="shared" si="21"/>
        <v>Complete</v>
      </c>
      <c r="K692">
        <f>COUNTIFS(RawData[Item], B692,RawData[Quantity],C692,RawData[Price Per Unit],D692,RawData[Total Spent],E692,RawData[Payment Method],F692,RawData[Location],G692,RawData[Transaction Date],H692)</f>
        <v>1</v>
      </c>
      <c r="L692"/>
    </row>
    <row r="693" spans="1:12" x14ac:dyDescent="0.3">
      <c r="A693" t="s">
        <v>699</v>
      </c>
      <c r="B693" t="s">
        <v>10011</v>
      </c>
      <c r="C693">
        <v>3</v>
      </c>
      <c r="D693">
        <v>5</v>
      </c>
      <c r="E693">
        <v>15</v>
      </c>
      <c r="F693" t="s">
        <v>10018</v>
      </c>
      <c r="G693" t="s">
        <v>10102</v>
      </c>
      <c r="H693" s="6">
        <v>45095</v>
      </c>
      <c r="I693">
        <f t="shared" si="20"/>
        <v>0</v>
      </c>
      <c r="J693" t="str">
        <f t="shared" si="21"/>
        <v>Complete</v>
      </c>
      <c r="K693">
        <f>COUNTIFS(RawData[Item], B693,RawData[Quantity],C693,RawData[Price Per Unit],D693,RawData[Total Spent],E693,RawData[Payment Method],F693,RawData[Location],G693,RawData[Transaction Date],H693)</f>
        <v>1</v>
      </c>
      <c r="L693"/>
    </row>
    <row r="694" spans="1:12" x14ac:dyDescent="0.3">
      <c r="A694" t="s">
        <v>700</v>
      </c>
      <c r="B694" t="s">
        <v>10009</v>
      </c>
      <c r="C694">
        <v>0</v>
      </c>
      <c r="D694">
        <v>3</v>
      </c>
      <c r="E694">
        <v>12</v>
      </c>
      <c r="F694" t="s">
        <v>10019</v>
      </c>
      <c r="G694" t="s">
        <v>10102</v>
      </c>
      <c r="H694" s="6">
        <v>45100</v>
      </c>
      <c r="I694">
        <f t="shared" si="20"/>
        <v>0</v>
      </c>
      <c r="J694" t="str">
        <f t="shared" si="21"/>
        <v>Complete</v>
      </c>
      <c r="K694">
        <f>COUNTIFS(RawData[Item], B694,RawData[Quantity],C694,RawData[Price Per Unit],D694,RawData[Total Spent],E694,RawData[Payment Method],F694,RawData[Location],G694,RawData[Transaction Date],H694)</f>
        <v>1</v>
      </c>
      <c r="L694"/>
    </row>
    <row r="695" spans="1:12" x14ac:dyDescent="0.3">
      <c r="A695" t="s">
        <v>701</v>
      </c>
      <c r="B695" t="s">
        <v>10011</v>
      </c>
      <c r="C695">
        <v>5</v>
      </c>
      <c r="D695">
        <v>5</v>
      </c>
      <c r="E695">
        <v>25</v>
      </c>
      <c r="F695" t="s">
        <v>10018</v>
      </c>
      <c r="G695" t="s">
        <v>10021</v>
      </c>
      <c r="H695" s="6">
        <v>45087</v>
      </c>
      <c r="I695">
        <f t="shared" si="20"/>
        <v>0</v>
      </c>
      <c r="J695" t="str">
        <f t="shared" si="21"/>
        <v>Complete</v>
      </c>
      <c r="K695">
        <f>COUNTIFS(RawData[Item], B695,RawData[Quantity],C695,RawData[Price Per Unit],D695,RawData[Total Spent],E695,RawData[Payment Method],F695,RawData[Location],G695,RawData[Transaction Date],H695)</f>
        <v>1</v>
      </c>
      <c r="L695"/>
    </row>
    <row r="696" spans="1:12" x14ac:dyDescent="0.3">
      <c r="A696" t="s">
        <v>702</v>
      </c>
      <c r="B696" t="s">
        <v>10017</v>
      </c>
      <c r="C696">
        <v>2</v>
      </c>
      <c r="D696">
        <v>1.5</v>
      </c>
      <c r="E696">
        <v>3</v>
      </c>
      <c r="F696" t="s">
        <v>10069</v>
      </c>
      <c r="G696" t="s">
        <v>10069</v>
      </c>
      <c r="H696" s="6">
        <v>45225</v>
      </c>
      <c r="I696">
        <f t="shared" si="20"/>
        <v>0</v>
      </c>
      <c r="J696" t="str">
        <f t="shared" si="21"/>
        <v>Complete</v>
      </c>
      <c r="K696">
        <f>COUNTIFS(RawData[Item], B696,RawData[Quantity],C696,RawData[Price Per Unit],D696,RawData[Total Spent],E696,RawData[Payment Method],F696,RawData[Location],G696,RawData[Transaction Date],H696)</f>
        <v>1</v>
      </c>
      <c r="L696"/>
    </row>
    <row r="697" spans="1:12" x14ac:dyDescent="0.3">
      <c r="A697" t="s">
        <v>703</v>
      </c>
      <c r="B697" t="s">
        <v>10014</v>
      </c>
      <c r="C697">
        <v>4</v>
      </c>
      <c r="D697">
        <v>4</v>
      </c>
      <c r="E697">
        <v>16</v>
      </c>
      <c r="F697" t="s">
        <v>10018</v>
      </c>
      <c r="G697" t="s">
        <v>10102</v>
      </c>
      <c r="H697" s="6">
        <v>45271</v>
      </c>
      <c r="I697">
        <f t="shared" si="20"/>
        <v>0</v>
      </c>
      <c r="J697" t="str">
        <f t="shared" si="21"/>
        <v>Complete</v>
      </c>
      <c r="K697">
        <f>COUNTIFS(RawData[Item], B697,RawData[Quantity],C697,RawData[Price Per Unit],D697,RawData[Total Spent],E697,RawData[Payment Method],F697,RawData[Location],G697,RawData[Transaction Date],H697)</f>
        <v>1</v>
      </c>
      <c r="L697"/>
    </row>
    <row r="698" spans="1:12" x14ac:dyDescent="0.3">
      <c r="A698" t="s">
        <v>704</v>
      </c>
      <c r="B698" t="s">
        <v>10008</v>
      </c>
      <c r="C698">
        <v>4</v>
      </c>
      <c r="D698">
        <v>2</v>
      </c>
      <c r="E698">
        <v>8</v>
      </c>
      <c r="F698" t="s">
        <v>10018</v>
      </c>
      <c r="G698" t="s">
        <v>10021</v>
      </c>
      <c r="H698" s="6">
        <v>45017</v>
      </c>
      <c r="I698">
        <f t="shared" si="20"/>
        <v>0</v>
      </c>
      <c r="J698" t="str">
        <f t="shared" si="21"/>
        <v>Complete</v>
      </c>
      <c r="K698">
        <f>COUNTIFS(RawData[Item], B698,RawData[Quantity],C698,RawData[Price Per Unit],D698,RawData[Total Spent],E698,RawData[Payment Method],F698,RawData[Location],G698,RawData[Transaction Date],H698)</f>
        <v>1</v>
      </c>
      <c r="L698"/>
    </row>
    <row r="699" spans="1:12" x14ac:dyDescent="0.3">
      <c r="A699" t="s">
        <v>705</v>
      </c>
      <c r="B699" t="s">
        <v>10009</v>
      </c>
      <c r="C699">
        <v>4</v>
      </c>
      <c r="D699">
        <v>3</v>
      </c>
      <c r="E699" t="s">
        <v>10015</v>
      </c>
      <c r="F699" t="s">
        <v>10103</v>
      </c>
      <c r="G699" t="s">
        <v>10069</v>
      </c>
      <c r="H699" s="6">
        <v>45086</v>
      </c>
      <c r="I699">
        <f t="shared" si="20"/>
        <v>2</v>
      </c>
      <c r="J699" t="str">
        <f t="shared" si="21"/>
        <v>Complete</v>
      </c>
      <c r="K699">
        <f>COUNTIFS(RawData[Item], B699,RawData[Quantity],C699,RawData[Price Per Unit],D699,RawData[Total Spent],E699,RawData[Payment Method],F699,RawData[Location],G699,RawData[Transaction Date],H699)</f>
        <v>1</v>
      </c>
      <c r="L699"/>
    </row>
    <row r="700" spans="1:12" x14ac:dyDescent="0.3">
      <c r="A700" t="s">
        <v>706</v>
      </c>
      <c r="B700" t="s">
        <v>10008</v>
      </c>
      <c r="C700">
        <v>2</v>
      </c>
      <c r="D700">
        <v>2</v>
      </c>
      <c r="E700">
        <v>4</v>
      </c>
      <c r="F700" t="s">
        <v>10018</v>
      </c>
      <c r="G700" t="s">
        <v>10069</v>
      </c>
      <c r="H700" s="6">
        <v>44953</v>
      </c>
      <c r="I700">
        <f t="shared" si="20"/>
        <v>0</v>
      </c>
      <c r="J700" t="str">
        <f t="shared" si="21"/>
        <v>Complete</v>
      </c>
      <c r="K700">
        <f>COUNTIFS(RawData[Item], B700,RawData[Quantity],C700,RawData[Price Per Unit],D700,RawData[Total Spent],E700,RawData[Payment Method],F700,RawData[Location],G700,RawData[Transaction Date],H700)</f>
        <v>1</v>
      </c>
      <c r="L700"/>
    </row>
    <row r="701" spans="1:12" x14ac:dyDescent="0.3">
      <c r="A701" t="s">
        <v>707</v>
      </c>
      <c r="B701" t="s">
        <v>10069</v>
      </c>
      <c r="C701">
        <v>1</v>
      </c>
      <c r="D701">
        <v>2</v>
      </c>
      <c r="E701">
        <v>0</v>
      </c>
      <c r="F701" t="s">
        <v>10020</v>
      </c>
      <c r="G701" t="s">
        <v>10021</v>
      </c>
      <c r="H701" s="6">
        <v>44995</v>
      </c>
      <c r="I701">
        <f t="shared" si="20"/>
        <v>0</v>
      </c>
      <c r="J701" t="str">
        <f t="shared" si="21"/>
        <v>Complete</v>
      </c>
      <c r="K701">
        <f>COUNTIFS(RawData[Item], B701,RawData[Quantity],C701,RawData[Price Per Unit],D701,RawData[Total Spent],E701,RawData[Payment Method],F701,RawData[Location],G701,RawData[Transaction Date],H701)</f>
        <v>1</v>
      </c>
      <c r="L701"/>
    </row>
    <row r="702" spans="1:12" x14ac:dyDescent="0.3">
      <c r="A702" t="s">
        <v>708</v>
      </c>
      <c r="B702" t="s">
        <v>10009</v>
      </c>
      <c r="C702">
        <v>4</v>
      </c>
      <c r="D702">
        <v>3</v>
      </c>
      <c r="E702">
        <v>12</v>
      </c>
      <c r="F702" t="s">
        <v>10018</v>
      </c>
      <c r="G702" t="s">
        <v>10021</v>
      </c>
      <c r="H702" s="6">
        <v>45280</v>
      </c>
      <c r="I702">
        <f t="shared" si="20"/>
        <v>0</v>
      </c>
      <c r="J702" t="str">
        <f t="shared" si="21"/>
        <v>Complete</v>
      </c>
      <c r="K702">
        <f>COUNTIFS(RawData[Item], B702,RawData[Quantity],C702,RawData[Price Per Unit],D702,RawData[Total Spent],E702,RawData[Payment Method],F702,RawData[Location],G702,RawData[Transaction Date],H702)</f>
        <v>1</v>
      </c>
      <c r="L702"/>
    </row>
    <row r="703" spans="1:12" x14ac:dyDescent="0.3">
      <c r="A703" t="s">
        <v>709</v>
      </c>
      <c r="B703" t="s">
        <v>10012</v>
      </c>
      <c r="C703">
        <v>3</v>
      </c>
      <c r="D703">
        <v>4</v>
      </c>
      <c r="E703">
        <v>12</v>
      </c>
      <c r="F703" t="s">
        <v>10020</v>
      </c>
      <c r="G703" t="s">
        <v>10102</v>
      </c>
      <c r="H703" s="6">
        <v>44953</v>
      </c>
      <c r="I703">
        <f t="shared" si="20"/>
        <v>0</v>
      </c>
      <c r="J703" t="str">
        <f t="shared" si="21"/>
        <v>Complete</v>
      </c>
      <c r="K703">
        <f>COUNTIFS(RawData[Item], B703,RawData[Quantity],C703,RawData[Price Per Unit],D703,RawData[Total Spent],E703,RawData[Payment Method],F703,RawData[Location],G703,RawData[Transaction Date],H703)</f>
        <v>1</v>
      </c>
      <c r="L703"/>
    </row>
    <row r="704" spans="1:12" x14ac:dyDescent="0.3">
      <c r="A704" t="s">
        <v>710</v>
      </c>
      <c r="B704" t="s">
        <v>10011</v>
      </c>
      <c r="C704">
        <v>1</v>
      </c>
      <c r="D704">
        <v>5</v>
      </c>
      <c r="E704">
        <v>5</v>
      </c>
      <c r="F704" t="s">
        <v>10020</v>
      </c>
      <c r="G704" t="s">
        <v>10069</v>
      </c>
      <c r="H704" s="6">
        <v>44987</v>
      </c>
      <c r="I704">
        <f t="shared" si="20"/>
        <v>0</v>
      </c>
      <c r="J704" t="str">
        <f t="shared" si="21"/>
        <v>Complete</v>
      </c>
      <c r="K704">
        <f>COUNTIFS(RawData[Item], B704,RawData[Quantity],C704,RawData[Price Per Unit],D704,RawData[Total Spent],E704,RawData[Payment Method],F704,RawData[Location],G704,RawData[Transaction Date],H704)</f>
        <v>1</v>
      </c>
      <c r="L704"/>
    </row>
    <row r="705" spans="1:12" x14ac:dyDescent="0.3">
      <c r="A705" t="s">
        <v>711</v>
      </c>
      <c r="B705" t="s">
        <v>10016</v>
      </c>
      <c r="C705">
        <v>1</v>
      </c>
      <c r="D705">
        <v>3</v>
      </c>
      <c r="E705">
        <v>3</v>
      </c>
      <c r="F705" t="s">
        <v>10019</v>
      </c>
      <c r="G705" t="s">
        <v>10102</v>
      </c>
      <c r="H705" s="6">
        <v>45225</v>
      </c>
      <c r="I705">
        <f t="shared" si="20"/>
        <v>0</v>
      </c>
      <c r="J705" t="str">
        <f t="shared" si="21"/>
        <v>Complete</v>
      </c>
      <c r="K705">
        <f>COUNTIFS(RawData[Item], B705,RawData[Quantity],C705,RawData[Price Per Unit],D705,RawData[Total Spent],E705,RawData[Payment Method],F705,RawData[Location],G705,RawData[Transaction Date],H705)</f>
        <v>1</v>
      </c>
      <c r="L705"/>
    </row>
    <row r="706" spans="1:12" x14ac:dyDescent="0.3">
      <c r="A706" t="s">
        <v>712</v>
      </c>
      <c r="B706" t="s">
        <v>10008</v>
      </c>
      <c r="C706">
        <v>3</v>
      </c>
      <c r="D706">
        <v>2</v>
      </c>
      <c r="E706">
        <v>6</v>
      </c>
      <c r="F706" t="s">
        <v>10018</v>
      </c>
      <c r="G706" t="s">
        <v>10102</v>
      </c>
      <c r="H706" s="6">
        <v>45161</v>
      </c>
      <c r="I706">
        <f t="shared" ref="I706:I769" si="22">(B706="Unknown")+(B706="Error")+(C706="Unknown")+(C706="Error")+(D706="Unknown")+(D706="Error")+(E706="Unknown")+(E706="Error")+(F706="Unknown")+(F706="Error")+(G706="Unknown")+(G706="Error")+(H706="No Date")</f>
        <v>0</v>
      </c>
      <c r="J706" t="str">
        <f t="shared" ref="J706:J769" si="23">IF((H706="No Date"),"Incomplete","Complete")</f>
        <v>Complete</v>
      </c>
      <c r="K706">
        <f>COUNTIFS(RawData[Item], B706,RawData[Quantity],C706,RawData[Price Per Unit],D706,RawData[Total Spent],E706,RawData[Payment Method],F706,RawData[Location],G706,RawData[Transaction Date],H706)</f>
        <v>1</v>
      </c>
      <c r="L706"/>
    </row>
    <row r="707" spans="1:12" x14ac:dyDescent="0.3">
      <c r="A707" t="s">
        <v>713</v>
      </c>
      <c r="B707" t="s">
        <v>10012</v>
      </c>
      <c r="C707">
        <v>2</v>
      </c>
      <c r="D707">
        <v>4</v>
      </c>
      <c r="E707">
        <v>8</v>
      </c>
      <c r="F707" t="s">
        <v>10020</v>
      </c>
      <c r="G707" t="s">
        <v>10021</v>
      </c>
      <c r="H707" s="6">
        <v>45266</v>
      </c>
      <c r="I707">
        <f t="shared" si="22"/>
        <v>0</v>
      </c>
      <c r="J707" t="str">
        <f t="shared" si="23"/>
        <v>Complete</v>
      </c>
      <c r="K707">
        <f>COUNTIFS(RawData[Item], B707,RawData[Quantity],C707,RawData[Price Per Unit],D707,RawData[Total Spent],E707,RawData[Payment Method],F707,RawData[Location],G707,RawData[Transaction Date],H707)</f>
        <v>1</v>
      </c>
      <c r="L707"/>
    </row>
    <row r="708" spans="1:12" x14ac:dyDescent="0.3">
      <c r="A708" t="s">
        <v>714</v>
      </c>
      <c r="B708" t="s">
        <v>10011</v>
      </c>
      <c r="C708">
        <v>3</v>
      </c>
      <c r="D708">
        <v>5</v>
      </c>
      <c r="E708">
        <v>15</v>
      </c>
      <c r="F708" t="s">
        <v>10018</v>
      </c>
      <c r="G708" t="s">
        <v>10103</v>
      </c>
      <c r="H708" s="6">
        <v>45088</v>
      </c>
      <c r="I708">
        <f t="shared" si="22"/>
        <v>1</v>
      </c>
      <c r="J708" t="str">
        <f t="shared" si="23"/>
        <v>Complete</v>
      </c>
      <c r="K708">
        <f>COUNTIFS(RawData[Item], B708,RawData[Quantity],C708,RawData[Price Per Unit],D708,RawData[Total Spent],E708,RawData[Payment Method],F708,RawData[Location],G708,RawData[Transaction Date],H708)</f>
        <v>1</v>
      </c>
      <c r="L708"/>
    </row>
    <row r="709" spans="1:12" x14ac:dyDescent="0.3">
      <c r="A709" t="s">
        <v>715</v>
      </c>
      <c r="B709" t="s">
        <v>10014</v>
      </c>
      <c r="C709">
        <v>3</v>
      </c>
      <c r="D709">
        <v>4</v>
      </c>
      <c r="E709">
        <v>12</v>
      </c>
      <c r="F709" t="s">
        <v>10020</v>
      </c>
      <c r="G709" t="s">
        <v>10021</v>
      </c>
      <c r="H709" s="6">
        <v>45151</v>
      </c>
      <c r="I709">
        <f t="shared" si="22"/>
        <v>0</v>
      </c>
      <c r="J709" t="str">
        <f t="shared" si="23"/>
        <v>Complete</v>
      </c>
      <c r="K709">
        <f>COUNTIFS(RawData[Item], B709,RawData[Quantity],C709,RawData[Price Per Unit],D709,RawData[Total Spent],E709,RawData[Payment Method],F709,RawData[Location],G709,RawData[Transaction Date],H709)</f>
        <v>1</v>
      </c>
      <c r="L709"/>
    </row>
    <row r="710" spans="1:12" x14ac:dyDescent="0.3">
      <c r="A710" t="s">
        <v>716</v>
      </c>
      <c r="B710" t="s">
        <v>10017</v>
      </c>
      <c r="C710">
        <v>5</v>
      </c>
      <c r="D710">
        <v>1.5</v>
      </c>
      <c r="E710">
        <v>7.5</v>
      </c>
      <c r="F710" t="s">
        <v>10069</v>
      </c>
      <c r="G710" t="s">
        <v>10069</v>
      </c>
      <c r="H710" s="6">
        <v>45069</v>
      </c>
      <c r="I710">
        <f t="shared" si="22"/>
        <v>0</v>
      </c>
      <c r="J710" t="str">
        <f t="shared" si="23"/>
        <v>Complete</v>
      </c>
      <c r="K710">
        <f>COUNTIFS(RawData[Item], B710,RawData[Quantity],C710,RawData[Price Per Unit],D710,RawData[Total Spent],E710,RawData[Payment Method],F710,RawData[Location],G710,RawData[Transaction Date],H710)</f>
        <v>1</v>
      </c>
      <c r="L710"/>
    </row>
    <row r="711" spans="1:12" x14ac:dyDescent="0.3">
      <c r="A711" t="s">
        <v>717</v>
      </c>
      <c r="B711" t="s">
        <v>10011</v>
      </c>
      <c r="C711">
        <v>1</v>
      </c>
      <c r="D711">
        <v>5</v>
      </c>
      <c r="E711">
        <v>5</v>
      </c>
      <c r="F711" t="s">
        <v>10069</v>
      </c>
      <c r="G711" t="s">
        <v>10021</v>
      </c>
      <c r="H711" s="6">
        <v>45143</v>
      </c>
      <c r="I711">
        <f t="shared" si="22"/>
        <v>0</v>
      </c>
      <c r="J711" t="str">
        <f t="shared" si="23"/>
        <v>Complete</v>
      </c>
      <c r="K711">
        <f>COUNTIFS(RawData[Item], B711,RawData[Quantity],C711,RawData[Price Per Unit],D711,RawData[Total Spent],E711,RawData[Payment Method],F711,RawData[Location],G711,RawData[Transaction Date],H711)</f>
        <v>1</v>
      </c>
      <c r="L711"/>
    </row>
    <row r="712" spans="1:12" x14ac:dyDescent="0.3">
      <c r="A712" t="s">
        <v>718</v>
      </c>
      <c r="B712" t="s">
        <v>10017</v>
      </c>
      <c r="C712">
        <v>5</v>
      </c>
      <c r="D712">
        <v>1.5</v>
      </c>
      <c r="E712">
        <v>7.5</v>
      </c>
      <c r="F712" t="s">
        <v>10069</v>
      </c>
      <c r="G712" t="s">
        <v>10021</v>
      </c>
      <c r="H712" s="6">
        <v>45217</v>
      </c>
      <c r="I712">
        <f t="shared" si="22"/>
        <v>0</v>
      </c>
      <c r="J712" t="str">
        <f t="shared" si="23"/>
        <v>Complete</v>
      </c>
      <c r="K712">
        <f>COUNTIFS(RawData[Item], B712,RawData[Quantity],C712,RawData[Price Per Unit],D712,RawData[Total Spent],E712,RawData[Payment Method],F712,RawData[Location],G712,RawData[Transaction Date],H712)</f>
        <v>1</v>
      </c>
      <c r="L712"/>
    </row>
    <row r="713" spans="1:12" x14ac:dyDescent="0.3">
      <c r="A713" t="s">
        <v>719</v>
      </c>
      <c r="B713" t="s">
        <v>10009</v>
      </c>
      <c r="C713">
        <v>1</v>
      </c>
      <c r="D713">
        <v>3</v>
      </c>
      <c r="E713">
        <v>3</v>
      </c>
      <c r="F713" t="s">
        <v>10069</v>
      </c>
      <c r="G713" t="s">
        <v>10069</v>
      </c>
      <c r="H713" s="6">
        <v>44944</v>
      </c>
      <c r="I713">
        <f t="shared" si="22"/>
        <v>0</v>
      </c>
      <c r="J713" t="str">
        <f t="shared" si="23"/>
        <v>Complete</v>
      </c>
      <c r="K713">
        <f>COUNTIFS(RawData[Item], B713,RawData[Quantity],C713,RawData[Price Per Unit],D713,RawData[Total Spent],E713,RawData[Payment Method],F713,RawData[Location],G713,RawData[Transaction Date],H713)</f>
        <v>2</v>
      </c>
      <c r="L713"/>
    </row>
    <row r="714" spans="1:12" x14ac:dyDescent="0.3">
      <c r="A714" t="s">
        <v>720</v>
      </c>
      <c r="B714" t="s">
        <v>10008</v>
      </c>
      <c r="C714" t="s">
        <v>10013</v>
      </c>
      <c r="D714">
        <v>2</v>
      </c>
      <c r="E714">
        <v>6</v>
      </c>
      <c r="F714" t="s">
        <v>10069</v>
      </c>
      <c r="G714" t="s">
        <v>10102</v>
      </c>
      <c r="H714" s="6">
        <v>45204</v>
      </c>
      <c r="I714">
        <f t="shared" si="22"/>
        <v>1</v>
      </c>
      <c r="J714" t="str">
        <f t="shared" si="23"/>
        <v>Complete</v>
      </c>
      <c r="K714">
        <f>COUNTIFS(RawData[Item], B714,RawData[Quantity],C714,RawData[Price Per Unit],D714,RawData[Total Spent],E714,RawData[Payment Method],F714,RawData[Location],G714,RawData[Transaction Date],H714)</f>
        <v>1</v>
      </c>
      <c r="L714"/>
    </row>
    <row r="715" spans="1:12" x14ac:dyDescent="0.3">
      <c r="A715" t="s">
        <v>721</v>
      </c>
      <c r="B715" t="s">
        <v>10014</v>
      </c>
      <c r="C715">
        <v>4</v>
      </c>
      <c r="D715">
        <v>4</v>
      </c>
      <c r="E715">
        <v>16</v>
      </c>
      <c r="F715" t="s">
        <v>10018</v>
      </c>
      <c r="G715" t="s">
        <v>10102</v>
      </c>
      <c r="H715" s="6">
        <v>45229</v>
      </c>
      <c r="I715">
        <f t="shared" si="22"/>
        <v>0</v>
      </c>
      <c r="J715" t="str">
        <f t="shared" si="23"/>
        <v>Complete</v>
      </c>
      <c r="K715">
        <f>COUNTIFS(RawData[Item], B715,RawData[Quantity],C715,RawData[Price Per Unit],D715,RawData[Total Spent],E715,RawData[Payment Method],F715,RawData[Location],G715,RawData[Transaction Date],H715)</f>
        <v>1</v>
      </c>
      <c r="L715"/>
    </row>
    <row r="716" spans="1:12" x14ac:dyDescent="0.3">
      <c r="A716" t="s">
        <v>722</v>
      </c>
      <c r="B716" t="s">
        <v>10017</v>
      </c>
      <c r="C716">
        <v>1</v>
      </c>
      <c r="D716">
        <v>1.5</v>
      </c>
      <c r="E716">
        <v>1.5</v>
      </c>
      <c r="F716" t="s">
        <v>10020</v>
      </c>
      <c r="G716" t="s">
        <v>10102</v>
      </c>
      <c r="H716" s="6">
        <v>45007</v>
      </c>
      <c r="I716">
        <f t="shared" si="22"/>
        <v>0</v>
      </c>
      <c r="J716" t="str">
        <f t="shared" si="23"/>
        <v>Complete</v>
      </c>
      <c r="K716">
        <f>COUNTIFS(RawData[Item], B716,RawData[Quantity],C716,RawData[Price Per Unit],D716,RawData[Total Spent],E716,RawData[Payment Method],F716,RawData[Location],G716,RawData[Transaction Date],H716)</f>
        <v>1</v>
      </c>
      <c r="L716"/>
    </row>
    <row r="717" spans="1:12" x14ac:dyDescent="0.3">
      <c r="A717" t="s">
        <v>723</v>
      </c>
      <c r="B717" t="s">
        <v>10011</v>
      </c>
      <c r="C717">
        <v>3</v>
      </c>
      <c r="D717">
        <v>5</v>
      </c>
      <c r="E717">
        <v>15</v>
      </c>
      <c r="F717" t="s">
        <v>10069</v>
      </c>
      <c r="G717" t="s">
        <v>10021</v>
      </c>
      <c r="H717" s="6">
        <v>45210</v>
      </c>
      <c r="I717">
        <f t="shared" si="22"/>
        <v>0</v>
      </c>
      <c r="J717" t="str">
        <f t="shared" si="23"/>
        <v>Complete</v>
      </c>
      <c r="K717">
        <f>COUNTIFS(RawData[Item], B717,RawData[Quantity],C717,RawData[Price Per Unit],D717,RawData[Total Spent],E717,RawData[Payment Method],F717,RawData[Location],G717,RawData[Transaction Date],H717)</f>
        <v>1</v>
      </c>
      <c r="L717"/>
    </row>
    <row r="718" spans="1:12" x14ac:dyDescent="0.3">
      <c r="A718" t="s">
        <v>724</v>
      </c>
      <c r="B718" t="s">
        <v>10014</v>
      </c>
      <c r="C718">
        <v>1</v>
      </c>
      <c r="D718">
        <v>4</v>
      </c>
      <c r="E718">
        <v>4</v>
      </c>
      <c r="F718" t="s">
        <v>10069</v>
      </c>
      <c r="G718" t="s">
        <v>10021</v>
      </c>
      <c r="H718" s="6">
        <v>45146</v>
      </c>
      <c r="I718">
        <f t="shared" si="22"/>
        <v>0</v>
      </c>
      <c r="J718" t="str">
        <f t="shared" si="23"/>
        <v>Complete</v>
      </c>
      <c r="K718">
        <f>COUNTIFS(RawData[Item], B718,RawData[Quantity],C718,RawData[Price Per Unit],D718,RawData[Total Spent],E718,RawData[Payment Method],F718,RawData[Location],G718,RawData[Transaction Date],H718)</f>
        <v>1</v>
      </c>
      <c r="L718"/>
    </row>
    <row r="719" spans="1:12" x14ac:dyDescent="0.3">
      <c r="A719" t="s">
        <v>725</v>
      </c>
      <c r="B719" t="s">
        <v>10013</v>
      </c>
      <c r="C719">
        <v>5</v>
      </c>
      <c r="D719">
        <v>1.5</v>
      </c>
      <c r="E719">
        <v>7.5</v>
      </c>
      <c r="F719" t="s">
        <v>10069</v>
      </c>
      <c r="G719" t="s">
        <v>10104</v>
      </c>
      <c r="H719" s="6">
        <v>45286</v>
      </c>
      <c r="I719">
        <f t="shared" si="22"/>
        <v>2</v>
      </c>
      <c r="J719" t="str">
        <f t="shared" si="23"/>
        <v>Complete</v>
      </c>
      <c r="K719">
        <f>COUNTIFS(RawData[Item], B719,RawData[Quantity],C719,RawData[Price Per Unit],D719,RawData[Total Spent],E719,RawData[Payment Method],F719,RawData[Location],G719,RawData[Transaction Date],H719)</f>
        <v>1</v>
      </c>
      <c r="L719"/>
    </row>
    <row r="720" spans="1:12" x14ac:dyDescent="0.3">
      <c r="A720" t="s">
        <v>726</v>
      </c>
      <c r="B720" t="s">
        <v>10010</v>
      </c>
      <c r="C720">
        <v>3</v>
      </c>
      <c r="D720">
        <v>0</v>
      </c>
      <c r="E720">
        <v>3</v>
      </c>
      <c r="F720" t="s">
        <v>10020</v>
      </c>
      <c r="G720" t="s">
        <v>10069</v>
      </c>
      <c r="H720" s="6" t="s">
        <v>10112</v>
      </c>
      <c r="I720">
        <f t="shared" si="22"/>
        <v>1</v>
      </c>
      <c r="J720" t="str">
        <f t="shared" si="23"/>
        <v>Incomplete</v>
      </c>
      <c r="K720">
        <f>COUNTIFS(RawData[Item], B720,RawData[Quantity],C720,RawData[Price Per Unit],D720,RawData[Total Spent],E720,RawData[Payment Method],F720,RawData[Location],G720,RawData[Transaction Date],H720)</f>
        <v>1</v>
      </c>
      <c r="L720"/>
    </row>
    <row r="721" spans="1:12" x14ac:dyDescent="0.3">
      <c r="A721" t="s">
        <v>727</v>
      </c>
      <c r="B721" t="s">
        <v>10014</v>
      </c>
      <c r="C721">
        <v>1</v>
      </c>
      <c r="D721">
        <v>4</v>
      </c>
      <c r="E721">
        <v>4</v>
      </c>
      <c r="F721" t="s">
        <v>10020</v>
      </c>
      <c r="G721" t="s">
        <v>10021</v>
      </c>
      <c r="H721" s="6">
        <v>45165</v>
      </c>
      <c r="I721">
        <f t="shared" si="22"/>
        <v>0</v>
      </c>
      <c r="J721" t="str">
        <f t="shared" si="23"/>
        <v>Complete</v>
      </c>
      <c r="K721">
        <f>COUNTIFS(RawData[Item], B721,RawData[Quantity],C721,RawData[Price Per Unit],D721,RawData[Total Spent],E721,RawData[Payment Method],F721,RawData[Location],G721,RawData[Transaction Date],H721)</f>
        <v>1</v>
      </c>
      <c r="L721"/>
    </row>
    <row r="722" spans="1:12" x14ac:dyDescent="0.3">
      <c r="A722" t="s">
        <v>728</v>
      </c>
      <c r="B722" t="s">
        <v>10012</v>
      </c>
      <c r="C722">
        <v>5</v>
      </c>
      <c r="D722" t="s">
        <v>10013</v>
      </c>
      <c r="E722">
        <v>20</v>
      </c>
      <c r="F722" t="s">
        <v>10018</v>
      </c>
      <c r="G722" t="s">
        <v>10021</v>
      </c>
      <c r="H722" s="6">
        <v>45072</v>
      </c>
      <c r="I722">
        <f t="shared" si="22"/>
        <v>1</v>
      </c>
      <c r="J722" t="str">
        <f t="shared" si="23"/>
        <v>Complete</v>
      </c>
      <c r="K722">
        <f>COUNTIFS(RawData[Item], B722,RawData[Quantity],C722,RawData[Price Per Unit],D722,RawData[Total Spent],E722,RawData[Payment Method],F722,RawData[Location],G722,RawData[Transaction Date],H722)</f>
        <v>1</v>
      </c>
      <c r="L722"/>
    </row>
    <row r="723" spans="1:12" x14ac:dyDescent="0.3">
      <c r="A723" t="s">
        <v>729</v>
      </c>
      <c r="B723" t="s">
        <v>10017</v>
      </c>
      <c r="C723">
        <v>2</v>
      </c>
      <c r="D723">
        <v>1.5</v>
      </c>
      <c r="E723">
        <v>3</v>
      </c>
      <c r="F723" t="s">
        <v>10018</v>
      </c>
      <c r="G723" t="s">
        <v>10069</v>
      </c>
      <c r="H723" s="6">
        <v>45093</v>
      </c>
      <c r="I723">
        <f t="shared" si="22"/>
        <v>0</v>
      </c>
      <c r="J723" t="str">
        <f t="shared" si="23"/>
        <v>Complete</v>
      </c>
      <c r="K723">
        <f>COUNTIFS(RawData[Item], B723,RawData[Quantity],C723,RawData[Price Per Unit],D723,RawData[Total Spent],E723,RawData[Payment Method],F723,RawData[Location],G723,RawData[Transaction Date],H723)</f>
        <v>1</v>
      </c>
      <c r="L723"/>
    </row>
    <row r="724" spans="1:12" x14ac:dyDescent="0.3">
      <c r="A724" t="s">
        <v>730</v>
      </c>
      <c r="B724" t="s">
        <v>10010</v>
      </c>
      <c r="C724">
        <v>1</v>
      </c>
      <c r="D724">
        <v>1</v>
      </c>
      <c r="E724">
        <v>1</v>
      </c>
      <c r="F724" t="s">
        <v>10104</v>
      </c>
      <c r="G724" t="s">
        <v>10021</v>
      </c>
      <c r="H724" s="6" t="s">
        <v>10112</v>
      </c>
      <c r="I724">
        <f t="shared" si="22"/>
        <v>2</v>
      </c>
      <c r="J724" t="str">
        <f t="shared" si="23"/>
        <v>Incomplete</v>
      </c>
      <c r="K724">
        <f>COUNTIFS(RawData[Item], B724,RawData[Quantity],C724,RawData[Price Per Unit],D724,RawData[Total Spent],E724,RawData[Payment Method],F724,RawData[Location],G724,RawData[Transaction Date],H724)</f>
        <v>1</v>
      </c>
      <c r="L724"/>
    </row>
    <row r="725" spans="1:12" x14ac:dyDescent="0.3">
      <c r="A725" t="s">
        <v>731</v>
      </c>
      <c r="B725" t="s">
        <v>10017</v>
      </c>
      <c r="C725">
        <v>4</v>
      </c>
      <c r="D725">
        <v>1.5</v>
      </c>
      <c r="E725">
        <v>6</v>
      </c>
      <c r="F725" t="s">
        <v>10019</v>
      </c>
      <c r="G725" t="s">
        <v>10021</v>
      </c>
      <c r="H725" s="6">
        <v>45285</v>
      </c>
      <c r="I725">
        <f t="shared" si="22"/>
        <v>0</v>
      </c>
      <c r="J725" t="str">
        <f t="shared" si="23"/>
        <v>Complete</v>
      </c>
      <c r="K725">
        <f>COUNTIFS(RawData[Item], B725,RawData[Quantity],C725,RawData[Price Per Unit],D725,RawData[Total Spent],E725,RawData[Payment Method],F725,RawData[Location],G725,RawData[Transaction Date],H725)</f>
        <v>1</v>
      </c>
      <c r="L725"/>
    </row>
    <row r="726" spans="1:12" x14ac:dyDescent="0.3">
      <c r="A726" t="s">
        <v>732</v>
      </c>
      <c r="B726" t="s">
        <v>10013</v>
      </c>
      <c r="C726" t="s">
        <v>10015</v>
      </c>
      <c r="D726">
        <v>2</v>
      </c>
      <c r="E726">
        <v>6</v>
      </c>
      <c r="F726" t="s">
        <v>10018</v>
      </c>
      <c r="G726" t="s">
        <v>10102</v>
      </c>
      <c r="H726" s="6">
        <v>45159</v>
      </c>
      <c r="I726">
        <f t="shared" si="22"/>
        <v>2</v>
      </c>
      <c r="J726" t="str">
        <f t="shared" si="23"/>
        <v>Complete</v>
      </c>
      <c r="K726">
        <f>COUNTIFS(RawData[Item], B726,RawData[Quantity],C726,RawData[Price Per Unit],D726,RawData[Total Spent],E726,RawData[Payment Method],F726,RawData[Location],G726,RawData[Transaction Date],H726)</f>
        <v>1</v>
      </c>
      <c r="L726"/>
    </row>
    <row r="727" spans="1:12" x14ac:dyDescent="0.3">
      <c r="A727" t="s">
        <v>733</v>
      </c>
      <c r="B727" t="s">
        <v>10014</v>
      </c>
      <c r="C727">
        <v>4</v>
      </c>
      <c r="D727">
        <v>4</v>
      </c>
      <c r="E727">
        <v>16</v>
      </c>
      <c r="F727" t="s">
        <v>10069</v>
      </c>
      <c r="G727" t="s">
        <v>10069</v>
      </c>
      <c r="H727" s="6">
        <v>44951</v>
      </c>
      <c r="I727">
        <f t="shared" si="22"/>
        <v>0</v>
      </c>
      <c r="J727" t="str">
        <f t="shared" si="23"/>
        <v>Complete</v>
      </c>
      <c r="K727">
        <f>COUNTIFS(RawData[Item], B727,RawData[Quantity],C727,RawData[Price Per Unit],D727,RawData[Total Spent],E727,RawData[Payment Method],F727,RawData[Location],G727,RawData[Transaction Date],H727)</f>
        <v>1</v>
      </c>
      <c r="L727"/>
    </row>
    <row r="728" spans="1:12" x14ac:dyDescent="0.3">
      <c r="A728" t="s">
        <v>734</v>
      </c>
      <c r="B728" t="s">
        <v>10008</v>
      </c>
      <c r="C728">
        <v>1</v>
      </c>
      <c r="D728">
        <v>2</v>
      </c>
      <c r="E728">
        <v>2</v>
      </c>
      <c r="F728" t="s">
        <v>10069</v>
      </c>
      <c r="G728" t="s">
        <v>10104</v>
      </c>
      <c r="H728" s="6">
        <v>45170</v>
      </c>
      <c r="I728">
        <f t="shared" si="22"/>
        <v>1</v>
      </c>
      <c r="J728" t="str">
        <f t="shared" si="23"/>
        <v>Complete</v>
      </c>
      <c r="K728">
        <f>COUNTIFS(RawData[Item], B728,RawData[Quantity],C728,RawData[Price Per Unit],D728,RawData[Total Spent],E728,RawData[Payment Method],F728,RawData[Location],G728,RawData[Transaction Date],H728)</f>
        <v>1</v>
      </c>
      <c r="L728"/>
    </row>
    <row r="729" spans="1:12" x14ac:dyDescent="0.3">
      <c r="A729" t="s">
        <v>735</v>
      </c>
      <c r="B729" t="s">
        <v>10013</v>
      </c>
      <c r="C729">
        <v>2</v>
      </c>
      <c r="D729">
        <v>4</v>
      </c>
      <c r="E729" t="s">
        <v>10013</v>
      </c>
      <c r="F729" t="s">
        <v>10104</v>
      </c>
      <c r="G729" t="s">
        <v>10069</v>
      </c>
      <c r="H729" s="6">
        <v>45185</v>
      </c>
      <c r="I729">
        <f t="shared" si="22"/>
        <v>3</v>
      </c>
      <c r="J729" t="str">
        <f t="shared" si="23"/>
        <v>Complete</v>
      </c>
      <c r="K729">
        <f>COUNTIFS(RawData[Item], B729,RawData[Quantity],C729,RawData[Price Per Unit],D729,RawData[Total Spent],E729,RawData[Payment Method],F729,RawData[Location],G729,RawData[Transaction Date],H729)</f>
        <v>1</v>
      </c>
      <c r="L729"/>
    </row>
    <row r="730" spans="1:12" x14ac:dyDescent="0.3">
      <c r="A730" t="s">
        <v>736</v>
      </c>
      <c r="B730" t="s">
        <v>10008</v>
      </c>
      <c r="C730">
        <v>5</v>
      </c>
      <c r="D730">
        <v>2</v>
      </c>
      <c r="E730">
        <v>10</v>
      </c>
      <c r="F730" t="s">
        <v>10020</v>
      </c>
      <c r="G730" t="s">
        <v>10021</v>
      </c>
      <c r="H730" s="6">
        <v>45222</v>
      </c>
      <c r="I730">
        <f t="shared" si="22"/>
        <v>0</v>
      </c>
      <c r="J730" t="str">
        <f t="shared" si="23"/>
        <v>Complete</v>
      </c>
      <c r="K730">
        <f>COUNTIFS(RawData[Item], B730,RawData[Quantity],C730,RawData[Price Per Unit],D730,RawData[Total Spent],E730,RawData[Payment Method],F730,RawData[Location],G730,RawData[Transaction Date],H730)</f>
        <v>1</v>
      </c>
      <c r="L730"/>
    </row>
    <row r="731" spans="1:12" x14ac:dyDescent="0.3">
      <c r="A731" t="s">
        <v>737</v>
      </c>
      <c r="B731" t="s">
        <v>10010</v>
      </c>
      <c r="C731">
        <v>5</v>
      </c>
      <c r="D731">
        <v>1</v>
      </c>
      <c r="E731">
        <v>5</v>
      </c>
      <c r="F731" t="s">
        <v>10103</v>
      </c>
      <c r="G731" t="s">
        <v>10102</v>
      </c>
      <c r="H731" s="6">
        <v>44976</v>
      </c>
      <c r="I731">
        <f t="shared" si="22"/>
        <v>1</v>
      </c>
      <c r="J731" t="str">
        <f t="shared" si="23"/>
        <v>Complete</v>
      </c>
      <c r="K731">
        <f>COUNTIFS(RawData[Item], B731,RawData[Quantity],C731,RawData[Price Per Unit],D731,RawData[Total Spent],E731,RawData[Payment Method],F731,RawData[Location],G731,RawData[Transaction Date],H731)</f>
        <v>1</v>
      </c>
      <c r="L731"/>
    </row>
    <row r="732" spans="1:12" x14ac:dyDescent="0.3">
      <c r="A732" t="s">
        <v>738</v>
      </c>
      <c r="B732" t="s">
        <v>10011</v>
      </c>
      <c r="C732">
        <v>3</v>
      </c>
      <c r="D732">
        <v>5</v>
      </c>
      <c r="E732">
        <v>15</v>
      </c>
      <c r="F732" t="s">
        <v>10020</v>
      </c>
      <c r="G732" t="s">
        <v>10102</v>
      </c>
      <c r="H732" s="6">
        <v>45240</v>
      </c>
      <c r="I732">
        <f t="shared" si="22"/>
        <v>0</v>
      </c>
      <c r="J732" t="str">
        <f t="shared" si="23"/>
        <v>Complete</v>
      </c>
      <c r="K732">
        <f>COUNTIFS(RawData[Item], B732,RawData[Quantity],C732,RawData[Price Per Unit],D732,RawData[Total Spent],E732,RawData[Payment Method],F732,RawData[Location],G732,RawData[Transaction Date],H732)</f>
        <v>1</v>
      </c>
      <c r="L732"/>
    </row>
    <row r="733" spans="1:12" x14ac:dyDescent="0.3">
      <c r="A733" t="s">
        <v>739</v>
      </c>
      <c r="B733" t="s">
        <v>10008</v>
      </c>
      <c r="C733">
        <v>4</v>
      </c>
      <c r="D733">
        <v>2</v>
      </c>
      <c r="E733">
        <v>8</v>
      </c>
      <c r="F733" t="s">
        <v>10018</v>
      </c>
      <c r="G733" t="s">
        <v>10069</v>
      </c>
      <c r="H733" s="6">
        <v>45088</v>
      </c>
      <c r="I733">
        <f t="shared" si="22"/>
        <v>0</v>
      </c>
      <c r="J733" t="str">
        <f t="shared" si="23"/>
        <v>Complete</v>
      </c>
      <c r="K733">
        <f>COUNTIFS(RawData[Item], B733,RawData[Quantity],C733,RawData[Price Per Unit],D733,RawData[Total Spent],E733,RawData[Payment Method],F733,RawData[Location],G733,RawData[Transaction Date],H733)</f>
        <v>1</v>
      </c>
      <c r="L733"/>
    </row>
    <row r="734" spans="1:12" x14ac:dyDescent="0.3">
      <c r="A734" t="s">
        <v>740</v>
      </c>
      <c r="B734" t="s">
        <v>10017</v>
      </c>
      <c r="C734">
        <v>5</v>
      </c>
      <c r="D734">
        <v>1.5</v>
      </c>
      <c r="E734">
        <v>7.5</v>
      </c>
      <c r="F734" t="s">
        <v>10069</v>
      </c>
      <c r="G734" t="s">
        <v>10103</v>
      </c>
      <c r="H734" s="6">
        <v>45192</v>
      </c>
      <c r="I734">
        <f t="shared" si="22"/>
        <v>1</v>
      </c>
      <c r="J734" t="str">
        <f t="shared" si="23"/>
        <v>Complete</v>
      </c>
      <c r="K734">
        <f>COUNTIFS(RawData[Item], B734,RawData[Quantity],C734,RawData[Price Per Unit],D734,RawData[Total Spent],E734,RawData[Payment Method],F734,RawData[Location],G734,RawData[Transaction Date],H734)</f>
        <v>1</v>
      </c>
      <c r="L734"/>
    </row>
    <row r="735" spans="1:12" x14ac:dyDescent="0.3">
      <c r="A735" t="s">
        <v>741</v>
      </c>
      <c r="B735" t="s">
        <v>10014</v>
      </c>
      <c r="C735">
        <v>1</v>
      </c>
      <c r="D735">
        <v>4</v>
      </c>
      <c r="E735">
        <v>4</v>
      </c>
      <c r="F735" t="s">
        <v>10019</v>
      </c>
      <c r="G735" t="s">
        <v>10069</v>
      </c>
      <c r="H735" s="6">
        <v>45101</v>
      </c>
      <c r="I735">
        <f t="shared" si="22"/>
        <v>0</v>
      </c>
      <c r="J735" t="str">
        <f t="shared" si="23"/>
        <v>Complete</v>
      </c>
      <c r="K735">
        <f>COUNTIFS(RawData[Item], B735,RawData[Quantity],C735,RawData[Price Per Unit],D735,RawData[Total Spent],E735,RawData[Payment Method],F735,RawData[Location],G735,RawData[Transaction Date],H735)</f>
        <v>1</v>
      </c>
      <c r="L735"/>
    </row>
    <row r="736" spans="1:12" x14ac:dyDescent="0.3">
      <c r="A736" t="s">
        <v>742</v>
      </c>
      <c r="B736" t="s">
        <v>10014</v>
      </c>
      <c r="C736">
        <v>3</v>
      </c>
      <c r="D736">
        <v>4</v>
      </c>
      <c r="E736" t="s">
        <v>10015</v>
      </c>
      <c r="F736" t="s">
        <v>10019</v>
      </c>
      <c r="G736" t="s">
        <v>10104</v>
      </c>
      <c r="H736" s="6">
        <v>45011</v>
      </c>
      <c r="I736">
        <f t="shared" si="22"/>
        <v>2</v>
      </c>
      <c r="J736" t="str">
        <f t="shared" si="23"/>
        <v>Complete</v>
      </c>
      <c r="K736">
        <f>COUNTIFS(RawData[Item], B736,RawData[Quantity],C736,RawData[Price Per Unit],D736,RawData[Total Spent],E736,RawData[Payment Method],F736,RawData[Location],G736,RawData[Transaction Date],H736)</f>
        <v>1</v>
      </c>
      <c r="L736"/>
    </row>
    <row r="737" spans="1:12" x14ac:dyDescent="0.3">
      <c r="A737" t="s">
        <v>743</v>
      </c>
      <c r="B737" t="s">
        <v>10008</v>
      </c>
      <c r="C737">
        <v>2</v>
      </c>
      <c r="D737">
        <v>2</v>
      </c>
      <c r="E737">
        <v>4</v>
      </c>
      <c r="F737" t="s">
        <v>10020</v>
      </c>
      <c r="G737" t="s">
        <v>10021</v>
      </c>
      <c r="H737" s="6">
        <v>45036</v>
      </c>
      <c r="I737">
        <f t="shared" si="22"/>
        <v>0</v>
      </c>
      <c r="J737" t="str">
        <f t="shared" si="23"/>
        <v>Complete</v>
      </c>
      <c r="K737">
        <f>COUNTIFS(RawData[Item], B737,RawData[Quantity],C737,RawData[Price Per Unit],D737,RawData[Total Spent],E737,RawData[Payment Method],F737,RawData[Location],G737,RawData[Transaction Date],H737)</f>
        <v>1</v>
      </c>
      <c r="L737"/>
    </row>
    <row r="738" spans="1:12" x14ac:dyDescent="0.3">
      <c r="A738" t="s">
        <v>744</v>
      </c>
      <c r="B738" t="s">
        <v>10008</v>
      </c>
      <c r="C738">
        <v>3</v>
      </c>
      <c r="D738" t="s">
        <v>10013</v>
      </c>
      <c r="E738">
        <v>6</v>
      </c>
      <c r="F738" t="s">
        <v>10020</v>
      </c>
      <c r="G738" t="s">
        <v>10021</v>
      </c>
      <c r="H738" s="6">
        <v>45184</v>
      </c>
      <c r="I738">
        <f t="shared" si="22"/>
        <v>1</v>
      </c>
      <c r="J738" t="str">
        <f t="shared" si="23"/>
        <v>Complete</v>
      </c>
      <c r="K738">
        <f>COUNTIFS(RawData[Item], B738,RawData[Quantity],C738,RawData[Price Per Unit],D738,RawData[Total Spent],E738,RawData[Payment Method],F738,RawData[Location],G738,RawData[Transaction Date],H738)</f>
        <v>1</v>
      </c>
      <c r="L738"/>
    </row>
    <row r="739" spans="1:12" x14ac:dyDescent="0.3">
      <c r="A739" t="s">
        <v>745</v>
      </c>
      <c r="B739" t="s">
        <v>10011</v>
      </c>
      <c r="C739">
        <v>5</v>
      </c>
      <c r="D739">
        <v>5</v>
      </c>
      <c r="E739">
        <v>25</v>
      </c>
      <c r="F739" t="s">
        <v>10069</v>
      </c>
      <c r="G739" t="s">
        <v>10102</v>
      </c>
      <c r="H739" s="6" t="s">
        <v>10112</v>
      </c>
      <c r="I739">
        <f t="shared" si="22"/>
        <v>1</v>
      </c>
      <c r="J739" t="str">
        <f t="shared" si="23"/>
        <v>Incomplete</v>
      </c>
      <c r="K739">
        <f>COUNTIFS(RawData[Item], B739,RawData[Quantity],C739,RawData[Price Per Unit],D739,RawData[Total Spent],E739,RawData[Payment Method],F739,RawData[Location],G739,RawData[Transaction Date],H739)</f>
        <v>1</v>
      </c>
      <c r="L739"/>
    </row>
    <row r="740" spans="1:12" x14ac:dyDescent="0.3">
      <c r="A740" t="s">
        <v>746</v>
      </c>
      <c r="B740" t="s">
        <v>10014</v>
      </c>
      <c r="C740" t="s">
        <v>10013</v>
      </c>
      <c r="D740">
        <v>4</v>
      </c>
      <c r="E740">
        <v>0</v>
      </c>
      <c r="F740" t="s">
        <v>10069</v>
      </c>
      <c r="G740" t="s">
        <v>10021</v>
      </c>
      <c r="H740" s="6">
        <v>45060</v>
      </c>
      <c r="I740">
        <f t="shared" si="22"/>
        <v>1</v>
      </c>
      <c r="J740" t="str">
        <f t="shared" si="23"/>
        <v>Complete</v>
      </c>
      <c r="K740">
        <f>COUNTIFS(RawData[Item], B740,RawData[Quantity],C740,RawData[Price Per Unit],D740,RawData[Total Spent],E740,RawData[Payment Method],F740,RawData[Location],G740,RawData[Transaction Date],H740)</f>
        <v>1</v>
      </c>
      <c r="L740"/>
    </row>
    <row r="741" spans="1:12" x14ac:dyDescent="0.3">
      <c r="A741" t="s">
        <v>747</v>
      </c>
      <c r="B741" t="s">
        <v>10016</v>
      </c>
      <c r="C741">
        <v>1</v>
      </c>
      <c r="D741">
        <v>3</v>
      </c>
      <c r="E741">
        <v>3</v>
      </c>
      <c r="F741" t="s">
        <v>10069</v>
      </c>
      <c r="G741" t="s">
        <v>10103</v>
      </c>
      <c r="H741" s="6">
        <v>44984</v>
      </c>
      <c r="I741">
        <f t="shared" si="22"/>
        <v>1</v>
      </c>
      <c r="J741" t="str">
        <f t="shared" si="23"/>
        <v>Complete</v>
      </c>
      <c r="K741">
        <f>COUNTIFS(RawData[Item], B741,RawData[Quantity],C741,RawData[Price Per Unit],D741,RawData[Total Spent],E741,RawData[Payment Method],F741,RawData[Location],G741,RawData[Transaction Date],H741)</f>
        <v>1</v>
      </c>
      <c r="L741"/>
    </row>
    <row r="742" spans="1:12" x14ac:dyDescent="0.3">
      <c r="A742" t="s">
        <v>748</v>
      </c>
      <c r="B742" t="s">
        <v>10016</v>
      </c>
      <c r="C742">
        <v>5</v>
      </c>
      <c r="D742">
        <v>3</v>
      </c>
      <c r="E742">
        <v>15</v>
      </c>
      <c r="F742" t="s">
        <v>10019</v>
      </c>
      <c r="G742" t="s">
        <v>10021</v>
      </c>
      <c r="H742" s="6">
        <v>45052</v>
      </c>
      <c r="I742">
        <f t="shared" si="22"/>
        <v>0</v>
      </c>
      <c r="J742" t="str">
        <f t="shared" si="23"/>
        <v>Complete</v>
      </c>
      <c r="K742">
        <f>COUNTIFS(RawData[Item], B742,RawData[Quantity],C742,RawData[Price Per Unit],D742,RawData[Total Spent],E742,RawData[Payment Method],F742,RawData[Location],G742,RawData[Transaction Date],H742)</f>
        <v>1</v>
      </c>
      <c r="L742"/>
    </row>
    <row r="743" spans="1:12" x14ac:dyDescent="0.3">
      <c r="A743" t="s">
        <v>749</v>
      </c>
      <c r="B743" t="s">
        <v>10016</v>
      </c>
      <c r="C743">
        <v>1</v>
      </c>
      <c r="D743">
        <v>3</v>
      </c>
      <c r="E743">
        <v>3</v>
      </c>
      <c r="F743" t="s">
        <v>10019</v>
      </c>
      <c r="G743" t="s">
        <v>10102</v>
      </c>
      <c r="H743" s="6">
        <v>44977</v>
      </c>
      <c r="I743">
        <f t="shared" si="22"/>
        <v>0</v>
      </c>
      <c r="J743" t="str">
        <f t="shared" si="23"/>
        <v>Complete</v>
      </c>
      <c r="K743">
        <f>COUNTIFS(RawData[Item], B743,RawData[Quantity],C743,RawData[Price Per Unit],D743,RawData[Total Spent],E743,RawData[Payment Method],F743,RawData[Location],G743,RawData[Transaction Date],H743)</f>
        <v>1</v>
      </c>
      <c r="L743"/>
    </row>
    <row r="744" spans="1:12" x14ac:dyDescent="0.3">
      <c r="A744" t="s">
        <v>750</v>
      </c>
      <c r="B744" t="s">
        <v>10012</v>
      </c>
      <c r="C744">
        <v>5</v>
      </c>
      <c r="D744">
        <v>4</v>
      </c>
      <c r="E744">
        <v>20</v>
      </c>
      <c r="F744" t="s">
        <v>10103</v>
      </c>
      <c r="G744" t="s">
        <v>10021</v>
      </c>
      <c r="H744" s="6">
        <v>45082</v>
      </c>
      <c r="I744">
        <f t="shared" si="22"/>
        <v>1</v>
      </c>
      <c r="J744" t="str">
        <f t="shared" si="23"/>
        <v>Complete</v>
      </c>
      <c r="K744">
        <f>COUNTIFS(RawData[Item], B744,RawData[Quantity],C744,RawData[Price Per Unit],D744,RawData[Total Spent],E744,RawData[Payment Method],F744,RawData[Location],G744,RawData[Transaction Date],H744)</f>
        <v>1</v>
      </c>
      <c r="L744"/>
    </row>
    <row r="745" spans="1:12" x14ac:dyDescent="0.3">
      <c r="A745" t="s">
        <v>751</v>
      </c>
      <c r="B745" t="s">
        <v>10010</v>
      </c>
      <c r="C745" t="s">
        <v>10013</v>
      </c>
      <c r="D745">
        <v>1</v>
      </c>
      <c r="E745">
        <v>3</v>
      </c>
      <c r="F745" t="s">
        <v>10018</v>
      </c>
      <c r="G745" t="s">
        <v>10102</v>
      </c>
      <c r="H745" s="6">
        <v>44933</v>
      </c>
      <c r="I745">
        <f t="shared" si="22"/>
        <v>1</v>
      </c>
      <c r="J745" t="str">
        <f t="shared" si="23"/>
        <v>Complete</v>
      </c>
      <c r="K745">
        <f>COUNTIFS(RawData[Item], B745,RawData[Quantity],C745,RawData[Price Per Unit],D745,RawData[Total Spent],E745,RawData[Payment Method],F745,RawData[Location],G745,RawData[Transaction Date],H745)</f>
        <v>1</v>
      </c>
      <c r="L745"/>
    </row>
    <row r="746" spans="1:12" x14ac:dyDescent="0.3">
      <c r="A746" t="s">
        <v>752</v>
      </c>
      <c r="B746" t="s">
        <v>10011</v>
      </c>
      <c r="C746">
        <v>5</v>
      </c>
      <c r="D746">
        <v>5</v>
      </c>
      <c r="E746">
        <v>25</v>
      </c>
      <c r="F746" t="s">
        <v>10018</v>
      </c>
      <c r="G746" t="s">
        <v>10069</v>
      </c>
      <c r="H746" s="6" t="s">
        <v>10112</v>
      </c>
      <c r="I746">
        <f t="shared" si="22"/>
        <v>1</v>
      </c>
      <c r="J746" t="str">
        <f t="shared" si="23"/>
        <v>Incomplete</v>
      </c>
      <c r="K746">
        <f>COUNTIFS(RawData[Item], B746,RawData[Quantity],C746,RawData[Price Per Unit],D746,RawData[Total Spent],E746,RawData[Payment Method],F746,RawData[Location],G746,RawData[Transaction Date],H746)</f>
        <v>1</v>
      </c>
      <c r="L746"/>
    </row>
    <row r="747" spans="1:12" x14ac:dyDescent="0.3">
      <c r="A747" t="s">
        <v>753</v>
      </c>
      <c r="B747" t="s">
        <v>10017</v>
      </c>
      <c r="C747">
        <v>1</v>
      </c>
      <c r="D747">
        <v>1.5</v>
      </c>
      <c r="E747">
        <v>1.5</v>
      </c>
      <c r="F747" t="s">
        <v>10020</v>
      </c>
      <c r="G747" t="s">
        <v>10021</v>
      </c>
      <c r="H747" s="6">
        <v>45070</v>
      </c>
      <c r="I747">
        <f t="shared" si="22"/>
        <v>0</v>
      </c>
      <c r="J747" t="str">
        <f t="shared" si="23"/>
        <v>Complete</v>
      </c>
      <c r="K747">
        <f>COUNTIFS(RawData[Item], B747,RawData[Quantity],C747,RawData[Price Per Unit],D747,RawData[Total Spent],E747,RawData[Payment Method],F747,RawData[Location],G747,RawData[Transaction Date],H747)</f>
        <v>1</v>
      </c>
      <c r="L747"/>
    </row>
    <row r="748" spans="1:12" x14ac:dyDescent="0.3">
      <c r="A748" t="s">
        <v>754</v>
      </c>
      <c r="B748" t="s">
        <v>10013</v>
      </c>
      <c r="C748">
        <v>2</v>
      </c>
      <c r="D748">
        <v>4</v>
      </c>
      <c r="E748">
        <v>8</v>
      </c>
      <c r="F748" t="s">
        <v>10018</v>
      </c>
      <c r="G748" t="s">
        <v>10102</v>
      </c>
      <c r="H748" s="6">
        <v>44965</v>
      </c>
      <c r="I748">
        <f t="shared" si="22"/>
        <v>1</v>
      </c>
      <c r="J748" t="str">
        <f t="shared" si="23"/>
        <v>Complete</v>
      </c>
      <c r="K748">
        <f>COUNTIFS(RawData[Item], B748,RawData[Quantity],C748,RawData[Price Per Unit],D748,RawData[Total Spent],E748,RawData[Payment Method],F748,RawData[Location],G748,RawData[Transaction Date],H748)</f>
        <v>1</v>
      </c>
      <c r="L748"/>
    </row>
    <row r="749" spans="1:12" x14ac:dyDescent="0.3">
      <c r="A749" t="s">
        <v>755</v>
      </c>
      <c r="B749" t="s">
        <v>10017</v>
      </c>
      <c r="C749">
        <v>4</v>
      </c>
      <c r="D749">
        <v>1.5</v>
      </c>
      <c r="E749">
        <v>6</v>
      </c>
      <c r="F749" t="s">
        <v>10020</v>
      </c>
      <c r="G749" t="s">
        <v>10021</v>
      </c>
      <c r="H749" s="6">
        <v>45052</v>
      </c>
      <c r="I749">
        <f t="shared" si="22"/>
        <v>0</v>
      </c>
      <c r="J749" t="str">
        <f t="shared" si="23"/>
        <v>Complete</v>
      </c>
      <c r="K749">
        <f>COUNTIFS(RawData[Item], B749,RawData[Quantity],C749,RawData[Price Per Unit],D749,RawData[Total Spent],E749,RawData[Payment Method],F749,RawData[Location],G749,RawData[Transaction Date],H749)</f>
        <v>1</v>
      </c>
      <c r="L749"/>
    </row>
    <row r="750" spans="1:12" x14ac:dyDescent="0.3">
      <c r="A750" t="s">
        <v>756</v>
      </c>
      <c r="B750" t="s">
        <v>10008</v>
      </c>
      <c r="C750">
        <v>3</v>
      </c>
      <c r="D750">
        <v>2</v>
      </c>
      <c r="E750">
        <v>6</v>
      </c>
      <c r="F750" t="s">
        <v>10020</v>
      </c>
      <c r="G750" t="s">
        <v>10069</v>
      </c>
      <c r="H750" s="6">
        <v>45225</v>
      </c>
      <c r="I750">
        <f t="shared" si="22"/>
        <v>0</v>
      </c>
      <c r="J750" t="str">
        <f t="shared" si="23"/>
        <v>Complete</v>
      </c>
      <c r="K750">
        <f>COUNTIFS(RawData[Item], B750,RawData[Quantity],C750,RawData[Price Per Unit],D750,RawData[Total Spent],E750,RawData[Payment Method],F750,RawData[Location],G750,RawData[Transaction Date],H750)</f>
        <v>1</v>
      </c>
      <c r="L750"/>
    </row>
    <row r="751" spans="1:12" x14ac:dyDescent="0.3">
      <c r="A751" t="s">
        <v>757</v>
      </c>
      <c r="B751" t="s">
        <v>10008</v>
      </c>
      <c r="C751">
        <v>2</v>
      </c>
      <c r="D751">
        <v>2</v>
      </c>
      <c r="E751">
        <v>0</v>
      </c>
      <c r="F751" t="s">
        <v>10020</v>
      </c>
      <c r="G751" t="s">
        <v>10102</v>
      </c>
      <c r="H751" s="6" t="s">
        <v>10112</v>
      </c>
      <c r="I751">
        <f t="shared" si="22"/>
        <v>1</v>
      </c>
      <c r="J751" t="str">
        <f t="shared" si="23"/>
        <v>Incomplete</v>
      </c>
      <c r="K751">
        <f>COUNTIFS(RawData[Item], B751,RawData[Quantity],C751,RawData[Price Per Unit],D751,RawData[Total Spent],E751,RawData[Payment Method],F751,RawData[Location],G751,RawData[Transaction Date],H751)</f>
        <v>1</v>
      </c>
      <c r="L751"/>
    </row>
    <row r="752" spans="1:12" x14ac:dyDescent="0.3">
      <c r="A752" t="s">
        <v>758</v>
      </c>
      <c r="B752" t="s">
        <v>10015</v>
      </c>
      <c r="C752">
        <v>3</v>
      </c>
      <c r="D752" t="s">
        <v>10013</v>
      </c>
      <c r="E752">
        <v>9</v>
      </c>
      <c r="F752" t="s">
        <v>10018</v>
      </c>
      <c r="G752" t="s">
        <v>10021</v>
      </c>
      <c r="H752" s="6">
        <v>45130</v>
      </c>
      <c r="I752">
        <f t="shared" si="22"/>
        <v>2</v>
      </c>
      <c r="J752" t="str">
        <f t="shared" si="23"/>
        <v>Complete</v>
      </c>
      <c r="K752">
        <f>COUNTIFS(RawData[Item], B752,RawData[Quantity],C752,RawData[Price Per Unit],D752,RawData[Total Spent],E752,RawData[Payment Method],F752,RawData[Location],G752,RawData[Transaction Date],H752)</f>
        <v>1</v>
      </c>
      <c r="L752"/>
    </row>
    <row r="753" spans="1:12" x14ac:dyDescent="0.3">
      <c r="A753" t="s">
        <v>759</v>
      </c>
      <c r="B753" t="s">
        <v>10014</v>
      </c>
      <c r="C753">
        <v>3</v>
      </c>
      <c r="D753">
        <v>4</v>
      </c>
      <c r="E753">
        <v>12</v>
      </c>
      <c r="F753" t="s">
        <v>10018</v>
      </c>
      <c r="G753" t="s">
        <v>10069</v>
      </c>
      <c r="H753" s="6">
        <v>45180</v>
      </c>
      <c r="I753">
        <f t="shared" si="22"/>
        <v>0</v>
      </c>
      <c r="J753" t="str">
        <f t="shared" si="23"/>
        <v>Complete</v>
      </c>
      <c r="K753">
        <f>COUNTIFS(RawData[Item], B753,RawData[Quantity],C753,RawData[Price Per Unit],D753,RawData[Total Spent],E753,RawData[Payment Method],F753,RawData[Location],G753,RawData[Transaction Date],H753)</f>
        <v>1</v>
      </c>
      <c r="L753"/>
    </row>
    <row r="754" spans="1:12" x14ac:dyDescent="0.3">
      <c r="A754" t="s">
        <v>760</v>
      </c>
      <c r="B754" t="s">
        <v>10008</v>
      </c>
      <c r="C754">
        <v>2</v>
      </c>
      <c r="D754">
        <v>2</v>
      </c>
      <c r="E754">
        <v>4</v>
      </c>
      <c r="F754" t="s">
        <v>10020</v>
      </c>
      <c r="G754" t="s">
        <v>10069</v>
      </c>
      <c r="H754" s="6">
        <v>45018</v>
      </c>
      <c r="I754">
        <f t="shared" si="22"/>
        <v>0</v>
      </c>
      <c r="J754" t="str">
        <f t="shared" si="23"/>
        <v>Complete</v>
      </c>
      <c r="K754">
        <f>COUNTIFS(RawData[Item], B754,RawData[Quantity],C754,RawData[Price Per Unit],D754,RawData[Total Spent],E754,RawData[Payment Method],F754,RawData[Location],G754,RawData[Transaction Date],H754)</f>
        <v>1</v>
      </c>
      <c r="L754"/>
    </row>
    <row r="755" spans="1:12" x14ac:dyDescent="0.3">
      <c r="A755" t="s">
        <v>761</v>
      </c>
      <c r="B755" t="s">
        <v>10016</v>
      </c>
      <c r="C755">
        <v>2</v>
      </c>
      <c r="D755">
        <v>3</v>
      </c>
      <c r="E755">
        <v>6</v>
      </c>
      <c r="F755" t="s">
        <v>10018</v>
      </c>
      <c r="G755" t="s">
        <v>10021</v>
      </c>
      <c r="H755" s="6">
        <v>45177</v>
      </c>
      <c r="I755">
        <f t="shared" si="22"/>
        <v>0</v>
      </c>
      <c r="J755" t="str">
        <f t="shared" si="23"/>
        <v>Complete</v>
      </c>
      <c r="K755">
        <f>COUNTIFS(RawData[Item], B755,RawData[Quantity],C755,RawData[Price Per Unit],D755,RawData[Total Spent],E755,RawData[Payment Method],F755,RawData[Location],G755,RawData[Transaction Date],H755)</f>
        <v>1</v>
      </c>
      <c r="L755"/>
    </row>
    <row r="756" spans="1:12" x14ac:dyDescent="0.3">
      <c r="A756" t="s">
        <v>762</v>
      </c>
      <c r="B756" t="s">
        <v>10012</v>
      </c>
      <c r="C756">
        <v>5</v>
      </c>
      <c r="D756">
        <v>4</v>
      </c>
      <c r="E756">
        <v>20</v>
      </c>
      <c r="F756" t="s">
        <v>10020</v>
      </c>
      <c r="G756" t="s">
        <v>10069</v>
      </c>
      <c r="H756" s="6">
        <v>45122</v>
      </c>
      <c r="I756">
        <f t="shared" si="22"/>
        <v>0</v>
      </c>
      <c r="J756" t="str">
        <f t="shared" si="23"/>
        <v>Complete</v>
      </c>
      <c r="K756">
        <f>COUNTIFS(RawData[Item], B756,RawData[Quantity],C756,RawData[Price Per Unit],D756,RawData[Total Spent],E756,RawData[Payment Method],F756,RawData[Location],G756,RawData[Transaction Date],H756)</f>
        <v>1</v>
      </c>
      <c r="L756"/>
    </row>
    <row r="757" spans="1:12" x14ac:dyDescent="0.3">
      <c r="A757" t="s">
        <v>763</v>
      </c>
      <c r="B757" t="s">
        <v>10011</v>
      </c>
      <c r="C757">
        <v>3</v>
      </c>
      <c r="D757" t="s">
        <v>10013</v>
      </c>
      <c r="E757">
        <v>15</v>
      </c>
      <c r="F757" t="s">
        <v>10018</v>
      </c>
      <c r="G757" t="s">
        <v>10103</v>
      </c>
      <c r="H757" s="6">
        <v>45025</v>
      </c>
      <c r="I757">
        <f t="shared" si="22"/>
        <v>2</v>
      </c>
      <c r="J757" t="str">
        <f t="shared" si="23"/>
        <v>Complete</v>
      </c>
      <c r="K757">
        <f>COUNTIFS(RawData[Item], B757,RawData[Quantity],C757,RawData[Price Per Unit],D757,RawData[Total Spent],E757,RawData[Payment Method],F757,RawData[Location],G757,RawData[Transaction Date],H757)</f>
        <v>1</v>
      </c>
      <c r="L757"/>
    </row>
    <row r="758" spans="1:12" x14ac:dyDescent="0.3">
      <c r="A758" t="s">
        <v>764</v>
      </c>
      <c r="B758" t="s">
        <v>10017</v>
      </c>
      <c r="C758">
        <v>2</v>
      </c>
      <c r="D758">
        <v>1.5</v>
      </c>
      <c r="E758">
        <v>3</v>
      </c>
      <c r="F758" t="s">
        <v>10069</v>
      </c>
      <c r="G758" t="s">
        <v>10102</v>
      </c>
      <c r="H758" s="6">
        <v>44991</v>
      </c>
      <c r="I758">
        <f t="shared" si="22"/>
        <v>0</v>
      </c>
      <c r="J758" t="str">
        <f t="shared" si="23"/>
        <v>Complete</v>
      </c>
      <c r="K758">
        <f>COUNTIFS(RawData[Item], B758,RawData[Quantity],C758,RawData[Price Per Unit],D758,RawData[Total Spent],E758,RawData[Payment Method],F758,RawData[Location],G758,RawData[Transaction Date],H758)</f>
        <v>1</v>
      </c>
      <c r="L758"/>
    </row>
    <row r="759" spans="1:12" x14ac:dyDescent="0.3">
      <c r="A759" t="s">
        <v>765</v>
      </c>
      <c r="B759" t="s">
        <v>10017</v>
      </c>
      <c r="C759">
        <v>4</v>
      </c>
      <c r="D759" t="s">
        <v>10015</v>
      </c>
      <c r="E759">
        <v>6</v>
      </c>
      <c r="F759" t="s">
        <v>10019</v>
      </c>
      <c r="G759" t="s">
        <v>10069</v>
      </c>
      <c r="H759" s="6">
        <v>45280</v>
      </c>
      <c r="I759">
        <f t="shared" si="22"/>
        <v>1</v>
      </c>
      <c r="J759" t="str">
        <f t="shared" si="23"/>
        <v>Complete</v>
      </c>
      <c r="K759">
        <f>COUNTIFS(RawData[Item], B759,RawData[Quantity],C759,RawData[Price Per Unit],D759,RawData[Total Spent],E759,RawData[Payment Method],F759,RawData[Location],G759,RawData[Transaction Date],H759)</f>
        <v>1</v>
      </c>
      <c r="L759"/>
    </row>
    <row r="760" spans="1:12" x14ac:dyDescent="0.3">
      <c r="A760" t="s">
        <v>766</v>
      </c>
      <c r="B760" t="s">
        <v>10012</v>
      </c>
      <c r="C760">
        <v>4</v>
      </c>
      <c r="D760">
        <v>4</v>
      </c>
      <c r="E760">
        <v>16</v>
      </c>
      <c r="F760" t="s">
        <v>10018</v>
      </c>
      <c r="G760" t="s">
        <v>10021</v>
      </c>
      <c r="H760" s="6">
        <v>45024</v>
      </c>
      <c r="I760">
        <f t="shared" si="22"/>
        <v>0</v>
      </c>
      <c r="J760" t="str">
        <f t="shared" si="23"/>
        <v>Complete</v>
      </c>
      <c r="K760">
        <f>COUNTIFS(RawData[Item], B760,RawData[Quantity],C760,RawData[Price Per Unit],D760,RawData[Total Spent],E760,RawData[Payment Method],F760,RawData[Location],G760,RawData[Transaction Date],H760)</f>
        <v>1</v>
      </c>
      <c r="L760"/>
    </row>
    <row r="761" spans="1:12" x14ac:dyDescent="0.3">
      <c r="A761" t="s">
        <v>767</v>
      </c>
      <c r="B761" t="s">
        <v>10069</v>
      </c>
      <c r="C761">
        <v>4</v>
      </c>
      <c r="D761">
        <v>3</v>
      </c>
      <c r="E761">
        <v>12</v>
      </c>
      <c r="F761" t="s">
        <v>10069</v>
      </c>
      <c r="G761" t="s">
        <v>10021</v>
      </c>
      <c r="H761" s="6">
        <v>45244</v>
      </c>
      <c r="I761">
        <f t="shared" si="22"/>
        <v>0</v>
      </c>
      <c r="J761" t="str">
        <f t="shared" si="23"/>
        <v>Complete</v>
      </c>
      <c r="K761">
        <f>COUNTIFS(RawData[Item], B761,RawData[Quantity],C761,RawData[Price Per Unit],D761,RawData[Total Spent],E761,RawData[Payment Method],F761,RawData[Location],G761,RawData[Transaction Date],H761)</f>
        <v>1</v>
      </c>
      <c r="L761"/>
    </row>
    <row r="762" spans="1:12" x14ac:dyDescent="0.3">
      <c r="A762" t="s">
        <v>768</v>
      </c>
      <c r="B762" t="s">
        <v>10017</v>
      </c>
      <c r="C762">
        <v>5</v>
      </c>
      <c r="D762">
        <v>1.5</v>
      </c>
      <c r="E762">
        <v>7.5</v>
      </c>
      <c r="F762" t="s">
        <v>10069</v>
      </c>
      <c r="G762" t="s">
        <v>10069</v>
      </c>
      <c r="H762" s="6">
        <v>45052</v>
      </c>
      <c r="I762">
        <f t="shared" si="22"/>
        <v>0</v>
      </c>
      <c r="J762" t="str">
        <f t="shared" si="23"/>
        <v>Complete</v>
      </c>
      <c r="K762">
        <f>COUNTIFS(RawData[Item], B762,RawData[Quantity],C762,RawData[Price Per Unit],D762,RawData[Total Spent],E762,RawData[Payment Method],F762,RawData[Location],G762,RawData[Transaction Date],H762)</f>
        <v>1</v>
      </c>
      <c r="L762"/>
    </row>
    <row r="763" spans="1:12" x14ac:dyDescent="0.3">
      <c r="A763" t="s">
        <v>769</v>
      </c>
      <c r="B763" t="s">
        <v>10017</v>
      </c>
      <c r="C763">
        <v>2</v>
      </c>
      <c r="D763">
        <v>1.5</v>
      </c>
      <c r="E763">
        <v>3</v>
      </c>
      <c r="F763" t="s">
        <v>10069</v>
      </c>
      <c r="G763" t="s">
        <v>10021</v>
      </c>
      <c r="H763" s="6">
        <v>45090</v>
      </c>
      <c r="I763">
        <f t="shared" si="22"/>
        <v>0</v>
      </c>
      <c r="J763" t="str">
        <f t="shared" si="23"/>
        <v>Complete</v>
      </c>
      <c r="K763">
        <f>COUNTIFS(RawData[Item], B763,RawData[Quantity],C763,RawData[Price Per Unit],D763,RawData[Total Spent],E763,RawData[Payment Method],F763,RawData[Location],G763,RawData[Transaction Date],H763)</f>
        <v>1</v>
      </c>
      <c r="L763"/>
    </row>
    <row r="764" spans="1:12" x14ac:dyDescent="0.3">
      <c r="A764" t="s">
        <v>770</v>
      </c>
      <c r="B764" t="s">
        <v>10011</v>
      </c>
      <c r="C764">
        <v>2</v>
      </c>
      <c r="D764" t="s">
        <v>10015</v>
      </c>
      <c r="E764">
        <v>10</v>
      </c>
      <c r="F764" t="s">
        <v>10069</v>
      </c>
      <c r="G764" t="s">
        <v>10021</v>
      </c>
      <c r="H764" s="6">
        <v>44994</v>
      </c>
      <c r="I764">
        <f t="shared" si="22"/>
        <v>1</v>
      </c>
      <c r="J764" t="str">
        <f t="shared" si="23"/>
        <v>Complete</v>
      </c>
      <c r="K764">
        <f>COUNTIFS(RawData[Item], B764,RawData[Quantity],C764,RawData[Price Per Unit],D764,RawData[Total Spent],E764,RawData[Payment Method],F764,RawData[Location],G764,RawData[Transaction Date],H764)</f>
        <v>1</v>
      </c>
      <c r="L764"/>
    </row>
    <row r="765" spans="1:12" x14ac:dyDescent="0.3">
      <c r="A765" t="s">
        <v>771</v>
      </c>
      <c r="B765" t="s">
        <v>10010</v>
      </c>
      <c r="C765">
        <v>5</v>
      </c>
      <c r="D765">
        <v>1</v>
      </c>
      <c r="E765">
        <v>5</v>
      </c>
      <c r="F765" t="s">
        <v>10019</v>
      </c>
      <c r="G765" t="s">
        <v>10104</v>
      </c>
      <c r="H765" s="6">
        <v>45152</v>
      </c>
      <c r="I765">
        <f t="shared" si="22"/>
        <v>1</v>
      </c>
      <c r="J765" t="str">
        <f t="shared" si="23"/>
        <v>Complete</v>
      </c>
      <c r="K765">
        <f>COUNTIFS(RawData[Item], B765,RawData[Quantity],C765,RawData[Price Per Unit],D765,RawData[Total Spent],E765,RawData[Payment Method],F765,RawData[Location],G765,RawData[Transaction Date],H765)</f>
        <v>1</v>
      </c>
      <c r="L765"/>
    </row>
    <row r="766" spans="1:12" x14ac:dyDescent="0.3">
      <c r="A766" t="s">
        <v>772</v>
      </c>
      <c r="B766" t="s">
        <v>10017</v>
      </c>
      <c r="C766">
        <v>4</v>
      </c>
      <c r="D766">
        <v>1.5</v>
      </c>
      <c r="E766">
        <v>6</v>
      </c>
      <c r="F766" t="s">
        <v>10069</v>
      </c>
      <c r="G766" t="s">
        <v>10021</v>
      </c>
      <c r="H766" s="6">
        <v>44955</v>
      </c>
      <c r="I766">
        <f t="shared" si="22"/>
        <v>0</v>
      </c>
      <c r="J766" t="str">
        <f t="shared" si="23"/>
        <v>Complete</v>
      </c>
      <c r="K766">
        <f>COUNTIFS(RawData[Item], B766,RawData[Quantity],C766,RawData[Price Per Unit],D766,RawData[Total Spent],E766,RawData[Payment Method],F766,RawData[Location],G766,RawData[Transaction Date],H766)</f>
        <v>1</v>
      </c>
      <c r="L766"/>
    </row>
    <row r="767" spans="1:12" x14ac:dyDescent="0.3">
      <c r="A767" t="s">
        <v>773</v>
      </c>
      <c r="B767" t="s">
        <v>10011</v>
      </c>
      <c r="C767">
        <v>5</v>
      </c>
      <c r="D767">
        <v>5</v>
      </c>
      <c r="E767">
        <v>25</v>
      </c>
      <c r="F767" t="s">
        <v>10069</v>
      </c>
      <c r="G767" t="s">
        <v>10102</v>
      </c>
      <c r="H767" s="6">
        <v>45167</v>
      </c>
      <c r="I767">
        <f t="shared" si="22"/>
        <v>0</v>
      </c>
      <c r="J767" t="str">
        <f t="shared" si="23"/>
        <v>Complete</v>
      </c>
      <c r="K767">
        <f>COUNTIFS(RawData[Item], B767,RawData[Quantity],C767,RawData[Price Per Unit],D767,RawData[Total Spent],E767,RawData[Payment Method],F767,RawData[Location],G767,RawData[Transaction Date],H767)</f>
        <v>1</v>
      </c>
      <c r="L767"/>
    </row>
    <row r="768" spans="1:12" x14ac:dyDescent="0.3">
      <c r="A768" t="s">
        <v>774</v>
      </c>
      <c r="B768" t="s">
        <v>10017</v>
      </c>
      <c r="C768">
        <v>4</v>
      </c>
      <c r="D768">
        <v>1.5</v>
      </c>
      <c r="E768">
        <v>6</v>
      </c>
      <c r="F768" t="s">
        <v>10019</v>
      </c>
      <c r="G768" t="s">
        <v>10102</v>
      </c>
      <c r="H768" s="6" t="s">
        <v>10112</v>
      </c>
      <c r="I768">
        <f t="shared" si="22"/>
        <v>1</v>
      </c>
      <c r="J768" t="str">
        <f t="shared" si="23"/>
        <v>Incomplete</v>
      </c>
      <c r="K768">
        <f>COUNTIFS(RawData[Item], B768,RawData[Quantity],C768,RawData[Price Per Unit],D768,RawData[Total Spent],E768,RawData[Payment Method],F768,RawData[Location],G768,RawData[Transaction Date],H768)</f>
        <v>2</v>
      </c>
      <c r="L768"/>
    </row>
    <row r="769" spans="1:12" x14ac:dyDescent="0.3">
      <c r="A769" t="s">
        <v>775</v>
      </c>
      <c r="B769" t="s">
        <v>10013</v>
      </c>
      <c r="C769">
        <v>2</v>
      </c>
      <c r="D769">
        <v>2</v>
      </c>
      <c r="E769">
        <v>4</v>
      </c>
      <c r="F769" t="s">
        <v>10069</v>
      </c>
      <c r="G769" t="s">
        <v>10102</v>
      </c>
      <c r="H769" s="6">
        <v>45255</v>
      </c>
      <c r="I769">
        <f t="shared" si="22"/>
        <v>1</v>
      </c>
      <c r="J769" t="str">
        <f t="shared" si="23"/>
        <v>Complete</v>
      </c>
      <c r="K769">
        <f>COUNTIFS(RawData[Item], B769,RawData[Quantity],C769,RawData[Price Per Unit],D769,RawData[Total Spent],E769,RawData[Payment Method],F769,RawData[Location],G769,RawData[Transaction Date],H769)</f>
        <v>1</v>
      </c>
      <c r="L769"/>
    </row>
    <row r="770" spans="1:12" x14ac:dyDescent="0.3">
      <c r="A770" t="s">
        <v>776</v>
      </c>
      <c r="B770" t="s">
        <v>10011</v>
      </c>
      <c r="C770" t="s">
        <v>10015</v>
      </c>
      <c r="D770">
        <v>5</v>
      </c>
      <c r="E770">
        <v>10</v>
      </c>
      <c r="F770" t="s">
        <v>10069</v>
      </c>
      <c r="G770" t="s">
        <v>10069</v>
      </c>
      <c r="H770" s="6">
        <v>44927</v>
      </c>
      <c r="I770">
        <f t="shared" ref="I770:I833" si="24">(B770="Unknown")+(B770="Error")+(C770="Unknown")+(C770="Error")+(D770="Unknown")+(D770="Error")+(E770="Unknown")+(E770="Error")+(F770="Unknown")+(F770="Error")+(G770="Unknown")+(G770="Error")+(H770="No Date")</f>
        <v>1</v>
      </c>
      <c r="J770" t="str">
        <f t="shared" ref="J770:J833" si="25">IF((H770="No Date"),"Incomplete","Complete")</f>
        <v>Complete</v>
      </c>
      <c r="K770">
        <f>COUNTIFS(RawData[Item], B770,RawData[Quantity],C770,RawData[Price Per Unit],D770,RawData[Total Spent],E770,RawData[Payment Method],F770,RawData[Location],G770,RawData[Transaction Date],H770)</f>
        <v>1</v>
      </c>
      <c r="L770"/>
    </row>
    <row r="771" spans="1:12" x14ac:dyDescent="0.3">
      <c r="A771" t="s">
        <v>777</v>
      </c>
      <c r="B771" t="s">
        <v>10069</v>
      </c>
      <c r="C771">
        <v>3</v>
      </c>
      <c r="D771">
        <v>3</v>
      </c>
      <c r="E771">
        <v>9</v>
      </c>
      <c r="F771" t="s">
        <v>10020</v>
      </c>
      <c r="G771" t="s">
        <v>10102</v>
      </c>
      <c r="H771" s="6">
        <v>45237</v>
      </c>
      <c r="I771">
        <f t="shared" si="24"/>
        <v>0</v>
      </c>
      <c r="J771" t="str">
        <f t="shared" si="25"/>
        <v>Complete</v>
      </c>
      <c r="K771">
        <f>COUNTIFS(RawData[Item], B771,RawData[Quantity],C771,RawData[Price Per Unit],D771,RawData[Total Spent],E771,RawData[Payment Method],F771,RawData[Location],G771,RawData[Transaction Date],H771)</f>
        <v>1</v>
      </c>
      <c r="L771"/>
    </row>
    <row r="772" spans="1:12" x14ac:dyDescent="0.3">
      <c r="A772" t="s">
        <v>778</v>
      </c>
      <c r="B772" t="s">
        <v>10012</v>
      </c>
      <c r="C772">
        <v>1</v>
      </c>
      <c r="D772">
        <v>4</v>
      </c>
      <c r="E772">
        <v>4</v>
      </c>
      <c r="F772" t="s">
        <v>10019</v>
      </c>
      <c r="G772" t="s">
        <v>10102</v>
      </c>
      <c r="H772" s="6">
        <v>45045</v>
      </c>
      <c r="I772">
        <f t="shared" si="24"/>
        <v>0</v>
      </c>
      <c r="J772" t="str">
        <f t="shared" si="25"/>
        <v>Complete</v>
      </c>
      <c r="K772">
        <f>COUNTIFS(RawData[Item], B772,RawData[Quantity],C772,RawData[Price Per Unit],D772,RawData[Total Spent],E772,RawData[Payment Method],F772,RawData[Location],G772,RawData[Transaction Date],H772)</f>
        <v>1</v>
      </c>
      <c r="L772"/>
    </row>
    <row r="773" spans="1:12" x14ac:dyDescent="0.3">
      <c r="A773" t="s">
        <v>779</v>
      </c>
      <c r="B773" t="s">
        <v>10069</v>
      </c>
      <c r="C773">
        <v>5</v>
      </c>
      <c r="D773">
        <v>1.5</v>
      </c>
      <c r="E773">
        <v>7.5</v>
      </c>
      <c r="F773" t="s">
        <v>10069</v>
      </c>
      <c r="G773" t="s">
        <v>10069</v>
      </c>
      <c r="H773" s="6">
        <v>44932</v>
      </c>
      <c r="I773">
        <f t="shared" si="24"/>
        <v>0</v>
      </c>
      <c r="J773" t="str">
        <f t="shared" si="25"/>
        <v>Complete</v>
      </c>
      <c r="K773">
        <f>COUNTIFS(RawData[Item], B773,RawData[Quantity],C773,RawData[Price Per Unit],D773,RawData[Total Spent],E773,RawData[Payment Method],F773,RawData[Location],G773,RawData[Transaction Date],H773)</f>
        <v>1</v>
      </c>
      <c r="L773"/>
    </row>
    <row r="774" spans="1:12" x14ac:dyDescent="0.3">
      <c r="A774" t="s">
        <v>780</v>
      </c>
      <c r="B774" t="s">
        <v>10008</v>
      </c>
      <c r="C774">
        <v>3</v>
      </c>
      <c r="D774">
        <v>2</v>
      </c>
      <c r="E774">
        <v>6</v>
      </c>
      <c r="F774" t="s">
        <v>10020</v>
      </c>
      <c r="G774" t="s">
        <v>10102</v>
      </c>
      <c r="H774" s="6">
        <v>45225</v>
      </c>
      <c r="I774">
        <f t="shared" si="24"/>
        <v>0</v>
      </c>
      <c r="J774" t="str">
        <f t="shared" si="25"/>
        <v>Complete</v>
      </c>
      <c r="K774">
        <f>COUNTIFS(RawData[Item], B774,RawData[Quantity],C774,RawData[Price Per Unit],D774,RawData[Total Spent],E774,RawData[Payment Method],F774,RawData[Location],G774,RawData[Transaction Date],H774)</f>
        <v>1</v>
      </c>
      <c r="L774"/>
    </row>
    <row r="775" spans="1:12" x14ac:dyDescent="0.3">
      <c r="A775" t="s">
        <v>781</v>
      </c>
      <c r="B775" t="s">
        <v>10010</v>
      </c>
      <c r="C775">
        <v>3</v>
      </c>
      <c r="D775">
        <v>1</v>
      </c>
      <c r="E775">
        <v>3</v>
      </c>
      <c r="F775" t="s">
        <v>10018</v>
      </c>
      <c r="G775" t="s">
        <v>10102</v>
      </c>
      <c r="H775" s="6">
        <v>45183</v>
      </c>
      <c r="I775">
        <f t="shared" si="24"/>
        <v>0</v>
      </c>
      <c r="J775" t="str">
        <f t="shared" si="25"/>
        <v>Complete</v>
      </c>
      <c r="K775">
        <f>COUNTIFS(RawData[Item], B775,RawData[Quantity],C775,RawData[Price Per Unit],D775,RawData[Total Spent],E775,RawData[Payment Method],F775,RawData[Location],G775,RawData[Transaction Date],H775)</f>
        <v>1</v>
      </c>
      <c r="L775"/>
    </row>
    <row r="776" spans="1:12" x14ac:dyDescent="0.3">
      <c r="A776" t="s">
        <v>782</v>
      </c>
      <c r="B776" t="s">
        <v>10016</v>
      </c>
      <c r="C776">
        <v>4</v>
      </c>
      <c r="D776">
        <v>3</v>
      </c>
      <c r="E776">
        <v>12</v>
      </c>
      <c r="F776" t="s">
        <v>10020</v>
      </c>
      <c r="G776" t="s">
        <v>10069</v>
      </c>
      <c r="H776" s="6">
        <v>45207</v>
      </c>
      <c r="I776">
        <f t="shared" si="24"/>
        <v>0</v>
      </c>
      <c r="J776" t="str">
        <f t="shared" si="25"/>
        <v>Complete</v>
      </c>
      <c r="K776">
        <f>COUNTIFS(RawData[Item], B776,RawData[Quantity],C776,RawData[Price Per Unit],D776,RawData[Total Spent],E776,RawData[Payment Method],F776,RawData[Location],G776,RawData[Transaction Date],H776)</f>
        <v>1</v>
      </c>
      <c r="L776"/>
    </row>
    <row r="777" spans="1:12" x14ac:dyDescent="0.3">
      <c r="A777" t="s">
        <v>783</v>
      </c>
      <c r="B777" t="s">
        <v>10011</v>
      </c>
      <c r="C777">
        <v>5</v>
      </c>
      <c r="D777">
        <v>5</v>
      </c>
      <c r="E777">
        <v>25</v>
      </c>
      <c r="F777" t="s">
        <v>10019</v>
      </c>
      <c r="G777" t="s">
        <v>10102</v>
      </c>
      <c r="H777" s="6">
        <v>45007</v>
      </c>
      <c r="I777">
        <f t="shared" si="24"/>
        <v>0</v>
      </c>
      <c r="J777" t="str">
        <f t="shared" si="25"/>
        <v>Complete</v>
      </c>
      <c r="K777">
        <f>COUNTIFS(RawData[Item], B777,RawData[Quantity],C777,RawData[Price Per Unit],D777,RawData[Total Spent],E777,RawData[Payment Method],F777,RawData[Location],G777,RawData[Transaction Date],H777)</f>
        <v>1</v>
      </c>
      <c r="L777"/>
    </row>
    <row r="778" spans="1:12" x14ac:dyDescent="0.3">
      <c r="A778" t="s">
        <v>784</v>
      </c>
      <c r="B778" t="s">
        <v>10016</v>
      </c>
      <c r="C778">
        <v>3</v>
      </c>
      <c r="D778">
        <v>3</v>
      </c>
      <c r="E778">
        <v>9</v>
      </c>
      <c r="F778" t="s">
        <v>10020</v>
      </c>
      <c r="G778" t="s">
        <v>10021</v>
      </c>
      <c r="H778" s="6">
        <v>44959</v>
      </c>
      <c r="I778">
        <f t="shared" si="24"/>
        <v>0</v>
      </c>
      <c r="J778" t="str">
        <f t="shared" si="25"/>
        <v>Complete</v>
      </c>
      <c r="K778">
        <f>COUNTIFS(RawData[Item], B778,RawData[Quantity],C778,RawData[Price Per Unit],D778,RawData[Total Spent],E778,RawData[Payment Method],F778,RawData[Location],G778,RawData[Transaction Date],H778)</f>
        <v>1</v>
      </c>
      <c r="L778"/>
    </row>
    <row r="779" spans="1:12" x14ac:dyDescent="0.3">
      <c r="A779" t="s">
        <v>785</v>
      </c>
      <c r="B779" t="s">
        <v>10011</v>
      </c>
      <c r="C779">
        <v>0</v>
      </c>
      <c r="D779">
        <v>5</v>
      </c>
      <c r="E779">
        <v>25</v>
      </c>
      <c r="F779" t="s">
        <v>10020</v>
      </c>
      <c r="G779" t="s">
        <v>10069</v>
      </c>
      <c r="H779" s="6">
        <v>45048</v>
      </c>
      <c r="I779">
        <f t="shared" si="24"/>
        <v>0</v>
      </c>
      <c r="J779" t="str">
        <f t="shared" si="25"/>
        <v>Complete</v>
      </c>
      <c r="K779">
        <f>COUNTIFS(RawData[Item], B779,RawData[Quantity],C779,RawData[Price Per Unit],D779,RawData[Total Spent],E779,RawData[Payment Method],F779,RawData[Location],G779,RawData[Transaction Date],H779)</f>
        <v>1</v>
      </c>
      <c r="L779"/>
    </row>
    <row r="780" spans="1:12" x14ac:dyDescent="0.3">
      <c r="A780" t="s">
        <v>786</v>
      </c>
      <c r="B780" t="s">
        <v>10012</v>
      </c>
      <c r="C780">
        <v>4</v>
      </c>
      <c r="D780">
        <v>4</v>
      </c>
      <c r="E780">
        <v>16</v>
      </c>
      <c r="F780" t="s">
        <v>10104</v>
      </c>
      <c r="G780" t="s">
        <v>10069</v>
      </c>
      <c r="H780" s="6">
        <v>45131</v>
      </c>
      <c r="I780">
        <f t="shared" si="24"/>
        <v>1</v>
      </c>
      <c r="J780" t="str">
        <f t="shared" si="25"/>
        <v>Complete</v>
      </c>
      <c r="K780">
        <f>COUNTIFS(RawData[Item], B780,RawData[Quantity],C780,RawData[Price Per Unit],D780,RawData[Total Spent],E780,RawData[Payment Method],F780,RawData[Location],G780,RawData[Transaction Date],H780)</f>
        <v>1</v>
      </c>
      <c r="L780"/>
    </row>
    <row r="781" spans="1:12" x14ac:dyDescent="0.3">
      <c r="A781" t="s">
        <v>787</v>
      </c>
      <c r="B781" t="s">
        <v>10016</v>
      </c>
      <c r="C781">
        <v>4</v>
      </c>
      <c r="D781" t="s">
        <v>10013</v>
      </c>
      <c r="E781">
        <v>12</v>
      </c>
      <c r="F781" t="s">
        <v>10019</v>
      </c>
      <c r="G781" t="s">
        <v>10103</v>
      </c>
      <c r="H781" s="6">
        <v>45064</v>
      </c>
      <c r="I781">
        <f t="shared" si="24"/>
        <v>2</v>
      </c>
      <c r="J781" t="str">
        <f t="shared" si="25"/>
        <v>Complete</v>
      </c>
      <c r="K781">
        <f>COUNTIFS(RawData[Item], B781,RawData[Quantity],C781,RawData[Price Per Unit],D781,RawData[Total Spent],E781,RawData[Payment Method],F781,RawData[Location],G781,RawData[Transaction Date],H781)</f>
        <v>1</v>
      </c>
      <c r="L781"/>
    </row>
    <row r="782" spans="1:12" x14ac:dyDescent="0.3">
      <c r="A782" t="s">
        <v>788</v>
      </c>
      <c r="B782" t="s">
        <v>10010</v>
      </c>
      <c r="C782" t="s">
        <v>10015</v>
      </c>
      <c r="D782">
        <v>1</v>
      </c>
      <c r="E782">
        <v>2</v>
      </c>
      <c r="F782" t="s">
        <v>10019</v>
      </c>
      <c r="G782" t="s">
        <v>10069</v>
      </c>
      <c r="H782" s="6">
        <v>45229</v>
      </c>
      <c r="I782">
        <f t="shared" si="24"/>
        <v>1</v>
      </c>
      <c r="J782" t="str">
        <f t="shared" si="25"/>
        <v>Complete</v>
      </c>
      <c r="K782">
        <f>COUNTIFS(RawData[Item], B782,RawData[Quantity],C782,RawData[Price Per Unit],D782,RawData[Total Spent],E782,RawData[Payment Method],F782,RawData[Location],G782,RawData[Transaction Date],H782)</f>
        <v>1</v>
      </c>
      <c r="L782"/>
    </row>
    <row r="783" spans="1:12" x14ac:dyDescent="0.3">
      <c r="A783" t="s">
        <v>789</v>
      </c>
      <c r="B783" t="s">
        <v>10016</v>
      </c>
      <c r="C783">
        <v>4</v>
      </c>
      <c r="D783">
        <v>3</v>
      </c>
      <c r="E783">
        <v>12</v>
      </c>
      <c r="F783" t="s">
        <v>10020</v>
      </c>
      <c r="G783" t="s">
        <v>10021</v>
      </c>
      <c r="H783" s="6">
        <v>45288</v>
      </c>
      <c r="I783">
        <f t="shared" si="24"/>
        <v>0</v>
      </c>
      <c r="J783" t="str">
        <f t="shared" si="25"/>
        <v>Complete</v>
      </c>
      <c r="K783">
        <f>COUNTIFS(RawData[Item], B783,RawData[Quantity],C783,RawData[Price Per Unit],D783,RawData[Total Spent],E783,RawData[Payment Method],F783,RawData[Location],G783,RawData[Transaction Date],H783)</f>
        <v>1</v>
      </c>
      <c r="L783"/>
    </row>
    <row r="784" spans="1:12" x14ac:dyDescent="0.3">
      <c r="A784" t="s">
        <v>790</v>
      </c>
      <c r="B784" t="s">
        <v>10012</v>
      </c>
      <c r="C784" t="s">
        <v>10015</v>
      </c>
      <c r="D784">
        <v>4</v>
      </c>
      <c r="E784">
        <v>20</v>
      </c>
      <c r="F784" t="s">
        <v>10069</v>
      </c>
      <c r="G784" t="s">
        <v>10069</v>
      </c>
      <c r="H784" s="6">
        <v>45215</v>
      </c>
      <c r="I784">
        <f t="shared" si="24"/>
        <v>1</v>
      </c>
      <c r="J784" t="str">
        <f t="shared" si="25"/>
        <v>Complete</v>
      </c>
      <c r="K784">
        <f>COUNTIFS(RawData[Item], B784,RawData[Quantity],C784,RawData[Price Per Unit],D784,RawData[Total Spent],E784,RawData[Payment Method],F784,RawData[Location],G784,RawData[Transaction Date],H784)</f>
        <v>1</v>
      </c>
      <c r="L784"/>
    </row>
    <row r="785" spans="1:12" x14ac:dyDescent="0.3">
      <c r="A785" t="s">
        <v>791</v>
      </c>
      <c r="B785" t="s">
        <v>10016</v>
      </c>
      <c r="C785">
        <v>3</v>
      </c>
      <c r="D785">
        <v>3</v>
      </c>
      <c r="E785">
        <v>9</v>
      </c>
      <c r="F785" t="s">
        <v>10069</v>
      </c>
      <c r="G785" t="s">
        <v>10021</v>
      </c>
      <c r="H785" s="6">
        <v>45028</v>
      </c>
      <c r="I785">
        <f t="shared" si="24"/>
        <v>0</v>
      </c>
      <c r="J785" t="str">
        <f t="shared" si="25"/>
        <v>Complete</v>
      </c>
      <c r="K785">
        <f>COUNTIFS(RawData[Item], B785,RawData[Quantity],C785,RawData[Price Per Unit],D785,RawData[Total Spent],E785,RawData[Payment Method],F785,RawData[Location],G785,RawData[Transaction Date],H785)</f>
        <v>1</v>
      </c>
      <c r="L785"/>
    </row>
    <row r="786" spans="1:12" x14ac:dyDescent="0.3">
      <c r="A786" t="s">
        <v>792</v>
      </c>
      <c r="B786" t="s">
        <v>10010</v>
      </c>
      <c r="C786">
        <v>1</v>
      </c>
      <c r="D786">
        <v>1</v>
      </c>
      <c r="E786">
        <v>1</v>
      </c>
      <c r="F786" t="s">
        <v>10069</v>
      </c>
      <c r="G786" t="s">
        <v>10069</v>
      </c>
      <c r="H786" s="6">
        <v>45104</v>
      </c>
      <c r="I786">
        <f t="shared" si="24"/>
        <v>0</v>
      </c>
      <c r="J786" t="str">
        <f t="shared" si="25"/>
        <v>Complete</v>
      </c>
      <c r="K786">
        <f>COUNTIFS(RawData[Item], B786,RawData[Quantity],C786,RawData[Price Per Unit],D786,RawData[Total Spent],E786,RawData[Payment Method],F786,RawData[Location],G786,RawData[Transaction Date],H786)</f>
        <v>1</v>
      </c>
      <c r="L786"/>
    </row>
    <row r="787" spans="1:12" x14ac:dyDescent="0.3">
      <c r="A787" t="s">
        <v>793</v>
      </c>
      <c r="B787" t="s">
        <v>10011</v>
      </c>
      <c r="C787">
        <v>3</v>
      </c>
      <c r="D787">
        <v>5</v>
      </c>
      <c r="E787">
        <v>15</v>
      </c>
      <c r="F787" t="s">
        <v>10018</v>
      </c>
      <c r="G787" t="s">
        <v>10102</v>
      </c>
      <c r="H787" s="6" t="s">
        <v>10112</v>
      </c>
      <c r="I787">
        <f t="shared" si="24"/>
        <v>1</v>
      </c>
      <c r="J787" t="str">
        <f t="shared" si="25"/>
        <v>Incomplete</v>
      </c>
      <c r="K787">
        <f>COUNTIFS(RawData[Item], B787,RawData[Quantity],C787,RawData[Price Per Unit],D787,RawData[Total Spent],E787,RawData[Payment Method],F787,RawData[Location],G787,RawData[Transaction Date],H787)</f>
        <v>1</v>
      </c>
      <c r="L787"/>
    </row>
    <row r="788" spans="1:12" x14ac:dyDescent="0.3">
      <c r="A788" t="s">
        <v>794</v>
      </c>
      <c r="B788" t="s">
        <v>10012</v>
      </c>
      <c r="C788">
        <v>1</v>
      </c>
      <c r="D788" t="s">
        <v>10015</v>
      </c>
      <c r="E788">
        <v>4</v>
      </c>
      <c r="F788" t="s">
        <v>10018</v>
      </c>
      <c r="G788" t="s">
        <v>10069</v>
      </c>
      <c r="H788" s="6">
        <v>45255</v>
      </c>
      <c r="I788">
        <f t="shared" si="24"/>
        <v>1</v>
      </c>
      <c r="J788" t="str">
        <f t="shared" si="25"/>
        <v>Complete</v>
      </c>
      <c r="K788">
        <f>COUNTIFS(RawData[Item], B788,RawData[Quantity],C788,RawData[Price Per Unit],D788,RawData[Total Spent],E788,RawData[Payment Method],F788,RawData[Location],G788,RawData[Transaction Date],H788)</f>
        <v>1</v>
      </c>
      <c r="L788"/>
    </row>
    <row r="789" spans="1:12" x14ac:dyDescent="0.3">
      <c r="A789" t="s">
        <v>795</v>
      </c>
      <c r="B789" t="s">
        <v>10017</v>
      </c>
      <c r="C789">
        <v>2</v>
      </c>
      <c r="D789">
        <v>1.5</v>
      </c>
      <c r="E789">
        <v>3</v>
      </c>
      <c r="F789" t="s">
        <v>10069</v>
      </c>
      <c r="G789" t="s">
        <v>10069</v>
      </c>
      <c r="H789" s="6">
        <v>44931</v>
      </c>
      <c r="I789">
        <f t="shared" si="24"/>
        <v>0</v>
      </c>
      <c r="J789" t="str">
        <f t="shared" si="25"/>
        <v>Complete</v>
      </c>
      <c r="K789">
        <f>COUNTIFS(RawData[Item], B789,RawData[Quantity],C789,RawData[Price Per Unit],D789,RawData[Total Spent],E789,RawData[Payment Method],F789,RawData[Location],G789,RawData[Transaction Date],H789)</f>
        <v>1</v>
      </c>
      <c r="L789"/>
    </row>
    <row r="790" spans="1:12" x14ac:dyDescent="0.3">
      <c r="A790" t="s">
        <v>796</v>
      </c>
      <c r="B790" t="s">
        <v>10016</v>
      </c>
      <c r="C790">
        <v>1</v>
      </c>
      <c r="D790">
        <v>3</v>
      </c>
      <c r="E790">
        <v>3</v>
      </c>
      <c r="F790" t="s">
        <v>10069</v>
      </c>
      <c r="G790" t="s">
        <v>10069</v>
      </c>
      <c r="H790" s="6">
        <v>44943</v>
      </c>
      <c r="I790">
        <f t="shared" si="24"/>
        <v>0</v>
      </c>
      <c r="J790" t="str">
        <f t="shared" si="25"/>
        <v>Complete</v>
      </c>
      <c r="K790">
        <f>COUNTIFS(RawData[Item], B790,RawData[Quantity],C790,RawData[Price Per Unit],D790,RawData[Total Spent],E790,RawData[Payment Method],F790,RawData[Location],G790,RawData[Transaction Date],H790)</f>
        <v>1</v>
      </c>
      <c r="L790"/>
    </row>
    <row r="791" spans="1:12" x14ac:dyDescent="0.3">
      <c r="A791" t="s">
        <v>797</v>
      </c>
      <c r="B791" t="s">
        <v>10010</v>
      </c>
      <c r="C791">
        <v>2</v>
      </c>
      <c r="D791">
        <v>1</v>
      </c>
      <c r="E791">
        <v>2</v>
      </c>
      <c r="F791" t="s">
        <v>10019</v>
      </c>
      <c r="G791" t="s">
        <v>10069</v>
      </c>
      <c r="H791" s="6">
        <v>45162</v>
      </c>
      <c r="I791">
        <f t="shared" si="24"/>
        <v>0</v>
      </c>
      <c r="J791" t="str">
        <f t="shared" si="25"/>
        <v>Complete</v>
      </c>
      <c r="K791">
        <f>COUNTIFS(RawData[Item], B791,RawData[Quantity],C791,RawData[Price Per Unit],D791,RawData[Total Spent],E791,RawData[Payment Method],F791,RawData[Location],G791,RawData[Transaction Date],H791)</f>
        <v>1</v>
      </c>
      <c r="L791"/>
    </row>
    <row r="792" spans="1:12" x14ac:dyDescent="0.3">
      <c r="A792" t="s">
        <v>798</v>
      </c>
      <c r="B792" t="s">
        <v>10012</v>
      </c>
      <c r="C792">
        <v>2</v>
      </c>
      <c r="D792">
        <v>4</v>
      </c>
      <c r="E792">
        <v>8</v>
      </c>
      <c r="F792" t="s">
        <v>10018</v>
      </c>
      <c r="G792" t="s">
        <v>10069</v>
      </c>
      <c r="H792" s="6">
        <v>45042</v>
      </c>
      <c r="I792">
        <f t="shared" si="24"/>
        <v>0</v>
      </c>
      <c r="J792" t="str">
        <f t="shared" si="25"/>
        <v>Complete</v>
      </c>
      <c r="K792">
        <f>COUNTIFS(RawData[Item], B792,RawData[Quantity],C792,RawData[Price Per Unit],D792,RawData[Total Spent],E792,RawData[Payment Method],F792,RawData[Location],G792,RawData[Transaction Date],H792)</f>
        <v>1</v>
      </c>
      <c r="L792"/>
    </row>
    <row r="793" spans="1:12" x14ac:dyDescent="0.3">
      <c r="A793" t="s">
        <v>799</v>
      </c>
      <c r="B793" t="s">
        <v>10010</v>
      </c>
      <c r="C793">
        <v>4</v>
      </c>
      <c r="D793">
        <v>1</v>
      </c>
      <c r="E793" t="s">
        <v>10015</v>
      </c>
      <c r="F793" t="s">
        <v>10104</v>
      </c>
      <c r="G793" t="s">
        <v>10102</v>
      </c>
      <c r="H793" s="6">
        <v>44995</v>
      </c>
      <c r="I793">
        <f t="shared" si="24"/>
        <v>2</v>
      </c>
      <c r="J793" t="str">
        <f t="shared" si="25"/>
        <v>Complete</v>
      </c>
      <c r="K793">
        <f>COUNTIFS(RawData[Item], B793,RawData[Quantity],C793,RawData[Price Per Unit],D793,RawData[Total Spent],E793,RawData[Payment Method],F793,RawData[Location],G793,RawData[Transaction Date],H793)</f>
        <v>1</v>
      </c>
      <c r="L793"/>
    </row>
    <row r="794" spans="1:12" x14ac:dyDescent="0.3">
      <c r="A794" t="s">
        <v>800</v>
      </c>
      <c r="B794" t="s">
        <v>10012</v>
      </c>
      <c r="C794">
        <v>5</v>
      </c>
      <c r="D794">
        <v>4</v>
      </c>
      <c r="E794">
        <v>20</v>
      </c>
      <c r="F794" t="s">
        <v>10020</v>
      </c>
      <c r="G794" t="s">
        <v>10102</v>
      </c>
      <c r="H794" s="6">
        <v>45230</v>
      </c>
      <c r="I794">
        <f t="shared" si="24"/>
        <v>0</v>
      </c>
      <c r="J794" t="str">
        <f t="shared" si="25"/>
        <v>Complete</v>
      </c>
      <c r="K794">
        <f>COUNTIFS(RawData[Item], B794,RawData[Quantity],C794,RawData[Price Per Unit],D794,RawData[Total Spent],E794,RawData[Payment Method],F794,RawData[Location],G794,RawData[Transaction Date],H794)</f>
        <v>1</v>
      </c>
      <c r="L794"/>
    </row>
    <row r="795" spans="1:12" x14ac:dyDescent="0.3">
      <c r="A795" t="s">
        <v>801</v>
      </c>
      <c r="B795" t="s">
        <v>10010</v>
      </c>
      <c r="C795">
        <v>4</v>
      </c>
      <c r="D795">
        <v>1</v>
      </c>
      <c r="E795">
        <v>4</v>
      </c>
      <c r="F795" t="s">
        <v>10020</v>
      </c>
      <c r="G795" t="s">
        <v>10102</v>
      </c>
      <c r="H795" s="6">
        <v>45150</v>
      </c>
      <c r="I795">
        <f t="shared" si="24"/>
        <v>0</v>
      </c>
      <c r="J795" t="str">
        <f t="shared" si="25"/>
        <v>Complete</v>
      </c>
      <c r="K795">
        <f>COUNTIFS(RawData[Item], B795,RawData[Quantity],C795,RawData[Price Per Unit],D795,RawData[Total Spent],E795,RawData[Payment Method],F795,RawData[Location],G795,RawData[Transaction Date],H795)</f>
        <v>1</v>
      </c>
      <c r="L795"/>
    </row>
    <row r="796" spans="1:12" x14ac:dyDescent="0.3">
      <c r="A796" t="s">
        <v>802</v>
      </c>
      <c r="B796" t="s">
        <v>10016</v>
      </c>
      <c r="C796">
        <v>4</v>
      </c>
      <c r="D796">
        <v>3</v>
      </c>
      <c r="E796">
        <v>12</v>
      </c>
      <c r="F796" t="s">
        <v>10018</v>
      </c>
      <c r="G796" t="s">
        <v>10069</v>
      </c>
      <c r="H796" s="6">
        <v>45059</v>
      </c>
      <c r="I796">
        <f t="shared" si="24"/>
        <v>0</v>
      </c>
      <c r="J796" t="str">
        <f t="shared" si="25"/>
        <v>Complete</v>
      </c>
      <c r="K796">
        <f>COUNTIFS(RawData[Item], B796,RawData[Quantity],C796,RawData[Price Per Unit],D796,RawData[Total Spent],E796,RawData[Payment Method],F796,RawData[Location],G796,RawData[Transaction Date],H796)</f>
        <v>1</v>
      </c>
      <c r="L796"/>
    </row>
    <row r="797" spans="1:12" x14ac:dyDescent="0.3">
      <c r="A797" t="s">
        <v>803</v>
      </c>
      <c r="B797" t="s">
        <v>10014</v>
      </c>
      <c r="C797">
        <v>0</v>
      </c>
      <c r="D797">
        <v>4</v>
      </c>
      <c r="E797">
        <v>4</v>
      </c>
      <c r="F797" t="s">
        <v>10020</v>
      </c>
      <c r="G797" t="s">
        <v>10102</v>
      </c>
      <c r="H797" s="6">
        <v>45221</v>
      </c>
      <c r="I797">
        <f t="shared" si="24"/>
        <v>0</v>
      </c>
      <c r="J797" t="str">
        <f t="shared" si="25"/>
        <v>Complete</v>
      </c>
      <c r="K797">
        <f>COUNTIFS(RawData[Item], B797,RawData[Quantity],C797,RawData[Price Per Unit],D797,RawData[Total Spent],E797,RawData[Payment Method],F797,RawData[Location],G797,RawData[Transaction Date],H797)</f>
        <v>1</v>
      </c>
      <c r="L797"/>
    </row>
    <row r="798" spans="1:12" x14ac:dyDescent="0.3">
      <c r="A798" t="s">
        <v>804</v>
      </c>
      <c r="B798" t="s">
        <v>10015</v>
      </c>
      <c r="C798">
        <v>3</v>
      </c>
      <c r="D798">
        <v>2</v>
      </c>
      <c r="E798">
        <v>0</v>
      </c>
      <c r="F798" t="s">
        <v>10018</v>
      </c>
      <c r="G798" t="s">
        <v>10104</v>
      </c>
      <c r="H798" s="6">
        <v>45289</v>
      </c>
      <c r="I798">
        <f t="shared" si="24"/>
        <v>2</v>
      </c>
      <c r="J798" t="str">
        <f t="shared" si="25"/>
        <v>Complete</v>
      </c>
      <c r="K798">
        <f>COUNTIFS(RawData[Item], B798,RawData[Quantity],C798,RawData[Price Per Unit],D798,RawData[Total Spent],E798,RawData[Payment Method],F798,RawData[Location],G798,RawData[Transaction Date],H798)</f>
        <v>1</v>
      </c>
      <c r="L798"/>
    </row>
    <row r="799" spans="1:12" x14ac:dyDescent="0.3">
      <c r="A799" t="s">
        <v>805</v>
      </c>
      <c r="B799" t="s">
        <v>10015</v>
      </c>
      <c r="C799">
        <v>2</v>
      </c>
      <c r="D799">
        <v>4</v>
      </c>
      <c r="E799">
        <v>8</v>
      </c>
      <c r="F799" t="s">
        <v>10018</v>
      </c>
      <c r="G799" t="s">
        <v>10102</v>
      </c>
      <c r="H799" s="6">
        <v>45278</v>
      </c>
      <c r="I799">
        <f t="shared" si="24"/>
        <v>1</v>
      </c>
      <c r="J799" t="str">
        <f t="shared" si="25"/>
        <v>Complete</v>
      </c>
      <c r="K799">
        <f>COUNTIFS(RawData[Item], B799,RawData[Quantity],C799,RawData[Price Per Unit],D799,RawData[Total Spent],E799,RawData[Payment Method],F799,RawData[Location],G799,RawData[Transaction Date],H799)</f>
        <v>1</v>
      </c>
      <c r="L799"/>
    </row>
    <row r="800" spans="1:12" x14ac:dyDescent="0.3">
      <c r="A800" t="s">
        <v>806</v>
      </c>
      <c r="B800" t="s">
        <v>10014</v>
      </c>
      <c r="C800">
        <v>1</v>
      </c>
      <c r="D800">
        <v>4</v>
      </c>
      <c r="E800">
        <v>4</v>
      </c>
      <c r="F800" t="s">
        <v>10069</v>
      </c>
      <c r="G800" t="s">
        <v>10102</v>
      </c>
      <c r="H800" s="6">
        <v>45190</v>
      </c>
      <c r="I800">
        <f t="shared" si="24"/>
        <v>0</v>
      </c>
      <c r="J800" t="str">
        <f t="shared" si="25"/>
        <v>Complete</v>
      </c>
      <c r="K800">
        <f>COUNTIFS(RawData[Item], B800,RawData[Quantity],C800,RawData[Price Per Unit],D800,RawData[Total Spent],E800,RawData[Payment Method],F800,RawData[Location],G800,RawData[Transaction Date],H800)</f>
        <v>1</v>
      </c>
      <c r="L800"/>
    </row>
    <row r="801" spans="1:12" x14ac:dyDescent="0.3">
      <c r="A801" t="s">
        <v>807</v>
      </c>
      <c r="B801" t="s">
        <v>10013</v>
      </c>
      <c r="C801">
        <v>4</v>
      </c>
      <c r="D801">
        <v>5</v>
      </c>
      <c r="E801">
        <v>20</v>
      </c>
      <c r="F801" t="s">
        <v>10020</v>
      </c>
      <c r="G801" t="s">
        <v>10021</v>
      </c>
      <c r="H801" s="6">
        <v>45131</v>
      </c>
      <c r="I801">
        <f t="shared" si="24"/>
        <v>1</v>
      </c>
      <c r="J801" t="str">
        <f t="shared" si="25"/>
        <v>Complete</v>
      </c>
      <c r="K801">
        <f>COUNTIFS(RawData[Item], B801,RawData[Quantity],C801,RawData[Price Per Unit],D801,RawData[Total Spent],E801,RawData[Payment Method],F801,RawData[Location],G801,RawData[Transaction Date],H801)</f>
        <v>1</v>
      </c>
      <c r="L801"/>
    </row>
    <row r="802" spans="1:12" x14ac:dyDescent="0.3">
      <c r="A802" t="s">
        <v>808</v>
      </c>
      <c r="B802" t="s">
        <v>10016</v>
      </c>
      <c r="C802">
        <v>3</v>
      </c>
      <c r="D802">
        <v>3</v>
      </c>
      <c r="E802">
        <v>9</v>
      </c>
      <c r="F802" t="s">
        <v>10069</v>
      </c>
      <c r="G802" t="s">
        <v>10103</v>
      </c>
      <c r="H802" s="6">
        <v>45005</v>
      </c>
      <c r="I802">
        <f t="shared" si="24"/>
        <v>1</v>
      </c>
      <c r="J802" t="str">
        <f t="shared" si="25"/>
        <v>Complete</v>
      </c>
      <c r="K802">
        <f>COUNTIFS(RawData[Item], B802,RawData[Quantity],C802,RawData[Price Per Unit],D802,RawData[Total Spent],E802,RawData[Payment Method],F802,RawData[Location],G802,RawData[Transaction Date],H802)</f>
        <v>1</v>
      </c>
      <c r="L802"/>
    </row>
    <row r="803" spans="1:12" x14ac:dyDescent="0.3">
      <c r="A803" t="s">
        <v>809</v>
      </c>
      <c r="B803" t="s">
        <v>10016</v>
      </c>
      <c r="C803">
        <v>1</v>
      </c>
      <c r="D803" t="s">
        <v>10015</v>
      </c>
      <c r="E803">
        <v>3</v>
      </c>
      <c r="F803" t="s">
        <v>10018</v>
      </c>
      <c r="G803" t="s">
        <v>10102</v>
      </c>
      <c r="H803" s="6">
        <v>45275</v>
      </c>
      <c r="I803">
        <f t="shared" si="24"/>
        <v>1</v>
      </c>
      <c r="J803" t="str">
        <f t="shared" si="25"/>
        <v>Complete</v>
      </c>
      <c r="K803">
        <f>COUNTIFS(RawData[Item], B803,RawData[Quantity],C803,RawData[Price Per Unit],D803,RawData[Total Spent],E803,RawData[Payment Method],F803,RawData[Location],G803,RawData[Transaction Date],H803)</f>
        <v>1</v>
      </c>
      <c r="L803"/>
    </row>
    <row r="804" spans="1:12" x14ac:dyDescent="0.3">
      <c r="A804" t="s">
        <v>810</v>
      </c>
      <c r="B804" t="s">
        <v>10008</v>
      </c>
      <c r="C804">
        <v>1</v>
      </c>
      <c r="D804">
        <v>2</v>
      </c>
      <c r="E804" t="s">
        <v>10015</v>
      </c>
      <c r="F804" t="s">
        <v>10019</v>
      </c>
      <c r="G804" t="s">
        <v>10102</v>
      </c>
      <c r="H804" s="6">
        <v>45291</v>
      </c>
      <c r="I804">
        <f t="shared" si="24"/>
        <v>1</v>
      </c>
      <c r="J804" t="str">
        <f t="shared" si="25"/>
        <v>Complete</v>
      </c>
      <c r="K804">
        <f>COUNTIFS(RawData[Item], B804,RawData[Quantity],C804,RawData[Price Per Unit],D804,RawData[Total Spent],E804,RawData[Payment Method],F804,RawData[Location],G804,RawData[Transaction Date],H804)</f>
        <v>1</v>
      </c>
      <c r="L804"/>
    </row>
    <row r="805" spans="1:12" x14ac:dyDescent="0.3">
      <c r="A805" t="s">
        <v>811</v>
      </c>
      <c r="B805" t="s">
        <v>10014</v>
      </c>
      <c r="C805">
        <v>3</v>
      </c>
      <c r="D805">
        <v>4</v>
      </c>
      <c r="E805">
        <v>12</v>
      </c>
      <c r="F805" t="s">
        <v>10018</v>
      </c>
      <c r="G805" t="s">
        <v>10021</v>
      </c>
      <c r="H805" s="6">
        <v>45092</v>
      </c>
      <c r="I805">
        <f t="shared" si="24"/>
        <v>0</v>
      </c>
      <c r="J805" t="str">
        <f t="shared" si="25"/>
        <v>Complete</v>
      </c>
      <c r="K805">
        <f>COUNTIFS(RawData[Item], B805,RawData[Quantity],C805,RawData[Price Per Unit],D805,RawData[Total Spent],E805,RawData[Payment Method],F805,RawData[Location],G805,RawData[Transaction Date],H805)</f>
        <v>1</v>
      </c>
      <c r="L805"/>
    </row>
    <row r="806" spans="1:12" x14ac:dyDescent="0.3">
      <c r="A806" t="s">
        <v>812</v>
      </c>
      <c r="B806" t="s">
        <v>10010</v>
      </c>
      <c r="C806">
        <v>3</v>
      </c>
      <c r="D806">
        <v>1</v>
      </c>
      <c r="E806">
        <v>3</v>
      </c>
      <c r="F806" t="s">
        <v>10018</v>
      </c>
      <c r="G806" t="s">
        <v>10021</v>
      </c>
      <c r="H806" s="6">
        <v>45214</v>
      </c>
      <c r="I806">
        <f t="shared" si="24"/>
        <v>0</v>
      </c>
      <c r="J806" t="str">
        <f t="shared" si="25"/>
        <v>Complete</v>
      </c>
      <c r="K806">
        <f>COUNTIFS(RawData[Item], B806,RawData[Quantity],C806,RawData[Price Per Unit],D806,RawData[Total Spent],E806,RawData[Payment Method],F806,RawData[Location],G806,RawData[Transaction Date],H806)</f>
        <v>1</v>
      </c>
      <c r="L806"/>
    </row>
    <row r="807" spans="1:12" x14ac:dyDescent="0.3">
      <c r="A807" t="s">
        <v>813</v>
      </c>
      <c r="B807" t="s">
        <v>10015</v>
      </c>
      <c r="C807">
        <v>3</v>
      </c>
      <c r="D807">
        <v>3</v>
      </c>
      <c r="E807">
        <v>9</v>
      </c>
      <c r="F807" t="s">
        <v>10020</v>
      </c>
      <c r="G807" t="s">
        <v>10102</v>
      </c>
      <c r="H807" s="6">
        <v>45075</v>
      </c>
      <c r="I807">
        <f t="shared" si="24"/>
        <v>1</v>
      </c>
      <c r="J807" t="str">
        <f t="shared" si="25"/>
        <v>Complete</v>
      </c>
      <c r="K807">
        <f>COUNTIFS(RawData[Item], B807,RawData[Quantity],C807,RawData[Price Per Unit],D807,RawData[Total Spent],E807,RawData[Payment Method],F807,RawData[Location],G807,RawData[Transaction Date],H807)</f>
        <v>1</v>
      </c>
      <c r="L807"/>
    </row>
    <row r="808" spans="1:12" x14ac:dyDescent="0.3">
      <c r="A808" t="s">
        <v>814</v>
      </c>
      <c r="B808" t="s">
        <v>10069</v>
      </c>
      <c r="C808">
        <v>1</v>
      </c>
      <c r="D808">
        <v>4</v>
      </c>
      <c r="E808">
        <v>4</v>
      </c>
      <c r="F808" t="s">
        <v>10020</v>
      </c>
      <c r="G808" t="s">
        <v>10021</v>
      </c>
      <c r="H808" s="6">
        <v>44965</v>
      </c>
      <c r="I808">
        <f t="shared" si="24"/>
        <v>0</v>
      </c>
      <c r="J808" t="str">
        <f t="shared" si="25"/>
        <v>Complete</v>
      </c>
      <c r="K808">
        <f>COUNTIFS(RawData[Item], B808,RawData[Quantity],C808,RawData[Price Per Unit],D808,RawData[Total Spent],E808,RawData[Payment Method],F808,RawData[Location],G808,RawData[Transaction Date],H808)</f>
        <v>1</v>
      </c>
      <c r="L808"/>
    </row>
    <row r="809" spans="1:12" x14ac:dyDescent="0.3">
      <c r="A809" t="s">
        <v>815</v>
      </c>
      <c r="B809" t="s">
        <v>10010</v>
      </c>
      <c r="C809" t="s">
        <v>10015</v>
      </c>
      <c r="D809">
        <v>1</v>
      </c>
      <c r="E809">
        <v>3</v>
      </c>
      <c r="F809" t="s">
        <v>10020</v>
      </c>
      <c r="G809" t="s">
        <v>10021</v>
      </c>
      <c r="H809" s="6">
        <v>45224</v>
      </c>
      <c r="I809">
        <f t="shared" si="24"/>
        <v>1</v>
      </c>
      <c r="J809" t="str">
        <f t="shared" si="25"/>
        <v>Complete</v>
      </c>
      <c r="K809">
        <f>COUNTIFS(RawData[Item], B809,RawData[Quantity],C809,RawData[Price Per Unit],D809,RawData[Total Spent],E809,RawData[Payment Method],F809,RawData[Location],G809,RawData[Transaction Date],H809)</f>
        <v>1</v>
      </c>
      <c r="L809"/>
    </row>
    <row r="810" spans="1:12" x14ac:dyDescent="0.3">
      <c r="A810" t="s">
        <v>816</v>
      </c>
      <c r="B810" t="s">
        <v>10008</v>
      </c>
      <c r="C810">
        <v>3</v>
      </c>
      <c r="D810">
        <v>2</v>
      </c>
      <c r="E810">
        <v>6</v>
      </c>
      <c r="F810" t="s">
        <v>10019</v>
      </c>
      <c r="G810" t="s">
        <v>10102</v>
      </c>
      <c r="H810" s="6">
        <v>44967</v>
      </c>
      <c r="I810">
        <f t="shared" si="24"/>
        <v>0</v>
      </c>
      <c r="J810" t="str">
        <f t="shared" si="25"/>
        <v>Complete</v>
      </c>
      <c r="K810">
        <f>COUNTIFS(RawData[Item], B810,RawData[Quantity],C810,RawData[Price Per Unit],D810,RawData[Total Spent],E810,RawData[Payment Method],F810,RawData[Location],G810,RawData[Transaction Date],H810)</f>
        <v>1</v>
      </c>
      <c r="L810"/>
    </row>
    <row r="811" spans="1:12" x14ac:dyDescent="0.3">
      <c r="A811" t="s">
        <v>817</v>
      </c>
      <c r="B811" t="s">
        <v>10012</v>
      </c>
      <c r="C811">
        <v>3</v>
      </c>
      <c r="D811">
        <v>4</v>
      </c>
      <c r="E811">
        <v>12</v>
      </c>
      <c r="F811" t="s">
        <v>10018</v>
      </c>
      <c r="G811" t="s">
        <v>10069</v>
      </c>
      <c r="H811" s="6">
        <v>45047</v>
      </c>
      <c r="I811">
        <f t="shared" si="24"/>
        <v>0</v>
      </c>
      <c r="J811" t="str">
        <f t="shared" si="25"/>
        <v>Complete</v>
      </c>
      <c r="K811">
        <f>COUNTIFS(RawData[Item], B811,RawData[Quantity],C811,RawData[Price Per Unit],D811,RawData[Total Spent],E811,RawData[Payment Method],F811,RawData[Location],G811,RawData[Transaction Date],H811)</f>
        <v>1</v>
      </c>
      <c r="L811"/>
    </row>
    <row r="812" spans="1:12" x14ac:dyDescent="0.3">
      <c r="A812" t="s">
        <v>818</v>
      </c>
      <c r="B812" t="s">
        <v>10015</v>
      </c>
      <c r="C812">
        <v>1</v>
      </c>
      <c r="D812">
        <v>1.5</v>
      </c>
      <c r="E812">
        <v>1.5</v>
      </c>
      <c r="F812" t="s">
        <v>10069</v>
      </c>
      <c r="G812" t="s">
        <v>10102</v>
      </c>
      <c r="H812" s="6">
        <v>45105</v>
      </c>
      <c r="I812">
        <f t="shared" si="24"/>
        <v>1</v>
      </c>
      <c r="J812" t="str">
        <f t="shared" si="25"/>
        <v>Complete</v>
      </c>
      <c r="K812">
        <f>COUNTIFS(RawData[Item], B812,RawData[Quantity],C812,RawData[Price Per Unit],D812,RawData[Total Spent],E812,RawData[Payment Method],F812,RawData[Location],G812,RawData[Transaction Date],H812)</f>
        <v>1</v>
      </c>
      <c r="L812"/>
    </row>
    <row r="813" spans="1:12" x14ac:dyDescent="0.3">
      <c r="A813" t="s">
        <v>819</v>
      </c>
      <c r="B813" t="s">
        <v>10017</v>
      </c>
      <c r="C813">
        <v>4</v>
      </c>
      <c r="D813">
        <v>1.5</v>
      </c>
      <c r="E813">
        <v>6</v>
      </c>
      <c r="F813" t="s">
        <v>10018</v>
      </c>
      <c r="G813" t="s">
        <v>10104</v>
      </c>
      <c r="H813" s="6">
        <v>45053</v>
      </c>
      <c r="I813">
        <f t="shared" si="24"/>
        <v>1</v>
      </c>
      <c r="J813" t="str">
        <f t="shared" si="25"/>
        <v>Complete</v>
      </c>
      <c r="K813">
        <f>COUNTIFS(RawData[Item], B813,RawData[Quantity],C813,RawData[Price Per Unit],D813,RawData[Total Spent],E813,RawData[Payment Method],F813,RawData[Location],G813,RawData[Transaction Date],H813)</f>
        <v>1</v>
      </c>
      <c r="L813"/>
    </row>
    <row r="814" spans="1:12" x14ac:dyDescent="0.3">
      <c r="A814" t="s">
        <v>820</v>
      </c>
      <c r="B814" t="s">
        <v>10011</v>
      </c>
      <c r="C814">
        <v>2</v>
      </c>
      <c r="D814">
        <v>5</v>
      </c>
      <c r="E814">
        <v>10</v>
      </c>
      <c r="F814" t="s">
        <v>10019</v>
      </c>
      <c r="G814" t="s">
        <v>10021</v>
      </c>
      <c r="H814" s="6">
        <v>44962</v>
      </c>
      <c r="I814">
        <f t="shared" si="24"/>
        <v>0</v>
      </c>
      <c r="J814" t="str">
        <f t="shared" si="25"/>
        <v>Complete</v>
      </c>
      <c r="K814">
        <f>COUNTIFS(RawData[Item], B814,RawData[Quantity],C814,RawData[Price Per Unit],D814,RawData[Total Spent],E814,RawData[Payment Method],F814,RawData[Location],G814,RawData[Transaction Date],H814)</f>
        <v>1</v>
      </c>
      <c r="L814"/>
    </row>
    <row r="815" spans="1:12" x14ac:dyDescent="0.3">
      <c r="A815" t="s">
        <v>821</v>
      </c>
      <c r="B815" t="s">
        <v>10008</v>
      </c>
      <c r="C815">
        <v>3</v>
      </c>
      <c r="D815">
        <v>2</v>
      </c>
      <c r="E815">
        <v>6</v>
      </c>
      <c r="F815" t="s">
        <v>10104</v>
      </c>
      <c r="G815" t="s">
        <v>10021</v>
      </c>
      <c r="H815" s="6">
        <v>45161</v>
      </c>
      <c r="I815">
        <f t="shared" si="24"/>
        <v>1</v>
      </c>
      <c r="J815" t="str">
        <f t="shared" si="25"/>
        <v>Complete</v>
      </c>
      <c r="K815">
        <f>COUNTIFS(RawData[Item], B815,RawData[Quantity],C815,RawData[Price Per Unit],D815,RawData[Total Spent],E815,RawData[Payment Method],F815,RawData[Location],G815,RawData[Transaction Date],H815)</f>
        <v>1</v>
      </c>
      <c r="L815"/>
    </row>
    <row r="816" spans="1:12" x14ac:dyDescent="0.3">
      <c r="A816" t="s">
        <v>822</v>
      </c>
      <c r="B816" t="s">
        <v>10017</v>
      </c>
      <c r="C816">
        <v>4</v>
      </c>
      <c r="D816">
        <v>1.5</v>
      </c>
      <c r="E816">
        <v>6</v>
      </c>
      <c r="F816" t="s">
        <v>10018</v>
      </c>
      <c r="G816" t="s">
        <v>10102</v>
      </c>
      <c r="H816" s="6">
        <v>45087</v>
      </c>
      <c r="I816">
        <f t="shared" si="24"/>
        <v>0</v>
      </c>
      <c r="J816" t="str">
        <f t="shared" si="25"/>
        <v>Complete</v>
      </c>
      <c r="K816">
        <f>COUNTIFS(RawData[Item], B816,RawData[Quantity],C816,RawData[Price Per Unit],D816,RawData[Total Spent],E816,RawData[Payment Method],F816,RawData[Location],G816,RawData[Transaction Date],H816)</f>
        <v>1</v>
      </c>
      <c r="L816"/>
    </row>
    <row r="817" spans="1:12" x14ac:dyDescent="0.3">
      <c r="A817" t="s">
        <v>823</v>
      </c>
      <c r="B817" t="s">
        <v>10069</v>
      </c>
      <c r="C817">
        <v>5</v>
      </c>
      <c r="D817">
        <v>4</v>
      </c>
      <c r="E817">
        <v>20</v>
      </c>
      <c r="F817" t="s">
        <v>10069</v>
      </c>
      <c r="G817" t="s">
        <v>10069</v>
      </c>
      <c r="H817" s="6">
        <v>44985</v>
      </c>
      <c r="I817">
        <f t="shared" si="24"/>
        <v>0</v>
      </c>
      <c r="J817" t="str">
        <f t="shared" si="25"/>
        <v>Complete</v>
      </c>
      <c r="K817">
        <f>COUNTIFS(RawData[Item], B817,RawData[Quantity],C817,RawData[Price Per Unit],D817,RawData[Total Spent],E817,RawData[Payment Method],F817,RawData[Location],G817,RawData[Transaction Date],H817)</f>
        <v>1</v>
      </c>
      <c r="L817"/>
    </row>
    <row r="818" spans="1:12" x14ac:dyDescent="0.3">
      <c r="A818" t="s">
        <v>824</v>
      </c>
      <c r="B818" t="s">
        <v>10016</v>
      </c>
      <c r="C818">
        <v>5</v>
      </c>
      <c r="D818">
        <v>3</v>
      </c>
      <c r="E818">
        <v>15</v>
      </c>
      <c r="F818" t="s">
        <v>10019</v>
      </c>
      <c r="G818" t="s">
        <v>10069</v>
      </c>
      <c r="H818" s="6">
        <v>45015</v>
      </c>
      <c r="I818">
        <f t="shared" si="24"/>
        <v>0</v>
      </c>
      <c r="J818" t="str">
        <f t="shared" si="25"/>
        <v>Complete</v>
      </c>
      <c r="K818">
        <f>COUNTIFS(RawData[Item], B818,RawData[Quantity],C818,RawData[Price Per Unit],D818,RawData[Total Spent],E818,RawData[Payment Method],F818,RawData[Location],G818,RawData[Transaction Date],H818)</f>
        <v>1</v>
      </c>
      <c r="L818"/>
    </row>
    <row r="819" spans="1:12" x14ac:dyDescent="0.3">
      <c r="A819" t="s">
        <v>825</v>
      </c>
      <c r="B819" t="s">
        <v>10017</v>
      </c>
      <c r="C819">
        <v>3</v>
      </c>
      <c r="D819">
        <v>1.5</v>
      </c>
      <c r="E819">
        <v>4.5</v>
      </c>
      <c r="F819" t="s">
        <v>10104</v>
      </c>
      <c r="G819" t="s">
        <v>10069</v>
      </c>
      <c r="H819" s="6">
        <v>44988</v>
      </c>
      <c r="I819">
        <f t="shared" si="24"/>
        <v>1</v>
      </c>
      <c r="J819" t="str">
        <f t="shared" si="25"/>
        <v>Complete</v>
      </c>
      <c r="K819">
        <f>COUNTIFS(RawData[Item], B819,RawData[Quantity],C819,RawData[Price Per Unit],D819,RawData[Total Spent],E819,RawData[Payment Method],F819,RawData[Location],G819,RawData[Transaction Date],H819)</f>
        <v>1</v>
      </c>
      <c r="L819"/>
    </row>
    <row r="820" spans="1:12" x14ac:dyDescent="0.3">
      <c r="A820" t="s">
        <v>826</v>
      </c>
      <c r="B820" t="s">
        <v>10069</v>
      </c>
      <c r="C820">
        <v>1</v>
      </c>
      <c r="D820">
        <v>0</v>
      </c>
      <c r="E820">
        <v>4</v>
      </c>
      <c r="F820" t="s">
        <v>10020</v>
      </c>
      <c r="G820" t="s">
        <v>10069</v>
      </c>
      <c r="H820" s="6">
        <v>45130</v>
      </c>
      <c r="I820">
        <f t="shared" si="24"/>
        <v>0</v>
      </c>
      <c r="J820" t="str">
        <f t="shared" si="25"/>
        <v>Complete</v>
      </c>
      <c r="K820">
        <f>COUNTIFS(RawData[Item], B820,RawData[Quantity],C820,RawData[Price Per Unit],D820,RawData[Total Spent],E820,RawData[Payment Method],F820,RawData[Location],G820,RawData[Transaction Date],H820)</f>
        <v>1</v>
      </c>
      <c r="L820"/>
    </row>
    <row r="821" spans="1:12" x14ac:dyDescent="0.3">
      <c r="A821" t="s">
        <v>827</v>
      </c>
      <c r="B821" t="s">
        <v>10010</v>
      </c>
      <c r="C821">
        <v>1</v>
      </c>
      <c r="D821">
        <v>1</v>
      </c>
      <c r="E821">
        <v>1</v>
      </c>
      <c r="F821" t="s">
        <v>10103</v>
      </c>
      <c r="G821" t="s">
        <v>10102</v>
      </c>
      <c r="H821" s="6">
        <v>45048</v>
      </c>
      <c r="I821">
        <f t="shared" si="24"/>
        <v>1</v>
      </c>
      <c r="J821" t="str">
        <f t="shared" si="25"/>
        <v>Complete</v>
      </c>
      <c r="K821">
        <f>COUNTIFS(RawData[Item], B821,RawData[Quantity],C821,RawData[Price Per Unit],D821,RawData[Total Spent],E821,RawData[Payment Method],F821,RawData[Location],G821,RawData[Transaction Date],H821)</f>
        <v>1</v>
      </c>
      <c r="L821"/>
    </row>
    <row r="822" spans="1:12" x14ac:dyDescent="0.3">
      <c r="A822" t="s">
        <v>828</v>
      </c>
      <c r="B822" t="s">
        <v>10010</v>
      </c>
      <c r="C822">
        <v>3</v>
      </c>
      <c r="D822">
        <v>1</v>
      </c>
      <c r="E822">
        <v>3</v>
      </c>
      <c r="F822" t="s">
        <v>10018</v>
      </c>
      <c r="G822" t="s">
        <v>10102</v>
      </c>
      <c r="H822" s="6">
        <v>44968</v>
      </c>
      <c r="I822">
        <f t="shared" si="24"/>
        <v>0</v>
      </c>
      <c r="J822" t="str">
        <f t="shared" si="25"/>
        <v>Complete</v>
      </c>
      <c r="K822">
        <f>COUNTIFS(RawData[Item], B822,RawData[Quantity],C822,RawData[Price Per Unit],D822,RawData[Total Spent],E822,RawData[Payment Method],F822,RawData[Location],G822,RawData[Transaction Date],H822)</f>
        <v>1</v>
      </c>
      <c r="L822"/>
    </row>
    <row r="823" spans="1:12" x14ac:dyDescent="0.3">
      <c r="A823" t="s">
        <v>829</v>
      </c>
      <c r="B823" t="s">
        <v>10013</v>
      </c>
      <c r="C823">
        <v>3</v>
      </c>
      <c r="D823">
        <v>2</v>
      </c>
      <c r="E823">
        <v>6</v>
      </c>
      <c r="F823" t="s">
        <v>10018</v>
      </c>
      <c r="G823" t="s">
        <v>10069</v>
      </c>
      <c r="H823" s="6">
        <v>45223</v>
      </c>
      <c r="I823">
        <f t="shared" si="24"/>
        <v>1</v>
      </c>
      <c r="J823" t="str">
        <f t="shared" si="25"/>
        <v>Complete</v>
      </c>
      <c r="K823">
        <f>COUNTIFS(RawData[Item], B823,RawData[Quantity],C823,RawData[Price Per Unit],D823,RawData[Total Spent],E823,RawData[Payment Method],F823,RawData[Location],G823,RawData[Transaction Date],H823)</f>
        <v>1</v>
      </c>
      <c r="L823"/>
    </row>
    <row r="824" spans="1:12" x14ac:dyDescent="0.3">
      <c r="A824" t="s">
        <v>830</v>
      </c>
      <c r="B824" t="s">
        <v>10016</v>
      </c>
      <c r="C824">
        <v>5</v>
      </c>
      <c r="D824">
        <v>3</v>
      </c>
      <c r="E824">
        <v>15</v>
      </c>
      <c r="F824" t="s">
        <v>10018</v>
      </c>
      <c r="G824" t="s">
        <v>10069</v>
      </c>
      <c r="H824" s="6" t="s">
        <v>10112</v>
      </c>
      <c r="I824">
        <f t="shared" si="24"/>
        <v>1</v>
      </c>
      <c r="J824" t="str">
        <f t="shared" si="25"/>
        <v>Incomplete</v>
      </c>
      <c r="K824">
        <f>COUNTIFS(RawData[Item], B824,RawData[Quantity],C824,RawData[Price Per Unit],D824,RawData[Total Spent],E824,RawData[Payment Method],F824,RawData[Location],G824,RawData[Transaction Date],H824)</f>
        <v>3</v>
      </c>
      <c r="L824"/>
    </row>
    <row r="825" spans="1:12" x14ac:dyDescent="0.3">
      <c r="A825" t="s">
        <v>831</v>
      </c>
      <c r="B825" t="s">
        <v>10009</v>
      </c>
      <c r="C825">
        <v>3</v>
      </c>
      <c r="D825">
        <v>3</v>
      </c>
      <c r="E825">
        <v>9</v>
      </c>
      <c r="F825" t="s">
        <v>10018</v>
      </c>
      <c r="G825" t="s">
        <v>10021</v>
      </c>
      <c r="H825" s="6">
        <v>45038</v>
      </c>
      <c r="I825">
        <f t="shared" si="24"/>
        <v>0</v>
      </c>
      <c r="J825" t="str">
        <f t="shared" si="25"/>
        <v>Complete</v>
      </c>
      <c r="K825">
        <f>COUNTIFS(RawData[Item], B825,RawData[Quantity],C825,RawData[Price Per Unit],D825,RawData[Total Spent],E825,RawData[Payment Method],F825,RawData[Location],G825,RawData[Transaction Date],H825)</f>
        <v>1</v>
      </c>
      <c r="L825"/>
    </row>
    <row r="826" spans="1:12" x14ac:dyDescent="0.3">
      <c r="A826" t="s">
        <v>832</v>
      </c>
      <c r="B826" t="s">
        <v>10008</v>
      </c>
      <c r="C826">
        <v>1</v>
      </c>
      <c r="D826">
        <v>2</v>
      </c>
      <c r="E826">
        <v>2</v>
      </c>
      <c r="F826" t="s">
        <v>10069</v>
      </c>
      <c r="G826" t="s">
        <v>10069</v>
      </c>
      <c r="H826" s="6">
        <v>45207</v>
      </c>
      <c r="I826">
        <f t="shared" si="24"/>
        <v>0</v>
      </c>
      <c r="J826" t="str">
        <f t="shared" si="25"/>
        <v>Complete</v>
      </c>
      <c r="K826">
        <f>COUNTIFS(RawData[Item], B826,RawData[Quantity],C826,RawData[Price Per Unit],D826,RawData[Total Spent],E826,RawData[Payment Method],F826,RawData[Location],G826,RawData[Transaction Date],H826)</f>
        <v>1</v>
      </c>
      <c r="L826"/>
    </row>
    <row r="827" spans="1:12" x14ac:dyDescent="0.3">
      <c r="A827" t="s">
        <v>833</v>
      </c>
      <c r="B827" t="s">
        <v>10011</v>
      </c>
      <c r="C827">
        <v>2</v>
      </c>
      <c r="D827">
        <v>5</v>
      </c>
      <c r="E827">
        <v>10</v>
      </c>
      <c r="F827" t="s">
        <v>10069</v>
      </c>
      <c r="G827" t="s">
        <v>10021</v>
      </c>
      <c r="H827" s="6">
        <v>45097</v>
      </c>
      <c r="I827">
        <f t="shared" si="24"/>
        <v>0</v>
      </c>
      <c r="J827" t="str">
        <f t="shared" si="25"/>
        <v>Complete</v>
      </c>
      <c r="K827">
        <f>COUNTIFS(RawData[Item], B827,RawData[Quantity],C827,RawData[Price Per Unit],D827,RawData[Total Spent],E827,RawData[Payment Method],F827,RawData[Location],G827,RawData[Transaction Date],H827)</f>
        <v>1</v>
      </c>
      <c r="L827"/>
    </row>
    <row r="828" spans="1:12" x14ac:dyDescent="0.3">
      <c r="A828" t="s">
        <v>834</v>
      </c>
      <c r="B828" t="s">
        <v>10012</v>
      </c>
      <c r="C828">
        <v>2</v>
      </c>
      <c r="D828">
        <v>4</v>
      </c>
      <c r="E828">
        <v>8</v>
      </c>
      <c r="F828" t="s">
        <v>10018</v>
      </c>
      <c r="G828" t="s">
        <v>10069</v>
      </c>
      <c r="H828" s="6">
        <v>45262</v>
      </c>
      <c r="I828">
        <f t="shared" si="24"/>
        <v>0</v>
      </c>
      <c r="J828" t="str">
        <f t="shared" si="25"/>
        <v>Complete</v>
      </c>
      <c r="K828">
        <f>COUNTIFS(RawData[Item], B828,RawData[Quantity],C828,RawData[Price Per Unit],D828,RawData[Total Spent],E828,RawData[Payment Method],F828,RawData[Location],G828,RawData[Transaction Date],H828)</f>
        <v>1</v>
      </c>
      <c r="L828"/>
    </row>
    <row r="829" spans="1:12" x14ac:dyDescent="0.3">
      <c r="A829" t="s">
        <v>835</v>
      </c>
      <c r="B829" t="s">
        <v>10014</v>
      </c>
      <c r="C829">
        <v>2</v>
      </c>
      <c r="D829">
        <v>4</v>
      </c>
      <c r="E829" t="s">
        <v>10013</v>
      </c>
      <c r="F829" t="s">
        <v>10069</v>
      </c>
      <c r="G829" t="s">
        <v>10021</v>
      </c>
      <c r="H829" s="6">
        <v>44950</v>
      </c>
      <c r="I829">
        <f t="shared" si="24"/>
        <v>1</v>
      </c>
      <c r="J829" t="str">
        <f t="shared" si="25"/>
        <v>Complete</v>
      </c>
      <c r="K829">
        <f>COUNTIFS(RawData[Item], B829,RawData[Quantity],C829,RawData[Price Per Unit],D829,RawData[Total Spent],E829,RawData[Payment Method],F829,RawData[Location],G829,RawData[Transaction Date],H829)</f>
        <v>1</v>
      </c>
      <c r="L829"/>
    </row>
    <row r="830" spans="1:12" x14ac:dyDescent="0.3">
      <c r="A830" t="s">
        <v>836</v>
      </c>
      <c r="B830" t="s">
        <v>10014</v>
      </c>
      <c r="C830">
        <v>5</v>
      </c>
      <c r="D830">
        <v>4</v>
      </c>
      <c r="E830">
        <v>20</v>
      </c>
      <c r="F830" t="s">
        <v>10018</v>
      </c>
      <c r="G830" t="s">
        <v>10102</v>
      </c>
      <c r="H830" s="6">
        <v>44928</v>
      </c>
      <c r="I830">
        <f t="shared" si="24"/>
        <v>0</v>
      </c>
      <c r="J830" t="str">
        <f t="shared" si="25"/>
        <v>Complete</v>
      </c>
      <c r="K830">
        <f>COUNTIFS(RawData[Item], B830,RawData[Quantity],C830,RawData[Price Per Unit],D830,RawData[Total Spent],E830,RawData[Payment Method],F830,RawData[Location],G830,RawData[Transaction Date],H830)</f>
        <v>1</v>
      </c>
      <c r="L830"/>
    </row>
    <row r="831" spans="1:12" x14ac:dyDescent="0.3">
      <c r="A831" t="s">
        <v>837</v>
      </c>
      <c r="B831" t="s">
        <v>10010</v>
      </c>
      <c r="C831">
        <v>2</v>
      </c>
      <c r="D831">
        <v>0</v>
      </c>
      <c r="E831">
        <v>2</v>
      </c>
      <c r="F831" t="s">
        <v>10020</v>
      </c>
      <c r="G831" t="s">
        <v>10021</v>
      </c>
      <c r="H831" s="6">
        <v>45051</v>
      </c>
      <c r="I831">
        <f t="shared" si="24"/>
        <v>0</v>
      </c>
      <c r="J831" t="str">
        <f t="shared" si="25"/>
        <v>Complete</v>
      </c>
      <c r="K831">
        <f>COUNTIFS(RawData[Item], B831,RawData[Quantity],C831,RawData[Price Per Unit],D831,RawData[Total Spent],E831,RawData[Payment Method],F831,RawData[Location],G831,RawData[Transaction Date],H831)</f>
        <v>1</v>
      </c>
      <c r="L831"/>
    </row>
    <row r="832" spans="1:12" x14ac:dyDescent="0.3">
      <c r="A832" t="s">
        <v>838</v>
      </c>
      <c r="B832" t="s">
        <v>10014</v>
      </c>
      <c r="C832">
        <v>2</v>
      </c>
      <c r="D832">
        <v>4</v>
      </c>
      <c r="E832">
        <v>8</v>
      </c>
      <c r="F832" t="s">
        <v>10069</v>
      </c>
      <c r="G832" t="s">
        <v>10104</v>
      </c>
      <c r="H832" s="6">
        <v>45243</v>
      </c>
      <c r="I832">
        <f t="shared" si="24"/>
        <v>1</v>
      </c>
      <c r="J832" t="str">
        <f t="shared" si="25"/>
        <v>Complete</v>
      </c>
      <c r="K832">
        <f>COUNTIFS(RawData[Item], B832,RawData[Quantity],C832,RawData[Price Per Unit],D832,RawData[Total Spent],E832,RawData[Payment Method],F832,RawData[Location],G832,RawData[Transaction Date],H832)</f>
        <v>1</v>
      </c>
      <c r="L832"/>
    </row>
    <row r="833" spans="1:12" x14ac:dyDescent="0.3">
      <c r="A833" t="s">
        <v>839</v>
      </c>
      <c r="B833" t="s">
        <v>10017</v>
      </c>
      <c r="C833">
        <v>3</v>
      </c>
      <c r="D833">
        <v>1.5</v>
      </c>
      <c r="E833">
        <v>4.5</v>
      </c>
      <c r="F833" t="s">
        <v>10019</v>
      </c>
      <c r="G833" t="s">
        <v>10021</v>
      </c>
      <c r="H833" s="6">
        <v>45243</v>
      </c>
      <c r="I833">
        <f t="shared" si="24"/>
        <v>0</v>
      </c>
      <c r="J833" t="str">
        <f t="shared" si="25"/>
        <v>Complete</v>
      </c>
      <c r="K833">
        <f>COUNTIFS(RawData[Item], B833,RawData[Quantity],C833,RawData[Price Per Unit],D833,RawData[Total Spent],E833,RawData[Payment Method],F833,RawData[Location],G833,RawData[Transaction Date],H833)</f>
        <v>2</v>
      </c>
      <c r="L833"/>
    </row>
    <row r="834" spans="1:12" x14ac:dyDescent="0.3">
      <c r="A834" t="s">
        <v>840</v>
      </c>
      <c r="B834" t="s">
        <v>10009</v>
      </c>
      <c r="C834" t="s">
        <v>10015</v>
      </c>
      <c r="D834">
        <v>3</v>
      </c>
      <c r="E834">
        <v>12</v>
      </c>
      <c r="F834" t="s">
        <v>10019</v>
      </c>
      <c r="G834" t="s">
        <v>10021</v>
      </c>
      <c r="H834" s="6" t="s">
        <v>10112</v>
      </c>
      <c r="I834">
        <f t="shared" ref="I834:I897" si="26">(B834="Unknown")+(B834="Error")+(C834="Unknown")+(C834="Error")+(D834="Unknown")+(D834="Error")+(E834="Unknown")+(E834="Error")+(F834="Unknown")+(F834="Error")+(G834="Unknown")+(G834="Error")+(H834="No Date")</f>
        <v>2</v>
      </c>
      <c r="J834" t="str">
        <f t="shared" ref="J834:J897" si="27">IF((H834="No Date"),"Incomplete","Complete")</f>
        <v>Incomplete</v>
      </c>
      <c r="K834">
        <f>COUNTIFS(RawData[Item], B834,RawData[Quantity],C834,RawData[Price Per Unit],D834,RawData[Total Spent],E834,RawData[Payment Method],F834,RawData[Location],G834,RawData[Transaction Date],H834)</f>
        <v>1</v>
      </c>
      <c r="L834"/>
    </row>
    <row r="835" spans="1:12" x14ac:dyDescent="0.3">
      <c r="A835" t="s">
        <v>841</v>
      </c>
      <c r="B835" t="s">
        <v>10017</v>
      </c>
      <c r="C835" t="s">
        <v>10013</v>
      </c>
      <c r="D835">
        <v>1.5</v>
      </c>
      <c r="E835">
        <v>3</v>
      </c>
      <c r="F835" t="s">
        <v>10019</v>
      </c>
      <c r="G835" t="s">
        <v>10069</v>
      </c>
      <c r="H835" s="6">
        <v>44965</v>
      </c>
      <c r="I835">
        <f t="shared" si="26"/>
        <v>1</v>
      </c>
      <c r="J835" t="str">
        <f t="shared" si="27"/>
        <v>Complete</v>
      </c>
      <c r="K835">
        <f>COUNTIFS(RawData[Item], B835,RawData[Quantity],C835,RawData[Price Per Unit],D835,RawData[Total Spent],E835,RawData[Payment Method],F835,RawData[Location],G835,RawData[Transaction Date],H835)</f>
        <v>1</v>
      </c>
      <c r="L835"/>
    </row>
    <row r="836" spans="1:12" x14ac:dyDescent="0.3">
      <c r="A836" t="s">
        <v>842</v>
      </c>
      <c r="B836" t="s">
        <v>10016</v>
      </c>
      <c r="C836">
        <v>4</v>
      </c>
      <c r="D836" t="s">
        <v>10013</v>
      </c>
      <c r="E836">
        <v>12</v>
      </c>
      <c r="F836" t="s">
        <v>10020</v>
      </c>
      <c r="G836" t="s">
        <v>10021</v>
      </c>
      <c r="H836" s="6">
        <v>44981</v>
      </c>
      <c r="I836">
        <f t="shared" si="26"/>
        <v>1</v>
      </c>
      <c r="J836" t="str">
        <f t="shared" si="27"/>
        <v>Complete</v>
      </c>
      <c r="K836">
        <f>COUNTIFS(RawData[Item], B836,RawData[Quantity],C836,RawData[Price Per Unit],D836,RawData[Total Spent],E836,RawData[Payment Method],F836,RawData[Location],G836,RawData[Transaction Date],H836)</f>
        <v>1</v>
      </c>
      <c r="L836"/>
    </row>
    <row r="837" spans="1:12" x14ac:dyDescent="0.3">
      <c r="A837" t="s">
        <v>843</v>
      </c>
      <c r="B837" t="s">
        <v>10014</v>
      </c>
      <c r="C837">
        <v>5</v>
      </c>
      <c r="D837">
        <v>4</v>
      </c>
      <c r="E837">
        <v>20</v>
      </c>
      <c r="F837" t="s">
        <v>10069</v>
      </c>
      <c r="G837" t="s">
        <v>10021</v>
      </c>
      <c r="H837" s="6">
        <v>44982</v>
      </c>
      <c r="I837">
        <f t="shared" si="26"/>
        <v>0</v>
      </c>
      <c r="J837" t="str">
        <f t="shared" si="27"/>
        <v>Complete</v>
      </c>
      <c r="K837">
        <f>COUNTIFS(RawData[Item], B837,RawData[Quantity],C837,RawData[Price Per Unit],D837,RawData[Total Spent],E837,RawData[Payment Method],F837,RawData[Location],G837,RawData[Transaction Date],H837)</f>
        <v>1</v>
      </c>
      <c r="L837"/>
    </row>
    <row r="838" spans="1:12" x14ac:dyDescent="0.3">
      <c r="A838" t="s">
        <v>844</v>
      </c>
      <c r="B838" t="s">
        <v>10009</v>
      </c>
      <c r="C838">
        <v>4</v>
      </c>
      <c r="D838">
        <v>3</v>
      </c>
      <c r="E838">
        <v>12</v>
      </c>
      <c r="F838" t="s">
        <v>10104</v>
      </c>
      <c r="G838" t="s">
        <v>10021</v>
      </c>
      <c r="H838" s="6">
        <v>45089</v>
      </c>
      <c r="I838">
        <f t="shared" si="26"/>
        <v>1</v>
      </c>
      <c r="J838" t="str">
        <f t="shared" si="27"/>
        <v>Complete</v>
      </c>
      <c r="K838">
        <f>COUNTIFS(RawData[Item], B838,RawData[Quantity],C838,RawData[Price Per Unit],D838,RawData[Total Spent],E838,RawData[Payment Method],F838,RawData[Location],G838,RawData[Transaction Date],H838)</f>
        <v>1</v>
      </c>
      <c r="L838"/>
    </row>
    <row r="839" spans="1:12" x14ac:dyDescent="0.3">
      <c r="A839" t="s">
        <v>845</v>
      </c>
      <c r="B839" t="s">
        <v>10010</v>
      </c>
      <c r="C839">
        <v>1</v>
      </c>
      <c r="D839">
        <v>1</v>
      </c>
      <c r="E839">
        <v>1</v>
      </c>
      <c r="F839" t="s">
        <v>10018</v>
      </c>
      <c r="G839" t="s">
        <v>10069</v>
      </c>
      <c r="H839" s="6">
        <v>44953</v>
      </c>
      <c r="I839">
        <f t="shared" si="26"/>
        <v>0</v>
      </c>
      <c r="J839" t="str">
        <f t="shared" si="27"/>
        <v>Complete</v>
      </c>
      <c r="K839">
        <f>COUNTIFS(RawData[Item], B839,RawData[Quantity],C839,RawData[Price Per Unit],D839,RawData[Total Spent],E839,RawData[Payment Method],F839,RawData[Location],G839,RawData[Transaction Date],H839)</f>
        <v>1</v>
      </c>
      <c r="L839"/>
    </row>
    <row r="840" spans="1:12" x14ac:dyDescent="0.3">
      <c r="A840" t="s">
        <v>846</v>
      </c>
      <c r="B840" t="s">
        <v>10008</v>
      </c>
      <c r="C840">
        <v>4</v>
      </c>
      <c r="D840">
        <v>2</v>
      </c>
      <c r="E840">
        <v>8</v>
      </c>
      <c r="F840" t="s">
        <v>10018</v>
      </c>
      <c r="G840" t="s">
        <v>10103</v>
      </c>
      <c r="H840" s="6">
        <v>45222</v>
      </c>
      <c r="I840">
        <f t="shared" si="26"/>
        <v>1</v>
      </c>
      <c r="J840" t="str">
        <f t="shared" si="27"/>
        <v>Complete</v>
      </c>
      <c r="K840">
        <f>COUNTIFS(RawData[Item], B840,RawData[Quantity],C840,RawData[Price Per Unit],D840,RawData[Total Spent],E840,RawData[Payment Method],F840,RawData[Location],G840,RawData[Transaction Date],H840)</f>
        <v>1</v>
      </c>
      <c r="L840"/>
    </row>
    <row r="841" spans="1:12" x14ac:dyDescent="0.3">
      <c r="A841" t="s">
        <v>847</v>
      </c>
      <c r="B841" t="s">
        <v>10009</v>
      </c>
      <c r="C841">
        <v>3</v>
      </c>
      <c r="D841">
        <v>3</v>
      </c>
      <c r="E841">
        <v>9</v>
      </c>
      <c r="F841" t="s">
        <v>10018</v>
      </c>
      <c r="G841" t="s">
        <v>10021</v>
      </c>
      <c r="H841" s="6">
        <v>45001</v>
      </c>
      <c r="I841">
        <f t="shared" si="26"/>
        <v>0</v>
      </c>
      <c r="J841" t="str">
        <f t="shared" si="27"/>
        <v>Complete</v>
      </c>
      <c r="K841">
        <f>COUNTIFS(RawData[Item], B841,RawData[Quantity],C841,RawData[Price Per Unit],D841,RawData[Total Spent],E841,RawData[Payment Method],F841,RawData[Location],G841,RawData[Transaction Date],H841)</f>
        <v>1</v>
      </c>
      <c r="L841"/>
    </row>
    <row r="842" spans="1:12" x14ac:dyDescent="0.3">
      <c r="A842" t="s">
        <v>848</v>
      </c>
      <c r="B842" t="s">
        <v>10009</v>
      </c>
      <c r="C842" t="s">
        <v>10015</v>
      </c>
      <c r="D842">
        <v>3</v>
      </c>
      <c r="E842">
        <v>9</v>
      </c>
      <c r="F842" t="s">
        <v>10104</v>
      </c>
      <c r="G842" t="s">
        <v>10102</v>
      </c>
      <c r="H842" s="6">
        <v>44927</v>
      </c>
      <c r="I842">
        <f t="shared" si="26"/>
        <v>2</v>
      </c>
      <c r="J842" t="str">
        <f t="shared" si="27"/>
        <v>Complete</v>
      </c>
      <c r="K842">
        <f>COUNTIFS(RawData[Item], B842,RawData[Quantity],C842,RawData[Price Per Unit],D842,RawData[Total Spent],E842,RawData[Payment Method],F842,RawData[Location],G842,RawData[Transaction Date],H842)</f>
        <v>1</v>
      </c>
      <c r="L842"/>
    </row>
    <row r="843" spans="1:12" x14ac:dyDescent="0.3">
      <c r="A843" t="s">
        <v>849</v>
      </c>
      <c r="B843" t="s">
        <v>10014</v>
      </c>
      <c r="C843">
        <v>1</v>
      </c>
      <c r="D843">
        <v>4</v>
      </c>
      <c r="E843">
        <v>4</v>
      </c>
      <c r="F843" t="s">
        <v>10020</v>
      </c>
      <c r="G843" t="s">
        <v>10021</v>
      </c>
      <c r="H843" s="6">
        <v>45117</v>
      </c>
      <c r="I843">
        <f t="shared" si="26"/>
        <v>0</v>
      </c>
      <c r="J843" t="str">
        <f t="shared" si="27"/>
        <v>Complete</v>
      </c>
      <c r="K843">
        <f>COUNTIFS(RawData[Item], B843,RawData[Quantity],C843,RawData[Price Per Unit],D843,RawData[Total Spent],E843,RawData[Payment Method],F843,RawData[Location],G843,RawData[Transaction Date],H843)</f>
        <v>1</v>
      </c>
      <c r="L843"/>
    </row>
    <row r="844" spans="1:12" x14ac:dyDescent="0.3">
      <c r="A844" t="s">
        <v>850</v>
      </c>
      <c r="B844" t="s">
        <v>10012</v>
      </c>
      <c r="C844">
        <v>3</v>
      </c>
      <c r="D844">
        <v>4</v>
      </c>
      <c r="E844" t="s">
        <v>10015</v>
      </c>
      <c r="F844" t="s">
        <v>10104</v>
      </c>
      <c r="G844" t="s">
        <v>10021</v>
      </c>
      <c r="H844" s="6">
        <v>45031</v>
      </c>
      <c r="I844">
        <f t="shared" si="26"/>
        <v>2</v>
      </c>
      <c r="J844" t="str">
        <f t="shared" si="27"/>
        <v>Complete</v>
      </c>
      <c r="K844">
        <f>COUNTIFS(RawData[Item], B844,RawData[Quantity],C844,RawData[Price Per Unit],D844,RawData[Total Spent],E844,RawData[Payment Method],F844,RawData[Location],G844,RawData[Transaction Date],H844)</f>
        <v>1</v>
      </c>
      <c r="L844"/>
    </row>
    <row r="845" spans="1:12" x14ac:dyDescent="0.3">
      <c r="A845" t="s">
        <v>851</v>
      </c>
      <c r="B845" t="s">
        <v>10009</v>
      </c>
      <c r="C845">
        <v>2</v>
      </c>
      <c r="D845">
        <v>3</v>
      </c>
      <c r="E845">
        <v>6</v>
      </c>
      <c r="F845" t="s">
        <v>10019</v>
      </c>
      <c r="G845" t="s">
        <v>10102</v>
      </c>
      <c r="H845" s="6">
        <v>45163</v>
      </c>
      <c r="I845">
        <f t="shared" si="26"/>
        <v>0</v>
      </c>
      <c r="J845" t="str">
        <f t="shared" si="27"/>
        <v>Complete</v>
      </c>
      <c r="K845">
        <f>COUNTIFS(RawData[Item], B845,RawData[Quantity],C845,RawData[Price Per Unit],D845,RawData[Total Spent],E845,RawData[Payment Method],F845,RawData[Location],G845,RawData[Transaction Date],H845)</f>
        <v>1</v>
      </c>
      <c r="L845"/>
    </row>
    <row r="846" spans="1:12" x14ac:dyDescent="0.3">
      <c r="A846" t="s">
        <v>852</v>
      </c>
      <c r="B846" t="s">
        <v>10011</v>
      </c>
      <c r="C846">
        <v>1</v>
      </c>
      <c r="D846" t="s">
        <v>10015</v>
      </c>
      <c r="E846">
        <v>5</v>
      </c>
      <c r="F846" t="s">
        <v>10019</v>
      </c>
      <c r="G846" t="s">
        <v>10102</v>
      </c>
      <c r="H846" s="6">
        <v>44942</v>
      </c>
      <c r="I846">
        <f t="shared" si="26"/>
        <v>1</v>
      </c>
      <c r="J846" t="str">
        <f t="shared" si="27"/>
        <v>Complete</v>
      </c>
      <c r="K846">
        <f>COUNTIFS(RawData[Item], B846,RawData[Quantity],C846,RawData[Price Per Unit],D846,RawData[Total Spent],E846,RawData[Payment Method],F846,RawData[Location],G846,RawData[Transaction Date],H846)</f>
        <v>1</v>
      </c>
      <c r="L846"/>
    </row>
    <row r="847" spans="1:12" x14ac:dyDescent="0.3">
      <c r="A847" t="s">
        <v>853</v>
      </c>
      <c r="B847" t="s">
        <v>10016</v>
      </c>
      <c r="C847">
        <v>4</v>
      </c>
      <c r="D847">
        <v>3</v>
      </c>
      <c r="E847">
        <v>12</v>
      </c>
      <c r="F847" t="s">
        <v>10018</v>
      </c>
      <c r="G847" t="s">
        <v>10102</v>
      </c>
      <c r="H847" s="6">
        <v>45042</v>
      </c>
      <c r="I847">
        <f t="shared" si="26"/>
        <v>0</v>
      </c>
      <c r="J847" t="str">
        <f t="shared" si="27"/>
        <v>Complete</v>
      </c>
      <c r="K847">
        <f>COUNTIFS(RawData[Item], B847,RawData[Quantity],C847,RawData[Price Per Unit],D847,RawData[Total Spent],E847,RawData[Payment Method],F847,RawData[Location],G847,RawData[Transaction Date],H847)</f>
        <v>1</v>
      </c>
      <c r="L847"/>
    </row>
    <row r="848" spans="1:12" x14ac:dyDescent="0.3">
      <c r="A848" t="s">
        <v>854</v>
      </c>
      <c r="B848" t="s">
        <v>10011</v>
      </c>
      <c r="C848">
        <v>1</v>
      </c>
      <c r="D848">
        <v>5</v>
      </c>
      <c r="E848">
        <v>5</v>
      </c>
      <c r="F848" t="s">
        <v>10069</v>
      </c>
      <c r="G848" t="s">
        <v>10069</v>
      </c>
      <c r="H848" s="6">
        <v>45020</v>
      </c>
      <c r="I848">
        <f t="shared" si="26"/>
        <v>0</v>
      </c>
      <c r="J848" t="str">
        <f t="shared" si="27"/>
        <v>Complete</v>
      </c>
      <c r="K848">
        <f>COUNTIFS(RawData[Item], B848,RawData[Quantity],C848,RawData[Price Per Unit],D848,RawData[Total Spent],E848,RawData[Payment Method],F848,RawData[Location],G848,RawData[Transaction Date],H848)</f>
        <v>1</v>
      </c>
      <c r="L848"/>
    </row>
    <row r="849" spans="1:12" x14ac:dyDescent="0.3">
      <c r="A849" t="s">
        <v>855</v>
      </c>
      <c r="B849" t="s">
        <v>10010</v>
      </c>
      <c r="C849">
        <v>4</v>
      </c>
      <c r="D849">
        <v>1</v>
      </c>
      <c r="E849">
        <v>4</v>
      </c>
      <c r="F849" t="s">
        <v>10020</v>
      </c>
      <c r="G849" t="s">
        <v>10102</v>
      </c>
      <c r="H849" s="6">
        <v>44928</v>
      </c>
      <c r="I849">
        <f t="shared" si="26"/>
        <v>0</v>
      </c>
      <c r="J849" t="str">
        <f t="shared" si="27"/>
        <v>Complete</v>
      </c>
      <c r="K849">
        <f>COUNTIFS(RawData[Item], B849,RawData[Quantity],C849,RawData[Price Per Unit],D849,RawData[Total Spent],E849,RawData[Payment Method],F849,RawData[Location],G849,RawData[Transaction Date],H849)</f>
        <v>1</v>
      </c>
      <c r="L849"/>
    </row>
    <row r="850" spans="1:12" x14ac:dyDescent="0.3">
      <c r="A850" t="s">
        <v>856</v>
      </c>
      <c r="B850" t="s">
        <v>10011</v>
      </c>
      <c r="C850" t="s">
        <v>10013</v>
      </c>
      <c r="D850">
        <v>5</v>
      </c>
      <c r="E850">
        <v>20</v>
      </c>
      <c r="F850" t="s">
        <v>10020</v>
      </c>
      <c r="G850" t="s">
        <v>10102</v>
      </c>
      <c r="H850" s="6">
        <v>45265</v>
      </c>
      <c r="I850">
        <f t="shared" si="26"/>
        <v>1</v>
      </c>
      <c r="J850" t="str">
        <f t="shared" si="27"/>
        <v>Complete</v>
      </c>
      <c r="K850">
        <f>COUNTIFS(RawData[Item], B850,RawData[Quantity],C850,RawData[Price Per Unit],D850,RawData[Total Spent],E850,RawData[Payment Method],F850,RawData[Location],G850,RawData[Transaction Date],H850)</f>
        <v>1</v>
      </c>
      <c r="L850"/>
    </row>
    <row r="851" spans="1:12" x14ac:dyDescent="0.3">
      <c r="A851" t="s">
        <v>857</v>
      </c>
      <c r="B851" t="s">
        <v>10011</v>
      </c>
      <c r="C851">
        <v>3</v>
      </c>
      <c r="D851">
        <v>5</v>
      </c>
      <c r="E851">
        <v>15</v>
      </c>
      <c r="F851" t="s">
        <v>10019</v>
      </c>
      <c r="G851" t="s">
        <v>10069</v>
      </c>
      <c r="H851" s="6">
        <v>45058</v>
      </c>
      <c r="I851">
        <f t="shared" si="26"/>
        <v>0</v>
      </c>
      <c r="J851" t="str">
        <f t="shared" si="27"/>
        <v>Complete</v>
      </c>
      <c r="K851">
        <f>COUNTIFS(RawData[Item], B851,RawData[Quantity],C851,RawData[Price Per Unit],D851,RawData[Total Spent],E851,RawData[Payment Method],F851,RawData[Location],G851,RawData[Transaction Date],H851)</f>
        <v>1</v>
      </c>
      <c r="L851"/>
    </row>
    <row r="852" spans="1:12" x14ac:dyDescent="0.3">
      <c r="A852" t="s">
        <v>858</v>
      </c>
      <c r="B852" t="s">
        <v>10017</v>
      </c>
      <c r="C852">
        <v>5</v>
      </c>
      <c r="D852">
        <v>1.5</v>
      </c>
      <c r="E852">
        <v>7.5</v>
      </c>
      <c r="F852" t="s">
        <v>10020</v>
      </c>
      <c r="G852" t="s">
        <v>10069</v>
      </c>
      <c r="H852" s="6">
        <v>45216</v>
      </c>
      <c r="I852">
        <f t="shared" si="26"/>
        <v>0</v>
      </c>
      <c r="J852" t="str">
        <f t="shared" si="27"/>
        <v>Complete</v>
      </c>
      <c r="K852">
        <f>COUNTIFS(RawData[Item], B852,RawData[Quantity],C852,RawData[Price Per Unit],D852,RawData[Total Spent],E852,RawData[Payment Method],F852,RawData[Location],G852,RawData[Transaction Date],H852)</f>
        <v>1</v>
      </c>
      <c r="L852"/>
    </row>
    <row r="853" spans="1:12" x14ac:dyDescent="0.3">
      <c r="A853" t="s">
        <v>859</v>
      </c>
      <c r="B853" t="s">
        <v>10016</v>
      </c>
      <c r="C853">
        <v>4</v>
      </c>
      <c r="D853">
        <v>3</v>
      </c>
      <c r="E853">
        <v>12</v>
      </c>
      <c r="F853" t="s">
        <v>10018</v>
      </c>
      <c r="G853" t="s">
        <v>10069</v>
      </c>
      <c r="H853" s="6">
        <v>44982</v>
      </c>
      <c r="I853">
        <f t="shared" si="26"/>
        <v>0</v>
      </c>
      <c r="J853" t="str">
        <f t="shared" si="27"/>
        <v>Complete</v>
      </c>
      <c r="K853">
        <f>COUNTIFS(RawData[Item], B853,RawData[Quantity],C853,RawData[Price Per Unit],D853,RawData[Total Spent],E853,RawData[Payment Method],F853,RawData[Location],G853,RawData[Transaction Date],H853)</f>
        <v>1</v>
      </c>
      <c r="L853"/>
    </row>
    <row r="854" spans="1:12" x14ac:dyDescent="0.3">
      <c r="A854" t="s">
        <v>860</v>
      </c>
      <c r="B854" t="s">
        <v>10011</v>
      </c>
      <c r="C854">
        <v>2</v>
      </c>
      <c r="D854" t="s">
        <v>10013</v>
      </c>
      <c r="E854">
        <v>10</v>
      </c>
      <c r="F854" t="s">
        <v>10069</v>
      </c>
      <c r="G854" t="s">
        <v>10103</v>
      </c>
      <c r="H854" s="6">
        <v>45192</v>
      </c>
      <c r="I854">
        <f t="shared" si="26"/>
        <v>2</v>
      </c>
      <c r="J854" t="str">
        <f t="shared" si="27"/>
        <v>Complete</v>
      </c>
      <c r="K854">
        <f>COUNTIFS(RawData[Item], B854,RawData[Quantity],C854,RawData[Price Per Unit],D854,RawData[Total Spent],E854,RawData[Payment Method],F854,RawData[Location],G854,RawData[Transaction Date],H854)</f>
        <v>1</v>
      </c>
      <c r="L854"/>
    </row>
    <row r="855" spans="1:12" x14ac:dyDescent="0.3">
      <c r="A855" t="s">
        <v>861</v>
      </c>
      <c r="B855" t="s">
        <v>10011</v>
      </c>
      <c r="C855">
        <v>5</v>
      </c>
      <c r="D855">
        <v>5</v>
      </c>
      <c r="E855">
        <v>25</v>
      </c>
      <c r="F855" t="s">
        <v>10069</v>
      </c>
      <c r="G855" t="s">
        <v>10102</v>
      </c>
      <c r="H855" s="6">
        <v>44989</v>
      </c>
      <c r="I855">
        <f t="shared" si="26"/>
        <v>0</v>
      </c>
      <c r="J855" t="str">
        <f t="shared" si="27"/>
        <v>Complete</v>
      </c>
      <c r="K855">
        <f>COUNTIFS(RawData[Item], B855,RawData[Quantity],C855,RawData[Price Per Unit],D855,RawData[Total Spent],E855,RawData[Payment Method],F855,RawData[Location],G855,RawData[Transaction Date],H855)</f>
        <v>1</v>
      </c>
      <c r="L855"/>
    </row>
    <row r="856" spans="1:12" x14ac:dyDescent="0.3">
      <c r="A856" t="s">
        <v>862</v>
      </c>
      <c r="B856" t="s">
        <v>10016</v>
      </c>
      <c r="C856">
        <v>3</v>
      </c>
      <c r="D856">
        <v>3</v>
      </c>
      <c r="E856">
        <v>9</v>
      </c>
      <c r="F856" t="s">
        <v>10020</v>
      </c>
      <c r="G856" t="s">
        <v>10069</v>
      </c>
      <c r="H856" s="6">
        <v>45056</v>
      </c>
      <c r="I856">
        <f t="shared" si="26"/>
        <v>0</v>
      </c>
      <c r="J856" t="str">
        <f t="shared" si="27"/>
        <v>Complete</v>
      </c>
      <c r="K856">
        <f>COUNTIFS(RawData[Item], B856,RawData[Quantity],C856,RawData[Price Per Unit],D856,RawData[Total Spent],E856,RawData[Payment Method],F856,RawData[Location],G856,RawData[Transaction Date],H856)</f>
        <v>1</v>
      </c>
      <c r="L856"/>
    </row>
    <row r="857" spans="1:12" x14ac:dyDescent="0.3">
      <c r="A857" t="s">
        <v>863</v>
      </c>
      <c r="B857" t="s">
        <v>10016</v>
      </c>
      <c r="C857">
        <v>4</v>
      </c>
      <c r="D857">
        <v>3</v>
      </c>
      <c r="E857">
        <v>12</v>
      </c>
      <c r="F857" t="s">
        <v>10019</v>
      </c>
      <c r="G857" t="s">
        <v>10021</v>
      </c>
      <c r="H857" s="6">
        <v>44981</v>
      </c>
      <c r="I857">
        <f t="shared" si="26"/>
        <v>0</v>
      </c>
      <c r="J857" t="str">
        <f t="shared" si="27"/>
        <v>Complete</v>
      </c>
      <c r="K857">
        <f>COUNTIFS(RawData[Item], B857,RawData[Quantity],C857,RawData[Price Per Unit],D857,RawData[Total Spent],E857,RawData[Payment Method],F857,RawData[Location],G857,RawData[Transaction Date],H857)</f>
        <v>1</v>
      </c>
      <c r="L857"/>
    </row>
    <row r="858" spans="1:12" x14ac:dyDescent="0.3">
      <c r="A858" t="s">
        <v>864</v>
      </c>
      <c r="B858" t="s">
        <v>10009</v>
      </c>
      <c r="C858">
        <v>1</v>
      </c>
      <c r="D858">
        <v>3</v>
      </c>
      <c r="E858">
        <v>3</v>
      </c>
      <c r="F858" t="s">
        <v>10020</v>
      </c>
      <c r="G858" t="s">
        <v>10069</v>
      </c>
      <c r="H858" s="6">
        <v>45167</v>
      </c>
      <c r="I858">
        <f t="shared" si="26"/>
        <v>0</v>
      </c>
      <c r="J858" t="str">
        <f t="shared" si="27"/>
        <v>Complete</v>
      </c>
      <c r="K858">
        <f>COUNTIFS(RawData[Item], B858,RawData[Quantity],C858,RawData[Price Per Unit],D858,RawData[Total Spent],E858,RawData[Payment Method],F858,RawData[Location],G858,RawData[Transaction Date],H858)</f>
        <v>1</v>
      </c>
      <c r="L858"/>
    </row>
    <row r="859" spans="1:12" x14ac:dyDescent="0.3">
      <c r="A859" t="s">
        <v>865</v>
      </c>
      <c r="B859" t="s">
        <v>10017</v>
      </c>
      <c r="C859">
        <v>4</v>
      </c>
      <c r="D859">
        <v>1.5</v>
      </c>
      <c r="E859">
        <v>6</v>
      </c>
      <c r="F859" t="s">
        <v>10018</v>
      </c>
      <c r="G859" t="s">
        <v>10021</v>
      </c>
      <c r="H859" s="6">
        <v>45047</v>
      </c>
      <c r="I859">
        <f t="shared" si="26"/>
        <v>0</v>
      </c>
      <c r="J859" t="str">
        <f t="shared" si="27"/>
        <v>Complete</v>
      </c>
      <c r="K859">
        <f>COUNTIFS(RawData[Item], B859,RawData[Quantity],C859,RawData[Price Per Unit],D859,RawData[Total Spent],E859,RawData[Payment Method],F859,RawData[Location],G859,RawData[Transaction Date],H859)</f>
        <v>1</v>
      </c>
      <c r="L859"/>
    </row>
    <row r="860" spans="1:12" x14ac:dyDescent="0.3">
      <c r="A860" t="s">
        <v>866</v>
      </c>
      <c r="B860" t="s">
        <v>10008</v>
      </c>
      <c r="C860">
        <v>3</v>
      </c>
      <c r="D860">
        <v>2</v>
      </c>
      <c r="E860">
        <v>6</v>
      </c>
      <c r="F860" t="s">
        <v>10020</v>
      </c>
      <c r="G860" t="s">
        <v>10102</v>
      </c>
      <c r="H860" s="6">
        <v>45028</v>
      </c>
      <c r="I860">
        <f t="shared" si="26"/>
        <v>0</v>
      </c>
      <c r="J860" t="str">
        <f t="shared" si="27"/>
        <v>Complete</v>
      </c>
      <c r="K860">
        <f>COUNTIFS(RawData[Item], B860,RawData[Quantity],C860,RawData[Price Per Unit],D860,RawData[Total Spent],E860,RawData[Payment Method],F860,RawData[Location],G860,RawData[Transaction Date],H860)</f>
        <v>1</v>
      </c>
      <c r="L860"/>
    </row>
    <row r="861" spans="1:12" x14ac:dyDescent="0.3">
      <c r="A861" t="s">
        <v>867</v>
      </c>
      <c r="B861" t="s">
        <v>10016</v>
      </c>
      <c r="C861">
        <v>5</v>
      </c>
      <c r="D861">
        <v>3</v>
      </c>
      <c r="E861">
        <v>15</v>
      </c>
      <c r="F861" t="s">
        <v>10104</v>
      </c>
      <c r="G861" t="s">
        <v>10069</v>
      </c>
      <c r="H861" s="6">
        <v>45094</v>
      </c>
      <c r="I861">
        <f t="shared" si="26"/>
        <v>1</v>
      </c>
      <c r="J861" t="str">
        <f t="shared" si="27"/>
        <v>Complete</v>
      </c>
      <c r="K861">
        <f>COUNTIFS(RawData[Item], B861,RawData[Quantity],C861,RawData[Price Per Unit],D861,RawData[Total Spent],E861,RawData[Payment Method],F861,RawData[Location],G861,RawData[Transaction Date],H861)</f>
        <v>1</v>
      </c>
      <c r="L861"/>
    </row>
    <row r="862" spans="1:12" x14ac:dyDescent="0.3">
      <c r="A862" t="s">
        <v>868</v>
      </c>
      <c r="B862" t="s">
        <v>10012</v>
      </c>
      <c r="C862">
        <v>2</v>
      </c>
      <c r="D862">
        <v>4</v>
      </c>
      <c r="E862">
        <v>8</v>
      </c>
      <c r="F862" t="s">
        <v>10069</v>
      </c>
      <c r="G862" t="s">
        <v>10069</v>
      </c>
      <c r="H862" s="6">
        <v>44995</v>
      </c>
      <c r="I862">
        <f t="shared" si="26"/>
        <v>0</v>
      </c>
      <c r="J862" t="str">
        <f t="shared" si="27"/>
        <v>Complete</v>
      </c>
      <c r="K862">
        <f>COUNTIFS(RawData[Item], B862,RawData[Quantity],C862,RawData[Price Per Unit],D862,RawData[Total Spent],E862,RawData[Payment Method],F862,RawData[Location],G862,RawData[Transaction Date],H862)</f>
        <v>1</v>
      </c>
      <c r="L862"/>
    </row>
    <row r="863" spans="1:12" x14ac:dyDescent="0.3">
      <c r="A863" t="s">
        <v>869</v>
      </c>
      <c r="B863" t="s">
        <v>10008</v>
      </c>
      <c r="C863">
        <v>4</v>
      </c>
      <c r="D863">
        <v>2</v>
      </c>
      <c r="E863">
        <v>8</v>
      </c>
      <c r="F863" t="s">
        <v>10019</v>
      </c>
      <c r="G863" t="s">
        <v>10069</v>
      </c>
      <c r="H863" s="6">
        <v>45001</v>
      </c>
      <c r="I863">
        <f t="shared" si="26"/>
        <v>0</v>
      </c>
      <c r="J863" t="str">
        <f t="shared" si="27"/>
        <v>Complete</v>
      </c>
      <c r="K863">
        <f>COUNTIFS(RawData[Item], B863,RawData[Quantity],C863,RawData[Price Per Unit],D863,RawData[Total Spent],E863,RawData[Payment Method],F863,RawData[Location],G863,RawData[Transaction Date],H863)</f>
        <v>1</v>
      </c>
      <c r="L863"/>
    </row>
    <row r="864" spans="1:12" x14ac:dyDescent="0.3">
      <c r="A864" t="s">
        <v>870</v>
      </c>
      <c r="B864" t="s">
        <v>10017</v>
      </c>
      <c r="C864">
        <v>5</v>
      </c>
      <c r="D864">
        <v>1.5</v>
      </c>
      <c r="E864">
        <v>7.5</v>
      </c>
      <c r="F864" t="s">
        <v>10018</v>
      </c>
      <c r="G864" t="s">
        <v>10069</v>
      </c>
      <c r="H864" s="6">
        <v>45008</v>
      </c>
      <c r="I864">
        <f t="shared" si="26"/>
        <v>0</v>
      </c>
      <c r="J864" t="str">
        <f t="shared" si="27"/>
        <v>Complete</v>
      </c>
      <c r="K864">
        <f>COUNTIFS(RawData[Item], B864,RawData[Quantity],C864,RawData[Price Per Unit],D864,RawData[Total Spent],E864,RawData[Payment Method],F864,RawData[Location],G864,RawData[Transaction Date],H864)</f>
        <v>1</v>
      </c>
      <c r="L864"/>
    </row>
    <row r="865" spans="1:12" x14ac:dyDescent="0.3">
      <c r="A865" t="s">
        <v>871</v>
      </c>
      <c r="B865" t="s">
        <v>10013</v>
      </c>
      <c r="C865">
        <v>2</v>
      </c>
      <c r="D865">
        <v>2</v>
      </c>
      <c r="E865">
        <v>4</v>
      </c>
      <c r="F865" t="s">
        <v>10103</v>
      </c>
      <c r="G865" t="s">
        <v>10103</v>
      </c>
      <c r="H865" s="6">
        <v>45075</v>
      </c>
      <c r="I865">
        <f t="shared" si="26"/>
        <v>3</v>
      </c>
      <c r="J865" t="str">
        <f t="shared" si="27"/>
        <v>Complete</v>
      </c>
      <c r="K865">
        <f>COUNTIFS(RawData[Item], B865,RawData[Quantity],C865,RawData[Price Per Unit],D865,RawData[Total Spent],E865,RawData[Payment Method],F865,RawData[Location],G865,RawData[Transaction Date],H865)</f>
        <v>1</v>
      </c>
      <c r="L865"/>
    </row>
    <row r="866" spans="1:12" x14ac:dyDescent="0.3">
      <c r="A866" t="s">
        <v>872</v>
      </c>
      <c r="B866" t="s">
        <v>10009</v>
      </c>
      <c r="C866">
        <v>1</v>
      </c>
      <c r="D866">
        <v>3</v>
      </c>
      <c r="E866">
        <v>3</v>
      </c>
      <c r="F866" t="s">
        <v>10069</v>
      </c>
      <c r="G866" t="s">
        <v>10021</v>
      </c>
      <c r="H866" s="6">
        <v>44951</v>
      </c>
      <c r="I866">
        <f t="shared" si="26"/>
        <v>0</v>
      </c>
      <c r="J866" t="str">
        <f t="shared" si="27"/>
        <v>Complete</v>
      </c>
      <c r="K866">
        <f>COUNTIFS(RawData[Item], B866,RawData[Quantity],C866,RawData[Price Per Unit],D866,RawData[Total Spent],E866,RawData[Payment Method],F866,RawData[Location],G866,RawData[Transaction Date],H866)</f>
        <v>1</v>
      </c>
      <c r="L866"/>
    </row>
    <row r="867" spans="1:12" x14ac:dyDescent="0.3">
      <c r="A867" t="s">
        <v>873</v>
      </c>
      <c r="B867" t="s">
        <v>10016</v>
      </c>
      <c r="C867">
        <v>3</v>
      </c>
      <c r="D867">
        <v>3</v>
      </c>
      <c r="E867">
        <v>9</v>
      </c>
      <c r="F867" t="s">
        <v>10018</v>
      </c>
      <c r="G867" t="s">
        <v>10102</v>
      </c>
      <c r="H867" s="6">
        <v>44938</v>
      </c>
      <c r="I867">
        <f t="shared" si="26"/>
        <v>0</v>
      </c>
      <c r="J867" t="str">
        <f t="shared" si="27"/>
        <v>Complete</v>
      </c>
      <c r="K867">
        <f>COUNTIFS(RawData[Item], B867,RawData[Quantity],C867,RawData[Price Per Unit],D867,RawData[Total Spent],E867,RawData[Payment Method],F867,RawData[Location],G867,RawData[Transaction Date],H867)</f>
        <v>1</v>
      </c>
      <c r="L867"/>
    </row>
    <row r="868" spans="1:12" x14ac:dyDescent="0.3">
      <c r="A868" t="s">
        <v>874</v>
      </c>
      <c r="B868" t="s">
        <v>10009</v>
      </c>
      <c r="C868">
        <v>1</v>
      </c>
      <c r="D868">
        <v>3</v>
      </c>
      <c r="E868">
        <v>3</v>
      </c>
      <c r="F868" t="s">
        <v>10069</v>
      </c>
      <c r="G868" t="s">
        <v>10021</v>
      </c>
      <c r="H868" s="6">
        <v>45238</v>
      </c>
      <c r="I868">
        <f t="shared" si="26"/>
        <v>0</v>
      </c>
      <c r="J868" t="str">
        <f t="shared" si="27"/>
        <v>Complete</v>
      </c>
      <c r="K868">
        <f>COUNTIFS(RawData[Item], B868,RawData[Quantity],C868,RawData[Price Per Unit],D868,RawData[Total Spent],E868,RawData[Payment Method],F868,RawData[Location],G868,RawData[Transaction Date],H868)</f>
        <v>1</v>
      </c>
      <c r="L868"/>
    </row>
    <row r="869" spans="1:12" x14ac:dyDescent="0.3">
      <c r="A869" t="s">
        <v>875</v>
      </c>
      <c r="B869" t="s">
        <v>10014</v>
      </c>
      <c r="C869">
        <v>1</v>
      </c>
      <c r="D869">
        <v>4</v>
      </c>
      <c r="E869">
        <v>4</v>
      </c>
      <c r="F869" t="s">
        <v>10019</v>
      </c>
      <c r="G869" t="s">
        <v>10102</v>
      </c>
      <c r="H869" s="6">
        <v>45129</v>
      </c>
      <c r="I869">
        <f t="shared" si="26"/>
        <v>0</v>
      </c>
      <c r="J869" t="str">
        <f t="shared" si="27"/>
        <v>Complete</v>
      </c>
      <c r="K869">
        <f>COUNTIFS(RawData[Item], B869,RawData[Quantity],C869,RawData[Price Per Unit],D869,RawData[Total Spent],E869,RawData[Payment Method],F869,RawData[Location],G869,RawData[Transaction Date],H869)</f>
        <v>1</v>
      </c>
      <c r="L869"/>
    </row>
    <row r="870" spans="1:12" x14ac:dyDescent="0.3">
      <c r="A870" t="s">
        <v>876</v>
      </c>
      <c r="B870" t="s">
        <v>10010</v>
      </c>
      <c r="C870">
        <v>4</v>
      </c>
      <c r="D870">
        <v>1</v>
      </c>
      <c r="E870">
        <v>4</v>
      </c>
      <c r="F870" t="s">
        <v>10019</v>
      </c>
      <c r="G870" t="s">
        <v>10021</v>
      </c>
      <c r="H870" s="6">
        <v>45281</v>
      </c>
      <c r="I870">
        <f t="shared" si="26"/>
        <v>0</v>
      </c>
      <c r="J870" t="str">
        <f t="shared" si="27"/>
        <v>Complete</v>
      </c>
      <c r="K870">
        <f>COUNTIFS(RawData[Item], B870,RawData[Quantity],C870,RawData[Price Per Unit],D870,RawData[Total Spent],E870,RawData[Payment Method],F870,RawData[Location],G870,RawData[Transaction Date],H870)</f>
        <v>1</v>
      </c>
      <c r="L870"/>
    </row>
    <row r="871" spans="1:12" x14ac:dyDescent="0.3">
      <c r="A871" t="s">
        <v>877</v>
      </c>
      <c r="B871" t="s">
        <v>10016</v>
      </c>
      <c r="C871">
        <v>3</v>
      </c>
      <c r="D871">
        <v>3</v>
      </c>
      <c r="E871" t="s">
        <v>10015</v>
      </c>
      <c r="F871" t="s">
        <v>10018</v>
      </c>
      <c r="G871" t="s">
        <v>10103</v>
      </c>
      <c r="H871" s="6">
        <v>45119</v>
      </c>
      <c r="I871">
        <f t="shared" si="26"/>
        <v>2</v>
      </c>
      <c r="J871" t="str">
        <f t="shared" si="27"/>
        <v>Complete</v>
      </c>
      <c r="K871">
        <f>COUNTIFS(RawData[Item], B871,RawData[Quantity],C871,RawData[Price Per Unit],D871,RawData[Total Spent],E871,RawData[Payment Method],F871,RawData[Location],G871,RawData[Transaction Date],H871)</f>
        <v>1</v>
      </c>
      <c r="L871"/>
    </row>
    <row r="872" spans="1:12" x14ac:dyDescent="0.3">
      <c r="A872" t="s">
        <v>878</v>
      </c>
      <c r="B872" t="s">
        <v>10010</v>
      </c>
      <c r="C872">
        <v>2</v>
      </c>
      <c r="D872">
        <v>1</v>
      </c>
      <c r="E872">
        <v>2</v>
      </c>
      <c r="F872" t="s">
        <v>10020</v>
      </c>
      <c r="G872" t="s">
        <v>10021</v>
      </c>
      <c r="H872" s="6">
        <v>44972</v>
      </c>
      <c r="I872">
        <f t="shared" si="26"/>
        <v>0</v>
      </c>
      <c r="J872" t="str">
        <f t="shared" si="27"/>
        <v>Complete</v>
      </c>
      <c r="K872">
        <f>COUNTIFS(RawData[Item], B872,RawData[Quantity],C872,RawData[Price Per Unit],D872,RawData[Total Spent],E872,RawData[Payment Method],F872,RawData[Location],G872,RawData[Transaction Date],H872)</f>
        <v>1</v>
      </c>
      <c r="L872"/>
    </row>
    <row r="873" spans="1:12" x14ac:dyDescent="0.3">
      <c r="A873" t="s">
        <v>879</v>
      </c>
      <c r="B873" t="s">
        <v>10017</v>
      </c>
      <c r="C873">
        <v>5</v>
      </c>
      <c r="D873">
        <v>1.5</v>
      </c>
      <c r="E873">
        <v>7.5</v>
      </c>
      <c r="F873" t="s">
        <v>10020</v>
      </c>
      <c r="G873" t="s">
        <v>10069</v>
      </c>
      <c r="H873" s="6">
        <v>45145</v>
      </c>
      <c r="I873">
        <f t="shared" si="26"/>
        <v>0</v>
      </c>
      <c r="J873" t="str">
        <f t="shared" si="27"/>
        <v>Complete</v>
      </c>
      <c r="K873">
        <f>COUNTIFS(RawData[Item], B873,RawData[Quantity],C873,RawData[Price Per Unit],D873,RawData[Total Spent],E873,RawData[Payment Method],F873,RawData[Location],G873,RawData[Transaction Date],H873)</f>
        <v>1</v>
      </c>
      <c r="L873"/>
    </row>
    <row r="874" spans="1:12" x14ac:dyDescent="0.3">
      <c r="A874" t="s">
        <v>880</v>
      </c>
      <c r="B874" t="s">
        <v>10009</v>
      </c>
      <c r="C874">
        <v>2</v>
      </c>
      <c r="D874">
        <v>3</v>
      </c>
      <c r="E874">
        <v>6</v>
      </c>
      <c r="F874" t="s">
        <v>10020</v>
      </c>
      <c r="G874" t="s">
        <v>10069</v>
      </c>
      <c r="H874" s="6">
        <v>45202</v>
      </c>
      <c r="I874">
        <f t="shared" si="26"/>
        <v>0</v>
      </c>
      <c r="J874" t="str">
        <f t="shared" si="27"/>
        <v>Complete</v>
      </c>
      <c r="K874">
        <f>COUNTIFS(RawData[Item], B874,RawData[Quantity],C874,RawData[Price Per Unit],D874,RawData[Total Spent],E874,RawData[Payment Method],F874,RawData[Location],G874,RawData[Transaction Date],H874)</f>
        <v>1</v>
      </c>
      <c r="L874"/>
    </row>
    <row r="875" spans="1:12" x14ac:dyDescent="0.3">
      <c r="A875" t="s">
        <v>881</v>
      </c>
      <c r="B875" t="s">
        <v>10017</v>
      </c>
      <c r="C875">
        <v>1</v>
      </c>
      <c r="D875">
        <v>1.5</v>
      </c>
      <c r="E875">
        <v>1.5</v>
      </c>
      <c r="F875" t="s">
        <v>10019</v>
      </c>
      <c r="G875" t="s">
        <v>10021</v>
      </c>
      <c r="H875" s="6">
        <v>45092</v>
      </c>
      <c r="I875">
        <f t="shared" si="26"/>
        <v>0</v>
      </c>
      <c r="J875" t="str">
        <f t="shared" si="27"/>
        <v>Complete</v>
      </c>
      <c r="K875">
        <f>COUNTIFS(RawData[Item], B875,RawData[Quantity],C875,RawData[Price Per Unit],D875,RawData[Total Spent],E875,RawData[Payment Method],F875,RawData[Location],G875,RawData[Transaction Date],H875)</f>
        <v>1</v>
      </c>
      <c r="L875"/>
    </row>
    <row r="876" spans="1:12" x14ac:dyDescent="0.3">
      <c r="A876" t="s">
        <v>882</v>
      </c>
      <c r="B876" t="s">
        <v>10011</v>
      </c>
      <c r="C876">
        <v>5</v>
      </c>
      <c r="D876" t="s">
        <v>10015</v>
      </c>
      <c r="E876">
        <v>25</v>
      </c>
      <c r="F876" t="s">
        <v>10018</v>
      </c>
      <c r="G876" t="s">
        <v>10102</v>
      </c>
      <c r="H876" s="6">
        <v>44939</v>
      </c>
      <c r="I876">
        <f t="shared" si="26"/>
        <v>1</v>
      </c>
      <c r="J876" t="str">
        <f t="shared" si="27"/>
        <v>Complete</v>
      </c>
      <c r="K876">
        <f>COUNTIFS(RawData[Item], B876,RawData[Quantity],C876,RawData[Price Per Unit],D876,RawData[Total Spent],E876,RawData[Payment Method],F876,RawData[Location],G876,RawData[Transaction Date],H876)</f>
        <v>1</v>
      </c>
      <c r="L876"/>
    </row>
    <row r="877" spans="1:12" x14ac:dyDescent="0.3">
      <c r="A877" t="s">
        <v>883</v>
      </c>
      <c r="B877" t="s">
        <v>10010</v>
      </c>
      <c r="C877">
        <v>3</v>
      </c>
      <c r="D877">
        <v>1</v>
      </c>
      <c r="E877">
        <v>3</v>
      </c>
      <c r="F877" t="s">
        <v>10069</v>
      </c>
      <c r="G877" t="s">
        <v>10021</v>
      </c>
      <c r="H877" s="6">
        <v>45173</v>
      </c>
      <c r="I877">
        <f t="shared" si="26"/>
        <v>0</v>
      </c>
      <c r="J877" t="str">
        <f t="shared" si="27"/>
        <v>Complete</v>
      </c>
      <c r="K877">
        <f>COUNTIFS(RawData[Item], B877,RawData[Quantity],C877,RawData[Price Per Unit],D877,RawData[Total Spent],E877,RawData[Payment Method],F877,RawData[Location],G877,RawData[Transaction Date],H877)</f>
        <v>1</v>
      </c>
      <c r="L877"/>
    </row>
    <row r="878" spans="1:12" x14ac:dyDescent="0.3">
      <c r="A878" t="s">
        <v>884</v>
      </c>
      <c r="B878" t="s">
        <v>10008</v>
      </c>
      <c r="C878">
        <v>5</v>
      </c>
      <c r="D878">
        <v>2</v>
      </c>
      <c r="E878">
        <v>10</v>
      </c>
      <c r="F878" t="s">
        <v>10019</v>
      </c>
      <c r="G878" t="s">
        <v>10069</v>
      </c>
      <c r="H878" s="6">
        <v>45090</v>
      </c>
      <c r="I878">
        <f t="shared" si="26"/>
        <v>0</v>
      </c>
      <c r="J878" t="str">
        <f t="shared" si="27"/>
        <v>Complete</v>
      </c>
      <c r="K878">
        <f>COUNTIFS(RawData[Item], B878,RawData[Quantity],C878,RawData[Price Per Unit],D878,RawData[Total Spent],E878,RawData[Payment Method],F878,RawData[Location],G878,RawData[Transaction Date],H878)</f>
        <v>1</v>
      </c>
      <c r="L878"/>
    </row>
    <row r="879" spans="1:12" x14ac:dyDescent="0.3">
      <c r="A879" t="s">
        <v>885</v>
      </c>
      <c r="B879" t="s">
        <v>10069</v>
      </c>
      <c r="C879">
        <v>4</v>
      </c>
      <c r="D879">
        <v>1.5</v>
      </c>
      <c r="E879">
        <v>6</v>
      </c>
      <c r="F879" t="s">
        <v>10018</v>
      </c>
      <c r="G879" t="s">
        <v>10102</v>
      </c>
      <c r="H879" s="6">
        <v>45084</v>
      </c>
      <c r="I879">
        <f t="shared" si="26"/>
        <v>0</v>
      </c>
      <c r="J879" t="str">
        <f t="shared" si="27"/>
        <v>Complete</v>
      </c>
      <c r="K879">
        <f>COUNTIFS(RawData[Item], B879,RawData[Quantity],C879,RawData[Price Per Unit],D879,RawData[Total Spent],E879,RawData[Payment Method],F879,RawData[Location],G879,RawData[Transaction Date],H879)</f>
        <v>1</v>
      </c>
      <c r="L879"/>
    </row>
    <row r="880" spans="1:12" x14ac:dyDescent="0.3">
      <c r="A880" t="s">
        <v>886</v>
      </c>
      <c r="B880" t="s">
        <v>10012</v>
      </c>
      <c r="C880">
        <v>2</v>
      </c>
      <c r="D880">
        <v>4</v>
      </c>
      <c r="E880">
        <v>8</v>
      </c>
      <c r="F880" t="s">
        <v>10020</v>
      </c>
      <c r="G880" t="s">
        <v>10103</v>
      </c>
      <c r="H880" s="6">
        <v>44972</v>
      </c>
      <c r="I880">
        <f t="shared" si="26"/>
        <v>1</v>
      </c>
      <c r="J880" t="str">
        <f t="shared" si="27"/>
        <v>Complete</v>
      </c>
      <c r="K880">
        <f>COUNTIFS(RawData[Item], B880,RawData[Quantity],C880,RawData[Price Per Unit],D880,RawData[Total Spent],E880,RawData[Payment Method],F880,RawData[Location],G880,RawData[Transaction Date],H880)</f>
        <v>1</v>
      </c>
      <c r="L880"/>
    </row>
    <row r="881" spans="1:12" x14ac:dyDescent="0.3">
      <c r="A881" t="s">
        <v>887</v>
      </c>
      <c r="B881" t="s">
        <v>10012</v>
      </c>
      <c r="C881">
        <v>5</v>
      </c>
      <c r="D881">
        <v>4</v>
      </c>
      <c r="E881">
        <v>20</v>
      </c>
      <c r="F881" t="s">
        <v>10069</v>
      </c>
      <c r="G881" t="s">
        <v>10102</v>
      </c>
      <c r="H881" s="6">
        <v>45147</v>
      </c>
      <c r="I881">
        <f t="shared" si="26"/>
        <v>0</v>
      </c>
      <c r="J881" t="str">
        <f t="shared" si="27"/>
        <v>Complete</v>
      </c>
      <c r="K881">
        <f>COUNTIFS(RawData[Item], B881,RawData[Quantity],C881,RawData[Price Per Unit],D881,RawData[Total Spent],E881,RawData[Payment Method],F881,RawData[Location],G881,RawData[Transaction Date],H881)</f>
        <v>1</v>
      </c>
      <c r="L881"/>
    </row>
    <row r="882" spans="1:12" x14ac:dyDescent="0.3">
      <c r="A882" t="s">
        <v>888</v>
      </c>
      <c r="B882" t="s">
        <v>10069</v>
      </c>
      <c r="C882">
        <v>1</v>
      </c>
      <c r="D882">
        <v>3</v>
      </c>
      <c r="E882">
        <v>3</v>
      </c>
      <c r="F882" t="s">
        <v>10019</v>
      </c>
      <c r="G882" t="s">
        <v>10102</v>
      </c>
      <c r="H882" s="6">
        <v>45222</v>
      </c>
      <c r="I882">
        <f t="shared" si="26"/>
        <v>0</v>
      </c>
      <c r="J882" t="str">
        <f t="shared" si="27"/>
        <v>Complete</v>
      </c>
      <c r="K882">
        <f>COUNTIFS(RawData[Item], B882,RawData[Quantity],C882,RawData[Price Per Unit],D882,RawData[Total Spent],E882,RawData[Payment Method],F882,RawData[Location],G882,RawData[Transaction Date],H882)</f>
        <v>1</v>
      </c>
      <c r="L882"/>
    </row>
    <row r="883" spans="1:12" x14ac:dyDescent="0.3">
      <c r="A883" t="s">
        <v>889</v>
      </c>
      <c r="B883" t="s">
        <v>10013</v>
      </c>
      <c r="C883">
        <v>4</v>
      </c>
      <c r="D883">
        <v>3</v>
      </c>
      <c r="E883">
        <v>12</v>
      </c>
      <c r="F883" t="s">
        <v>10069</v>
      </c>
      <c r="G883" t="s">
        <v>10021</v>
      </c>
      <c r="H883" s="6">
        <v>44956</v>
      </c>
      <c r="I883">
        <f t="shared" si="26"/>
        <v>1</v>
      </c>
      <c r="J883" t="str">
        <f t="shared" si="27"/>
        <v>Complete</v>
      </c>
      <c r="K883">
        <f>COUNTIFS(RawData[Item], B883,RawData[Quantity],C883,RawData[Price Per Unit],D883,RawData[Total Spent],E883,RawData[Payment Method],F883,RawData[Location],G883,RawData[Transaction Date],H883)</f>
        <v>1</v>
      </c>
      <c r="L883"/>
    </row>
    <row r="884" spans="1:12" x14ac:dyDescent="0.3">
      <c r="A884" t="s">
        <v>890</v>
      </c>
      <c r="B884" t="s">
        <v>10016</v>
      </c>
      <c r="C884">
        <v>5</v>
      </c>
      <c r="D884">
        <v>3</v>
      </c>
      <c r="E884">
        <v>15</v>
      </c>
      <c r="F884" t="s">
        <v>10104</v>
      </c>
      <c r="G884" t="s">
        <v>10069</v>
      </c>
      <c r="H884" s="6">
        <v>45004</v>
      </c>
      <c r="I884">
        <f t="shared" si="26"/>
        <v>1</v>
      </c>
      <c r="J884" t="str">
        <f t="shared" si="27"/>
        <v>Complete</v>
      </c>
      <c r="K884">
        <f>COUNTIFS(RawData[Item], B884,RawData[Quantity],C884,RawData[Price Per Unit],D884,RawData[Total Spent],E884,RawData[Payment Method],F884,RawData[Location],G884,RawData[Transaction Date],H884)</f>
        <v>1</v>
      </c>
      <c r="L884"/>
    </row>
    <row r="885" spans="1:12" x14ac:dyDescent="0.3">
      <c r="A885" t="s">
        <v>891</v>
      </c>
      <c r="B885" t="s">
        <v>10012</v>
      </c>
      <c r="C885">
        <v>2</v>
      </c>
      <c r="D885">
        <v>4</v>
      </c>
      <c r="E885">
        <v>8</v>
      </c>
      <c r="F885" t="s">
        <v>10020</v>
      </c>
      <c r="G885" t="s">
        <v>10069</v>
      </c>
      <c r="H885" s="6">
        <v>45027</v>
      </c>
      <c r="I885">
        <f t="shared" si="26"/>
        <v>0</v>
      </c>
      <c r="J885" t="str">
        <f t="shared" si="27"/>
        <v>Complete</v>
      </c>
      <c r="K885">
        <f>COUNTIFS(RawData[Item], B885,RawData[Quantity],C885,RawData[Price Per Unit],D885,RawData[Total Spent],E885,RawData[Payment Method],F885,RawData[Location],G885,RawData[Transaction Date],H885)</f>
        <v>1</v>
      </c>
      <c r="L885"/>
    </row>
    <row r="886" spans="1:12" x14ac:dyDescent="0.3">
      <c r="A886" t="s">
        <v>892</v>
      </c>
      <c r="B886" t="s">
        <v>10011</v>
      </c>
      <c r="C886">
        <v>3</v>
      </c>
      <c r="D886" t="s">
        <v>10013</v>
      </c>
      <c r="E886">
        <v>15</v>
      </c>
      <c r="F886" t="s">
        <v>10020</v>
      </c>
      <c r="G886" t="s">
        <v>10104</v>
      </c>
      <c r="H886" s="6" t="s">
        <v>10112</v>
      </c>
      <c r="I886">
        <f t="shared" si="26"/>
        <v>3</v>
      </c>
      <c r="J886" t="str">
        <f t="shared" si="27"/>
        <v>Incomplete</v>
      </c>
      <c r="K886">
        <f>COUNTIFS(RawData[Item], B886,RawData[Quantity],C886,RawData[Price Per Unit],D886,RawData[Total Spent],E886,RawData[Payment Method],F886,RawData[Location],G886,RawData[Transaction Date],H886)</f>
        <v>1</v>
      </c>
      <c r="L886"/>
    </row>
    <row r="887" spans="1:12" x14ac:dyDescent="0.3">
      <c r="A887" t="s">
        <v>893</v>
      </c>
      <c r="B887" t="s">
        <v>10011</v>
      </c>
      <c r="C887">
        <v>5</v>
      </c>
      <c r="D887">
        <v>5</v>
      </c>
      <c r="E887">
        <v>25</v>
      </c>
      <c r="F887" t="s">
        <v>10069</v>
      </c>
      <c r="G887" t="s">
        <v>10069</v>
      </c>
      <c r="H887" s="6" t="s">
        <v>10112</v>
      </c>
      <c r="I887">
        <f t="shared" si="26"/>
        <v>1</v>
      </c>
      <c r="J887" t="str">
        <f t="shared" si="27"/>
        <v>Incomplete</v>
      </c>
      <c r="K887">
        <f>COUNTIFS(RawData[Item], B887,RawData[Quantity],C887,RawData[Price Per Unit],D887,RawData[Total Spent],E887,RawData[Payment Method],F887,RawData[Location],G887,RawData[Transaction Date],H887)</f>
        <v>2</v>
      </c>
      <c r="L887"/>
    </row>
    <row r="888" spans="1:12" x14ac:dyDescent="0.3">
      <c r="A888" t="s">
        <v>894</v>
      </c>
      <c r="B888" t="s">
        <v>10009</v>
      </c>
      <c r="C888">
        <v>2</v>
      </c>
      <c r="D888">
        <v>3</v>
      </c>
      <c r="E888">
        <v>6</v>
      </c>
      <c r="F888" t="s">
        <v>10019</v>
      </c>
      <c r="G888" t="s">
        <v>10069</v>
      </c>
      <c r="H888" s="6">
        <v>45123</v>
      </c>
      <c r="I888">
        <f t="shared" si="26"/>
        <v>0</v>
      </c>
      <c r="J888" t="str">
        <f t="shared" si="27"/>
        <v>Complete</v>
      </c>
      <c r="K888">
        <f>COUNTIFS(RawData[Item], B888,RawData[Quantity],C888,RawData[Price Per Unit],D888,RawData[Total Spent],E888,RawData[Payment Method],F888,RawData[Location],G888,RawData[Transaction Date],H888)</f>
        <v>1</v>
      </c>
      <c r="L888"/>
    </row>
    <row r="889" spans="1:12" x14ac:dyDescent="0.3">
      <c r="A889" t="s">
        <v>895</v>
      </c>
      <c r="B889" t="s">
        <v>10012</v>
      </c>
      <c r="C889">
        <v>3</v>
      </c>
      <c r="D889">
        <v>4</v>
      </c>
      <c r="E889" t="s">
        <v>10015</v>
      </c>
      <c r="F889" t="s">
        <v>10019</v>
      </c>
      <c r="G889" t="s">
        <v>10069</v>
      </c>
      <c r="H889" s="6">
        <v>45284</v>
      </c>
      <c r="I889">
        <f t="shared" si="26"/>
        <v>1</v>
      </c>
      <c r="J889" t="str">
        <f t="shared" si="27"/>
        <v>Complete</v>
      </c>
      <c r="K889">
        <f>COUNTIFS(RawData[Item], B889,RawData[Quantity],C889,RawData[Price Per Unit],D889,RawData[Total Spent],E889,RawData[Payment Method],F889,RawData[Location],G889,RawData[Transaction Date],H889)</f>
        <v>1</v>
      </c>
      <c r="L889"/>
    </row>
    <row r="890" spans="1:12" x14ac:dyDescent="0.3">
      <c r="A890" t="s">
        <v>896</v>
      </c>
      <c r="B890" t="s">
        <v>10012</v>
      </c>
      <c r="C890">
        <v>5</v>
      </c>
      <c r="D890">
        <v>4</v>
      </c>
      <c r="E890">
        <v>20</v>
      </c>
      <c r="F890" t="s">
        <v>10020</v>
      </c>
      <c r="G890" t="s">
        <v>10102</v>
      </c>
      <c r="H890" s="6">
        <v>45218</v>
      </c>
      <c r="I890">
        <f t="shared" si="26"/>
        <v>0</v>
      </c>
      <c r="J890" t="str">
        <f t="shared" si="27"/>
        <v>Complete</v>
      </c>
      <c r="K890">
        <f>COUNTIFS(RawData[Item], B890,RawData[Quantity],C890,RawData[Price Per Unit],D890,RawData[Total Spent],E890,RawData[Payment Method],F890,RawData[Location],G890,RawData[Transaction Date],H890)</f>
        <v>1</v>
      </c>
      <c r="L890"/>
    </row>
    <row r="891" spans="1:12" x14ac:dyDescent="0.3">
      <c r="A891" t="s">
        <v>897</v>
      </c>
      <c r="B891" t="s">
        <v>10008</v>
      </c>
      <c r="C891">
        <v>2</v>
      </c>
      <c r="D891">
        <v>2</v>
      </c>
      <c r="E891">
        <v>4</v>
      </c>
      <c r="F891" t="s">
        <v>10018</v>
      </c>
      <c r="G891" t="s">
        <v>10069</v>
      </c>
      <c r="H891" s="6">
        <v>45001</v>
      </c>
      <c r="I891">
        <f t="shared" si="26"/>
        <v>0</v>
      </c>
      <c r="J891" t="str">
        <f t="shared" si="27"/>
        <v>Complete</v>
      </c>
      <c r="K891">
        <f>COUNTIFS(RawData[Item], B891,RawData[Quantity],C891,RawData[Price Per Unit],D891,RawData[Total Spent],E891,RawData[Payment Method],F891,RawData[Location],G891,RawData[Transaction Date],H891)</f>
        <v>1</v>
      </c>
      <c r="L891"/>
    </row>
    <row r="892" spans="1:12" x14ac:dyDescent="0.3">
      <c r="A892" t="s">
        <v>898</v>
      </c>
      <c r="B892" t="s">
        <v>10011</v>
      </c>
      <c r="C892">
        <v>5</v>
      </c>
      <c r="D892">
        <v>5</v>
      </c>
      <c r="E892">
        <v>25</v>
      </c>
      <c r="F892" t="s">
        <v>10018</v>
      </c>
      <c r="G892" t="s">
        <v>10021</v>
      </c>
      <c r="H892" s="6">
        <v>45011</v>
      </c>
      <c r="I892">
        <f t="shared" si="26"/>
        <v>0</v>
      </c>
      <c r="J892" t="str">
        <f t="shared" si="27"/>
        <v>Complete</v>
      </c>
      <c r="K892">
        <f>COUNTIFS(RawData[Item], B892,RawData[Quantity],C892,RawData[Price Per Unit],D892,RawData[Total Spent],E892,RawData[Payment Method],F892,RawData[Location],G892,RawData[Transaction Date],H892)</f>
        <v>1</v>
      </c>
      <c r="L892"/>
    </row>
    <row r="893" spans="1:12" x14ac:dyDescent="0.3">
      <c r="A893" t="s">
        <v>899</v>
      </c>
      <c r="B893" t="s">
        <v>10014</v>
      </c>
      <c r="C893">
        <v>4</v>
      </c>
      <c r="D893">
        <v>4</v>
      </c>
      <c r="E893">
        <v>16</v>
      </c>
      <c r="F893" t="s">
        <v>10020</v>
      </c>
      <c r="G893" t="s">
        <v>10069</v>
      </c>
      <c r="H893" s="6">
        <v>45174</v>
      </c>
      <c r="I893">
        <f t="shared" si="26"/>
        <v>0</v>
      </c>
      <c r="J893" t="str">
        <f t="shared" si="27"/>
        <v>Complete</v>
      </c>
      <c r="K893">
        <f>COUNTIFS(RawData[Item], B893,RawData[Quantity],C893,RawData[Price Per Unit],D893,RawData[Total Spent],E893,RawData[Payment Method],F893,RawData[Location],G893,RawData[Transaction Date],H893)</f>
        <v>1</v>
      </c>
      <c r="L893"/>
    </row>
    <row r="894" spans="1:12" x14ac:dyDescent="0.3">
      <c r="A894" t="s">
        <v>900</v>
      </c>
      <c r="B894" t="s">
        <v>10017</v>
      </c>
      <c r="C894">
        <v>5</v>
      </c>
      <c r="D894">
        <v>1.5</v>
      </c>
      <c r="E894">
        <v>7.5</v>
      </c>
      <c r="F894" t="s">
        <v>10069</v>
      </c>
      <c r="G894" t="s">
        <v>10104</v>
      </c>
      <c r="H894" s="6" t="s">
        <v>10112</v>
      </c>
      <c r="I894">
        <f t="shared" si="26"/>
        <v>2</v>
      </c>
      <c r="J894" t="str">
        <f t="shared" si="27"/>
        <v>Incomplete</v>
      </c>
      <c r="K894">
        <f>COUNTIFS(RawData[Item], B894,RawData[Quantity],C894,RawData[Price Per Unit],D894,RawData[Total Spent],E894,RawData[Payment Method],F894,RawData[Location],G894,RawData[Transaction Date],H894)</f>
        <v>1</v>
      </c>
      <c r="L894"/>
    </row>
    <row r="895" spans="1:12" x14ac:dyDescent="0.3">
      <c r="A895" t="s">
        <v>901</v>
      </c>
      <c r="B895" t="s">
        <v>10017</v>
      </c>
      <c r="C895" t="s">
        <v>10013</v>
      </c>
      <c r="D895">
        <v>1.5</v>
      </c>
      <c r="E895">
        <v>7.5</v>
      </c>
      <c r="F895" t="s">
        <v>10020</v>
      </c>
      <c r="G895" t="s">
        <v>10021</v>
      </c>
      <c r="H895" s="6">
        <v>45101</v>
      </c>
      <c r="I895">
        <f t="shared" si="26"/>
        <v>1</v>
      </c>
      <c r="J895" t="str">
        <f t="shared" si="27"/>
        <v>Complete</v>
      </c>
      <c r="K895">
        <f>COUNTIFS(RawData[Item], B895,RawData[Quantity],C895,RawData[Price Per Unit],D895,RawData[Total Spent],E895,RawData[Payment Method],F895,RawData[Location],G895,RawData[Transaction Date],H895)</f>
        <v>1</v>
      </c>
      <c r="L895"/>
    </row>
    <row r="896" spans="1:12" x14ac:dyDescent="0.3">
      <c r="A896" t="s">
        <v>902</v>
      </c>
      <c r="B896" t="s">
        <v>10014</v>
      </c>
      <c r="C896">
        <v>5</v>
      </c>
      <c r="D896">
        <v>4</v>
      </c>
      <c r="E896">
        <v>20</v>
      </c>
      <c r="F896" t="s">
        <v>10018</v>
      </c>
      <c r="G896" t="s">
        <v>10069</v>
      </c>
      <c r="H896" s="6">
        <v>45265</v>
      </c>
      <c r="I896">
        <f t="shared" si="26"/>
        <v>0</v>
      </c>
      <c r="J896" t="str">
        <f t="shared" si="27"/>
        <v>Complete</v>
      </c>
      <c r="K896">
        <f>COUNTIFS(RawData[Item], B896,RawData[Quantity],C896,RawData[Price Per Unit],D896,RawData[Total Spent],E896,RawData[Payment Method],F896,RawData[Location],G896,RawData[Transaction Date],H896)</f>
        <v>1</v>
      </c>
      <c r="L896"/>
    </row>
    <row r="897" spans="1:12" x14ac:dyDescent="0.3">
      <c r="A897" t="s">
        <v>903</v>
      </c>
      <c r="B897" t="s">
        <v>10009</v>
      </c>
      <c r="C897">
        <v>2</v>
      </c>
      <c r="D897">
        <v>3</v>
      </c>
      <c r="E897">
        <v>6</v>
      </c>
      <c r="F897" t="s">
        <v>10069</v>
      </c>
      <c r="G897" t="s">
        <v>10021</v>
      </c>
      <c r="H897" s="6">
        <v>45003</v>
      </c>
      <c r="I897">
        <f t="shared" si="26"/>
        <v>0</v>
      </c>
      <c r="J897" t="str">
        <f t="shared" si="27"/>
        <v>Complete</v>
      </c>
      <c r="K897">
        <f>COUNTIFS(RawData[Item], B897,RawData[Quantity],C897,RawData[Price Per Unit],D897,RawData[Total Spent],E897,RawData[Payment Method],F897,RawData[Location],G897,RawData[Transaction Date],H897)</f>
        <v>1</v>
      </c>
      <c r="L897"/>
    </row>
    <row r="898" spans="1:12" x14ac:dyDescent="0.3">
      <c r="A898" t="s">
        <v>904</v>
      </c>
      <c r="B898" t="s">
        <v>10016</v>
      </c>
      <c r="C898">
        <v>0</v>
      </c>
      <c r="D898">
        <v>3</v>
      </c>
      <c r="E898">
        <v>12</v>
      </c>
      <c r="F898" t="s">
        <v>10069</v>
      </c>
      <c r="G898" t="s">
        <v>10103</v>
      </c>
      <c r="H898" s="6">
        <v>45195</v>
      </c>
      <c r="I898">
        <f t="shared" ref="I898:I961" si="28">(B898="Unknown")+(B898="Error")+(C898="Unknown")+(C898="Error")+(D898="Unknown")+(D898="Error")+(E898="Unknown")+(E898="Error")+(F898="Unknown")+(F898="Error")+(G898="Unknown")+(G898="Error")+(H898="No Date")</f>
        <v>1</v>
      </c>
      <c r="J898" t="str">
        <f t="shared" ref="J898:J961" si="29">IF((H898="No Date"),"Incomplete","Complete")</f>
        <v>Complete</v>
      </c>
      <c r="K898">
        <f>COUNTIFS(RawData[Item], B898,RawData[Quantity],C898,RawData[Price Per Unit],D898,RawData[Total Spent],E898,RawData[Payment Method],F898,RawData[Location],G898,RawData[Transaction Date],H898)</f>
        <v>1</v>
      </c>
      <c r="L898"/>
    </row>
    <row r="899" spans="1:12" x14ac:dyDescent="0.3">
      <c r="A899" t="s">
        <v>905</v>
      </c>
      <c r="B899" t="s">
        <v>10011</v>
      </c>
      <c r="C899">
        <v>3</v>
      </c>
      <c r="D899">
        <v>5</v>
      </c>
      <c r="E899">
        <v>15</v>
      </c>
      <c r="F899" t="s">
        <v>10020</v>
      </c>
      <c r="G899" t="s">
        <v>10069</v>
      </c>
      <c r="H899" s="6" t="s">
        <v>10112</v>
      </c>
      <c r="I899">
        <f t="shared" si="28"/>
        <v>1</v>
      </c>
      <c r="J899" t="str">
        <f t="shared" si="29"/>
        <v>Incomplete</v>
      </c>
      <c r="K899">
        <f>COUNTIFS(RawData[Item], B899,RawData[Quantity],C899,RawData[Price Per Unit],D899,RawData[Total Spent],E899,RawData[Payment Method],F899,RawData[Location],G899,RawData[Transaction Date],H899)</f>
        <v>2</v>
      </c>
      <c r="L899"/>
    </row>
    <row r="900" spans="1:12" x14ac:dyDescent="0.3">
      <c r="A900" t="s">
        <v>906</v>
      </c>
      <c r="B900" t="s">
        <v>10016</v>
      </c>
      <c r="C900">
        <v>2</v>
      </c>
      <c r="D900">
        <v>3</v>
      </c>
      <c r="E900">
        <v>6</v>
      </c>
      <c r="F900" t="s">
        <v>10069</v>
      </c>
      <c r="G900" t="s">
        <v>10021</v>
      </c>
      <c r="H900" s="6">
        <v>45157</v>
      </c>
      <c r="I900">
        <f t="shared" si="28"/>
        <v>0</v>
      </c>
      <c r="J900" t="str">
        <f t="shared" si="29"/>
        <v>Complete</v>
      </c>
      <c r="K900">
        <f>COUNTIFS(RawData[Item], B900,RawData[Quantity],C900,RawData[Price Per Unit],D900,RawData[Total Spent],E900,RawData[Payment Method],F900,RawData[Location],G900,RawData[Transaction Date],H900)</f>
        <v>1</v>
      </c>
      <c r="L900"/>
    </row>
    <row r="901" spans="1:12" x14ac:dyDescent="0.3">
      <c r="A901" t="s">
        <v>907</v>
      </c>
      <c r="B901" t="s">
        <v>10016</v>
      </c>
      <c r="C901">
        <v>5</v>
      </c>
      <c r="D901">
        <v>3</v>
      </c>
      <c r="E901">
        <v>15</v>
      </c>
      <c r="F901" t="s">
        <v>10069</v>
      </c>
      <c r="G901" t="s">
        <v>10069</v>
      </c>
      <c r="H901" s="6">
        <v>45242</v>
      </c>
      <c r="I901">
        <f t="shared" si="28"/>
        <v>0</v>
      </c>
      <c r="J901" t="str">
        <f t="shared" si="29"/>
        <v>Complete</v>
      </c>
      <c r="K901">
        <f>COUNTIFS(RawData[Item], B901,RawData[Quantity],C901,RawData[Price Per Unit],D901,RawData[Total Spent],E901,RawData[Payment Method],F901,RawData[Location],G901,RawData[Transaction Date],H901)</f>
        <v>1</v>
      </c>
      <c r="L901"/>
    </row>
    <row r="902" spans="1:12" x14ac:dyDescent="0.3">
      <c r="A902" t="s">
        <v>908</v>
      </c>
      <c r="B902" t="s">
        <v>10009</v>
      </c>
      <c r="C902">
        <v>4</v>
      </c>
      <c r="D902">
        <v>3</v>
      </c>
      <c r="E902">
        <v>12</v>
      </c>
      <c r="F902" t="s">
        <v>10069</v>
      </c>
      <c r="G902" t="s">
        <v>10069</v>
      </c>
      <c r="H902" s="6">
        <v>45221</v>
      </c>
      <c r="I902">
        <f t="shared" si="28"/>
        <v>0</v>
      </c>
      <c r="J902" t="str">
        <f t="shared" si="29"/>
        <v>Complete</v>
      </c>
      <c r="K902">
        <f>COUNTIFS(RawData[Item], B902,RawData[Quantity],C902,RawData[Price Per Unit],D902,RawData[Total Spent],E902,RawData[Payment Method],F902,RawData[Location],G902,RawData[Transaction Date],H902)</f>
        <v>1</v>
      </c>
      <c r="L902"/>
    </row>
    <row r="903" spans="1:12" x14ac:dyDescent="0.3">
      <c r="A903" t="s">
        <v>909</v>
      </c>
      <c r="B903" t="s">
        <v>10069</v>
      </c>
      <c r="C903">
        <v>3</v>
      </c>
      <c r="D903">
        <v>4</v>
      </c>
      <c r="E903">
        <v>12</v>
      </c>
      <c r="F903" t="s">
        <v>10020</v>
      </c>
      <c r="G903" t="s">
        <v>10104</v>
      </c>
      <c r="H903" s="6">
        <v>45228</v>
      </c>
      <c r="I903">
        <f t="shared" si="28"/>
        <v>1</v>
      </c>
      <c r="J903" t="str">
        <f t="shared" si="29"/>
        <v>Complete</v>
      </c>
      <c r="K903">
        <f>COUNTIFS(RawData[Item], B903,RawData[Quantity],C903,RawData[Price Per Unit],D903,RawData[Total Spent],E903,RawData[Payment Method],F903,RawData[Location],G903,RawData[Transaction Date],H903)</f>
        <v>1</v>
      </c>
      <c r="L903"/>
    </row>
    <row r="904" spans="1:12" x14ac:dyDescent="0.3">
      <c r="A904" t="s">
        <v>910</v>
      </c>
      <c r="B904" t="s">
        <v>10008</v>
      </c>
      <c r="C904">
        <v>5</v>
      </c>
      <c r="D904">
        <v>2</v>
      </c>
      <c r="E904">
        <v>10</v>
      </c>
      <c r="F904" t="s">
        <v>10069</v>
      </c>
      <c r="G904" t="s">
        <v>10104</v>
      </c>
      <c r="H904" s="6">
        <v>45276</v>
      </c>
      <c r="I904">
        <f t="shared" si="28"/>
        <v>1</v>
      </c>
      <c r="J904" t="str">
        <f t="shared" si="29"/>
        <v>Complete</v>
      </c>
      <c r="K904">
        <f>COUNTIFS(RawData[Item], B904,RawData[Quantity],C904,RawData[Price Per Unit],D904,RawData[Total Spent],E904,RawData[Payment Method],F904,RawData[Location],G904,RawData[Transaction Date],H904)</f>
        <v>1</v>
      </c>
      <c r="L904"/>
    </row>
    <row r="905" spans="1:12" x14ac:dyDescent="0.3">
      <c r="A905" t="s">
        <v>911</v>
      </c>
      <c r="B905" t="s">
        <v>10015</v>
      </c>
      <c r="C905">
        <v>1</v>
      </c>
      <c r="D905">
        <v>4</v>
      </c>
      <c r="E905">
        <v>4</v>
      </c>
      <c r="F905" t="s">
        <v>10019</v>
      </c>
      <c r="G905" t="s">
        <v>10069</v>
      </c>
      <c r="H905" s="6">
        <v>45206</v>
      </c>
      <c r="I905">
        <f t="shared" si="28"/>
        <v>1</v>
      </c>
      <c r="J905" t="str">
        <f t="shared" si="29"/>
        <v>Complete</v>
      </c>
      <c r="K905">
        <f>COUNTIFS(RawData[Item], B905,RawData[Quantity],C905,RawData[Price Per Unit],D905,RawData[Total Spent],E905,RawData[Payment Method],F905,RawData[Location],G905,RawData[Transaction Date],H905)</f>
        <v>1</v>
      </c>
      <c r="L905"/>
    </row>
    <row r="906" spans="1:12" x14ac:dyDescent="0.3">
      <c r="A906" t="s">
        <v>912</v>
      </c>
      <c r="B906" t="s">
        <v>10011</v>
      </c>
      <c r="C906">
        <v>3</v>
      </c>
      <c r="D906" t="s">
        <v>10013</v>
      </c>
      <c r="E906">
        <v>15</v>
      </c>
      <c r="F906" t="s">
        <v>10019</v>
      </c>
      <c r="G906" t="s">
        <v>10021</v>
      </c>
      <c r="H906" s="6">
        <v>45051</v>
      </c>
      <c r="I906">
        <f t="shared" si="28"/>
        <v>1</v>
      </c>
      <c r="J906" t="str">
        <f t="shared" si="29"/>
        <v>Complete</v>
      </c>
      <c r="K906">
        <f>COUNTIFS(RawData[Item], B906,RawData[Quantity],C906,RawData[Price Per Unit],D906,RawData[Total Spent],E906,RawData[Payment Method],F906,RawData[Location],G906,RawData[Transaction Date],H906)</f>
        <v>1</v>
      </c>
      <c r="L906"/>
    </row>
    <row r="907" spans="1:12" x14ac:dyDescent="0.3">
      <c r="A907" t="s">
        <v>913</v>
      </c>
      <c r="B907" t="s">
        <v>10009</v>
      </c>
      <c r="C907">
        <v>1</v>
      </c>
      <c r="D907">
        <v>3</v>
      </c>
      <c r="E907">
        <v>3</v>
      </c>
      <c r="F907" t="s">
        <v>10069</v>
      </c>
      <c r="G907" t="s">
        <v>10021</v>
      </c>
      <c r="H907" s="6">
        <v>45236</v>
      </c>
      <c r="I907">
        <f t="shared" si="28"/>
        <v>0</v>
      </c>
      <c r="J907" t="str">
        <f t="shared" si="29"/>
        <v>Complete</v>
      </c>
      <c r="K907">
        <f>COUNTIFS(RawData[Item], B907,RawData[Quantity],C907,RawData[Price Per Unit],D907,RawData[Total Spent],E907,RawData[Payment Method],F907,RawData[Location],G907,RawData[Transaction Date],H907)</f>
        <v>1</v>
      </c>
      <c r="L907"/>
    </row>
    <row r="908" spans="1:12" x14ac:dyDescent="0.3">
      <c r="A908" t="s">
        <v>914</v>
      </c>
      <c r="B908" t="s">
        <v>10012</v>
      </c>
      <c r="C908">
        <v>5</v>
      </c>
      <c r="D908">
        <v>4</v>
      </c>
      <c r="E908">
        <v>20</v>
      </c>
      <c r="F908" t="s">
        <v>10020</v>
      </c>
      <c r="G908" t="s">
        <v>10021</v>
      </c>
      <c r="H908" s="6">
        <v>45164</v>
      </c>
      <c r="I908">
        <f t="shared" si="28"/>
        <v>0</v>
      </c>
      <c r="J908" t="str">
        <f t="shared" si="29"/>
        <v>Complete</v>
      </c>
      <c r="K908">
        <f>COUNTIFS(RawData[Item], B908,RawData[Quantity],C908,RawData[Price Per Unit],D908,RawData[Total Spent],E908,RawData[Payment Method],F908,RawData[Location],G908,RawData[Transaction Date],H908)</f>
        <v>1</v>
      </c>
      <c r="L908"/>
    </row>
    <row r="909" spans="1:12" x14ac:dyDescent="0.3">
      <c r="A909" t="s">
        <v>915</v>
      </c>
      <c r="B909" t="s">
        <v>10012</v>
      </c>
      <c r="C909">
        <v>3</v>
      </c>
      <c r="D909">
        <v>4</v>
      </c>
      <c r="E909">
        <v>12</v>
      </c>
      <c r="F909" t="s">
        <v>10069</v>
      </c>
      <c r="G909" t="s">
        <v>10102</v>
      </c>
      <c r="H909" s="6">
        <v>45064</v>
      </c>
      <c r="I909">
        <f t="shared" si="28"/>
        <v>0</v>
      </c>
      <c r="J909" t="str">
        <f t="shared" si="29"/>
        <v>Complete</v>
      </c>
      <c r="K909">
        <f>COUNTIFS(RawData[Item], B909,RawData[Quantity],C909,RawData[Price Per Unit],D909,RawData[Total Spent],E909,RawData[Payment Method],F909,RawData[Location],G909,RawData[Transaction Date],H909)</f>
        <v>1</v>
      </c>
      <c r="L909"/>
    </row>
    <row r="910" spans="1:12" x14ac:dyDescent="0.3">
      <c r="A910" t="s">
        <v>916</v>
      </c>
      <c r="B910" t="s">
        <v>10012</v>
      </c>
      <c r="C910">
        <v>5</v>
      </c>
      <c r="D910">
        <v>4</v>
      </c>
      <c r="E910">
        <v>20</v>
      </c>
      <c r="F910" t="s">
        <v>10069</v>
      </c>
      <c r="G910" t="s">
        <v>10021</v>
      </c>
      <c r="H910" s="6">
        <v>45004</v>
      </c>
      <c r="I910">
        <f t="shared" si="28"/>
        <v>0</v>
      </c>
      <c r="J910" t="str">
        <f t="shared" si="29"/>
        <v>Complete</v>
      </c>
      <c r="K910">
        <f>COUNTIFS(RawData[Item], B910,RawData[Quantity],C910,RawData[Price Per Unit],D910,RawData[Total Spent],E910,RawData[Payment Method],F910,RawData[Location],G910,RawData[Transaction Date],H910)</f>
        <v>1</v>
      </c>
      <c r="L910"/>
    </row>
    <row r="911" spans="1:12" x14ac:dyDescent="0.3">
      <c r="A911" t="s">
        <v>917</v>
      </c>
      <c r="B911" t="s">
        <v>10011</v>
      </c>
      <c r="C911">
        <v>1</v>
      </c>
      <c r="D911">
        <v>5</v>
      </c>
      <c r="E911">
        <v>5</v>
      </c>
      <c r="F911" t="s">
        <v>10069</v>
      </c>
      <c r="G911" t="s">
        <v>10069</v>
      </c>
      <c r="H911" s="6">
        <v>45230</v>
      </c>
      <c r="I911">
        <f t="shared" si="28"/>
        <v>0</v>
      </c>
      <c r="J911" t="str">
        <f t="shared" si="29"/>
        <v>Complete</v>
      </c>
      <c r="K911">
        <f>COUNTIFS(RawData[Item], B911,RawData[Quantity],C911,RawData[Price Per Unit],D911,RawData[Total Spent],E911,RawData[Payment Method],F911,RawData[Location],G911,RawData[Transaction Date],H911)</f>
        <v>1</v>
      </c>
      <c r="L911"/>
    </row>
    <row r="912" spans="1:12" x14ac:dyDescent="0.3">
      <c r="A912" t="s">
        <v>918</v>
      </c>
      <c r="B912" t="s">
        <v>10008</v>
      </c>
      <c r="C912">
        <v>5</v>
      </c>
      <c r="D912">
        <v>2</v>
      </c>
      <c r="E912">
        <v>10</v>
      </c>
      <c r="F912" t="s">
        <v>10019</v>
      </c>
      <c r="G912" t="s">
        <v>10102</v>
      </c>
      <c r="H912" s="6">
        <v>45221</v>
      </c>
      <c r="I912">
        <f t="shared" si="28"/>
        <v>0</v>
      </c>
      <c r="J912" t="str">
        <f t="shared" si="29"/>
        <v>Complete</v>
      </c>
      <c r="K912">
        <f>COUNTIFS(RawData[Item], B912,RawData[Quantity],C912,RawData[Price Per Unit],D912,RawData[Total Spent],E912,RawData[Payment Method],F912,RawData[Location],G912,RawData[Transaction Date],H912)</f>
        <v>1</v>
      </c>
      <c r="L912"/>
    </row>
    <row r="913" spans="1:12" x14ac:dyDescent="0.3">
      <c r="A913" t="s">
        <v>919</v>
      </c>
      <c r="B913" t="s">
        <v>10012</v>
      </c>
      <c r="C913" t="s">
        <v>10015</v>
      </c>
      <c r="D913">
        <v>4</v>
      </c>
      <c r="E913">
        <v>20</v>
      </c>
      <c r="F913" t="s">
        <v>10019</v>
      </c>
      <c r="G913" t="s">
        <v>10069</v>
      </c>
      <c r="H913" s="6">
        <v>44951</v>
      </c>
      <c r="I913">
        <f t="shared" si="28"/>
        <v>1</v>
      </c>
      <c r="J913" t="str">
        <f t="shared" si="29"/>
        <v>Complete</v>
      </c>
      <c r="K913">
        <f>COUNTIFS(RawData[Item], B913,RawData[Quantity],C913,RawData[Price Per Unit],D913,RawData[Total Spent],E913,RawData[Payment Method],F913,RawData[Location],G913,RawData[Transaction Date],H913)</f>
        <v>1</v>
      </c>
      <c r="L913"/>
    </row>
    <row r="914" spans="1:12" x14ac:dyDescent="0.3">
      <c r="A914" t="s">
        <v>920</v>
      </c>
      <c r="B914" t="s">
        <v>10014</v>
      </c>
      <c r="C914">
        <v>0</v>
      </c>
      <c r="D914">
        <v>0</v>
      </c>
      <c r="E914">
        <v>20</v>
      </c>
      <c r="F914" t="s">
        <v>10104</v>
      </c>
      <c r="G914" t="s">
        <v>10021</v>
      </c>
      <c r="H914" s="6">
        <v>44931</v>
      </c>
      <c r="I914">
        <f t="shared" si="28"/>
        <v>1</v>
      </c>
      <c r="J914" t="str">
        <f t="shared" si="29"/>
        <v>Complete</v>
      </c>
      <c r="K914">
        <f>COUNTIFS(RawData[Item], B914,RawData[Quantity],C914,RawData[Price Per Unit],D914,RawData[Total Spent],E914,RawData[Payment Method],F914,RawData[Location],G914,RawData[Transaction Date],H914)</f>
        <v>1</v>
      </c>
      <c r="L914"/>
    </row>
    <row r="915" spans="1:12" x14ac:dyDescent="0.3">
      <c r="A915" t="s">
        <v>921</v>
      </c>
      <c r="B915" t="s">
        <v>10011</v>
      </c>
      <c r="C915">
        <v>2</v>
      </c>
      <c r="D915">
        <v>5</v>
      </c>
      <c r="E915">
        <v>10</v>
      </c>
      <c r="F915" t="s">
        <v>10018</v>
      </c>
      <c r="G915" t="s">
        <v>10021</v>
      </c>
      <c r="H915" s="6">
        <v>45096</v>
      </c>
      <c r="I915">
        <f t="shared" si="28"/>
        <v>0</v>
      </c>
      <c r="J915" t="str">
        <f t="shared" si="29"/>
        <v>Complete</v>
      </c>
      <c r="K915">
        <f>COUNTIFS(RawData[Item], B915,RawData[Quantity],C915,RawData[Price Per Unit],D915,RawData[Total Spent],E915,RawData[Payment Method],F915,RawData[Location],G915,RawData[Transaction Date],H915)</f>
        <v>1</v>
      </c>
      <c r="L915"/>
    </row>
    <row r="916" spans="1:12" x14ac:dyDescent="0.3">
      <c r="A916" t="s">
        <v>922</v>
      </c>
      <c r="B916" t="s">
        <v>10011</v>
      </c>
      <c r="C916">
        <v>5</v>
      </c>
      <c r="D916">
        <v>5</v>
      </c>
      <c r="E916">
        <v>25</v>
      </c>
      <c r="F916" t="s">
        <v>10018</v>
      </c>
      <c r="G916" t="s">
        <v>10102</v>
      </c>
      <c r="H916" s="6">
        <v>45075</v>
      </c>
      <c r="I916">
        <f t="shared" si="28"/>
        <v>0</v>
      </c>
      <c r="J916" t="str">
        <f t="shared" si="29"/>
        <v>Complete</v>
      </c>
      <c r="K916">
        <f>COUNTIFS(RawData[Item], B916,RawData[Quantity],C916,RawData[Price Per Unit],D916,RawData[Total Spent],E916,RawData[Payment Method],F916,RawData[Location],G916,RawData[Transaction Date],H916)</f>
        <v>1</v>
      </c>
      <c r="L916"/>
    </row>
    <row r="917" spans="1:12" x14ac:dyDescent="0.3">
      <c r="A917" t="s">
        <v>923</v>
      </c>
      <c r="B917" t="s">
        <v>10010</v>
      </c>
      <c r="C917">
        <v>1</v>
      </c>
      <c r="D917">
        <v>1</v>
      </c>
      <c r="E917">
        <v>1</v>
      </c>
      <c r="F917" t="s">
        <v>10020</v>
      </c>
      <c r="G917" t="s">
        <v>10069</v>
      </c>
      <c r="H917" s="6">
        <v>44973</v>
      </c>
      <c r="I917">
        <f t="shared" si="28"/>
        <v>0</v>
      </c>
      <c r="J917" t="str">
        <f t="shared" si="29"/>
        <v>Complete</v>
      </c>
      <c r="K917">
        <f>COUNTIFS(RawData[Item], B917,RawData[Quantity],C917,RawData[Price Per Unit],D917,RawData[Total Spent],E917,RawData[Payment Method],F917,RawData[Location],G917,RawData[Transaction Date],H917)</f>
        <v>1</v>
      </c>
      <c r="L917"/>
    </row>
    <row r="918" spans="1:12" x14ac:dyDescent="0.3">
      <c r="A918" t="s">
        <v>924</v>
      </c>
      <c r="B918" t="s">
        <v>10014</v>
      </c>
      <c r="C918">
        <v>3</v>
      </c>
      <c r="D918">
        <v>4</v>
      </c>
      <c r="E918">
        <v>12</v>
      </c>
      <c r="F918" t="s">
        <v>10069</v>
      </c>
      <c r="G918" t="s">
        <v>10102</v>
      </c>
      <c r="H918" s="6">
        <v>45266</v>
      </c>
      <c r="I918">
        <f t="shared" si="28"/>
        <v>0</v>
      </c>
      <c r="J918" t="str">
        <f t="shared" si="29"/>
        <v>Complete</v>
      </c>
      <c r="K918">
        <f>COUNTIFS(RawData[Item], B918,RawData[Quantity],C918,RawData[Price Per Unit],D918,RawData[Total Spent],E918,RawData[Payment Method],F918,RawData[Location],G918,RawData[Transaction Date],H918)</f>
        <v>2</v>
      </c>
      <c r="L918"/>
    </row>
    <row r="919" spans="1:12" x14ac:dyDescent="0.3">
      <c r="A919" t="s">
        <v>925</v>
      </c>
      <c r="B919" t="s">
        <v>10011</v>
      </c>
      <c r="C919">
        <v>2</v>
      </c>
      <c r="D919">
        <v>5</v>
      </c>
      <c r="E919">
        <v>10</v>
      </c>
      <c r="F919" t="s">
        <v>10020</v>
      </c>
      <c r="G919" t="s">
        <v>10021</v>
      </c>
      <c r="H919" s="6">
        <v>45099</v>
      </c>
      <c r="I919">
        <f t="shared" si="28"/>
        <v>0</v>
      </c>
      <c r="J919" t="str">
        <f t="shared" si="29"/>
        <v>Complete</v>
      </c>
      <c r="K919">
        <f>COUNTIFS(RawData[Item], B919,RawData[Quantity],C919,RawData[Price Per Unit],D919,RawData[Total Spent],E919,RawData[Payment Method],F919,RawData[Location],G919,RawData[Transaction Date],H919)</f>
        <v>1</v>
      </c>
      <c r="L919"/>
    </row>
    <row r="920" spans="1:12" x14ac:dyDescent="0.3">
      <c r="A920" t="s">
        <v>926</v>
      </c>
      <c r="B920" t="s">
        <v>10015</v>
      </c>
      <c r="C920">
        <v>3</v>
      </c>
      <c r="D920">
        <v>1</v>
      </c>
      <c r="E920">
        <v>3</v>
      </c>
      <c r="F920" t="s">
        <v>10018</v>
      </c>
      <c r="G920" t="s">
        <v>10069</v>
      </c>
      <c r="H920" s="6">
        <v>45275</v>
      </c>
      <c r="I920">
        <f t="shared" si="28"/>
        <v>1</v>
      </c>
      <c r="J920" t="str">
        <f t="shared" si="29"/>
        <v>Complete</v>
      </c>
      <c r="K920">
        <f>COUNTIFS(RawData[Item], B920,RawData[Quantity],C920,RawData[Price Per Unit],D920,RawData[Total Spent],E920,RawData[Payment Method],F920,RawData[Location],G920,RawData[Transaction Date],H920)</f>
        <v>1</v>
      </c>
      <c r="L920"/>
    </row>
    <row r="921" spans="1:12" x14ac:dyDescent="0.3">
      <c r="A921" t="s">
        <v>927</v>
      </c>
      <c r="B921" t="s">
        <v>10015</v>
      </c>
      <c r="C921">
        <v>3</v>
      </c>
      <c r="D921">
        <v>3</v>
      </c>
      <c r="E921">
        <v>9</v>
      </c>
      <c r="F921" t="s">
        <v>10020</v>
      </c>
      <c r="G921" t="s">
        <v>10102</v>
      </c>
      <c r="H921" s="6">
        <v>45087</v>
      </c>
      <c r="I921">
        <f t="shared" si="28"/>
        <v>1</v>
      </c>
      <c r="J921" t="str">
        <f t="shared" si="29"/>
        <v>Complete</v>
      </c>
      <c r="K921">
        <f>COUNTIFS(RawData[Item], B921,RawData[Quantity],C921,RawData[Price Per Unit],D921,RawData[Total Spent],E921,RawData[Payment Method],F921,RawData[Location],G921,RawData[Transaction Date],H921)</f>
        <v>1</v>
      </c>
      <c r="L921"/>
    </row>
    <row r="922" spans="1:12" x14ac:dyDescent="0.3">
      <c r="A922" t="s">
        <v>928</v>
      </c>
      <c r="B922" t="s">
        <v>10009</v>
      </c>
      <c r="C922">
        <v>3</v>
      </c>
      <c r="D922">
        <v>3</v>
      </c>
      <c r="E922">
        <v>9</v>
      </c>
      <c r="F922" t="s">
        <v>10020</v>
      </c>
      <c r="G922" t="s">
        <v>10102</v>
      </c>
      <c r="H922" s="6">
        <v>45223</v>
      </c>
      <c r="I922">
        <f t="shared" si="28"/>
        <v>0</v>
      </c>
      <c r="J922" t="str">
        <f t="shared" si="29"/>
        <v>Complete</v>
      </c>
      <c r="K922">
        <f>COUNTIFS(RawData[Item], B922,RawData[Quantity],C922,RawData[Price Per Unit],D922,RawData[Total Spent],E922,RawData[Payment Method],F922,RawData[Location],G922,RawData[Transaction Date],H922)</f>
        <v>1</v>
      </c>
      <c r="L922"/>
    </row>
    <row r="923" spans="1:12" x14ac:dyDescent="0.3">
      <c r="A923" t="s">
        <v>929</v>
      </c>
      <c r="B923" t="s">
        <v>10017</v>
      </c>
      <c r="C923">
        <v>1</v>
      </c>
      <c r="D923">
        <v>1.5</v>
      </c>
      <c r="E923">
        <v>1.5</v>
      </c>
      <c r="F923" t="s">
        <v>10018</v>
      </c>
      <c r="G923" t="s">
        <v>10102</v>
      </c>
      <c r="H923" s="6">
        <v>45129</v>
      </c>
      <c r="I923">
        <f t="shared" si="28"/>
        <v>0</v>
      </c>
      <c r="J923" t="str">
        <f t="shared" si="29"/>
        <v>Complete</v>
      </c>
      <c r="K923">
        <f>COUNTIFS(RawData[Item], B923,RawData[Quantity],C923,RawData[Price Per Unit],D923,RawData[Total Spent],E923,RawData[Payment Method],F923,RawData[Location],G923,RawData[Transaction Date],H923)</f>
        <v>1</v>
      </c>
      <c r="L923"/>
    </row>
    <row r="924" spans="1:12" x14ac:dyDescent="0.3">
      <c r="A924" t="s">
        <v>930</v>
      </c>
      <c r="B924" t="s">
        <v>10017</v>
      </c>
      <c r="C924">
        <v>1</v>
      </c>
      <c r="D924">
        <v>1.5</v>
      </c>
      <c r="E924">
        <v>1.5</v>
      </c>
      <c r="F924" t="s">
        <v>10020</v>
      </c>
      <c r="G924" t="s">
        <v>10103</v>
      </c>
      <c r="H924" s="6">
        <v>44988</v>
      </c>
      <c r="I924">
        <f t="shared" si="28"/>
        <v>1</v>
      </c>
      <c r="J924" t="str">
        <f t="shared" si="29"/>
        <v>Complete</v>
      </c>
      <c r="K924">
        <f>COUNTIFS(RawData[Item], B924,RawData[Quantity],C924,RawData[Price Per Unit],D924,RawData[Total Spent],E924,RawData[Payment Method],F924,RawData[Location],G924,RawData[Transaction Date],H924)</f>
        <v>1</v>
      </c>
      <c r="L924"/>
    </row>
    <row r="925" spans="1:12" x14ac:dyDescent="0.3">
      <c r="A925" t="s">
        <v>931</v>
      </c>
      <c r="B925" t="s">
        <v>10010</v>
      </c>
      <c r="C925">
        <v>2</v>
      </c>
      <c r="D925" t="s">
        <v>10013</v>
      </c>
      <c r="E925">
        <v>2</v>
      </c>
      <c r="F925" t="s">
        <v>10020</v>
      </c>
      <c r="G925" t="s">
        <v>10021</v>
      </c>
      <c r="H925" s="6">
        <v>45223</v>
      </c>
      <c r="I925">
        <f t="shared" si="28"/>
        <v>1</v>
      </c>
      <c r="J925" t="str">
        <f t="shared" si="29"/>
        <v>Complete</v>
      </c>
      <c r="K925">
        <f>COUNTIFS(RawData[Item], B925,RawData[Quantity],C925,RawData[Price Per Unit],D925,RawData[Total Spent],E925,RawData[Payment Method],F925,RawData[Location],G925,RawData[Transaction Date],H925)</f>
        <v>1</v>
      </c>
      <c r="L925"/>
    </row>
    <row r="926" spans="1:12" x14ac:dyDescent="0.3">
      <c r="A926" t="s">
        <v>932</v>
      </c>
      <c r="B926" t="s">
        <v>10009</v>
      </c>
      <c r="C926">
        <v>5</v>
      </c>
      <c r="D926">
        <v>3</v>
      </c>
      <c r="E926">
        <v>15</v>
      </c>
      <c r="F926" t="s">
        <v>10018</v>
      </c>
      <c r="G926" t="s">
        <v>10102</v>
      </c>
      <c r="H926" s="6">
        <v>45112</v>
      </c>
      <c r="I926">
        <f t="shared" si="28"/>
        <v>0</v>
      </c>
      <c r="J926" t="str">
        <f t="shared" si="29"/>
        <v>Complete</v>
      </c>
      <c r="K926">
        <f>COUNTIFS(RawData[Item], B926,RawData[Quantity],C926,RawData[Price Per Unit],D926,RawData[Total Spent],E926,RawData[Payment Method],F926,RawData[Location],G926,RawData[Transaction Date],H926)</f>
        <v>1</v>
      </c>
      <c r="L926"/>
    </row>
    <row r="927" spans="1:12" x14ac:dyDescent="0.3">
      <c r="A927" t="s">
        <v>933</v>
      </c>
      <c r="B927" t="s">
        <v>10017</v>
      </c>
      <c r="C927">
        <v>1</v>
      </c>
      <c r="D927">
        <v>1.5</v>
      </c>
      <c r="E927">
        <v>1.5</v>
      </c>
      <c r="F927" t="s">
        <v>10020</v>
      </c>
      <c r="G927" t="s">
        <v>10069</v>
      </c>
      <c r="H927" s="6">
        <v>45149</v>
      </c>
      <c r="I927">
        <f t="shared" si="28"/>
        <v>0</v>
      </c>
      <c r="J927" t="str">
        <f t="shared" si="29"/>
        <v>Complete</v>
      </c>
      <c r="K927">
        <f>COUNTIFS(RawData[Item], B927,RawData[Quantity],C927,RawData[Price Per Unit],D927,RawData[Total Spent],E927,RawData[Payment Method],F927,RawData[Location],G927,RawData[Transaction Date],H927)</f>
        <v>1</v>
      </c>
      <c r="L927"/>
    </row>
    <row r="928" spans="1:12" x14ac:dyDescent="0.3">
      <c r="A928" t="s">
        <v>934</v>
      </c>
      <c r="B928" t="s">
        <v>10012</v>
      </c>
      <c r="C928">
        <v>2</v>
      </c>
      <c r="D928">
        <v>4</v>
      </c>
      <c r="E928">
        <v>8</v>
      </c>
      <c r="F928" t="s">
        <v>10019</v>
      </c>
      <c r="G928" t="s">
        <v>10069</v>
      </c>
      <c r="H928" s="6">
        <v>45215</v>
      </c>
      <c r="I928">
        <f t="shared" si="28"/>
        <v>0</v>
      </c>
      <c r="J928" t="str">
        <f t="shared" si="29"/>
        <v>Complete</v>
      </c>
      <c r="K928">
        <f>COUNTIFS(RawData[Item], B928,RawData[Quantity],C928,RawData[Price Per Unit],D928,RawData[Total Spent],E928,RawData[Payment Method],F928,RawData[Location],G928,RawData[Transaction Date],H928)</f>
        <v>1</v>
      </c>
      <c r="L928"/>
    </row>
    <row r="929" spans="1:12" x14ac:dyDescent="0.3">
      <c r="A929" t="s">
        <v>935</v>
      </c>
      <c r="B929" t="s">
        <v>10010</v>
      </c>
      <c r="C929">
        <v>2</v>
      </c>
      <c r="D929">
        <v>1</v>
      </c>
      <c r="E929">
        <v>2</v>
      </c>
      <c r="F929" t="s">
        <v>10020</v>
      </c>
      <c r="G929" t="s">
        <v>10069</v>
      </c>
      <c r="H929" s="6">
        <v>45106</v>
      </c>
      <c r="I929">
        <f t="shared" si="28"/>
        <v>0</v>
      </c>
      <c r="J929" t="str">
        <f t="shared" si="29"/>
        <v>Complete</v>
      </c>
      <c r="K929">
        <f>COUNTIFS(RawData[Item], B929,RawData[Quantity],C929,RawData[Price Per Unit],D929,RawData[Total Spent],E929,RawData[Payment Method],F929,RawData[Location],G929,RawData[Transaction Date],H929)</f>
        <v>1</v>
      </c>
      <c r="L929"/>
    </row>
    <row r="930" spans="1:12" x14ac:dyDescent="0.3">
      <c r="A930" t="s">
        <v>936</v>
      </c>
      <c r="B930" t="s">
        <v>10008</v>
      </c>
      <c r="C930">
        <v>1</v>
      </c>
      <c r="D930">
        <v>2</v>
      </c>
      <c r="E930">
        <v>2</v>
      </c>
      <c r="F930" t="s">
        <v>10019</v>
      </c>
      <c r="G930" t="s">
        <v>10104</v>
      </c>
      <c r="H930" s="6">
        <v>45063</v>
      </c>
      <c r="I930">
        <f t="shared" si="28"/>
        <v>1</v>
      </c>
      <c r="J930" t="str">
        <f t="shared" si="29"/>
        <v>Complete</v>
      </c>
      <c r="K930">
        <f>COUNTIFS(RawData[Item], B930,RawData[Quantity],C930,RawData[Price Per Unit],D930,RawData[Total Spent],E930,RawData[Payment Method],F930,RawData[Location],G930,RawData[Transaction Date],H930)</f>
        <v>1</v>
      </c>
      <c r="L930"/>
    </row>
    <row r="931" spans="1:12" x14ac:dyDescent="0.3">
      <c r="A931" t="s">
        <v>937</v>
      </c>
      <c r="B931" t="s">
        <v>10015</v>
      </c>
      <c r="C931">
        <v>5</v>
      </c>
      <c r="D931">
        <v>3</v>
      </c>
      <c r="E931">
        <v>15</v>
      </c>
      <c r="F931" t="s">
        <v>10020</v>
      </c>
      <c r="G931" t="s">
        <v>10021</v>
      </c>
      <c r="H931" s="6">
        <v>45251</v>
      </c>
      <c r="I931">
        <f t="shared" si="28"/>
        <v>1</v>
      </c>
      <c r="J931" t="str">
        <f t="shared" si="29"/>
        <v>Complete</v>
      </c>
      <c r="K931">
        <f>COUNTIFS(RawData[Item], B931,RawData[Quantity],C931,RawData[Price Per Unit],D931,RawData[Total Spent],E931,RawData[Payment Method],F931,RawData[Location],G931,RawData[Transaction Date],H931)</f>
        <v>1</v>
      </c>
      <c r="L931"/>
    </row>
    <row r="932" spans="1:12" x14ac:dyDescent="0.3">
      <c r="A932" t="s">
        <v>938</v>
      </c>
      <c r="B932" t="s">
        <v>10008</v>
      </c>
      <c r="C932">
        <v>2</v>
      </c>
      <c r="D932">
        <v>2</v>
      </c>
      <c r="E932">
        <v>4</v>
      </c>
      <c r="F932" t="s">
        <v>10069</v>
      </c>
      <c r="G932" t="s">
        <v>10021</v>
      </c>
      <c r="H932" s="6" t="s">
        <v>10112</v>
      </c>
      <c r="I932">
        <f t="shared" si="28"/>
        <v>1</v>
      </c>
      <c r="J932" t="str">
        <f t="shared" si="29"/>
        <v>Incomplete</v>
      </c>
      <c r="K932">
        <f>COUNTIFS(RawData[Item], B932,RawData[Quantity],C932,RawData[Price Per Unit],D932,RawData[Total Spent],E932,RawData[Payment Method],F932,RawData[Location],G932,RawData[Transaction Date],H932)</f>
        <v>1</v>
      </c>
      <c r="L932"/>
    </row>
    <row r="933" spans="1:12" x14ac:dyDescent="0.3">
      <c r="A933" t="s">
        <v>939</v>
      </c>
      <c r="B933" t="s">
        <v>10016</v>
      </c>
      <c r="C933">
        <v>2</v>
      </c>
      <c r="D933">
        <v>3</v>
      </c>
      <c r="E933">
        <v>6</v>
      </c>
      <c r="F933" t="s">
        <v>10019</v>
      </c>
      <c r="G933" t="s">
        <v>10102</v>
      </c>
      <c r="H933" s="6">
        <v>45115</v>
      </c>
      <c r="I933">
        <f t="shared" si="28"/>
        <v>0</v>
      </c>
      <c r="J933" t="str">
        <f t="shared" si="29"/>
        <v>Complete</v>
      </c>
      <c r="K933">
        <f>COUNTIFS(RawData[Item], B933,RawData[Quantity],C933,RawData[Price Per Unit],D933,RawData[Total Spent],E933,RawData[Payment Method],F933,RawData[Location],G933,RawData[Transaction Date],H933)</f>
        <v>1</v>
      </c>
      <c r="L933"/>
    </row>
    <row r="934" spans="1:12" x14ac:dyDescent="0.3">
      <c r="A934" t="s">
        <v>940</v>
      </c>
      <c r="B934" t="s">
        <v>10014</v>
      </c>
      <c r="C934">
        <v>4</v>
      </c>
      <c r="D934">
        <v>4</v>
      </c>
      <c r="E934">
        <v>16</v>
      </c>
      <c r="F934" t="s">
        <v>10018</v>
      </c>
      <c r="G934" t="s">
        <v>10021</v>
      </c>
      <c r="H934" s="6" t="s">
        <v>10112</v>
      </c>
      <c r="I934">
        <f t="shared" si="28"/>
        <v>1</v>
      </c>
      <c r="J934" t="str">
        <f t="shared" si="29"/>
        <v>Incomplete</v>
      </c>
      <c r="K934">
        <f>COUNTIFS(RawData[Item], B934,RawData[Quantity],C934,RawData[Price Per Unit],D934,RawData[Total Spent],E934,RawData[Payment Method],F934,RawData[Location],G934,RawData[Transaction Date],H934)</f>
        <v>1</v>
      </c>
      <c r="L934"/>
    </row>
    <row r="935" spans="1:12" x14ac:dyDescent="0.3">
      <c r="A935" t="s">
        <v>941</v>
      </c>
      <c r="B935" t="s">
        <v>10010</v>
      </c>
      <c r="C935">
        <v>1</v>
      </c>
      <c r="D935">
        <v>1</v>
      </c>
      <c r="E935">
        <v>1</v>
      </c>
      <c r="F935" t="s">
        <v>10069</v>
      </c>
      <c r="G935" t="s">
        <v>10069</v>
      </c>
      <c r="H935" s="6">
        <v>45119</v>
      </c>
      <c r="I935">
        <f t="shared" si="28"/>
        <v>0</v>
      </c>
      <c r="J935" t="str">
        <f t="shared" si="29"/>
        <v>Complete</v>
      </c>
      <c r="K935">
        <f>COUNTIFS(RawData[Item], B935,RawData[Quantity],C935,RawData[Price Per Unit],D935,RawData[Total Spent],E935,RawData[Payment Method],F935,RawData[Location],G935,RawData[Transaction Date],H935)</f>
        <v>1</v>
      </c>
      <c r="L935"/>
    </row>
    <row r="936" spans="1:12" x14ac:dyDescent="0.3">
      <c r="A936" t="s">
        <v>942</v>
      </c>
      <c r="B936" t="s">
        <v>10008</v>
      </c>
      <c r="C936">
        <v>1</v>
      </c>
      <c r="D936">
        <v>2</v>
      </c>
      <c r="E936">
        <v>2</v>
      </c>
      <c r="F936" t="s">
        <v>10020</v>
      </c>
      <c r="G936" t="s">
        <v>10102</v>
      </c>
      <c r="H936" s="6">
        <v>45073</v>
      </c>
      <c r="I936">
        <f t="shared" si="28"/>
        <v>0</v>
      </c>
      <c r="J936" t="str">
        <f t="shared" si="29"/>
        <v>Complete</v>
      </c>
      <c r="K936">
        <f>COUNTIFS(RawData[Item], B936,RawData[Quantity],C936,RawData[Price Per Unit],D936,RawData[Total Spent],E936,RawData[Payment Method],F936,RawData[Location],G936,RawData[Transaction Date],H936)</f>
        <v>1</v>
      </c>
      <c r="L936"/>
    </row>
    <row r="937" spans="1:12" x14ac:dyDescent="0.3">
      <c r="A937" t="s">
        <v>943</v>
      </c>
      <c r="B937" t="s">
        <v>10012</v>
      </c>
      <c r="C937">
        <v>4</v>
      </c>
      <c r="D937">
        <v>4</v>
      </c>
      <c r="E937">
        <v>16</v>
      </c>
      <c r="F937" t="s">
        <v>10104</v>
      </c>
      <c r="G937" t="s">
        <v>10069</v>
      </c>
      <c r="H937" s="6">
        <v>45252</v>
      </c>
      <c r="I937">
        <f t="shared" si="28"/>
        <v>1</v>
      </c>
      <c r="J937" t="str">
        <f t="shared" si="29"/>
        <v>Complete</v>
      </c>
      <c r="K937">
        <f>COUNTIFS(RawData[Item], B937,RawData[Quantity],C937,RawData[Price Per Unit],D937,RawData[Total Spent],E937,RawData[Payment Method],F937,RawData[Location],G937,RawData[Transaction Date],H937)</f>
        <v>1</v>
      </c>
      <c r="L937"/>
    </row>
    <row r="938" spans="1:12" x14ac:dyDescent="0.3">
      <c r="A938" t="s">
        <v>944</v>
      </c>
      <c r="B938" t="s">
        <v>10008</v>
      </c>
      <c r="C938">
        <v>5</v>
      </c>
      <c r="D938">
        <v>2</v>
      </c>
      <c r="E938">
        <v>10</v>
      </c>
      <c r="F938" t="s">
        <v>10020</v>
      </c>
      <c r="G938" t="s">
        <v>10069</v>
      </c>
      <c r="H938" s="6">
        <v>45050</v>
      </c>
      <c r="I938">
        <f t="shared" si="28"/>
        <v>0</v>
      </c>
      <c r="J938" t="str">
        <f t="shared" si="29"/>
        <v>Complete</v>
      </c>
      <c r="K938">
        <f>COUNTIFS(RawData[Item], B938,RawData[Quantity],C938,RawData[Price Per Unit],D938,RawData[Total Spent],E938,RawData[Payment Method],F938,RawData[Location],G938,RawData[Transaction Date],H938)</f>
        <v>1</v>
      </c>
      <c r="L938"/>
    </row>
    <row r="939" spans="1:12" x14ac:dyDescent="0.3">
      <c r="A939" t="s">
        <v>945</v>
      </c>
      <c r="B939" t="s">
        <v>10012</v>
      </c>
      <c r="C939">
        <v>1</v>
      </c>
      <c r="D939">
        <v>4</v>
      </c>
      <c r="E939">
        <v>4</v>
      </c>
      <c r="F939" t="s">
        <v>10018</v>
      </c>
      <c r="G939" t="s">
        <v>10021</v>
      </c>
      <c r="H939" s="6">
        <v>44986</v>
      </c>
      <c r="I939">
        <f t="shared" si="28"/>
        <v>0</v>
      </c>
      <c r="J939" t="str">
        <f t="shared" si="29"/>
        <v>Complete</v>
      </c>
      <c r="K939">
        <f>COUNTIFS(RawData[Item], B939,RawData[Quantity],C939,RawData[Price Per Unit],D939,RawData[Total Spent],E939,RawData[Payment Method],F939,RawData[Location],G939,RawData[Transaction Date],H939)</f>
        <v>1</v>
      </c>
      <c r="L939"/>
    </row>
    <row r="940" spans="1:12" x14ac:dyDescent="0.3">
      <c r="A940" t="s">
        <v>946</v>
      </c>
      <c r="B940" t="s">
        <v>10008</v>
      </c>
      <c r="C940">
        <v>5</v>
      </c>
      <c r="D940">
        <v>2</v>
      </c>
      <c r="E940">
        <v>10</v>
      </c>
      <c r="F940" t="s">
        <v>10069</v>
      </c>
      <c r="G940" t="s">
        <v>10021</v>
      </c>
      <c r="H940" s="6">
        <v>45155</v>
      </c>
      <c r="I940">
        <f t="shared" si="28"/>
        <v>0</v>
      </c>
      <c r="J940" t="str">
        <f t="shared" si="29"/>
        <v>Complete</v>
      </c>
      <c r="K940">
        <f>COUNTIFS(RawData[Item], B940,RawData[Quantity],C940,RawData[Price Per Unit],D940,RawData[Total Spent],E940,RawData[Payment Method],F940,RawData[Location],G940,RawData[Transaction Date],H940)</f>
        <v>1</v>
      </c>
      <c r="L940"/>
    </row>
    <row r="941" spans="1:12" x14ac:dyDescent="0.3">
      <c r="A941" t="s">
        <v>947</v>
      </c>
      <c r="B941" t="s">
        <v>10016</v>
      </c>
      <c r="C941">
        <v>3</v>
      </c>
      <c r="D941">
        <v>3</v>
      </c>
      <c r="E941">
        <v>9</v>
      </c>
      <c r="F941" t="s">
        <v>10019</v>
      </c>
      <c r="G941" t="s">
        <v>10102</v>
      </c>
      <c r="H941" s="6">
        <v>45148</v>
      </c>
      <c r="I941">
        <f t="shared" si="28"/>
        <v>0</v>
      </c>
      <c r="J941" t="str">
        <f t="shared" si="29"/>
        <v>Complete</v>
      </c>
      <c r="K941">
        <f>COUNTIFS(RawData[Item], B941,RawData[Quantity],C941,RawData[Price Per Unit],D941,RawData[Total Spent],E941,RawData[Payment Method],F941,RawData[Location],G941,RawData[Transaction Date],H941)</f>
        <v>1</v>
      </c>
      <c r="L941"/>
    </row>
    <row r="942" spans="1:12" x14ac:dyDescent="0.3">
      <c r="A942" t="s">
        <v>948</v>
      </c>
      <c r="B942" t="s">
        <v>10014</v>
      </c>
      <c r="C942">
        <v>4</v>
      </c>
      <c r="D942">
        <v>4</v>
      </c>
      <c r="E942">
        <v>16</v>
      </c>
      <c r="F942" t="s">
        <v>10019</v>
      </c>
      <c r="G942" t="s">
        <v>10069</v>
      </c>
      <c r="H942" s="6">
        <v>45096</v>
      </c>
      <c r="I942">
        <f t="shared" si="28"/>
        <v>0</v>
      </c>
      <c r="J942" t="str">
        <f t="shared" si="29"/>
        <v>Complete</v>
      </c>
      <c r="K942">
        <f>COUNTIFS(RawData[Item], B942,RawData[Quantity],C942,RawData[Price Per Unit],D942,RawData[Total Spent],E942,RawData[Payment Method],F942,RawData[Location],G942,RawData[Transaction Date],H942)</f>
        <v>1</v>
      </c>
      <c r="L942"/>
    </row>
    <row r="943" spans="1:12" x14ac:dyDescent="0.3">
      <c r="A943" t="s">
        <v>949</v>
      </c>
      <c r="B943" t="s">
        <v>10016</v>
      </c>
      <c r="C943">
        <v>1</v>
      </c>
      <c r="D943">
        <v>3</v>
      </c>
      <c r="E943">
        <v>3</v>
      </c>
      <c r="F943" t="s">
        <v>10019</v>
      </c>
      <c r="G943" t="s">
        <v>10069</v>
      </c>
      <c r="H943" s="6">
        <v>45288</v>
      </c>
      <c r="I943">
        <f t="shared" si="28"/>
        <v>0</v>
      </c>
      <c r="J943" t="str">
        <f t="shared" si="29"/>
        <v>Complete</v>
      </c>
      <c r="K943">
        <f>COUNTIFS(RawData[Item], B943,RawData[Quantity],C943,RawData[Price Per Unit],D943,RawData[Total Spent],E943,RawData[Payment Method],F943,RawData[Location],G943,RawData[Transaction Date],H943)</f>
        <v>1</v>
      </c>
      <c r="L943"/>
    </row>
    <row r="944" spans="1:12" x14ac:dyDescent="0.3">
      <c r="A944" t="s">
        <v>950</v>
      </c>
      <c r="B944" t="s">
        <v>10014</v>
      </c>
      <c r="C944">
        <v>4</v>
      </c>
      <c r="D944">
        <v>4</v>
      </c>
      <c r="E944">
        <v>16</v>
      </c>
      <c r="F944" t="s">
        <v>10069</v>
      </c>
      <c r="G944" t="s">
        <v>10021</v>
      </c>
      <c r="H944" s="6">
        <v>44982</v>
      </c>
      <c r="I944">
        <f t="shared" si="28"/>
        <v>0</v>
      </c>
      <c r="J944" t="str">
        <f t="shared" si="29"/>
        <v>Complete</v>
      </c>
      <c r="K944">
        <f>COUNTIFS(RawData[Item], B944,RawData[Quantity],C944,RawData[Price Per Unit],D944,RawData[Total Spent],E944,RawData[Payment Method],F944,RawData[Location],G944,RawData[Transaction Date],H944)</f>
        <v>1</v>
      </c>
      <c r="L944"/>
    </row>
    <row r="945" spans="1:12" x14ac:dyDescent="0.3">
      <c r="A945" t="s">
        <v>951</v>
      </c>
      <c r="B945" t="s">
        <v>10014</v>
      </c>
      <c r="C945">
        <v>1</v>
      </c>
      <c r="D945">
        <v>4</v>
      </c>
      <c r="E945">
        <v>4</v>
      </c>
      <c r="F945" t="s">
        <v>10069</v>
      </c>
      <c r="G945" t="s">
        <v>10069</v>
      </c>
      <c r="H945" s="6">
        <v>44987</v>
      </c>
      <c r="I945">
        <f t="shared" si="28"/>
        <v>0</v>
      </c>
      <c r="J945" t="str">
        <f t="shared" si="29"/>
        <v>Complete</v>
      </c>
      <c r="K945">
        <f>COUNTIFS(RawData[Item], B945,RawData[Quantity],C945,RawData[Price Per Unit],D945,RawData[Total Spent],E945,RawData[Payment Method],F945,RawData[Location],G945,RawData[Transaction Date],H945)</f>
        <v>1</v>
      </c>
      <c r="L945"/>
    </row>
    <row r="946" spans="1:12" x14ac:dyDescent="0.3">
      <c r="A946" t="s">
        <v>952</v>
      </c>
      <c r="B946" t="s">
        <v>10013</v>
      </c>
      <c r="C946">
        <v>4</v>
      </c>
      <c r="D946">
        <v>1</v>
      </c>
      <c r="E946">
        <v>4</v>
      </c>
      <c r="F946" t="s">
        <v>10018</v>
      </c>
      <c r="G946" t="s">
        <v>10021</v>
      </c>
      <c r="H946" s="6">
        <v>45136</v>
      </c>
      <c r="I946">
        <f t="shared" si="28"/>
        <v>1</v>
      </c>
      <c r="J946" t="str">
        <f t="shared" si="29"/>
        <v>Complete</v>
      </c>
      <c r="K946">
        <f>COUNTIFS(RawData[Item], B946,RawData[Quantity],C946,RawData[Price Per Unit],D946,RawData[Total Spent],E946,RawData[Payment Method],F946,RawData[Location],G946,RawData[Transaction Date],H946)</f>
        <v>1</v>
      </c>
      <c r="L946"/>
    </row>
    <row r="947" spans="1:12" x14ac:dyDescent="0.3">
      <c r="A947" t="s">
        <v>953</v>
      </c>
      <c r="B947" t="s">
        <v>10017</v>
      </c>
      <c r="C947">
        <v>4</v>
      </c>
      <c r="D947">
        <v>1.5</v>
      </c>
      <c r="E947">
        <v>6</v>
      </c>
      <c r="F947" t="s">
        <v>10020</v>
      </c>
      <c r="G947" t="s">
        <v>10021</v>
      </c>
      <c r="H947" s="6">
        <v>45191</v>
      </c>
      <c r="I947">
        <f t="shared" si="28"/>
        <v>0</v>
      </c>
      <c r="J947" t="str">
        <f t="shared" si="29"/>
        <v>Complete</v>
      </c>
      <c r="K947">
        <f>COUNTIFS(RawData[Item], B947,RawData[Quantity],C947,RawData[Price Per Unit],D947,RawData[Total Spent],E947,RawData[Payment Method],F947,RawData[Location],G947,RawData[Transaction Date],H947)</f>
        <v>1</v>
      </c>
      <c r="L947"/>
    </row>
    <row r="948" spans="1:12" x14ac:dyDescent="0.3">
      <c r="A948" t="s">
        <v>954</v>
      </c>
      <c r="B948" t="s">
        <v>10016</v>
      </c>
      <c r="C948">
        <v>1</v>
      </c>
      <c r="D948">
        <v>3</v>
      </c>
      <c r="E948">
        <v>3</v>
      </c>
      <c r="F948" t="s">
        <v>10020</v>
      </c>
      <c r="G948" t="s">
        <v>10021</v>
      </c>
      <c r="H948" s="6">
        <v>45117</v>
      </c>
      <c r="I948">
        <f t="shared" si="28"/>
        <v>0</v>
      </c>
      <c r="J948" t="str">
        <f t="shared" si="29"/>
        <v>Complete</v>
      </c>
      <c r="K948">
        <f>COUNTIFS(RawData[Item], B948,RawData[Quantity],C948,RawData[Price Per Unit],D948,RawData[Total Spent],E948,RawData[Payment Method],F948,RawData[Location],G948,RawData[Transaction Date],H948)</f>
        <v>1</v>
      </c>
      <c r="L948"/>
    </row>
    <row r="949" spans="1:12" x14ac:dyDescent="0.3">
      <c r="A949" t="s">
        <v>955</v>
      </c>
      <c r="B949" t="s">
        <v>10069</v>
      </c>
      <c r="C949">
        <v>2</v>
      </c>
      <c r="D949">
        <v>1.5</v>
      </c>
      <c r="E949">
        <v>3</v>
      </c>
      <c r="F949" t="s">
        <v>10069</v>
      </c>
      <c r="G949" t="s">
        <v>10102</v>
      </c>
      <c r="H949" s="6">
        <v>44988</v>
      </c>
      <c r="I949">
        <f t="shared" si="28"/>
        <v>0</v>
      </c>
      <c r="J949" t="str">
        <f t="shared" si="29"/>
        <v>Complete</v>
      </c>
      <c r="K949">
        <f>COUNTIFS(RawData[Item], B949,RawData[Quantity],C949,RawData[Price Per Unit],D949,RawData[Total Spent],E949,RawData[Payment Method],F949,RawData[Location],G949,RawData[Transaction Date],H949)</f>
        <v>1</v>
      </c>
      <c r="L949"/>
    </row>
    <row r="950" spans="1:12" x14ac:dyDescent="0.3">
      <c r="A950" t="s">
        <v>956</v>
      </c>
      <c r="B950" t="s">
        <v>10017</v>
      </c>
      <c r="C950">
        <v>2</v>
      </c>
      <c r="D950">
        <v>1.5</v>
      </c>
      <c r="E950">
        <v>3</v>
      </c>
      <c r="F950" t="s">
        <v>10018</v>
      </c>
      <c r="G950" t="s">
        <v>10102</v>
      </c>
      <c r="H950" s="6" t="s">
        <v>10112</v>
      </c>
      <c r="I950">
        <f t="shared" si="28"/>
        <v>1</v>
      </c>
      <c r="J950" t="str">
        <f t="shared" si="29"/>
        <v>Incomplete</v>
      </c>
      <c r="K950">
        <f>COUNTIFS(RawData[Item], B950,RawData[Quantity],C950,RawData[Price Per Unit],D950,RawData[Total Spent],E950,RawData[Payment Method],F950,RawData[Location],G950,RawData[Transaction Date],H950)</f>
        <v>1</v>
      </c>
      <c r="L950"/>
    </row>
    <row r="951" spans="1:12" x14ac:dyDescent="0.3">
      <c r="A951" t="s">
        <v>957</v>
      </c>
      <c r="B951" t="s">
        <v>10008</v>
      </c>
      <c r="C951">
        <v>2</v>
      </c>
      <c r="D951">
        <v>2</v>
      </c>
      <c r="E951">
        <v>4</v>
      </c>
      <c r="F951" t="s">
        <v>10020</v>
      </c>
      <c r="G951" t="s">
        <v>10069</v>
      </c>
      <c r="H951" s="6">
        <v>44981</v>
      </c>
      <c r="I951">
        <f t="shared" si="28"/>
        <v>0</v>
      </c>
      <c r="J951" t="str">
        <f t="shared" si="29"/>
        <v>Complete</v>
      </c>
      <c r="K951">
        <f>COUNTIFS(RawData[Item], B951,RawData[Quantity],C951,RawData[Price Per Unit],D951,RawData[Total Spent],E951,RawData[Payment Method],F951,RawData[Location],G951,RawData[Transaction Date],H951)</f>
        <v>1</v>
      </c>
      <c r="L951"/>
    </row>
    <row r="952" spans="1:12" x14ac:dyDescent="0.3">
      <c r="A952" t="s">
        <v>958</v>
      </c>
      <c r="B952" t="s">
        <v>10012</v>
      </c>
      <c r="C952">
        <v>1</v>
      </c>
      <c r="D952">
        <v>4</v>
      </c>
      <c r="E952">
        <v>4</v>
      </c>
      <c r="F952" t="s">
        <v>10069</v>
      </c>
      <c r="G952" t="s">
        <v>10102</v>
      </c>
      <c r="H952" s="6">
        <v>45249</v>
      </c>
      <c r="I952">
        <f t="shared" si="28"/>
        <v>0</v>
      </c>
      <c r="J952" t="str">
        <f t="shared" si="29"/>
        <v>Complete</v>
      </c>
      <c r="K952">
        <f>COUNTIFS(RawData[Item], B952,RawData[Quantity],C952,RawData[Price Per Unit],D952,RawData[Total Spent],E952,RawData[Payment Method],F952,RawData[Location],G952,RawData[Transaction Date],H952)</f>
        <v>1</v>
      </c>
      <c r="L952"/>
    </row>
    <row r="953" spans="1:12" x14ac:dyDescent="0.3">
      <c r="A953" t="s">
        <v>959</v>
      </c>
      <c r="B953" t="s">
        <v>10011</v>
      </c>
      <c r="C953">
        <v>2</v>
      </c>
      <c r="D953">
        <v>5</v>
      </c>
      <c r="E953">
        <v>10</v>
      </c>
      <c r="F953" t="s">
        <v>10018</v>
      </c>
      <c r="G953" t="s">
        <v>10102</v>
      </c>
      <c r="H953" s="6">
        <v>45257</v>
      </c>
      <c r="I953">
        <f t="shared" si="28"/>
        <v>0</v>
      </c>
      <c r="J953" t="str">
        <f t="shared" si="29"/>
        <v>Complete</v>
      </c>
      <c r="K953">
        <f>COUNTIFS(RawData[Item], B953,RawData[Quantity],C953,RawData[Price Per Unit],D953,RawData[Total Spent],E953,RawData[Payment Method],F953,RawData[Location],G953,RawData[Transaction Date],H953)</f>
        <v>1</v>
      </c>
      <c r="L953"/>
    </row>
    <row r="954" spans="1:12" x14ac:dyDescent="0.3">
      <c r="A954" t="s">
        <v>960</v>
      </c>
      <c r="B954" t="s">
        <v>10011</v>
      </c>
      <c r="C954">
        <v>2</v>
      </c>
      <c r="D954">
        <v>5</v>
      </c>
      <c r="E954">
        <v>10</v>
      </c>
      <c r="F954" t="s">
        <v>10020</v>
      </c>
      <c r="G954" t="s">
        <v>10102</v>
      </c>
      <c r="H954" s="6">
        <v>45197</v>
      </c>
      <c r="I954">
        <f t="shared" si="28"/>
        <v>0</v>
      </c>
      <c r="J954" t="str">
        <f t="shared" si="29"/>
        <v>Complete</v>
      </c>
      <c r="K954">
        <f>COUNTIFS(RawData[Item], B954,RawData[Quantity],C954,RawData[Price Per Unit],D954,RawData[Total Spent],E954,RawData[Payment Method],F954,RawData[Location],G954,RawData[Transaction Date],H954)</f>
        <v>1</v>
      </c>
      <c r="L954"/>
    </row>
    <row r="955" spans="1:12" x14ac:dyDescent="0.3">
      <c r="A955" t="s">
        <v>961</v>
      </c>
      <c r="B955" t="s">
        <v>10011</v>
      </c>
      <c r="C955">
        <v>5</v>
      </c>
      <c r="D955">
        <v>5</v>
      </c>
      <c r="E955">
        <v>25</v>
      </c>
      <c r="F955" t="s">
        <v>10019</v>
      </c>
      <c r="G955" t="s">
        <v>10021</v>
      </c>
      <c r="H955" s="6">
        <v>45262</v>
      </c>
      <c r="I955">
        <f t="shared" si="28"/>
        <v>0</v>
      </c>
      <c r="J955" t="str">
        <f t="shared" si="29"/>
        <v>Complete</v>
      </c>
      <c r="K955">
        <f>COUNTIFS(RawData[Item], B955,RawData[Quantity],C955,RawData[Price Per Unit],D955,RawData[Total Spent],E955,RawData[Payment Method],F955,RawData[Location],G955,RawData[Transaction Date],H955)</f>
        <v>1</v>
      </c>
      <c r="L955"/>
    </row>
    <row r="956" spans="1:12" x14ac:dyDescent="0.3">
      <c r="A956" t="s">
        <v>962</v>
      </c>
      <c r="B956" t="s">
        <v>10016</v>
      </c>
      <c r="C956">
        <v>5</v>
      </c>
      <c r="D956">
        <v>3</v>
      </c>
      <c r="E956" t="s">
        <v>10013</v>
      </c>
      <c r="F956" t="s">
        <v>10020</v>
      </c>
      <c r="G956" t="s">
        <v>10102</v>
      </c>
      <c r="H956" s="6">
        <v>45236</v>
      </c>
      <c r="I956">
        <f t="shared" si="28"/>
        <v>1</v>
      </c>
      <c r="J956" t="str">
        <f t="shared" si="29"/>
        <v>Complete</v>
      </c>
      <c r="K956">
        <f>COUNTIFS(RawData[Item], B956,RawData[Quantity],C956,RawData[Price Per Unit],D956,RawData[Total Spent],E956,RawData[Payment Method],F956,RawData[Location],G956,RawData[Transaction Date],H956)</f>
        <v>1</v>
      </c>
      <c r="L956"/>
    </row>
    <row r="957" spans="1:12" x14ac:dyDescent="0.3">
      <c r="A957" t="s">
        <v>963</v>
      </c>
      <c r="B957" t="s">
        <v>10017</v>
      </c>
      <c r="C957">
        <v>5</v>
      </c>
      <c r="D957">
        <v>1.5</v>
      </c>
      <c r="E957">
        <v>7.5</v>
      </c>
      <c r="F957" t="s">
        <v>10018</v>
      </c>
      <c r="G957" t="s">
        <v>10021</v>
      </c>
      <c r="H957" s="6">
        <v>44964</v>
      </c>
      <c r="I957">
        <f t="shared" si="28"/>
        <v>0</v>
      </c>
      <c r="J957" t="str">
        <f t="shared" si="29"/>
        <v>Complete</v>
      </c>
      <c r="K957">
        <f>COUNTIFS(RawData[Item], B957,RawData[Quantity],C957,RawData[Price Per Unit],D957,RawData[Total Spent],E957,RawData[Payment Method],F957,RawData[Location],G957,RawData[Transaction Date],H957)</f>
        <v>1</v>
      </c>
      <c r="L957"/>
    </row>
    <row r="958" spans="1:12" x14ac:dyDescent="0.3">
      <c r="A958" t="s">
        <v>964</v>
      </c>
      <c r="B958" t="s">
        <v>10017</v>
      </c>
      <c r="C958">
        <v>5</v>
      </c>
      <c r="D958">
        <v>1.5</v>
      </c>
      <c r="E958">
        <v>7.5</v>
      </c>
      <c r="F958" t="s">
        <v>10018</v>
      </c>
      <c r="G958" t="s">
        <v>10104</v>
      </c>
      <c r="H958" s="6">
        <v>44930</v>
      </c>
      <c r="I958">
        <f t="shared" si="28"/>
        <v>1</v>
      </c>
      <c r="J958" t="str">
        <f t="shared" si="29"/>
        <v>Complete</v>
      </c>
      <c r="K958">
        <f>COUNTIFS(RawData[Item], B958,RawData[Quantity],C958,RawData[Price Per Unit],D958,RawData[Total Spent],E958,RawData[Payment Method],F958,RawData[Location],G958,RawData[Transaction Date],H958)</f>
        <v>1</v>
      </c>
      <c r="L958"/>
    </row>
    <row r="959" spans="1:12" x14ac:dyDescent="0.3">
      <c r="A959" t="s">
        <v>965</v>
      </c>
      <c r="B959" t="s">
        <v>10010</v>
      </c>
      <c r="C959">
        <v>2</v>
      </c>
      <c r="D959">
        <v>1</v>
      </c>
      <c r="E959">
        <v>2</v>
      </c>
      <c r="F959" t="s">
        <v>10069</v>
      </c>
      <c r="G959" t="s">
        <v>10102</v>
      </c>
      <c r="H959" s="6">
        <v>45081</v>
      </c>
      <c r="I959">
        <f t="shared" si="28"/>
        <v>0</v>
      </c>
      <c r="J959" t="str">
        <f t="shared" si="29"/>
        <v>Complete</v>
      </c>
      <c r="K959">
        <f>COUNTIFS(RawData[Item], B959,RawData[Quantity],C959,RawData[Price Per Unit],D959,RawData[Total Spent],E959,RawData[Payment Method],F959,RawData[Location],G959,RawData[Transaction Date],H959)</f>
        <v>1</v>
      </c>
      <c r="L959"/>
    </row>
    <row r="960" spans="1:12" x14ac:dyDescent="0.3">
      <c r="A960" t="s">
        <v>966</v>
      </c>
      <c r="B960" t="s">
        <v>10012</v>
      </c>
      <c r="C960">
        <v>1</v>
      </c>
      <c r="D960">
        <v>4</v>
      </c>
      <c r="E960" t="s">
        <v>10015</v>
      </c>
      <c r="F960" t="s">
        <v>10020</v>
      </c>
      <c r="G960" t="s">
        <v>10102</v>
      </c>
      <c r="H960" s="6">
        <v>45248</v>
      </c>
      <c r="I960">
        <f t="shared" si="28"/>
        <v>1</v>
      </c>
      <c r="J960" t="str">
        <f t="shared" si="29"/>
        <v>Complete</v>
      </c>
      <c r="K960">
        <f>COUNTIFS(RawData[Item], B960,RawData[Quantity],C960,RawData[Price Per Unit],D960,RawData[Total Spent],E960,RawData[Payment Method],F960,RawData[Location],G960,RawData[Transaction Date],H960)</f>
        <v>1</v>
      </c>
      <c r="L960"/>
    </row>
    <row r="961" spans="1:12" x14ac:dyDescent="0.3">
      <c r="A961" t="s">
        <v>967</v>
      </c>
      <c r="B961" t="s">
        <v>10012</v>
      </c>
      <c r="C961">
        <v>5</v>
      </c>
      <c r="D961">
        <v>4</v>
      </c>
      <c r="E961">
        <v>20</v>
      </c>
      <c r="F961" t="s">
        <v>10019</v>
      </c>
      <c r="G961" t="s">
        <v>10069</v>
      </c>
      <c r="H961" s="6">
        <v>45191</v>
      </c>
      <c r="I961">
        <f t="shared" si="28"/>
        <v>0</v>
      </c>
      <c r="J961" t="str">
        <f t="shared" si="29"/>
        <v>Complete</v>
      </c>
      <c r="K961">
        <f>COUNTIFS(RawData[Item], B961,RawData[Quantity],C961,RawData[Price Per Unit],D961,RawData[Total Spent],E961,RawData[Payment Method],F961,RawData[Location],G961,RawData[Transaction Date],H961)</f>
        <v>1</v>
      </c>
      <c r="L961"/>
    </row>
    <row r="962" spans="1:12" x14ac:dyDescent="0.3">
      <c r="A962" t="s">
        <v>968</v>
      </c>
      <c r="B962" t="s">
        <v>10016</v>
      </c>
      <c r="C962">
        <v>4</v>
      </c>
      <c r="D962">
        <v>3</v>
      </c>
      <c r="E962">
        <v>12</v>
      </c>
      <c r="F962" t="s">
        <v>10069</v>
      </c>
      <c r="G962" t="s">
        <v>10102</v>
      </c>
      <c r="H962" s="6">
        <v>45020</v>
      </c>
      <c r="I962">
        <f t="shared" ref="I962:I1025" si="30">(B962="Unknown")+(B962="Error")+(C962="Unknown")+(C962="Error")+(D962="Unknown")+(D962="Error")+(E962="Unknown")+(E962="Error")+(F962="Unknown")+(F962="Error")+(G962="Unknown")+(G962="Error")+(H962="No Date")</f>
        <v>0</v>
      </c>
      <c r="J962" t="str">
        <f t="shared" ref="J962:J1025" si="31">IF((H962="No Date"),"Incomplete","Complete")</f>
        <v>Complete</v>
      </c>
      <c r="K962">
        <f>COUNTIFS(RawData[Item], B962,RawData[Quantity],C962,RawData[Price Per Unit],D962,RawData[Total Spent],E962,RawData[Payment Method],F962,RawData[Location],G962,RawData[Transaction Date],H962)</f>
        <v>1</v>
      </c>
      <c r="L962"/>
    </row>
    <row r="963" spans="1:12" x14ac:dyDescent="0.3">
      <c r="A963" t="s">
        <v>969</v>
      </c>
      <c r="B963" t="s">
        <v>10014</v>
      </c>
      <c r="C963">
        <v>2</v>
      </c>
      <c r="D963">
        <v>4</v>
      </c>
      <c r="E963">
        <v>8</v>
      </c>
      <c r="F963" t="s">
        <v>10020</v>
      </c>
      <c r="G963" t="s">
        <v>10102</v>
      </c>
      <c r="H963" s="6">
        <v>45227</v>
      </c>
      <c r="I963">
        <f t="shared" si="30"/>
        <v>0</v>
      </c>
      <c r="J963" t="str">
        <f t="shared" si="31"/>
        <v>Complete</v>
      </c>
      <c r="K963">
        <f>COUNTIFS(RawData[Item], B963,RawData[Quantity],C963,RawData[Price Per Unit],D963,RawData[Total Spent],E963,RawData[Payment Method],F963,RawData[Location],G963,RawData[Transaction Date],H963)</f>
        <v>1</v>
      </c>
      <c r="L963"/>
    </row>
    <row r="964" spans="1:12" x14ac:dyDescent="0.3">
      <c r="A964" t="s">
        <v>970</v>
      </c>
      <c r="B964" t="s">
        <v>10012</v>
      </c>
      <c r="C964">
        <v>1</v>
      </c>
      <c r="D964">
        <v>4</v>
      </c>
      <c r="E964">
        <v>0</v>
      </c>
      <c r="F964" t="s">
        <v>10019</v>
      </c>
      <c r="G964" t="s">
        <v>10069</v>
      </c>
      <c r="H964" s="6">
        <v>44964</v>
      </c>
      <c r="I964">
        <f t="shared" si="30"/>
        <v>0</v>
      </c>
      <c r="J964" t="str">
        <f t="shared" si="31"/>
        <v>Complete</v>
      </c>
      <c r="K964">
        <f>COUNTIFS(RawData[Item], B964,RawData[Quantity],C964,RawData[Price Per Unit],D964,RawData[Total Spent],E964,RawData[Payment Method],F964,RawData[Location],G964,RawData[Transaction Date],H964)</f>
        <v>1</v>
      </c>
      <c r="L964"/>
    </row>
    <row r="965" spans="1:12" x14ac:dyDescent="0.3">
      <c r="A965" t="s">
        <v>971</v>
      </c>
      <c r="B965" t="s">
        <v>10016</v>
      </c>
      <c r="C965">
        <v>5</v>
      </c>
      <c r="D965">
        <v>3</v>
      </c>
      <c r="E965">
        <v>15</v>
      </c>
      <c r="F965" t="s">
        <v>10069</v>
      </c>
      <c r="G965" t="s">
        <v>10069</v>
      </c>
      <c r="H965" s="6">
        <v>45031</v>
      </c>
      <c r="I965">
        <f t="shared" si="30"/>
        <v>0</v>
      </c>
      <c r="J965" t="str">
        <f t="shared" si="31"/>
        <v>Complete</v>
      </c>
      <c r="K965">
        <f>COUNTIFS(RawData[Item], B965,RawData[Quantity],C965,RawData[Price Per Unit],D965,RawData[Total Spent],E965,RawData[Payment Method],F965,RawData[Location],G965,RawData[Transaction Date],H965)</f>
        <v>1</v>
      </c>
      <c r="L965"/>
    </row>
    <row r="966" spans="1:12" x14ac:dyDescent="0.3">
      <c r="A966" t="s">
        <v>972</v>
      </c>
      <c r="B966" t="s">
        <v>10017</v>
      </c>
      <c r="C966">
        <v>5</v>
      </c>
      <c r="D966">
        <v>1.5</v>
      </c>
      <c r="E966">
        <v>7.5</v>
      </c>
      <c r="F966" t="s">
        <v>10018</v>
      </c>
      <c r="G966" t="s">
        <v>10021</v>
      </c>
      <c r="H966" s="6">
        <v>45089</v>
      </c>
      <c r="I966">
        <f t="shared" si="30"/>
        <v>0</v>
      </c>
      <c r="J966" t="str">
        <f t="shared" si="31"/>
        <v>Complete</v>
      </c>
      <c r="K966">
        <f>COUNTIFS(RawData[Item], B966,RawData[Quantity],C966,RawData[Price Per Unit],D966,RawData[Total Spent],E966,RawData[Payment Method],F966,RawData[Location],G966,RawData[Transaction Date],H966)</f>
        <v>1</v>
      </c>
      <c r="L966"/>
    </row>
    <row r="967" spans="1:12" x14ac:dyDescent="0.3">
      <c r="A967" t="s">
        <v>973</v>
      </c>
      <c r="B967" t="s">
        <v>10011</v>
      </c>
      <c r="C967">
        <v>1</v>
      </c>
      <c r="D967">
        <v>5</v>
      </c>
      <c r="E967">
        <v>5</v>
      </c>
      <c r="F967" t="s">
        <v>10104</v>
      </c>
      <c r="G967" t="s">
        <v>10102</v>
      </c>
      <c r="H967" s="6">
        <v>45200</v>
      </c>
      <c r="I967">
        <f t="shared" si="30"/>
        <v>1</v>
      </c>
      <c r="J967" t="str">
        <f t="shared" si="31"/>
        <v>Complete</v>
      </c>
      <c r="K967">
        <f>COUNTIFS(RawData[Item], B967,RawData[Quantity],C967,RawData[Price Per Unit],D967,RawData[Total Spent],E967,RawData[Payment Method],F967,RawData[Location],G967,RawData[Transaction Date],H967)</f>
        <v>1</v>
      </c>
      <c r="L967"/>
    </row>
    <row r="968" spans="1:12" x14ac:dyDescent="0.3">
      <c r="A968" t="s">
        <v>974</v>
      </c>
      <c r="B968" t="s">
        <v>10009</v>
      </c>
      <c r="C968">
        <v>1</v>
      </c>
      <c r="D968">
        <v>3</v>
      </c>
      <c r="E968">
        <v>3</v>
      </c>
      <c r="F968" t="s">
        <v>10020</v>
      </c>
      <c r="G968" t="s">
        <v>10021</v>
      </c>
      <c r="H968" s="6">
        <v>45000</v>
      </c>
      <c r="I968">
        <f t="shared" si="30"/>
        <v>0</v>
      </c>
      <c r="J968" t="str">
        <f t="shared" si="31"/>
        <v>Complete</v>
      </c>
      <c r="K968">
        <f>COUNTIFS(RawData[Item], B968,RawData[Quantity],C968,RawData[Price Per Unit],D968,RawData[Total Spent],E968,RawData[Payment Method],F968,RawData[Location],G968,RawData[Transaction Date],H968)</f>
        <v>1</v>
      </c>
      <c r="L968"/>
    </row>
    <row r="969" spans="1:12" x14ac:dyDescent="0.3">
      <c r="A969" t="s">
        <v>975</v>
      </c>
      <c r="B969" t="s">
        <v>10015</v>
      </c>
      <c r="C969">
        <v>1</v>
      </c>
      <c r="D969">
        <v>1</v>
      </c>
      <c r="E969">
        <v>1</v>
      </c>
      <c r="F969" t="s">
        <v>10069</v>
      </c>
      <c r="G969" t="s">
        <v>10104</v>
      </c>
      <c r="H969" s="6">
        <v>45191</v>
      </c>
      <c r="I969">
        <f t="shared" si="30"/>
        <v>2</v>
      </c>
      <c r="J969" t="str">
        <f t="shared" si="31"/>
        <v>Complete</v>
      </c>
      <c r="K969">
        <f>COUNTIFS(RawData[Item], B969,RawData[Quantity],C969,RawData[Price Per Unit],D969,RawData[Total Spent],E969,RawData[Payment Method],F969,RawData[Location],G969,RawData[Transaction Date],H969)</f>
        <v>1</v>
      </c>
      <c r="L969"/>
    </row>
    <row r="970" spans="1:12" x14ac:dyDescent="0.3">
      <c r="A970" t="s">
        <v>976</v>
      </c>
      <c r="B970" t="s">
        <v>10014</v>
      </c>
      <c r="C970">
        <v>1</v>
      </c>
      <c r="D970">
        <v>4</v>
      </c>
      <c r="E970">
        <v>4</v>
      </c>
      <c r="F970" t="s">
        <v>10018</v>
      </c>
      <c r="G970" t="s">
        <v>10102</v>
      </c>
      <c r="H970" s="6">
        <v>44967</v>
      </c>
      <c r="I970">
        <f t="shared" si="30"/>
        <v>0</v>
      </c>
      <c r="J970" t="str">
        <f t="shared" si="31"/>
        <v>Complete</v>
      </c>
      <c r="K970">
        <f>COUNTIFS(RawData[Item], B970,RawData[Quantity],C970,RawData[Price Per Unit],D970,RawData[Total Spent],E970,RawData[Payment Method],F970,RawData[Location],G970,RawData[Transaction Date],H970)</f>
        <v>1</v>
      </c>
      <c r="L970"/>
    </row>
    <row r="971" spans="1:12" x14ac:dyDescent="0.3">
      <c r="A971" t="s">
        <v>977</v>
      </c>
      <c r="B971" t="s">
        <v>10016</v>
      </c>
      <c r="C971">
        <v>4</v>
      </c>
      <c r="D971">
        <v>3</v>
      </c>
      <c r="E971" t="s">
        <v>10015</v>
      </c>
      <c r="F971" t="s">
        <v>10104</v>
      </c>
      <c r="G971" t="s">
        <v>10102</v>
      </c>
      <c r="H971" s="6">
        <v>45010</v>
      </c>
      <c r="I971">
        <f t="shared" si="30"/>
        <v>2</v>
      </c>
      <c r="J971" t="str">
        <f t="shared" si="31"/>
        <v>Complete</v>
      </c>
      <c r="K971">
        <f>COUNTIFS(RawData[Item], B971,RawData[Quantity],C971,RawData[Price Per Unit],D971,RawData[Total Spent],E971,RawData[Payment Method],F971,RawData[Location],G971,RawData[Transaction Date],H971)</f>
        <v>1</v>
      </c>
      <c r="L971"/>
    </row>
    <row r="972" spans="1:12" x14ac:dyDescent="0.3">
      <c r="A972" t="s">
        <v>978</v>
      </c>
      <c r="B972" t="s">
        <v>10014</v>
      </c>
      <c r="C972">
        <v>5</v>
      </c>
      <c r="D972">
        <v>4</v>
      </c>
      <c r="E972">
        <v>20</v>
      </c>
      <c r="F972" t="s">
        <v>10019</v>
      </c>
      <c r="G972" t="s">
        <v>10102</v>
      </c>
      <c r="H972" s="6">
        <v>45171</v>
      </c>
      <c r="I972">
        <f t="shared" si="30"/>
        <v>0</v>
      </c>
      <c r="J972" t="str">
        <f t="shared" si="31"/>
        <v>Complete</v>
      </c>
      <c r="K972">
        <f>COUNTIFS(RawData[Item], B972,RawData[Quantity],C972,RawData[Price Per Unit],D972,RawData[Total Spent],E972,RawData[Payment Method],F972,RawData[Location],G972,RawData[Transaction Date],H972)</f>
        <v>1</v>
      </c>
      <c r="L972"/>
    </row>
    <row r="973" spans="1:12" x14ac:dyDescent="0.3">
      <c r="A973" t="s">
        <v>979</v>
      </c>
      <c r="B973" t="s">
        <v>10017</v>
      </c>
      <c r="C973">
        <v>2</v>
      </c>
      <c r="D973">
        <v>1.5</v>
      </c>
      <c r="E973">
        <v>3</v>
      </c>
      <c r="F973" t="s">
        <v>10069</v>
      </c>
      <c r="G973" t="s">
        <v>10069</v>
      </c>
      <c r="H973" s="6">
        <v>45186</v>
      </c>
      <c r="I973">
        <f t="shared" si="30"/>
        <v>0</v>
      </c>
      <c r="J973" t="str">
        <f t="shared" si="31"/>
        <v>Complete</v>
      </c>
      <c r="K973">
        <f>COUNTIFS(RawData[Item], B973,RawData[Quantity],C973,RawData[Price Per Unit],D973,RawData[Total Spent],E973,RawData[Payment Method],F973,RawData[Location],G973,RawData[Transaction Date],H973)</f>
        <v>1</v>
      </c>
      <c r="L973"/>
    </row>
    <row r="974" spans="1:12" x14ac:dyDescent="0.3">
      <c r="A974" t="s">
        <v>980</v>
      </c>
      <c r="B974" t="s">
        <v>10069</v>
      </c>
      <c r="C974">
        <v>2</v>
      </c>
      <c r="D974">
        <v>5</v>
      </c>
      <c r="E974">
        <v>10</v>
      </c>
      <c r="F974" t="s">
        <v>10069</v>
      </c>
      <c r="G974" t="s">
        <v>10069</v>
      </c>
      <c r="H974" s="6">
        <v>45232</v>
      </c>
      <c r="I974">
        <f t="shared" si="30"/>
        <v>0</v>
      </c>
      <c r="J974" t="str">
        <f t="shared" si="31"/>
        <v>Complete</v>
      </c>
      <c r="K974">
        <f>COUNTIFS(RawData[Item], B974,RawData[Quantity],C974,RawData[Price Per Unit],D974,RawData[Total Spent],E974,RawData[Payment Method],F974,RawData[Location],G974,RawData[Transaction Date],H974)</f>
        <v>1</v>
      </c>
      <c r="L974"/>
    </row>
    <row r="975" spans="1:12" x14ac:dyDescent="0.3">
      <c r="A975" t="s">
        <v>981</v>
      </c>
      <c r="B975" t="s">
        <v>10008</v>
      </c>
      <c r="C975" t="s">
        <v>10013</v>
      </c>
      <c r="D975">
        <v>2</v>
      </c>
      <c r="E975">
        <v>4</v>
      </c>
      <c r="F975" t="s">
        <v>10069</v>
      </c>
      <c r="G975" t="s">
        <v>10021</v>
      </c>
      <c r="H975" s="6">
        <v>45263</v>
      </c>
      <c r="I975">
        <f t="shared" si="30"/>
        <v>1</v>
      </c>
      <c r="J975" t="str">
        <f t="shared" si="31"/>
        <v>Complete</v>
      </c>
      <c r="K975">
        <f>COUNTIFS(RawData[Item], B975,RawData[Quantity],C975,RawData[Price Per Unit],D975,RawData[Total Spent],E975,RawData[Payment Method],F975,RawData[Location],G975,RawData[Transaction Date],H975)</f>
        <v>1</v>
      </c>
      <c r="L975"/>
    </row>
    <row r="976" spans="1:12" x14ac:dyDescent="0.3">
      <c r="A976" t="s">
        <v>982</v>
      </c>
      <c r="B976" t="s">
        <v>10012</v>
      </c>
      <c r="C976" t="s">
        <v>10013</v>
      </c>
      <c r="D976">
        <v>4</v>
      </c>
      <c r="E976">
        <v>4</v>
      </c>
      <c r="F976" t="s">
        <v>10018</v>
      </c>
      <c r="G976" t="s">
        <v>10102</v>
      </c>
      <c r="H976" s="6" t="s">
        <v>10112</v>
      </c>
      <c r="I976">
        <f t="shared" si="30"/>
        <v>2</v>
      </c>
      <c r="J976" t="str">
        <f t="shared" si="31"/>
        <v>Incomplete</v>
      </c>
      <c r="K976">
        <f>COUNTIFS(RawData[Item], B976,RawData[Quantity],C976,RawData[Price Per Unit],D976,RawData[Total Spent],E976,RawData[Payment Method],F976,RawData[Location],G976,RawData[Transaction Date],H976)</f>
        <v>1</v>
      </c>
      <c r="L976"/>
    </row>
    <row r="977" spans="1:12" x14ac:dyDescent="0.3">
      <c r="A977" t="s">
        <v>983</v>
      </c>
      <c r="B977" t="s">
        <v>10069</v>
      </c>
      <c r="C977">
        <v>2</v>
      </c>
      <c r="D977">
        <v>3</v>
      </c>
      <c r="E977">
        <v>6</v>
      </c>
      <c r="F977" t="s">
        <v>10020</v>
      </c>
      <c r="G977" t="s">
        <v>10021</v>
      </c>
      <c r="H977" s="6">
        <v>45126</v>
      </c>
      <c r="I977">
        <f t="shared" si="30"/>
        <v>0</v>
      </c>
      <c r="J977" t="str">
        <f t="shared" si="31"/>
        <v>Complete</v>
      </c>
      <c r="K977">
        <f>COUNTIFS(RawData[Item], B977,RawData[Quantity],C977,RawData[Price Per Unit],D977,RawData[Total Spent],E977,RawData[Payment Method],F977,RawData[Location],G977,RawData[Transaction Date],H977)</f>
        <v>1</v>
      </c>
      <c r="L977"/>
    </row>
    <row r="978" spans="1:12" x14ac:dyDescent="0.3">
      <c r="A978" t="s">
        <v>984</v>
      </c>
      <c r="B978" t="s">
        <v>10008</v>
      </c>
      <c r="C978">
        <v>5</v>
      </c>
      <c r="D978">
        <v>2</v>
      </c>
      <c r="E978">
        <v>10</v>
      </c>
      <c r="F978" t="s">
        <v>10020</v>
      </c>
      <c r="G978" t="s">
        <v>10021</v>
      </c>
      <c r="H978" s="6">
        <v>45182</v>
      </c>
      <c r="I978">
        <f t="shared" si="30"/>
        <v>0</v>
      </c>
      <c r="J978" t="str">
        <f t="shared" si="31"/>
        <v>Complete</v>
      </c>
      <c r="K978">
        <f>COUNTIFS(RawData[Item], B978,RawData[Quantity],C978,RawData[Price Per Unit],D978,RawData[Total Spent],E978,RawData[Payment Method],F978,RawData[Location],G978,RawData[Transaction Date],H978)</f>
        <v>1</v>
      </c>
      <c r="L978"/>
    </row>
    <row r="979" spans="1:12" x14ac:dyDescent="0.3">
      <c r="A979" t="s">
        <v>985</v>
      </c>
      <c r="B979" t="s">
        <v>10011</v>
      </c>
      <c r="C979">
        <v>2</v>
      </c>
      <c r="D979">
        <v>5</v>
      </c>
      <c r="E979">
        <v>10</v>
      </c>
      <c r="F979" t="s">
        <v>10019</v>
      </c>
      <c r="G979" t="s">
        <v>10102</v>
      </c>
      <c r="H979" s="6">
        <v>45252</v>
      </c>
      <c r="I979">
        <f t="shared" si="30"/>
        <v>0</v>
      </c>
      <c r="J979" t="str">
        <f t="shared" si="31"/>
        <v>Complete</v>
      </c>
      <c r="K979">
        <f>COUNTIFS(RawData[Item], B979,RawData[Quantity],C979,RawData[Price Per Unit],D979,RawData[Total Spent],E979,RawData[Payment Method],F979,RawData[Location],G979,RawData[Transaction Date],H979)</f>
        <v>1</v>
      </c>
      <c r="L979"/>
    </row>
    <row r="980" spans="1:12" x14ac:dyDescent="0.3">
      <c r="A980" t="s">
        <v>986</v>
      </c>
      <c r="B980" t="s">
        <v>10010</v>
      </c>
      <c r="C980" t="s">
        <v>10013</v>
      </c>
      <c r="D980">
        <v>1</v>
      </c>
      <c r="E980">
        <v>1</v>
      </c>
      <c r="F980" t="s">
        <v>10020</v>
      </c>
      <c r="G980" t="s">
        <v>10103</v>
      </c>
      <c r="H980" s="6">
        <v>45030</v>
      </c>
      <c r="I980">
        <f t="shared" si="30"/>
        <v>2</v>
      </c>
      <c r="J980" t="str">
        <f t="shared" si="31"/>
        <v>Complete</v>
      </c>
      <c r="K980">
        <f>COUNTIFS(RawData[Item], B980,RawData[Quantity],C980,RawData[Price Per Unit],D980,RawData[Total Spent],E980,RawData[Payment Method],F980,RawData[Location],G980,RawData[Transaction Date],H980)</f>
        <v>1</v>
      </c>
      <c r="L980"/>
    </row>
    <row r="981" spans="1:12" x14ac:dyDescent="0.3">
      <c r="A981" t="s">
        <v>987</v>
      </c>
      <c r="B981" t="s">
        <v>10012</v>
      </c>
      <c r="C981">
        <v>4</v>
      </c>
      <c r="D981">
        <v>4</v>
      </c>
      <c r="E981">
        <v>16</v>
      </c>
      <c r="F981" t="s">
        <v>10020</v>
      </c>
      <c r="G981" t="s">
        <v>10102</v>
      </c>
      <c r="H981" s="6">
        <v>45145</v>
      </c>
      <c r="I981">
        <f t="shared" si="30"/>
        <v>0</v>
      </c>
      <c r="J981" t="str">
        <f t="shared" si="31"/>
        <v>Complete</v>
      </c>
      <c r="K981">
        <f>COUNTIFS(RawData[Item], B981,RawData[Quantity],C981,RawData[Price Per Unit],D981,RawData[Total Spent],E981,RawData[Payment Method],F981,RawData[Location],G981,RawData[Transaction Date],H981)</f>
        <v>1</v>
      </c>
      <c r="L981"/>
    </row>
    <row r="982" spans="1:12" x14ac:dyDescent="0.3">
      <c r="A982" t="s">
        <v>988</v>
      </c>
      <c r="B982" t="s">
        <v>10008</v>
      </c>
      <c r="C982">
        <v>1</v>
      </c>
      <c r="D982">
        <v>2</v>
      </c>
      <c r="E982">
        <v>2</v>
      </c>
      <c r="F982" t="s">
        <v>10020</v>
      </c>
      <c r="G982" t="s">
        <v>10102</v>
      </c>
      <c r="H982" s="6">
        <v>45207</v>
      </c>
      <c r="I982">
        <f t="shared" si="30"/>
        <v>0</v>
      </c>
      <c r="J982" t="str">
        <f t="shared" si="31"/>
        <v>Complete</v>
      </c>
      <c r="K982">
        <f>COUNTIFS(RawData[Item], B982,RawData[Quantity],C982,RawData[Price Per Unit],D982,RawData[Total Spent],E982,RawData[Payment Method],F982,RawData[Location],G982,RawData[Transaction Date],H982)</f>
        <v>1</v>
      </c>
      <c r="L982"/>
    </row>
    <row r="983" spans="1:12" x14ac:dyDescent="0.3">
      <c r="A983" t="s">
        <v>989</v>
      </c>
      <c r="B983" t="s">
        <v>10012</v>
      </c>
      <c r="C983">
        <v>4</v>
      </c>
      <c r="D983">
        <v>4</v>
      </c>
      <c r="E983">
        <v>16</v>
      </c>
      <c r="F983" t="s">
        <v>10018</v>
      </c>
      <c r="G983" t="s">
        <v>10069</v>
      </c>
      <c r="H983" s="6">
        <v>45263</v>
      </c>
      <c r="I983">
        <f t="shared" si="30"/>
        <v>0</v>
      </c>
      <c r="J983" t="str">
        <f t="shared" si="31"/>
        <v>Complete</v>
      </c>
      <c r="K983">
        <f>COUNTIFS(RawData[Item], B983,RawData[Quantity],C983,RawData[Price Per Unit],D983,RawData[Total Spent],E983,RawData[Payment Method],F983,RawData[Location],G983,RawData[Transaction Date],H983)</f>
        <v>1</v>
      </c>
      <c r="L983"/>
    </row>
    <row r="984" spans="1:12" x14ac:dyDescent="0.3">
      <c r="A984" t="s">
        <v>990</v>
      </c>
      <c r="B984" t="s">
        <v>10017</v>
      </c>
      <c r="C984">
        <v>2</v>
      </c>
      <c r="D984">
        <v>1.5</v>
      </c>
      <c r="E984">
        <v>3</v>
      </c>
      <c r="F984" t="s">
        <v>10069</v>
      </c>
      <c r="G984" t="s">
        <v>10021</v>
      </c>
      <c r="H984" s="6">
        <v>45190</v>
      </c>
      <c r="I984">
        <f t="shared" si="30"/>
        <v>0</v>
      </c>
      <c r="J984" t="str">
        <f t="shared" si="31"/>
        <v>Complete</v>
      </c>
      <c r="K984">
        <f>COUNTIFS(RawData[Item], B984,RawData[Quantity],C984,RawData[Price Per Unit],D984,RawData[Total Spent],E984,RawData[Payment Method],F984,RawData[Location],G984,RawData[Transaction Date],H984)</f>
        <v>1</v>
      </c>
      <c r="L984"/>
    </row>
    <row r="985" spans="1:12" x14ac:dyDescent="0.3">
      <c r="A985" t="s">
        <v>991</v>
      </c>
      <c r="B985" t="s">
        <v>10009</v>
      </c>
      <c r="C985">
        <v>1</v>
      </c>
      <c r="D985" t="s">
        <v>10015</v>
      </c>
      <c r="E985">
        <v>3</v>
      </c>
      <c r="F985" t="s">
        <v>10069</v>
      </c>
      <c r="G985" t="s">
        <v>10102</v>
      </c>
      <c r="H985" s="6">
        <v>45050</v>
      </c>
      <c r="I985">
        <f t="shared" si="30"/>
        <v>1</v>
      </c>
      <c r="J985" t="str">
        <f t="shared" si="31"/>
        <v>Complete</v>
      </c>
      <c r="K985">
        <f>COUNTIFS(RawData[Item], B985,RawData[Quantity],C985,RawData[Price Per Unit],D985,RawData[Total Spent],E985,RawData[Payment Method],F985,RawData[Location],G985,RawData[Transaction Date],H985)</f>
        <v>1</v>
      </c>
      <c r="L985"/>
    </row>
    <row r="986" spans="1:12" x14ac:dyDescent="0.3">
      <c r="A986" t="s">
        <v>992</v>
      </c>
      <c r="B986" t="s">
        <v>10015</v>
      </c>
      <c r="C986">
        <v>4</v>
      </c>
      <c r="D986">
        <v>5</v>
      </c>
      <c r="E986">
        <v>20</v>
      </c>
      <c r="F986" t="s">
        <v>10018</v>
      </c>
      <c r="G986" t="s">
        <v>10069</v>
      </c>
      <c r="H986" s="6">
        <v>45210</v>
      </c>
      <c r="I986">
        <f t="shared" si="30"/>
        <v>1</v>
      </c>
      <c r="J986" t="str">
        <f t="shared" si="31"/>
        <v>Complete</v>
      </c>
      <c r="K986">
        <f>COUNTIFS(RawData[Item], B986,RawData[Quantity],C986,RawData[Price Per Unit],D986,RawData[Total Spent],E986,RawData[Payment Method],F986,RawData[Location],G986,RawData[Transaction Date],H986)</f>
        <v>1</v>
      </c>
      <c r="L986"/>
    </row>
    <row r="987" spans="1:12" x14ac:dyDescent="0.3">
      <c r="A987" t="s">
        <v>993</v>
      </c>
      <c r="B987" t="s">
        <v>10016</v>
      </c>
      <c r="C987" t="s">
        <v>10015</v>
      </c>
      <c r="D987">
        <v>3</v>
      </c>
      <c r="E987">
        <v>6</v>
      </c>
      <c r="F987" t="s">
        <v>10019</v>
      </c>
      <c r="G987" t="s">
        <v>10021</v>
      </c>
      <c r="H987" s="6">
        <v>45231</v>
      </c>
      <c r="I987">
        <f t="shared" si="30"/>
        <v>1</v>
      </c>
      <c r="J987" t="str">
        <f t="shared" si="31"/>
        <v>Complete</v>
      </c>
      <c r="K987">
        <f>COUNTIFS(RawData[Item], B987,RawData[Quantity],C987,RawData[Price Per Unit],D987,RawData[Total Spent],E987,RawData[Payment Method],F987,RawData[Location],G987,RawData[Transaction Date],H987)</f>
        <v>1</v>
      </c>
      <c r="L987"/>
    </row>
    <row r="988" spans="1:12" x14ac:dyDescent="0.3">
      <c r="A988" t="s">
        <v>994</v>
      </c>
      <c r="B988" t="s">
        <v>10017</v>
      </c>
      <c r="C988">
        <v>4</v>
      </c>
      <c r="D988">
        <v>1.5</v>
      </c>
      <c r="E988">
        <v>6</v>
      </c>
      <c r="F988" t="s">
        <v>10019</v>
      </c>
      <c r="G988" t="s">
        <v>10102</v>
      </c>
      <c r="H988" s="6">
        <v>45053</v>
      </c>
      <c r="I988">
        <f t="shared" si="30"/>
        <v>0</v>
      </c>
      <c r="J988" t="str">
        <f t="shared" si="31"/>
        <v>Complete</v>
      </c>
      <c r="K988">
        <f>COUNTIFS(RawData[Item], B988,RawData[Quantity],C988,RawData[Price Per Unit],D988,RawData[Total Spent],E988,RawData[Payment Method],F988,RawData[Location],G988,RawData[Transaction Date],H988)</f>
        <v>1</v>
      </c>
      <c r="L988"/>
    </row>
    <row r="989" spans="1:12" x14ac:dyDescent="0.3">
      <c r="A989" t="s">
        <v>995</v>
      </c>
      <c r="B989" t="s">
        <v>10013</v>
      </c>
      <c r="C989">
        <v>4</v>
      </c>
      <c r="D989">
        <v>4</v>
      </c>
      <c r="E989">
        <v>16</v>
      </c>
      <c r="F989" t="s">
        <v>10020</v>
      </c>
      <c r="G989" t="s">
        <v>10021</v>
      </c>
      <c r="H989" s="6">
        <v>45112</v>
      </c>
      <c r="I989">
        <f t="shared" si="30"/>
        <v>1</v>
      </c>
      <c r="J989" t="str">
        <f t="shared" si="31"/>
        <v>Complete</v>
      </c>
      <c r="K989">
        <f>COUNTIFS(RawData[Item], B989,RawData[Quantity],C989,RawData[Price Per Unit],D989,RawData[Total Spent],E989,RawData[Payment Method],F989,RawData[Location],G989,RawData[Transaction Date],H989)</f>
        <v>1</v>
      </c>
      <c r="L989"/>
    </row>
    <row r="990" spans="1:12" x14ac:dyDescent="0.3">
      <c r="A990" t="s">
        <v>996</v>
      </c>
      <c r="B990" t="s">
        <v>10014</v>
      </c>
      <c r="C990">
        <v>3</v>
      </c>
      <c r="D990">
        <v>4</v>
      </c>
      <c r="E990">
        <v>12</v>
      </c>
      <c r="F990" t="s">
        <v>10069</v>
      </c>
      <c r="G990" t="s">
        <v>10069</v>
      </c>
      <c r="H990" s="6" t="s">
        <v>10112</v>
      </c>
      <c r="I990">
        <f t="shared" si="30"/>
        <v>1</v>
      </c>
      <c r="J990" t="str">
        <f t="shared" si="31"/>
        <v>Incomplete</v>
      </c>
      <c r="K990">
        <f>COUNTIFS(RawData[Item], B990,RawData[Quantity],C990,RawData[Price Per Unit],D990,RawData[Total Spent],E990,RawData[Payment Method],F990,RawData[Location],G990,RawData[Transaction Date],H990)</f>
        <v>2</v>
      </c>
      <c r="L990"/>
    </row>
    <row r="991" spans="1:12" x14ac:dyDescent="0.3">
      <c r="A991" t="s">
        <v>997</v>
      </c>
      <c r="B991" t="s">
        <v>10011</v>
      </c>
      <c r="C991">
        <v>2</v>
      </c>
      <c r="D991">
        <v>5</v>
      </c>
      <c r="E991">
        <v>10</v>
      </c>
      <c r="F991" t="s">
        <v>10018</v>
      </c>
      <c r="G991" t="s">
        <v>10021</v>
      </c>
      <c r="H991" s="6">
        <v>45269</v>
      </c>
      <c r="I991">
        <f t="shared" si="30"/>
        <v>0</v>
      </c>
      <c r="J991" t="str">
        <f t="shared" si="31"/>
        <v>Complete</v>
      </c>
      <c r="K991">
        <f>COUNTIFS(RawData[Item], B991,RawData[Quantity],C991,RawData[Price Per Unit],D991,RawData[Total Spent],E991,RawData[Payment Method],F991,RawData[Location],G991,RawData[Transaction Date],H991)</f>
        <v>1</v>
      </c>
      <c r="L991"/>
    </row>
    <row r="992" spans="1:12" x14ac:dyDescent="0.3">
      <c r="A992" t="s">
        <v>998</v>
      </c>
      <c r="B992" t="s">
        <v>10069</v>
      </c>
      <c r="C992">
        <v>3</v>
      </c>
      <c r="D992">
        <v>3</v>
      </c>
      <c r="E992">
        <v>9</v>
      </c>
      <c r="F992" t="s">
        <v>10069</v>
      </c>
      <c r="G992" t="s">
        <v>10102</v>
      </c>
      <c r="H992" s="6">
        <v>44979</v>
      </c>
      <c r="I992">
        <f t="shared" si="30"/>
        <v>0</v>
      </c>
      <c r="J992" t="str">
        <f t="shared" si="31"/>
        <v>Complete</v>
      </c>
      <c r="K992">
        <f>COUNTIFS(RawData[Item], B992,RawData[Quantity],C992,RawData[Price Per Unit],D992,RawData[Total Spent],E992,RawData[Payment Method],F992,RawData[Location],G992,RawData[Transaction Date],H992)</f>
        <v>1</v>
      </c>
      <c r="L992"/>
    </row>
    <row r="993" spans="1:12" x14ac:dyDescent="0.3">
      <c r="A993" t="s">
        <v>999</v>
      </c>
      <c r="B993" t="s">
        <v>10069</v>
      </c>
      <c r="C993">
        <v>3</v>
      </c>
      <c r="D993">
        <v>5</v>
      </c>
      <c r="E993">
        <v>0</v>
      </c>
      <c r="F993" t="s">
        <v>10019</v>
      </c>
      <c r="G993" t="s">
        <v>10021</v>
      </c>
      <c r="H993" s="6">
        <v>45234</v>
      </c>
      <c r="I993">
        <f t="shared" si="30"/>
        <v>0</v>
      </c>
      <c r="J993" t="str">
        <f t="shared" si="31"/>
        <v>Complete</v>
      </c>
      <c r="K993">
        <f>COUNTIFS(RawData[Item], B993,RawData[Quantity],C993,RawData[Price Per Unit],D993,RawData[Total Spent],E993,RawData[Payment Method],F993,RawData[Location],G993,RawData[Transaction Date],H993)</f>
        <v>1</v>
      </c>
      <c r="L993"/>
    </row>
    <row r="994" spans="1:12" x14ac:dyDescent="0.3">
      <c r="A994" t="s">
        <v>1000</v>
      </c>
      <c r="B994" t="s">
        <v>10016</v>
      </c>
      <c r="C994">
        <v>3</v>
      </c>
      <c r="D994">
        <v>3</v>
      </c>
      <c r="E994">
        <v>9</v>
      </c>
      <c r="F994" t="s">
        <v>10018</v>
      </c>
      <c r="G994" t="s">
        <v>10021</v>
      </c>
      <c r="H994" s="6">
        <v>45131</v>
      </c>
      <c r="I994">
        <f t="shared" si="30"/>
        <v>0</v>
      </c>
      <c r="J994" t="str">
        <f t="shared" si="31"/>
        <v>Complete</v>
      </c>
      <c r="K994">
        <f>COUNTIFS(RawData[Item], B994,RawData[Quantity],C994,RawData[Price Per Unit],D994,RawData[Total Spent],E994,RawData[Payment Method],F994,RawData[Location],G994,RawData[Transaction Date],H994)</f>
        <v>1</v>
      </c>
      <c r="L994"/>
    </row>
    <row r="995" spans="1:12" x14ac:dyDescent="0.3">
      <c r="A995" t="s">
        <v>1001</v>
      </c>
      <c r="B995" t="s">
        <v>10008</v>
      </c>
      <c r="C995">
        <v>5</v>
      </c>
      <c r="D995">
        <v>2</v>
      </c>
      <c r="E995">
        <v>10</v>
      </c>
      <c r="F995" t="s">
        <v>10019</v>
      </c>
      <c r="G995" t="s">
        <v>10069</v>
      </c>
      <c r="H995" s="6">
        <v>45032</v>
      </c>
      <c r="I995">
        <f t="shared" si="30"/>
        <v>0</v>
      </c>
      <c r="J995" t="str">
        <f t="shared" si="31"/>
        <v>Complete</v>
      </c>
      <c r="K995">
        <f>COUNTIFS(RawData[Item], B995,RawData[Quantity],C995,RawData[Price Per Unit],D995,RawData[Total Spent],E995,RawData[Payment Method],F995,RawData[Location],G995,RawData[Transaction Date],H995)</f>
        <v>1</v>
      </c>
      <c r="L995"/>
    </row>
    <row r="996" spans="1:12" x14ac:dyDescent="0.3">
      <c r="A996" t="s">
        <v>1002</v>
      </c>
      <c r="B996" t="s">
        <v>10010</v>
      </c>
      <c r="C996">
        <v>2</v>
      </c>
      <c r="D996">
        <v>1</v>
      </c>
      <c r="E996">
        <v>2</v>
      </c>
      <c r="F996" t="s">
        <v>10018</v>
      </c>
      <c r="G996" t="s">
        <v>10102</v>
      </c>
      <c r="H996" s="6">
        <v>45258</v>
      </c>
      <c r="I996">
        <f t="shared" si="30"/>
        <v>0</v>
      </c>
      <c r="J996" t="str">
        <f t="shared" si="31"/>
        <v>Complete</v>
      </c>
      <c r="K996">
        <f>COUNTIFS(RawData[Item], B996,RawData[Quantity],C996,RawData[Price Per Unit],D996,RawData[Total Spent],E996,RawData[Payment Method],F996,RawData[Location],G996,RawData[Transaction Date],H996)</f>
        <v>1</v>
      </c>
      <c r="L996"/>
    </row>
    <row r="997" spans="1:12" x14ac:dyDescent="0.3">
      <c r="A997" t="s">
        <v>1003</v>
      </c>
      <c r="B997" t="s">
        <v>10016</v>
      </c>
      <c r="C997">
        <v>5</v>
      </c>
      <c r="D997">
        <v>3</v>
      </c>
      <c r="E997">
        <v>15</v>
      </c>
      <c r="F997" t="s">
        <v>10018</v>
      </c>
      <c r="G997" t="s">
        <v>10069</v>
      </c>
      <c r="H997" s="6">
        <v>45200</v>
      </c>
      <c r="I997">
        <f t="shared" si="30"/>
        <v>0</v>
      </c>
      <c r="J997" t="str">
        <f t="shared" si="31"/>
        <v>Complete</v>
      </c>
      <c r="K997">
        <f>COUNTIFS(RawData[Item], B997,RawData[Quantity],C997,RawData[Price Per Unit],D997,RawData[Total Spent],E997,RawData[Payment Method],F997,RawData[Location],G997,RawData[Transaction Date],H997)</f>
        <v>1</v>
      </c>
      <c r="L997"/>
    </row>
    <row r="998" spans="1:12" x14ac:dyDescent="0.3">
      <c r="A998" t="s">
        <v>1004</v>
      </c>
      <c r="B998" t="s">
        <v>10008</v>
      </c>
      <c r="C998">
        <v>2</v>
      </c>
      <c r="D998">
        <v>2</v>
      </c>
      <c r="E998">
        <v>4</v>
      </c>
      <c r="F998" t="s">
        <v>10020</v>
      </c>
      <c r="G998" t="s">
        <v>10069</v>
      </c>
      <c r="H998" s="6">
        <v>45079</v>
      </c>
      <c r="I998">
        <f t="shared" si="30"/>
        <v>0</v>
      </c>
      <c r="J998" t="str">
        <f t="shared" si="31"/>
        <v>Complete</v>
      </c>
      <c r="K998">
        <f>COUNTIFS(RawData[Item], B998,RawData[Quantity],C998,RawData[Price Per Unit],D998,RawData[Total Spent],E998,RawData[Payment Method],F998,RawData[Location],G998,RawData[Transaction Date],H998)</f>
        <v>1</v>
      </c>
      <c r="L998"/>
    </row>
    <row r="999" spans="1:12" x14ac:dyDescent="0.3">
      <c r="A999" t="s">
        <v>1005</v>
      </c>
      <c r="B999" t="s">
        <v>10016</v>
      </c>
      <c r="C999">
        <v>3</v>
      </c>
      <c r="D999">
        <v>3</v>
      </c>
      <c r="E999">
        <v>9</v>
      </c>
      <c r="F999" t="s">
        <v>10019</v>
      </c>
      <c r="G999" t="s">
        <v>10069</v>
      </c>
      <c r="H999" s="6">
        <v>45035</v>
      </c>
      <c r="I999">
        <f t="shared" si="30"/>
        <v>0</v>
      </c>
      <c r="J999" t="str">
        <f t="shared" si="31"/>
        <v>Complete</v>
      </c>
      <c r="K999">
        <f>COUNTIFS(RawData[Item], B999,RawData[Quantity],C999,RawData[Price Per Unit],D999,RawData[Total Spent],E999,RawData[Payment Method],F999,RawData[Location],G999,RawData[Transaction Date],H999)</f>
        <v>1</v>
      </c>
      <c r="L999"/>
    </row>
    <row r="1000" spans="1:12" x14ac:dyDescent="0.3">
      <c r="A1000" t="s">
        <v>1006</v>
      </c>
      <c r="B1000" t="s">
        <v>10009</v>
      </c>
      <c r="C1000">
        <v>1</v>
      </c>
      <c r="D1000">
        <v>0</v>
      </c>
      <c r="E1000">
        <v>3</v>
      </c>
      <c r="F1000" t="s">
        <v>10069</v>
      </c>
      <c r="G1000" t="s">
        <v>10021</v>
      </c>
      <c r="H1000" s="6">
        <v>45026</v>
      </c>
      <c r="I1000">
        <f t="shared" si="30"/>
        <v>0</v>
      </c>
      <c r="J1000" t="str">
        <f t="shared" si="31"/>
        <v>Complete</v>
      </c>
      <c r="K1000">
        <f>COUNTIFS(RawData[Item], B1000,RawData[Quantity],C1000,RawData[Price Per Unit],D1000,RawData[Total Spent],E1000,RawData[Payment Method],F1000,RawData[Location],G1000,RawData[Transaction Date],H1000)</f>
        <v>1</v>
      </c>
      <c r="L1000"/>
    </row>
    <row r="1001" spans="1:12" x14ac:dyDescent="0.3">
      <c r="A1001" t="s">
        <v>1007</v>
      </c>
      <c r="B1001" t="s">
        <v>10008</v>
      </c>
      <c r="C1001">
        <v>0</v>
      </c>
      <c r="D1001">
        <v>2</v>
      </c>
      <c r="E1001">
        <v>2</v>
      </c>
      <c r="F1001" t="s">
        <v>10019</v>
      </c>
      <c r="G1001" t="s">
        <v>10069</v>
      </c>
      <c r="H1001" s="6">
        <v>45206</v>
      </c>
      <c r="I1001">
        <f t="shared" si="30"/>
        <v>0</v>
      </c>
      <c r="J1001" t="str">
        <f t="shared" si="31"/>
        <v>Complete</v>
      </c>
      <c r="K1001">
        <f>COUNTIFS(RawData[Item], B1001,RawData[Quantity],C1001,RawData[Price Per Unit],D1001,RawData[Total Spent],E1001,RawData[Payment Method],F1001,RawData[Location],G1001,RawData[Transaction Date],H1001)</f>
        <v>1</v>
      </c>
      <c r="L1001"/>
    </row>
    <row r="1002" spans="1:12" x14ac:dyDescent="0.3">
      <c r="A1002" t="s">
        <v>1008</v>
      </c>
      <c r="B1002" t="s">
        <v>10011</v>
      </c>
      <c r="C1002">
        <v>5</v>
      </c>
      <c r="D1002">
        <v>5</v>
      </c>
      <c r="E1002">
        <v>25</v>
      </c>
      <c r="F1002" t="s">
        <v>10020</v>
      </c>
      <c r="G1002" t="s">
        <v>10102</v>
      </c>
      <c r="H1002" s="6">
        <v>45245</v>
      </c>
      <c r="I1002">
        <f t="shared" si="30"/>
        <v>0</v>
      </c>
      <c r="J1002" t="str">
        <f t="shared" si="31"/>
        <v>Complete</v>
      </c>
      <c r="K1002">
        <f>COUNTIFS(RawData[Item], B1002,RawData[Quantity],C1002,RawData[Price Per Unit],D1002,RawData[Total Spent],E1002,RawData[Payment Method],F1002,RawData[Location],G1002,RawData[Transaction Date],H1002)</f>
        <v>1</v>
      </c>
      <c r="L1002"/>
    </row>
    <row r="1003" spans="1:12" x14ac:dyDescent="0.3">
      <c r="A1003" t="s">
        <v>1009</v>
      </c>
      <c r="B1003" t="s">
        <v>10017</v>
      </c>
      <c r="C1003">
        <v>2</v>
      </c>
      <c r="D1003">
        <v>1.5</v>
      </c>
      <c r="E1003">
        <v>3</v>
      </c>
      <c r="F1003" t="s">
        <v>10069</v>
      </c>
      <c r="G1003" t="s">
        <v>10069</v>
      </c>
      <c r="H1003" s="6">
        <v>45036</v>
      </c>
      <c r="I1003">
        <f t="shared" si="30"/>
        <v>0</v>
      </c>
      <c r="J1003" t="str">
        <f t="shared" si="31"/>
        <v>Complete</v>
      </c>
      <c r="K1003">
        <f>COUNTIFS(RawData[Item], B1003,RawData[Quantity],C1003,RawData[Price Per Unit],D1003,RawData[Total Spent],E1003,RawData[Payment Method],F1003,RawData[Location],G1003,RawData[Transaction Date],H1003)</f>
        <v>1</v>
      </c>
      <c r="L1003"/>
    </row>
    <row r="1004" spans="1:12" x14ac:dyDescent="0.3">
      <c r="A1004" t="s">
        <v>1010</v>
      </c>
      <c r="B1004" t="s">
        <v>10017</v>
      </c>
      <c r="C1004">
        <v>4</v>
      </c>
      <c r="D1004">
        <v>1.5</v>
      </c>
      <c r="E1004">
        <v>6</v>
      </c>
      <c r="F1004" t="s">
        <v>10018</v>
      </c>
      <c r="G1004" t="s">
        <v>10102</v>
      </c>
      <c r="H1004" s="6">
        <v>45145</v>
      </c>
      <c r="I1004">
        <f t="shared" si="30"/>
        <v>0</v>
      </c>
      <c r="J1004" t="str">
        <f t="shared" si="31"/>
        <v>Complete</v>
      </c>
      <c r="K1004">
        <f>COUNTIFS(RawData[Item], B1004,RawData[Quantity],C1004,RawData[Price Per Unit],D1004,RawData[Total Spent],E1004,RawData[Payment Method],F1004,RawData[Location],G1004,RawData[Transaction Date],H1004)</f>
        <v>1</v>
      </c>
      <c r="L1004"/>
    </row>
    <row r="1005" spans="1:12" x14ac:dyDescent="0.3">
      <c r="A1005" t="s">
        <v>1011</v>
      </c>
      <c r="B1005" t="s">
        <v>10010</v>
      </c>
      <c r="C1005">
        <v>1</v>
      </c>
      <c r="D1005">
        <v>1</v>
      </c>
      <c r="E1005">
        <v>1</v>
      </c>
      <c r="F1005" t="s">
        <v>10018</v>
      </c>
      <c r="G1005" t="s">
        <v>10102</v>
      </c>
      <c r="H1005" s="6">
        <v>45245</v>
      </c>
      <c r="I1005">
        <f t="shared" si="30"/>
        <v>0</v>
      </c>
      <c r="J1005" t="str">
        <f t="shared" si="31"/>
        <v>Complete</v>
      </c>
      <c r="K1005">
        <f>COUNTIFS(RawData[Item], B1005,RawData[Quantity],C1005,RawData[Price Per Unit],D1005,RawData[Total Spent],E1005,RawData[Payment Method],F1005,RawData[Location],G1005,RawData[Transaction Date],H1005)</f>
        <v>1</v>
      </c>
      <c r="L1005"/>
    </row>
    <row r="1006" spans="1:12" x14ac:dyDescent="0.3">
      <c r="A1006" t="s">
        <v>1012</v>
      </c>
      <c r="B1006" t="s">
        <v>10008</v>
      </c>
      <c r="C1006">
        <v>1</v>
      </c>
      <c r="D1006">
        <v>2</v>
      </c>
      <c r="E1006">
        <v>2</v>
      </c>
      <c r="F1006" t="s">
        <v>10069</v>
      </c>
      <c r="G1006" t="s">
        <v>10103</v>
      </c>
      <c r="H1006" s="6">
        <v>45171</v>
      </c>
      <c r="I1006">
        <f t="shared" si="30"/>
        <v>1</v>
      </c>
      <c r="J1006" t="str">
        <f t="shared" si="31"/>
        <v>Complete</v>
      </c>
      <c r="K1006">
        <f>COUNTIFS(RawData[Item], B1006,RawData[Quantity],C1006,RawData[Price Per Unit],D1006,RawData[Total Spent],E1006,RawData[Payment Method],F1006,RawData[Location],G1006,RawData[Transaction Date],H1006)</f>
        <v>1</v>
      </c>
      <c r="L1006"/>
    </row>
    <row r="1007" spans="1:12" x14ac:dyDescent="0.3">
      <c r="A1007" t="s">
        <v>1013</v>
      </c>
      <c r="B1007" t="s">
        <v>10012</v>
      </c>
      <c r="C1007">
        <v>1</v>
      </c>
      <c r="D1007">
        <v>4</v>
      </c>
      <c r="E1007">
        <v>4</v>
      </c>
      <c r="F1007" t="s">
        <v>10104</v>
      </c>
      <c r="G1007" t="s">
        <v>10102</v>
      </c>
      <c r="H1007" s="6">
        <v>45087</v>
      </c>
      <c r="I1007">
        <f t="shared" si="30"/>
        <v>1</v>
      </c>
      <c r="J1007" t="str">
        <f t="shared" si="31"/>
        <v>Complete</v>
      </c>
      <c r="K1007">
        <f>COUNTIFS(RawData[Item], B1007,RawData[Quantity],C1007,RawData[Price Per Unit],D1007,RawData[Total Spent],E1007,RawData[Payment Method],F1007,RawData[Location],G1007,RawData[Transaction Date],H1007)</f>
        <v>1</v>
      </c>
      <c r="L1007"/>
    </row>
    <row r="1008" spans="1:12" x14ac:dyDescent="0.3">
      <c r="A1008" t="s">
        <v>1014</v>
      </c>
      <c r="B1008" t="s">
        <v>10017</v>
      </c>
      <c r="C1008">
        <v>3</v>
      </c>
      <c r="D1008">
        <v>1.5</v>
      </c>
      <c r="E1008">
        <v>4.5</v>
      </c>
      <c r="F1008" t="s">
        <v>10018</v>
      </c>
      <c r="G1008" t="s">
        <v>10102</v>
      </c>
      <c r="H1008" s="6">
        <v>45053</v>
      </c>
      <c r="I1008">
        <f t="shared" si="30"/>
        <v>0</v>
      </c>
      <c r="J1008" t="str">
        <f t="shared" si="31"/>
        <v>Complete</v>
      </c>
      <c r="K1008">
        <f>COUNTIFS(RawData[Item], B1008,RawData[Quantity],C1008,RawData[Price Per Unit],D1008,RawData[Total Spent],E1008,RawData[Payment Method],F1008,RawData[Location],G1008,RawData[Transaction Date],H1008)</f>
        <v>1</v>
      </c>
      <c r="L1008"/>
    </row>
    <row r="1009" spans="1:12" x14ac:dyDescent="0.3">
      <c r="A1009" t="s">
        <v>1015</v>
      </c>
      <c r="B1009" t="s">
        <v>10014</v>
      </c>
      <c r="C1009">
        <v>4</v>
      </c>
      <c r="D1009">
        <v>4</v>
      </c>
      <c r="E1009">
        <v>16</v>
      </c>
      <c r="F1009" t="s">
        <v>10019</v>
      </c>
      <c r="G1009" t="s">
        <v>10102</v>
      </c>
      <c r="H1009" s="6">
        <v>45065</v>
      </c>
      <c r="I1009">
        <f t="shared" si="30"/>
        <v>0</v>
      </c>
      <c r="J1009" t="str">
        <f t="shared" si="31"/>
        <v>Complete</v>
      </c>
      <c r="K1009">
        <f>COUNTIFS(RawData[Item], B1009,RawData[Quantity],C1009,RawData[Price Per Unit],D1009,RawData[Total Spent],E1009,RawData[Payment Method],F1009,RawData[Location],G1009,RawData[Transaction Date],H1009)</f>
        <v>1</v>
      </c>
      <c r="L1009"/>
    </row>
    <row r="1010" spans="1:12" x14ac:dyDescent="0.3">
      <c r="A1010" t="s">
        <v>1016</v>
      </c>
      <c r="B1010" t="s">
        <v>10017</v>
      </c>
      <c r="C1010" t="s">
        <v>10015</v>
      </c>
      <c r="D1010">
        <v>0</v>
      </c>
      <c r="E1010">
        <v>3</v>
      </c>
      <c r="F1010" t="s">
        <v>10018</v>
      </c>
      <c r="G1010" t="s">
        <v>10021</v>
      </c>
      <c r="H1010" s="6">
        <v>44992</v>
      </c>
      <c r="I1010">
        <f t="shared" si="30"/>
        <v>1</v>
      </c>
      <c r="J1010" t="str">
        <f t="shared" si="31"/>
        <v>Complete</v>
      </c>
      <c r="K1010">
        <f>COUNTIFS(RawData[Item], B1010,RawData[Quantity],C1010,RawData[Price Per Unit],D1010,RawData[Total Spent],E1010,RawData[Payment Method],F1010,RawData[Location],G1010,RawData[Transaction Date],H1010)</f>
        <v>1</v>
      </c>
      <c r="L1010"/>
    </row>
    <row r="1011" spans="1:12" x14ac:dyDescent="0.3">
      <c r="A1011" t="s">
        <v>1017</v>
      </c>
      <c r="B1011" t="s">
        <v>10011</v>
      </c>
      <c r="C1011">
        <v>4</v>
      </c>
      <c r="D1011">
        <v>5</v>
      </c>
      <c r="E1011">
        <v>20</v>
      </c>
      <c r="F1011" t="s">
        <v>10018</v>
      </c>
      <c r="G1011" t="s">
        <v>10069</v>
      </c>
      <c r="H1011" s="6">
        <v>45069</v>
      </c>
      <c r="I1011">
        <f t="shared" si="30"/>
        <v>0</v>
      </c>
      <c r="J1011" t="str">
        <f t="shared" si="31"/>
        <v>Complete</v>
      </c>
      <c r="K1011">
        <f>COUNTIFS(RawData[Item], B1011,RawData[Quantity],C1011,RawData[Price Per Unit],D1011,RawData[Total Spent],E1011,RawData[Payment Method],F1011,RawData[Location],G1011,RawData[Transaction Date],H1011)</f>
        <v>1</v>
      </c>
      <c r="L1011"/>
    </row>
    <row r="1012" spans="1:12" x14ac:dyDescent="0.3">
      <c r="A1012" t="s">
        <v>1018</v>
      </c>
      <c r="B1012" t="s">
        <v>10012</v>
      </c>
      <c r="C1012">
        <v>1</v>
      </c>
      <c r="D1012">
        <v>4</v>
      </c>
      <c r="E1012">
        <v>4</v>
      </c>
      <c r="F1012" t="s">
        <v>10018</v>
      </c>
      <c r="G1012" t="s">
        <v>10021</v>
      </c>
      <c r="H1012" s="6">
        <v>45006</v>
      </c>
      <c r="I1012">
        <f t="shared" si="30"/>
        <v>0</v>
      </c>
      <c r="J1012" t="str">
        <f t="shared" si="31"/>
        <v>Complete</v>
      </c>
      <c r="K1012">
        <f>COUNTIFS(RawData[Item], B1012,RawData[Quantity],C1012,RawData[Price Per Unit],D1012,RawData[Total Spent],E1012,RawData[Payment Method],F1012,RawData[Location],G1012,RawData[Transaction Date],H1012)</f>
        <v>1</v>
      </c>
      <c r="L1012"/>
    </row>
    <row r="1013" spans="1:12" x14ac:dyDescent="0.3">
      <c r="A1013" t="s">
        <v>1019</v>
      </c>
      <c r="B1013" t="s">
        <v>10008</v>
      </c>
      <c r="C1013">
        <v>1</v>
      </c>
      <c r="D1013">
        <v>2</v>
      </c>
      <c r="E1013">
        <v>2</v>
      </c>
      <c r="F1013" t="s">
        <v>10018</v>
      </c>
      <c r="G1013" t="s">
        <v>10102</v>
      </c>
      <c r="H1013" s="6">
        <v>45201</v>
      </c>
      <c r="I1013">
        <f t="shared" si="30"/>
        <v>0</v>
      </c>
      <c r="J1013" t="str">
        <f t="shared" si="31"/>
        <v>Complete</v>
      </c>
      <c r="K1013">
        <f>COUNTIFS(RawData[Item], B1013,RawData[Quantity],C1013,RawData[Price Per Unit],D1013,RawData[Total Spent],E1013,RawData[Payment Method],F1013,RawData[Location],G1013,RawData[Transaction Date],H1013)</f>
        <v>1</v>
      </c>
      <c r="L1013"/>
    </row>
    <row r="1014" spans="1:12" x14ac:dyDescent="0.3">
      <c r="A1014" t="s">
        <v>1020</v>
      </c>
      <c r="B1014" t="s">
        <v>10011</v>
      </c>
      <c r="C1014">
        <v>0</v>
      </c>
      <c r="D1014">
        <v>5</v>
      </c>
      <c r="E1014">
        <v>5</v>
      </c>
      <c r="F1014" t="s">
        <v>10020</v>
      </c>
      <c r="G1014" t="s">
        <v>10104</v>
      </c>
      <c r="H1014" s="6">
        <v>45018</v>
      </c>
      <c r="I1014">
        <f t="shared" si="30"/>
        <v>1</v>
      </c>
      <c r="J1014" t="str">
        <f t="shared" si="31"/>
        <v>Complete</v>
      </c>
      <c r="K1014">
        <f>COUNTIFS(RawData[Item], B1014,RawData[Quantity],C1014,RawData[Price Per Unit],D1014,RawData[Total Spent],E1014,RawData[Payment Method],F1014,RawData[Location],G1014,RawData[Transaction Date],H1014)</f>
        <v>1</v>
      </c>
      <c r="L1014"/>
    </row>
    <row r="1015" spans="1:12" x14ac:dyDescent="0.3">
      <c r="A1015" t="s">
        <v>1021</v>
      </c>
      <c r="B1015" t="s">
        <v>10014</v>
      </c>
      <c r="C1015">
        <v>2</v>
      </c>
      <c r="D1015">
        <v>4</v>
      </c>
      <c r="E1015">
        <v>8</v>
      </c>
      <c r="F1015" t="s">
        <v>10069</v>
      </c>
      <c r="G1015" t="s">
        <v>10104</v>
      </c>
      <c r="H1015" s="6">
        <v>45103</v>
      </c>
      <c r="I1015">
        <f t="shared" si="30"/>
        <v>1</v>
      </c>
      <c r="J1015" t="str">
        <f t="shared" si="31"/>
        <v>Complete</v>
      </c>
      <c r="K1015">
        <f>COUNTIFS(RawData[Item], B1015,RawData[Quantity],C1015,RawData[Price Per Unit],D1015,RawData[Total Spent],E1015,RawData[Payment Method],F1015,RawData[Location],G1015,RawData[Transaction Date],H1015)</f>
        <v>1</v>
      </c>
      <c r="L1015"/>
    </row>
    <row r="1016" spans="1:12" x14ac:dyDescent="0.3">
      <c r="A1016" t="s">
        <v>1022</v>
      </c>
      <c r="B1016" t="s">
        <v>10014</v>
      </c>
      <c r="C1016">
        <v>4</v>
      </c>
      <c r="D1016">
        <v>4</v>
      </c>
      <c r="E1016">
        <v>16</v>
      </c>
      <c r="F1016" t="s">
        <v>10020</v>
      </c>
      <c r="G1016" t="s">
        <v>10102</v>
      </c>
      <c r="H1016" s="6">
        <v>45239</v>
      </c>
      <c r="I1016">
        <f t="shared" si="30"/>
        <v>0</v>
      </c>
      <c r="J1016" t="str">
        <f t="shared" si="31"/>
        <v>Complete</v>
      </c>
      <c r="K1016">
        <f>COUNTIFS(RawData[Item], B1016,RawData[Quantity],C1016,RawData[Price Per Unit],D1016,RawData[Total Spent],E1016,RawData[Payment Method],F1016,RawData[Location],G1016,RawData[Transaction Date],H1016)</f>
        <v>1</v>
      </c>
      <c r="L1016"/>
    </row>
    <row r="1017" spans="1:12" x14ac:dyDescent="0.3">
      <c r="A1017" t="s">
        <v>1023</v>
      </c>
      <c r="B1017" t="s">
        <v>10014</v>
      </c>
      <c r="C1017">
        <v>2</v>
      </c>
      <c r="D1017">
        <v>4</v>
      </c>
      <c r="E1017">
        <v>8</v>
      </c>
      <c r="F1017" t="s">
        <v>10020</v>
      </c>
      <c r="G1017" t="s">
        <v>10102</v>
      </c>
      <c r="H1017" s="6">
        <v>45189</v>
      </c>
      <c r="I1017">
        <f t="shared" si="30"/>
        <v>0</v>
      </c>
      <c r="J1017" t="str">
        <f t="shared" si="31"/>
        <v>Complete</v>
      </c>
      <c r="K1017">
        <f>COUNTIFS(RawData[Item], B1017,RawData[Quantity],C1017,RawData[Price Per Unit],D1017,RawData[Total Spent],E1017,RawData[Payment Method],F1017,RawData[Location],G1017,RawData[Transaction Date],H1017)</f>
        <v>1</v>
      </c>
      <c r="L1017"/>
    </row>
    <row r="1018" spans="1:12" x14ac:dyDescent="0.3">
      <c r="A1018" t="s">
        <v>1024</v>
      </c>
      <c r="B1018" t="s">
        <v>10016</v>
      </c>
      <c r="C1018">
        <v>1</v>
      </c>
      <c r="D1018">
        <v>3</v>
      </c>
      <c r="E1018">
        <v>3</v>
      </c>
      <c r="F1018" t="s">
        <v>10069</v>
      </c>
      <c r="G1018" t="s">
        <v>10069</v>
      </c>
      <c r="H1018" s="6">
        <v>44998</v>
      </c>
      <c r="I1018">
        <f t="shared" si="30"/>
        <v>0</v>
      </c>
      <c r="J1018" t="str">
        <f t="shared" si="31"/>
        <v>Complete</v>
      </c>
      <c r="K1018">
        <f>COUNTIFS(RawData[Item], B1018,RawData[Quantity],C1018,RawData[Price Per Unit],D1018,RawData[Total Spent],E1018,RawData[Payment Method],F1018,RawData[Location],G1018,RawData[Transaction Date],H1018)</f>
        <v>1</v>
      </c>
      <c r="L1018"/>
    </row>
    <row r="1019" spans="1:12" x14ac:dyDescent="0.3">
      <c r="A1019" t="s">
        <v>1025</v>
      </c>
      <c r="B1019" t="s">
        <v>10016</v>
      </c>
      <c r="C1019">
        <v>2</v>
      </c>
      <c r="D1019" t="s">
        <v>10015</v>
      </c>
      <c r="E1019">
        <v>6</v>
      </c>
      <c r="F1019" t="s">
        <v>10020</v>
      </c>
      <c r="G1019" t="s">
        <v>10021</v>
      </c>
      <c r="H1019" s="6">
        <v>45259</v>
      </c>
      <c r="I1019">
        <f t="shared" si="30"/>
        <v>1</v>
      </c>
      <c r="J1019" t="str">
        <f t="shared" si="31"/>
        <v>Complete</v>
      </c>
      <c r="K1019">
        <f>COUNTIFS(RawData[Item], B1019,RawData[Quantity],C1019,RawData[Price Per Unit],D1019,RawData[Total Spent],E1019,RawData[Payment Method],F1019,RawData[Location],G1019,RawData[Transaction Date],H1019)</f>
        <v>1</v>
      </c>
      <c r="L1019"/>
    </row>
    <row r="1020" spans="1:12" x14ac:dyDescent="0.3">
      <c r="A1020" t="s">
        <v>1026</v>
      </c>
      <c r="B1020" t="s">
        <v>10008</v>
      </c>
      <c r="C1020">
        <v>3</v>
      </c>
      <c r="D1020">
        <v>2</v>
      </c>
      <c r="E1020">
        <v>6</v>
      </c>
      <c r="F1020" t="s">
        <v>10018</v>
      </c>
      <c r="G1020" t="s">
        <v>10021</v>
      </c>
      <c r="H1020" s="6">
        <v>45275</v>
      </c>
      <c r="I1020">
        <f t="shared" si="30"/>
        <v>0</v>
      </c>
      <c r="J1020" t="str">
        <f t="shared" si="31"/>
        <v>Complete</v>
      </c>
      <c r="K1020">
        <f>COUNTIFS(RawData[Item], B1020,RawData[Quantity],C1020,RawData[Price Per Unit],D1020,RawData[Total Spent],E1020,RawData[Payment Method],F1020,RawData[Location],G1020,RawData[Transaction Date],H1020)</f>
        <v>1</v>
      </c>
      <c r="L1020"/>
    </row>
    <row r="1021" spans="1:12" x14ac:dyDescent="0.3">
      <c r="A1021" t="s">
        <v>1027</v>
      </c>
      <c r="B1021" t="s">
        <v>10069</v>
      </c>
      <c r="C1021">
        <v>4</v>
      </c>
      <c r="D1021">
        <v>4</v>
      </c>
      <c r="E1021">
        <v>16</v>
      </c>
      <c r="F1021" t="s">
        <v>10018</v>
      </c>
      <c r="G1021" t="s">
        <v>10102</v>
      </c>
      <c r="H1021" s="6">
        <v>45085</v>
      </c>
      <c r="I1021">
        <f t="shared" si="30"/>
        <v>0</v>
      </c>
      <c r="J1021" t="str">
        <f t="shared" si="31"/>
        <v>Complete</v>
      </c>
      <c r="K1021">
        <f>COUNTIFS(RawData[Item], B1021,RawData[Quantity],C1021,RawData[Price Per Unit],D1021,RawData[Total Spent],E1021,RawData[Payment Method],F1021,RawData[Location],G1021,RawData[Transaction Date],H1021)</f>
        <v>1</v>
      </c>
      <c r="L1021"/>
    </row>
    <row r="1022" spans="1:12" x14ac:dyDescent="0.3">
      <c r="A1022" t="s">
        <v>1028</v>
      </c>
      <c r="B1022" t="s">
        <v>10012</v>
      </c>
      <c r="C1022">
        <v>3</v>
      </c>
      <c r="D1022">
        <v>4</v>
      </c>
      <c r="E1022" t="s">
        <v>10013</v>
      </c>
      <c r="F1022" t="s">
        <v>10069</v>
      </c>
      <c r="G1022" t="s">
        <v>10103</v>
      </c>
      <c r="H1022" s="6">
        <v>45102</v>
      </c>
      <c r="I1022">
        <f t="shared" si="30"/>
        <v>2</v>
      </c>
      <c r="J1022" t="str">
        <f t="shared" si="31"/>
        <v>Complete</v>
      </c>
      <c r="K1022">
        <f>COUNTIFS(RawData[Item], B1022,RawData[Quantity],C1022,RawData[Price Per Unit],D1022,RawData[Total Spent],E1022,RawData[Payment Method],F1022,RawData[Location],G1022,RawData[Transaction Date],H1022)</f>
        <v>1</v>
      </c>
      <c r="L1022"/>
    </row>
    <row r="1023" spans="1:12" x14ac:dyDescent="0.3">
      <c r="A1023" t="s">
        <v>1029</v>
      </c>
      <c r="B1023" t="s">
        <v>10008</v>
      </c>
      <c r="C1023">
        <v>1</v>
      </c>
      <c r="D1023">
        <v>2</v>
      </c>
      <c r="E1023">
        <v>2</v>
      </c>
      <c r="F1023" t="s">
        <v>10069</v>
      </c>
      <c r="G1023" t="s">
        <v>10103</v>
      </c>
      <c r="H1023" s="6">
        <v>45174</v>
      </c>
      <c r="I1023">
        <f t="shared" si="30"/>
        <v>1</v>
      </c>
      <c r="J1023" t="str">
        <f t="shared" si="31"/>
        <v>Complete</v>
      </c>
      <c r="K1023">
        <f>COUNTIFS(RawData[Item], B1023,RawData[Quantity],C1023,RawData[Price Per Unit],D1023,RawData[Total Spent],E1023,RawData[Payment Method],F1023,RawData[Location],G1023,RawData[Transaction Date],H1023)</f>
        <v>1</v>
      </c>
      <c r="L1023"/>
    </row>
    <row r="1024" spans="1:12" x14ac:dyDescent="0.3">
      <c r="A1024" t="s">
        <v>1030</v>
      </c>
      <c r="B1024" t="s">
        <v>10017</v>
      </c>
      <c r="C1024">
        <v>4</v>
      </c>
      <c r="D1024">
        <v>1.5</v>
      </c>
      <c r="E1024">
        <v>6</v>
      </c>
      <c r="F1024" t="s">
        <v>10018</v>
      </c>
      <c r="G1024" t="s">
        <v>10069</v>
      </c>
      <c r="H1024" s="6">
        <v>44957</v>
      </c>
      <c r="I1024">
        <f t="shared" si="30"/>
        <v>0</v>
      </c>
      <c r="J1024" t="str">
        <f t="shared" si="31"/>
        <v>Complete</v>
      </c>
      <c r="K1024">
        <f>COUNTIFS(RawData[Item], B1024,RawData[Quantity],C1024,RawData[Price Per Unit],D1024,RawData[Total Spent],E1024,RawData[Payment Method],F1024,RawData[Location],G1024,RawData[Transaction Date],H1024)</f>
        <v>1</v>
      </c>
      <c r="L1024"/>
    </row>
    <row r="1025" spans="1:12" x14ac:dyDescent="0.3">
      <c r="A1025" t="s">
        <v>1031</v>
      </c>
      <c r="B1025" t="s">
        <v>10014</v>
      </c>
      <c r="C1025">
        <v>5</v>
      </c>
      <c r="D1025">
        <v>4</v>
      </c>
      <c r="E1025">
        <v>20</v>
      </c>
      <c r="F1025" t="s">
        <v>10020</v>
      </c>
      <c r="G1025" t="s">
        <v>10069</v>
      </c>
      <c r="H1025" s="6">
        <v>44942</v>
      </c>
      <c r="I1025">
        <f t="shared" si="30"/>
        <v>0</v>
      </c>
      <c r="J1025" t="str">
        <f t="shared" si="31"/>
        <v>Complete</v>
      </c>
      <c r="K1025">
        <f>COUNTIFS(RawData[Item], B1025,RawData[Quantity],C1025,RawData[Price Per Unit],D1025,RawData[Total Spent],E1025,RawData[Payment Method],F1025,RawData[Location],G1025,RawData[Transaction Date],H1025)</f>
        <v>1</v>
      </c>
      <c r="L1025"/>
    </row>
    <row r="1026" spans="1:12" x14ac:dyDescent="0.3">
      <c r="A1026" t="s">
        <v>1032</v>
      </c>
      <c r="B1026" t="s">
        <v>10015</v>
      </c>
      <c r="C1026">
        <v>2</v>
      </c>
      <c r="D1026">
        <v>3</v>
      </c>
      <c r="E1026">
        <v>6</v>
      </c>
      <c r="F1026" t="s">
        <v>10019</v>
      </c>
      <c r="G1026" t="s">
        <v>10102</v>
      </c>
      <c r="H1026" s="6">
        <v>45093</v>
      </c>
      <c r="I1026">
        <f t="shared" ref="I1026:I1089" si="32">(B1026="Unknown")+(B1026="Error")+(C1026="Unknown")+(C1026="Error")+(D1026="Unknown")+(D1026="Error")+(E1026="Unknown")+(E1026="Error")+(F1026="Unknown")+(F1026="Error")+(G1026="Unknown")+(G1026="Error")+(H1026="No Date")</f>
        <v>1</v>
      </c>
      <c r="J1026" t="str">
        <f t="shared" ref="J1026:J1089" si="33">IF((H1026="No Date"),"Incomplete","Complete")</f>
        <v>Complete</v>
      </c>
      <c r="K1026">
        <f>COUNTIFS(RawData[Item], B1026,RawData[Quantity],C1026,RawData[Price Per Unit],D1026,RawData[Total Spent],E1026,RawData[Payment Method],F1026,RawData[Location],G1026,RawData[Transaction Date],H1026)</f>
        <v>1</v>
      </c>
      <c r="L1026"/>
    </row>
    <row r="1027" spans="1:12" x14ac:dyDescent="0.3">
      <c r="A1027" t="s">
        <v>1033</v>
      </c>
      <c r="B1027" t="s">
        <v>10011</v>
      </c>
      <c r="C1027">
        <v>4</v>
      </c>
      <c r="D1027">
        <v>5</v>
      </c>
      <c r="E1027">
        <v>20</v>
      </c>
      <c r="F1027" t="s">
        <v>10019</v>
      </c>
      <c r="G1027" t="s">
        <v>10102</v>
      </c>
      <c r="H1027" s="6">
        <v>44986</v>
      </c>
      <c r="I1027">
        <f t="shared" si="32"/>
        <v>0</v>
      </c>
      <c r="J1027" t="str">
        <f t="shared" si="33"/>
        <v>Complete</v>
      </c>
      <c r="K1027">
        <f>COUNTIFS(RawData[Item], B1027,RawData[Quantity],C1027,RawData[Price Per Unit],D1027,RawData[Total Spent],E1027,RawData[Payment Method],F1027,RawData[Location],G1027,RawData[Transaction Date],H1027)</f>
        <v>1</v>
      </c>
      <c r="L1027"/>
    </row>
    <row r="1028" spans="1:12" x14ac:dyDescent="0.3">
      <c r="A1028" t="s">
        <v>1034</v>
      </c>
      <c r="B1028" t="s">
        <v>10009</v>
      </c>
      <c r="C1028">
        <v>3</v>
      </c>
      <c r="D1028">
        <v>3</v>
      </c>
      <c r="E1028">
        <v>9</v>
      </c>
      <c r="F1028" t="s">
        <v>10018</v>
      </c>
      <c r="G1028" t="s">
        <v>10103</v>
      </c>
      <c r="H1028" s="6">
        <v>45195</v>
      </c>
      <c r="I1028">
        <f t="shared" si="32"/>
        <v>1</v>
      </c>
      <c r="J1028" t="str">
        <f t="shared" si="33"/>
        <v>Complete</v>
      </c>
      <c r="K1028">
        <f>COUNTIFS(RawData[Item], B1028,RawData[Quantity],C1028,RawData[Price Per Unit],D1028,RawData[Total Spent],E1028,RawData[Payment Method],F1028,RawData[Location],G1028,RawData[Transaction Date],H1028)</f>
        <v>1</v>
      </c>
      <c r="L1028"/>
    </row>
    <row r="1029" spans="1:12" x14ac:dyDescent="0.3">
      <c r="A1029" t="s">
        <v>1035</v>
      </c>
      <c r="B1029" t="s">
        <v>10009</v>
      </c>
      <c r="C1029">
        <v>3</v>
      </c>
      <c r="D1029">
        <v>3</v>
      </c>
      <c r="E1029">
        <v>9</v>
      </c>
      <c r="F1029" t="s">
        <v>10019</v>
      </c>
      <c r="G1029" t="s">
        <v>10069</v>
      </c>
      <c r="H1029" s="6">
        <v>45162</v>
      </c>
      <c r="I1029">
        <f t="shared" si="32"/>
        <v>0</v>
      </c>
      <c r="J1029" t="str">
        <f t="shared" si="33"/>
        <v>Complete</v>
      </c>
      <c r="K1029">
        <f>COUNTIFS(RawData[Item], B1029,RawData[Quantity],C1029,RawData[Price Per Unit],D1029,RawData[Total Spent],E1029,RawData[Payment Method],F1029,RawData[Location],G1029,RawData[Transaction Date],H1029)</f>
        <v>1</v>
      </c>
      <c r="L1029"/>
    </row>
    <row r="1030" spans="1:12" x14ac:dyDescent="0.3">
      <c r="A1030" t="s">
        <v>1036</v>
      </c>
      <c r="B1030" t="s">
        <v>10069</v>
      </c>
      <c r="C1030">
        <v>3</v>
      </c>
      <c r="D1030">
        <v>5</v>
      </c>
      <c r="E1030">
        <v>15</v>
      </c>
      <c r="F1030" t="s">
        <v>10018</v>
      </c>
      <c r="G1030" t="s">
        <v>10102</v>
      </c>
      <c r="H1030" s="6">
        <v>45173</v>
      </c>
      <c r="I1030">
        <f t="shared" si="32"/>
        <v>0</v>
      </c>
      <c r="J1030" t="str">
        <f t="shared" si="33"/>
        <v>Complete</v>
      </c>
      <c r="K1030">
        <f>COUNTIFS(RawData[Item], B1030,RawData[Quantity],C1030,RawData[Price Per Unit],D1030,RawData[Total Spent],E1030,RawData[Payment Method],F1030,RawData[Location],G1030,RawData[Transaction Date],H1030)</f>
        <v>1</v>
      </c>
      <c r="L1030"/>
    </row>
    <row r="1031" spans="1:12" x14ac:dyDescent="0.3">
      <c r="A1031" t="s">
        <v>1037</v>
      </c>
      <c r="B1031" t="s">
        <v>10017</v>
      </c>
      <c r="C1031">
        <v>4</v>
      </c>
      <c r="D1031">
        <v>1.5</v>
      </c>
      <c r="E1031">
        <v>6</v>
      </c>
      <c r="F1031" t="s">
        <v>10018</v>
      </c>
      <c r="G1031" t="s">
        <v>10069</v>
      </c>
      <c r="H1031" s="6">
        <v>45068</v>
      </c>
      <c r="I1031">
        <f t="shared" si="32"/>
        <v>0</v>
      </c>
      <c r="J1031" t="str">
        <f t="shared" si="33"/>
        <v>Complete</v>
      </c>
      <c r="K1031">
        <f>COUNTIFS(RawData[Item], B1031,RawData[Quantity],C1031,RawData[Price Per Unit],D1031,RawData[Total Spent],E1031,RawData[Payment Method],F1031,RawData[Location],G1031,RawData[Transaction Date],H1031)</f>
        <v>1</v>
      </c>
      <c r="L1031"/>
    </row>
    <row r="1032" spans="1:12" x14ac:dyDescent="0.3">
      <c r="A1032" t="s">
        <v>1038</v>
      </c>
      <c r="B1032" t="s">
        <v>10014</v>
      </c>
      <c r="C1032">
        <v>2</v>
      </c>
      <c r="D1032">
        <v>4</v>
      </c>
      <c r="E1032">
        <v>8</v>
      </c>
      <c r="F1032" t="s">
        <v>10019</v>
      </c>
      <c r="G1032" t="s">
        <v>10102</v>
      </c>
      <c r="H1032" s="6">
        <v>44961</v>
      </c>
      <c r="I1032">
        <f t="shared" si="32"/>
        <v>0</v>
      </c>
      <c r="J1032" t="str">
        <f t="shared" si="33"/>
        <v>Complete</v>
      </c>
      <c r="K1032">
        <f>COUNTIFS(RawData[Item], B1032,RawData[Quantity],C1032,RawData[Price Per Unit],D1032,RawData[Total Spent],E1032,RawData[Payment Method],F1032,RawData[Location],G1032,RawData[Transaction Date],H1032)</f>
        <v>1</v>
      </c>
      <c r="L1032"/>
    </row>
    <row r="1033" spans="1:12" x14ac:dyDescent="0.3">
      <c r="A1033" t="s">
        <v>1039</v>
      </c>
      <c r="B1033" t="s">
        <v>10017</v>
      </c>
      <c r="C1033">
        <v>2</v>
      </c>
      <c r="D1033">
        <v>1.5</v>
      </c>
      <c r="E1033">
        <v>3</v>
      </c>
      <c r="F1033" t="s">
        <v>10069</v>
      </c>
      <c r="G1033" t="s">
        <v>10069</v>
      </c>
      <c r="H1033" s="6">
        <v>45149</v>
      </c>
      <c r="I1033">
        <f t="shared" si="32"/>
        <v>0</v>
      </c>
      <c r="J1033" t="str">
        <f t="shared" si="33"/>
        <v>Complete</v>
      </c>
      <c r="K1033">
        <f>COUNTIFS(RawData[Item], B1033,RawData[Quantity],C1033,RawData[Price Per Unit],D1033,RawData[Total Spent],E1033,RawData[Payment Method],F1033,RawData[Location],G1033,RawData[Transaction Date],H1033)</f>
        <v>1</v>
      </c>
      <c r="L1033"/>
    </row>
    <row r="1034" spans="1:12" x14ac:dyDescent="0.3">
      <c r="A1034" t="s">
        <v>1040</v>
      </c>
      <c r="B1034" t="s">
        <v>10010</v>
      </c>
      <c r="C1034">
        <v>4</v>
      </c>
      <c r="D1034">
        <v>1</v>
      </c>
      <c r="E1034">
        <v>4</v>
      </c>
      <c r="F1034" t="s">
        <v>10019</v>
      </c>
      <c r="G1034" t="s">
        <v>10069</v>
      </c>
      <c r="H1034" s="6">
        <v>45145</v>
      </c>
      <c r="I1034">
        <f t="shared" si="32"/>
        <v>0</v>
      </c>
      <c r="J1034" t="str">
        <f t="shared" si="33"/>
        <v>Complete</v>
      </c>
      <c r="K1034">
        <f>COUNTIFS(RawData[Item], B1034,RawData[Quantity],C1034,RawData[Price Per Unit],D1034,RawData[Total Spent],E1034,RawData[Payment Method],F1034,RawData[Location],G1034,RawData[Transaction Date],H1034)</f>
        <v>1</v>
      </c>
      <c r="L1034"/>
    </row>
    <row r="1035" spans="1:12" x14ac:dyDescent="0.3">
      <c r="A1035" t="s">
        <v>1041</v>
      </c>
      <c r="B1035" t="s">
        <v>10009</v>
      </c>
      <c r="C1035">
        <v>2</v>
      </c>
      <c r="D1035">
        <v>3</v>
      </c>
      <c r="E1035">
        <v>6</v>
      </c>
      <c r="F1035" t="s">
        <v>10020</v>
      </c>
      <c r="G1035" t="s">
        <v>10102</v>
      </c>
      <c r="H1035" s="6" t="s">
        <v>10112</v>
      </c>
      <c r="I1035">
        <f t="shared" si="32"/>
        <v>1</v>
      </c>
      <c r="J1035" t="str">
        <f t="shared" si="33"/>
        <v>Incomplete</v>
      </c>
      <c r="K1035">
        <f>COUNTIFS(RawData[Item], B1035,RawData[Quantity],C1035,RawData[Price Per Unit],D1035,RawData[Total Spent],E1035,RawData[Payment Method],F1035,RawData[Location],G1035,RawData[Transaction Date],H1035)</f>
        <v>1</v>
      </c>
      <c r="L1035"/>
    </row>
    <row r="1036" spans="1:12" x14ac:dyDescent="0.3">
      <c r="A1036" t="s">
        <v>1042</v>
      </c>
      <c r="B1036" t="s">
        <v>10010</v>
      </c>
      <c r="C1036">
        <v>1</v>
      </c>
      <c r="D1036">
        <v>1</v>
      </c>
      <c r="E1036">
        <v>1</v>
      </c>
      <c r="F1036" t="s">
        <v>10018</v>
      </c>
      <c r="G1036" t="s">
        <v>10103</v>
      </c>
      <c r="H1036" s="6">
        <v>45180</v>
      </c>
      <c r="I1036">
        <f t="shared" si="32"/>
        <v>1</v>
      </c>
      <c r="J1036" t="str">
        <f t="shared" si="33"/>
        <v>Complete</v>
      </c>
      <c r="K1036">
        <f>COUNTIFS(RawData[Item], B1036,RawData[Quantity],C1036,RawData[Price Per Unit],D1036,RawData[Total Spent],E1036,RawData[Payment Method],F1036,RawData[Location],G1036,RawData[Transaction Date],H1036)</f>
        <v>1</v>
      </c>
      <c r="L1036"/>
    </row>
    <row r="1037" spans="1:12" x14ac:dyDescent="0.3">
      <c r="A1037" t="s">
        <v>1043</v>
      </c>
      <c r="B1037" t="s">
        <v>10009</v>
      </c>
      <c r="C1037">
        <v>3</v>
      </c>
      <c r="D1037">
        <v>3</v>
      </c>
      <c r="E1037">
        <v>9</v>
      </c>
      <c r="F1037" t="s">
        <v>10018</v>
      </c>
      <c r="G1037" t="s">
        <v>10021</v>
      </c>
      <c r="H1037" s="6">
        <v>45272</v>
      </c>
      <c r="I1037">
        <f t="shared" si="32"/>
        <v>0</v>
      </c>
      <c r="J1037" t="str">
        <f t="shared" si="33"/>
        <v>Complete</v>
      </c>
      <c r="K1037">
        <f>COUNTIFS(RawData[Item], B1037,RawData[Quantity],C1037,RawData[Price Per Unit],D1037,RawData[Total Spent],E1037,RawData[Payment Method],F1037,RawData[Location],G1037,RawData[Transaction Date],H1037)</f>
        <v>1</v>
      </c>
      <c r="L1037"/>
    </row>
    <row r="1038" spans="1:12" x14ac:dyDescent="0.3">
      <c r="A1038" t="s">
        <v>1044</v>
      </c>
      <c r="B1038" t="s">
        <v>10009</v>
      </c>
      <c r="C1038">
        <v>1</v>
      </c>
      <c r="D1038">
        <v>3</v>
      </c>
      <c r="E1038">
        <v>3</v>
      </c>
      <c r="F1038" t="s">
        <v>10069</v>
      </c>
      <c r="G1038" t="s">
        <v>10021</v>
      </c>
      <c r="H1038" s="6">
        <v>45161</v>
      </c>
      <c r="I1038">
        <f t="shared" si="32"/>
        <v>0</v>
      </c>
      <c r="J1038" t="str">
        <f t="shared" si="33"/>
        <v>Complete</v>
      </c>
      <c r="K1038">
        <f>COUNTIFS(RawData[Item], B1038,RawData[Quantity],C1038,RawData[Price Per Unit],D1038,RawData[Total Spent],E1038,RawData[Payment Method],F1038,RawData[Location],G1038,RawData[Transaction Date],H1038)</f>
        <v>1</v>
      </c>
      <c r="L1038"/>
    </row>
    <row r="1039" spans="1:12" x14ac:dyDescent="0.3">
      <c r="A1039" t="s">
        <v>1045</v>
      </c>
      <c r="B1039" t="s">
        <v>10016</v>
      </c>
      <c r="C1039">
        <v>1</v>
      </c>
      <c r="D1039">
        <v>3</v>
      </c>
      <c r="E1039">
        <v>3</v>
      </c>
      <c r="F1039" t="s">
        <v>10019</v>
      </c>
      <c r="G1039" t="s">
        <v>10104</v>
      </c>
      <c r="H1039" s="6">
        <v>45272</v>
      </c>
      <c r="I1039">
        <f t="shared" si="32"/>
        <v>1</v>
      </c>
      <c r="J1039" t="str">
        <f t="shared" si="33"/>
        <v>Complete</v>
      </c>
      <c r="K1039">
        <f>COUNTIFS(RawData[Item], B1039,RawData[Quantity],C1039,RawData[Price Per Unit],D1039,RawData[Total Spent],E1039,RawData[Payment Method],F1039,RawData[Location],G1039,RawData[Transaction Date],H1039)</f>
        <v>1</v>
      </c>
      <c r="L1039"/>
    </row>
    <row r="1040" spans="1:12" x14ac:dyDescent="0.3">
      <c r="A1040" t="s">
        <v>1046</v>
      </c>
      <c r="B1040" t="s">
        <v>10009</v>
      </c>
      <c r="C1040">
        <v>3</v>
      </c>
      <c r="D1040">
        <v>3</v>
      </c>
      <c r="E1040">
        <v>9</v>
      </c>
      <c r="F1040" t="s">
        <v>10020</v>
      </c>
      <c r="G1040" t="s">
        <v>10102</v>
      </c>
      <c r="H1040" s="6">
        <v>44957</v>
      </c>
      <c r="I1040">
        <f t="shared" si="32"/>
        <v>0</v>
      </c>
      <c r="J1040" t="str">
        <f t="shared" si="33"/>
        <v>Complete</v>
      </c>
      <c r="K1040">
        <f>COUNTIFS(RawData[Item], B1040,RawData[Quantity],C1040,RawData[Price Per Unit],D1040,RawData[Total Spent],E1040,RawData[Payment Method],F1040,RawData[Location],G1040,RawData[Transaction Date],H1040)</f>
        <v>1</v>
      </c>
      <c r="L1040"/>
    </row>
    <row r="1041" spans="1:12" x14ac:dyDescent="0.3">
      <c r="A1041" t="s">
        <v>1047</v>
      </c>
      <c r="B1041" t="s">
        <v>10012</v>
      </c>
      <c r="C1041">
        <v>1</v>
      </c>
      <c r="D1041">
        <v>4</v>
      </c>
      <c r="E1041">
        <v>4</v>
      </c>
      <c r="F1041" t="s">
        <v>10069</v>
      </c>
      <c r="G1041" t="s">
        <v>10021</v>
      </c>
      <c r="H1041" s="6">
        <v>45077</v>
      </c>
      <c r="I1041">
        <f t="shared" si="32"/>
        <v>0</v>
      </c>
      <c r="J1041" t="str">
        <f t="shared" si="33"/>
        <v>Complete</v>
      </c>
      <c r="K1041">
        <f>COUNTIFS(RawData[Item], B1041,RawData[Quantity],C1041,RawData[Price Per Unit],D1041,RawData[Total Spent],E1041,RawData[Payment Method],F1041,RawData[Location],G1041,RawData[Transaction Date],H1041)</f>
        <v>1</v>
      </c>
      <c r="L1041"/>
    </row>
    <row r="1042" spans="1:12" x14ac:dyDescent="0.3">
      <c r="A1042" t="s">
        <v>1048</v>
      </c>
      <c r="B1042" t="s">
        <v>10009</v>
      </c>
      <c r="C1042">
        <v>2</v>
      </c>
      <c r="D1042">
        <v>3</v>
      </c>
      <c r="E1042">
        <v>6</v>
      </c>
      <c r="F1042" t="s">
        <v>10018</v>
      </c>
      <c r="G1042" t="s">
        <v>10102</v>
      </c>
      <c r="H1042" s="6">
        <v>45202</v>
      </c>
      <c r="I1042">
        <f t="shared" si="32"/>
        <v>0</v>
      </c>
      <c r="J1042" t="str">
        <f t="shared" si="33"/>
        <v>Complete</v>
      </c>
      <c r="K1042">
        <f>COUNTIFS(RawData[Item], B1042,RawData[Quantity],C1042,RawData[Price Per Unit],D1042,RawData[Total Spent],E1042,RawData[Payment Method],F1042,RawData[Location],G1042,RawData[Transaction Date],H1042)</f>
        <v>1</v>
      </c>
      <c r="L1042"/>
    </row>
    <row r="1043" spans="1:12" x14ac:dyDescent="0.3">
      <c r="A1043" t="s">
        <v>1049</v>
      </c>
      <c r="B1043" t="s">
        <v>10011</v>
      </c>
      <c r="C1043">
        <v>3</v>
      </c>
      <c r="D1043">
        <v>5</v>
      </c>
      <c r="E1043">
        <v>15</v>
      </c>
      <c r="F1043" t="s">
        <v>10019</v>
      </c>
      <c r="G1043" t="s">
        <v>10021</v>
      </c>
      <c r="H1043" s="6">
        <v>45125</v>
      </c>
      <c r="I1043">
        <f t="shared" si="32"/>
        <v>0</v>
      </c>
      <c r="J1043" t="str">
        <f t="shared" si="33"/>
        <v>Complete</v>
      </c>
      <c r="K1043">
        <f>COUNTIFS(RawData[Item], B1043,RawData[Quantity],C1043,RawData[Price Per Unit],D1043,RawData[Total Spent],E1043,RawData[Payment Method],F1043,RawData[Location],G1043,RawData[Transaction Date],H1043)</f>
        <v>1</v>
      </c>
      <c r="L1043"/>
    </row>
    <row r="1044" spans="1:12" x14ac:dyDescent="0.3">
      <c r="A1044" t="s">
        <v>1050</v>
      </c>
      <c r="B1044" t="s">
        <v>10014</v>
      </c>
      <c r="C1044">
        <v>1</v>
      </c>
      <c r="D1044">
        <v>4</v>
      </c>
      <c r="E1044">
        <v>4</v>
      </c>
      <c r="F1044" t="s">
        <v>10018</v>
      </c>
      <c r="G1044" t="s">
        <v>10021</v>
      </c>
      <c r="H1044" s="6">
        <v>45129</v>
      </c>
      <c r="I1044">
        <f t="shared" si="32"/>
        <v>0</v>
      </c>
      <c r="J1044" t="str">
        <f t="shared" si="33"/>
        <v>Complete</v>
      </c>
      <c r="K1044">
        <f>COUNTIFS(RawData[Item], B1044,RawData[Quantity],C1044,RawData[Price Per Unit],D1044,RawData[Total Spent],E1044,RawData[Payment Method],F1044,RawData[Location],G1044,RawData[Transaction Date],H1044)</f>
        <v>1</v>
      </c>
      <c r="L1044"/>
    </row>
    <row r="1045" spans="1:12" x14ac:dyDescent="0.3">
      <c r="A1045" t="s">
        <v>1051</v>
      </c>
      <c r="B1045" t="s">
        <v>10009</v>
      </c>
      <c r="C1045">
        <v>5</v>
      </c>
      <c r="D1045">
        <v>3</v>
      </c>
      <c r="E1045">
        <v>15</v>
      </c>
      <c r="F1045" t="s">
        <v>10103</v>
      </c>
      <c r="G1045" t="s">
        <v>10102</v>
      </c>
      <c r="H1045" s="6">
        <v>45079</v>
      </c>
      <c r="I1045">
        <f t="shared" si="32"/>
        <v>1</v>
      </c>
      <c r="J1045" t="str">
        <f t="shared" si="33"/>
        <v>Complete</v>
      </c>
      <c r="K1045">
        <f>COUNTIFS(RawData[Item], B1045,RawData[Quantity],C1045,RawData[Price Per Unit],D1045,RawData[Total Spent],E1045,RawData[Payment Method],F1045,RawData[Location],G1045,RawData[Transaction Date],H1045)</f>
        <v>1</v>
      </c>
      <c r="L1045"/>
    </row>
    <row r="1046" spans="1:12" x14ac:dyDescent="0.3">
      <c r="A1046" t="s">
        <v>1052</v>
      </c>
      <c r="B1046" t="s">
        <v>10011</v>
      </c>
      <c r="C1046">
        <v>4</v>
      </c>
      <c r="D1046">
        <v>5</v>
      </c>
      <c r="E1046">
        <v>20</v>
      </c>
      <c r="F1046" t="s">
        <v>10069</v>
      </c>
      <c r="G1046" t="s">
        <v>10104</v>
      </c>
      <c r="H1046" s="6">
        <v>44954</v>
      </c>
      <c r="I1046">
        <f t="shared" si="32"/>
        <v>1</v>
      </c>
      <c r="J1046" t="str">
        <f t="shared" si="33"/>
        <v>Complete</v>
      </c>
      <c r="K1046">
        <f>COUNTIFS(RawData[Item], B1046,RawData[Quantity],C1046,RawData[Price Per Unit],D1046,RawData[Total Spent],E1046,RawData[Payment Method],F1046,RawData[Location],G1046,RawData[Transaction Date],H1046)</f>
        <v>1</v>
      </c>
      <c r="L1046"/>
    </row>
    <row r="1047" spans="1:12" x14ac:dyDescent="0.3">
      <c r="A1047" t="s">
        <v>1053</v>
      </c>
      <c r="B1047" t="s">
        <v>10013</v>
      </c>
      <c r="C1047">
        <v>5</v>
      </c>
      <c r="D1047">
        <v>4</v>
      </c>
      <c r="E1047">
        <v>20</v>
      </c>
      <c r="F1047" t="s">
        <v>10018</v>
      </c>
      <c r="G1047" t="s">
        <v>10103</v>
      </c>
      <c r="H1047" s="6">
        <v>44928</v>
      </c>
      <c r="I1047">
        <f t="shared" si="32"/>
        <v>2</v>
      </c>
      <c r="J1047" t="str">
        <f t="shared" si="33"/>
        <v>Complete</v>
      </c>
      <c r="K1047">
        <f>COUNTIFS(RawData[Item], B1047,RawData[Quantity],C1047,RawData[Price Per Unit],D1047,RawData[Total Spent],E1047,RawData[Payment Method],F1047,RawData[Location],G1047,RawData[Transaction Date],H1047)</f>
        <v>1</v>
      </c>
      <c r="L1047"/>
    </row>
    <row r="1048" spans="1:12" x14ac:dyDescent="0.3">
      <c r="A1048" t="s">
        <v>1054</v>
      </c>
      <c r="B1048" t="s">
        <v>10011</v>
      </c>
      <c r="C1048">
        <v>4</v>
      </c>
      <c r="D1048">
        <v>5</v>
      </c>
      <c r="E1048">
        <v>20</v>
      </c>
      <c r="F1048" t="s">
        <v>10018</v>
      </c>
      <c r="G1048" t="s">
        <v>10102</v>
      </c>
      <c r="H1048" s="6">
        <v>45278</v>
      </c>
      <c r="I1048">
        <f t="shared" si="32"/>
        <v>0</v>
      </c>
      <c r="J1048" t="str">
        <f t="shared" si="33"/>
        <v>Complete</v>
      </c>
      <c r="K1048">
        <f>COUNTIFS(RawData[Item], B1048,RawData[Quantity],C1048,RawData[Price Per Unit],D1048,RawData[Total Spent],E1048,RawData[Payment Method],F1048,RawData[Location],G1048,RawData[Transaction Date],H1048)</f>
        <v>2</v>
      </c>
      <c r="L1048"/>
    </row>
    <row r="1049" spans="1:12" x14ac:dyDescent="0.3">
      <c r="A1049" t="s">
        <v>1055</v>
      </c>
      <c r="B1049" t="s">
        <v>10014</v>
      </c>
      <c r="C1049">
        <v>5</v>
      </c>
      <c r="D1049">
        <v>4</v>
      </c>
      <c r="E1049">
        <v>20</v>
      </c>
      <c r="F1049" t="s">
        <v>10020</v>
      </c>
      <c r="G1049" t="s">
        <v>10021</v>
      </c>
      <c r="H1049" s="6" t="s">
        <v>10112</v>
      </c>
      <c r="I1049">
        <f t="shared" si="32"/>
        <v>1</v>
      </c>
      <c r="J1049" t="str">
        <f t="shared" si="33"/>
        <v>Incomplete</v>
      </c>
      <c r="K1049">
        <f>COUNTIFS(RawData[Item], B1049,RawData[Quantity],C1049,RawData[Price Per Unit],D1049,RawData[Total Spent],E1049,RawData[Payment Method],F1049,RawData[Location],G1049,RawData[Transaction Date],H1049)</f>
        <v>3</v>
      </c>
      <c r="L1049"/>
    </row>
    <row r="1050" spans="1:12" x14ac:dyDescent="0.3">
      <c r="A1050" t="s">
        <v>1056</v>
      </c>
      <c r="B1050" t="s">
        <v>10011</v>
      </c>
      <c r="C1050">
        <v>4</v>
      </c>
      <c r="D1050">
        <v>5</v>
      </c>
      <c r="E1050">
        <v>20</v>
      </c>
      <c r="F1050" t="s">
        <v>10069</v>
      </c>
      <c r="G1050" t="s">
        <v>10102</v>
      </c>
      <c r="H1050" s="6">
        <v>45044</v>
      </c>
      <c r="I1050">
        <f t="shared" si="32"/>
        <v>0</v>
      </c>
      <c r="J1050" t="str">
        <f t="shared" si="33"/>
        <v>Complete</v>
      </c>
      <c r="K1050">
        <f>COUNTIFS(RawData[Item], B1050,RawData[Quantity],C1050,RawData[Price Per Unit],D1050,RawData[Total Spent],E1050,RawData[Payment Method],F1050,RawData[Location],G1050,RawData[Transaction Date],H1050)</f>
        <v>1</v>
      </c>
      <c r="L1050"/>
    </row>
    <row r="1051" spans="1:12" x14ac:dyDescent="0.3">
      <c r="A1051" t="s">
        <v>1057</v>
      </c>
      <c r="B1051" t="s">
        <v>10011</v>
      </c>
      <c r="C1051">
        <v>1</v>
      </c>
      <c r="D1051">
        <v>5</v>
      </c>
      <c r="E1051">
        <v>5</v>
      </c>
      <c r="F1051" t="s">
        <v>10019</v>
      </c>
      <c r="G1051" t="s">
        <v>10021</v>
      </c>
      <c r="H1051" s="6">
        <v>45005</v>
      </c>
      <c r="I1051">
        <f t="shared" si="32"/>
        <v>0</v>
      </c>
      <c r="J1051" t="str">
        <f t="shared" si="33"/>
        <v>Complete</v>
      </c>
      <c r="K1051">
        <f>COUNTIFS(RawData[Item], B1051,RawData[Quantity],C1051,RawData[Price Per Unit],D1051,RawData[Total Spent],E1051,RawData[Payment Method],F1051,RawData[Location],G1051,RawData[Transaction Date],H1051)</f>
        <v>1</v>
      </c>
      <c r="L1051"/>
    </row>
    <row r="1052" spans="1:12" x14ac:dyDescent="0.3">
      <c r="A1052" t="s">
        <v>1058</v>
      </c>
      <c r="B1052" t="s">
        <v>10012</v>
      </c>
      <c r="C1052" t="s">
        <v>10015</v>
      </c>
      <c r="D1052">
        <v>4</v>
      </c>
      <c r="E1052">
        <v>4</v>
      </c>
      <c r="F1052" t="s">
        <v>10020</v>
      </c>
      <c r="G1052" t="s">
        <v>10069</v>
      </c>
      <c r="H1052" s="6">
        <v>44990</v>
      </c>
      <c r="I1052">
        <f t="shared" si="32"/>
        <v>1</v>
      </c>
      <c r="J1052" t="str">
        <f t="shared" si="33"/>
        <v>Complete</v>
      </c>
      <c r="K1052">
        <f>COUNTIFS(RawData[Item], B1052,RawData[Quantity],C1052,RawData[Price Per Unit],D1052,RawData[Total Spent],E1052,RawData[Payment Method],F1052,RawData[Location],G1052,RawData[Transaction Date],H1052)</f>
        <v>1</v>
      </c>
      <c r="L1052"/>
    </row>
    <row r="1053" spans="1:12" x14ac:dyDescent="0.3">
      <c r="A1053" t="s">
        <v>1059</v>
      </c>
      <c r="B1053" t="s">
        <v>10012</v>
      </c>
      <c r="C1053">
        <v>5</v>
      </c>
      <c r="D1053">
        <v>4</v>
      </c>
      <c r="E1053" t="s">
        <v>10013</v>
      </c>
      <c r="F1053" t="s">
        <v>10020</v>
      </c>
      <c r="G1053" t="s">
        <v>10102</v>
      </c>
      <c r="H1053" s="6">
        <v>45262</v>
      </c>
      <c r="I1053">
        <f t="shared" si="32"/>
        <v>1</v>
      </c>
      <c r="J1053" t="str">
        <f t="shared" si="33"/>
        <v>Complete</v>
      </c>
      <c r="K1053">
        <f>COUNTIFS(RawData[Item], B1053,RawData[Quantity],C1053,RawData[Price Per Unit],D1053,RawData[Total Spent],E1053,RawData[Payment Method],F1053,RawData[Location],G1053,RawData[Transaction Date],H1053)</f>
        <v>1</v>
      </c>
      <c r="L1053"/>
    </row>
    <row r="1054" spans="1:12" x14ac:dyDescent="0.3">
      <c r="A1054" t="s">
        <v>1060</v>
      </c>
      <c r="B1054" t="s">
        <v>10009</v>
      </c>
      <c r="C1054">
        <v>3</v>
      </c>
      <c r="D1054">
        <v>3</v>
      </c>
      <c r="E1054">
        <v>9</v>
      </c>
      <c r="F1054" t="s">
        <v>10019</v>
      </c>
      <c r="G1054" t="s">
        <v>10102</v>
      </c>
      <c r="H1054" s="6">
        <v>44986</v>
      </c>
      <c r="I1054">
        <f t="shared" si="32"/>
        <v>0</v>
      </c>
      <c r="J1054" t="str">
        <f t="shared" si="33"/>
        <v>Complete</v>
      </c>
      <c r="K1054">
        <f>COUNTIFS(RawData[Item], B1054,RawData[Quantity],C1054,RawData[Price Per Unit],D1054,RawData[Total Spent],E1054,RawData[Payment Method],F1054,RawData[Location],G1054,RawData[Transaction Date],H1054)</f>
        <v>1</v>
      </c>
      <c r="L1054"/>
    </row>
    <row r="1055" spans="1:12" x14ac:dyDescent="0.3">
      <c r="A1055" t="s">
        <v>1061</v>
      </c>
      <c r="B1055" t="s">
        <v>10015</v>
      </c>
      <c r="C1055">
        <v>2</v>
      </c>
      <c r="D1055">
        <v>1</v>
      </c>
      <c r="E1055">
        <v>2</v>
      </c>
      <c r="F1055" t="s">
        <v>10018</v>
      </c>
      <c r="G1055" t="s">
        <v>10102</v>
      </c>
      <c r="H1055" s="6">
        <v>45208</v>
      </c>
      <c r="I1055">
        <f t="shared" si="32"/>
        <v>1</v>
      </c>
      <c r="J1055" t="str">
        <f t="shared" si="33"/>
        <v>Complete</v>
      </c>
      <c r="K1055">
        <f>COUNTIFS(RawData[Item], B1055,RawData[Quantity],C1055,RawData[Price Per Unit],D1055,RawData[Total Spent],E1055,RawData[Payment Method],F1055,RawData[Location],G1055,RawData[Transaction Date],H1055)</f>
        <v>1</v>
      </c>
      <c r="L1055"/>
    </row>
    <row r="1056" spans="1:12" x14ac:dyDescent="0.3">
      <c r="A1056" t="s">
        <v>1062</v>
      </c>
      <c r="B1056" t="s">
        <v>10017</v>
      </c>
      <c r="C1056">
        <v>2</v>
      </c>
      <c r="D1056">
        <v>1.5</v>
      </c>
      <c r="E1056">
        <v>3</v>
      </c>
      <c r="F1056" t="s">
        <v>10104</v>
      </c>
      <c r="G1056" t="s">
        <v>10102</v>
      </c>
      <c r="H1056" s="6">
        <v>45223</v>
      </c>
      <c r="I1056">
        <f t="shared" si="32"/>
        <v>1</v>
      </c>
      <c r="J1056" t="str">
        <f t="shared" si="33"/>
        <v>Complete</v>
      </c>
      <c r="K1056">
        <f>COUNTIFS(RawData[Item], B1056,RawData[Quantity],C1056,RawData[Price Per Unit],D1056,RawData[Total Spent],E1056,RawData[Payment Method],F1056,RawData[Location],G1056,RawData[Transaction Date],H1056)</f>
        <v>1</v>
      </c>
      <c r="L1056"/>
    </row>
    <row r="1057" spans="1:12" x14ac:dyDescent="0.3">
      <c r="A1057" t="s">
        <v>1063</v>
      </c>
      <c r="B1057" t="s">
        <v>10013</v>
      </c>
      <c r="C1057">
        <v>5</v>
      </c>
      <c r="D1057">
        <v>5</v>
      </c>
      <c r="E1057">
        <v>25</v>
      </c>
      <c r="F1057" t="s">
        <v>10069</v>
      </c>
      <c r="G1057" t="s">
        <v>10021</v>
      </c>
      <c r="H1057" s="6">
        <v>45002</v>
      </c>
      <c r="I1057">
        <f t="shared" si="32"/>
        <v>1</v>
      </c>
      <c r="J1057" t="str">
        <f t="shared" si="33"/>
        <v>Complete</v>
      </c>
      <c r="K1057">
        <f>COUNTIFS(RawData[Item], B1057,RawData[Quantity],C1057,RawData[Price Per Unit],D1057,RawData[Total Spent],E1057,RawData[Payment Method],F1057,RawData[Location],G1057,RawData[Transaction Date],H1057)</f>
        <v>1</v>
      </c>
      <c r="L1057"/>
    </row>
    <row r="1058" spans="1:12" x14ac:dyDescent="0.3">
      <c r="A1058" t="s">
        <v>1064</v>
      </c>
      <c r="B1058" t="s">
        <v>10014</v>
      </c>
      <c r="C1058" t="s">
        <v>10013</v>
      </c>
      <c r="D1058">
        <v>4</v>
      </c>
      <c r="E1058">
        <v>8</v>
      </c>
      <c r="F1058" t="s">
        <v>10020</v>
      </c>
      <c r="G1058" t="s">
        <v>10102</v>
      </c>
      <c r="H1058" s="6">
        <v>45149</v>
      </c>
      <c r="I1058">
        <f t="shared" si="32"/>
        <v>1</v>
      </c>
      <c r="J1058" t="str">
        <f t="shared" si="33"/>
        <v>Complete</v>
      </c>
      <c r="K1058">
        <f>COUNTIFS(RawData[Item], B1058,RawData[Quantity],C1058,RawData[Price Per Unit],D1058,RawData[Total Spent],E1058,RawData[Payment Method],F1058,RawData[Location],G1058,RawData[Transaction Date],H1058)</f>
        <v>1</v>
      </c>
      <c r="L1058"/>
    </row>
    <row r="1059" spans="1:12" x14ac:dyDescent="0.3">
      <c r="A1059" t="s">
        <v>1065</v>
      </c>
      <c r="B1059" t="s">
        <v>10009</v>
      </c>
      <c r="C1059">
        <v>1</v>
      </c>
      <c r="D1059">
        <v>3</v>
      </c>
      <c r="E1059">
        <v>3</v>
      </c>
      <c r="F1059" t="s">
        <v>10069</v>
      </c>
      <c r="G1059" t="s">
        <v>10069</v>
      </c>
      <c r="H1059" s="6">
        <v>45194</v>
      </c>
      <c r="I1059">
        <f t="shared" si="32"/>
        <v>0</v>
      </c>
      <c r="J1059" t="str">
        <f t="shared" si="33"/>
        <v>Complete</v>
      </c>
      <c r="K1059">
        <f>COUNTIFS(RawData[Item], B1059,RawData[Quantity],C1059,RawData[Price Per Unit],D1059,RawData[Total Spent],E1059,RawData[Payment Method],F1059,RawData[Location],G1059,RawData[Transaction Date],H1059)</f>
        <v>1</v>
      </c>
      <c r="L1059"/>
    </row>
    <row r="1060" spans="1:12" x14ac:dyDescent="0.3">
      <c r="A1060" t="s">
        <v>1066</v>
      </c>
      <c r="B1060" t="s">
        <v>10009</v>
      </c>
      <c r="C1060">
        <v>1</v>
      </c>
      <c r="D1060">
        <v>3</v>
      </c>
      <c r="E1060">
        <v>3</v>
      </c>
      <c r="F1060" t="s">
        <v>10018</v>
      </c>
      <c r="G1060" t="s">
        <v>10021</v>
      </c>
      <c r="H1060" s="6">
        <v>45029</v>
      </c>
      <c r="I1060">
        <f t="shared" si="32"/>
        <v>0</v>
      </c>
      <c r="J1060" t="str">
        <f t="shared" si="33"/>
        <v>Complete</v>
      </c>
      <c r="K1060">
        <f>COUNTIFS(RawData[Item], B1060,RawData[Quantity],C1060,RawData[Price Per Unit],D1060,RawData[Total Spent],E1060,RawData[Payment Method],F1060,RawData[Location],G1060,RawData[Transaction Date],H1060)</f>
        <v>1</v>
      </c>
      <c r="L1060"/>
    </row>
    <row r="1061" spans="1:12" x14ac:dyDescent="0.3">
      <c r="A1061" t="s">
        <v>1067</v>
      </c>
      <c r="B1061" t="s">
        <v>10014</v>
      </c>
      <c r="C1061">
        <v>2</v>
      </c>
      <c r="D1061">
        <v>4</v>
      </c>
      <c r="E1061">
        <v>8</v>
      </c>
      <c r="F1061" t="s">
        <v>10103</v>
      </c>
      <c r="G1061" t="s">
        <v>10021</v>
      </c>
      <c r="H1061" s="6">
        <v>45081</v>
      </c>
      <c r="I1061">
        <f t="shared" si="32"/>
        <v>1</v>
      </c>
      <c r="J1061" t="str">
        <f t="shared" si="33"/>
        <v>Complete</v>
      </c>
      <c r="K1061">
        <f>COUNTIFS(RawData[Item], B1061,RawData[Quantity],C1061,RawData[Price Per Unit],D1061,RawData[Total Spent],E1061,RawData[Payment Method],F1061,RawData[Location],G1061,RawData[Transaction Date],H1061)</f>
        <v>1</v>
      </c>
      <c r="L1061"/>
    </row>
    <row r="1062" spans="1:12" x14ac:dyDescent="0.3">
      <c r="A1062" t="s">
        <v>1068</v>
      </c>
      <c r="B1062" t="s">
        <v>10011</v>
      </c>
      <c r="C1062">
        <v>2</v>
      </c>
      <c r="D1062">
        <v>5</v>
      </c>
      <c r="E1062">
        <v>10</v>
      </c>
      <c r="F1062" t="s">
        <v>10018</v>
      </c>
      <c r="G1062" t="s">
        <v>10069</v>
      </c>
      <c r="H1062" s="6">
        <v>45045</v>
      </c>
      <c r="I1062">
        <f t="shared" si="32"/>
        <v>0</v>
      </c>
      <c r="J1062" t="str">
        <f t="shared" si="33"/>
        <v>Complete</v>
      </c>
      <c r="K1062">
        <f>COUNTIFS(RawData[Item], B1062,RawData[Quantity],C1062,RawData[Price Per Unit],D1062,RawData[Total Spent],E1062,RawData[Payment Method],F1062,RawData[Location],G1062,RawData[Transaction Date],H1062)</f>
        <v>1</v>
      </c>
      <c r="L1062"/>
    </row>
    <row r="1063" spans="1:12" x14ac:dyDescent="0.3">
      <c r="A1063" t="s">
        <v>1069</v>
      </c>
      <c r="B1063" t="s">
        <v>10016</v>
      </c>
      <c r="C1063">
        <v>2</v>
      </c>
      <c r="D1063">
        <v>3</v>
      </c>
      <c r="E1063">
        <v>6</v>
      </c>
      <c r="F1063" t="s">
        <v>10104</v>
      </c>
      <c r="G1063" t="s">
        <v>10021</v>
      </c>
      <c r="H1063" s="6">
        <v>45270</v>
      </c>
      <c r="I1063">
        <f t="shared" si="32"/>
        <v>1</v>
      </c>
      <c r="J1063" t="str">
        <f t="shared" si="33"/>
        <v>Complete</v>
      </c>
      <c r="K1063">
        <f>COUNTIFS(RawData[Item], B1063,RawData[Quantity],C1063,RawData[Price Per Unit],D1063,RawData[Total Spent],E1063,RawData[Payment Method],F1063,RawData[Location],G1063,RawData[Transaction Date],H1063)</f>
        <v>1</v>
      </c>
      <c r="L1063"/>
    </row>
    <row r="1064" spans="1:12" x14ac:dyDescent="0.3">
      <c r="A1064" t="s">
        <v>1070</v>
      </c>
      <c r="B1064" t="s">
        <v>10015</v>
      </c>
      <c r="C1064">
        <v>2</v>
      </c>
      <c r="D1064">
        <v>1</v>
      </c>
      <c r="E1064">
        <v>2</v>
      </c>
      <c r="F1064" t="s">
        <v>10020</v>
      </c>
      <c r="G1064" t="s">
        <v>10021</v>
      </c>
      <c r="H1064" s="6">
        <v>44963</v>
      </c>
      <c r="I1064">
        <f t="shared" si="32"/>
        <v>1</v>
      </c>
      <c r="J1064" t="str">
        <f t="shared" si="33"/>
        <v>Complete</v>
      </c>
      <c r="K1064">
        <f>COUNTIFS(RawData[Item], B1064,RawData[Quantity],C1064,RawData[Price Per Unit],D1064,RawData[Total Spent],E1064,RawData[Payment Method],F1064,RawData[Location],G1064,RawData[Transaction Date],H1064)</f>
        <v>1</v>
      </c>
      <c r="L1064"/>
    </row>
    <row r="1065" spans="1:12" x14ac:dyDescent="0.3">
      <c r="A1065" t="s">
        <v>1071</v>
      </c>
      <c r="B1065" t="s">
        <v>10015</v>
      </c>
      <c r="C1065">
        <v>1</v>
      </c>
      <c r="D1065">
        <v>3</v>
      </c>
      <c r="E1065">
        <v>3</v>
      </c>
      <c r="F1065" t="s">
        <v>10020</v>
      </c>
      <c r="G1065" t="s">
        <v>10021</v>
      </c>
      <c r="H1065" s="6">
        <v>44994</v>
      </c>
      <c r="I1065">
        <f t="shared" si="32"/>
        <v>1</v>
      </c>
      <c r="J1065" t="str">
        <f t="shared" si="33"/>
        <v>Complete</v>
      </c>
      <c r="K1065">
        <f>COUNTIFS(RawData[Item], B1065,RawData[Quantity],C1065,RawData[Price Per Unit],D1065,RawData[Total Spent],E1065,RawData[Payment Method],F1065,RawData[Location],G1065,RawData[Transaction Date],H1065)</f>
        <v>1</v>
      </c>
      <c r="L1065"/>
    </row>
    <row r="1066" spans="1:12" x14ac:dyDescent="0.3">
      <c r="A1066" t="s">
        <v>1072</v>
      </c>
      <c r="B1066" t="s">
        <v>10017</v>
      </c>
      <c r="C1066">
        <v>2</v>
      </c>
      <c r="D1066">
        <v>1.5</v>
      </c>
      <c r="E1066">
        <v>3</v>
      </c>
      <c r="F1066" t="s">
        <v>10019</v>
      </c>
      <c r="G1066" t="s">
        <v>10069</v>
      </c>
      <c r="H1066" s="6">
        <v>45223</v>
      </c>
      <c r="I1066">
        <f t="shared" si="32"/>
        <v>0</v>
      </c>
      <c r="J1066" t="str">
        <f t="shared" si="33"/>
        <v>Complete</v>
      </c>
      <c r="K1066">
        <f>COUNTIFS(RawData[Item], B1066,RawData[Quantity],C1066,RawData[Price Per Unit],D1066,RawData[Total Spent],E1066,RawData[Payment Method],F1066,RawData[Location],G1066,RawData[Transaction Date],H1066)</f>
        <v>1</v>
      </c>
      <c r="L1066"/>
    </row>
    <row r="1067" spans="1:12" x14ac:dyDescent="0.3">
      <c r="A1067" t="s">
        <v>1073</v>
      </c>
      <c r="B1067" t="s">
        <v>10014</v>
      </c>
      <c r="C1067">
        <v>5</v>
      </c>
      <c r="D1067">
        <v>4</v>
      </c>
      <c r="E1067" t="s">
        <v>10013</v>
      </c>
      <c r="F1067" t="s">
        <v>10018</v>
      </c>
      <c r="G1067" t="s">
        <v>10021</v>
      </c>
      <c r="H1067" s="6">
        <v>44937</v>
      </c>
      <c r="I1067">
        <f t="shared" si="32"/>
        <v>1</v>
      </c>
      <c r="J1067" t="str">
        <f t="shared" si="33"/>
        <v>Complete</v>
      </c>
      <c r="K1067">
        <f>COUNTIFS(RawData[Item], B1067,RawData[Quantity],C1067,RawData[Price Per Unit],D1067,RawData[Total Spent],E1067,RawData[Payment Method],F1067,RawData[Location],G1067,RawData[Transaction Date],H1067)</f>
        <v>1</v>
      </c>
      <c r="L1067"/>
    </row>
    <row r="1068" spans="1:12" x14ac:dyDescent="0.3">
      <c r="A1068" t="s">
        <v>1074</v>
      </c>
      <c r="B1068" t="s">
        <v>10017</v>
      </c>
      <c r="C1068">
        <v>4</v>
      </c>
      <c r="D1068">
        <v>1.5</v>
      </c>
      <c r="E1068">
        <v>6</v>
      </c>
      <c r="F1068" t="s">
        <v>10069</v>
      </c>
      <c r="G1068" t="s">
        <v>10102</v>
      </c>
      <c r="H1068" s="6">
        <v>45005</v>
      </c>
      <c r="I1068">
        <f t="shared" si="32"/>
        <v>0</v>
      </c>
      <c r="J1068" t="str">
        <f t="shared" si="33"/>
        <v>Complete</v>
      </c>
      <c r="K1068">
        <f>COUNTIFS(RawData[Item], B1068,RawData[Quantity],C1068,RawData[Price Per Unit],D1068,RawData[Total Spent],E1068,RawData[Payment Method],F1068,RawData[Location],G1068,RawData[Transaction Date],H1068)</f>
        <v>1</v>
      </c>
      <c r="L1068"/>
    </row>
    <row r="1069" spans="1:12" x14ac:dyDescent="0.3">
      <c r="A1069" t="s">
        <v>1075</v>
      </c>
      <c r="B1069" t="s">
        <v>10008</v>
      </c>
      <c r="C1069">
        <v>3</v>
      </c>
      <c r="D1069">
        <v>2</v>
      </c>
      <c r="E1069">
        <v>6</v>
      </c>
      <c r="F1069" t="s">
        <v>10069</v>
      </c>
      <c r="G1069" t="s">
        <v>10021</v>
      </c>
      <c r="H1069" s="6">
        <v>44952</v>
      </c>
      <c r="I1069">
        <f t="shared" si="32"/>
        <v>0</v>
      </c>
      <c r="J1069" t="str">
        <f t="shared" si="33"/>
        <v>Complete</v>
      </c>
      <c r="K1069">
        <f>COUNTIFS(RawData[Item], B1069,RawData[Quantity],C1069,RawData[Price Per Unit],D1069,RawData[Total Spent],E1069,RawData[Payment Method],F1069,RawData[Location],G1069,RawData[Transaction Date],H1069)</f>
        <v>1</v>
      </c>
      <c r="L1069"/>
    </row>
    <row r="1070" spans="1:12" x14ac:dyDescent="0.3">
      <c r="A1070" t="s">
        <v>1076</v>
      </c>
      <c r="B1070" t="s">
        <v>10016</v>
      </c>
      <c r="C1070">
        <v>3</v>
      </c>
      <c r="D1070">
        <v>3</v>
      </c>
      <c r="E1070">
        <v>9</v>
      </c>
      <c r="F1070" t="s">
        <v>10020</v>
      </c>
      <c r="G1070" t="s">
        <v>10102</v>
      </c>
      <c r="H1070" s="6">
        <v>45161</v>
      </c>
      <c r="I1070">
        <f t="shared" si="32"/>
        <v>0</v>
      </c>
      <c r="J1070" t="str">
        <f t="shared" si="33"/>
        <v>Complete</v>
      </c>
      <c r="K1070">
        <f>COUNTIFS(RawData[Item], B1070,RawData[Quantity],C1070,RawData[Price Per Unit],D1070,RawData[Total Spent],E1070,RawData[Payment Method],F1070,RawData[Location],G1070,RawData[Transaction Date],H1070)</f>
        <v>1</v>
      </c>
      <c r="L1070"/>
    </row>
    <row r="1071" spans="1:12" x14ac:dyDescent="0.3">
      <c r="A1071" t="s">
        <v>1077</v>
      </c>
      <c r="B1071" t="s">
        <v>10008</v>
      </c>
      <c r="C1071">
        <v>2</v>
      </c>
      <c r="D1071">
        <v>2</v>
      </c>
      <c r="E1071">
        <v>4</v>
      </c>
      <c r="F1071" t="s">
        <v>10018</v>
      </c>
      <c r="G1071" t="s">
        <v>10069</v>
      </c>
      <c r="H1071" s="6">
        <v>44930</v>
      </c>
      <c r="I1071">
        <f t="shared" si="32"/>
        <v>0</v>
      </c>
      <c r="J1071" t="str">
        <f t="shared" si="33"/>
        <v>Complete</v>
      </c>
      <c r="K1071">
        <f>COUNTIFS(RawData[Item], B1071,RawData[Quantity],C1071,RawData[Price Per Unit],D1071,RawData[Total Spent],E1071,RawData[Payment Method],F1071,RawData[Location],G1071,RawData[Transaction Date],H1071)</f>
        <v>1</v>
      </c>
      <c r="L1071"/>
    </row>
    <row r="1072" spans="1:12" x14ac:dyDescent="0.3">
      <c r="A1072" t="s">
        <v>1078</v>
      </c>
      <c r="B1072" t="s">
        <v>10009</v>
      </c>
      <c r="C1072">
        <v>2</v>
      </c>
      <c r="D1072">
        <v>3</v>
      </c>
      <c r="E1072">
        <v>6</v>
      </c>
      <c r="F1072" t="s">
        <v>10018</v>
      </c>
      <c r="G1072" t="s">
        <v>10069</v>
      </c>
      <c r="H1072" s="6">
        <v>45238</v>
      </c>
      <c r="I1072">
        <f t="shared" si="32"/>
        <v>0</v>
      </c>
      <c r="J1072" t="str">
        <f t="shared" si="33"/>
        <v>Complete</v>
      </c>
      <c r="K1072">
        <f>COUNTIFS(RawData[Item], B1072,RawData[Quantity],C1072,RawData[Price Per Unit],D1072,RawData[Total Spent],E1072,RawData[Payment Method],F1072,RawData[Location],G1072,RawData[Transaction Date],H1072)</f>
        <v>1</v>
      </c>
      <c r="L1072"/>
    </row>
    <row r="1073" spans="1:12" x14ac:dyDescent="0.3">
      <c r="A1073" t="s">
        <v>1079</v>
      </c>
      <c r="B1073" t="s">
        <v>10011</v>
      </c>
      <c r="C1073">
        <v>5</v>
      </c>
      <c r="D1073">
        <v>5</v>
      </c>
      <c r="E1073">
        <v>25</v>
      </c>
      <c r="F1073" t="s">
        <v>10018</v>
      </c>
      <c r="G1073" t="s">
        <v>10021</v>
      </c>
      <c r="H1073" s="6">
        <v>45003</v>
      </c>
      <c r="I1073">
        <f t="shared" si="32"/>
        <v>0</v>
      </c>
      <c r="J1073" t="str">
        <f t="shared" si="33"/>
        <v>Complete</v>
      </c>
      <c r="K1073">
        <f>COUNTIFS(RawData[Item], B1073,RawData[Quantity],C1073,RawData[Price Per Unit],D1073,RawData[Total Spent],E1073,RawData[Payment Method],F1073,RawData[Location],G1073,RawData[Transaction Date],H1073)</f>
        <v>1</v>
      </c>
      <c r="L1073"/>
    </row>
    <row r="1074" spans="1:12" x14ac:dyDescent="0.3">
      <c r="A1074" t="s">
        <v>1080</v>
      </c>
      <c r="B1074" t="s">
        <v>10017</v>
      </c>
      <c r="C1074">
        <v>3</v>
      </c>
      <c r="D1074">
        <v>1.5</v>
      </c>
      <c r="E1074">
        <v>4.5</v>
      </c>
      <c r="F1074" t="s">
        <v>10018</v>
      </c>
      <c r="G1074" t="s">
        <v>10069</v>
      </c>
      <c r="H1074" s="6">
        <v>45090</v>
      </c>
      <c r="I1074">
        <f t="shared" si="32"/>
        <v>0</v>
      </c>
      <c r="J1074" t="str">
        <f t="shared" si="33"/>
        <v>Complete</v>
      </c>
      <c r="K1074">
        <f>COUNTIFS(RawData[Item], B1074,RawData[Quantity],C1074,RawData[Price Per Unit],D1074,RawData[Total Spent],E1074,RawData[Payment Method],F1074,RawData[Location],G1074,RawData[Transaction Date],H1074)</f>
        <v>1</v>
      </c>
      <c r="L1074"/>
    </row>
    <row r="1075" spans="1:12" x14ac:dyDescent="0.3">
      <c r="A1075" t="s">
        <v>1081</v>
      </c>
      <c r="B1075" t="s">
        <v>10010</v>
      </c>
      <c r="C1075">
        <v>1</v>
      </c>
      <c r="D1075">
        <v>1</v>
      </c>
      <c r="E1075">
        <v>1</v>
      </c>
      <c r="F1075" t="s">
        <v>10020</v>
      </c>
      <c r="G1075" t="s">
        <v>10021</v>
      </c>
      <c r="H1075" s="6">
        <v>45081</v>
      </c>
      <c r="I1075">
        <f t="shared" si="32"/>
        <v>0</v>
      </c>
      <c r="J1075" t="str">
        <f t="shared" si="33"/>
        <v>Complete</v>
      </c>
      <c r="K1075">
        <f>COUNTIFS(RawData[Item], B1075,RawData[Quantity],C1075,RawData[Price Per Unit],D1075,RawData[Total Spent],E1075,RawData[Payment Method],F1075,RawData[Location],G1075,RawData[Transaction Date],H1075)</f>
        <v>1</v>
      </c>
      <c r="L1075"/>
    </row>
    <row r="1076" spans="1:12" x14ac:dyDescent="0.3">
      <c r="A1076" t="s">
        <v>1082</v>
      </c>
      <c r="B1076" t="s">
        <v>10013</v>
      </c>
      <c r="C1076">
        <v>1</v>
      </c>
      <c r="D1076">
        <v>1.5</v>
      </c>
      <c r="E1076">
        <v>1.5</v>
      </c>
      <c r="F1076" t="s">
        <v>10020</v>
      </c>
      <c r="G1076" t="s">
        <v>10069</v>
      </c>
      <c r="H1076" s="6">
        <v>44965</v>
      </c>
      <c r="I1076">
        <f t="shared" si="32"/>
        <v>1</v>
      </c>
      <c r="J1076" t="str">
        <f t="shared" si="33"/>
        <v>Complete</v>
      </c>
      <c r="K1076">
        <f>COUNTIFS(RawData[Item], B1076,RawData[Quantity],C1076,RawData[Price Per Unit],D1076,RawData[Total Spent],E1076,RawData[Payment Method],F1076,RawData[Location],G1076,RawData[Transaction Date],H1076)</f>
        <v>1</v>
      </c>
      <c r="L1076"/>
    </row>
    <row r="1077" spans="1:12" x14ac:dyDescent="0.3">
      <c r="A1077" t="s">
        <v>1083</v>
      </c>
      <c r="B1077" t="s">
        <v>10017</v>
      </c>
      <c r="C1077">
        <v>0</v>
      </c>
      <c r="D1077">
        <v>1.5</v>
      </c>
      <c r="E1077">
        <v>1.5</v>
      </c>
      <c r="F1077" t="s">
        <v>10019</v>
      </c>
      <c r="G1077" t="s">
        <v>10069</v>
      </c>
      <c r="H1077" s="6">
        <v>45070</v>
      </c>
      <c r="I1077">
        <f t="shared" si="32"/>
        <v>0</v>
      </c>
      <c r="J1077" t="str">
        <f t="shared" si="33"/>
        <v>Complete</v>
      </c>
      <c r="K1077">
        <f>COUNTIFS(RawData[Item], B1077,RawData[Quantity],C1077,RawData[Price Per Unit],D1077,RawData[Total Spent],E1077,RawData[Payment Method],F1077,RawData[Location],G1077,RawData[Transaction Date],H1077)</f>
        <v>1</v>
      </c>
      <c r="L1077"/>
    </row>
    <row r="1078" spans="1:12" x14ac:dyDescent="0.3">
      <c r="A1078" t="s">
        <v>1084</v>
      </c>
      <c r="B1078" t="s">
        <v>10011</v>
      </c>
      <c r="C1078">
        <v>1</v>
      </c>
      <c r="D1078">
        <v>5</v>
      </c>
      <c r="E1078">
        <v>5</v>
      </c>
      <c r="F1078" t="s">
        <v>10019</v>
      </c>
      <c r="G1078" t="s">
        <v>10021</v>
      </c>
      <c r="H1078" s="6">
        <v>45149</v>
      </c>
      <c r="I1078">
        <f t="shared" si="32"/>
        <v>0</v>
      </c>
      <c r="J1078" t="str">
        <f t="shared" si="33"/>
        <v>Complete</v>
      </c>
      <c r="K1078">
        <f>COUNTIFS(RawData[Item], B1078,RawData[Quantity],C1078,RawData[Price Per Unit],D1078,RawData[Total Spent],E1078,RawData[Payment Method],F1078,RawData[Location],G1078,RawData[Transaction Date],H1078)</f>
        <v>1</v>
      </c>
      <c r="L1078"/>
    </row>
    <row r="1079" spans="1:12" x14ac:dyDescent="0.3">
      <c r="A1079" t="s">
        <v>1085</v>
      </c>
      <c r="B1079" t="s">
        <v>10015</v>
      </c>
      <c r="C1079">
        <v>5</v>
      </c>
      <c r="D1079">
        <v>4</v>
      </c>
      <c r="E1079">
        <v>20</v>
      </c>
      <c r="F1079" t="s">
        <v>10069</v>
      </c>
      <c r="G1079" t="s">
        <v>10069</v>
      </c>
      <c r="H1079" s="6">
        <v>45014</v>
      </c>
      <c r="I1079">
        <f t="shared" si="32"/>
        <v>1</v>
      </c>
      <c r="J1079" t="str">
        <f t="shared" si="33"/>
        <v>Complete</v>
      </c>
      <c r="K1079">
        <f>COUNTIFS(RawData[Item], B1079,RawData[Quantity],C1079,RawData[Price Per Unit],D1079,RawData[Total Spent],E1079,RawData[Payment Method],F1079,RawData[Location],G1079,RawData[Transaction Date],H1079)</f>
        <v>1</v>
      </c>
      <c r="L1079"/>
    </row>
    <row r="1080" spans="1:12" x14ac:dyDescent="0.3">
      <c r="A1080" t="s">
        <v>1086</v>
      </c>
      <c r="B1080" t="s">
        <v>10014</v>
      </c>
      <c r="C1080" t="s">
        <v>10015</v>
      </c>
      <c r="D1080">
        <v>4</v>
      </c>
      <c r="E1080">
        <v>8</v>
      </c>
      <c r="F1080" t="s">
        <v>10019</v>
      </c>
      <c r="G1080" t="s">
        <v>10069</v>
      </c>
      <c r="H1080" s="6">
        <v>45063</v>
      </c>
      <c r="I1080">
        <f t="shared" si="32"/>
        <v>1</v>
      </c>
      <c r="J1080" t="str">
        <f t="shared" si="33"/>
        <v>Complete</v>
      </c>
      <c r="K1080">
        <f>COUNTIFS(RawData[Item], B1080,RawData[Quantity],C1080,RawData[Price Per Unit],D1080,RawData[Total Spent],E1080,RawData[Payment Method],F1080,RawData[Location],G1080,RawData[Transaction Date],H1080)</f>
        <v>1</v>
      </c>
      <c r="L1080"/>
    </row>
    <row r="1081" spans="1:12" x14ac:dyDescent="0.3">
      <c r="A1081" t="s">
        <v>1087</v>
      </c>
      <c r="B1081" t="s">
        <v>10012</v>
      </c>
      <c r="C1081">
        <v>2</v>
      </c>
      <c r="D1081">
        <v>4</v>
      </c>
      <c r="E1081">
        <v>8</v>
      </c>
      <c r="F1081" t="s">
        <v>10069</v>
      </c>
      <c r="G1081" t="s">
        <v>10102</v>
      </c>
      <c r="H1081" s="6">
        <v>44939</v>
      </c>
      <c r="I1081">
        <f t="shared" si="32"/>
        <v>0</v>
      </c>
      <c r="J1081" t="str">
        <f t="shared" si="33"/>
        <v>Complete</v>
      </c>
      <c r="K1081">
        <f>COUNTIFS(RawData[Item], B1081,RawData[Quantity],C1081,RawData[Price Per Unit],D1081,RawData[Total Spent],E1081,RawData[Payment Method],F1081,RawData[Location],G1081,RawData[Transaction Date],H1081)</f>
        <v>1</v>
      </c>
      <c r="L1081"/>
    </row>
    <row r="1082" spans="1:12" x14ac:dyDescent="0.3">
      <c r="A1082" t="s">
        <v>1088</v>
      </c>
      <c r="B1082" t="s">
        <v>10014</v>
      </c>
      <c r="C1082">
        <v>3</v>
      </c>
      <c r="D1082">
        <v>4</v>
      </c>
      <c r="E1082">
        <v>12</v>
      </c>
      <c r="F1082" t="s">
        <v>10020</v>
      </c>
      <c r="G1082" t="s">
        <v>10069</v>
      </c>
      <c r="H1082" s="6">
        <v>45166</v>
      </c>
      <c r="I1082">
        <f t="shared" si="32"/>
        <v>0</v>
      </c>
      <c r="J1082" t="str">
        <f t="shared" si="33"/>
        <v>Complete</v>
      </c>
      <c r="K1082">
        <f>COUNTIFS(RawData[Item], B1082,RawData[Quantity],C1082,RawData[Price Per Unit],D1082,RawData[Total Spent],E1082,RawData[Payment Method],F1082,RawData[Location],G1082,RawData[Transaction Date],H1082)</f>
        <v>1</v>
      </c>
      <c r="L1082"/>
    </row>
    <row r="1083" spans="1:12" x14ac:dyDescent="0.3">
      <c r="A1083" t="s">
        <v>1089</v>
      </c>
      <c r="B1083" t="s">
        <v>10010</v>
      </c>
      <c r="C1083">
        <v>2</v>
      </c>
      <c r="D1083">
        <v>1</v>
      </c>
      <c r="E1083">
        <v>2</v>
      </c>
      <c r="F1083" t="s">
        <v>10019</v>
      </c>
      <c r="G1083" t="s">
        <v>10021</v>
      </c>
      <c r="H1083" s="6">
        <v>45230</v>
      </c>
      <c r="I1083">
        <f t="shared" si="32"/>
        <v>0</v>
      </c>
      <c r="J1083" t="str">
        <f t="shared" si="33"/>
        <v>Complete</v>
      </c>
      <c r="K1083">
        <f>COUNTIFS(RawData[Item], B1083,RawData[Quantity],C1083,RawData[Price Per Unit],D1083,RawData[Total Spent],E1083,RawData[Payment Method],F1083,RawData[Location],G1083,RawData[Transaction Date],H1083)</f>
        <v>1</v>
      </c>
      <c r="L1083"/>
    </row>
    <row r="1084" spans="1:12" x14ac:dyDescent="0.3">
      <c r="A1084" t="s">
        <v>1090</v>
      </c>
      <c r="B1084" t="s">
        <v>10011</v>
      </c>
      <c r="C1084">
        <v>4</v>
      </c>
      <c r="D1084">
        <v>5</v>
      </c>
      <c r="E1084">
        <v>20</v>
      </c>
      <c r="F1084" t="s">
        <v>10018</v>
      </c>
      <c r="G1084" t="s">
        <v>10021</v>
      </c>
      <c r="H1084" s="6">
        <v>45090</v>
      </c>
      <c r="I1084">
        <f t="shared" si="32"/>
        <v>0</v>
      </c>
      <c r="J1084" t="str">
        <f t="shared" si="33"/>
        <v>Complete</v>
      </c>
      <c r="K1084">
        <f>COUNTIFS(RawData[Item], B1084,RawData[Quantity],C1084,RawData[Price Per Unit],D1084,RawData[Total Spent],E1084,RawData[Payment Method],F1084,RawData[Location],G1084,RawData[Transaction Date],H1084)</f>
        <v>1</v>
      </c>
      <c r="L1084"/>
    </row>
    <row r="1085" spans="1:12" x14ac:dyDescent="0.3">
      <c r="A1085" t="s">
        <v>1091</v>
      </c>
      <c r="B1085" t="s">
        <v>10017</v>
      </c>
      <c r="C1085">
        <v>5</v>
      </c>
      <c r="D1085">
        <v>1.5</v>
      </c>
      <c r="E1085" t="s">
        <v>10015</v>
      </c>
      <c r="F1085" t="s">
        <v>10069</v>
      </c>
      <c r="G1085" t="s">
        <v>10069</v>
      </c>
      <c r="H1085" s="6">
        <v>45175</v>
      </c>
      <c r="I1085">
        <f t="shared" si="32"/>
        <v>1</v>
      </c>
      <c r="J1085" t="str">
        <f t="shared" si="33"/>
        <v>Complete</v>
      </c>
      <c r="K1085">
        <f>COUNTIFS(RawData[Item], B1085,RawData[Quantity],C1085,RawData[Price Per Unit],D1085,RawData[Total Spent],E1085,RawData[Payment Method],F1085,RawData[Location],G1085,RawData[Transaction Date],H1085)</f>
        <v>1</v>
      </c>
      <c r="L1085"/>
    </row>
    <row r="1086" spans="1:12" x14ac:dyDescent="0.3">
      <c r="A1086" t="s">
        <v>1092</v>
      </c>
      <c r="B1086" t="s">
        <v>10010</v>
      </c>
      <c r="C1086">
        <v>5</v>
      </c>
      <c r="D1086">
        <v>1</v>
      </c>
      <c r="E1086">
        <v>5</v>
      </c>
      <c r="F1086" t="s">
        <v>10103</v>
      </c>
      <c r="G1086" t="s">
        <v>10102</v>
      </c>
      <c r="H1086" s="6">
        <v>45142</v>
      </c>
      <c r="I1086">
        <f t="shared" si="32"/>
        <v>1</v>
      </c>
      <c r="J1086" t="str">
        <f t="shared" si="33"/>
        <v>Complete</v>
      </c>
      <c r="K1086">
        <f>COUNTIFS(RawData[Item], B1086,RawData[Quantity],C1086,RawData[Price Per Unit],D1086,RawData[Total Spent],E1086,RawData[Payment Method],F1086,RawData[Location],G1086,RawData[Transaction Date],H1086)</f>
        <v>1</v>
      </c>
      <c r="L1086"/>
    </row>
    <row r="1087" spans="1:12" x14ac:dyDescent="0.3">
      <c r="A1087" t="s">
        <v>1093</v>
      </c>
      <c r="B1087" t="s">
        <v>10009</v>
      </c>
      <c r="C1087">
        <v>5</v>
      </c>
      <c r="D1087">
        <v>3</v>
      </c>
      <c r="E1087">
        <v>15</v>
      </c>
      <c r="F1087" t="s">
        <v>10018</v>
      </c>
      <c r="G1087" t="s">
        <v>10069</v>
      </c>
      <c r="H1087" s="6">
        <v>45167</v>
      </c>
      <c r="I1087">
        <f t="shared" si="32"/>
        <v>0</v>
      </c>
      <c r="J1087" t="str">
        <f t="shared" si="33"/>
        <v>Complete</v>
      </c>
      <c r="K1087">
        <f>COUNTIFS(RawData[Item], B1087,RawData[Quantity],C1087,RawData[Price Per Unit],D1087,RawData[Total Spent],E1087,RawData[Payment Method],F1087,RawData[Location],G1087,RawData[Transaction Date],H1087)</f>
        <v>1</v>
      </c>
      <c r="L1087"/>
    </row>
    <row r="1088" spans="1:12" x14ac:dyDescent="0.3">
      <c r="A1088" t="s">
        <v>1094</v>
      </c>
      <c r="B1088" t="s">
        <v>10011</v>
      </c>
      <c r="C1088">
        <v>1</v>
      </c>
      <c r="D1088">
        <v>5</v>
      </c>
      <c r="E1088">
        <v>5</v>
      </c>
      <c r="F1088" t="s">
        <v>10104</v>
      </c>
      <c r="G1088" t="s">
        <v>10069</v>
      </c>
      <c r="H1088" s="6">
        <v>45219</v>
      </c>
      <c r="I1088">
        <f t="shared" si="32"/>
        <v>1</v>
      </c>
      <c r="J1088" t="str">
        <f t="shared" si="33"/>
        <v>Complete</v>
      </c>
      <c r="K1088">
        <f>COUNTIFS(RawData[Item], B1088,RawData[Quantity],C1088,RawData[Price Per Unit],D1088,RawData[Total Spent],E1088,RawData[Payment Method],F1088,RawData[Location],G1088,RawData[Transaction Date],H1088)</f>
        <v>1</v>
      </c>
      <c r="L1088"/>
    </row>
    <row r="1089" spans="1:12" x14ac:dyDescent="0.3">
      <c r="A1089" t="s">
        <v>1095</v>
      </c>
      <c r="B1089" t="s">
        <v>10013</v>
      </c>
      <c r="C1089">
        <v>2</v>
      </c>
      <c r="D1089">
        <v>5</v>
      </c>
      <c r="E1089">
        <v>10</v>
      </c>
      <c r="F1089" t="s">
        <v>10019</v>
      </c>
      <c r="G1089" t="s">
        <v>10021</v>
      </c>
      <c r="H1089" s="6">
        <v>45028</v>
      </c>
      <c r="I1089">
        <f t="shared" si="32"/>
        <v>1</v>
      </c>
      <c r="J1089" t="str">
        <f t="shared" si="33"/>
        <v>Complete</v>
      </c>
      <c r="K1089">
        <f>COUNTIFS(RawData[Item], B1089,RawData[Quantity],C1089,RawData[Price Per Unit],D1089,RawData[Total Spent],E1089,RawData[Payment Method],F1089,RawData[Location],G1089,RawData[Transaction Date],H1089)</f>
        <v>1</v>
      </c>
      <c r="L1089"/>
    </row>
    <row r="1090" spans="1:12" x14ac:dyDescent="0.3">
      <c r="A1090" t="s">
        <v>1096</v>
      </c>
      <c r="B1090" t="s">
        <v>10014</v>
      </c>
      <c r="C1090">
        <v>4</v>
      </c>
      <c r="D1090">
        <v>4</v>
      </c>
      <c r="E1090">
        <v>16</v>
      </c>
      <c r="F1090" t="s">
        <v>10018</v>
      </c>
      <c r="G1090" t="s">
        <v>10102</v>
      </c>
      <c r="H1090" s="6">
        <v>44929</v>
      </c>
      <c r="I1090">
        <f t="shared" ref="I1090:I1153" si="34">(B1090="Unknown")+(B1090="Error")+(C1090="Unknown")+(C1090="Error")+(D1090="Unknown")+(D1090="Error")+(E1090="Unknown")+(E1090="Error")+(F1090="Unknown")+(F1090="Error")+(G1090="Unknown")+(G1090="Error")+(H1090="No Date")</f>
        <v>0</v>
      </c>
      <c r="J1090" t="str">
        <f t="shared" ref="J1090:J1153" si="35">IF((H1090="No Date"),"Incomplete","Complete")</f>
        <v>Complete</v>
      </c>
      <c r="K1090">
        <f>COUNTIFS(RawData[Item], B1090,RawData[Quantity],C1090,RawData[Price Per Unit],D1090,RawData[Total Spent],E1090,RawData[Payment Method],F1090,RawData[Location],G1090,RawData[Transaction Date],H1090)</f>
        <v>1</v>
      </c>
      <c r="L1090"/>
    </row>
    <row r="1091" spans="1:12" x14ac:dyDescent="0.3">
      <c r="A1091" t="s">
        <v>1097</v>
      </c>
      <c r="B1091" t="s">
        <v>10009</v>
      </c>
      <c r="C1091">
        <v>4</v>
      </c>
      <c r="D1091">
        <v>3</v>
      </c>
      <c r="E1091">
        <v>12</v>
      </c>
      <c r="F1091" t="s">
        <v>10069</v>
      </c>
      <c r="G1091" t="s">
        <v>10069</v>
      </c>
      <c r="H1091" s="6">
        <v>45152</v>
      </c>
      <c r="I1091">
        <f t="shared" si="34"/>
        <v>0</v>
      </c>
      <c r="J1091" t="str">
        <f t="shared" si="35"/>
        <v>Complete</v>
      </c>
      <c r="K1091">
        <f>COUNTIFS(RawData[Item], B1091,RawData[Quantity],C1091,RawData[Price Per Unit],D1091,RawData[Total Spent],E1091,RawData[Payment Method],F1091,RawData[Location],G1091,RawData[Transaction Date],H1091)</f>
        <v>1</v>
      </c>
      <c r="L1091"/>
    </row>
    <row r="1092" spans="1:12" x14ac:dyDescent="0.3">
      <c r="A1092" t="s">
        <v>1098</v>
      </c>
      <c r="B1092" t="s">
        <v>10010</v>
      </c>
      <c r="C1092">
        <v>3</v>
      </c>
      <c r="D1092">
        <v>1</v>
      </c>
      <c r="E1092">
        <v>3</v>
      </c>
      <c r="F1092" t="s">
        <v>10069</v>
      </c>
      <c r="G1092" t="s">
        <v>10103</v>
      </c>
      <c r="H1092" s="6">
        <v>45266</v>
      </c>
      <c r="I1092">
        <f t="shared" si="34"/>
        <v>1</v>
      </c>
      <c r="J1092" t="str">
        <f t="shared" si="35"/>
        <v>Complete</v>
      </c>
      <c r="K1092">
        <f>COUNTIFS(RawData[Item], B1092,RawData[Quantity],C1092,RawData[Price Per Unit],D1092,RawData[Total Spent],E1092,RawData[Payment Method],F1092,RawData[Location],G1092,RawData[Transaction Date],H1092)</f>
        <v>1</v>
      </c>
      <c r="L1092"/>
    </row>
    <row r="1093" spans="1:12" x14ac:dyDescent="0.3">
      <c r="A1093" t="s">
        <v>1099</v>
      </c>
      <c r="B1093" t="s">
        <v>10017</v>
      </c>
      <c r="C1093">
        <v>5</v>
      </c>
      <c r="D1093">
        <v>1.5</v>
      </c>
      <c r="E1093">
        <v>7.5</v>
      </c>
      <c r="F1093" t="s">
        <v>10019</v>
      </c>
      <c r="G1093" t="s">
        <v>10102</v>
      </c>
      <c r="H1093" s="6">
        <v>45227</v>
      </c>
      <c r="I1093">
        <f t="shared" si="34"/>
        <v>0</v>
      </c>
      <c r="J1093" t="str">
        <f t="shared" si="35"/>
        <v>Complete</v>
      </c>
      <c r="K1093">
        <f>COUNTIFS(RawData[Item], B1093,RawData[Quantity],C1093,RawData[Price Per Unit],D1093,RawData[Total Spent],E1093,RawData[Payment Method],F1093,RawData[Location],G1093,RawData[Transaction Date],H1093)</f>
        <v>1</v>
      </c>
      <c r="L1093"/>
    </row>
    <row r="1094" spans="1:12" x14ac:dyDescent="0.3">
      <c r="A1094" t="s">
        <v>1100</v>
      </c>
      <c r="B1094" t="s">
        <v>10016</v>
      </c>
      <c r="C1094">
        <v>5</v>
      </c>
      <c r="D1094">
        <v>3</v>
      </c>
      <c r="E1094">
        <v>15</v>
      </c>
      <c r="F1094" t="s">
        <v>10020</v>
      </c>
      <c r="G1094" t="s">
        <v>10069</v>
      </c>
      <c r="H1094" s="6">
        <v>45075</v>
      </c>
      <c r="I1094">
        <f t="shared" si="34"/>
        <v>0</v>
      </c>
      <c r="J1094" t="str">
        <f t="shared" si="35"/>
        <v>Complete</v>
      </c>
      <c r="K1094">
        <f>COUNTIFS(RawData[Item], B1094,RawData[Quantity],C1094,RawData[Price Per Unit],D1094,RawData[Total Spent],E1094,RawData[Payment Method],F1094,RawData[Location],G1094,RawData[Transaction Date],H1094)</f>
        <v>1</v>
      </c>
      <c r="L1094"/>
    </row>
    <row r="1095" spans="1:12" x14ac:dyDescent="0.3">
      <c r="A1095" t="s">
        <v>1101</v>
      </c>
      <c r="B1095" t="s">
        <v>10010</v>
      </c>
      <c r="C1095">
        <v>2</v>
      </c>
      <c r="D1095">
        <v>1</v>
      </c>
      <c r="E1095">
        <v>2</v>
      </c>
      <c r="F1095" t="s">
        <v>10019</v>
      </c>
      <c r="G1095" t="s">
        <v>10021</v>
      </c>
      <c r="H1095" s="6">
        <v>45202</v>
      </c>
      <c r="I1095">
        <f t="shared" si="34"/>
        <v>0</v>
      </c>
      <c r="J1095" t="str">
        <f t="shared" si="35"/>
        <v>Complete</v>
      </c>
      <c r="K1095">
        <f>COUNTIFS(RawData[Item], B1095,RawData[Quantity],C1095,RawData[Price Per Unit],D1095,RawData[Total Spent],E1095,RawData[Payment Method],F1095,RawData[Location],G1095,RawData[Transaction Date],H1095)</f>
        <v>1</v>
      </c>
      <c r="L1095"/>
    </row>
    <row r="1096" spans="1:12" x14ac:dyDescent="0.3">
      <c r="A1096" t="s">
        <v>1102</v>
      </c>
      <c r="B1096" t="s">
        <v>10011</v>
      </c>
      <c r="C1096">
        <v>3</v>
      </c>
      <c r="D1096">
        <v>5</v>
      </c>
      <c r="E1096">
        <v>15</v>
      </c>
      <c r="F1096" t="s">
        <v>10020</v>
      </c>
      <c r="G1096" t="s">
        <v>10021</v>
      </c>
      <c r="H1096" s="6">
        <v>44973</v>
      </c>
      <c r="I1096">
        <f t="shared" si="34"/>
        <v>0</v>
      </c>
      <c r="J1096" t="str">
        <f t="shared" si="35"/>
        <v>Complete</v>
      </c>
      <c r="K1096">
        <f>COUNTIFS(RawData[Item], B1096,RawData[Quantity],C1096,RawData[Price Per Unit],D1096,RawData[Total Spent],E1096,RawData[Payment Method],F1096,RawData[Location],G1096,RawData[Transaction Date],H1096)</f>
        <v>1</v>
      </c>
      <c r="L1096"/>
    </row>
    <row r="1097" spans="1:12" x14ac:dyDescent="0.3">
      <c r="A1097" t="s">
        <v>1103</v>
      </c>
      <c r="B1097" t="s">
        <v>10012</v>
      </c>
      <c r="C1097">
        <v>3</v>
      </c>
      <c r="D1097">
        <v>4</v>
      </c>
      <c r="E1097">
        <v>12</v>
      </c>
      <c r="F1097" t="s">
        <v>10104</v>
      </c>
      <c r="G1097" t="s">
        <v>10069</v>
      </c>
      <c r="H1097" s="6">
        <v>45266</v>
      </c>
      <c r="I1097">
        <f t="shared" si="34"/>
        <v>1</v>
      </c>
      <c r="J1097" t="str">
        <f t="shared" si="35"/>
        <v>Complete</v>
      </c>
      <c r="K1097">
        <f>COUNTIFS(RawData[Item], B1097,RawData[Quantity],C1097,RawData[Price Per Unit],D1097,RawData[Total Spent],E1097,RawData[Payment Method],F1097,RawData[Location],G1097,RawData[Transaction Date],H1097)</f>
        <v>1</v>
      </c>
      <c r="L1097"/>
    </row>
    <row r="1098" spans="1:12" x14ac:dyDescent="0.3">
      <c r="A1098" t="s">
        <v>1104</v>
      </c>
      <c r="B1098" t="s">
        <v>10009</v>
      </c>
      <c r="C1098">
        <v>2</v>
      </c>
      <c r="D1098">
        <v>3</v>
      </c>
      <c r="E1098">
        <v>6</v>
      </c>
      <c r="F1098" t="s">
        <v>10020</v>
      </c>
      <c r="G1098" t="s">
        <v>10102</v>
      </c>
      <c r="H1098" s="6">
        <v>45192</v>
      </c>
      <c r="I1098">
        <f t="shared" si="34"/>
        <v>0</v>
      </c>
      <c r="J1098" t="str">
        <f t="shared" si="35"/>
        <v>Complete</v>
      </c>
      <c r="K1098">
        <f>COUNTIFS(RawData[Item], B1098,RawData[Quantity],C1098,RawData[Price Per Unit],D1098,RawData[Total Spent],E1098,RawData[Payment Method],F1098,RawData[Location],G1098,RawData[Transaction Date],H1098)</f>
        <v>1</v>
      </c>
      <c r="L1098"/>
    </row>
    <row r="1099" spans="1:12" x14ac:dyDescent="0.3">
      <c r="A1099" t="s">
        <v>1105</v>
      </c>
      <c r="B1099" t="s">
        <v>10009</v>
      </c>
      <c r="C1099">
        <v>2</v>
      </c>
      <c r="D1099">
        <v>3</v>
      </c>
      <c r="E1099">
        <v>6</v>
      </c>
      <c r="F1099" t="s">
        <v>10019</v>
      </c>
      <c r="G1099" t="s">
        <v>10102</v>
      </c>
      <c r="H1099" s="6">
        <v>45072</v>
      </c>
      <c r="I1099">
        <f t="shared" si="34"/>
        <v>0</v>
      </c>
      <c r="J1099" t="str">
        <f t="shared" si="35"/>
        <v>Complete</v>
      </c>
      <c r="K1099">
        <f>COUNTIFS(RawData[Item], B1099,RawData[Quantity],C1099,RawData[Price Per Unit],D1099,RawData[Total Spent],E1099,RawData[Payment Method],F1099,RawData[Location],G1099,RawData[Transaction Date],H1099)</f>
        <v>1</v>
      </c>
      <c r="L1099"/>
    </row>
    <row r="1100" spans="1:12" x14ac:dyDescent="0.3">
      <c r="A1100" t="s">
        <v>1106</v>
      </c>
      <c r="B1100" t="s">
        <v>10012</v>
      </c>
      <c r="C1100">
        <v>1</v>
      </c>
      <c r="D1100">
        <v>4</v>
      </c>
      <c r="E1100">
        <v>4</v>
      </c>
      <c r="F1100" t="s">
        <v>10069</v>
      </c>
      <c r="G1100" t="s">
        <v>10021</v>
      </c>
      <c r="H1100" s="6">
        <v>45054</v>
      </c>
      <c r="I1100">
        <f t="shared" si="34"/>
        <v>0</v>
      </c>
      <c r="J1100" t="str">
        <f t="shared" si="35"/>
        <v>Complete</v>
      </c>
      <c r="K1100">
        <f>COUNTIFS(RawData[Item], B1100,RawData[Quantity],C1100,RawData[Price Per Unit],D1100,RawData[Total Spent],E1100,RawData[Payment Method],F1100,RawData[Location],G1100,RawData[Transaction Date],H1100)</f>
        <v>1</v>
      </c>
      <c r="L1100"/>
    </row>
    <row r="1101" spans="1:12" x14ac:dyDescent="0.3">
      <c r="A1101" t="s">
        <v>1107</v>
      </c>
      <c r="B1101" t="s">
        <v>10069</v>
      </c>
      <c r="C1101">
        <v>5</v>
      </c>
      <c r="D1101">
        <v>4</v>
      </c>
      <c r="E1101">
        <v>20</v>
      </c>
      <c r="F1101" t="s">
        <v>10018</v>
      </c>
      <c r="G1101" t="s">
        <v>10069</v>
      </c>
      <c r="H1101" s="6">
        <v>45134</v>
      </c>
      <c r="I1101">
        <f t="shared" si="34"/>
        <v>0</v>
      </c>
      <c r="J1101" t="str">
        <f t="shared" si="35"/>
        <v>Complete</v>
      </c>
      <c r="K1101">
        <f>COUNTIFS(RawData[Item], B1101,RawData[Quantity],C1101,RawData[Price Per Unit],D1101,RawData[Total Spent],E1101,RawData[Payment Method],F1101,RawData[Location],G1101,RawData[Transaction Date],H1101)</f>
        <v>1</v>
      </c>
      <c r="L1101"/>
    </row>
    <row r="1102" spans="1:12" x14ac:dyDescent="0.3">
      <c r="A1102" t="s">
        <v>1108</v>
      </c>
      <c r="B1102" t="s">
        <v>10014</v>
      </c>
      <c r="C1102">
        <v>5</v>
      </c>
      <c r="D1102">
        <v>4</v>
      </c>
      <c r="E1102">
        <v>20</v>
      </c>
      <c r="F1102" t="s">
        <v>10019</v>
      </c>
      <c r="G1102" t="s">
        <v>10103</v>
      </c>
      <c r="H1102" s="6">
        <v>45223</v>
      </c>
      <c r="I1102">
        <f t="shared" si="34"/>
        <v>1</v>
      </c>
      <c r="J1102" t="str">
        <f t="shared" si="35"/>
        <v>Complete</v>
      </c>
      <c r="K1102">
        <f>COUNTIFS(RawData[Item], B1102,RawData[Quantity],C1102,RawData[Price Per Unit],D1102,RawData[Total Spent],E1102,RawData[Payment Method],F1102,RawData[Location],G1102,RawData[Transaction Date],H1102)</f>
        <v>1</v>
      </c>
      <c r="L1102"/>
    </row>
    <row r="1103" spans="1:12" x14ac:dyDescent="0.3">
      <c r="A1103" t="s">
        <v>1109</v>
      </c>
      <c r="B1103" t="s">
        <v>10017</v>
      </c>
      <c r="C1103">
        <v>1</v>
      </c>
      <c r="D1103">
        <v>1.5</v>
      </c>
      <c r="E1103">
        <v>1.5</v>
      </c>
      <c r="F1103" t="s">
        <v>10069</v>
      </c>
      <c r="G1103" t="s">
        <v>10021</v>
      </c>
      <c r="H1103" s="6">
        <v>45133</v>
      </c>
      <c r="I1103">
        <f t="shared" si="34"/>
        <v>0</v>
      </c>
      <c r="J1103" t="str">
        <f t="shared" si="35"/>
        <v>Complete</v>
      </c>
      <c r="K1103">
        <f>COUNTIFS(RawData[Item], B1103,RawData[Quantity],C1103,RawData[Price Per Unit],D1103,RawData[Total Spent],E1103,RawData[Payment Method],F1103,RawData[Location],G1103,RawData[Transaction Date],H1103)</f>
        <v>1</v>
      </c>
      <c r="L1103"/>
    </row>
    <row r="1104" spans="1:12" x14ac:dyDescent="0.3">
      <c r="A1104" t="s">
        <v>1110</v>
      </c>
      <c r="B1104" t="s">
        <v>10016</v>
      </c>
      <c r="C1104">
        <v>2</v>
      </c>
      <c r="D1104">
        <v>3</v>
      </c>
      <c r="E1104">
        <v>6</v>
      </c>
      <c r="F1104" t="s">
        <v>10069</v>
      </c>
      <c r="G1104" t="s">
        <v>10069</v>
      </c>
      <c r="H1104" s="6">
        <v>45093</v>
      </c>
      <c r="I1104">
        <f t="shared" si="34"/>
        <v>0</v>
      </c>
      <c r="J1104" t="str">
        <f t="shared" si="35"/>
        <v>Complete</v>
      </c>
      <c r="K1104">
        <f>COUNTIFS(RawData[Item], B1104,RawData[Quantity],C1104,RawData[Price Per Unit],D1104,RawData[Total Spent],E1104,RawData[Payment Method],F1104,RawData[Location],G1104,RawData[Transaction Date],H1104)</f>
        <v>1</v>
      </c>
      <c r="L1104"/>
    </row>
    <row r="1105" spans="1:12" x14ac:dyDescent="0.3">
      <c r="A1105" t="s">
        <v>1111</v>
      </c>
      <c r="B1105" t="s">
        <v>10016</v>
      </c>
      <c r="C1105">
        <v>4</v>
      </c>
      <c r="D1105">
        <v>3</v>
      </c>
      <c r="E1105">
        <v>12</v>
      </c>
      <c r="F1105" t="s">
        <v>10020</v>
      </c>
      <c r="G1105" t="s">
        <v>10102</v>
      </c>
      <c r="H1105" s="6">
        <v>45109</v>
      </c>
      <c r="I1105">
        <f t="shared" si="34"/>
        <v>0</v>
      </c>
      <c r="J1105" t="str">
        <f t="shared" si="35"/>
        <v>Complete</v>
      </c>
      <c r="K1105">
        <f>COUNTIFS(RawData[Item], B1105,RawData[Quantity],C1105,RawData[Price Per Unit],D1105,RawData[Total Spent],E1105,RawData[Payment Method],F1105,RawData[Location],G1105,RawData[Transaction Date],H1105)</f>
        <v>1</v>
      </c>
      <c r="L1105"/>
    </row>
    <row r="1106" spans="1:12" x14ac:dyDescent="0.3">
      <c r="A1106" t="s">
        <v>1112</v>
      </c>
      <c r="B1106" t="s">
        <v>10017</v>
      </c>
      <c r="C1106">
        <v>5</v>
      </c>
      <c r="D1106">
        <v>1.5</v>
      </c>
      <c r="E1106">
        <v>7.5</v>
      </c>
      <c r="F1106" t="s">
        <v>10069</v>
      </c>
      <c r="G1106" t="s">
        <v>10021</v>
      </c>
      <c r="H1106" s="6">
        <v>45132</v>
      </c>
      <c r="I1106">
        <f t="shared" si="34"/>
        <v>0</v>
      </c>
      <c r="J1106" t="str">
        <f t="shared" si="35"/>
        <v>Complete</v>
      </c>
      <c r="K1106">
        <f>COUNTIFS(RawData[Item], B1106,RawData[Quantity],C1106,RawData[Price Per Unit],D1106,RawData[Total Spent],E1106,RawData[Payment Method],F1106,RawData[Location],G1106,RawData[Transaction Date],H1106)</f>
        <v>1</v>
      </c>
      <c r="L1106"/>
    </row>
    <row r="1107" spans="1:12" x14ac:dyDescent="0.3">
      <c r="A1107" t="s">
        <v>1113</v>
      </c>
      <c r="B1107" t="s">
        <v>10011</v>
      </c>
      <c r="C1107">
        <v>2</v>
      </c>
      <c r="D1107">
        <v>5</v>
      </c>
      <c r="E1107">
        <v>10</v>
      </c>
      <c r="F1107" t="s">
        <v>10019</v>
      </c>
      <c r="G1107" t="s">
        <v>10102</v>
      </c>
      <c r="H1107" s="6">
        <v>45251</v>
      </c>
      <c r="I1107">
        <f t="shared" si="34"/>
        <v>0</v>
      </c>
      <c r="J1107" t="str">
        <f t="shared" si="35"/>
        <v>Complete</v>
      </c>
      <c r="K1107">
        <f>COUNTIFS(RawData[Item], B1107,RawData[Quantity],C1107,RawData[Price Per Unit],D1107,RawData[Total Spent],E1107,RawData[Payment Method],F1107,RawData[Location],G1107,RawData[Transaction Date],H1107)</f>
        <v>1</v>
      </c>
      <c r="L1107"/>
    </row>
    <row r="1108" spans="1:12" x14ac:dyDescent="0.3">
      <c r="A1108" t="s">
        <v>1114</v>
      </c>
      <c r="B1108" t="s">
        <v>10008</v>
      </c>
      <c r="C1108">
        <v>3</v>
      </c>
      <c r="D1108">
        <v>2</v>
      </c>
      <c r="E1108">
        <v>6</v>
      </c>
      <c r="F1108" t="s">
        <v>10018</v>
      </c>
      <c r="G1108" t="s">
        <v>10103</v>
      </c>
      <c r="H1108" s="6">
        <v>45254</v>
      </c>
      <c r="I1108">
        <f t="shared" si="34"/>
        <v>1</v>
      </c>
      <c r="J1108" t="str">
        <f t="shared" si="35"/>
        <v>Complete</v>
      </c>
      <c r="K1108">
        <f>COUNTIFS(RawData[Item], B1108,RawData[Quantity],C1108,RawData[Price Per Unit],D1108,RawData[Total Spent],E1108,RawData[Payment Method],F1108,RawData[Location],G1108,RawData[Transaction Date],H1108)</f>
        <v>1</v>
      </c>
      <c r="L1108"/>
    </row>
    <row r="1109" spans="1:12" x14ac:dyDescent="0.3">
      <c r="A1109" t="s">
        <v>1115</v>
      </c>
      <c r="B1109" t="s">
        <v>10014</v>
      </c>
      <c r="C1109">
        <v>0</v>
      </c>
      <c r="D1109">
        <v>4</v>
      </c>
      <c r="E1109">
        <v>20</v>
      </c>
      <c r="F1109" t="s">
        <v>10019</v>
      </c>
      <c r="G1109" t="s">
        <v>10069</v>
      </c>
      <c r="H1109" s="6">
        <v>45086</v>
      </c>
      <c r="I1109">
        <f t="shared" si="34"/>
        <v>0</v>
      </c>
      <c r="J1109" t="str">
        <f t="shared" si="35"/>
        <v>Complete</v>
      </c>
      <c r="K1109">
        <f>COUNTIFS(RawData[Item], B1109,RawData[Quantity],C1109,RawData[Price Per Unit],D1109,RawData[Total Spent],E1109,RawData[Payment Method],F1109,RawData[Location],G1109,RawData[Transaction Date],H1109)</f>
        <v>1</v>
      </c>
      <c r="L1109"/>
    </row>
    <row r="1110" spans="1:12" x14ac:dyDescent="0.3">
      <c r="A1110" t="s">
        <v>1116</v>
      </c>
      <c r="B1110" t="s">
        <v>10011</v>
      </c>
      <c r="C1110">
        <v>3</v>
      </c>
      <c r="D1110">
        <v>5</v>
      </c>
      <c r="E1110">
        <v>15</v>
      </c>
      <c r="F1110" t="s">
        <v>10020</v>
      </c>
      <c r="G1110" t="s">
        <v>10069</v>
      </c>
      <c r="H1110" s="6">
        <v>45037</v>
      </c>
      <c r="I1110">
        <f t="shared" si="34"/>
        <v>0</v>
      </c>
      <c r="J1110" t="str">
        <f t="shared" si="35"/>
        <v>Complete</v>
      </c>
      <c r="K1110">
        <f>COUNTIFS(RawData[Item], B1110,RawData[Quantity],C1110,RawData[Price Per Unit],D1110,RawData[Total Spent],E1110,RawData[Payment Method],F1110,RawData[Location],G1110,RawData[Transaction Date],H1110)</f>
        <v>1</v>
      </c>
      <c r="L1110"/>
    </row>
    <row r="1111" spans="1:12" x14ac:dyDescent="0.3">
      <c r="A1111" t="s">
        <v>1117</v>
      </c>
      <c r="B1111" t="s">
        <v>10017</v>
      </c>
      <c r="C1111">
        <v>3</v>
      </c>
      <c r="D1111">
        <v>1.5</v>
      </c>
      <c r="E1111">
        <v>4.5</v>
      </c>
      <c r="F1111" t="s">
        <v>10103</v>
      </c>
      <c r="G1111" t="s">
        <v>10021</v>
      </c>
      <c r="H1111" s="6">
        <v>45014</v>
      </c>
      <c r="I1111">
        <f t="shared" si="34"/>
        <v>1</v>
      </c>
      <c r="J1111" t="str">
        <f t="shared" si="35"/>
        <v>Complete</v>
      </c>
      <c r="K1111">
        <f>COUNTIFS(RawData[Item], B1111,RawData[Quantity],C1111,RawData[Price Per Unit],D1111,RawData[Total Spent],E1111,RawData[Payment Method],F1111,RawData[Location],G1111,RawData[Transaction Date],H1111)</f>
        <v>1</v>
      </c>
      <c r="L1111"/>
    </row>
    <row r="1112" spans="1:12" x14ac:dyDescent="0.3">
      <c r="A1112" t="s">
        <v>1118</v>
      </c>
      <c r="B1112" t="s">
        <v>10012</v>
      </c>
      <c r="C1112">
        <v>3</v>
      </c>
      <c r="D1112">
        <v>4</v>
      </c>
      <c r="E1112">
        <v>12</v>
      </c>
      <c r="F1112" t="s">
        <v>10020</v>
      </c>
      <c r="G1112" t="s">
        <v>10021</v>
      </c>
      <c r="H1112" s="6">
        <v>44938</v>
      </c>
      <c r="I1112">
        <f t="shared" si="34"/>
        <v>0</v>
      </c>
      <c r="J1112" t="str">
        <f t="shared" si="35"/>
        <v>Complete</v>
      </c>
      <c r="K1112">
        <f>COUNTIFS(RawData[Item], B1112,RawData[Quantity],C1112,RawData[Price Per Unit],D1112,RawData[Total Spent],E1112,RawData[Payment Method],F1112,RawData[Location],G1112,RawData[Transaction Date],H1112)</f>
        <v>1</v>
      </c>
      <c r="L1112"/>
    </row>
    <row r="1113" spans="1:12" x14ac:dyDescent="0.3">
      <c r="A1113" t="s">
        <v>1119</v>
      </c>
      <c r="B1113" t="s">
        <v>10016</v>
      </c>
      <c r="C1113">
        <v>5</v>
      </c>
      <c r="D1113">
        <v>3</v>
      </c>
      <c r="E1113">
        <v>15</v>
      </c>
      <c r="F1113" t="s">
        <v>10069</v>
      </c>
      <c r="G1113" t="s">
        <v>10021</v>
      </c>
      <c r="H1113" s="6">
        <v>44981</v>
      </c>
      <c r="I1113">
        <f t="shared" si="34"/>
        <v>0</v>
      </c>
      <c r="J1113" t="str">
        <f t="shared" si="35"/>
        <v>Complete</v>
      </c>
      <c r="K1113">
        <f>COUNTIFS(RawData[Item], B1113,RawData[Quantity],C1113,RawData[Price Per Unit],D1113,RawData[Total Spent],E1113,RawData[Payment Method],F1113,RawData[Location],G1113,RawData[Transaction Date],H1113)</f>
        <v>1</v>
      </c>
      <c r="L1113"/>
    </row>
    <row r="1114" spans="1:12" x14ac:dyDescent="0.3">
      <c r="A1114" t="s">
        <v>1120</v>
      </c>
      <c r="B1114" t="s">
        <v>10008</v>
      </c>
      <c r="C1114" t="s">
        <v>10013</v>
      </c>
      <c r="D1114">
        <v>2</v>
      </c>
      <c r="E1114">
        <v>6</v>
      </c>
      <c r="F1114" t="s">
        <v>10069</v>
      </c>
      <c r="G1114" t="s">
        <v>10021</v>
      </c>
      <c r="H1114" s="6">
        <v>44967</v>
      </c>
      <c r="I1114">
        <f t="shared" si="34"/>
        <v>1</v>
      </c>
      <c r="J1114" t="str">
        <f t="shared" si="35"/>
        <v>Complete</v>
      </c>
      <c r="K1114">
        <f>COUNTIFS(RawData[Item], B1114,RawData[Quantity],C1114,RawData[Price Per Unit],D1114,RawData[Total Spent],E1114,RawData[Payment Method],F1114,RawData[Location],G1114,RawData[Transaction Date],H1114)</f>
        <v>1</v>
      </c>
      <c r="L1114"/>
    </row>
    <row r="1115" spans="1:12" x14ac:dyDescent="0.3">
      <c r="A1115" t="s">
        <v>1121</v>
      </c>
      <c r="B1115" t="s">
        <v>10011</v>
      </c>
      <c r="C1115">
        <v>5</v>
      </c>
      <c r="D1115">
        <v>5</v>
      </c>
      <c r="E1115">
        <v>25</v>
      </c>
      <c r="F1115" t="s">
        <v>10018</v>
      </c>
      <c r="G1115" t="s">
        <v>10102</v>
      </c>
      <c r="H1115" s="6">
        <v>45274</v>
      </c>
      <c r="I1115">
        <f t="shared" si="34"/>
        <v>0</v>
      </c>
      <c r="J1115" t="str">
        <f t="shared" si="35"/>
        <v>Complete</v>
      </c>
      <c r="K1115">
        <f>COUNTIFS(RawData[Item], B1115,RawData[Quantity],C1115,RawData[Price Per Unit],D1115,RawData[Total Spent],E1115,RawData[Payment Method],F1115,RawData[Location],G1115,RawData[Transaction Date],H1115)</f>
        <v>1</v>
      </c>
      <c r="L1115"/>
    </row>
    <row r="1116" spans="1:12" x14ac:dyDescent="0.3">
      <c r="A1116" t="s">
        <v>1122</v>
      </c>
      <c r="B1116" t="s">
        <v>10012</v>
      </c>
      <c r="C1116">
        <v>3</v>
      </c>
      <c r="D1116">
        <v>4</v>
      </c>
      <c r="E1116">
        <v>12</v>
      </c>
      <c r="F1116" t="s">
        <v>10069</v>
      </c>
      <c r="G1116" t="s">
        <v>10104</v>
      </c>
      <c r="H1116" s="6">
        <v>45209</v>
      </c>
      <c r="I1116">
        <f t="shared" si="34"/>
        <v>1</v>
      </c>
      <c r="J1116" t="str">
        <f t="shared" si="35"/>
        <v>Complete</v>
      </c>
      <c r="K1116">
        <f>COUNTIFS(RawData[Item], B1116,RawData[Quantity],C1116,RawData[Price Per Unit],D1116,RawData[Total Spent],E1116,RawData[Payment Method],F1116,RawData[Location],G1116,RawData[Transaction Date],H1116)</f>
        <v>1</v>
      </c>
      <c r="L1116"/>
    </row>
    <row r="1117" spans="1:12" x14ac:dyDescent="0.3">
      <c r="A1117" t="s">
        <v>1123</v>
      </c>
      <c r="B1117" t="s">
        <v>10009</v>
      </c>
      <c r="C1117">
        <v>3</v>
      </c>
      <c r="D1117">
        <v>3</v>
      </c>
      <c r="E1117">
        <v>9</v>
      </c>
      <c r="F1117" t="s">
        <v>10020</v>
      </c>
      <c r="G1117" t="s">
        <v>10021</v>
      </c>
      <c r="H1117" s="6">
        <v>44958</v>
      </c>
      <c r="I1117">
        <f t="shared" si="34"/>
        <v>0</v>
      </c>
      <c r="J1117" t="str">
        <f t="shared" si="35"/>
        <v>Complete</v>
      </c>
      <c r="K1117">
        <f>COUNTIFS(RawData[Item], B1117,RawData[Quantity],C1117,RawData[Price Per Unit],D1117,RawData[Total Spent],E1117,RawData[Payment Method],F1117,RawData[Location],G1117,RawData[Transaction Date],H1117)</f>
        <v>1</v>
      </c>
      <c r="L1117"/>
    </row>
    <row r="1118" spans="1:12" x14ac:dyDescent="0.3">
      <c r="A1118" t="s">
        <v>1124</v>
      </c>
      <c r="B1118" t="s">
        <v>10012</v>
      </c>
      <c r="C1118" t="s">
        <v>10015</v>
      </c>
      <c r="D1118">
        <v>4</v>
      </c>
      <c r="E1118">
        <v>16</v>
      </c>
      <c r="F1118" t="s">
        <v>10018</v>
      </c>
      <c r="G1118" t="s">
        <v>10069</v>
      </c>
      <c r="H1118" s="6">
        <v>45029</v>
      </c>
      <c r="I1118">
        <f t="shared" si="34"/>
        <v>1</v>
      </c>
      <c r="J1118" t="str">
        <f t="shared" si="35"/>
        <v>Complete</v>
      </c>
      <c r="K1118">
        <f>COUNTIFS(RawData[Item], B1118,RawData[Quantity],C1118,RawData[Price Per Unit],D1118,RawData[Total Spent],E1118,RawData[Payment Method],F1118,RawData[Location],G1118,RawData[Transaction Date],H1118)</f>
        <v>1</v>
      </c>
      <c r="L1118"/>
    </row>
    <row r="1119" spans="1:12" x14ac:dyDescent="0.3">
      <c r="A1119" t="s">
        <v>1125</v>
      </c>
      <c r="B1119" t="s">
        <v>10016</v>
      </c>
      <c r="C1119">
        <v>5</v>
      </c>
      <c r="D1119">
        <v>3</v>
      </c>
      <c r="E1119">
        <v>15</v>
      </c>
      <c r="F1119" t="s">
        <v>10103</v>
      </c>
      <c r="G1119" t="s">
        <v>10069</v>
      </c>
      <c r="H1119" s="6">
        <v>45103</v>
      </c>
      <c r="I1119">
        <f t="shared" si="34"/>
        <v>1</v>
      </c>
      <c r="J1119" t="str">
        <f t="shared" si="35"/>
        <v>Complete</v>
      </c>
      <c r="K1119">
        <f>COUNTIFS(RawData[Item], B1119,RawData[Quantity],C1119,RawData[Price Per Unit],D1119,RawData[Total Spent],E1119,RawData[Payment Method],F1119,RawData[Location],G1119,RawData[Transaction Date],H1119)</f>
        <v>1</v>
      </c>
      <c r="L1119"/>
    </row>
    <row r="1120" spans="1:12" x14ac:dyDescent="0.3">
      <c r="A1120" t="s">
        <v>1126</v>
      </c>
      <c r="B1120" t="s">
        <v>10012</v>
      </c>
      <c r="C1120">
        <v>3</v>
      </c>
      <c r="D1120">
        <v>4</v>
      </c>
      <c r="E1120">
        <v>12</v>
      </c>
      <c r="F1120" t="s">
        <v>10018</v>
      </c>
      <c r="G1120" t="s">
        <v>10102</v>
      </c>
      <c r="H1120" s="6">
        <v>45144</v>
      </c>
      <c r="I1120">
        <f t="shared" si="34"/>
        <v>0</v>
      </c>
      <c r="J1120" t="str">
        <f t="shared" si="35"/>
        <v>Complete</v>
      </c>
      <c r="K1120">
        <f>COUNTIFS(RawData[Item], B1120,RawData[Quantity],C1120,RawData[Price Per Unit],D1120,RawData[Total Spent],E1120,RawData[Payment Method],F1120,RawData[Location],G1120,RawData[Transaction Date],H1120)</f>
        <v>1</v>
      </c>
      <c r="L1120"/>
    </row>
    <row r="1121" spans="1:12" x14ac:dyDescent="0.3">
      <c r="A1121" t="s">
        <v>1127</v>
      </c>
      <c r="B1121" t="s">
        <v>10014</v>
      </c>
      <c r="C1121">
        <v>5</v>
      </c>
      <c r="D1121">
        <v>4</v>
      </c>
      <c r="E1121">
        <v>20</v>
      </c>
      <c r="F1121" t="s">
        <v>10020</v>
      </c>
      <c r="G1121" t="s">
        <v>10103</v>
      </c>
      <c r="H1121" s="6">
        <v>45128</v>
      </c>
      <c r="I1121">
        <f t="shared" si="34"/>
        <v>1</v>
      </c>
      <c r="J1121" t="str">
        <f t="shared" si="35"/>
        <v>Complete</v>
      </c>
      <c r="K1121">
        <f>COUNTIFS(RawData[Item], B1121,RawData[Quantity],C1121,RawData[Price Per Unit],D1121,RawData[Total Spent],E1121,RawData[Payment Method],F1121,RawData[Location],G1121,RawData[Transaction Date],H1121)</f>
        <v>1</v>
      </c>
      <c r="L1121"/>
    </row>
    <row r="1122" spans="1:12" x14ac:dyDescent="0.3">
      <c r="A1122" t="s">
        <v>1128</v>
      </c>
      <c r="B1122" t="s">
        <v>10009</v>
      </c>
      <c r="C1122">
        <v>2</v>
      </c>
      <c r="D1122">
        <v>3</v>
      </c>
      <c r="E1122">
        <v>6</v>
      </c>
      <c r="F1122" t="s">
        <v>10103</v>
      </c>
      <c r="G1122" t="s">
        <v>10103</v>
      </c>
      <c r="H1122" s="6" t="s">
        <v>10112</v>
      </c>
      <c r="I1122">
        <f t="shared" si="34"/>
        <v>3</v>
      </c>
      <c r="J1122" t="str">
        <f t="shared" si="35"/>
        <v>Incomplete</v>
      </c>
      <c r="K1122">
        <f>COUNTIFS(RawData[Item], B1122,RawData[Quantity],C1122,RawData[Price Per Unit],D1122,RawData[Total Spent],E1122,RawData[Payment Method],F1122,RawData[Location],G1122,RawData[Transaction Date],H1122)</f>
        <v>1</v>
      </c>
      <c r="L1122"/>
    </row>
    <row r="1123" spans="1:12" x14ac:dyDescent="0.3">
      <c r="A1123" t="s">
        <v>1129</v>
      </c>
      <c r="B1123" t="s">
        <v>10011</v>
      </c>
      <c r="C1123">
        <v>1</v>
      </c>
      <c r="D1123">
        <v>5</v>
      </c>
      <c r="E1123">
        <v>5</v>
      </c>
      <c r="F1123" t="s">
        <v>10019</v>
      </c>
      <c r="G1123" t="s">
        <v>10102</v>
      </c>
      <c r="H1123" s="6">
        <v>45129</v>
      </c>
      <c r="I1123">
        <f t="shared" si="34"/>
        <v>0</v>
      </c>
      <c r="J1123" t="str">
        <f t="shared" si="35"/>
        <v>Complete</v>
      </c>
      <c r="K1123">
        <f>COUNTIFS(RawData[Item], B1123,RawData[Quantity],C1123,RawData[Price Per Unit],D1123,RawData[Total Spent],E1123,RawData[Payment Method],F1123,RawData[Location],G1123,RawData[Transaction Date],H1123)</f>
        <v>1</v>
      </c>
      <c r="L1123"/>
    </row>
    <row r="1124" spans="1:12" x14ac:dyDescent="0.3">
      <c r="A1124" t="s">
        <v>1130</v>
      </c>
      <c r="B1124" t="s">
        <v>10017</v>
      </c>
      <c r="C1124">
        <v>5</v>
      </c>
      <c r="D1124">
        <v>1.5</v>
      </c>
      <c r="E1124">
        <v>7.5</v>
      </c>
      <c r="F1124" t="s">
        <v>10018</v>
      </c>
      <c r="G1124" t="s">
        <v>10069</v>
      </c>
      <c r="H1124" s="6" t="s">
        <v>10112</v>
      </c>
      <c r="I1124">
        <f t="shared" si="34"/>
        <v>1</v>
      </c>
      <c r="J1124" t="str">
        <f t="shared" si="35"/>
        <v>Incomplete</v>
      </c>
      <c r="K1124">
        <f>COUNTIFS(RawData[Item], B1124,RawData[Quantity],C1124,RawData[Price Per Unit],D1124,RawData[Total Spent],E1124,RawData[Payment Method],F1124,RawData[Location],G1124,RawData[Transaction Date],H1124)</f>
        <v>1</v>
      </c>
      <c r="L1124"/>
    </row>
    <row r="1125" spans="1:12" x14ac:dyDescent="0.3">
      <c r="A1125" t="s">
        <v>1131</v>
      </c>
      <c r="B1125" t="s">
        <v>10008</v>
      </c>
      <c r="C1125">
        <v>3</v>
      </c>
      <c r="D1125">
        <v>2</v>
      </c>
      <c r="E1125">
        <v>6</v>
      </c>
      <c r="F1125" t="s">
        <v>10069</v>
      </c>
      <c r="G1125" t="s">
        <v>10069</v>
      </c>
      <c r="H1125" s="6">
        <v>45132</v>
      </c>
      <c r="I1125">
        <f t="shared" si="34"/>
        <v>0</v>
      </c>
      <c r="J1125" t="str">
        <f t="shared" si="35"/>
        <v>Complete</v>
      </c>
      <c r="K1125">
        <f>COUNTIFS(RawData[Item], B1125,RawData[Quantity],C1125,RawData[Price Per Unit],D1125,RawData[Total Spent],E1125,RawData[Payment Method],F1125,RawData[Location],G1125,RawData[Transaction Date],H1125)</f>
        <v>1</v>
      </c>
      <c r="L1125"/>
    </row>
    <row r="1126" spans="1:12" x14ac:dyDescent="0.3">
      <c r="A1126" t="s">
        <v>1132</v>
      </c>
      <c r="B1126" t="s">
        <v>10016</v>
      </c>
      <c r="C1126">
        <v>2</v>
      </c>
      <c r="D1126" t="s">
        <v>10013</v>
      </c>
      <c r="E1126">
        <v>6</v>
      </c>
      <c r="F1126" t="s">
        <v>10020</v>
      </c>
      <c r="G1126" t="s">
        <v>10069</v>
      </c>
      <c r="H1126" s="6">
        <v>44954</v>
      </c>
      <c r="I1126">
        <f t="shared" si="34"/>
        <v>1</v>
      </c>
      <c r="J1126" t="str">
        <f t="shared" si="35"/>
        <v>Complete</v>
      </c>
      <c r="K1126">
        <f>COUNTIFS(RawData[Item], B1126,RawData[Quantity],C1126,RawData[Price Per Unit],D1126,RawData[Total Spent],E1126,RawData[Payment Method],F1126,RawData[Location],G1126,RawData[Transaction Date],H1126)</f>
        <v>1</v>
      </c>
      <c r="L1126"/>
    </row>
    <row r="1127" spans="1:12" x14ac:dyDescent="0.3">
      <c r="A1127" t="s">
        <v>1133</v>
      </c>
      <c r="B1127" t="s">
        <v>10012</v>
      </c>
      <c r="C1127">
        <v>5</v>
      </c>
      <c r="D1127">
        <v>4</v>
      </c>
      <c r="E1127">
        <v>20</v>
      </c>
      <c r="F1127" t="s">
        <v>10104</v>
      </c>
      <c r="G1127" t="s">
        <v>10103</v>
      </c>
      <c r="H1127" s="6">
        <v>45157</v>
      </c>
      <c r="I1127">
        <f t="shared" si="34"/>
        <v>2</v>
      </c>
      <c r="J1127" t="str">
        <f t="shared" si="35"/>
        <v>Complete</v>
      </c>
      <c r="K1127">
        <f>COUNTIFS(RawData[Item], B1127,RawData[Quantity],C1127,RawData[Price Per Unit],D1127,RawData[Total Spent],E1127,RawData[Payment Method],F1127,RawData[Location],G1127,RawData[Transaction Date],H1127)</f>
        <v>1</v>
      </c>
      <c r="L1127"/>
    </row>
    <row r="1128" spans="1:12" x14ac:dyDescent="0.3">
      <c r="A1128" t="s">
        <v>1134</v>
      </c>
      <c r="B1128" t="s">
        <v>10012</v>
      </c>
      <c r="C1128">
        <v>2</v>
      </c>
      <c r="D1128">
        <v>4</v>
      </c>
      <c r="E1128">
        <v>8</v>
      </c>
      <c r="F1128" t="s">
        <v>10018</v>
      </c>
      <c r="G1128" t="s">
        <v>10102</v>
      </c>
      <c r="H1128" s="6">
        <v>45000</v>
      </c>
      <c r="I1128">
        <f t="shared" si="34"/>
        <v>0</v>
      </c>
      <c r="J1128" t="str">
        <f t="shared" si="35"/>
        <v>Complete</v>
      </c>
      <c r="K1128">
        <f>COUNTIFS(RawData[Item], B1128,RawData[Quantity],C1128,RawData[Price Per Unit],D1128,RawData[Total Spent],E1128,RawData[Payment Method],F1128,RawData[Location],G1128,RawData[Transaction Date],H1128)</f>
        <v>1</v>
      </c>
      <c r="L1128"/>
    </row>
    <row r="1129" spans="1:12" x14ac:dyDescent="0.3">
      <c r="A1129" t="s">
        <v>1135</v>
      </c>
      <c r="B1129" t="s">
        <v>10015</v>
      </c>
      <c r="C1129">
        <v>5</v>
      </c>
      <c r="D1129">
        <v>3</v>
      </c>
      <c r="E1129">
        <v>15</v>
      </c>
      <c r="F1129" t="s">
        <v>10069</v>
      </c>
      <c r="G1129" t="s">
        <v>10069</v>
      </c>
      <c r="H1129" s="6">
        <v>45006</v>
      </c>
      <c r="I1129">
        <f t="shared" si="34"/>
        <v>1</v>
      </c>
      <c r="J1129" t="str">
        <f t="shared" si="35"/>
        <v>Complete</v>
      </c>
      <c r="K1129">
        <f>COUNTIFS(RawData[Item], B1129,RawData[Quantity],C1129,RawData[Price Per Unit],D1129,RawData[Total Spent],E1129,RawData[Payment Method],F1129,RawData[Location],G1129,RawData[Transaction Date],H1129)</f>
        <v>1</v>
      </c>
      <c r="L1129"/>
    </row>
    <row r="1130" spans="1:12" x14ac:dyDescent="0.3">
      <c r="A1130" t="s">
        <v>1136</v>
      </c>
      <c r="B1130" t="s">
        <v>10009</v>
      </c>
      <c r="C1130">
        <v>1</v>
      </c>
      <c r="D1130">
        <v>3</v>
      </c>
      <c r="E1130">
        <v>3</v>
      </c>
      <c r="F1130" t="s">
        <v>10018</v>
      </c>
      <c r="G1130" t="s">
        <v>10021</v>
      </c>
      <c r="H1130" s="6">
        <v>45236</v>
      </c>
      <c r="I1130">
        <f t="shared" si="34"/>
        <v>0</v>
      </c>
      <c r="J1130" t="str">
        <f t="shared" si="35"/>
        <v>Complete</v>
      </c>
      <c r="K1130">
        <f>COUNTIFS(RawData[Item], B1130,RawData[Quantity],C1130,RawData[Price Per Unit],D1130,RawData[Total Spent],E1130,RawData[Payment Method],F1130,RawData[Location],G1130,RawData[Transaction Date],H1130)</f>
        <v>1</v>
      </c>
      <c r="L1130"/>
    </row>
    <row r="1131" spans="1:12" x14ac:dyDescent="0.3">
      <c r="A1131" t="s">
        <v>1137</v>
      </c>
      <c r="B1131" t="s">
        <v>10008</v>
      </c>
      <c r="C1131">
        <v>2</v>
      </c>
      <c r="D1131" t="s">
        <v>10013</v>
      </c>
      <c r="E1131">
        <v>4</v>
      </c>
      <c r="F1131" t="s">
        <v>10019</v>
      </c>
      <c r="G1131" t="s">
        <v>10069</v>
      </c>
      <c r="H1131" s="6" t="s">
        <v>10112</v>
      </c>
      <c r="I1131">
        <f t="shared" si="34"/>
        <v>2</v>
      </c>
      <c r="J1131" t="str">
        <f t="shared" si="35"/>
        <v>Incomplete</v>
      </c>
      <c r="K1131">
        <f>COUNTIFS(RawData[Item], B1131,RawData[Quantity],C1131,RawData[Price Per Unit],D1131,RawData[Total Spent],E1131,RawData[Payment Method],F1131,RawData[Location],G1131,RawData[Transaction Date],H1131)</f>
        <v>1</v>
      </c>
      <c r="L1131"/>
    </row>
    <row r="1132" spans="1:12" x14ac:dyDescent="0.3">
      <c r="A1132" t="s">
        <v>1138</v>
      </c>
      <c r="B1132" t="s">
        <v>10009</v>
      </c>
      <c r="C1132">
        <v>2</v>
      </c>
      <c r="D1132">
        <v>3</v>
      </c>
      <c r="E1132">
        <v>6</v>
      </c>
      <c r="F1132" t="s">
        <v>10019</v>
      </c>
      <c r="G1132" t="s">
        <v>10102</v>
      </c>
      <c r="H1132" s="6">
        <v>45019</v>
      </c>
      <c r="I1132">
        <f t="shared" si="34"/>
        <v>0</v>
      </c>
      <c r="J1132" t="str">
        <f t="shared" si="35"/>
        <v>Complete</v>
      </c>
      <c r="K1132">
        <f>COUNTIFS(RawData[Item], B1132,RawData[Quantity],C1132,RawData[Price Per Unit],D1132,RawData[Total Spent],E1132,RawData[Payment Method],F1132,RawData[Location],G1132,RawData[Transaction Date],H1132)</f>
        <v>1</v>
      </c>
      <c r="L1132"/>
    </row>
    <row r="1133" spans="1:12" x14ac:dyDescent="0.3">
      <c r="A1133" t="s">
        <v>1139</v>
      </c>
      <c r="B1133" t="s">
        <v>10014</v>
      </c>
      <c r="C1133">
        <v>1</v>
      </c>
      <c r="D1133">
        <v>4</v>
      </c>
      <c r="E1133">
        <v>4</v>
      </c>
      <c r="F1133" t="s">
        <v>10018</v>
      </c>
      <c r="G1133" t="s">
        <v>10102</v>
      </c>
      <c r="H1133" s="6">
        <v>45124</v>
      </c>
      <c r="I1133">
        <f t="shared" si="34"/>
        <v>0</v>
      </c>
      <c r="J1133" t="str">
        <f t="shared" si="35"/>
        <v>Complete</v>
      </c>
      <c r="K1133">
        <f>COUNTIFS(RawData[Item], B1133,RawData[Quantity],C1133,RawData[Price Per Unit],D1133,RawData[Total Spent],E1133,RawData[Payment Method],F1133,RawData[Location],G1133,RawData[Transaction Date],H1133)</f>
        <v>2</v>
      </c>
      <c r="L1133"/>
    </row>
    <row r="1134" spans="1:12" x14ac:dyDescent="0.3">
      <c r="A1134" t="s">
        <v>1140</v>
      </c>
      <c r="B1134" t="s">
        <v>10012</v>
      </c>
      <c r="C1134">
        <v>2</v>
      </c>
      <c r="D1134">
        <v>4</v>
      </c>
      <c r="E1134">
        <v>8</v>
      </c>
      <c r="F1134" t="s">
        <v>10019</v>
      </c>
      <c r="G1134" t="s">
        <v>10102</v>
      </c>
      <c r="H1134" s="6">
        <v>45147</v>
      </c>
      <c r="I1134">
        <f t="shared" si="34"/>
        <v>0</v>
      </c>
      <c r="J1134" t="str">
        <f t="shared" si="35"/>
        <v>Complete</v>
      </c>
      <c r="K1134">
        <f>COUNTIFS(RawData[Item], B1134,RawData[Quantity],C1134,RawData[Price Per Unit],D1134,RawData[Total Spent],E1134,RawData[Payment Method],F1134,RawData[Location],G1134,RawData[Transaction Date],H1134)</f>
        <v>1</v>
      </c>
      <c r="L1134"/>
    </row>
    <row r="1135" spans="1:12" x14ac:dyDescent="0.3">
      <c r="A1135" t="s">
        <v>1141</v>
      </c>
      <c r="B1135" t="s">
        <v>10012</v>
      </c>
      <c r="C1135">
        <v>4</v>
      </c>
      <c r="D1135">
        <v>4</v>
      </c>
      <c r="E1135">
        <v>16</v>
      </c>
      <c r="F1135" t="s">
        <v>10018</v>
      </c>
      <c r="G1135" t="s">
        <v>10021</v>
      </c>
      <c r="H1135" s="6">
        <v>45284</v>
      </c>
      <c r="I1135">
        <f t="shared" si="34"/>
        <v>0</v>
      </c>
      <c r="J1135" t="str">
        <f t="shared" si="35"/>
        <v>Complete</v>
      </c>
      <c r="K1135">
        <f>COUNTIFS(RawData[Item], B1135,RawData[Quantity],C1135,RawData[Price Per Unit],D1135,RawData[Total Spent],E1135,RawData[Payment Method],F1135,RawData[Location],G1135,RawData[Transaction Date],H1135)</f>
        <v>1</v>
      </c>
      <c r="L1135"/>
    </row>
    <row r="1136" spans="1:12" x14ac:dyDescent="0.3">
      <c r="A1136" t="s">
        <v>1142</v>
      </c>
      <c r="B1136" t="s">
        <v>10008</v>
      </c>
      <c r="C1136">
        <v>5</v>
      </c>
      <c r="D1136">
        <v>2</v>
      </c>
      <c r="E1136">
        <v>10</v>
      </c>
      <c r="F1136" t="s">
        <v>10103</v>
      </c>
      <c r="G1136" t="s">
        <v>10021</v>
      </c>
      <c r="H1136" s="6">
        <v>45174</v>
      </c>
      <c r="I1136">
        <f t="shared" si="34"/>
        <v>1</v>
      </c>
      <c r="J1136" t="str">
        <f t="shared" si="35"/>
        <v>Complete</v>
      </c>
      <c r="K1136">
        <f>COUNTIFS(RawData[Item], B1136,RawData[Quantity],C1136,RawData[Price Per Unit],D1136,RawData[Total Spent],E1136,RawData[Payment Method],F1136,RawData[Location],G1136,RawData[Transaction Date],H1136)</f>
        <v>1</v>
      </c>
      <c r="L1136"/>
    </row>
    <row r="1137" spans="1:12" x14ac:dyDescent="0.3">
      <c r="A1137" t="s">
        <v>1143</v>
      </c>
      <c r="B1137" t="s">
        <v>10014</v>
      </c>
      <c r="C1137">
        <v>1</v>
      </c>
      <c r="D1137">
        <v>4</v>
      </c>
      <c r="E1137">
        <v>4</v>
      </c>
      <c r="F1137" t="s">
        <v>10019</v>
      </c>
      <c r="G1137" t="s">
        <v>10102</v>
      </c>
      <c r="H1137" s="6">
        <v>44938</v>
      </c>
      <c r="I1137">
        <f t="shared" si="34"/>
        <v>0</v>
      </c>
      <c r="J1137" t="str">
        <f t="shared" si="35"/>
        <v>Complete</v>
      </c>
      <c r="K1137">
        <f>COUNTIFS(RawData[Item], B1137,RawData[Quantity],C1137,RawData[Price Per Unit],D1137,RawData[Total Spent],E1137,RawData[Payment Method],F1137,RawData[Location],G1137,RawData[Transaction Date],H1137)</f>
        <v>1</v>
      </c>
      <c r="L1137"/>
    </row>
    <row r="1138" spans="1:12" x14ac:dyDescent="0.3">
      <c r="A1138" t="s">
        <v>1144</v>
      </c>
      <c r="B1138" t="s">
        <v>10009</v>
      </c>
      <c r="C1138">
        <v>2</v>
      </c>
      <c r="D1138">
        <v>3</v>
      </c>
      <c r="E1138">
        <v>6</v>
      </c>
      <c r="F1138" t="s">
        <v>10019</v>
      </c>
      <c r="G1138" t="s">
        <v>10102</v>
      </c>
      <c r="H1138" s="6" t="s">
        <v>10112</v>
      </c>
      <c r="I1138">
        <f t="shared" si="34"/>
        <v>1</v>
      </c>
      <c r="J1138" t="str">
        <f t="shared" si="35"/>
        <v>Incomplete</v>
      </c>
      <c r="K1138">
        <f>COUNTIFS(RawData[Item], B1138,RawData[Quantity],C1138,RawData[Price Per Unit],D1138,RawData[Total Spent],E1138,RawData[Payment Method],F1138,RawData[Location],G1138,RawData[Transaction Date],H1138)</f>
        <v>3</v>
      </c>
      <c r="L1138"/>
    </row>
    <row r="1139" spans="1:12" x14ac:dyDescent="0.3">
      <c r="A1139" t="s">
        <v>1145</v>
      </c>
      <c r="B1139" t="s">
        <v>10009</v>
      </c>
      <c r="C1139">
        <v>5</v>
      </c>
      <c r="D1139">
        <v>3</v>
      </c>
      <c r="E1139">
        <v>15</v>
      </c>
      <c r="F1139" t="s">
        <v>10069</v>
      </c>
      <c r="G1139" t="s">
        <v>10102</v>
      </c>
      <c r="H1139" s="6" t="s">
        <v>10112</v>
      </c>
      <c r="I1139">
        <f t="shared" si="34"/>
        <v>1</v>
      </c>
      <c r="J1139" t="str">
        <f t="shared" si="35"/>
        <v>Incomplete</v>
      </c>
      <c r="K1139">
        <f>COUNTIFS(RawData[Item], B1139,RawData[Quantity],C1139,RawData[Price Per Unit],D1139,RawData[Total Spent],E1139,RawData[Payment Method],F1139,RawData[Location],G1139,RawData[Transaction Date],H1139)</f>
        <v>3</v>
      </c>
      <c r="L1139"/>
    </row>
    <row r="1140" spans="1:12" x14ac:dyDescent="0.3">
      <c r="A1140" t="s">
        <v>1146</v>
      </c>
      <c r="B1140" t="s">
        <v>10011</v>
      </c>
      <c r="C1140">
        <v>4</v>
      </c>
      <c r="D1140">
        <v>0</v>
      </c>
      <c r="E1140">
        <v>20</v>
      </c>
      <c r="F1140" t="s">
        <v>10020</v>
      </c>
      <c r="G1140" t="s">
        <v>10069</v>
      </c>
      <c r="H1140" s="6">
        <v>44934</v>
      </c>
      <c r="I1140">
        <f t="shared" si="34"/>
        <v>0</v>
      </c>
      <c r="J1140" t="str">
        <f t="shared" si="35"/>
        <v>Complete</v>
      </c>
      <c r="K1140">
        <f>COUNTIFS(RawData[Item], B1140,RawData[Quantity],C1140,RawData[Price Per Unit],D1140,RawData[Total Spent],E1140,RawData[Payment Method],F1140,RawData[Location],G1140,RawData[Transaction Date],H1140)</f>
        <v>1</v>
      </c>
      <c r="L1140"/>
    </row>
    <row r="1141" spans="1:12" x14ac:dyDescent="0.3">
      <c r="A1141" t="s">
        <v>1147</v>
      </c>
      <c r="B1141" t="s">
        <v>10012</v>
      </c>
      <c r="C1141">
        <v>1</v>
      </c>
      <c r="D1141">
        <v>4</v>
      </c>
      <c r="E1141">
        <v>4</v>
      </c>
      <c r="F1141" t="s">
        <v>10069</v>
      </c>
      <c r="G1141" t="s">
        <v>10021</v>
      </c>
      <c r="H1141" s="6">
        <v>44928</v>
      </c>
      <c r="I1141">
        <f t="shared" si="34"/>
        <v>0</v>
      </c>
      <c r="J1141" t="str">
        <f t="shared" si="35"/>
        <v>Complete</v>
      </c>
      <c r="K1141">
        <f>COUNTIFS(RawData[Item], B1141,RawData[Quantity],C1141,RawData[Price Per Unit],D1141,RawData[Total Spent],E1141,RawData[Payment Method],F1141,RawData[Location],G1141,RawData[Transaction Date],H1141)</f>
        <v>1</v>
      </c>
      <c r="L1141"/>
    </row>
    <row r="1142" spans="1:12" x14ac:dyDescent="0.3">
      <c r="A1142" t="s">
        <v>1148</v>
      </c>
      <c r="B1142" t="s">
        <v>10017</v>
      </c>
      <c r="C1142">
        <v>3</v>
      </c>
      <c r="D1142">
        <v>1.5</v>
      </c>
      <c r="E1142">
        <v>4.5</v>
      </c>
      <c r="F1142" t="s">
        <v>10069</v>
      </c>
      <c r="G1142" t="s">
        <v>10021</v>
      </c>
      <c r="H1142" s="6">
        <v>45211</v>
      </c>
      <c r="I1142">
        <f t="shared" si="34"/>
        <v>0</v>
      </c>
      <c r="J1142" t="str">
        <f t="shared" si="35"/>
        <v>Complete</v>
      </c>
      <c r="K1142">
        <f>COUNTIFS(RawData[Item], B1142,RawData[Quantity],C1142,RawData[Price Per Unit],D1142,RawData[Total Spent],E1142,RawData[Payment Method],F1142,RawData[Location],G1142,RawData[Transaction Date],H1142)</f>
        <v>1</v>
      </c>
      <c r="L1142"/>
    </row>
    <row r="1143" spans="1:12" x14ac:dyDescent="0.3">
      <c r="A1143" t="s">
        <v>1149</v>
      </c>
      <c r="B1143" t="s">
        <v>10010</v>
      </c>
      <c r="C1143">
        <v>1</v>
      </c>
      <c r="D1143">
        <v>1</v>
      </c>
      <c r="E1143">
        <v>1</v>
      </c>
      <c r="F1143" t="s">
        <v>10019</v>
      </c>
      <c r="G1143" t="s">
        <v>10102</v>
      </c>
      <c r="H1143" s="6">
        <v>45142</v>
      </c>
      <c r="I1143">
        <f t="shared" si="34"/>
        <v>0</v>
      </c>
      <c r="J1143" t="str">
        <f t="shared" si="35"/>
        <v>Complete</v>
      </c>
      <c r="K1143">
        <f>COUNTIFS(RawData[Item], B1143,RawData[Quantity],C1143,RawData[Price Per Unit],D1143,RawData[Total Spent],E1143,RawData[Payment Method],F1143,RawData[Location],G1143,RawData[Transaction Date],H1143)</f>
        <v>1</v>
      </c>
      <c r="L1143"/>
    </row>
    <row r="1144" spans="1:12" x14ac:dyDescent="0.3">
      <c r="A1144" t="s">
        <v>1150</v>
      </c>
      <c r="B1144" t="s">
        <v>10013</v>
      </c>
      <c r="C1144">
        <v>0</v>
      </c>
      <c r="D1144">
        <v>1.5</v>
      </c>
      <c r="E1144">
        <v>3</v>
      </c>
      <c r="F1144" t="s">
        <v>10020</v>
      </c>
      <c r="G1144" t="s">
        <v>10069</v>
      </c>
      <c r="H1144" s="6">
        <v>45026</v>
      </c>
      <c r="I1144">
        <f t="shared" si="34"/>
        <v>1</v>
      </c>
      <c r="J1144" t="str">
        <f t="shared" si="35"/>
        <v>Complete</v>
      </c>
      <c r="K1144">
        <f>COUNTIFS(RawData[Item], B1144,RawData[Quantity],C1144,RawData[Price Per Unit],D1144,RawData[Total Spent],E1144,RawData[Payment Method],F1144,RawData[Location],G1144,RawData[Transaction Date],H1144)</f>
        <v>1</v>
      </c>
      <c r="L1144"/>
    </row>
    <row r="1145" spans="1:12" x14ac:dyDescent="0.3">
      <c r="A1145" t="s">
        <v>1151</v>
      </c>
      <c r="B1145" t="s">
        <v>10011</v>
      </c>
      <c r="C1145">
        <v>4</v>
      </c>
      <c r="D1145">
        <v>5</v>
      </c>
      <c r="E1145">
        <v>20</v>
      </c>
      <c r="F1145" t="s">
        <v>10069</v>
      </c>
      <c r="G1145" t="s">
        <v>10069</v>
      </c>
      <c r="H1145" s="6">
        <v>45100</v>
      </c>
      <c r="I1145">
        <f t="shared" si="34"/>
        <v>0</v>
      </c>
      <c r="J1145" t="str">
        <f t="shared" si="35"/>
        <v>Complete</v>
      </c>
      <c r="K1145">
        <f>COUNTIFS(RawData[Item], B1145,RawData[Quantity],C1145,RawData[Price Per Unit],D1145,RawData[Total Spent],E1145,RawData[Payment Method],F1145,RawData[Location],G1145,RawData[Transaction Date],H1145)</f>
        <v>1</v>
      </c>
      <c r="L1145"/>
    </row>
    <row r="1146" spans="1:12" x14ac:dyDescent="0.3">
      <c r="A1146" t="s">
        <v>1152</v>
      </c>
      <c r="B1146" t="s">
        <v>10014</v>
      </c>
      <c r="C1146">
        <v>1</v>
      </c>
      <c r="D1146">
        <v>4</v>
      </c>
      <c r="E1146">
        <v>4</v>
      </c>
      <c r="F1146" t="s">
        <v>10019</v>
      </c>
      <c r="G1146" t="s">
        <v>10021</v>
      </c>
      <c r="H1146" s="6">
        <v>45155</v>
      </c>
      <c r="I1146">
        <f t="shared" si="34"/>
        <v>0</v>
      </c>
      <c r="J1146" t="str">
        <f t="shared" si="35"/>
        <v>Complete</v>
      </c>
      <c r="K1146">
        <f>COUNTIFS(RawData[Item], B1146,RawData[Quantity],C1146,RawData[Price Per Unit],D1146,RawData[Total Spent],E1146,RawData[Payment Method],F1146,RawData[Location],G1146,RawData[Transaction Date],H1146)</f>
        <v>1</v>
      </c>
      <c r="L1146"/>
    </row>
    <row r="1147" spans="1:12" x14ac:dyDescent="0.3">
      <c r="A1147" t="s">
        <v>1153</v>
      </c>
      <c r="B1147" t="s">
        <v>10008</v>
      </c>
      <c r="C1147">
        <v>2</v>
      </c>
      <c r="D1147">
        <v>2</v>
      </c>
      <c r="E1147">
        <v>4</v>
      </c>
      <c r="F1147" t="s">
        <v>10019</v>
      </c>
      <c r="G1147" t="s">
        <v>10102</v>
      </c>
      <c r="H1147" s="6">
        <v>45274</v>
      </c>
      <c r="I1147">
        <f t="shared" si="34"/>
        <v>0</v>
      </c>
      <c r="J1147" t="str">
        <f t="shared" si="35"/>
        <v>Complete</v>
      </c>
      <c r="K1147">
        <f>COUNTIFS(RawData[Item], B1147,RawData[Quantity],C1147,RawData[Price Per Unit],D1147,RawData[Total Spent],E1147,RawData[Payment Method],F1147,RawData[Location],G1147,RawData[Transaction Date],H1147)</f>
        <v>1</v>
      </c>
      <c r="L1147"/>
    </row>
    <row r="1148" spans="1:12" x14ac:dyDescent="0.3">
      <c r="A1148" t="s">
        <v>1154</v>
      </c>
      <c r="B1148" t="s">
        <v>10016</v>
      </c>
      <c r="C1148">
        <v>5</v>
      </c>
      <c r="D1148">
        <v>3</v>
      </c>
      <c r="E1148">
        <v>15</v>
      </c>
      <c r="F1148" t="s">
        <v>10020</v>
      </c>
      <c r="G1148" t="s">
        <v>10102</v>
      </c>
      <c r="H1148" s="6">
        <v>44944</v>
      </c>
      <c r="I1148">
        <f t="shared" si="34"/>
        <v>0</v>
      </c>
      <c r="J1148" t="str">
        <f t="shared" si="35"/>
        <v>Complete</v>
      </c>
      <c r="K1148">
        <f>COUNTIFS(RawData[Item], B1148,RawData[Quantity],C1148,RawData[Price Per Unit],D1148,RawData[Total Spent],E1148,RawData[Payment Method],F1148,RawData[Location],G1148,RawData[Transaction Date],H1148)</f>
        <v>1</v>
      </c>
      <c r="L1148"/>
    </row>
    <row r="1149" spans="1:12" x14ac:dyDescent="0.3">
      <c r="A1149" t="s">
        <v>1155</v>
      </c>
      <c r="B1149" t="s">
        <v>10014</v>
      </c>
      <c r="C1149">
        <v>2</v>
      </c>
      <c r="D1149">
        <v>4</v>
      </c>
      <c r="E1149">
        <v>8</v>
      </c>
      <c r="F1149" t="s">
        <v>10020</v>
      </c>
      <c r="G1149" t="s">
        <v>10103</v>
      </c>
      <c r="H1149" s="6">
        <v>45128</v>
      </c>
      <c r="I1149">
        <f t="shared" si="34"/>
        <v>1</v>
      </c>
      <c r="J1149" t="str">
        <f t="shared" si="35"/>
        <v>Complete</v>
      </c>
      <c r="K1149">
        <f>COUNTIFS(RawData[Item], B1149,RawData[Quantity],C1149,RawData[Price Per Unit],D1149,RawData[Total Spent],E1149,RawData[Payment Method],F1149,RawData[Location],G1149,RawData[Transaction Date],H1149)</f>
        <v>1</v>
      </c>
      <c r="L1149"/>
    </row>
    <row r="1150" spans="1:12" x14ac:dyDescent="0.3">
      <c r="A1150" t="s">
        <v>1156</v>
      </c>
      <c r="B1150" t="s">
        <v>10011</v>
      </c>
      <c r="C1150">
        <v>3</v>
      </c>
      <c r="D1150" t="s">
        <v>10015</v>
      </c>
      <c r="E1150">
        <v>15</v>
      </c>
      <c r="F1150" t="s">
        <v>10020</v>
      </c>
      <c r="G1150" t="s">
        <v>10069</v>
      </c>
      <c r="H1150" s="6">
        <v>45074</v>
      </c>
      <c r="I1150">
        <f t="shared" si="34"/>
        <v>1</v>
      </c>
      <c r="J1150" t="str">
        <f t="shared" si="35"/>
        <v>Complete</v>
      </c>
      <c r="K1150">
        <f>COUNTIFS(RawData[Item], B1150,RawData[Quantity],C1150,RawData[Price Per Unit],D1150,RawData[Total Spent],E1150,RawData[Payment Method],F1150,RawData[Location],G1150,RawData[Transaction Date],H1150)</f>
        <v>1</v>
      </c>
      <c r="L1150"/>
    </row>
    <row r="1151" spans="1:12" x14ac:dyDescent="0.3">
      <c r="A1151" t="s">
        <v>1157</v>
      </c>
      <c r="B1151" t="s">
        <v>10069</v>
      </c>
      <c r="C1151" t="s">
        <v>10013</v>
      </c>
      <c r="D1151">
        <v>1.5</v>
      </c>
      <c r="E1151">
        <v>7.5</v>
      </c>
      <c r="F1151" t="s">
        <v>10020</v>
      </c>
      <c r="G1151" t="s">
        <v>10102</v>
      </c>
      <c r="H1151" s="6">
        <v>45142</v>
      </c>
      <c r="I1151">
        <f t="shared" si="34"/>
        <v>1</v>
      </c>
      <c r="J1151" t="str">
        <f t="shared" si="35"/>
        <v>Complete</v>
      </c>
      <c r="K1151">
        <f>COUNTIFS(RawData[Item], B1151,RawData[Quantity],C1151,RawData[Price Per Unit],D1151,RawData[Total Spent],E1151,RawData[Payment Method],F1151,RawData[Location],G1151,RawData[Transaction Date],H1151)</f>
        <v>1</v>
      </c>
      <c r="L1151"/>
    </row>
    <row r="1152" spans="1:12" x14ac:dyDescent="0.3">
      <c r="A1152" t="s">
        <v>1158</v>
      </c>
      <c r="B1152" t="s">
        <v>10009</v>
      </c>
      <c r="C1152">
        <v>1</v>
      </c>
      <c r="D1152">
        <v>3</v>
      </c>
      <c r="E1152">
        <v>0</v>
      </c>
      <c r="F1152" t="s">
        <v>10020</v>
      </c>
      <c r="G1152" t="s">
        <v>10102</v>
      </c>
      <c r="H1152" s="6">
        <v>45007</v>
      </c>
      <c r="I1152">
        <f t="shared" si="34"/>
        <v>0</v>
      </c>
      <c r="J1152" t="str">
        <f t="shared" si="35"/>
        <v>Complete</v>
      </c>
      <c r="K1152">
        <f>COUNTIFS(RawData[Item], B1152,RawData[Quantity],C1152,RawData[Price Per Unit],D1152,RawData[Total Spent],E1152,RawData[Payment Method],F1152,RawData[Location],G1152,RawData[Transaction Date],H1152)</f>
        <v>1</v>
      </c>
      <c r="L1152"/>
    </row>
    <row r="1153" spans="1:12" x14ac:dyDescent="0.3">
      <c r="A1153" t="s">
        <v>1159</v>
      </c>
      <c r="B1153" t="s">
        <v>10012</v>
      </c>
      <c r="C1153">
        <v>5</v>
      </c>
      <c r="D1153">
        <v>4</v>
      </c>
      <c r="E1153">
        <v>20</v>
      </c>
      <c r="F1153" t="s">
        <v>10069</v>
      </c>
      <c r="G1153" t="s">
        <v>10021</v>
      </c>
      <c r="H1153" s="6">
        <v>45059</v>
      </c>
      <c r="I1153">
        <f t="shared" si="34"/>
        <v>0</v>
      </c>
      <c r="J1153" t="str">
        <f t="shared" si="35"/>
        <v>Complete</v>
      </c>
      <c r="K1153">
        <f>COUNTIFS(RawData[Item], B1153,RawData[Quantity],C1153,RawData[Price Per Unit],D1153,RawData[Total Spent],E1153,RawData[Payment Method],F1153,RawData[Location],G1153,RawData[Transaction Date],H1153)</f>
        <v>1</v>
      </c>
      <c r="L1153"/>
    </row>
    <row r="1154" spans="1:12" x14ac:dyDescent="0.3">
      <c r="A1154" t="s">
        <v>1160</v>
      </c>
      <c r="B1154" t="s">
        <v>10008</v>
      </c>
      <c r="C1154">
        <v>4</v>
      </c>
      <c r="D1154">
        <v>2</v>
      </c>
      <c r="E1154">
        <v>8</v>
      </c>
      <c r="F1154" t="s">
        <v>10019</v>
      </c>
      <c r="G1154" t="s">
        <v>10102</v>
      </c>
      <c r="H1154" s="6">
        <v>45268</v>
      </c>
      <c r="I1154">
        <f t="shared" ref="I1154:I1217" si="36">(B1154="Unknown")+(B1154="Error")+(C1154="Unknown")+(C1154="Error")+(D1154="Unknown")+(D1154="Error")+(E1154="Unknown")+(E1154="Error")+(F1154="Unknown")+(F1154="Error")+(G1154="Unknown")+(G1154="Error")+(H1154="No Date")</f>
        <v>0</v>
      </c>
      <c r="J1154" t="str">
        <f t="shared" ref="J1154:J1217" si="37">IF((H1154="No Date"),"Incomplete","Complete")</f>
        <v>Complete</v>
      </c>
      <c r="K1154">
        <f>COUNTIFS(RawData[Item], B1154,RawData[Quantity],C1154,RawData[Price Per Unit],D1154,RawData[Total Spent],E1154,RawData[Payment Method],F1154,RawData[Location],G1154,RawData[Transaction Date],H1154)</f>
        <v>1</v>
      </c>
      <c r="L1154"/>
    </row>
    <row r="1155" spans="1:12" x14ac:dyDescent="0.3">
      <c r="A1155" t="s">
        <v>1161</v>
      </c>
      <c r="B1155" t="s">
        <v>10012</v>
      </c>
      <c r="C1155">
        <v>3</v>
      </c>
      <c r="D1155">
        <v>4</v>
      </c>
      <c r="E1155">
        <v>12</v>
      </c>
      <c r="F1155" t="s">
        <v>10104</v>
      </c>
      <c r="G1155" t="s">
        <v>10069</v>
      </c>
      <c r="H1155" s="6">
        <v>45057</v>
      </c>
      <c r="I1155">
        <f t="shared" si="36"/>
        <v>1</v>
      </c>
      <c r="J1155" t="str">
        <f t="shared" si="37"/>
        <v>Complete</v>
      </c>
      <c r="K1155">
        <f>COUNTIFS(RawData[Item], B1155,RawData[Quantity],C1155,RawData[Price Per Unit],D1155,RawData[Total Spent],E1155,RawData[Payment Method],F1155,RawData[Location],G1155,RawData[Transaction Date],H1155)</f>
        <v>1</v>
      </c>
      <c r="L1155"/>
    </row>
    <row r="1156" spans="1:12" x14ac:dyDescent="0.3">
      <c r="A1156" t="s">
        <v>1162</v>
      </c>
      <c r="B1156" t="s">
        <v>10013</v>
      </c>
      <c r="C1156">
        <v>2</v>
      </c>
      <c r="D1156">
        <v>0</v>
      </c>
      <c r="E1156">
        <v>3</v>
      </c>
      <c r="F1156" t="s">
        <v>10018</v>
      </c>
      <c r="G1156" t="s">
        <v>10102</v>
      </c>
      <c r="H1156" s="6">
        <v>44988</v>
      </c>
      <c r="I1156">
        <f t="shared" si="36"/>
        <v>1</v>
      </c>
      <c r="J1156" t="str">
        <f t="shared" si="37"/>
        <v>Complete</v>
      </c>
      <c r="K1156">
        <f>COUNTIFS(RawData[Item], B1156,RawData[Quantity],C1156,RawData[Price Per Unit],D1156,RawData[Total Spent],E1156,RawData[Payment Method],F1156,RawData[Location],G1156,RawData[Transaction Date],H1156)</f>
        <v>1</v>
      </c>
      <c r="L1156"/>
    </row>
    <row r="1157" spans="1:12" x14ac:dyDescent="0.3">
      <c r="A1157" t="s">
        <v>1163</v>
      </c>
      <c r="B1157" t="s">
        <v>10014</v>
      </c>
      <c r="C1157">
        <v>5</v>
      </c>
      <c r="D1157" t="s">
        <v>10015</v>
      </c>
      <c r="E1157">
        <v>20</v>
      </c>
      <c r="F1157" t="s">
        <v>10104</v>
      </c>
      <c r="G1157" t="s">
        <v>10021</v>
      </c>
      <c r="H1157" s="6">
        <v>45011</v>
      </c>
      <c r="I1157">
        <f t="shared" si="36"/>
        <v>2</v>
      </c>
      <c r="J1157" t="str">
        <f t="shared" si="37"/>
        <v>Complete</v>
      </c>
      <c r="K1157">
        <f>COUNTIFS(RawData[Item], B1157,RawData[Quantity],C1157,RawData[Price Per Unit],D1157,RawData[Total Spent],E1157,RawData[Payment Method],F1157,RawData[Location],G1157,RawData[Transaction Date],H1157)</f>
        <v>1</v>
      </c>
      <c r="L1157"/>
    </row>
    <row r="1158" spans="1:12" x14ac:dyDescent="0.3">
      <c r="A1158" t="s">
        <v>1164</v>
      </c>
      <c r="B1158" t="s">
        <v>10015</v>
      </c>
      <c r="C1158">
        <v>2</v>
      </c>
      <c r="D1158">
        <v>2</v>
      </c>
      <c r="E1158">
        <v>4</v>
      </c>
      <c r="F1158" t="s">
        <v>10018</v>
      </c>
      <c r="G1158" t="s">
        <v>10021</v>
      </c>
      <c r="H1158" s="6">
        <v>45033</v>
      </c>
      <c r="I1158">
        <f t="shared" si="36"/>
        <v>1</v>
      </c>
      <c r="J1158" t="str">
        <f t="shared" si="37"/>
        <v>Complete</v>
      </c>
      <c r="K1158">
        <f>COUNTIFS(RawData[Item], B1158,RawData[Quantity],C1158,RawData[Price Per Unit],D1158,RawData[Total Spent],E1158,RawData[Payment Method],F1158,RawData[Location],G1158,RawData[Transaction Date],H1158)</f>
        <v>1</v>
      </c>
      <c r="L1158"/>
    </row>
    <row r="1159" spans="1:12" x14ac:dyDescent="0.3">
      <c r="A1159" t="s">
        <v>1165</v>
      </c>
      <c r="B1159" t="s">
        <v>10014</v>
      </c>
      <c r="C1159">
        <v>5</v>
      </c>
      <c r="D1159">
        <v>4</v>
      </c>
      <c r="E1159">
        <v>20</v>
      </c>
      <c r="F1159" t="s">
        <v>10019</v>
      </c>
      <c r="G1159" t="s">
        <v>10069</v>
      </c>
      <c r="H1159" s="6">
        <v>44968</v>
      </c>
      <c r="I1159">
        <f t="shared" si="36"/>
        <v>0</v>
      </c>
      <c r="J1159" t="str">
        <f t="shared" si="37"/>
        <v>Complete</v>
      </c>
      <c r="K1159">
        <f>COUNTIFS(RawData[Item], B1159,RawData[Quantity],C1159,RawData[Price Per Unit],D1159,RawData[Total Spent],E1159,RawData[Payment Method],F1159,RawData[Location],G1159,RawData[Transaction Date],H1159)</f>
        <v>1</v>
      </c>
      <c r="L1159"/>
    </row>
    <row r="1160" spans="1:12" x14ac:dyDescent="0.3">
      <c r="A1160" t="s">
        <v>1166</v>
      </c>
      <c r="B1160" t="s">
        <v>10014</v>
      </c>
      <c r="C1160">
        <v>2</v>
      </c>
      <c r="D1160">
        <v>4</v>
      </c>
      <c r="E1160">
        <v>8</v>
      </c>
      <c r="F1160" t="s">
        <v>10020</v>
      </c>
      <c r="G1160" t="s">
        <v>10021</v>
      </c>
      <c r="H1160" s="6">
        <v>45270</v>
      </c>
      <c r="I1160">
        <f t="shared" si="36"/>
        <v>0</v>
      </c>
      <c r="J1160" t="str">
        <f t="shared" si="37"/>
        <v>Complete</v>
      </c>
      <c r="K1160">
        <f>COUNTIFS(RawData[Item], B1160,RawData[Quantity],C1160,RawData[Price Per Unit],D1160,RawData[Total Spent],E1160,RawData[Payment Method],F1160,RawData[Location],G1160,RawData[Transaction Date],H1160)</f>
        <v>1</v>
      </c>
      <c r="L1160"/>
    </row>
    <row r="1161" spans="1:12" x14ac:dyDescent="0.3">
      <c r="A1161" t="s">
        <v>1167</v>
      </c>
      <c r="B1161" t="s">
        <v>10013</v>
      </c>
      <c r="C1161">
        <v>4</v>
      </c>
      <c r="D1161">
        <v>1.5</v>
      </c>
      <c r="E1161">
        <v>6</v>
      </c>
      <c r="F1161" t="s">
        <v>10020</v>
      </c>
      <c r="G1161" t="s">
        <v>10069</v>
      </c>
      <c r="H1161" s="6">
        <v>45164</v>
      </c>
      <c r="I1161">
        <f t="shared" si="36"/>
        <v>1</v>
      </c>
      <c r="J1161" t="str">
        <f t="shared" si="37"/>
        <v>Complete</v>
      </c>
      <c r="K1161">
        <f>COUNTIFS(RawData[Item], B1161,RawData[Quantity],C1161,RawData[Price Per Unit],D1161,RawData[Total Spent],E1161,RawData[Payment Method],F1161,RawData[Location],G1161,RawData[Transaction Date],H1161)</f>
        <v>1</v>
      </c>
      <c r="L1161"/>
    </row>
    <row r="1162" spans="1:12" x14ac:dyDescent="0.3">
      <c r="A1162" t="s">
        <v>1168</v>
      </c>
      <c r="B1162" t="s">
        <v>10017</v>
      </c>
      <c r="C1162">
        <v>4</v>
      </c>
      <c r="D1162">
        <v>1.5</v>
      </c>
      <c r="E1162">
        <v>6</v>
      </c>
      <c r="F1162" t="s">
        <v>10069</v>
      </c>
      <c r="G1162" t="s">
        <v>10102</v>
      </c>
      <c r="H1162" s="6">
        <v>45290</v>
      </c>
      <c r="I1162">
        <f t="shared" si="36"/>
        <v>0</v>
      </c>
      <c r="J1162" t="str">
        <f t="shared" si="37"/>
        <v>Complete</v>
      </c>
      <c r="K1162">
        <f>COUNTIFS(RawData[Item], B1162,RawData[Quantity],C1162,RawData[Price Per Unit],D1162,RawData[Total Spent],E1162,RawData[Payment Method],F1162,RawData[Location],G1162,RawData[Transaction Date],H1162)</f>
        <v>1</v>
      </c>
      <c r="L1162"/>
    </row>
    <row r="1163" spans="1:12" x14ac:dyDescent="0.3">
      <c r="A1163" t="s">
        <v>1169</v>
      </c>
      <c r="B1163" t="s">
        <v>10008</v>
      </c>
      <c r="C1163">
        <v>5</v>
      </c>
      <c r="D1163">
        <v>2</v>
      </c>
      <c r="E1163">
        <v>10</v>
      </c>
      <c r="F1163" t="s">
        <v>10018</v>
      </c>
      <c r="G1163" t="s">
        <v>10021</v>
      </c>
      <c r="H1163" s="6">
        <v>45224</v>
      </c>
      <c r="I1163">
        <f t="shared" si="36"/>
        <v>0</v>
      </c>
      <c r="J1163" t="str">
        <f t="shared" si="37"/>
        <v>Complete</v>
      </c>
      <c r="K1163">
        <f>COUNTIFS(RawData[Item], B1163,RawData[Quantity],C1163,RawData[Price Per Unit],D1163,RawData[Total Spent],E1163,RawData[Payment Method],F1163,RawData[Location],G1163,RawData[Transaction Date],H1163)</f>
        <v>1</v>
      </c>
      <c r="L1163"/>
    </row>
    <row r="1164" spans="1:12" x14ac:dyDescent="0.3">
      <c r="A1164" t="s">
        <v>1170</v>
      </c>
      <c r="B1164" t="s">
        <v>10014</v>
      </c>
      <c r="C1164">
        <v>4</v>
      </c>
      <c r="D1164">
        <v>4</v>
      </c>
      <c r="E1164">
        <v>16</v>
      </c>
      <c r="F1164" t="s">
        <v>10069</v>
      </c>
      <c r="G1164" t="s">
        <v>10102</v>
      </c>
      <c r="H1164" s="6">
        <v>45130</v>
      </c>
      <c r="I1164">
        <f t="shared" si="36"/>
        <v>0</v>
      </c>
      <c r="J1164" t="str">
        <f t="shared" si="37"/>
        <v>Complete</v>
      </c>
      <c r="K1164">
        <f>COUNTIFS(RawData[Item], B1164,RawData[Quantity],C1164,RawData[Price Per Unit],D1164,RawData[Total Spent],E1164,RawData[Payment Method],F1164,RawData[Location],G1164,RawData[Transaction Date],H1164)</f>
        <v>1</v>
      </c>
      <c r="L1164"/>
    </row>
    <row r="1165" spans="1:12" x14ac:dyDescent="0.3">
      <c r="A1165" t="s">
        <v>1171</v>
      </c>
      <c r="B1165" t="s">
        <v>10008</v>
      </c>
      <c r="C1165">
        <v>4</v>
      </c>
      <c r="D1165">
        <v>2</v>
      </c>
      <c r="E1165">
        <v>8</v>
      </c>
      <c r="F1165" t="s">
        <v>10018</v>
      </c>
      <c r="G1165" t="s">
        <v>10069</v>
      </c>
      <c r="H1165" s="6" t="s">
        <v>10112</v>
      </c>
      <c r="I1165">
        <f t="shared" si="36"/>
        <v>1</v>
      </c>
      <c r="J1165" t="str">
        <f t="shared" si="37"/>
        <v>Incomplete</v>
      </c>
      <c r="K1165">
        <f>COUNTIFS(RawData[Item], B1165,RawData[Quantity],C1165,RawData[Price Per Unit],D1165,RawData[Total Spent],E1165,RawData[Payment Method],F1165,RawData[Location],G1165,RawData[Transaction Date],H1165)</f>
        <v>1</v>
      </c>
      <c r="L1165"/>
    </row>
    <row r="1166" spans="1:12" x14ac:dyDescent="0.3">
      <c r="A1166" t="s">
        <v>1172</v>
      </c>
      <c r="B1166" t="s">
        <v>10010</v>
      </c>
      <c r="C1166">
        <v>4</v>
      </c>
      <c r="D1166">
        <v>1</v>
      </c>
      <c r="E1166">
        <v>4</v>
      </c>
      <c r="F1166" t="s">
        <v>10069</v>
      </c>
      <c r="G1166" t="s">
        <v>10069</v>
      </c>
      <c r="H1166" s="6">
        <v>45214</v>
      </c>
      <c r="I1166">
        <f t="shared" si="36"/>
        <v>0</v>
      </c>
      <c r="J1166" t="str">
        <f t="shared" si="37"/>
        <v>Complete</v>
      </c>
      <c r="K1166">
        <f>COUNTIFS(RawData[Item], B1166,RawData[Quantity],C1166,RawData[Price Per Unit],D1166,RawData[Total Spent],E1166,RawData[Payment Method],F1166,RawData[Location],G1166,RawData[Transaction Date],H1166)</f>
        <v>1</v>
      </c>
      <c r="L1166"/>
    </row>
    <row r="1167" spans="1:12" x14ac:dyDescent="0.3">
      <c r="A1167" t="s">
        <v>1173</v>
      </c>
      <c r="B1167" t="s">
        <v>10011</v>
      </c>
      <c r="C1167">
        <v>5</v>
      </c>
      <c r="D1167">
        <v>5</v>
      </c>
      <c r="E1167" t="s">
        <v>10013</v>
      </c>
      <c r="F1167" t="s">
        <v>10069</v>
      </c>
      <c r="G1167" t="s">
        <v>10021</v>
      </c>
      <c r="H1167" s="6">
        <v>45125</v>
      </c>
      <c r="I1167">
        <f t="shared" si="36"/>
        <v>1</v>
      </c>
      <c r="J1167" t="str">
        <f t="shared" si="37"/>
        <v>Complete</v>
      </c>
      <c r="K1167">
        <f>COUNTIFS(RawData[Item], B1167,RawData[Quantity],C1167,RawData[Price Per Unit],D1167,RawData[Total Spent],E1167,RawData[Payment Method],F1167,RawData[Location],G1167,RawData[Transaction Date],H1167)</f>
        <v>1</v>
      </c>
      <c r="L1167"/>
    </row>
    <row r="1168" spans="1:12" x14ac:dyDescent="0.3">
      <c r="A1168" t="s">
        <v>1174</v>
      </c>
      <c r="B1168" t="s">
        <v>10009</v>
      </c>
      <c r="C1168">
        <v>5</v>
      </c>
      <c r="D1168">
        <v>3</v>
      </c>
      <c r="E1168">
        <v>15</v>
      </c>
      <c r="F1168" t="s">
        <v>10019</v>
      </c>
      <c r="G1168" t="s">
        <v>10102</v>
      </c>
      <c r="H1168" s="6">
        <v>45286</v>
      </c>
      <c r="I1168">
        <f t="shared" si="36"/>
        <v>0</v>
      </c>
      <c r="J1168" t="str">
        <f t="shared" si="37"/>
        <v>Complete</v>
      </c>
      <c r="K1168">
        <f>COUNTIFS(RawData[Item], B1168,RawData[Quantity],C1168,RawData[Price Per Unit],D1168,RawData[Total Spent],E1168,RawData[Payment Method],F1168,RawData[Location],G1168,RawData[Transaction Date],H1168)</f>
        <v>1</v>
      </c>
      <c r="L1168"/>
    </row>
    <row r="1169" spans="1:12" x14ac:dyDescent="0.3">
      <c r="A1169" t="s">
        <v>1175</v>
      </c>
      <c r="B1169" t="s">
        <v>10013</v>
      </c>
      <c r="C1169">
        <v>3</v>
      </c>
      <c r="D1169">
        <v>1.5</v>
      </c>
      <c r="E1169">
        <v>4.5</v>
      </c>
      <c r="F1169" t="s">
        <v>10019</v>
      </c>
      <c r="G1169" t="s">
        <v>10102</v>
      </c>
      <c r="H1169" s="6">
        <v>45194</v>
      </c>
      <c r="I1169">
        <f t="shared" si="36"/>
        <v>1</v>
      </c>
      <c r="J1169" t="str">
        <f t="shared" si="37"/>
        <v>Complete</v>
      </c>
      <c r="K1169">
        <f>COUNTIFS(RawData[Item], B1169,RawData[Quantity],C1169,RawData[Price Per Unit],D1169,RawData[Total Spent],E1169,RawData[Payment Method],F1169,RawData[Location],G1169,RawData[Transaction Date],H1169)</f>
        <v>1</v>
      </c>
      <c r="L1169"/>
    </row>
    <row r="1170" spans="1:12" x14ac:dyDescent="0.3">
      <c r="A1170" t="s">
        <v>1176</v>
      </c>
      <c r="B1170" t="s">
        <v>10014</v>
      </c>
      <c r="C1170">
        <v>5</v>
      </c>
      <c r="D1170">
        <v>4</v>
      </c>
      <c r="E1170">
        <v>20</v>
      </c>
      <c r="F1170" t="s">
        <v>10069</v>
      </c>
      <c r="G1170" t="s">
        <v>10069</v>
      </c>
      <c r="H1170" s="6">
        <v>45187</v>
      </c>
      <c r="I1170">
        <f t="shared" si="36"/>
        <v>0</v>
      </c>
      <c r="J1170" t="str">
        <f t="shared" si="37"/>
        <v>Complete</v>
      </c>
      <c r="K1170">
        <f>COUNTIFS(RawData[Item], B1170,RawData[Quantity],C1170,RawData[Price Per Unit],D1170,RawData[Total Spent],E1170,RawData[Payment Method],F1170,RawData[Location],G1170,RawData[Transaction Date],H1170)</f>
        <v>1</v>
      </c>
      <c r="L1170"/>
    </row>
    <row r="1171" spans="1:12" x14ac:dyDescent="0.3">
      <c r="A1171" t="s">
        <v>1177</v>
      </c>
      <c r="B1171" t="s">
        <v>10008</v>
      </c>
      <c r="C1171">
        <v>3</v>
      </c>
      <c r="D1171">
        <v>2</v>
      </c>
      <c r="E1171">
        <v>6</v>
      </c>
      <c r="F1171" t="s">
        <v>10018</v>
      </c>
      <c r="G1171" t="s">
        <v>10069</v>
      </c>
      <c r="H1171" s="6">
        <v>45280</v>
      </c>
      <c r="I1171">
        <f t="shared" si="36"/>
        <v>0</v>
      </c>
      <c r="J1171" t="str">
        <f t="shared" si="37"/>
        <v>Complete</v>
      </c>
      <c r="K1171">
        <f>COUNTIFS(RawData[Item], B1171,RawData[Quantity],C1171,RawData[Price Per Unit],D1171,RawData[Total Spent],E1171,RawData[Payment Method],F1171,RawData[Location],G1171,RawData[Transaction Date],H1171)</f>
        <v>1</v>
      </c>
      <c r="L1171"/>
    </row>
    <row r="1172" spans="1:12" x14ac:dyDescent="0.3">
      <c r="A1172" t="s">
        <v>1178</v>
      </c>
      <c r="B1172" t="s">
        <v>10008</v>
      </c>
      <c r="C1172" t="s">
        <v>10013</v>
      </c>
      <c r="D1172">
        <v>2</v>
      </c>
      <c r="E1172">
        <v>10</v>
      </c>
      <c r="F1172" t="s">
        <v>10069</v>
      </c>
      <c r="G1172" t="s">
        <v>10069</v>
      </c>
      <c r="H1172" s="6" t="s">
        <v>10112</v>
      </c>
      <c r="I1172">
        <f t="shared" si="36"/>
        <v>2</v>
      </c>
      <c r="J1172" t="str">
        <f t="shared" si="37"/>
        <v>Incomplete</v>
      </c>
      <c r="K1172">
        <f>COUNTIFS(RawData[Item], B1172,RawData[Quantity],C1172,RawData[Price Per Unit],D1172,RawData[Total Spent],E1172,RawData[Payment Method],F1172,RawData[Location],G1172,RawData[Transaction Date],H1172)</f>
        <v>1</v>
      </c>
      <c r="L1172"/>
    </row>
    <row r="1173" spans="1:12" x14ac:dyDescent="0.3">
      <c r="A1173" t="s">
        <v>1179</v>
      </c>
      <c r="B1173" t="s">
        <v>10008</v>
      </c>
      <c r="C1173">
        <v>4</v>
      </c>
      <c r="D1173">
        <v>2</v>
      </c>
      <c r="E1173">
        <v>8</v>
      </c>
      <c r="F1173" t="s">
        <v>10020</v>
      </c>
      <c r="G1173" t="s">
        <v>10021</v>
      </c>
      <c r="H1173" s="6">
        <v>44991</v>
      </c>
      <c r="I1173">
        <f t="shared" si="36"/>
        <v>0</v>
      </c>
      <c r="J1173" t="str">
        <f t="shared" si="37"/>
        <v>Complete</v>
      </c>
      <c r="K1173">
        <f>COUNTIFS(RawData[Item], B1173,RawData[Quantity],C1173,RawData[Price Per Unit],D1173,RawData[Total Spent],E1173,RawData[Payment Method],F1173,RawData[Location],G1173,RawData[Transaction Date],H1173)</f>
        <v>1</v>
      </c>
      <c r="L1173"/>
    </row>
    <row r="1174" spans="1:12" x14ac:dyDescent="0.3">
      <c r="A1174" t="s">
        <v>1180</v>
      </c>
      <c r="B1174" t="s">
        <v>10010</v>
      </c>
      <c r="C1174">
        <v>1</v>
      </c>
      <c r="D1174">
        <v>1</v>
      </c>
      <c r="E1174">
        <v>1</v>
      </c>
      <c r="F1174" t="s">
        <v>10020</v>
      </c>
      <c r="G1174" t="s">
        <v>10069</v>
      </c>
      <c r="H1174" s="6">
        <v>45115</v>
      </c>
      <c r="I1174">
        <f t="shared" si="36"/>
        <v>0</v>
      </c>
      <c r="J1174" t="str">
        <f t="shared" si="37"/>
        <v>Complete</v>
      </c>
      <c r="K1174">
        <f>COUNTIFS(RawData[Item], B1174,RawData[Quantity],C1174,RawData[Price Per Unit],D1174,RawData[Total Spent],E1174,RawData[Payment Method],F1174,RawData[Location],G1174,RawData[Transaction Date],H1174)</f>
        <v>1</v>
      </c>
      <c r="L1174"/>
    </row>
    <row r="1175" spans="1:12" x14ac:dyDescent="0.3">
      <c r="A1175" t="s">
        <v>1181</v>
      </c>
      <c r="B1175" t="s">
        <v>10016</v>
      </c>
      <c r="C1175">
        <v>4</v>
      </c>
      <c r="D1175">
        <v>3</v>
      </c>
      <c r="E1175">
        <v>12</v>
      </c>
      <c r="F1175" t="s">
        <v>10069</v>
      </c>
      <c r="G1175" t="s">
        <v>10069</v>
      </c>
      <c r="H1175" s="6">
        <v>45013</v>
      </c>
      <c r="I1175">
        <f t="shared" si="36"/>
        <v>0</v>
      </c>
      <c r="J1175" t="str">
        <f t="shared" si="37"/>
        <v>Complete</v>
      </c>
      <c r="K1175">
        <f>COUNTIFS(RawData[Item], B1175,RawData[Quantity],C1175,RawData[Price Per Unit],D1175,RawData[Total Spent],E1175,RawData[Payment Method],F1175,RawData[Location],G1175,RawData[Transaction Date],H1175)</f>
        <v>1</v>
      </c>
      <c r="L1175"/>
    </row>
    <row r="1176" spans="1:12" x14ac:dyDescent="0.3">
      <c r="A1176" t="s">
        <v>1182</v>
      </c>
      <c r="B1176" t="s">
        <v>10008</v>
      </c>
      <c r="C1176">
        <v>4</v>
      </c>
      <c r="D1176">
        <v>2</v>
      </c>
      <c r="E1176">
        <v>8</v>
      </c>
      <c r="F1176" t="s">
        <v>10020</v>
      </c>
      <c r="G1176" t="s">
        <v>10102</v>
      </c>
      <c r="H1176" s="6">
        <v>45108</v>
      </c>
      <c r="I1176">
        <f t="shared" si="36"/>
        <v>0</v>
      </c>
      <c r="J1176" t="str">
        <f t="shared" si="37"/>
        <v>Complete</v>
      </c>
      <c r="K1176">
        <f>COUNTIFS(RawData[Item], B1176,RawData[Quantity],C1176,RawData[Price Per Unit],D1176,RawData[Total Spent],E1176,RawData[Payment Method],F1176,RawData[Location],G1176,RawData[Transaction Date],H1176)</f>
        <v>1</v>
      </c>
      <c r="L1176"/>
    </row>
    <row r="1177" spans="1:12" x14ac:dyDescent="0.3">
      <c r="A1177" t="s">
        <v>1183</v>
      </c>
      <c r="B1177" t="s">
        <v>10012</v>
      </c>
      <c r="C1177">
        <v>4</v>
      </c>
      <c r="D1177">
        <v>4</v>
      </c>
      <c r="E1177">
        <v>16</v>
      </c>
      <c r="F1177" t="s">
        <v>10020</v>
      </c>
      <c r="G1177" t="s">
        <v>10102</v>
      </c>
      <c r="H1177" s="6" t="s">
        <v>10112</v>
      </c>
      <c r="I1177">
        <f t="shared" si="36"/>
        <v>1</v>
      </c>
      <c r="J1177" t="str">
        <f t="shared" si="37"/>
        <v>Incomplete</v>
      </c>
      <c r="K1177">
        <f>COUNTIFS(RawData[Item], B1177,RawData[Quantity],C1177,RawData[Price Per Unit],D1177,RawData[Total Spent],E1177,RawData[Payment Method],F1177,RawData[Location],G1177,RawData[Transaction Date],H1177)</f>
        <v>1</v>
      </c>
      <c r="L1177"/>
    </row>
    <row r="1178" spans="1:12" x14ac:dyDescent="0.3">
      <c r="A1178" t="s">
        <v>1184</v>
      </c>
      <c r="B1178" t="s">
        <v>10009</v>
      </c>
      <c r="C1178">
        <v>3</v>
      </c>
      <c r="D1178">
        <v>3</v>
      </c>
      <c r="E1178">
        <v>9</v>
      </c>
      <c r="F1178" t="s">
        <v>10069</v>
      </c>
      <c r="G1178" t="s">
        <v>10103</v>
      </c>
      <c r="H1178" s="6">
        <v>45263</v>
      </c>
      <c r="I1178">
        <f t="shared" si="36"/>
        <v>1</v>
      </c>
      <c r="J1178" t="str">
        <f t="shared" si="37"/>
        <v>Complete</v>
      </c>
      <c r="K1178">
        <f>COUNTIFS(RawData[Item], B1178,RawData[Quantity],C1178,RawData[Price Per Unit],D1178,RawData[Total Spent],E1178,RawData[Payment Method],F1178,RawData[Location],G1178,RawData[Transaction Date],H1178)</f>
        <v>1</v>
      </c>
      <c r="L1178"/>
    </row>
    <row r="1179" spans="1:12" x14ac:dyDescent="0.3">
      <c r="A1179" t="s">
        <v>1185</v>
      </c>
      <c r="B1179" t="s">
        <v>10009</v>
      </c>
      <c r="C1179">
        <v>5</v>
      </c>
      <c r="D1179">
        <v>3</v>
      </c>
      <c r="E1179">
        <v>15</v>
      </c>
      <c r="F1179" t="s">
        <v>10020</v>
      </c>
      <c r="G1179" t="s">
        <v>10069</v>
      </c>
      <c r="H1179" s="6">
        <v>45010</v>
      </c>
      <c r="I1179">
        <f t="shared" si="36"/>
        <v>0</v>
      </c>
      <c r="J1179" t="str">
        <f t="shared" si="37"/>
        <v>Complete</v>
      </c>
      <c r="K1179">
        <f>COUNTIFS(RawData[Item], B1179,RawData[Quantity],C1179,RawData[Price Per Unit],D1179,RawData[Total Spent],E1179,RawData[Payment Method],F1179,RawData[Location],G1179,RawData[Transaction Date],H1179)</f>
        <v>1</v>
      </c>
      <c r="L1179"/>
    </row>
    <row r="1180" spans="1:12" x14ac:dyDescent="0.3">
      <c r="A1180" t="s">
        <v>1186</v>
      </c>
      <c r="B1180" t="s">
        <v>10011</v>
      </c>
      <c r="C1180">
        <v>5</v>
      </c>
      <c r="D1180">
        <v>5</v>
      </c>
      <c r="E1180">
        <v>25</v>
      </c>
      <c r="F1180" t="s">
        <v>10019</v>
      </c>
      <c r="G1180" t="s">
        <v>10102</v>
      </c>
      <c r="H1180" s="6">
        <v>45141</v>
      </c>
      <c r="I1180">
        <f t="shared" si="36"/>
        <v>0</v>
      </c>
      <c r="J1180" t="str">
        <f t="shared" si="37"/>
        <v>Complete</v>
      </c>
      <c r="K1180">
        <f>COUNTIFS(RawData[Item], B1180,RawData[Quantity],C1180,RawData[Price Per Unit],D1180,RawData[Total Spent],E1180,RawData[Payment Method],F1180,RawData[Location],G1180,RawData[Transaction Date],H1180)</f>
        <v>1</v>
      </c>
      <c r="L1180"/>
    </row>
    <row r="1181" spans="1:12" x14ac:dyDescent="0.3">
      <c r="A1181" t="s">
        <v>1187</v>
      </c>
      <c r="B1181" t="s">
        <v>10010</v>
      </c>
      <c r="C1181">
        <v>1</v>
      </c>
      <c r="D1181">
        <v>1</v>
      </c>
      <c r="E1181">
        <v>1</v>
      </c>
      <c r="F1181" t="s">
        <v>10018</v>
      </c>
      <c r="G1181" t="s">
        <v>10069</v>
      </c>
      <c r="H1181" s="6">
        <v>45046</v>
      </c>
      <c r="I1181">
        <f t="shared" si="36"/>
        <v>0</v>
      </c>
      <c r="J1181" t="str">
        <f t="shared" si="37"/>
        <v>Complete</v>
      </c>
      <c r="K1181">
        <f>COUNTIFS(RawData[Item], B1181,RawData[Quantity],C1181,RawData[Price Per Unit],D1181,RawData[Total Spent],E1181,RawData[Payment Method],F1181,RawData[Location],G1181,RawData[Transaction Date],H1181)</f>
        <v>1</v>
      </c>
      <c r="L1181"/>
    </row>
    <row r="1182" spans="1:12" x14ac:dyDescent="0.3">
      <c r="A1182" t="s">
        <v>1188</v>
      </c>
      <c r="B1182" t="s">
        <v>10010</v>
      </c>
      <c r="C1182">
        <v>3</v>
      </c>
      <c r="D1182">
        <v>1</v>
      </c>
      <c r="E1182">
        <v>3</v>
      </c>
      <c r="F1182" t="s">
        <v>10019</v>
      </c>
      <c r="G1182" t="s">
        <v>10069</v>
      </c>
      <c r="H1182" s="6">
        <v>45013</v>
      </c>
      <c r="I1182">
        <f t="shared" si="36"/>
        <v>0</v>
      </c>
      <c r="J1182" t="str">
        <f t="shared" si="37"/>
        <v>Complete</v>
      </c>
      <c r="K1182">
        <f>COUNTIFS(RawData[Item], B1182,RawData[Quantity],C1182,RawData[Price Per Unit],D1182,RawData[Total Spent],E1182,RawData[Payment Method],F1182,RawData[Location],G1182,RawData[Transaction Date],H1182)</f>
        <v>1</v>
      </c>
      <c r="L1182"/>
    </row>
    <row r="1183" spans="1:12" x14ac:dyDescent="0.3">
      <c r="A1183" t="s">
        <v>1189</v>
      </c>
      <c r="B1183" t="s">
        <v>10016</v>
      </c>
      <c r="C1183">
        <v>3</v>
      </c>
      <c r="D1183">
        <v>3</v>
      </c>
      <c r="E1183">
        <v>9</v>
      </c>
      <c r="F1183" t="s">
        <v>10018</v>
      </c>
      <c r="G1183" t="s">
        <v>10069</v>
      </c>
      <c r="H1183" s="6">
        <v>45272</v>
      </c>
      <c r="I1183">
        <f t="shared" si="36"/>
        <v>0</v>
      </c>
      <c r="J1183" t="str">
        <f t="shared" si="37"/>
        <v>Complete</v>
      </c>
      <c r="K1183">
        <f>COUNTIFS(RawData[Item], B1183,RawData[Quantity],C1183,RawData[Price Per Unit],D1183,RawData[Total Spent],E1183,RawData[Payment Method],F1183,RawData[Location],G1183,RawData[Transaction Date],H1183)</f>
        <v>1</v>
      </c>
      <c r="L1183"/>
    </row>
    <row r="1184" spans="1:12" x14ac:dyDescent="0.3">
      <c r="A1184" t="s">
        <v>1190</v>
      </c>
      <c r="B1184" t="s">
        <v>10011</v>
      </c>
      <c r="C1184">
        <v>4</v>
      </c>
      <c r="D1184">
        <v>5</v>
      </c>
      <c r="E1184">
        <v>20</v>
      </c>
      <c r="F1184" t="s">
        <v>10069</v>
      </c>
      <c r="G1184" t="s">
        <v>10021</v>
      </c>
      <c r="H1184" s="6">
        <v>45097</v>
      </c>
      <c r="I1184">
        <f t="shared" si="36"/>
        <v>0</v>
      </c>
      <c r="J1184" t="str">
        <f t="shared" si="37"/>
        <v>Complete</v>
      </c>
      <c r="K1184">
        <f>COUNTIFS(RawData[Item], B1184,RawData[Quantity],C1184,RawData[Price Per Unit],D1184,RawData[Total Spent],E1184,RawData[Payment Method],F1184,RawData[Location],G1184,RawData[Transaction Date],H1184)</f>
        <v>1</v>
      </c>
      <c r="L1184"/>
    </row>
    <row r="1185" spans="1:12" x14ac:dyDescent="0.3">
      <c r="A1185" t="s">
        <v>1191</v>
      </c>
      <c r="B1185" t="s">
        <v>10016</v>
      </c>
      <c r="C1185">
        <v>3</v>
      </c>
      <c r="D1185">
        <v>3</v>
      </c>
      <c r="E1185">
        <v>9</v>
      </c>
      <c r="F1185" t="s">
        <v>10018</v>
      </c>
      <c r="G1185" t="s">
        <v>10069</v>
      </c>
      <c r="H1185" s="6">
        <v>44961</v>
      </c>
      <c r="I1185">
        <f t="shared" si="36"/>
        <v>0</v>
      </c>
      <c r="J1185" t="str">
        <f t="shared" si="37"/>
        <v>Complete</v>
      </c>
      <c r="K1185">
        <f>COUNTIFS(RawData[Item], B1185,RawData[Quantity],C1185,RawData[Price Per Unit],D1185,RawData[Total Spent],E1185,RawData[Payment Method],F1185,RawData[Location],G1185,RawData[Transaction Date],H1185)</f>
        <v>1</v>
      </c>
      <c r="L1185"/>
    </row>
    <row r="1186" spans="1:12" x14ac:dyDescent="0.3">
      <c r="A1186" t="s">
        <v>1192</v>
      </c>
      <c r="B1186" t="s">
        <v>10008</v>
      </c>
      <c r="C1186">
        <v>4</v>
      </c>
      <c r="D1186">
        <v>2</v>
      </c>
      <c r="E1186">
        <v>8</v>
      </c>
      <c r="F1186" t="s">
        <v>10020</v>
      </c>
      <c r="G1186" t="s">
        <v>10069</v>
      </c>
      <c r="H1186" s="6">
        <v>45250</v>
      </c>
      <c r="I1186">
        <f t="shared" si="36"/>
        <v>0</v>
      </c>
      <c r="J1186" t="str">
        <f t="shared" si="37"/>
        <v>Complete</v>
      </c>
      <c r="K1186">
        <f>COUNTIFS(RawData[Item], B1186,RawData[Quantity],C1186,RawData[Price Per Unit],D1186,RawData[Total Spent],E1186,RawData[Payment Method],F1186,RawData[Location],G1186,RawData[Transaction Date],H1186)</f>
        <v>1</v>
      </c>
      <c r="L1186"/>
    </row>
    <row r="1187" spans="1:12" x14ac:dyDescent="0.3">
      <c r="A1187" t="s">
        <v>1193</v>
      </c>
      <c r="B1187" t="s">
        <v>10011</v>
      </c>
      <c r="C1187">
        <v>3</v>
      </c>
      <c r="D1187">
        <v>5</v>
      </c>
      <c r="E1187">
        <v>15</v>
      </c>
      <c r="F1187" t="s">
        <v>10103</v>
      </c>
      <c r="G1187" t="s">
        <v>10069</v>
      </c>
      <c r="H1187" s="6">
        <v>45048</v>
      </c>
      <c r="I1187">
        <f t="shared" si="36"/>
        <v>1</v>
      </c>
      <c r="J1187" t="str">
        <f t="shared" si="37"/>
        <v>Complete</v>
      </c>
      <c r="K1187">
        <f>COUNTIFS(RawData[Item], B1187,RawData[Quantity],C1187,RawData[Price Per Unit],D1187,RawData[Total Spent],E1187,RawData[Payment Method],F1187,RawData[Location],G1187,RawData[Transaction Date],H1187)</f>
        <v>1</v>
      </c>
      <c r="L1187"/>
    </row>
    <row r="1188" spans="1:12" x14ac:dyDescent="0.3">
      <c r="A1188" t="s">
        <v>1194</v>
      </c>
      <c r="B1188" t="s">
        <v>10069</v>
      </c>
      <c r="C1188">
        <v>2</v>
      </c>
      <c r="D1188">
        <v>1</v>
      </c>
      <c r="E1188" t="s">
        <v>10015</v>
      </c>
      <c r="F1188" t="s">
        <v>10020</v>
      </c>
      <c r="G1188" t="s">
        <v>10021</v>
      </c>
      <c r="H1188" s="6">
        <v>44986</v>
      </c>
      <c r="I1188">
        <f t="shared" si="36"/>
        <v>1</v>
      </c>
      <c r="J1188" t="str">
        <f t="shared" si="37"/>
        <v>Complete</v>
      </c>
      <c r="K1188">
        <f>COUNTIFS(RawData[Item], B1188,RawData[Quantity],C1188,RawData[Price Per Unit],D1188,RawData[Total Spent],E1188,RawData[Payment Method],F1188,RawData[Location],G1188,RawData[Transaction Date],H1188)</f>
        <v>1</v>
      </c>
      <c r="L1188"/>
    </row>
    <row r="1189" spans="1:12" x14ac:dyDescent="0.3">
      <c r="A1189" t="s">
        <v>1195</v>
      </c>
      <c r="B1189" t="s">
        <v>10011</v>
      </c>
      <c r="C1189">
        <v>4</v>
      </c>
      <c r="D1189">
        <v>5</v>
      </c>
      <c r="E1189">
        <v>20</v>
      </c>
      <c r="F1189" t="s">
        <v>10020</v>
      </c>
      <c r="G1189" t="s">
        <v>10102</v>
      </c>
      <c r="H1189" s="6">
        <v>45267</v>
      </c>
      <c r="I1189">
        <f t="shared" si="36"/>
        <v>0</v>
      </c>
      <c r="J1189" t="str">
        <f t="shared" si="37"/>
        <v>Complete</v>
      </c>
      <c r="K1189">
        <f>COUNTIFS(RawData[Item], B1189,RawData[Quantity],C1189,RawData[Price Per Unit],D1189,RawData[Total Spent],E1189,RawData[Payment Method],F1189,RawData[Location],G1189,RawData[Transaction Date],H1189)</f>
        <v>1</v>
      </c>
      <c r="L1189"/>
    </row>
    <row r="1190" spans="1:12" x14ac:dyDescent="0.3">
      <c r="A1190" t="s">
        <v>1196</v>
      </c>
      <c r="B1190" t="s">
        <v>10011</v>
      </c>
      <c r="C1190">
        <v>4</v>
      </c>
      <c r="D1190">
        <v>5</v>
      </c>
      <c r="E1190">
        <v>20</v>
      </c>
      <c r="F1190" t="s">
        <v>10019</v>
      </c>
      <c r="G1190" t="s">
        <v>10102</v>
      </c>
      <c r="H1190" s="6">
        <v>45255</v>
      </c>
      <c r="I1190">
        <f t="shared" si="36"/>
        <v>0</v>
      </c>
      <c r="J1190" t="str">
        <f t="shared" si="37"/>
        <v>Complete</v>
      </c>
      <c r="K1190">
        <f>COUNTIFS(RawData[Item], B1190,RawData[Quantity],C1190,RawData[Price Per Unit],D1190,RawData[Total Spent],E1190,RawData[Payment Method],F1190,RawData[Location],G1190,RawData[Transaction Date],H1190)</f>
        <v>1</v>
      </c>
      <c r="L1190"/>
    </row>
    <row r="1191" spans="1:12" x14ac:dyDescent="0.3">
      <c r="A1191" t="s">
        <v>1197</v>
      </c>
      <c r="B1191" t="s">
        <v>10016</v>
      </c>
      <c r="C1191">
        <v>4</v>
      </c>
      <c r="D1191">
        <v>3</v>
      </c>
      <c r="E1191">
        <v>12</v>
      </c>
      <c r="F1191" t="s">
        <v>10069</v>
      </c>
      <c r="G1191" t="s">
        <v>10069</v>
      </c>
      <c r="H1191" s="6">
        <v>45218</v>
      </c>
      <c r="I1191">
        <f t="shared" si="36"/>
        <v>0</v>
      </c>
      <c r="J1191" t="str">
        <f t="shared" si="37"/>
        <v>Complete</v>
      </c>
      <c r="K1191">
        <f>COUNTIFS(RawData[Item], B1191,RawData[Quantity],C1191,RawData[Price Per Unit],D1191,RawData[Total Spent],E1191,RawData[Payment Method],F1191,RawData[Location],G1191,RawData[Transaction Date],H1191)</f>
        <v>1</v>
      </c>
      <c r="L1191"/>
    </row>
    <row r="1192" spans="1:12" x14ac:dyDescent="0.3">
      <c r="A1192" t="s">
        <v>1198</v>
      </c>
      <c r="B1192" t="s">
        <v>10012</v>
      </c>
      <c r="C1192" t="s">
        <v>10013</v>
      </c>
      <c r="D1192">
        <v>4</v>
      </c>
      <c r="E1192">
        <v>12</v>
      </c>
      <c r="F1192" t="s">
        <v>10020</v>
      </c>
      <c r="G1192" t="s">
        <v>10102</v>
      </c>
      <c r="H1192" s="6">
        <v>45120</v>
      </c>
      <c r="I1192">
        <f t="shared" si="36"/>
        <v>1</v>
      </c>
      <c r="J1192" t="str">
        <f t="shared" si="37"/>
        <v>Complete</v>
      </c>
      <c r="K1192">
        <f>COUNTIFS(RawData[Item], B1192,RawData[Quantity],C1192,RawData[Price Per Unit],D1192,RawData[Total Spent],E1192,RawData[Payment Method],F1192,RawData[Location],G1192,RawData[Transaction Date],H1192)</f>
        <v>1</v>
      </c>
      <c r="L1192"/>
    </row>
    <row r="1193" spans="1:12" x14ac:dyDescent="0.3">
      <c r="A1193" t="s">
        <v>1199</v>
      </c>
      <c r="B1193" t="s">
        <v>10010</v>
      </c>
      <c r="C1193">
        <v>2</v>
      </c>
      <c r="D1193">
        <v>1</v>
      </c>
      <c r="E1193">
        <v>2</v>
      </c>
      <c r="F1193" t="s">
        <v>10018</v>
      </c>
      <c r="G1193" t="s">
        <v>10021</v>
      </c>
      <c r="H1193" s="6">
        <v>45160</v>
      </c>
      <c r="I1193">
        <f t="shared" si="36"/>
        <v>0</v>
      </c>
      <c r="J1193" t="str">
        <f t="shared" si="37"/>
        <v>Complete</v>
      </c>
      <c r="K1193">
        <f>COUNTIFS(RawData[Item], B1193,RawData[Quantity],C1193,RawData[Price Per Unit],D1193,RawData[Total Spent],E1193,RawData[Payment Method],F1193,RawData[Location],G1193,RawData[Transaction Date],H1193)</f>
        <v>1</v>
      </c>
      <c r="L1193"/>
    </row>
    <row r="1194" spans="1:12" x14ac:dyDescent="0.3">
      <c r="A1194" t="s">
        <v>1200</v>
      </c>
      <c r="B1194" t="s">
        <v>10009</v>
      </c>
      <c r="C1194">
        <v>3</v>
      </c>
      <c r="D1194">
        <v>3</v>
      </c>
      <c r="E1194">
        <v>9</v>
      </c>
      <c r="F1194" t="s">
        <v>10020</v>
      </c>
      <c r="G1194" t="s">
        <v>10102</v>
      </c>
      <c r="H1194" s="6">
        <v>45210</v>
      </c>
      <c r="I1194">
        <f t="shared" si="36"/>
        <v>0</v>
      </c>
      <c r="J1194" t="str">
        <f t="shared" si="37"/>
        <v>Complete</v>
      </c>
      <c r="K1194">
        <f>COUNTIFS(RawData[Item], B1194,RawData[Quantity],C1194,RawData[Price Per Unit],D1194,RawData[Total Spent],E1194,RawData[Payment Method],F1194,RawData[Location],G1194,RawData[Transaction Date],H1194)</f>
        <v>1</v>
      </c>
      <c r="L1194"/>
    </row>
    <row r="1195" spans="1:12" x14ac:dyDescent="0.3">
      <c r="A1195" t="s">
        <v>1201</v>
      </c>
      <c r="B1195" t="s">
        <v>10008</v>
      </c>
      <c r="C1195">
        <v>4</v>
      </c>
      <c r="D1195">
        <v>2</v>
      </c>
      <c r="E1195">
        <v>8</v>
      </c>
      <c r="F1195" t="s">
        <v>10019</v>
      </c>
      <c r="G1195" t="s">
        <v>10069</v>
      </c>
      <c r="H1195" s="6">
        <v>45037</v>
      </c>
      <c r="I1195">
        <f t="shared" si="36"/>
        <v>0</v>
      </c>
      <c r="J1195" t="str">
        <f t="shared" si="37"/>
        <v>Complete</v>
      </c>
      <c r="K1195">
        <f>COUNTIFS(RawData[Item], B1195,RawData[Quantity],C1195,RawData[Price Per Unit],D1195,RawData[Total Spent],E1195,RawData[Payment Method],F1195,RawData[Location],G1195,RawData[Transaction Date],H1195)</f>
        <v>1</v>
      </c>
      <c r="L1195"/>
    </row>
    <row r="1196" spans="1:12" x14ac:dyDescent="0.3">
      <c r="A1196" t="s">
        <v>1202</v>
      </c>
      <c r="B1196" t="s">
        <v>10010</v>
      </c>
      <c r="C1196">
        <v>2</v>
      </c>
      <c r="D1196">
        <v>1</v>
      </c>
      <c r="E1196">
        <v>2</v>
      </c>
      <c r="F1196" t="s">
        <v>10018</v>
      </c>
      <c r="G1196" t="s">
        <v>10021</v>
      </c>
      <c r="H1196" s="6">
        <v>45259</v>
      </c>
      <c r="I1196">
        <f t="shared" si="36"/>
        <v>0</v>
      </c>
      <c r="J1196" t="str">
        <f t="shared" si="37"/>
        <v>Complete</v>
      </c>
      <c r="K1196">
        <f>COUNTIFS(RawData[Item], B1196,RawData[Quantity],C1196,RawData[Price Per Unit],D1196,RawData[Total Spent],E1196,RawData[Payment Method],F1196,RawData[Location],G1196,RawData[Transaction Date],H1196)</f>
        <v>1</v>
      </c>
      <c r="L1196"/>
    </row>
    <row r="1197" spans="1:12" x14ac:dyDescent="0.3">
      <c r="A1197" t="s">
        <v>1203</v>
      </c>
      <c r="B1197" t="s">
        <v>10017</v>
      </c>
      <c r="C1197">
        <v>1</v>
      </c>
      <c r="D1197">
        <v>1.5</v>
      </c>
      <c r="E1197">
        <v>1.5</v>
      </c>
      <c r="F1197" t="s">
        <v>10019</v>
      </c>
      <c r="G1197" t="s">
        <v>10102</v>
      </c>
      <c r="H1197" s="6">
        <v>45064</v>
      </c>
      <c r="I1197">
        <f t="shared" si="36"/>
        <v>0</v>
      </c>
      <c r="J1197" t="str">
        <f t="shared" si="37"/>
        <v>Complete</v>
      </c>
      <c r="K1197">
        <f>COUNTIFS(RawData[Item], B1197,RawData[Quantity],C1197,RawData[Price Per Unit],D1197,RawData[Total Spent],E1197,RawData[Payment Method],F1197,RawData[Location],G1197,RawData[Transaction Date],H1197)</f>
        <v>1</v>
      </c>
      <c r="L1197"/>
    </row>
    <row r="1198" spans="1:12" x14ac:dyDescent="0.3">
      <c r="A1198" t="s">
        <v>1204</v>
      </c>
      <c r="B1198" t="s">
        <v>10009</v>
      </c>
      <c r="C1198">
        <v>1</v>
      </c>
      <c r="D1198">
        <v>3</v>
      </c>
      <c r="E1198">
        <v>3</v>
      </c>
      <c r="F1198" t="s">
        <v>10104</v>
      </c>
      <c r="G1198" t="s">
        <v>10069</v>
      </c>
      <c r="H1198" s="6">
        <v>44986</v>
      </c>
      <c r="I1198">
        <f t="shared" si="36"/>
        <v>1</v>
      </c>
      <c r="J1198" t="str">
        <f t="shared" si="37"/>
        <v>Complete</v>
      </c>
      <c r="K1198">
        <f>COUNTIFS(RawData[Item], B1198,RawData[Quantity],C1198,RawData[Price Per Unit],D1198,RawData[Total Spent],E1198,RawData[Payment Method],F1198,RawData[Location],G1198,RawData[Transaction Date],H1198)</f>
        <v>1</v>
      </c>
      <c r="L1198"/>
    </row>
    <row r="1199" spans="1:12" x14ac:dyDescent="0.3">
      <c r="A1199" t="s">
        <v>1205</v>
      </c>
      <c r="B1199" t="s">
        <v>10016</v>
      </c>
      <c r="C1199">
        <v>3</v>
      </c>
      <c r="D1199">
        <v>3</v>
      </c>
      <c r="E1199" t="s">
        <v>10015</v>
      </c>
      <c r="F1199" t="s">
        <v>10069</v>
      </c>
      <c r="G1199" t="s">
        <v>10069</v>
      </c>
      <c r="H1199" s="6">
        <v>45264</v>
      </c>
      <c r="I1199">
        <f t="shared" si="36"/>
        <v>1</v>
      </c>
      <c r="J1199" t="str">
        <f t="shared" si="37"/>
        <v>Complete</v>
      </c>
      <c r="K1199">
        <f>COUNTIFS(RawData[Item], B1199,RawData[Quantity],C1199,RawData[Price Per Unit],D1199,RawData[Total Spent],E1199,RawData[Payment Method],F1199,RawData[Location],G1199,RawData[Transaction Date],H1199)</f>
        <v>1</v>
      </c>
      <c r="L1199"/>
    </row>
    <row r="1200" spans="1:12" x14ac:dyDescent="0.3">
      <c r="A1200" t="s">
        <v>1206</v>
      </c>
      <c r="B1200" t="s">
        <v>10069</v>
      </c>
      <c r="C1200">
        <v>5</v>
      </c>
      <c r="D1200">
        <v>1</v>
      </c>
      <c r="E1200">
        <v>5</v>
      </c>
      <c r="F1200" t="s">
        <v>10069</v>
      </c>
      <c r="G1200" t="s">
        <v>10102</v>
      </c>
      <c r="H1200" s="6">
        <v>44948</v>
      </c>
      <c r="I1200">
        <f t="shared" si="36"/>
        <v>0</v>
      </c>
      <c r="J1200" t="str">
        <f t="shared" si="37"/>
        <v>Complete</v>
      </c>
      <c r="K1200">
        <f>COUNTIFS(RawData[Item], B1200,RawData[Quantity],C1200,RawData[Price Per Unit],D1200,RawData[Total Spent],E1200,RawData[Payment Method],F1200,RawData[Location],G1200,RawData[Transaction Date],H1200)</f>
        <v>1</v>
      </c>
      <c r="L1200"/>
    </row>
    <row r="1201" spans="1:12" x14ac:dyDescent="0.3">
      <c r="A1201" t="s">
        <v>1207</v>
      </c>
      <c r="B1201" t="s">
        <v>10011</v>
      </c>
      <c r="C1201">
        <v>5</v>
      </c>
      <c r="D1201">
        <v>5</v>
      </c>
      <c r="E1201" t="s">
        <v>10013</v>
      </c>
      <c r="F1201" t="s">
        <v>10019</v>
      </c>
      <c r="G1201" t="s">
        <v>10021</v>
      </c>
      <c r="H1201" s="6">
        <v>45258</v>
      </c>
      <c r="I1201">
        <f t="shared" si="36"/>
        <v>1</v>
      </c>
      <c r="J1201" t="str">
        <f t="shared" si="37"/>
        <v>Complete</v>
      </c>
      <c r="K1201">
        <f>COUNTIFS(RawData[Item], B1201,RawData[Quantity],C1201,RawData[Price Per Unit],D1201,RawData[Total Spent],E1201,RawData[Payment Method],F1201,RawData[Location],G1201,RawData[Transaction Date],H1201)</f>
        <v>1</v>
      </c>
      <c r="L1201"/>
    </row>
    <row r="1202" spans="1:12" x14ac:dyDescent="0.3">
      <c r="A1202" t="s">
        <v>1208</v>
      </c>
      <c r="B1202" t="s">
        <v>10010</v>
      </c>
      <c r="C1202">
        <v>5</v>
      </c>
      <c r="D1202">
        <v>1</v>
      </c>
      <c r="E1202">
        <v>5</v>
      </c>
      <c r="F1202" t="s">
        <v>10103</v>
      </c>
      <c r="G1202" t="s">
        <v>10102</v>
      </c>
      <c r="H1202" s="6">
        <v>45248</v>
      </c>
      <c r="I1202">
        <f t="shared" si="36"/>
        <v>1</v>
      </c>
      <c r="J1202" t="str">
        <f t="shared" si="37"/>
        <v>Complete</v>
      </c>
      <c r="K1202">
        <f>COUNTIFS(RawData[Item], B1202,RawData[Quantity],C1202,RawData[Price Per Unit],D1202,RawData[Total Spent],E1202,RawData[Payment Method],F1202,RawData[Location],G1202,RawData[Transaction Date],H1202)</f>
        <v>1</v>
      </c>
      <c r="L1202"/>
    </row>
    <row r="1203" spans="1:12" x14ac:dyDescent="0.3">
      <c r="A1203" t="s">
        <v>1209</v>
      </c>
      <c r="B1203" t="s">
        <v>10012</v>
      </c>
      <c r="C1203">
        <v>2</v>
      </c>
      <c r="D1203">
        <v>4</v>
      </c>
      <c r="E1203">
        <v>8</v>
      </c>
      <c r="F1203" t="s">
        <v>10018</v>
      </c>
      <c r="G1203" t="s">
        <v>10069</v>
      </c>
      <c r="H1203" s="6">
        <v>45151</v>
      </c>
      <c r="I1203">
        <f t="shared" si="36"/>
        <v>0</v>
      </c>
      <c r="J1203" t="str">
        <f t="shared" si="37"/>
        <v>Complete</v>
      </c>
      <c r="K1203">
        <f>COUNTIFS(RawData[Item], B1203,RawData[Quantity],C1203,RawData[Price Per Unit],D1203,RawData[Total Spent],E1203,RawData[Payment Method],F1203,RawData[Location],G1203,RawData[Transaction Date],H1203)</f>
        <v>1</v>
      </c>
      <c r="L1203"/>
    </row>
    <row r="1204" spans="1:12" x14ac:dyDescent="0.3">
      <c r="A1204" t="s">
        <v>1210</v>
      </c>
      <c r="B1204" t="s">
        <v>10017</v>
      </c>
      <c r="C1204">
        <v>1</v>
      </c>
      <c r="D1204">
        <v>1.5</v>
      </c>
      <c r="E1204">
        <v>1.5</v>
      </c>
      <c r="F1204" t="s">
        <v>10019</v>
      </c>
      <c r="G1204" t="s">
        <v>10069</v>
      </c>
      <c r="H1204" s="6">
        <v>45067</v>
      </c>
      <c r="I1204">
        <f t="shared" si="36"/>
        <v>0</v>
      </c>
      <c r="J1204" t="str">
        <f t="shared" si="37"/>
        <v>Complete</v>
      </c>
      <c r="K1204">
        <f>COUNTIFS(RawData[Item], B1204,RawData[Quantity],C1204,RawData[Price Per Unit],D1204,RawData[Total Spent],E1204,RawData[Payment Method],F1204,RawData[Location],G1204,RawData[Transaction Date],H1204)</f>
        <v>1</v>
      </c>
      <c r="L1204"/>
    </row>
    <row r="1205" spans="1:12" x14ac:dyDescent="0.3">
      <c r="A1205" t="s">
        <v>1211</v>
      </c>
      <c r="B1205" t="s">
        <v>10009</v>
      </c>
      <c r="C1205" t="s">
        <v>10015</v>
      </c>
      <c r="D1205">
        <v>3</v>
      </c>
      <c r="E1205">
        <v>9</v>
      </c>
      <c r="F1205" t="s">
        <v>10069</v>
      </c>
      <c r="G1205" t="s">
        <v>10069</v>
      </c>
      <c r="H1205" s="6">
        <v>45057</v>
      </c>
      <c r="I1205">
        <f t="shared" si="36"/>
        <v>1</v>
      </c>
      <c r="J1205" t="str">
        <f t="shared" si="37"/>
        <v>Complete</v>
      </c>
      <c r="K1205">
        <f>COUNTIFS(RawData[Item], B1205,RawData[Quantity],C1205,RawData[Price Per Unit],D1205,RawData[Total Spent],E1205,RawData[Payment Method],F1205,RawData[Location],G1205,RawData[Transaction Date],H1205)</f>
        <v>1</v>
      </c>
      <c r="L1205"/>
    </row>
    <row r="1206" spans="1:12" x14ac:dyDescent="0.3">
      <c r="A1206" t="s">
        <v>1212</v>
      </c>
      <c r="B1206" t="s">
        <v>10008</v>
      </c>
      <c r="C1206">
        <v>4</v>
      </c>
      <c r="D1206">
        <v>2</v>
      </c>
      <c r="E1206">
        <v>8</v>
      </c>
      <c r="F1206" t="s">
        <v>10069</v>
      </c>
      <c r="G1206" t="s">
        <v>10102</v>
      </c>
      <c r="H1206" s="6">
        <v>44965</v>
      </c>
      <c r="I1206">
        <f t="shared" si="36"/>
        <v>0</v>
      </c>
      <c r="J1206" t="str">
        <f t="shared" si="37"/>
        <v>Complete</v>
      </c>
      <c r="K1206">
        <f>COUNTIFS(RawData[Item], B1206,RawData[Quantity],C1206,RawData[Price Per Unit],D1206,RawData[Total Spent],E1206,RawData[Payment Method],F1206,RawData[Location],G1206,RawData[Transaction Date],H1206)</f>
        <v>1</v>
      </c>
      <c r="L1206"/>
    </row>
    <row r="1207" spans="1:12" x14ac:dyDescent="0.3">
      <c r="A1207" t="s">
        <v>1213</v>
      </c>
      <c r="B1207" t="s">
        <v>10012</v>
      </c>
      <c r="C1207">
        <v>4</v>
      </c>
      <c r="D1207">
        <v>4</v>
      </c>
      <c r="E1207">
        <v>16</v>
      </c>
      <c r="F1207" t="s">
        <v>10020</v>
      </c>
      <c r="G1207" t="s">
        <v>10021</v>
      </c>
      <c r="H1207" s="6">
        <v>45179</v>
      </c>
      <c r="I1207">
        <f t="shared" si="36"/>
        <v>0</v>
      </c>
      <c r="J1207" t="str">
        <f t="shared" si="37"/>
        <v>Complete</v>
      </c>
      <c r="K1207">
        <f>COUNTIFS(RawData[Item], B1207,RawData[Quantity],C1207,RawData[Price Per Unit],D1207,RawData[Total Spent],E1207,RawData[Payment Method],F1207,RawData[Location],G1207,RawData[Transaction Date],H1207)</f>
        <v>1</v>
      </c>
      <c r="L1207"/>
    </row>
    <row r="1208" spans="1:12" x14ac:dyDescent="0.3">
      <c r="A1208" t="s">
        <v>1214</v>
      </c>
      <c r="B1208" t="s">
        <v>10014</v>
      </c>
      <c r="C1208">
        <v>2</v>
      </c>
      <c r="D1208">
        <v>4</v>
      </c>
      <c r="E1208">
        <v>8</v>
      </c>
      <c r="F1208" t="s">
        <v>10069</v>
      </c>
      <c r="G1208" t="s">
        <v>10104</v>
      </c>
      <c r="H1208" s="6">
        <v>45074</v>
      </c>
      <c r="I1208">
        <f t="shared" si="36"/>
        <v>1</v>
      </c>
      <c r="J1208" t="str">
        <f t="shared" si="37"/>
        <v>Complete</v>
      </c>
      <c r="K1208">
        <f>COUNTIFS(RawData[Item], B1208,RawData[Quantity],C1208,RawData[Price Per Unit],D1208,RawData[Total Spent],E1208,RawData[Payment Method],F1208,RawData[Location],G1208,RawData[Transaction Date],H1208)</f>
        <v>2</v>
      </c>
      <c r="L1208"/>
    </row>
    <row r="1209" spans="1:12" x14ac:dyDescent="0.3">
      <c r="A1209" t="s">
        <v>1215</v>
      </c>
      <c r="B1209" t="s">
        <v>10015</v>
      </c>
      <c r="C1209">
        <v>2</v>
      </c>
      <c r="D1209">
        <v>1</v>
      </c>
      <c r="E1209">
        <v>2</v>
      </c>
      <c r="F1209" t="s">
        <v>10069</v>
      </c>
      <c r="G1209" t="s">
        <v>10069</v>
      </c>
      <c r="H1209" s="6">
        <v>45036</v>
      </c>
      <c r="I1209">
        <f t="shared" si="36"/>
        <v>1</v>
      </c>
      <c r="J1209" t="str">
        <f t="shared" si="37"/>
        <v>Complete</v>
      </c>
      <c r="K1209">
        <f>COUNTIFS(RawData[Item], B1209,RawData[Quantity],C1209,RawData[Price Per Unit],D1209,RawData[Total Spent],E1209,RawData[Payment Method],F1209,RawData[Location],G1209,RawData[Transaction Date],H1209)</f>
        <v>1</v>
      </c>
      <c r="L1209"/>
    </row>
    <row r="1210" spans="1:12" x14ac:dyDescent="0.3">
      <c r="A1210" t="s">
        <v>1216</v>
      </c>
      <c r="B1210" t="s">
        <v>10017</v>
      </c>
      <c r="C1210">
        <v>2</v>
      </c>
      <c r="D1210">
        <v>1.5</v>
      </c>
      <c r="E1210">
        <v>3</v>
      </c>
      <c r="F1210" t="s">
        <v>10018</v>
      </c>
      <c r="G1210" t="s">
        <v>10102</v>
      </c>
      <c r="H1210" s="6">
        <v>45016</v>
      </c>
      <c r="I1210">
        <f t="shared" si="36"/>
        <v>0</v>
      </c>
      <c r="J1210" t="str">
        <f t="shared" si="37"/>
        <v>Complete</v>
      </c>
      <c r="K1210">
        <f>COUNTIFS(RawData[Item], B1210,RawData[Quantity],C1210,RawData[Price Per Unit],D1210,RawData[Total Spent],E1210,RawData[Payment Method],F1210,RawData[Location],G1210,RawData[Transaction Date],H1210)</f>
        <v>1</v>
      </c>
      <c r="L1210"/>
    </row>
    <row r="1211" spans="1:12" x14ac:dyDescent="0.3">
      <c r="A1211" t="s">
        <v>1217</v>
      </c>
      <c r="B1211" t="s">
        <v>10009</v>
      </c>
      <c r="C1211">
        <v>2</v>
      </c>
      <c r="D1211">
        <v>3</v>
      </c>
      <c r="E1211">
        <v>6</v>
      </c>
      <c r="F1211" t="s">
        <v>10018</v>
      </c>
      <c r="G1211" t="s">
        <v>10069</v>
      </c>
      <c r="H1211" s="6">
        <v>45039</v>
      </c>
      <c r="I1211">
        <f t="shared" si="36"/>
        <v>0</v>
      </c>
      <c r="J1211" t="str">
        <f t="shared" si="37"/>
        <v>Complete</v>
      </c>
      <c r="K1211">
        <f>COUNTIFS(RawData[Item], B1211,RawData[Quantity],C1211,RawData[Price Per Unit],D1211,RawData[Total Spent],E1211,RawData[Payment Method],F1211,RawData[Location],G1211,RawData[Transaction Date],H1211)</f>
        <v>1</v>
      </c>
      <c r="L1211"/>
    </row>
    <row r="1212" spans="1:12" x14ac:dyDescent="0.3">
      <c r="A1212" t="s">
        <v>1218</v>
      </c>
      <c r="B1212" t="s">
        <v>10014</v>
      </c>
      <c r="C1212">
        <v>2</v>
      </c>
      <c r="D1212">
        <v>4</v>
      </c>
      <c r="E1212">
        <v>8</v>
      </c>
      <c r="F1212" t="s">
        <v>10020</v>
      </c>
      <c r="G1212" t="s">
        <v>10021</v>
      </c>
      <c r="H1212" s="6">
        <v>45189</v>
      </c>
      <c r="I1212">
        <f t="shared" si="36"/>
        <v>0</v>
      </c>
      <c r="J1212" t="str">
        <f t="shared" si="37"/>
        <v>Complete</v>
      </c>
      <c r="K1212">
        <f>COUNTIFS(RawData[Item], B1212,RawData[Quantity],C1212,RawData[Price Per Unit],D1212,RawData[Total Spent],E1212,RawData[Payment Method],F1212,RawData[Location],G1212,RawData[Transaction Date],H1212)</f>
        <v>1</v>
      </c>
      <c r="L1212"/>
    </row>
    <row r="1213" spans="1:12" x14ac:dyDescent="0.3">
      <c r="A1213" t="s">
        <v>1219</v>
      </c>
      <c r="B1213" t="s">
        <v>10014</v>
      </c>
      <c r="C1213">
        <v>4</v>
      </c>
      <c r="D1213">
        <v>4</v>
      </c>
      <c r="E1213">
        <v>16</v>
      </c>
      <c r="F1213" t="s">
        <v>10020</v>
      </c>
      <c r="G1213" t="s">
        <v>10021</v>
      </c>
      <c r="H1213" s="6">
        <v>44979</v>
      </c>
      <c r="I1213">
        <f t="shared" si="36"/>
        <v>0</v>
      </c>
      <c r="J1213" t="str">
        <f t="shared" si="37"/>
        <v>Complete</v>
      </c>
      <c r="K1213">
        <f>COUNTIFS(RawData[Item], B1213,RawData[Quantity],C1213,RawData[Price Per Unit],D1213,RawData[Total Spent],E1213,RawData[Payment Method],F1213,RawData[Location],G1213,RawData[Transaction Date],H1213)</f>
        <v>1</v>
      </c>
      <c r="L1213"/>
    </row>
    <row r="1214" spans="1:12" x14ac:dyDescent="0.3">
      <c r="A1214" t="s">
        <v>1220</v>
      </c>
      <c r="B1214" t="s">
        <v>10010</v>
      </c>
      <c r="C1214">
        <v>1</v>
      </c>
      <c r="D1214">
        <v>0</v>
      </c>
      <c r="E1214">
        <v>1</v>
      </c>
      <c r="F1214" t="s">
        <v>10103</v>
      </c>
      <c r="G1214" t="s">
        <v>10102</v>
      </c>
      <c r="H1214" s="6" t="s">
        <v>10112</v>
      </c>
      <c r="I1214">
        <f t="shared" si="36"/>
        <v>2</v>
      </c>
      <c r="J1214" t="str">
        <f t="shared" si="37"/>
        <v>Incomplete</v>
      </c>
      <c r="K1214">
        <f>COUNTIFS(RawData[Item], B1214,RawData[Quantity],C1214,RawData[Price Per Unit],D1214,RawData[Total Spent],E1214,RawData[Payment Method],F1214,RawData[Location],G1214,RawData[Transaction Date],H1214)</f>
        <v>1</v>
      </c>
      <c r="L1214"/>
    </row>
    <row r="1215" spans="1:12" x14ac:dyDescent="0.3">
      <c r="A1215" t="s">
        <v>1221</v>
      </c>
      <c r="B1215" t="s">
        <v>10069</v>
      </c>
      <c r="C1215">
        <v>1</v>
      </c>
      <c r="D1215">
        <v>2</v>
      </c>
      <c r="E1215">
        <v>2</v>
      </c>
      <c r="F1215" t="s">
        <v>10019</v>
      </c>
      <c r="G1215" t="s">
        <v>10021</v>
      </c>
      <c r="H1215" s="6">
        <v>44983</v>
      </c>
      <c r="I1215">
        <f t="shared" si="36"/>
        <v>0</v>
      </c>
      <c r="J1215" t="str">
        <f t="shared" si="37"/>
        <v>Complete</v>
      </c>
      <c r="K1215">
        <f>COUNTIFS(RawData[Item], B1215,RawData[Quantity],C1215,RawData[Price Per Unit],D1215,RawData[Total Spent],E1215,RawData[Payment Method],F1215,RawData[Location],G1215,RawData[Transaction Date],H1215)</f>
        <v>1</v>
      </c>
      <c r="L1215"/>
    </row>
    <row r="1216" spans="1:12" x14ac:dyDescent="0.3">
      <c r="A1216" t="s">
        <v>1222</v>
      </c>
      <c r="B1216" t="s">
        <v>10010</v>
      </c>
      <c r="C1216">
        <v>5</v>
      </c>
      <c r="D1216">
        <v>1</v>
      </c>
      <c r="E1216">
        <v>5</v>
      </c>
      <c r="F1216" t="s">
        <v>10104</v>
      </c>
      <c r="G1216" t="s">
        <v>10069</v>
      </c>
      <c r="H1216" s="6">
        <v>45114</v>
      </c>
      <c r="I1216">
        <f t="shared" si="36"/>
        <v>1</v>
      </c>
      <c r="J1216" t="str">
        <f t="shared" si="37"/>
        <v>Complete</v>
      </c>
      <c r="K1216">
        <f>COUNTIFS(RawData[Item], B1216,RawData[Quantity],C1216,RawData[Price Per Unit],D1216,RawData[Total Spent],E1216,RawData[Payment Method],F1216,RawData[Location],G1216,RawData[Transaction Date],H1216)</f>
        <v>1</v>
      </c>
      <c r="L1216"/>
    </row>
    <row r="1217" spans="1:12" x14ac:dyDescent="0.3">
      <c r="A1217" t="s">
        <v>1223</v>
      </c>
      <c r="B1217" t="s">
        <v>10016</v>
      </c>
      <c r="C1217">
        <v>3</v>
      </c>
      <c r="D1217">
        <v>3</v>
      </c>
      <c r="E1217">
        <v>9</v>
      </c>
      <c r="F1217" t="s">
        <v>10019</v>
      </c>
      <c r="G1217" t="s">
        <v>10069</v>
      </c>
      <c r="H1217" s="6">
        <v>45127</v>
      </c>
      <c r="I1217">
        <f t="shared" si="36"/>
        <v>0</v>
      </c>
      <c r="J1217" t="str">
        <f t="shared" si="37"/>
        <v>Complete</v>
      </c>
      <c r="K1217">
        <f>COUNTIFS(RawData[Item], B1217,RawData[Quantity],C1217,RawData[Price Per Unit],D1217,RawData[Total Spent],E1217,RawData[Payment Method],F1217,RawData[Location],G1217,RawData[Transaction Date],H1217)</f>
        <v>1</v>
      </c>
      <c r="L1217"/>
    </row>
    <row r="1218" spans="1:12" x14ac:dyDescent="0.3">
      <c r="A1218" t="s">
        <v>1224</v>
      </c>
      <c r="B1218" t="s">
        <v>10014</v>
      </c>
      <c r="C1218">
        <v>1</v>
      </c>
      <c r="D1218">
        <v>4</v>
      </c>
      <c r="E1218">
        <v>4</v>
      </c>
      <c r="F1218" t="s">
        <v>10020</v>
      </c>
      <c r="G1218" t="s">
        <v>10102</v>
      </c>
      <c r="H1218" s="6">
        <v>45157</v>
      </c>
      <c r="I1218">
        <f t="shared" ref="I1218:I1281" si="38">(B1218="Unknown")+(B1218="Error")+(C1218="Unknown")+(C1218="Error")+(D1218="Unknown")+(D1218="Error")+(E1218="Unknown")+(E1218="Error")+(F1218="Unknown")+(F1218="Error")+(G1218="Unknown")+(G1218="Error")+(H1218="No Date")</f>
        <v>0</v>
      </c>
      <c r="J1218" t="str">
        <f t="shared" ref="J1218:J1281" si="39">IF((H1218="No Date"),"Incomplete","Complete")</f>
        <v>Complete</v>
      </c>
      <c r="K1218">
        <f>COUNTIFS(RawData[Item], B1218,RawData[Quantity],C1218,RawData[Price Per Unit],D1218,RawData[Total Spent],E1218,RawData[Payment Method],F1218,RawData[Location],G1218,RawData[Transaction Date],H1218)</f>
        <v>1</v>
      </c>
      <c r="L1218"/>
    </row>
    <row r="1219" spans="1:12" x14ac:dyDescent="0.3">
      <c r="A1219" t="s">
        <v>1225</v>
      </c>
      <c r="B1219" t="s">
        <v>10009</v>
      </c>
      <c r="C1219">
        <v>4</v>
      </c>
      <c r="D1219">
        <v>3</v>
      </c>
      <c r="E1219">
        <v>12</v>
      </c>
      <c r="F1219" t="s">
        <v>10019</v>
      </c>
      <c r="G1219" t="s">
        <v>10021</v>
      </c>
      <c r="H1219" s="6">
        <v>45224</v>
      </c>
      <c r="I1219">
        <f t="shared" si="38"/>
        <v>0</v>
      </c>
      <c r="J1219" t="str">
        <f t="shared" si="39"/>
        <v>Complete</v>
      </c>
      <c r="K1219">
        <f>COUNTIFS(RawData[Item], B1219,RawData[Quantity],C1219,RawData[Price Per Unit],D1219,RawData[Total Spent],E1219,RawData[Payment Method],F1219,RawData[Location],G1219,RawData[Transaction Date],H1219)</f>
        <v>1</v>
      </c>
      <c r="L1219"/>
    </row>
    <row r="1220" spans="1:12" x14ac:dyDescent="0.3">
      <c r="A1220" t="s">
        <v>1226</v>
      </c>
      <c r="B1220" t="s">
        <v>10009</v>
      </c>
      <c r="C1220">
        <v>2</v>
      </c>
      <c r="D1220">
        <v>3</v>
      </c>
      <c r="E1220">
        <v>6</v>
      </c>
      <c r="F1220" t="s">
        <v>10069</v>
      </c>
      <c r="G1220" t="s">
        <v>10104</v>
      </c>
      <c r="H1220" s="6">
        <v>45046</v>
      </c>
      <c r="I1220">
        <f t="shared" si="38"/>
        <v>1</v>
      </c>
      <c r="J1220" t="str">
        <f t="shared" si="39"/>
        <v>Complete</v>
      </c>
      <c r="K1220">
        <f>COUNTIFS(RawData[Item], B1220,RawData[Quantity],C1220,RawData[Price Per Unit],D1220,RawData[Total Spent],E1220,RawData[Payment Method],F1220,RawData[Location],G1220,RawData[Transaction Date],H1220)</f>
        <v>1</v>
      </c>
      <c r="L1220"/>
    </row>
    <row r="1221" spans="1:12" x14ac:dyDescent="0.3">
      <c r="A1221" t="s">
        <v>1227</v>
      </c>
      <c r="B1221" t="s">
        <v>10012</v>
      </c>
      <c r="C1221">
        <v>5</v>
      </c>
      <c r="D1221">
        <v>4</v>
      </c>
      <c r="E1221">
        <v>20</v>
      </c>
      <c r="F1221" t="s">
        <v>10020</v>
      </c>
      <c r="G1221" t="s">
        <v>10102</v>
      </c>
      <c r="H1221" s="6">
        <v>45109</v>
      </c>
      <c r="I1221">
        <f t="shared" si="38"/>
        <v>0</v>
      </c>
      <c r="J1221" t="str">
        <f t="shared" si="39"/>
        <v>Complete</v>
      </c>
      <c r="K1221">
        <f>COUNTIFS(RawData[Item], B1221,RawData[Quantity],C1221,RawData[Price Per Unit],D1221,RawData[Total Spent],E1221,RawData[Payment Method],F1221,RawData[Location],G1221,RawData[Transaction Date],H1221)</f>
        <v>1</v>
      </c>
      <c r="L1221"/>
    </row>
    <row r="1222" spans="1:12" x14ac:dyDescent="0.3">
      <c r="A1222" t="s">
        <v>1228</v>
      </c>
      <c r="B1222" t="s">
        <v>10014</v>
      </c>
      <c r="C1222">
        <v>1</v>
      </c>
      <c r="D1222">
        <v>4</v>
      </c>
      <c r="E1222">
        <v>4</v>
      </c>
      <c r="F1222" t="s">
        <v>10069</v>
      </c>
      <c r="G1222" t="s">
        <v>10102</v>
      </c>
      <c r="H1222" s="6">
        <v>45156</v>
      </c>
      <c r="I1222">
        <f t="shared" si="38"/>
        <v>0</v>
      </c>
      <c r="J1222" t="str">
        <f t="shared" si="39"/>
        <v>Complete</v>
      </c>
      <c r="K1222">
        <f>COUNTIFS(RawData[Item], B1222,RawData[Quantity],C1222,RawData[Price Per Unit],D1222,RawData[Total Spent],E1222,RawData[Payment Method],F1222,RawData[Location],G1222,RawData[Transaction Date],H1222)</f>
        <v>1</v>
      </c>
      <c r="L1222"/>
    </row>
    <row r="1223" spans="1:12" x14ac:dyDescent="0.3">
      <c r="A1223" t="s">
        <v>1229</v>
      </c>
      <c r="B1223" t="s">
        <v>10012</v>
      </c>
      <c r="C1223">
        <v>1</v>
      </c>
      <c r="D1223">
        <v>4</v>
      </c>
      <c r="E1223">
        <v>4</v>
      </c>
      <c r="F1223" t="s">
        <v>10069</v>
      </c>
      <c r="G1223" t="s">
        <v>10069</v>
      </c>
      <c r="H1223" s="6">
        <v>45016</v>
      </c>
      <c r="I1223">
        <f t="shared" si="38"/>
        <v>0</v>
      </c>
      <c r="J1223" t="str">
        <f t="shared" si="39"/>
        <v>Complete</v>
      </c>
      <c r="K1223">
        <f>COUNTIFS(RawData[Item], B1223,RawData[Quantity],C1223,RawData[Price Per Unit],D1223,RawData[Total Spent],E1223,RawData[Payment Method],F1223,RawData[Location],G1223,RawData[Transaction Date],H1223)</f>
        <v>1</v>
      </c>
      <c r="L1223"/>
    </row>
    <row r="1224" spans="1:12" x14ac:dyDescent="0.3">
      <c r="A1224" t="s">
        <v>1230</v>
      </c>
      <c r="B1224" t="s">
        <v>10011</v>
      </c>
      <c r="C1224">
        <v>5</v>
      </c>
      <c r="D1224">
        <v>5</v>
      </c>
      <c r="E1224">
        <v>25</v>
      </c>
      <c r="F1224" t="s">
        <v>10069</v>
      </c>
      <c r="G1224" t="s">
        <v>10021</v>
      </c>
      <c r="H1224" s="6">
        <v>45237</v>
      </c>
      <c r="I1224">
        <f t="shared" si="38"/>
        <v>0</v>
      </c>
      <c r="J1224" t="str">
        <f t="shared" si="39"/>
        <v>Complete</v>
      </c>
      <c r="K1224">
        <f>COUNTIFS(RawData[Item], B1224,RawData[Quantity],C1224,RawData[Price Per Unit],D1224,RawData[Total Spent],E1224,RawData[Payment Method],F1224,RawData[Location],G1224,RawData[Transaction Date],H1224)</f>
        <v>1</v>
      </c>
      <c r="L1224"/>
    </row>
    <row r="1225" spans="1:12" x14ac:dyDescent="0.3">
      <c r="A1225" t="s">
        <v>1231</v>
      </c>
      <c r="B1225" t="s">
        <v>10010</v>
      </c>
      <c r="C1225">
        <v>2</v>
      </c>
      <c r="D1225">
        <v>1</v>
      </c>
      <c r="E1225">
        <v>2</v>
      </c>
      <c r="F1225" t="s">
        <v>10020</v>
      </c>
      <c r="G1225" t="s">
        <v>10102</v>
      </c>
      <c r="H1225" s="6">
        <v>45242</v>
      </c>
      <c r="I1225">
        <f t="shared" si="38"/>
        <v>0</v>
      </c>
      <c r="J1225" t="str">
        <f t="shared" si="39"/>
        <v>Complete</v>
      </c>
      <c r="K1225">
        <f>COUNTIFS(RawData[Item], B1225,RawData[Quantity],C1225,RawData[Price Per Unit],D1225,RawData[Total Spent],E1225,RawData[Payment Method],F1225,RawData[Location],G1225,RawData[Transaction Date],H1225)</f>
        <v>1</v>
      </c>
      <c r="L1225"/>
    </row>
    <row r="1226" spans="1:12" x14ac:dyDescent="0.3">
      <c r="A1226" t="s">
        <v>1232</v>
      </c>
      <c r="B1226" t="s">
        <v>10014</v>
      </c>
      <c r="C1226">
        <v>2</v>
      </c>
      <c r="D1226">
        <v>4</v>
      </c>
      <c r="E1226" t="s">
        <v>10013</v>
      </c>
      <c r="F1226" t="s">
        <v>10069</v>
      </c>
      <c r="G1226" t="s">
        <v>10021</v>
      </c>
      <c r="H1226" s="6">
        <v>45004</v>
      </c>
      <c r="I1226">
        <f t="shared" si="38"/>
        <v>1</v>
      </c>
      <c r="J1226" t="str">
        <f t="shared" si="39"/>
        <v>Complete</v>
      </c>
      <c r="K1226">
        <f>COUNTIFS(RawData[Item], B1226,RawData[Quantity],C1226,RawData[Price Per Unit],D1226,RawData[Total Spent],E1226,RawData[Payment Method],F1226,RawData[Location],G1226,RawData[Transaction Date],H1226)</f>
        <v>1</v>
      </c>
      <c r="L1226"/>
    </row>
    <row r="1227" spans="1:12" x14ac:dyDescent="0.3">
      <c r="A1227" t="s">
        <v>1233</v>
      </c>
      <c r="B1227" t="s">
        <v>10008</v>
      </c>
      <c r="C1227">
        <v>2</v>
      </c>
      <c r="D1227">
        <v>2</v>
      </c>
      <c r="E1227">
        <v>4</v>
      </c>
      <c r="F1227" t="s">
        <v>10069</v>
      </c>
      <c r="G1227" t="s">
        <v>10102</v>
      </c>
      <c r="H1227" s="6">
        <v>45193</v>
      </c>
      <c r="I1227">
        <f t="shared" si="38"/>
        <v>0</v>
      </c>
      <c r="J1227" t="str">
        <f t="shared" si="39"/>
        <v>Complete</v>
      </c>
      <c r="K1227">
        <f>COUNTIFS(RawData[Item], B1227,RawData[Quantity],C1227,RawData[Price Per Unit],D1227,RawData[Total Spent],E1227,RawData[Payment Method],F1227,RawData[Location],G1227,RawData[Transaction Date],H1227)</f>
        <v>1</v>
      </c>
      <c r="L1227"/>
    </row>
    <row r="1228" spans="1:12" x14ac:dyDescent="0.3">
      <c r="A1228" t="s">
        <v>1234</v>
      </c>
      <c r="B1228" t="s">
        <v>10010</v>
      </c>
      <c r="C1228">
        <v>2</v>
      </c>
      <c r="D1228">
        <v>1</v>
      </c>
      <c r="E1228">
        <v>2</v>
      </c>
      <c r="F1228" t="s">
        <v>10018</v>
      </c>
      <c r="G1228" t="s">
        <v>10021</v>
      </c>
      <c r="H1228" s="6">
        <v>44987</v>
      </c>
      <c r="I1228">
        <f t="shared" si="38"/>
        <v>0</v>
      </c>
      <c r="J1228" t="str">
        <f t="shared" si="39"/>
        <v>Complete</v>
      </c>
      <c r="K1228">
        <f>COUNTIFS(RawData[Item], B1228,RawData[Quantity],C1228,RawData[Price Per Unit],D1228,RawData[Total Spent],E1228,RawData[Payment Method],F1228,RawData[Location],G1228,RawData[Transaction Date],H1228)</f>
        <v>1</v>
      </c>
      <c r="L1228"/>
    </row>
    <row r="1229" spans="1:12" x14ac:dyDescent="0.3">
      <c r="A1229" t="s">
        <v>1235</v>
      </c>
      <c r="B1229" t="s">
        <v>10014</v>
      </c>
      <c r="C1229">
        <v>2</v>
      </c>
      <c r="D1229">
        <v>4</v>
      </c>
      <c r="E1229">
        <v>8</v>
      </c>
      <c r="F1229" t="s">
        <v>10018</v>
      </c>
      <c r="G1229" t="s">
        <v>10104</v>
      </c>
      <c r="H1229" s="6">
        <v>45143</v>
      </c>
      <c r="I1229">
        <f t="shared" si="38"/>
        <v>1</v>
      </c>
      <c r="J1229" t="str">
        <f t="shared" si="39"/>
        <v>Complete</v>
      </c>
      <c r="K1229">
        <f>COUNTIFS(RawData[Item], B1229,RawData[Quantity],C1229,RawData[Price Per Unit],D1229,RawData[Total Spent],E1229,RawData[Payment Method],F1229,RawData[Location],G1229,RawData[Transaction Date],H1229)</f>
        <v>1</v>
      </c>
      <c r="L1229"/>
    </row>
    <row r="1230" spans="1:12" x14ac:dyDescent="0.3">
      <c r="A1230" t="s">
        <v>1236</v>
      </c>
      <c r="B1230" t="s">
        <v>10013</v>
      </c>
      <c r="C1230">
        <v>3</v>
      </c>
      <c r="D1230">
        <v>1</v>
      </c>
      <c r="E1230">
        <v>3</v>
      </c>
      <c r="F1230" t="s">
        <v>10019</v>
      </c>
      <c r="G1230" t="s">
        <v>10069</v>
      </c>
      <c r="H1230" s="6">
        <v>45251</v>
      </c>
      <c r="I1230">
        <f t="shared" si="38"/>
        <v>1</v>
      </c>
      <c r="J1230" t="str">
        <f t="shared" si="39"/>
        <v>Complete</v>
      </c>
      <c r="K1230">
        <f>COUNTIFS(RawData[Item], B1230,RawData[Quantity],C1230,RawData[Price Per Unit],D1230,RawData[Total Spent],E1230,RawData[Payment Method],F1230,RawData[Location],G1230,RawData[Transaction Date],H1230)</f>
        <v>1</v>
      </c>
      <c r="L1230"/>
    </row>
    <row r="1231" spans="1:12" x14ac:dyDescent="0.3">
      <c r="A1231" t="s">
        <v>1237</v>
      </c>
      <c r="B1231" t="s">
        <v>10069</v>
      </c>
      <c r="C1231">
        <v>1</v>
      </c>
      <c r="D1231">
        <v>1</v>
      </c>
      <c r="E1231">
        <v>1</v>
      </c>
      <c r="F1231" t="s">
        <v>10020</v>
      </c>
      <c r="G1231" t="s">
        <v>10102</v>
      </c>
      <c r="H1231" s="6">
        <v>45264</v>
      </c>
      <c r="I1231">
        <f t="shared" si="38"/>
        <v>0</v>
      </c>
      <c r="J1231" t="str">
        <f t="shared" si="39"/>
        <v>Complete</v>
      </c>
      <c r="K1231">
        <f>COUNTIFS(RawData[Item], B1231,RawData[Quantity],C1231,RawData[Price Per Unit],D1231,RawData[Total Spent],E1231,RawData[Payment Method],F1231,RawData[Location],G1231,RawData[Transaction Date],H1231)</f>
        <v>1</v>
      </c>
      <c r="L1231"/>
    </row>
    <row r="1232" spans="1:12" x14ac:dyDescent="0.3">
      <c r="A1232" t="s">
        <v>1238</v>
      </c>
      <c r="B1232" t="s">
        <v>10008</v>
      </c>
      <c r="C1232">
        <v>2</v>
      </c>
      <c r="D1232">
        <v>2</v>
      </c>
      <c r="E1232">
        <v>4</v>
      </c>
      <c r="F1232" t="s">
        <v>10018</v>
      </c>
      <c r="G1232" t="s">
        <v>10069</v>
      </c>
      <c r="H1232" s="6">
        <v>45097</v>
      </c>
      <c r="I1232">
        <f t="shared" si="38"/>
        <v>0</v>
      </c>
      <c r="J1232" t="str">
        <f t="shared" si="39"/>
        <v>Complete</v>
      </c>
      <c r="K1232">
        <f>COUNTIFS(RawData[Item], B1232,RawData[Quantity],C1232,RawData[Price Per Unit],D1232,RawData[Total Spent],E1232,RawData[Payment Method],F1232,RawData[Location],G1232,RawData[Transaction Date],H1232)</f>
        <v>1</v>
      </c>
      <c r="L1232"/>
    </row>
    <row r="1233" spans="1:12" x14ac:dyDescent="0.3">
      <c r="A1233" t="s">
        <v>1239</v>
      </c>
      <c r="B1233" t="s">
        <v>10008</v>
      </c>
      <c r="C1233">
        <v>4</v>
      </c>
      <c r="D1233">
        <v>2</v>
      </c>
      <c r="E1233">
        <v>8</v>
      </c>
      <c r="F1233" t="s">
        <v>10020</v>
      </c>
      <c r="G1233" t="s">
        <v>10021</v>
      </c>
      <c r="H1233" s="6">
        <v>45116</v>
      </c>
      <c r="I1233">
        <f t="shared" si="38"/>
        <v>0</v>
      </c>
      <c r="J1233" t="str">
        <f t="shared" si="39"/>
        <v>Complete</v>
      </c>
      <c r="K1233">
        <f>COUNTIFS(RawData[Item], B1233,RawData[Quantity],C1233,RawData[Price Per Unit],D1233,RawData[Total Spent],E1233,RawData[Payment Method],F1233,RawData[Location],G1233,RawData[Transaction Date],H1233)</f>
        <v>1</v>
      </c>
      <c r="L1233"/>
    </row>
    <row r="1234" spans="1:12" x14ac:dyDescent="0.3">
      <c r="A1234" t="s">
        <v>1240</v>
      </c>
      <c r="B1234" t="s">
        <v>10014</v>
      </c>
      <c r="C1234">
        <v>2</v>
      </c>
      <c r="D1234">
        <v>4</v>
      </c>
      <c r="E1234">
        <v>8</v>
      </c>
      <c r="F1234" t="s">
        <v>10019</v>
      </c>
      <c r="G1234" t="s">
        <v>10069</v>
      </c>
      <c r="H1234" s="6">
        <v>45284</v>
      </c>
      <c r="I1234">
        <f t="shared" si="38"/>
        <v>0</v>
      </c>
      <c r="J1234" t="str">
        <f t="shared" si="39"/>
        <v>Complete</v>
      </c>
      <c r="K1234">
        <f>COUNTIFS(RawData[Item], B1234,RawData[Quantity],C1234,RawData[Price Per Unit],D1234,RawData[Total Spent],E1234,RawData[Payment Method],F1234,RawData[Location],G1234,RawData[Transaction Date],H1234)</f>
        <v>1</v>
      </c>
      <c r="L1234"/>
    </row>
    <row r="1235" spans="1:12" x14ac:dyDescent="0.3">
      <c r="A1235" t="s">
        <v>1241</v>
      </c>
      <c r="B1235" t="s">
        <v>10014</v>
      </c>
      <c r="C1235">
        <v>4</v>
      </c>
      <c r="D1235">
        <v>4</v>
      </c>
      <c r="E1235">
        <v>16</v>
      </c>
      <c r="F1235" t="s">
        <v>10069</v>
      </c>
      <c r="G1235" t="s">
        <v>10069</v>
      </c>
      <c r="H1235" s="6">
        <v>45102</v>
      </c>
      <c r="I1235">
        <f t="shared" si="38"/>
        <v>0</v>
      </c>
      <c r="J1235" t="str">
        <f t="shared" si="39"/>
        <v>Complete</v>
      </c>
      <c r="K1235">
        <f>COUNTIFS(RawData[Item], B1235,RawData[Quantity],C1235,RawData[Price Per Unit],D1235,RawData[Total Spent],E1235,RawData[Payment Method],F1235,RawData[Location],G1235,RawData[Transaction Date],H1235)</f>
        <v>1</v>
      </c>
      <c r="L1235"/>
    </row>
    <row r="1236" spans="1:12" x14ac:dyDescent="0.3">
      <c r="A1236" t="s">
        <v>1242</v>
      </c>
      <c r="B1236" t="s">
        <v>10012</v>
      </c>
      <c r="C1236">
        <v>2</v>
      </c>
      <c r="D1236">
        <v>4</v>
      </c>
      <c r="E1236">
        <v>8</v>
      </c>
      <c r="F1236" t="s">
        <v>10069</v>
      </c>
      <c r="G1236" t="s">
        <v>10102</v>
      </c>
      <c r="H1236" s="6">
        <v>45174</v>
      </c>
      <c r="I1236">
        <f t="shared" si="38"/>
        <v>0</v>
      </c>
      <c r="J1236" t="str">
        <f t="shared" si="39"/>
        <v>Complete</v>
      </c>
      <c r="K1236">
        <f>COUNTIFS(RawData[Item], B1236,RawData[Quantity],C1236,RawData[Price Per Unit],D1236,RawData[Total Spent],E1236,RawData[Payment Method],F1236,RawData[Location],G1236,RawData[Transaction Date],H1236)</f>
        <v>1</v>
      </c>
      <c r="L1236"/>
    </row>
    <row r="1237" spans="1:12" x14ac:dyDescent="0.3">
      <c r="A1237" t="s">
        <v>1243</v>
      </c>
      <c r="B1237" t="s">
        <v>10012</v>
      </c>
      <c r="C1237">
        <v>3</v>
      </c>
      <c r="D1237">
        <v>4</v>
      </c>
      <c r="E1237">
        <v>12</v>
      </c>
      <c r="F1237" t="s">
        <v>10019</v>
      </c>
      <c r="G1237" t="s">
        <v>10102</v>
      </c>
      <c r="H1237" s="6">
        <v>44998</v>
      </c>
      <c r="I1237">
        <f t="shared" si="38"/>
        <v>0</v>
      </c>
      <c r="J1237" t="str">
        <f t="shared" si="39"/>
        <v>Complete</v>
      </c>
      <c r="K1237">
        <f>COUNTIFS(RawData[Item], B1237,RawData[Quantity],C1237,RawData[Price Per Unit],D1237,RawData[Total Spent],E1237,RawData[Payment Method],F1237,RawData[Location],G1237,RawData[Transaction Date],H1237)</f>
        <v>1</v>
      </c>
      <c r="L1237"/>
    </row>
    <row r="1238" spans="1:12" x14ac:dyDescent="0.3">
      <c r="A1238" t="s">
        <v>1244</v>
      </c>
      <c r="B1238" t="s">
        <v>10009</v>
      </c>
      <c r="C1238">
        <v>1</v>
      </c>
      <c r="D1238">
        <v>3</v>
      </c>
      <c r="E1238">
        <v>3</v>
      </c>
      <c r="F1238" t="s">
        <v>10019</v>
      </c>
      <c r="G1238" t="s">
        <v>10021</v>
      </c>
      <c r="H1238" s="6">
        <v>45214</v>
      </c>
      <c r="I1238">
        <f t="shared" si="38"/>
        <v>0</v>
      </c>
      <c r="J1238" t="str">
        <f t="shared" si="39"/>
        <v>Complete</v>
      </c>
      <c r="K1238">
        <f>COUNTIFS(RawData[Item], B1238,RawData[Quantity],C1238,RawData[Price Per Unit],D1238,RawData[Total Spent],E1238,RawData[Payment Method],F1238,RawData[Location],G1238,RawData[Transaction Date],H1238)</f>
        <v>1</v>
      </c>
      <c r="L1238"/>
    </row>
    <row r="1239" spans="1:12" x14ac:dyDescent="0.3">
      <c r="A1239" t="s">
        <v>1245</v>
      </c>
      <c r="B1239" t="s">
        <v>10010</v>
      </c>
      <c r="C1239">
        <v>2</v>
      </c>
      <c r="D1239" t="s">
        <v>10015</v>
      </c>
      <c r="E1239">
        <v>2</v>
      </c>
      <c r="F1239" t="s">
        <v>10020</v>
      </c>
      <c r="G1239" t="s">
        <v>10102</v>
      </c>
      <c r="H1239" s="6">
        <v>45249</v>
      </c>
      <c r="I1239">
        <f t="shared" si="38"/>
        <v>1</v>
      </c>
      <c r="J1239" t="str">
        <f t="shared" si="39"/>
        <v>Complete</v>
      </c>
      <c r="K1239">
        <f>COUNTIFS(RawData[Item], B1239,RawData[Quantity],C1239,RawData[Price Per Unit],D1239,RawData[Total Spent],E1239,RawData[Payment Method],F1239,RawData[Location],G1239,RawData[Transaction Date],H1239)</f>
        <v>1</v>
      </c>
      <c r="L1239"/>
    </row>
    <row r="1240" spans="1:12" x14ac:dyDescent="0.3">
      <c r="A1240" t="s">
        <v>1246</v>
      </c>
      <c r="B1240" t="s">
        <v>10069</v>
      </c>
      <c r="C1240">
        <v>3</v>
      </c>
      <c r="D1240">
        <v>2</v>
      </c>
      <c r="E1240">
        <v>6</v>
      </c>
      <c r="F1240" t="s">
        <v>10020</v>
      </c>
      <c r="G1240" t="s">
        <v>10102</v>
      </c>
      <c r="H1240" s="6">
        <v>45289</v>
      </c>
      <c r="I1240">
        <f t="shared" si="38"/>
        <v>0</v>
      </c>
      <c r="J1240" t="str">
        <f t="shared" si="39"/>
        <v>Complete</v>
      </c>
      <c r="K1240">
        <f>COUNTIFS(RawData[Item], B1240,RawData[Quantity],C1240,RawData[Price Per Unit],D1240,RawData[Total Spent],E1240,RawData[Payment Method],F1240,RawData[Location],G1240,RawData[Transaction Date],H1240)</f>
        <v>1</v>
      </c>
      <c r="L1240"/>
    </row>
    <row r="1241" spans="1:12" x14ac:dyDescent="0.3">
      <c r="A1241" t="s">
        <v>1247</v>
      </c>
      <c r="B1241" t="s">
        <v>10012</v>
      </c>
      <c r="C1241">
        <v>5</v>
      </c>
      <c r="D1241">
        <v>4</v>
      </c>
      <c r="E1241">
        <v>20</v>
      </c>
      <c r="F1241" t="s">
        <v>10019</v>
      </c>
      <c r="G1241" t="s">
        <v>10021</v>
      </c>
      <c r="H1241" s="6">
        <v>45267</v>
      </c>
      <c r="I1241">
        <f t="shared" si="38"/>
        <v>0</v>
      </c>
      <c r="J1241" t="str">
        <f t="shared" si="39"/>
        <v>Complete</v>
      </c>
      <c r="K1241">
        <f>COUNTIFS(RawData[Item], B1241,RawData[Quantity],C1241,RawData[Price Per Unit],D1241,RawData[Total Spent],E1241,RawData[Payment Method],F1241,RawData[Location],G1241,RawData[Transaction Date],H1241)</f>
        <v>1</v>
      </c>
      <c r="L1241"/>
    </row>
    <row r="1242" spans="1:12" x14ac:dyDescent="0.3">
      <c r="A1242" t="s">
        <v>1248</v>
      </c>
      <c r="B1242" t="s">
        <v>10009</v>
      </c>
      <c r="C1242">
        <v>2</v>
      </c>
      <c r="D1242">
        <v>3</v>
      </c>
      <c r="E1242">
        <v>6</v>
      </c>
      <c r="F1242" t="s">
        <v>10019</v>
      </c>
      <c r="G1242" t="s">
        <v>10069</v>
      </c>
      <c r="H1242" s="6">
        <v>45185</v>
      </c>
      <c r="I1242">
        <f t="shared" si="38"/>
        <v>0</v>
      </c>
      <c r="J1242" t="str">
        <f t="shared" si="39"/>
        <v>Complete</v>
      </c>
      <c r="K1242">
        <f>COUNTIFS(RawData[Item], B1242,RawData[Quantity],C1242,RawData[Price Per Unit],D1242,RawData[Total Spent],E1242,RawData[Payment Method],F1242,RawData[Location],G1242,RawData[Transaction Date],H1242)</f>
        <v>1</v>
      </c>
      <c r="L1242"/>
    </row>
    <row r="1243" spans="1:12" x14ac:dyDescent="0.3">
      <c r="A1243" t="s">
        <v>1249</v>
      </c>
      <c r="B1243" t="s">
        <v>10013</v>
      </c>
      <c r="C1243">
        <v>4</v>
      </c>
      <c r="D1243">
        <v>2</v>
      </c>
      <c r="E1243">
        <v>8</v>
      </c>
      <c r="F1243" t="s">
        <v>10019</v>
      </c>
      <c r="G1243" t="s">
        <v>10021</v>
      </c>
      <c r="H1243" s="6">
        <v>45013</v>
      </c>
      <c r="I1243">
        <f t="shared" si="38"/>
        <v>1</v>
      </c>
      <c r="J1243" t="str">
        <f t="shared" si="39"/>
        <v>Complete</v>
      </c>
      <c r="K1243">
        <f>COUNTIFS(RawData[Item], B1243,RawData[Quantity],C1243,RawData[Price Per Unit],D1243,RawData[Total Spent],E1243,RawData[Payment Method],F1243,RawData[Location],G1243,RawData[Transaction Date],H1243)</f>
        <v>1</v>
      </c>
      <c r="L1243"/>
    </row>
    <row r="1244" spans="1:12" x14ac:dyDescent="0.3">
      <c r="A1244" t="s">
        <v>1250</v>
      </c>
      <c r="B1244" t="s">
        <v>10008</v>
      </c>
      <c r="C1244">
        <v>4</v>
      </c>
      <c r="D1244">
        <v>2</v>
      </c>
      <c r="E1244">
        <v>8</v>
      </c>
      <c r="F1244" t="s">
        <v>10018</v>
      </c>
      <c r="G1244" t="s">
        <v>10102</v>
      </c>
      <c r="H1244" s="6" t="s">
        <v>10112</v>
      </c>
      <c r="I1244">
        <f t="shared" si="38"/>
        <v>1</v>
      </c>
      <c r="J1244" t="str">
        <f t="shared" si="39"/>
        <v>Incomplete</v>
      </c>
      <c r="K1244">
        <f>COUNTIFS(RawData[Item], B1244,RawData[Quantity],C1244,RawData[Price Per Unit],D1244,RawData[Total Spent],E1244,RawData[Payment Method],F1244,RawData[Location],G1244,RawData[Transaction Date],H1244)</f>
        <v>1</v>
      </c>
      <c r="L1244"/>
    </row>
    <row r="1245" spans="1:12" x14ac:dyDescent="0.3">
      <c r="A1245" t="s">
        <v>1251</v>
      </c>
      <c r="B1245" t="s">
        <v>10010</v>
      </c>
      <c r="C1245">
        <v>4</v>
      </c>
      <c r="D1245">
        <v>1</v>
      </c>
      <c r="E1245">
        <v>4</v>
      </c>
      <c r="F1245" t="s">
        <v>10069</v>
      </c>
      <c r="G1245" t="s">
        <v>10104</v>
      </c>
      <c r="H1245" s="6">
        <v>44963</v>
      </c>
      <c r="I1245">
        <f t="shared" si="38"/>
        <v>1</v>
      </c>
      <c r="J1245" t="str">
        <f t="shared" si="39"/>
        <v>Complete</v>
      </c>
      <c r="K1245">
        <f>COUNTIFS(RawData[Item], B1245,RawData[Quantity],C1245,RawData[Price Per Unit],D1245,RawData[Total Spent],E1245,RawData[Payment Method],F1245,RawData[Location],G1245,RawData[Transaction Date],H1245)</f>
        <v>1</v>
      </c>
      <c r="L1245"/>
    </row>
    <row r="1246" spans="1:12" x14ac:dyDescent="0.3">
      <c r="A1246" t="s">
        <v>1252</v>
      </c>
      <c r="B1246" t="s">
        <v>10009</v>
      </c>
      <c r="C1246">
        <v>5</v>
      </c>
      <c r="D1246">
        <v>3</v>
      </c>
      <c r="E1246">
        <v>15</v>
      </c>
      <c r="F1246" t="s">
        <v>10018</v>
      </c>
      <c r="G1246" t="s">
        <v>10021</v>
      </c>
      <c r="H1246" s="6">
        <v>44960</v>
      </c>
      <c r="I1246">
        <f t="shared" si="38"/>
        <v>0</v>
      </c>
      <c r="J1246" t="str">
        <f t="shared" si="39"/>
        <v>Complete</v>
      </c>
      <c r="K1246">
        <f>COUNTIFS(RawData[Item], B1246,RawData[Quantity],C1246,RawData[Price Per Unit],D1246,RawData[Total Spent],E1246,RawData[Payment Method],F1246,RawData[Location],G1246,RawData[Transaction Date],H1246)</f>
        <v>1</v>
      </c>
      <c r="L1246"/>
    </row>
    <row r="1247" spans="1:12" x14ac:dyDescent="0.3">
      <c r="A1247" t="s">
        <v>1253</v>
      </c>
      <c r="B1247" t="s">
        <v>10017</v>
      </c>
      <c r="C1247">
        <v>1</v>
      </c>
      <c r="D1247">
        <v>1.5</v>
      </c>
      <c r="E1247">
        <v>1.5</v>
      </c>
      <c r="F1247" t="s">
        <v>10019</v>
      </c>
      <c r="G1247" t="s">
        <v>10021</v>
      </c>
      <c r="H1247" s="6">
        <v>45181</v>
      </c>
      <c r="I1247">
        <f t="shared" si="38"/>
        <v>0</v>
      </c>
      <c r="J1247" t="str">
        <f t="shared" si="39"/>
        <v>Complete</v>
      </c>
      <c r="K1247">
        <f>COUNTIFS(RawData[Item], B1247,RawData[Quantity],C1247,RawData[Price Per Unit],D1247,RawData[Total Spent],E1247,RawData[Payment Method],F1247,RawData[Location],G1247,RawData[Transaction Date],H1247)</f>
        <v>2</v>
      </c>
      <c r="L1247"/>
    </row>
    <row r="1248" spans="1:12" x14ac:dyDescent="0.3">
      <c r="A1248" t="s">
        <v>1254</v>
      </c>
      <c r="B1248" t="s">
        <v>10014</v>
      </c>
      <c r="C1248">
        <v>4</v>
      </c>
      <c r="D1248">
        <v>4</v>
      </c>
      <c r="E1248">
        <v>16</v>
      </c>
      <c r="F1248" t="s">
        <v>10019</v>
      </c>
      <c r="G1248" t="s">
        <v>10021</v>
      </c>
      <c r="H1248" s="6">
        <v>45190</v>
      </c>
      <c r="I1248">
        <f t="shared" si="38"/>
        <v>0</v>
      </c>
      <c r="J1248" t="str">
        <f t="shared" si="39"/>
        <v>Complete</v>
      </c>
      <c r="K1248">
        <f>COUNTIFS(RawData[Item], B1248,RawData[Quantity],C1248,RawData[Price Per Unit],D1248,RawData[Total Spent],E1248,RawData[Payment Method],F1248,RawData[Location],G1248,RawData[Transaction Date],H1248)</f>
        <v>1</v>
      </c>
      <c r="L1248"/>
    </row>
    <row r="1249" spans="1:12" x14ac:dyDescent="0.3">
      <c r="A1249" t="s">
        <v>1255</v>
      </c>
      <c r="B1249" t="s">
        <v>10014</v>
      </c>
      <c r="C1249">
        <v>4</v>
      </c>
      <c r="D1249">
        <v>4</v>
      </c>
      <c r="E1249">
        <v>16</v>
      </c>
      <c r="F1249" t="s">
        <v>10019</v>
      </c>
      <c r="G1249" t="s">
        <v>10069</v>
      </c>
      <c r="H1249" s="6">
        <v>45173</v>
      </c>
      <c r="I1249">
        <f t="shared" si="38"/>
        <v>0</v>
      </c>
      <c r="J1249" t="str">
        <f t="shared" si="39"/>
        <v>Complete</v>
      </c>
      <c r="K1249">
        <f>COUNTIFS(RawData[Item], B1249,RawData[Quantity],C1249,RawData[Price Per Unit],D1249,RawData[Total Spent],E1249,RawData[Payment Method],F1249,RawData[Location],G1249,RawData[Transaction Date],H1249)</f>
        <v>1</v>
      </c>
      <c r="L1249"/>
    </row>
    <row r="1250" spans="1:12" x14ac:dyDescent="0.3">
      <c r="A1250" t="s">
        <v>1256</v>
      </c>
      <c r="B1250" t="s">
        <v>10014</v>
      </c>
      <c r="C1250">
        <v>1</v>
      </c>
      <c r="D1250">
        <v>4</v>
      </c>
      <c r="E1250">
        <v>4</v>
      </c>
      <c r="F1250" t="s">
        <v>10019</v>
      </c>
      <c r="G1250" t="s">
        <v>10021</v>
      </c>
      <c r="H1250" s="6">
        <v>45105</v>
      </c>
      <c r="I1250">
        <f t="shared" si="38"/>
        <v>0</v>
      </c>
      <c r="J1250" t="str">
        <f t="shared" si="39"/>
        <v>Complete</v>
      </c>
      <c r="K1250">
        <f>COUNTIFS(RawData[Item], B1250,RawData[Quantity],C1250,RawData[Price Per Unit],D1250,RawData[Total Spent],E1250,RawData[Payment Method],F1250,RawData[Location],G1250,RawData[Transaction Date],H1250)</f>
        <v>1</v>
      </c>
      <c r="L1250"/>
    </row>
    <row r="1251" spans="1:12" x14ac:dyDescent="0.3">
      <c r="A1251" t="s">
        <v>1257</v>
      </c>
      <c r="B1251" t="s">
        <v>10008</v>
      </c>
      <c r="C1251">
        <v>5</v>
      </c>
      <c r="D1251">
        <v>2</v>
      </c>
      <c r="E1251">
        <v>10</v>
      </c>
      <c r="F1251" t="s">
        <v>10018</v>
      </c>
      <c r="G1251" t="s">
        <v>10021</v>
      </c>
      <c r="H1251" s="6">
        <v>44990</v>
      </c>
      <c r="I1251">
        <f t="shared" si="38"/>
        <v>0</v>
      </c>
      <c r="J1251" t="str">
        <f t="shared" si="39"/>
        <v>Complete</v>
      </c>
      <c r="K1251">
        <f>COUNTIFS(RawData[Item], B1251,RawData[Quantity],C1251,RawData[Price Per Unit],D1251,RawData[Total Spent],E1251,RawData[Payment Method],F1251,RawData[Location],G1251,RawData[Transaction Date],H1251)</f>
        <v>1</v>
      </c>
      <c r="L1251"/>
    </row>
    <row r="1252" spans="1:12" x14ac:dyDescent="0.3">
      <c r="A1252" t="s">
        <v>1258</v>
      </c>
      <c r="B1252" t="s">
        <v>10008</v>
      </c>
      <c r="C1252">
        <v>1</v>
      </c>
      <c r="D1252">
        <v>2</v>
      </c>
      <c r="E1252">
        <v>2</v>
      </c>
      <c r="F1252" t="s">
        <v>10018</v>
      </c>
      <c r="G1252" t="s">
        <v>10021</v>
      </c>
      <c r="H1252" s="6">
        <v>45277</v>
      </c>
      <c r="I1252">
        <f t="shared" si="38"/>
        <v>0</v>
      </c>
      <c r="J1252" t="str">
        <f t="shared" si="39"/>
        <v>Complete</v>
      </c>
      <c r="K1252">
        <f>COUNTIFS(RawData[Item], B1252,RawData[Quantity],C1252,RawData[Price Per Unit],D1252,RawData[Total Spent],E1252,RawData[Payment Method],F1252,RawData[Location],G1252,RawData[Transaction Date],H1252)</f>
        <v>1</v>
      </c>
      <c r="L1252"/>
    </row>
    <row r="1253" spans="1:12" x14ac:dyDescent="0.3">
      <c r="A1253" t="s">
        <v>1259</v>
      </c>
      <c r="B1253" t="s">
        <v>10009</v>
      </c>
      <c r="C1253">
        <v>3</v>
      </c>
      <c r="D1253">
        <v>3</v>
      </c>
      <c r="E1253">
        <v>9</v>
      </c>
      <c r="F1253" t="s">
        <v>10019</v>
      </c>
      <c r="G1253" t="s">
        <v>10021</v>
      </c>
      <c r="H1253" s="6">
        <v>45136</v>
      </c>
      <c r="I1253">
        <f t="shared" si="38"/>
        <v>0</v>
      </c>
      <c r="J1253" t="str">
        <f t="shared" si="39"/>
        <v>Complete</v>
      </c>
      <c r="K1253">
        <f>COUNTIFS(RawData[Item], B1253,RawData[Quantity],C1253,RawData[Price Per Unit],D1253,RawData[Total Spent],E1253,RawData[Payment Method],F1253,RawData[Location],G1253,RawData[Transaction Date],H1253)</f>
        <v>1</v>
      </c>
      <c r="L1253"/>
    </row>
    <row r="1254" spans="1:12" x14ac:dyDescent="0.3">
      <c r="A1254" t="s">
        <v>1260</v>
      </c>
      <c r="B1254" t="s">
        <v>10012</v>
      </c>
      <c r="C1254">
        <v>5</v>
      </c>
      <c r="D1254">
        <v>4</v>
      </c>
      <c r="E1254" t="s">
        <v>10015</v>
      </c>
      <c r="F1254" t="s">
        <v>10018</v>
      </c>
      <c r="G1254" t="s">
        <v>10069</v>
      </c>
      <c r="H1254" s="6">
        <v>45208</v>
      </c>
      <c r="I1254">
        <f t="shared" si="38"/>
        <v>1</v>
      </c>
      <c r="J1254" t="str">
        <f t="shared" si="39"/>
        <v>Complete</v>
      </c>
      <c r="K1254">
        <f>COUNTIFS(RawData[Item], B1254,RawData[Quantity],C1254,RawData[Price Per Unit],D1254,RawData[Total Spent],E1254,RawData[Payment Method],F1254,RawData[Location],G1254,RawData[Transaction Date],H1254)</f>
        <v>1</v>
      </c>
      <c r="L1254"/>
    </row>
    <row r="1255" spans="1:12" x14ac:dyDescent="0.3">
      <c r="A1255" t="s">
        <v>1261</v>
      </c>
      <c r="B1255" t="s">
        <v>10014</v>
      </c>
      <c r="C1255">
        <v>2</v>
      </c>
      <c r="D1255">
        <v>4</v>
      </c>
      <c r="E1255">
        <v>0</v>
      </c>
      <c r="F1255" t="s">
        <v>10069</v>
      </c>
      <c r="G1255" t="s">
        <v>10069</v>
      </c>
      <c r="H1255" s="6">
        <v>45065</v>
      </c>
      <c r="I1255">
        <f t="shared" si="38"/>
        <v>0</v>
      </c>
      <c r="J1255" t="str">
        <f t="shared" si="39"/>
        <v>Complete</v>
      </c>
      <c r="K1255">
        <f>COUNTIFS(RawData[Item], B1255,RawData[Quantity],C1255,RawData[Price Per Unit],D1255,RawData[Total Spent],E1255,RawData[Payment Method],F1255,RawData[Location],G1255,RawData[Transaction Date],H1255)</f>
        <v>1</v>
      </c>
      <c r="L1255"/>
    </row>
    <row r="1256" spans="1:12" x14ac:dyDescent="0.3">
      <c r="A1256" t="s">
        <v>1262</v>
      </c>
      <c r="B1256" t="s">
        <v>10013</v>
      </c>
      <c r="C1256">
        <v>1</v>
      </c>
      <c r="D1256">
        <v>2</v>
      </c>
      <c r="E1256">
        <v>0</v>
      </c>
      <c r="F1256" t="s">
        <v>10020</v>
      </c>
      <c r="G1256" t="s">
        <v>10069</v>
      </c>
      <c r="H1256" s="6">
        <v>45125</v>
      </c>
      <c r="I1256">
        <f t="shared" si="38"/>
        <v>1</v>
      </c>
      <c r="J1256" t="str">
        <f t="shared" si="39"/>
        <v>Complete</v>
      </c>
      <c r="K1256">
        <f>COUNTIFS(RawData[Item], B1256,RawData[Quantity],C1256,RawData[Price Per Unit],D1256,RawData[Total Spent],E1256,RawData[Payment Method],F1256,RawData[Location],G1256,RawData[Transaction Date],H1256)</f>
        <v>1</v>
      </c>
      <c r="L1256"/>
    </row>
    <row r="1257" spans="1:12" x14ac:dyDescent="0.3">
      <c r="A1257" t="s">
        <v>1263</v>
      </c>
      <c r="B1257" t="s">
        <v>10009</v>
      </c>
      <c r="C1257">
        <v>5</v>
      </c>
      <c r="D1257">
        <v>3</v>
      </c>
      <c r="E1257">
        <v>15</v>
      </c>
      <c r="F1257" t="s">
        <v>10069</v>
      </c>
      <c r="G1257" t="s">
        <v>10069</v>
      </c>
      <c r="H1257" s="6" t="s">
        <v>10112</v>
      </c>
      <c r="I1257">
        <f t="shared" si="38"/>
        <v>1</v>
      </c>
      <c r="J1257" t="str">
        <f t="shared" si="39"/>
        <v>Incomplete</v>
      </c>
      <c r="K1257">
        <f>COUNTIFS(RawData[Item], B1257,RawData[Quantity],C1257,RawData[Price Per Unit],D1257,RawData[Total Spent],E1257,RawData[Payment Method],F1257,RawData[Location],G1257,RawData[Transaction Date],H1257)</f>
        <v>2</v>
      </c>
      <c r="L1257"/>
    </row>
    <row r="1258" spans="1:12" x14ac:dyDescent="0.3">
      <c r="A1258" t="s">
        <v>1264</v>
      </c>
      <c r="B1258" t="s">
        <v>10016</v>
      </c>
      <c r="C1258">
        <v>1</v>
      </c>
      <c r="D1258" t="s">
        <v>10015</v>
      </c>
      <c r="E1258">
        <v>3</v>
      </c>
      <c r="F1258" t="s">
        <v>10018</v>
      </c>
      <c r="G1258" t="s">
        <v>10021</v>
      </c>
      <c r="H1258" s="6">
        <v>45101</v>
      </c>
      <c r="I1258">
        <f t="shared" si="38"/>
        <v>1</v>
      </c>
      <c r="J1258" t="str">
        <f t="shared" si="39"/>
        <v>Complete</v>
      </c>
      <c r="K1258">
        <f>COUNTIFS(RawData[Item], B1258,RawData[Quantity],C1258,RawData[Price Per Unit],D1258,RawData[Total Spent],E1258,RawData[Payment Method],F1258,RawData[Location],G1258,RawData[Transaction Date],H1258)</f>
        <v>1</v>
      </c>
      <c r="L1258"/>
    </row>
    <row r="1259" spans="1:12" x14ac:dyDescent="0.3">
      <c r="A1259" t="s">
        <v>1265</v>
      </c>
      <c r="B1259" t="s">
        <v>10012</v>
      </c>
      <c r="C1259">
        <v>2</v>
      </c>
      <c r="D1259">
        <v>4</v>
      </c>
      <c r="E1259">
        <v>8</v>
      </c>
      <c r="F1259" t="s">
        <v>10104</v>
      </c>
      <c r="G1259" t="s">
        <v>10021</v>
      </c>
      <c r="H1259" s="6">
        <v>45218</v>
      </c>
      <c r="I1259">
        <f t="shared" si="38"/>
        <v>1</v>
      </c>
      <c r="J1259" t="str">
        <f t="shared" si="39"/>
        <v>Complete</v>
      </c>
      <c r="K1259">
        <f>COUNTIFS(RawData[Item], B1259,RawData[Quantity],C1259,RawData[Price Per Unit],D1259,RawData[Total Spent],E1259,RawData[Payment Method],F1259,RawData[Location],G1259,RawData[Transaction Date],H1259)</f>
        <v>1</v>
      </c>
      <c r="L1259"/>
    </row>
    <row r="1260" spans="1:12" x14ac:dyDescent="0.3">
      <c r="A1260" t="s">
        <v>1266</v>
      </c>
      <c r="B1260" t="s">
        <v>10012</v>
      </c>
      <c r="C1260">
        <v>1</v>
      </c>
      <c r="D1260">
        <v>4</v>
      </c>
      <c r="E1260">
        <v>4</v>
      </c>
      <c r="F1260" t="s">
        <v>10020</v>
      </c>
      <c r="G1260" t="s">
        <v>10021</v>
      </c>
      <c r="H1260" s="6">
        <v>45044</v>
      </c>
      <c r="I1260">
        <f t="shared" si="38"/>
        <v>0</v>
      </c>
      <c r="J1260" t="str">
        <f t="shared" si="39"/>
        <v>Complete</v>
      </c>
      <c r="K1260">
        <f>COUNTIFS(RawData[Item], B1260,RawData[Quantity],C1260,RawData[Price Per Unit],D1260,RawData[Total Spent],E1260,RawData[Payment Method],F1260,RawData[Location],G1260,RawData[Transaction Date],H1260)</f>
        <v>1</v>
      </c>
      <c r="L1260"/>
    </row>
    <row r="1261" spans="1:12" x14ac:dyDescent="0.3">
      <c r="A1261" t="s">
        <v>1267</v>
      </c>
      <c r="B1261" t="s">
        <v>10017</v>
      </c>
      <c r="C1261">
        <v>2</v>
      </c>
      <c r="D1261">
        <v>1.5</v>
      </c>
      <c r="E1261">
        <v>3</v>
      </c>
      <c r="F1261" t="s">
        <v>10018</v>
      </c>
      <c r="G1261" t="s">
        <v>10069</v>
      </c>
      <c r="H1261" s="6">
        <v>45245</v>
      </c>
      <c r="I1261">
        <f t="shared" si="38"/>
        <v>0</v>
      </c>
      <c r="J1261" t="str">
        <f t="shared" si="39"/>
        <v>Complete</v>
      </c>
      <c r="K1261">
        <f>COUNTIFS(RawData[Item], B1261,RawData[Quantity],C1261,RawData[Price Per Unit],D1261,RawData[Total Spent],E1261,RawData[Payment Method],F1261,RawData[Location],G1261,RawData[Transaction Date],H1261)</f>
        <v>1</v>
      </c>
      <c r="L1261"/>
    </row>
    <row r="1262" spans="1:12" x14ac:dyDescent="0.3">
      <c r="A1262" t="s">
        <v>1268</v>
      </c>
      <c r="B1262" t="s">
        <v>10010</v>
      </c>
      <c r="C1262">
        <v>1</v>
      </c>
      <c r="D1262">
        <v>1</v>
      </c>
      <c r="E1262">
        <v>1</v>
      </c>
      <c r="F1262" t="s">
        <v>10020</v>
      </c>
      <c r="G1262" t="s">
        <v>10021</v>
      </c>
      <c r="H1262" s="6">
        <v>45128</v>
      </c>
      <c r="I1262">
        <f t="shared" si="38"/>
        <v>0</v>
      </c>
      <c r="J1262" t="str">
        <f t="shared" si="39"/>
        <v>Complete</v>
      </c>
      <c r="K1262">
        <f>COUNTIFS(RawData[Item], B1262,RawData[Quantity],C1262,RawData[Price Per Unit],D1262,RawData[Total Spent],E1262,RawData[Payment Method],F1262,RawData[Location],G1262,RawData[Transaction Date],H1262)</f>
        <v>1</v>
      </c>
      <c r="L1262"/>
    </row>
    <row r="1263" spans="1:12" x14ac:dyDescent="0.3">
      <c r="A1263" t="s">
        <v>1269</v>
      </c>
      <c r="B1263" t="s">
        <v>10016</v>
      </c>
      <c r="C1263">
        <v>2</v>
      </c>
      <c r="D1263">
        <v>3</v>
      </c>
      <c r="E1263">
        <v>6</v>
      </c>
      <c r="F1263" t="s">
        <v>10069</v>
      </c>
      <c r="G1263" t="s">
        <v>10021</v>
      </c>
      <c r="H1263" s="6">
        <v>45236</v>
      </c>
      <c r="I1263">
        <f t="shared" si="38"/>
        <v>0</v>
      </c>
      <c r="J1263" t="str">
        <f t="shared" si="39"/>
        <v>Complete</v>
      </c>
      <c r="K1263">
        <f>COUNTIFS(RawData[Item], B1263,RawData[Quantity],C1263,RawData[Price Per Unit],D1263,RawData[Total Spent],E1263,RawData[Payment Method],F1263,RawData[Location],G1263,RawData[Transaction Date],H1263)</f>
        <v>1</v>
      </c>
      <c r="L1263"/>
    </row>
    <row r="1264" spans="1:12" x14ac:dyDescent="0.3">
      <c r="A1264" t="s">
        <v>1270</v>
      </c>
      <c r="B1264" t="s">
        <v>10010</v>
      </c>
      <c r="C1264">
        <v>2</v>
      </c>
      <c r="D1264">
        <v>1</v>
      </c>
      <c r="E1264">
        <v>2</v>
      </c>
      <c r="F1264" t="s">
        <v>10020</v>
      </c>
      <c r="G1264" t="s">
        <v>10021</v>
      </c>
      <c r="H1264" s="6">
        <v>44965</v>
      </c>
      <c r="I1264">
        <f t="shared" si="38"/>
        <v>0</v>
      </c>
      <c r="J1264" t="str">
        <f t="shared" si="39"/>
        <v>Complete</v>
      </c>
      <c r="K1264">
        <f>COUNTIFS(RawData[Item], B1264,RawData[Quantity],C1264,RawData[Price Per Unit],D1264,RawData[Total Spent],E1264,RawData[Payment Method],F1264,RawData[Location],G1264,RawData[Transaction Date],H1264)</f>
        <v>1</v>
      </c>
      <c r="L1264"/>
    </row>
    <row r="1265" spans="1:12" x14ac:dyDescent="0.3">
      <c r="A1265" t="s">
        <v>1271</v>
      </c>
      <c r="B1265" t="s">
        <v>10011</v>
      </c>
      <c r="C1265">
        <v>4</v>
      </c>
      <c r="D1265">
        <v>0</v>
      </c>
      <c r="E1265">
        <v>20</v>
      </c>
      <c r="F1265" t="s">
        <v>10019</v>
      </c>
      <c r="G1265" t="s">
        <v>10069</v>
      </c>
      <c r="H1265" s="6" t="s">
        <v>10112</v>
      </c>
      <c r="I1265">
        <f t="shared" si="38"/>
        <v>1</v>
      </c>
      <c r="J1265" t="str">
        <f t="shared" si="39"/>
        <v>Incomplete</v>
      </c>
      <c r="K1265">
        <f>COUNTIFS(RawData[Item], B1265,RawData[Quantity],C1265,RawData[Price Per Unit],D1265,RawData[Total Spent],E1265,RawData[Payment Method],F1265,RawData[Location],G1265,RawData[Transaction Date],H1265)</f>
        <v>1</v>
      </c>
      <c r="L1265"/>
    </row>
    <row r="1266" spans="1:12" x14ac:dyDescent="0.3">
      <c r="A1266" t="s">
        <v>1272</v>
      </c>
      <c r="B1266" t="s">
        <v>10009</v>
      </c>
      <c r="C1266">
        <v>2</v>
      </c>
      <c r="D1266">
        <v>3</v>
      </c>
      <c r="E1266">
        <v>6</v>
      </c>
      <c r="F1266" t="s">
        <v>10018</v>
      </c>
      <c r="G1266" t="s">
        <v>10021</v>
      </c>
      <c r="H1266" s="6">
        <v>44988</v>
      </c>
      <c r="I1266">
        <f t="shared" si="38"/>
        <v>0</v>
      </c>
      <c r="J1266" t="str">
        <f t="shared" si="39"/>
        <v>Complete</v>
      </c>
      <c r="K1266">
        <f>COUNTIFS(RawData[Item], B1266,RawData[Quantity],C1266,RawData[Price Per Unit],D1266,RawData[Total Spent],E1266,RawData[Payment Method],F1266,RawData[Location],G1266,RawData[Transaction Date],H1266)</f>
        <v>1</v>
      </c>
      <c r="L1266"/>
    </row>
    <row r="1267" spans="1:12" x14ac:dyDescent="0.3">
      <c r="A1267" t="s">
        <v>1273</v>
      </c>
      <c r="B1267" t="s">
        <v>10014</v>
      </c>
      <c r="C1267">
        <v>3</v>
      </c>
      <c r="D1267">
        <v>4</v>
      </c>
      <c r="E1267">
        <v>12</v>
      </c>
      <c r="F1267" t="s">
        <v>10069</v>
      </c>
      <c r="G1267" t="s">
        <v>10102</v>
      </c>
      <c r="H1267" s="6">
        <v>45067</v>
      </c>
      <c r="I1267">
        <f t="shared" si="38"/>
        <v>0</v>
      </c>
      <c r="J1267" t="str">
        <f t="shared" si="39"/>
        <v>Complete</v>
      </c>
      <c r="K1267">
        <f>COUNTIFS(RawData[Item], B1267,RawData[Quantity],C1267,RawData[Price Per Unit],D1267,RawData[Total Spent],E1267,RawData[Payment Method],F1267,RawData[Location],G1267,RawData[Transaction Date],H1267)</f>
        <v>1</v>
      </c>
      <c r="L1267"/>
    </row>
    <row r="1268" spans="1:12" x14ac:dyDescent="0.3">
      <c r="A1268" t="s">
        <v>1274</v>
      </c>
      <c r="B1268" t="s">
        <v>10017</v>
      </c>
      <c r="C1268">
        <v>5</v>
      </c>
      <c r="D1268">
        <v>1.5</v>
      </c>
      <c r="E1268">
        <v>7.5</v>
      </c>
      <c r="F1268" t="s">
        <v>10019</v>
      </c>
      <c r="G1268" t="s">
        <v>10069</v>
      </c>
      <c r="H1268" s="6">
        <v>45280</v>
      </c>
      <c r="I1268">
        <f t="shared" si="38"/>
        <v>0</v>
      </c>
      <c r="J1268" t="str">
        <f t="shared" si="39"/>
        <v>Complete</v>
      </c>
      <c r="K1268">
        <f>COUNTIFS(RawData[Item], B1268,RawData[Quantity],C1268,RawData[Price Per Unit],D1268,RawData[Total Spent],E1268,RawData[Payment Method],F1268,RawData[Location],G1268,RawData[Transaction Date],H1268)</f>
        <v>1</v>
      </c>
      <c r="L1268"/>
    </row>
    <row r="1269" spans="1:12" x14ac:dyDescent="0.3">
      <c r="A1269" t="s">
        <v>1275</v>
      </c>
      <c r="B1269" t="s">
        <v>10011</v>
      </c>
      <c r="C1269">
        <v>1</v>
      </c>
      <c r="D1269" t="s">
        <v>10015</v>
      </c>
      <c r="E1269">
        <v>5</v>
      </c>
      <c r="F1269" t="s">
        <v>10069</v>
      </c>
      <c r="G1269" t="s">
        <v>10069</v>
      </c>
      <c r="H1269" s="6">
        <v>45222</v>
      </c>
      <c r="I1269">
        <f t="shared" si="38"/>
        <v>1</v>
      </c>
      <c r="J1269" t="str">
        <f t="shared" si="39"/>
        <v>Complete</v>
      </c>
      <c r="K1269">
        <f>COUNTIFS(RawData[Item], B1269,RawData[Quantity],C1269,RawData[Price Per Unit],D1269,RawData[Total Spent],E1269,RawData[Payment Method],F1269,RawData[Location],G1269,RawData[Transaction Date],H1269)</f>
        <v>1</v>
      </c>
      <c r="L1269"/>
    </row>
    <row r="1270" spans="1:12" x14ac:dyDescent="0.3">
      <c r="A1270" t="s">
        <v>1276</v>
      </c>
      <c r="B1270" t="s">
        <v>10011</v>
      </c>
      <c r="C1270">
        <v>4</v>
      </c>
      <c r="D1270">
        <v>5</v>
      </c>
      <c r="E1270">
        <v>20</v>
      </c>
      <c r="F1270" t="s">
        <v>10018</v>
      </c>
      <c r="G1270" t="s">
        <v>10102</v>
      </c>
      <c r="H1270" s="6">
        <v>44947</v>
      </c>
      <c r="I1270">
        <f t="shared" si="38"/>
        <v>0</v>
      </c>
      <c r="J1270" t="str">
        <f t="shared" si="39"/>
        <v>Complete</v>
      </c>
      <c r="K1270">
        <f>COUNTIFS(RawData[Item], B1270,RawData[Quantity],C1270,RawData[Price Per Unit],D1270,RawData[Total Spent],E1270,RawData[Payment Method],F1270,RawData[Location],G1270,RawData[Transaction Date],H1270)</f>
        <v>1</v>
      </c>
      <c r="L1270"/>
    </row>
    <row r="1271" spans="1:12" x14ac:dyDescent="0.3">
      <c r="A1271" t="s">
        <v>1277</v>
      </c>
      <c r="B1271" t="s">
        <v>10008</v>
      </c>
      <c r="C1271">
        <v>5</v>
      </c>
      <c r="D1271">
        <v>2</v>
      </c>
      <c r="E1271">
        <v>10</v>
      </c>
      <c r="F1271" t="s">
        <v>10019</v>
      </c>
      <c r="G1271" t="s">
        <v>10021</v>
      </c>
      <c r="H1271" s="6">
        <v>45111</v>
      </c>
      <c r="I1271">
        <f t="shared" si="38"/>
        <v>0</v>
      </c>
      <c r="J1271" t="str">
        <f t="shared" si="39"/>
        <v>Complete</v>
      </c>
      <c r="K1271">
        <f>COUNTIFS(RawData[Item], B1271,RawData[Quantity],C1271,RawData[Price Per Unit],D1271,RawData[Total Spent],E1271,RawData[Payment Method],F1271,RawData[Location],G1271,RawData[Transaction Date],H1271)</f>
        <v>1</v>
      </c>
      <c r="L1271"/>
    </row>
    <row r="1272" spans="1:12" x14ac:dyDescent="0.3">
      <c r="A1272" t="s">
        <v>1278</v>
      </c>
      <c r="B1272" t="s">
        <v>10009</v>
      </c>
      <c r="C1272">
        <v>2</v>
      </c>
      <c r="D1272">
        <v>3</v>
      </c>
      <c r="E1272">
        <v>6</v>
      </c>
      <c r="F1272" t="s">
        <v>10069</v>
      </c>
      <c r="G1272" t="s">
        <v>10102</v>
      </c>
      <c r="H1272" s="6">
        <v>45026</v>
      </c>
      <c r="I1272">
        <f t="shared" si="38"/>
        <v>0</v>
      </c>
      <c r="J1272" t="str">
        <f t="shared" si="39"/>
        <v>Complete</v>
      </c>
      <c r="K1272">
        <f>COUNTIFS(RawData[Item], B1272,RawData[Quantity],C1272,RawData[Price Per Unit],D1272,RawData[Total Spent],E1272,RawData[Payment Method],F1272,RawData[Location],G1272,RawData[Transaction Date],H1272)</f>
        <v>1</v>
      </c>
      <c r="L1272"/>
    </row>
    <row r="1273" spans="1:12" x14ac:dyDescent="0.3">
      <c r="A1273" t="s">
        <v>1279</v>
      </c>
      <c r="B1273" t="s">
        <v>10016</v>
      </c>
      <c r="C1273">
        <v>3</v>
      </c>
      <c r="D1273">
        <v>3</v>
      </c>
      <c r="E1273">
        <v>9</v>
      </c>
      <c r="F1273" t="s">
        <v>10069</v>
      </c>
      <c r="G1273" t="s">
        <v>10021</v>
      </c>
      <c r="H1273" s="6">
        <v>44966</v>
      </c>
      <c r="I1273">
        <f t="shared" si="38"/>
        <v>0</v>
      </c>
      <c r="J1273" t="str">
        <f t="shared" si="39"/>
        <v>Complete</v>
      </c>
      <c r="K1273">
        <f>COUNTIFS(RawData[Item], B1273,RawData[Quantity],C1273,RawData[Price Per Unit],D1273,RawData[Total Spent],E1273,RawData[Payment Method],F1273,RawData[Location],G1273,RawData[Transaction Date],H1273)</f>
        <v>1</v>
      </c>
      <c r="L1273"/>
    </row>
    <row r="1274" spans="1:12" x14ac:dyDescent="0.3">
      <c r="A1274" t="s">
        <v>1280</v>
      </c>
      <c r="B1274" t="s">
        <v>10010</v>
      </c>
      <c r="C1274">
        <v>5</v>
      </c>
      <c r="D1274">
        <v>1</v>
      </c>
      <c r="E1274">
        <v>5</v>
      </c>
      <c r="F1274" t="s">
        <v>10104</v>
      </c>
      <c r="G1274" t="s">
        <v>10069</v>
      </c>
      <c r="H1274" s="6">
        <v>45209</v>
      </c>
      <c r="I1274">
        <f t="shared" si="38"/>
        <v>1</v>
      </c>
      <c r="J1274" t="str">
        <f t="shared" si="39"/>
        <v>Complete</v>
      </c>
      <c r="K1274">
        <f>COUNTIFS(RawData[Item], B1274,RawData[Quantity],C1274,RawData[Price Per Unit],D1274,RawData[Total Spent],E1274,RawData[Payment Method],F1274,RawData[Location],G1274,RawData[Transaction Date],H1274)</f>
        <v>1</v>
      </c>
      <c r="L1274"/>
    </row>
    <row r="1275" spans="1:12" x14ac:dyDescent="0.3">
      <c r="A1275" t="s">
        <v>1281</v>
      </c>
      <c r="B1275" t="s">
        <v>10009</v>
      </c>
      <c r="C1275">
        <v>1</v>
      </c>
      <c r="D1275">
        <v>3</v>
      </c>
      <c r="E1275">
        <v>3</v>
      </c>
      <c r="F1275" t="s">
        <v>10069</v>
      </c>
      <c r="G1275" t="s">
        <v>10102</v>
      </c>
      <c r="H1275" s="6">
        <v>45089</v>
      </c>
      <c r="I1275">
        <f t="shared" si="38"/>
        <v>0</v>
      </c>
      <c r="J1275" t="str">
        <f t="shared" si="39"/>
        <v>Complete</v>
      </c>
      <c r="K1275">
        <f>COUNTIFS(RawData[Item], B1275,RawData[Quantity],C1275,RawData[Price Per Unit],D1275,RawData[Total Spent],E1275,RawData[Payment Method],F1275,RawData[Location],G1275,RawData[Transaction Date],H1275)</f>
        <v>1</v>
      </c>
      <c r="L1275"/>
    </row>
    <row r="1276" spans="1:12" x14ac:dyDescent="0.3">
      <c r="A1276" t="s">
        <v>1282</v>
      </c>
      <c r="B1276" t="s">
        <v>10009</v>
      </c>
      <c r="C1276">
        <v>0</v>
      </c>
      <c r="D1276">
        <v>3</v>
      </c>
      <c r="E1276">
        <v>12</v>
      </c>
      <c r="F1276" t="s">
        <v>10103</v>
      </c>
      <c r="G1276" t="s">
        <v>10069</v>
      </c>
      <c r="H1276" s="6">
        <v>45210</v>
      </c>
      <c r="I1276">
        <f t="shared" si="38"/>
        <v>1</v>
      </c>
      <c r="J1276" t="str">
        <f t="shared" si="39"/>
        <v>Complete</v>
      </c>
      <c r="K1276">
        <f>COUNTIFS(RawData[Item], B1276,RawData[Quantity],C1276,RawData[Price Per Unit],D1276,RawData[Total Spent],E1276,RawData[Payment Method],F1276,RawData[Location],G1276,RawData[Transaction Date],H1276)</f>
        <v>1</v>
      </c>
      <c r="L1276"/>
    </row>
    <row r="1277" spans="1:12" x14ac:dyDescent="0.3">
      <c r="A1277" t="s">
        <v>1283</v>
      </c>
      <c r="B1277" t="s">
        <v>10008</v>
      </c>
      <c r="C1277">
        <v>1</v>
      </c>
      <c r="D1277">
        <v>2</v>
      </c>
      <c r="E1277">
        <v>2</v>
      </c>
      <c r="F1277" t="s">
        <v>10069</v>
      </c>
      <c r="G1277" t="s">
        <v>10021</v>
      </c>
      <c r="H1277" s="6">
        <v>45243</v>
      </c>
      <c r="I1277">
        <f t="shared" si="38"/>
        <v>0</v>
      </c>
      <c r="J1277" t="str">
        <f t="shared" si="39"/>
        <v>Complete</v>
      </c>
      <c r="K1277">
        <f>COUNTIFS(RawData[Item], B1277,RawData[Quantity],C1277,RawData[Price Per Unit],D1277,RawData[Total Spent],E1277,RawData[Payment Method],F1277,RawData[Location],G1277,RawData[Transaction Date],H1277)</f>
        <v>1</v>
      </c>
      <c r="L1277"/>
    </row>
    <row r="1278" spans="1:12" x14ac:dyDescent="0.3">
      <c r="A1278" t="s">
        <v>1284</v>
      </c>
      <c r="B1278" t="s">
        <v>10009</v>
      </c>
      <c r="C1278">
        <v>1</v>
      </c>
      <c r="D1278">
        <v>3</v>
      </c>
      <c r="E1278">
        <v>3</v>
      </c>
      <c r="F1278" t="s">
        <v>10020</v>
      </c>
      <c r="G1278" t="s">
        <v>10069</v>
      </c>
      <c r="H1278" s="6">
        <v>45004</v>
      </c>
      <c r="I1278">
        <f t="shared" si="38"/>
        <v>0</v>
      </c>
      <c r="J1278" t="str">
        <f t="shared" si="39"/>
        <v>Complete</v>
      </c>
      <c r="K1278">
        <f>COUNTIFS(RawData[Item], B1278,RawData[Quantity],C1278,RawData[Price Per Unit],D1278,RawData[Total Spent],E1278,RawData[Payment Method],F1278,RawData[Location],G1278,RawData[Transaction Date],H1278)</f>
        <v>1</v>
      </c>
      <c r="L1278"/>
    </row>
    <row r="1279" spans="1:12" x14ac:dyDescent="0.3">
      <c r="A1279" t="s">
        <v>1285</v>
      </c>
      <c r="B1279" t="s">
        <v>10017</v>
      </c>
      <c r="C1279">
        <v>5</v>
      </c>
      <c r="D1279">
        <v>1.5</v>
      </c>
      <c r="E1279">
        <v>7.5</v>
      </c>
      <c r="F1279" t="s">
        <v>10069</v>
      </c>
      <c r="G1279" t="s">
        <v>10069</v>
      </c>
      <c r="H1279" s="6">
        <v>45077</v>
      </c>
      <c r="I1279">
        <f t="shared" si="38"/>
        <v>0</v>
      </c>
      <c r="J1279" t="str">
        <f t="shared" si="39"/>
        <v>Complete</v>
      </c>
      <c r="K1279">
        <f>COUNTIFS(RawData[Item], B1279,RawData[Quantity],C1279,RawData[Price Per Unit],D1279,RawData[Total Spent],E1279,RawData[Payment Method],F1279,RawData[Location],G1279,RawData[Transaction Date],H1279)</f>
        <v>1</v>
      </c>
      <c r="L1279"/>
    </row>
    <row r="1280" spans="1:12" x14ac:dyDescent="0.3">
      <c r="A1280" t="s">
        <v>1286</v>
      </c>
      <c r="B1280" t="s">
        <v>10008</v>
      </c>
      <c r="C1280">
        <v>4</v>
      </c>
      <c r="D1280">
        <v>2</v>
      </c>
      <c r="E1280">
        <v>8</v>
      </c>
      <c r="F1280" t="s">
        <v>10103</v>
      </c>
      <c r="G1280" t="s">
        <v>10102</v>
      </c>
      <c r="H1280" s="6">
        <v>45269</v>
      </c>
      <c r="I1280">
        <f t="shared" si="38"/>
        <v>1</v>
      </c>
      <c r="J1280" t="str">
        <f t="shared" si="39"/>
        <v>Complete</v>
      </c>
      <c r="K1280">
        <f>COUNTIFS(RawData[Item], B1280,RawData[Quantity],C1280,RawData[Price Per Unit],D1280,RawData[Total Spent],E1280,RawData[Payment Method],F1280,RawData[Location],G1280,RawData[Transaction Date],H1280)</f>
        <v>1</v>
      </c>
      <c r="L1280"/>
    </row>
    <row r="1281" spans="1:12" x14ac:dyDescent="0.3">
      <c r="A1281" t="s">
        <v>1287</v>
      </c>
      <c r="B1281" t="s">
        <v>10008</v>
      </c>
      <c r="C1281">
        <v>4</v>
      </c>
      <c r="D1281">
        <v>2</v>
      </c>
      <c r="E1281">
        <v>8</v>
      </c>
      <c r="F1281" t="s">
        <v>10069</v>
      </c>
      <c r="G1281" t="s">
        <v>10069</v>
      </c>
      <c r="H1281" s="6">
        <v>45159</v>
      </c>
      <c r="I1281">
        <f t="shared" si="38"/>
        <v>0</v>
      </c>
      <c r="J1281" t="str">
        <f t="shared" si="39"/>
        <v>Complete</v>
      </c>
      <c r="K1281">
        <f>COUNTIFS(RawData[Item], B1281,RawData[Quantity],C1281,RawData[Price Per Unit],D1281,RawData[Total Spent],E1281,RawData[Payment Method],F1281,RawData[Location],G1281,RawData[Transaction Date],H1281)</f>
        <v>2</v>
      </c>
      <c r="L1281"/>
    </row>
    <row r="1282" spans="1:12" x14ac:dyDescent="0.3">
      <c r="A1282" t="s">
        <v>1288</v>
      </c>
      <c r="B1282" t="s">
        <v>10009</v>
      </c>
      <c r="C1282">
        <v>1</v>
      </c>
      <c r="D1282">
        <v>3</v>
      </c>
      <c r="E1282">
        <v>3</v>
      </c>
      <c r="F1282" t="s">
        <v>10020</v>
      </c>
      <c r="G1282" t="s">
        <v>10021</v>
      </c>
      <c r="H1282" s="6">
        <v>45276</v>
      </c>
      <c r="I1282">
        <f t="shared" ref="I1282:I1345" si="40">(B1282="Unknown")+(B1282="Error")+(C1282="Unknown")+(C1282="Error")+(D1282="Unknown")+(D1282="Error")+(E1282="Unknown")+(E1282="Error")+(F1282="Unknown")+(F1282="Error")+(G1282="Unknown")+(G1282="Error")+(H1282="No Date")</f>
        <v>0</v>
      </c>
      <c r="J1282" t="str">
        <f t="shared" ref="J1282:J1345" si="41">IF((H1282="No Date"),"Incomplete","Complete")</f>
        <v>Complete</v>
      </c>
      <c r="K1282">
        <f>COUNTIFS(RawData[Item], B1282,RawData[Quantity],C1282,RawData[Price Per Unit],D1282,RawData[Total Spent],E1282,RawData[Payment Method],F1282,RawData[Location],G1282,RawData[Transaction Date],H1282)</f>
        <v>1</v>
      </c>
      <c r="L1282"/>
    </row>
    <row r="1283" spans="1:12" x14ac:dyDescent="0.3">
      <c r="A1283" t="s">
        <v>1289</v>
      </c>
      <c r="B1283" t="s">
        <v>10012</v>
      </c>
      <c r="C1283">
        <v>5</v>
      </c>
      <c r="D1283">
        <v>4</v>
      </c>
      <c r="E1283" t="s">
        <v>10013</v>
      </c>
      <c r="F1283" t="s">
        <v>10069</v>
      </c>
      <c r="G1283" t="s">
        <v>10102</v>
      </c>
      <c r="H1283" s="6">
        <v>44968</v>
      </c>
      <c r="I1283">
        <f t="shared" si="40"/>
        <v>1</v>
      </c>
      <c r="J1283" t="str">
        <f t="shared" si="41"/>
        <v>Complete</v>
      </c>
      <c r="K1283">
        <f>COUNTIFS(RawData[Item], B1283,RawData[Quantity],C1283,RawData[Price Per Unit],D1283,RawData[Total Spent],E1283,RawData[Payment Method],F1283,RawData[Location],G1283,RawData[Transaction Date],H1283)</f>
        <v>1</v>
      </c>
      <c r="L1283"/>
    </row>
    <row r="1284" spans="1:12" x14ac:dyDescent="0.3">
      <c r="A1284" t="s">
        <v>1290</v>
      </c>
      <c r="B1284" t="s">
        <v>10069</v>
      </c>
      <c r="C1284">
        <v>4</v>
      </c>
      <c r="D1284">
        <v>3</v>
      </c>
      <c r="E1284">
        <v>12</v>
      </c>
      <c r="F1284" t="s">
        <v>10019</v>
      </c>
      <c r="G1284" t="s">
        <v>10021</v>
      </c>
      <c r="H1284" s="6">
        <v>45050</v>
      </c>
      <c r="I1284">
        <f t="shared" si="40"/>
        <v>0</v>
      </c>
      <c r="J1284" t="str">
        <f t="shared" si="41"/>
        <v>Complete</v>
      </c>
      <c r="K1284">
        <f>COUNTIFS(RawData[Item], B1284,RawData[Quantity],C1284,RawData[Price Per Unit],D1284,RawData[Total Spent],E1284,RawData[Payment Method],F1284,RawData[Location],G1284,RawData[Transaction Date],H1284)</f>
        <v>1</v>
      </c>
      <c r="L1284"/>
    </row>
    <row r="1285" spans="1:12" x14ac:dyDescent="0.3">
      <c r="A1285" t="s">
        <v>1291</v>
      </c>
      <c r="B1285" t="s">
        <v>10016</v>
      </c>
      <c r="C1285">
        <v>4</v>
      </c>
      <c r="D1285">
        <v>3</v>
      </c>
      <c r="E1285">
        <v>12</v>
      </c>
      <c r="F1285" t="s">
        <v>10018</v>
      </c>
      <c r="G1285" t="s">
        <v>10069</v>
      </c>
      <c r="H1285" s="6">
        <v>45033</v>
      </c>
      <c r="I1285">
        <f t="shared" si="40"/>
        <v>0</v>
      </c>
      <c r="J1285" t="str">
        <f t="shared" si="41"/>
        <v>Complete</v>
      </c>
      <c r="K1285">
        <f>COUNTIFS(RawData[Item], B1285,RawData[Quantity],C1285,RawData[Price Per Unit],D1285,RawData[Total Spent],E1285,RawData[Payment Method],F1285,RawData[Location],G1285,RawData[Transaction Date],H1285)</f>
        <v>1</v>
      </c>
      <c r="L1285"/>
    </row>
    <row r="1286" spans="1:12" x14ac:dyDescent="0.3">
      <c r="A1286" t="s">
        <v>1292</v>
      </c>
      <c r="B1286" t="s">
        <v>10017</v>
      </c>
      <c r="C1286">
        <v>3</v>
      </c>
      <c r="D1286">
        <v>1.5</v>
      </c>
      <c r="E1286">
        <v>4.5</v>
      </c>
      <c r="F1286" t="s">
        <v>10019</v>
      </c>
      <c r="G1286" t="s">
        <v>10103</v>
      </c>
      <c r="H1286" s="6">
        <v>45144</v>
      </c>
      <c r="I1286">
        <f t="shared" si="40"/>
        <v>1</v>
      </c>
      <c r="J1286" t="str">
        <f t="shared" si="41"/>
        <v>Complete</v>
      </c>
      <c r="K1286">
        <f>COUNTIFS(RawData[Item], B1286,RawData[Quantity],C1286,RawData[Price Per Unit],D1286,RawData[Total Spent],E1286,RawData[Payment Method],F1286,RawData[Location],G1286,RawData[Transaction Date],H1286)</f>
        <v>1</v>
      </c>
      <c r="L1286"/>
    </row>
    <row r="1287" spans="1:12" x14ac:dyDescent="0.3">
      <c r="A1287" t="s">
        <v>1293</v>
      </c>
      <c r="B1287" t="s">
        <v>10012</v>
      </c>
      <c r="C1287">
        <v>4</v>
      </c>
      <c r="D1287">
        <v>4</v>
      </c>
      <c r="E1287">
        <v>16</v>
      </c>
      <c r="F1287" t="s">
        <v>10019</v>
      </c>
      <c r="G1287" t="s">
        <v>10021</v>
      </c>
      <c r="H1287" s="6">
        <v>45120</v>
      </c>
      <c r="I1287">
        <f t="shared" si="40"/>
        <v>0</v>
      </c>
      <c r="J1287" t="str">
        <f t="shared" si="41"/>
        <v>Complete</v>
      </c>
      <c r="K1287">
        <f>COUNTIFS(RawData[Item], B1287,RawData[Quantity],C1287,RawData[Price Per Unit],D1287,RawData[Total Spent],E1287,RawData[Payment Method],F1287,RawData[Location],G1287,RawData[Transaction Date],H1287)</f>
        <v>1</v>
      </c>
      <c r="L1287"/>
    </row>
    <row r="1288" spans="1:12" x14ac:dyDescent="0.3">
      <c r="A1288" t="s">
        <v>1294</v>
      </c>
      <c r="B1288" t="s">
        <v>10011</v>
      </c>
      <c r="C1288">
        <v>1</v>
      </c>
      <c r="D1288">
        <v>5</v>
      </c>
      <c r="E1288">
        <v>5</v>
      </c>
      <c r="F1288" t="s">
        <v>10019</v>
      </c>
      <c r="G1288" t="s">
        <v>10021</v>
      </c>
      <c r="H1288" s="6">
        <v>45291</v>
      </c>
      <c r="I1288">
        <f t="shared" si="40"/>
        <v>0</v>
      </c>
      <c r="J1288" t="str">
        <f t="shared" si="41"/>
        <v>Complete</v>
      </c>
      <c r="K1288">
        <f>COUNTIFS(RawData[Item], B1288,RawData[Quantity],C1288,RawData[Price Per Unit],D1288,RawData[Total Spent],E1288,RawData[Payment Method],F1288,RawData[Location],G1288,RawData[Transaction Date],H1288)</f>
        <v>1</v>
      </c>
      <c r="L1288"/>
    </row>
    <row r="1289" spans="1:12" x14ac:dyDescent="0.3">
      <c r="A1289" t="s">
        <v>1295</v>
      </c>
      <c r="B1289" t="s">
        <v>10008</v>
      </c>
      <c r="C1289">
        <v>2</v>
      </c>
      <c r="D1289">
        <v>2</v>
      </c>
      <c r="E1289">
        <v>4</v>
      </c>
      <c r="F1289" t="s">
        <v>10018</v>
      </c>
      <c r="G1289" t="s">
        <v>10069</v>
      </c>
      <c r="H1289" s="6">
        <v>45159</v>
      </c>
      <c r="I1289">
        <f t="shared" si="40"/>
        <v>0</v>
      </c>
      <c r="J1289" t="str">
        <f t="shared" si="41"/>
        <v>Complete</v>
      </c>
      <c r="K1289">
        <f>COUNTIFS(RawData[Item], B1289,RawData[Quantity],C1289,RawData[Price Per Unit],D1289,RawData[Total Spent],E1289,RawData[Payment Method],F1289,RawData[Location],G1289,RawData[Transaction Date],H1289)</f>
        <v>1</v>
      </c>
      <c r="L1289"/>
    </row>
    <row r="1290" spans="1:12" x14ac:dyDescent="0.3">
      <c r="A1290" t="s">
        <v>1296</v>
      </c>
      <c r="B1290" t="s">
        <v>10009</v>
      </c>
      <c r="C1290">
        <v>4</v>
      </c>
      <c r="D1290">
        <v>3</v>
      </c>
      <c r="E1290">
        <v>12</v>
      </c>
      <c r="F1290" t="s">
        <v>10069</v>
      </c>
      <c r="G1290" t="s">
        <v>10021</v>
      </c>
      <c r="H1290" s="6">
        <v>45062</v>
      </c>
      <c r="I1290">
        <f t="shared" si="40"/>
        <v>0</v>
      </c>
      <c r="J1290" t="str">
        <f t="shared" si="41"/>
        <v>Complete</v>
      </c>
      <c r="K1290">
        <f>COUNTIFS(RawData[Item], B1290,RawData[Quantity],C1290,RawData[Price Per Unit],D1290,RawData[Total Spent],E1290,RawData[Payment Method],F1290,RawData[Location],G1290,RawData[Transaction Date],H1290)</f>
        <v>1</v>
      </c>
      <c r="L1290"/>
    </row>
    <row r="1291" spans="1:12" x14ac:dyDescent="0.3">
      <c r="A1291" t="s">
        <v>1297</v>
      </c>
      <c r="B1291" t="s">
        <v>10011</v>
      </c>
      <c r="C1291">
        <v>2</v>
      </c>
      <c r="D1291">
        <v>5</v>
      </c>
      <c r="E1291">
        <v>10</v>
      </c>
      <c r="F1291" t="s">
        <v>10020</v>
      </c>
      <c r="G1291" t="s">
        <v>10103</v>
      </c>
      <c r="H1291" s="6">
        <v>45283</v>
      </c>
      <c r="I1291">
        <f t="shared" si="40"/>
        <v>1</v>
      </c>
      <c r="J1291" t="str">
        <f t="shared" si="41"/>
        <v>Complete</v>
      </c>
      <c r="K1291">
        <f>COUNTIFS(RawData[Item], B1291,RawData[Quantity],C1291,RawData[Price Per Unit],D1291,RawData[Total Spent],E1291,RawData[Payment Method],F1291,RawData[Location],G1291,RawData[Transaction Date],H1291)</f>
        <v>1</v>
      </c>
      <c r="L1291"/>
    </row>
    <row r="1292" spans="1:12" x14ac:dyDescent="0.3">
      <c r="A1292" t="s">
        <v>1298</v>
      </c>
      <c r="B1292" t="s">
        <v>10009</v>
      </c>
      <c r="C1292">
        <v>5</v>
      </c>
      <c r="D1292">
        <v>3</v>
      </c>
      <c r="E1292">
        <v>15</v>
      </c>
      <c r="F1292" t="s">
        <v>10019</v>
      </c>
      <c r="G1292" t="s">
        <v>10021</v>
      </c>
      <c r="H1292" s="6">
        <v>45232</v>
      </c>
      <c r="I1292">
        <f t="shared" si="40"/>
        <v>0</v>
      </c>
      <c r="J1292" t="str">
        <f t="shared" si="41"/>
        <v>Complete</v>
      </c>
      <c r="K1292">
        <f>COUNTIFS(RawData[Item], B1292,RawData[Quantity],C1292,RawData[Price Per Unit],D1292,RawData[Total Spent],E1292,RawData[Payment Method],F1292,RawData[Location],G1292,RawData[Transaction Date],H1292)</f>
        <v>1</v>
      </c>
      <c r="L1292"/>
    </row>
    <row r="1293" spans="1:12" x14ac:dyDescent="0.3">
      <c r="A1293" t="s">
        <v>1299</v>
      </c>
      <c r="B1293" t="s">
        <v>10014</v>
      </c>
      <c r="C1293" t="s">
        <v>10015</v>
      </c>
      <c r="D1293">
        <v>4</v>
      </c>
      <c r="E1293">
        <v>12</v>
      </c>
      <c r="F1293" t="s">
        <v>10069</v>
      </c>
      <c r="G1293" t="s">
        <v>10021</v>
      </c>
      <c r="H1293" s="6">
        <v>44963</v>
      </c>
      <c r="I1293">
        <f t="shared" si="40"/>
        <v>1</v>
      </c>
      <c r="J1293" t="str">
        <f t="shared" si="41"/>
        <v>Complete</v>
      </c>
      <c r="K1293">
        <f>COUNTIFS(RawData[Item], B1293,RawData[Quantity],C1293,RawData[Price Per Unit],D1293,RawData[Total Spent],E1293,RawData[Payment Method],F1293,RawData[Location],G1293,RawData[Transaction Date],H1293)</f>
        <v>1</v>
      </c>
      <c r="L1293"/>
    </row>
    <row r="1294" spans="1:12" x14ac:dyDescent="0.3">
      <c r="A1294" t="s">
        <v>1300</v>
      </c>
      <c r="B1294" t="s">
        <v>10009</v>
      </c>
      <c r="C1294">
        <v>3</v>
      </c>
      <c r="D1294">
        <v>3</v>
      </c>
      <c r="E1294">
        <v>9</v>
      </c>
      <c r="F1294" t="s">
        <v>10019</v>
      </c>
      <c r="G1294" t="s">
        <v>10021</v>
      </c>
      <c r="H1294" s="6">
        <v>44993</v>
      </c>
      <c r="I1294">
        <f t="shared" si="40"/>
        <v>0</v>
      </c>
      <c r="J1294" t="str">
        <f t="shared" si="41"/>
        <v>Complete</v>
      </c>
      <c r="K1294">
        <f>COUNTIFS(RawData[Item], B1294,RawData[Quantity],C1294,RawData[Price Per Unit],D1294,RawData[Total Spent],E1294,RawData[Payment Method],F1294,RawData[Location],G1294,RawData[Transaction Date],H1294)</f>
        <v>1</v>
      </c>
      <c r="L1294"/>
    </row>
    <row r="1295" spans="1:12" x14ac:dyDescent="0.3">
      <c r="A1295" t="s">
        <v>1301</v>
      </c>
      <c r="B1295" t="s">
        <v>10009</v>
      </c>
      <c r="C1295">
        <v>5</v>
      </c>
      <c r="D1295">
        <v>3</v>
      </c>
      <c r="E1295">
        <v>15</v>
      </c>
      <c r="F1295" t="s">
        <v>10069</v>
      </c>
      <c r="G1295" t="s">
        <v>10102</v>
      </c>
      <c r="H1295" s="6">
        <v>45027</v>
      </c>
      <c r="I1295">
        <f t="shared" si="40"/>
        <v>0</v>
      </c>
      <c r="J1295" t="str">
        <f t="shared" si="41"/>
        <v>Complete</v>
      </c>
      <c r="K1295">
        <f>COUNTIFS(RawData[Item], B1295,RawData[Quantity],C1295,RawData[Price Per Unit],D1295,RawData[Total Spent],E1295,RawData[Payment Method],F1295,RawData[Location],G1295,RawData[Transaction Date],H1295)</f>
        <v>1</v>
      </c>
      <c r="L1295"/>
    </row>
    <row r="1296" spans="1:12" x14ac:dyDescent="0.3">
      <c r="A1296" t="s">
        <v>1302</v>
      </c>
      <c r="B1296" t="s">
        <v>10012</v>
      </c>
      <c r="C1296">
        <v>3</v>
      </c>
      <c r="D1296">
        <v>4</v>
      </c>
      <c r="E1296">
        <v>12</v>
      </c>
      <c r="F1296" t="s">
        <v>10069</v>
      </c>
      <c r="G1296" t="s">
        <v>10021</v>
      </c>
      <c r="H1296" s="6">
        <v>45145</v>
      </c>
      <c r="I1296">
        <f t="shared" si="40"/>
        <v>0</v>
      </c>
      <c r="J1296" t="str">
        <f t="shared" si="41"/>
        <v>Complete</v>
      </c>
      <c r="K1296">
        <f>COUNTIFS(RawData[Item], B1296,RawData[Quantity],C1296,RawData[Price Per Unit],D1296,RawData[Total Spent],E1296,RawData[Payment Method],F1296,RawData[Location],G1296,RawData[Transaction Date],H1296)</f>
        <v>1</v>
      </c>
      <c r="L1296"/>
    </row>
    <row r="1297" spans="1:12" x14ac:dyDescent="0.3">
      <c r="A1297" t="s">
        <v>1303</v>
      </c>
      <c r="B1297" t="s">
        <v>10008</v>
      </c>
      <c r="C1297">
        <v>4</v>
      </c>
      <c r="D1297">
        <v>2</v>
      </c>
      <c r="E1297">
        <v>8</v>
      </c>
      <c r="F1297" t="s">
        <v>10020</v>
      </c>
      <c r="G1297" t="s">
        <v>10069</v>
      </c>
      <c r="H1297" s="6">
        <v>45016</v>
      </c>
      <c r="I1297">
        <f t="shared" si="40"/>
        <v>0</v>
      </c>
      <c r="J1297" t="str">
        <f t="shared" si="41"/>
        <v>Complete</v>
      </c>
      <c r="K1297">
        <f>COUNTIFS(RawData[Item], B1297,RawData[Quantity],C1297,RawData[Price Per Unit],D1297,RawData[Total Spent],E1297,RawData[Payment Method],F1297,RawData[Location],G1297,RawData[Transaction Date],H1297)</f>
        <v>1</v>
      </c>
      <c r="L1297"/>
    </row>
    <row r="1298" spans="1:12" x14ac:dyDescent="0.3">
      <c r="A1298" t="s">
        <v>1304</v>
      </c>
      <c r="B1298" t="s">
        <v>10069</v>
      </c>
      <c r="C1298">
        <v>5</v>
      </c>
      <c r="D1298">
        <v>4</v>
      </c>
      <c r="E1298">
        <v>20</v>
      </c>
      <c r="F1298" t="s">
        <v>10069</v>
      </c>
      <c r="G1298" t="s">
        <v>10069</v>
      </c>
      <c r="H1298" s="6">
        <v>44939</v>
      </c>
      <c r="I1298">
        <f t="shared" si="40"/>
        <v>0</v>
      </c>
      <c r="J1298" t="str">
        <f t="shared" si="41"/>
        <v>Complete</v>
      </c>
      <c r="K1298">
        <f>COUNTIFS(RawData[Item], B1298,RawData[Quantity],C1298,RawData[Price Per Unit],D1298,RawData[Total Spent],E1298,RawData[Payment Method],F1298,RawData[Location],G1298,RawData[Transaction Date],H1298)</f>
        <v>1</v>
      </c>
      <c r="L1298"/>
    </row>
    <row r="1299" spans="1:12" x14ac:dyDescent="0.3">
      <c r="A1299" t="s">
        <v>1305</v>
      </c>
      <c r="B1299" t="s">
        <v>10009</v>
      </c>
      <c r="C1299">
        <v>2</v>
      </c>
      <c r="D1299">
        <v>3</v>
      </c>
      <c r="E1299">
        <v>6</v>
      </c>
      <c r="F1299" t="s">
        <v>10104</v>
      </c>
      <c r="G1299" t="s">
        <v>10102</v>
      </c>
      <c r="H1299" s="6">
        <v>45031</v>
      </c>
      <c r="I1299">
        <f t="shared" si="40"/>
        <v>1</v>
      </c>
      <c r="J1299" t="str">
        <f t="shared" si="41"/>
        <v>Complete</v>
      </c>
      <c r="K1299">
        <f>COUNTIFS(RawData[Item], B1299,RawData[Quantity],C1299,RawData[Price Per Unit],D1299,RawData[Total Spent],E1299,RawData[Payment Method],F1299,RawData[Location],G1299,RawData[Transaction Date],H1299)</f>
        <v>1</v>
      </c>
      <c r="L1299"/>
    </row>
    <row r="1300" spans="1:12" x14ac:dyDescent="0.3">
      <c r="A1300" t="s">
        <v>1306</v>
      </c>
      <c r="B1300" t="s">
        <v>10009</v>
      </c>
      <c r="C1300">
        <v>4</v>
      </c>
      <c r="D1300">
        <v>3</v>
      </c>
      <c r="E1300">
        <v>12</v>
      </c>
      <c r="F1300" t="s">
        <v>10018</v>
      </c>
      <c r="G1300" t="s">
        <v>10102</v>
      </c>
      <c r="H1300" s="6">
        <v>44982</v>
      </c>
      <c r="I1300">
        <f t="shared" si="40"/>
        <v>0</v>
      </c>
      <c r="J1300" t="str">
        <f t="shared" si="41"/>
        <v>Complete</v>
      </c>
      <c r="K1300">
        <f>COUNTIFS(RawData[Item], B1300,RawData[Quantity],C1300,RawData[Price Per Unit],D1300,RawData[Total Spent],E1300,RawData[Payment Method],F1300,RawData[Location],G1300,RawData[Transaction Date],H1300)</f>
        <v>1</v>
      </c>
      <c r="L1300"/>
    </row>
    <row r="1301" spans="1:12" x14ac:dyDescent="0.3">
      <c r="A1301" t="s">
        <v>1307</v>
      </c>
      <c r="B1301" t="s">
        <v>10014</v>
      </c>
      <c r="C1301">
        <v>1</v>
      </c>
      <c r="D1301">
        <v>4</v>
      </c>
      <c r="E1301">
        <v>4</v>
      </c>
      <c r="F1301" t="s">
        <v>10020</v>
      </c>
      <c r="G1301" t="s">
        <v>10069</v>
      </c>
      <c r="H1301" s="6">
        <v>45149</v>
      </c>
      <c r="I1301">
        <f t="shared" si="40"/>
        <v>0</v>
      </c>
      <c r="J1301" t="str">
        <f t="shared" si="41"/>
        <v>Complete</v>
      </c>
      <c r="K1301">
        <f>COUNTIFS(RawData[Item], B1301,RawData[Quantity],C1301,RawData[Price Per Unit],D1301,RawData[Total Spent],E1301,RawData[Payment Method],F1301,RawData[Location],G1301,RawData[Transaction Date],H1301)</f>
        <v>1</v>
      </c>
      <c r="L1301"/>
    </row>
    <row r="1302" spans="1:12" x14ac:dyDescent="0.3">
      <c r="A1302" t="s">
        <v>1308</v>
      </c>
      <c r="B1302" t="s">
        <v>10009</v>
      </c>
      <c r="C1302">
        <v>4</v>
      </c>
      <c r="D1302">
        <v>3</v>
      </c>
      <c r="E1302">
        <v>12</v>
      </c>
      <c r="F1302" t="s">
        <v>10018</v>
      </c>
      <c r="G1302" t="s">
        <v>10069</v>
      </c>
      <c r="H1302" s="6">
        <v>45234</v>
      </c>
      <c r="I1302">
        <f t="shared" si="40"/>
        <v>0</v>
      </c>
      <c r="J1302" t="str">
        <f t="shared" si="41"/>
        <v>Complete</v>
      </c>
      <c r="K1302">
        <f>COUNTIFS(RawData[Item], B1302,RawData[Quantity],C1302,RawData[Price Per Unit],D1302,RawData[Total Spent],E1302,RawData[Payment Method],F1302,RawData[Location],G1302,RawData[Transaction Date],H1302)</f>
        <v>1</v>
      </c>
      <c r="L1302"/>
    </row>
    <row r="1303" spans="1:12" x14ac:dyDescent="0.3">
      <c r="A1303" t="s">
        <v>1309</v>
      </c>
      <c r="B1303" t="s">
        <v>10016</v>
      </c>
      <c r="C1303">
        <v>3</v>
      </c>
      <c r="D1303">
        <v>3</v>
      </c>
      <c r="E1303">
        <v>9</v>
      </c>
      <c r="F1303" t="s">
        <v>10069</v>
      </c>
      <c r="G1303" t="s">
        <v>10069</v>
      </c>
      <c r="H1303" s="6">
        <v>44951</v>
      </c>
      <c r="I1303">
        <f t="shared" si="40"/>
        <v>0</v>
      </c>
      <c r="J1303" t="str">
        <f t="shared" si="41"/>
        <v>Complete</v>
      </c>
      <c r="K1303">
        <f>COUNTIFS(RawData[Item], B1303,RawData[Quantity],C1303,RawData[Price Per Unit],D1303,RawData[Total Spent],E1303,RawData[Payment Method],F1303,RawData[Location],G1303,RawData[Transaction Date],H1303)</f>
        <v>1</v>
      </c>
      <c r="L1303"/>
    </row>
    <row r="1304" spans="1:12" x14ac:dyDescent="0.3">
      <c r="A1304" t="s">
        <v>1310</v>
      </c>
      <c r="B1304" t="s">
        <v>10008</v>
      </c>
      <c r="C1304">
        <v>3</v>
      </c>
      <c r="D1304">
        <v>2</v>
      </c>
      <c r="E1304">
        <v>6</v>
      </c>
      <c r="F1304" t="s">
        <v>10018</v>
      </c>
      <c r="G1304" t="s">
        <v>10102</v>
      </c>
      <c r="H1304" s="6">
        <v>45271</v>
      </c>
      <c r="I1304">
        <f t="shared" si="40"/>
        <v>0</v>
      </c>
      <c r="J1304" t="str">
        <f t="shared" si="41"/>
        <v>Complete</v>
      </c>
      <c r="K1304">
        <f>COUNTIFS(RawData[Item], B1304,RawData[Quantity],C1304,RawData[Price Per Unit],D1304,RawData[Total Spent],E1304,RawData[Payment Method],F1304,RawData[Location],G1304,RawData[Transaction Date],H1304)</f>
        <v>1</v>
      </c>
      <c r="L1304"/>
    </row>
    <row r="1305" spans="1:12" x14ac:dyDescent="0.3">
      <c r="A1305" t="s">
        <v>1311</v>
      </c>
      <c r="B1305" t="s">
        <v>10009</v>
      </c>
      <c r="C1305">
        <v>2</v>
      </c>
      <c r="D1305">
        <v>3</v>
      </c>
      <c r="E1305">
        <v>6</v>
      </c>
      <c r="F1305" t="s">
        <v>10069</v>
      </c>
      <c r="G1305" t="s">
        <v>10069</v>
      </c>
      <c r="H1305" s="6">
        <v>44992</v>
      </c>
      <c r="I1305">
        <f t="shared" si="40"/>
        <v>0</v>
      </c>
      <c r="J1305" t="str">
        <f t="shared" si="41"/>
        <v>Complete</v>
      </c>
      <c r="K1305">
        <f>COUNTIFS(RawData[Item], B1305,RawData[Quantity],C1305,RawData[Price Per Unit],D1305,RawData[Total Spent],E1305,RawData[Payment Method],F1305,RawData[Location],G1305,RawData[Transaction Date],H1305)</f>
        <v>1</v>
      </c>
      <c r="L1305"/>
    </row>
    <row r="1306" spans="1:12" x14ac:dyDescent="0.3">
      <c r="A1306" t="s">
        <v>1312</v>
      </c>
      <c r="B1306" t="s">
        <v>10014</v>
      </c>
      <c r="C1306">
        <v>5</v>
      </c>
      <c r="D1306">
        <v>4</v>
      </c>
      <c r="E1306">
        <v>20</v>
      </c>
      <c r="F1306" t="s">
        <v>10019</v>
      </c>
      <c r="G1306" t="s">
        <v>10102</v>
      </c>
      <c r="H1306" s="6">
        <v>45127</v>
      </c>
      <c r="I1306">
        <f t="shared" si="40"/>
        <v>0</v>
      </c>
      <c r="J1306" t="str">
        <f t="shared" si="41"/>
        <v>Complete</v>
      </c>
      <c r="K1306">
        <f>COUNTIFS(RawData[Item], B1306,RawData[Quantity],C1306,RawData[Price Per Unit],D1306,RawData[Total Spent],E1306,RawData[Payment Method],F1306,RawData[Location],G1306,RawData[Transaction Date],H1306)</f>
        <v>1</v>
      </c>
      <c r="L1306"/>
    </row>
    <row r="1307" spans="1:12" x14ac:dyDescent="0.3">
      <c r="A1307" t="s">
        <v>1313</v>
      </c>
      <c r="B1307" t="s">
        <v>10010</v>
      </c>
      <c r="C1307">
        <v>4</v>
      </c>
      <c r="D1307">
        <v>1</v>
      </c>
      <c r="E1307">
        <v>4</v>
      </c>
      <c r="F1307" t="s">
        <v>10069</v>
      </c>
      <c r="G1307" t="s">
        <v>10021</v>
      </c>
      <c r="H1307" s="6">
        <v>44995</v>
      </c>
      <c r="I1307">
        <f t="shared" si="40"/>
        <v>0</v>
      </c>
      <c r="J1307" t="str">
        <f t="shared" si="41"/>
        <v>Complete</v>
      </c>
      <c r="K1307">
        <f>COUNTIFS(RawData[Item], B1307,RawData[Quantity],C1307,RawData[Price Per Unit],D1307,RawData[Total Spent],E1307,RawData[Payment Method],F1307,RawData[Location],G1307,RawData[Transaction Date],H1307)</f>
        <v>1</v>
      </c>
      <c r="L1307"/>
    </row>
    <row r="1308" spans="1:12" x14ac:dyDescent="0.3">
      <c r="A1308" t="s">
        <v>1314</v>
      </c>
      <c r="B1308" t="s">
        <v>10011</v>
      </c>
      <c r="C1308">
        <v>1</v>
      </c>
      <c r="D1308">
        <v>5</v>
      </c>
      <c r="E1308">
        <v>5</v>
      </c>
      <c r="F1308" t="s">
        <v>10019</v>
      </c>
      <c r="G1308" t="s">
        <v>10069</v>
      </c>
      <c r="H1308" s="6">
        <v>45225</v>
      </c>
      <c r="I1308">
        <f t="shared" si="40"/>
        <v>0</v>
      </c>
      <c r="J1308" t="str">
        <f t="shared" si="41"/>
        <v>Complete</v>
      </c>
      <c r="K1308">
        <f>COUNTIFS(RawData[Item], B1308,RawData[Quantity],C1308,RawData[Price Per Unit],D1308,RawData[Total Spent],E1308,RawData[Payment Method],F1308,RawData[Location],G1308,RawData[Transaction Date],H1308)</f>
        <v>1</v>
      </c>
      <c r="L1308"/>
    </row>
    <row r="1309" spans="1:12" x14ac:dyDescent="0.3">
      <c r="A1309" t="s">
        <v>1315</v>
      </c>
      <c r="B1309" t="s">
        <v>10009</v>
      </c>
      <c r="C1309">
        <v>3</v>
      </c>
      <c r="D1309">
        <v>3</v>
      </c>
      <c r="E1309">
        <v>9</v>
      </c>
      <c r="F1309" t="s">
        <v>10069</v>
      </c>
      <c r="G1309" t="s">
        <v>10103</v>
      </c>
      <c r="H1309" s="6">
        <v>45058</v>
      </c>
      <c r="I1309">
        <f t="shared" si="40"/>
        <v>1</v>
      </c>
      <c r="J1309" t="str">
        <f t="shared" si="41"/>
        <v>Complete</v>
      </c>
      <c r="K1309">
        <f>COUNTIFS(RawData[Item], B1309,RawData[Quantity],C1309,RawData[Price Per Unit],D1309,RawData[Total Spent],E1309,RawData[Payment Method],F1309,RawData[Location],G1309,RawData[Transaction Date],H1309)</f>
        <v>1</v>
      </c>
      <c r="L1309"/>
    </row>
    <row r="1310" spans="1:12" x14ac:dyDescent="0.3">
      <c r="A1310" t="s">
        <v>1316</v>
      </c>
      <c r="B1310" t="s">
        <v>10010</v>
      </c>
      <c r="C1310">
        <v>5</v>
      </c>
      <c r="D1310">
        <v>1</v>
      </c>
      <c r="E1310">
        <v>5</v>
      </c>
      <c r="F1310" t="s">
        <v>10018</v>
      </c>
      <c r="G1310" t="s">
        <v>10102</v>
      </c>
      <c r="H1310" s="6">
        <v>45082</v>
      </c>
      <c r="I1310">
        <f t="shared" si="40"/>
        <v>0</v>
      </c>
      <c r="J1310" t="str">
        <f t="shared" si="41"/>
        <v>Complete</v>
      </c>
      <c r="K1310">
        <f>COUNTIFS(RawData[Item], B1310,RawData[Quantity],C1310,RawData[Price Per Unit],D1310,RawData[Total Spent],E1310,RawData[Payment Method],F1310,RawData[Location],G1310,RawData[Transaction Date],H1310)</f>
        <v>1</v>
      </c>
      <c r="L1310"/>
    </row>
    <row r="1311" spans="1:12" x14ac:dyDescent="0.3">
      <c r="A1311" t="s">
        <v>1317</v>
      </c>
      <c r="B1311" t="s">
        <v>10017</v>
      </c>
      <c r="C1311">
        <v>2</v>
      </c>
      <c r="D1311">
        <v>1.5</v>
      </c>
      <c r="E1311">
        <v>3</v>
      </c>
      <c r="F1311" t="s">
        <v>10069</v>
      </c>
      <c r="G1311" t="s">
        <v>10102</v>
      </c>
      <c r="H1311" s="6">
        <v>45175</v>
      </c>
      <c r="I1311">
        <f t="shared" si="40"/>
        <v>0</v>
      </c>
      <c r="J1311" t="str">
        <f t="shared" si="41"/>
        <v>Complete</v>
      </c>
      <c r="K1311">
        <f>COUNTIFS(RawData[Item], B1311,RawData[Quantity],C1311,RawData[Price Per Unit],D1311,RawData[Total Spent],E1311,RawData[Payment Method],F1311,RawData[Location],G1311,RawData[Transaction Date],H1311)</f>
        <v>1</v>
      </c>
      <c r="L1311"/>
    </row>
    <row r="1312" spans="1:12" x14ac:dyDescent="0.3">
      <c r="A1312" t="s">
        <v>1318</v>
      </c>
      <c r="B1312" t="s">
        <v>10008</v>
      </c>
      <c r="C1312">
        <v>2</v>
      </c>
      <c r="D1312">
        <v>2</v>
      </c>
      <c r="E1312">
        <v>4</v>
      </c>
      <c r="F1312" t="s">
        <v>10069</v>
      </c>
      <c r="G1312" t="s">
        <v>10102</v>
      </c>
      <c r="H1312" s="6">
        <v>45091</v>
      </c>
      <c r="I1312">
        <f t="shared" si="40"/>
        <v>0</v>
      </c>
      <c r="J1312" t="str">
        <f t="shared" si="41"/>
        <v>Complete</v>
      </c>
      <c r="K1312">
        <f>COUNTIFS(RawData[Item], B1312,RawData[Quantity],C1312,RawData[Price Per Unit],D1312,RawData[Total Spent],E1312,RawData[Payment Method],F1312,RawData[Location],G1312,RawData[Transaction Date],H1312)</f>
        <v>1</v>
      </c>
      <c r="L1312"/>
    </row>
    <row r="1313" spans="1:12" x14ac:dyDescent="0.3">
      <c r="A1313" t="s">
        <v>1319</v>
      </c>
      <c r="B1313" t="s">
        <v>10013</v>
      </c>
      <c r="C1313">
        <v>1</v>
      </c>
      <c r="D1313">
        <v>1</v>
      </c>
      <c r="E1313">
        <v>1</v>
      </c>
      <c r="F1313" t="s">
        <v>10069</v>
      </c>
      <c r="G1313" t="s">
        <v>10021</v>
      </c>
      <c r="H1313" s="6">
        <v>45169</v>
      </c>
      <c r="I1313">
        <f t="shared" si="40"/>
        <v>1</v>
      </c>
      <c r="J1313" t="str">
        <f t="shared" si="41"/>
        <v>Complete</v>
      </c>
      <c r="K1313">
        <f>COUNTIFS(RawData[Item], B1313,RawData[Quantity],C1313,RawData[Price Per Unit],D1313,RawData[Total Spent],E1313,RawData[Payment Method],F1313,RawData[Location],G1313,RawData[Transaction Date],H1313)</f>
        <v>1</v>
      </c>
      <c r="L1313"/>
    </row>
    <row r="1314" spans="1:12" x14ac:dyDescent="0.3">
      <c r="A1314" t="s">
        <v>1320</v>
      </c>
      <c r="B1314" t="s">
        <v>10008</v>
      </c>
      <c r="C1314">
        <v>5</v>
      </c>
      <c r="D1314">
        <v>2</v>
      </c>
      <c r="E1314">
        <v>10</v>
      </c>
      <c r="F1314" t="s">
        <v>10018</v>
      </c>
      <c r="G1314" t="s">
        <v>10069</v>
      </c>
      <c r="H1314" s="6">
        <v>44978</v>
      </c>
      <c r="I1314">
        <f t="shared" si="40"/>
        <v>0</v>
      </c>
      <c r="J1314" t="str">
        <f t="shared" si="41"/>
        <v>Complete</v>
      </c>
      <c r="K1314">
        <f>COUNTIFS(RawData[Item], B1314,RawData[Quantity],C1314,RawData[Price Per Unit],D1314,RawData[Total Spent],E1314,RawData[Payment Method],F1314,RawData[Location],G1314,RawData[Transaction Date],H1314)</f>
        <v>1</v>
      </c>
      <c r="L1314"/>
    </row>
    <row r="1315" spans="1:12" x14ac:dyDescent="0.3">
      <c r="A1315" t="s">
        <v>1321</v>
      </c>
      <c r="B1315" t="s">
        <v>10008</v>
      </c>
      <c r="C1315">
        <v>4</v>
      </c>
      <c r="D1315">
        <v>2</v>
      </c>
      <c r="E1315">
        <v>8</v>
      </c>
      <c r="F1315" t="s">
        <v>10018</v>
      </c>
      <c r="G1315" t="s">
        <v>10069</v>
      </c>
      <c r="H1315" s="6">
        <v>45156</v>
      </c>
      <c r="I1315">
        <f t="shared" si="40"/>
        <v>0</v>
      </c>
      <c r="J1315" t="str">
        <f t="shared" si="41"/>
        <v>Complete</v>
      </c>
      <c r="K1315">
        <f>COUNTIFS(RawData[Item], B1315,RawData[Quantity],C1315,RawData[Price Per Unit],D1315,RawData[Total Spent],E1315,RawData[Payment Method],F1315,RawData[Location],G1315,RawData[Transaction Date],H1315)</f>
        <v>1</v>
      </c>
      <c r="L1315"/>
    </row>
    <row r="1316" spans="1:12" x14ac:dyDescent="0.3">
      <c r="A1316" t="s">
        <v>1322</v>
      </c>
      <c r="B1316" t="s">
        <v>10016</v>
      </c>
      <c r="C1316">
        <v>5</v>
      </c>
      <c r="D1316">
        <v>3</v>
      </c>
      <c r="E1316">
        <v>15</v>
      </c>
      <c r="F1316" t="s">
        <v>10069</v>
      </c>
      <c r="G1316" t="s">
        <v>10102</v>
      </c>
      <c r="H1316" s="6">
        <v>45274</v>
      </c>
      <c r="I1316">
        <f t="shared" si="40"/>
        <v>0</v>
      </c>
      <c r="J1316" t="str">
        <f t="shared" si="41"/>
        <v>Complete</v>
      </c>
      <c r="K1316">
        <f>COUNTIFS(RawData[Item], B1316,RawData[Quantity],C1316,RawData[Price Per Unit],D1316,RawData[Total Spent],E1316,RawData[Payment Method],F1316,RawData[Location],G1316,RawData[Transaction Date],H1316)</f>
        <v>1</v>
      </c>
      <c r="L1316"/>
    </row>
    <row r="1317" spans="1:12" x14ac:dyDescent="0.3">
      <c r="A1317" t="s">
        <v>1323</v>
      </c>
      <c r="B1317" t="s">
        <v>10010</v>
      </c>
      <c r="C1317">
        <v>1</v>
      </c>
      <c r="D1317">
        <v>1</v>
      </c>
      <c r="E1317" t="s">
        <v>10015</v>
      </c>
      <c r="F1317" t="s">
        <v>10020</v>
      </c>
      <c r="G1317" t="s">
        <v>10102</v>
      </c>
      <c r="H1317" s="6">
        <v>44932</v>
      </c>
      <c r="I1317">
        <f t="shared" si="40"/>
        <v>1</v>
      </c>
      <c r="J1317" t="str">
        <f t="shared" si="41"/>
        <v>Complete</v>
      </c>
      <c r="K1317">
        <f>COUNTIFS(RawData[Item], B1317,RawData[Quantity],C1317,RawData[Price Per Unit],D1317,RawData[Total Spent],E1317,RawData[Payment Method],F1317,RawData[Location],G1317,RawData[Transaction Date],H1317)</f>
        <v>1</v>
      </c>
      <c r="L1317"/>
    </row>
    <row r="1318" spans="1:12" x14ac:dyDescent="0.3">
      <c r="A1318" t="s">
        <v>1324</v>
      </c>
      <c r="B1318" t="s">
        <v>10069</v>
      </c>
      <c r="C1318">
        <v>5</v>
      </c>
      <c r="D1318">
        <v>1</v>
      </c>
      <c r="E1318">
        <v>5</v>
      </c>
      <c r="F1318" t="s">
        <v>10019</v>
      </c>
      <c r="G1318" t="s">
        <v>10102</v>
      </c>
      <c r="H1318" s="6">
        <v>45185</v>
      </c>
      <c r="I1318">
        <f t="shared" si="40"/>
        <v>0</v>
      </c>
      <c r="J1318" t="str">
        <f t="shared" si="41"/>
        <v>Complete</v>
      </c>
      <c r="K1318">
        <f>COUNTIFS(RawData[Item], B1318,RawData[Quantity],C1318,RawData[Price Per Unit],D1318,RawData[Total Spent],E1318,RawData[Payment Method],F1318,RawData[Location],G1318,RawData[Transaction Date],H1318)</f>
        <v>1</v>
      </c>
      <c r="L1318"/>
    </row>
    <row r="1319" spans="1:12" x14ac:dyDescent="0.3">
      <c r="A1319" t="s">
        <v>1325</v>
      </c>
      <c r="B1319" t="s">
        <v>10008</v>
      </c>
      <c r="C1319" t="s">
        <v>10013</v>
      </c>
      <c r="D1319">
        <v>2</v>
      </c>
      <c r="E1319">
        <v>6</v>
      </c>
      <c r="F1319" t="s">
        <v>10069</v>
      </c>
      <c r="G1319" t="s">
        <v>10102</v>
      </c>
      <c r="H1319" s="6">
        <v>45226</v>
      </c>
      <c r="I1319">
        <f t="shared" si="40"/>
        <v>1</v>
      </c>
      <c r="J1319" t="str">
        <f t="shared" si="41"/>
        <v>Complete</v>
      </c>
      <c r="K1319">
        <f>COUNTIFS(RawData[Item], B1319,RawData[Quantity],C1319,RawData[Price Per Unit],D1319,RawData[Total Spent],E1319,RawData[Payment Method],F1319,RawData[Location],G1319,RawData[Transaction Date],H1319)</f>
        <v>1</v>
      </c>
      <c r="L1319"/>
    </row>
    <row r="1320" spans="1:12" x14ac:dyDescent="0.3">
      <c r="A1320" t="s">
        <v>1326</v>
      </c>
      <c r="B1320" t="s">
        <v>10010</v>
      </c>
      <c r="C1320">
        <v>4</v>
      </c>
      <c r="D1320" t="s">
        <v>10015</v>
      </c>
      <c r="E1320">
        <v>4</v>
      </c>
      <c r="F1320" t="s">
        <v>10019</v>
      </c>
      <c r="G1320" t="s">
        <v>10069</v>
      </c>
      <c r="H1320" s="6">
        <v>45068</v>
      </c>
      <c r="I1320">
        <f t="shared" si="40"/>
        <v>1</v>
      </c>
      <c r="J1320" t="str">
        <f t="shared" si="41"/>
        <v>Complete</v>
      </c>
      <c r="K1320">
        <f>COUNTIFS(RawData[Item], B1320,RawData[Quantity],C1320,RawData[Price Per Unit],D1320,RawData[Total Spent],E1320,RawData[Payment Method],F1320,RawData[Location],G1320,RawData[Transaction Date],H1320)</f>
        <v>1</v>
      </c>
      <c r="L1320"/>
    </row>
    <row r="1321" spans="1:12" x14ac:dyDescent="0.3">
      <c r="A1321" t="s">
        <v>1327</v>
      </c>
      <c r="B1321" t="s">
        <v>10016</v>
      </c>
      <c r="C1321">
        <v>3</v>
      </c>
      <c r="D1321">
        <v>3</v>
      </c>
      <c r="E1321">
        <v>9</v>
      </c>
      <c r="F1321" t="s">
        <v>10020</v>
      </c>
      <c r="G1321" t="s">
        <v>10069</v>
      </c>
      <c r="H1321" s="6">
        <v>45193</v>
      </c>
      <c r="I1321">
        <f t="shared" si="40"/>
        <v>0</v>
      </c>
      <c r="J1321" t="str">
        <f t="shared" si="41"/>
        <v>Complete</v>
      </c>
      <c r="K1321">
        <f>COUNTIFS(RawData[Item], B1321,RawData[Quantity],C1321,RawData[Price Per Unit],D1321,RawData[Total Spent],E1321,RawData[Payment Method],F1321,RawData[Location],G1321,RawData[Transaction Date],H1321)</f>
        <v>1</v>
      </c>
      <c r="L1321"/>
    </row>
    <row r="1322" spans="1:12" x14ac:dyDescent="0.3">
      <c r="A1322" t="s">
        <v>1328</v>
      </c>
      <c r="B1322" t="s">
        <v>10011</v>
      </c>
      <c r="C1322">
        <v>3</v>
      </c>
      <c r="D1322">
        <v>5</v>
      </c>
      <c r="E1322">
        <v>15</v>
      </c>
      <c r="F1322" t="s">
        <v>10020</v>
      </c>
      <c r="G1322" t="s">
        <v>10021</v>
      </c>
      <c r="H1322" s="6">
        <v>45253</v>
      </c>
      <c r="I1322">
        <f t="shared" si="40"/>
        <v>0</v>
      </c>
      <c r="J1322" t="str">
        <f t="shared" si="41"/>
        <v>Complete</v>
      </c>
      <c r="K1322">
        <f>COUNTIFS(RawData[Item], B1322,RawData[Quantity],C1322,RawData[Price Per Unit],D1322,RawData[Total Spent],E1322,RawData[Payment Method],F1322,RawData[Location],G1322,RawData[Transaction Date],H1322)</f>
        <v>1</v>
      </c>
      <c r="L1322"/>
    </row>
    <row r="1323" spans="1:12" x14ac:dyDescent="0.3">
      <c r="A1323" t="s">
        <v>1329</v>
      </c>
      <c r="B1323" t="s">
        <v>10008</v>
      </c>
      <c r="C1323">
        <v>2</v>
      </c>
      <c r="D1323">
        <v>2</v>
      </c>
      <c r="E1323">
        <v>4</v>
      </c>
      <c r="F1323" t="s">
        <v>10069</v>
      </c>
      <c r="G1323" t="s">
        <v>10102</v>
      </c>
      <c r="H1323" s="6">
        <v>45220</v>
      </c>
      <c r="I1323">
        <f t="shared" si="40"/>
        <v>0</v>
      </c>
      <c r="J1323" t="str">
        <f t="shared" si="41"/>
        <v>Complete</v>
      </c>
      <c r="K1323">
        <f>COUNTIFS(RawData[Item], B1323,RawData[Quantity],C1323,RawData[Price Per Unit],D1323,RawData[Total Spent],E1323,RawData[Payment Method],F1323,RawData[Location],G1323,RawData[Transaction Date],H1323)</f>
        <v>1</v>
      </c>
      <c r="L1323"/>
    </row>
    <row r="1324" spans="1:12" x14ac:dyDescent="0.3">
      <c r="A1324" t="s">
        <v>1330</v>
      </c>
      <c r="B1324" t="s">
        <v>10017</v>
      </c>
      <c r="C1324">
        <v>4</v>
      </c>
      <c r="D1324">
        <v>1.5</v>
      </c>
      <c r="E1324">
        <v>6</v>
      </c>
      <c r="F1324" t="s">
        <v>10018</v>
      </c>
      <c r="G1324" t="s">
        <v>10103</v>
      </c>
      <c r="H1324" s="6">
        <v>45113</v>
      </c>
      <c r="I1324">
        <f t="shared" si="40"/>
        <v>1</v>
      </c>
      <c r="J1324" t="str">
        <f t="shared" si="41"/>
        <v>Complete</v>
      </c>
      <c r="K1324">
        <f>COUNTIFS(RawData[Item], B1324,RawData[Quantity],C1324,RawData[Price Per Unit],D1324,RawData[Total Spent],E1324,RawData[Payment Method],F1324,RawData[Location],G1324,RawData[Transaction Date],H1324)</f>
        <v>1</v>
      </c>
      <c r="L1324"/>
    </row>
    <row r="1325" spans="1:12" x14ac:dyDescent="0.3">
      <c r="A1325" t="s">
        <v>1331</v>
      </c>
      <c r="B1325" t="s">
        <v>10008</v>
      </c>
      <c r="C1325">
        <v>2</v>
      </c>
      <c r="D1325" t="s">
        <v>10013</v>
      </c>
      <c r="E1325">
        <v>4</v>
      </c>
      <c r="F1325" t="s">
        <v>10018</v>
      </c>
      <c r="G1325" t="s">
        <v>10102</v>
      </c>
      <c r="H1325" s="6">
        <v>45234</v>
      </c>
      <c r="I1325">
        <f t="shared" si="40"/>
        <v>1</v>
      </c>
      <c r="J1325" t="str">
        <f t="shared" si="41"/>
        <v>Complete</v>
      </c>
      <c r="K1325">
        <f>COUNTIFS(RawData[Item], B1325,RawData[Quantity],C1325,RawData[Price Per Unit],D1325,RawData[Total Spent],E1325,RawData[Payment Method],F1325,RawData[Location],G1325,RawData[Transaction Date],H1325)</f>
        <v>2</v>
      </c>
      <c r="L1325"/>
    </row>
    <row r="1326" spans="1:12" x14ac:dyDescent="0.3">
      <c r="A1326" t="s">
        <v>1332</v>
      </c>
      <c r="B1326" t="s">
        <v>10016</v>
      </c>
      <c r="C1326">
        <v>3</v>
      </c>
      <c r="D1326">
        <v>3</v>
      </c>
      <c r="E1326">
        <v>9</v>
      </c>
      <c r="F1326" t="s">
        <v>10018</v>
      </c>
      <c r="G1326" t="s">
        <v>10069</v>
      </c>
      <c r="H1326" s="6">
        <v>45153</v>
      </c>
      <c r="I1326">
        <f t="shared" si="40"/>
        <v>0</v>
      </c>
      <c r="J1326" t="str">
        <f t="shared" si="41"/>
        <v>Complete</v>
      </c>
      <c r="K1326">
        <f>COUNTIFS(RawData[Item], B1326,RawData[Quantity],C1326,RawData[Price Per Unit],D1326,RawData[Total Spent],E1326,RawData[Payment Method],F1326,RawData[Location],G1326,RawData[Transaction Date],H1326)</f>
        <v>1</v>
      </c>
      <c r="L1326"/>
    </row>
    <row r="1327" spans="1:12" x14ac:dyDescent="0.3">
      <c r="A1327" t="s">
        <v>1333</v>
      </c>
      <c r="B1327" t="s">
        <v>10012</v>
      </c>
      <c r="C1327">
        <v>4</v>
      </c>
      <c r="D1327">
        <v>4</v>
      </c>
      <c r="E1327" t="s">
        <v>10013</v>
      </c>
      <c r="F1327" t="s">
        <v>10069</v>
      </c>
      <c r="G1327" t="s">
        <v>10102</v>
      </c>
      <c r="H1327" s="6">
        <v>45291</v>
      </c>
      <c r="I1327">
        <f t="shared" si="40"/>
        <v>1</v>
      </c>
      <c r="J1327" t="str">
        <f t="shared" si="41"/>
        <v>Complete</v>
      </c>
      <c r="K1327">
        <f>COUNTIFS(RawData[Item], B1327,RawData[Quantity],C1327,RawData[Price Per Unit],D1327,RawData[Total Spent],E1327,RawData[Payment Method],F1327,RawData[Location],G1327,RawData[Transaction Date],H1327)</f>
        <v>1</v>
      </c>
      <c r="L1327"/>
    </row>
    <row r="1328" spans="1:12" x14ac:dyDescent="0.3">
      <c r="A1328" t="s">
        <v>1334</v>
      </c>
      <c r="B1328" t="s">
        <v>10009</v>
      </c>
      <c r="C1328">
        <v>2</v>
      </c>
      <c r="D1328">
        <v>3</v>
      </c>
      <c r="E1328" t="s">
        <v>10015</v>
      </c>
      <c r="F1328" t="s">
        <v>10069</v>
      </c>
      <c r="G1328" t="s">
        <v>10102</v>
      </c>
      <c r="H1328" s="6">
        <v>45176</v>
      </c>
      <c r="I1328">
        <f t="shared" si="40"/>
        <v>1</v>
      </c>
      <c r="J1328" t="str">
        <f t="shared" si="41"/>
        <v>Complete</v>
      </c>
      <c r="K1328">
        <f>COUNTIFS(RawData[Item], B1328,RawData[Quantity],C1328,RawData[Price Per Unit],D1328,RawData[Total Spent],E1328,RawData[Payment Method],F1328,RawData[Location],G1328,RawData[Transaction Date],H1328)</f>
        <v>1</v>
      </c>
      <c r="L1328"/>
    </row>
    <row r="1329" spans="1:12" x14ac:dyDescent="0.3">
      <c r="A1329" t="s">
        <v>1335</v>
      </c>
      <c r="B1329" t="s">
        <v>10011</v>
      </c>
      <c r="C1329">
        <v>3</v>
      </c>
      <c r="D1329">
        <v>5</v>
      </c>
      <c r="E1329">
        <v>15</v>
      </c>
      <c r="F1329" t="s">
        <v>10018</v>
      </c>
      <c r="G1329" t="s">
        <v>10069</v>
      </c>
      <c r="H1329" s="6">
        <v>45145</v>
      </c>
      <c r="I1329">
        <f t="shared" si="40"/>
        <v>0</v>
      </c>
      <c r="J1329" t="str">
        <f t="shared" si="41"/>
        <v>Complete</v>
      </c>
      <c r="K1329">
        <f>COUNTIFS(RawData[Item], B1329,RawData[Quantity],C1329,RawData[Price Per Unit],D1329,RawData[Total Spent],E1329,RawData[Payment Method],F1329,RawData[Location],G1329,RawData[Transaction Date],H1329)</f>
        <v>1</v>
      </c>
      <c r="L1329"/>
    </row>
    <row r="1330" spans="1:12" x14ac:dyDescent="0.3">
      <c r="A1330" t="s">
        <v>1336</v>
      </c>
      <c r="B1330" t="s">
        <v>10008</v>
      </c>
      <c r="C1330">
        <v>2</v>
      </c>
      <c r="D1330">
        <v>2</v>
      </c>
      <c r="E1330">
        <v>4</v>
      </c>
      <c r="F1330" t="s">
        <v>10104</v>
      </c>
      <c r="G1330" t="s">
        <v>10069</v>
      </c>
      <c r="H1330" s="6">
        <v>44961</v>
      </c>
      <c r="I1330">
        <f t="shared" si="40"/>
        <v>1</v>
      </c>
      <c r="J1330" t="str">
        <f t="shared" si="41"/>
        <v>Complete</v>
      </c>
      <c r="K1330">
        <f>COUNTIFS(RawData[Item], B1330,RawData[Quantity],C1330,RawData[Price Per Unit],D1330,RawData[Total Spent],E1330,RawData[Payment Method],F1330,RawData[Location],G1330,RawData[Transaction Date],H1330)</f>
        <v>1</v>
      </c>
      <c r="L1330"/>
    </row>
    <row r="1331" spans="1:12" x14ac:dyDescent="0.3">
      <c r="A1331" t="s">
        <v>1337</v>
      </c>
      <c r="B1331" t="s">
        <v>10013</v>
      </c>
      <c r="C1331">
        <v>2</v>
      </c>
      <c r="D1331">
        <v>4</v>
      </c>
      <c r="E1331">
        <v>8</v>
      </c>
      <c r="F1331" t="s">
        <v>10069</v>
      </c>
      <c r="G1331" t="s">
        <v>10069</v>
      </c>
      <c r="H1331" s="6">
        <v>45246</v>
      </c>
      <c r="I1331">
        <f t="shared" si="40"/>
        <v>1</v>
      </c>
      <c r="J1331" t="str">
        <f t="shared" si="41"/>
        <v>Complete</v>
      </c>
      <c r="K1331">
        <f>COUNTIFS(RawData[Item], B1331,RawData[Quantity],C1331,RawData[Price Per Unit],D1331,RawData[Total Spent],E1331,RawData[Payment Method],F1331,RawData[Location],G1331,RawData[Transaction Date],H1331)</f>
        <v>1</v>
      </c>
      <c r="L1331"/>
    </row>
    <row r="1332" spans="1:12" x14ac:dyDescent="0.3">
      <c r="A1332" t="s">
        <v>1338</v>
      </c>
      <c r="B1332" t="s">
        <v>10011</v>
      </c>
      <c r="C1332">
        <v>5</v>
      </c>
      <c r="D1332" t="s">
        <v>10013</v>
      </c>
      <c r="E1332">
        <v>25</v>
      </c>
      <c r="F1332" t="s">
        <v>10069</v>
      </c>
      <c r="G1332" t="s">
        <v>10021</v>
      </c>
      <c r="H1332" s="6">
        <v>45198</v>
      </c>
      <c r="I1332">
        <f t="shared" si="40"/>
        <v>1</v>
      </c>
      <c r="J1332" t="str">
        <f t="shared" si="41"/>
        <v>Complete</v>
      </c>
      <c r="K1332">
        <f>COUNTIFS(RawData[Item], B1332,RawData[Quantity],C1332,RawData[Price Per Unit],D1332,RawData[Total Spent],E1332,RawData[Payment Method],F1332,RawData[Location],G1332,RawData[Transaction Date],H1332)</f>
        <v>1</v>
      </c>
      <c r="L1332"/>
    </row>
    <row r="1333" spans="1:12" x14ac:dyDescent="0.3">
      <c r="A1333" t="s">
        <v>1339</v>
      </c>
      <c r="B1333" t="s">
        <v>10010</v>
      </c>
      <c r="C1333">
        <v>1</v>
      </c>
      <c r="D1333">
        <v>1</v>
      </c>
      <c r="E1333">
        <v>1</v>
      </c>
      <c r="F1333" t="s">
        <v>10019</v>
      </c>
      <c r="G1333" t="s">
        <v>10021</v>
      </c>
      <c r="H1333" s="6">
        <v>45024</v>
      </c>
      <c r="I1333">
        <f t="shared" si="40"/>
        <v>0</v>
      </c>
      <c r="J1333" t="str">
        <f t="shared" si="41"/>
        <v>Complete</v>
      </c>
      <c r="K1333">
        <f>COUNTIFS(RawData[Item], B1333,RawData[Quantity],C1333,RawData[Price Per Unit],D1333,RawData[Total Spent],E1333,RawData[Payment Method],F1333,RawData[Location],G1333,RawData[Transaction Date],H1333)</f>
        <v>1</v>
      </c>
      <c r="L1333"/>
    </row>
    <row r="1334" spans="1:12" x14ac:dyDescent="0.3">
      <c r="A1334" t="s">
        <v>1340</v>
      </c>
      <c r="B1334" t="s">
        <v>10016</v>
      </c>
      <c r="C1334">
        <v>5</v>
      </c>
      <c r="D1334">
        <v>3</v>
      </c>
      <c r="E1334">
        <v>15</v>
      </c>
      <c r="F1334" t="s">
        <v>10020</v>
      </c>
      <c r="G1334" t="s">
        <v>10069</v>
      </c>
      <c r="H1334" s="6">
        <v>44964</v>
      </c>
      <c r="I1334">
        <f t="shared" si="40"/>
        <v>0</v>
      </c>
      <c r="J1334" t="str">
        <f t="shared" si="41"/>
        <v>Complete</v>
      </c>
      <c r="K1334">
        <f>COUNTIFS(RawData[Item], B1334,RawData[Quantity],C1334,RawData[Price Per Unit],D1334,RawData[Total Spent],E1334,RawData[Payment Method],F1334,RawData[Location],G1334,RawData[Transaction Date],H1334)</f>
        <v>1</v>
      </c>
      <c r="L1334"/>
    </row>
    <row r="1335" spans="1:12" x14ac:dyDescent="0.3">
      <c r="A1335" t="s">
        <v>1341</v>
      </c>
      <c r="B1335" t="s">
        <v>10017</v>
      </c>
      <c r="C1335">
        <v>2</v>
      </c>
      <c r="D1335">
        <v>1.5</v>
      </c>
      <c r="E1335" t="s">
        <v>10015</v>
      </c>
      <c r="F1335" t="s">
        <v>10020</v>
      </c>
      <c r="G1335" t="s">
        <v>10102</v>
      </c>
      <c r="H1335" s="6">
        <v>45013</v>
      </c>
      <c r="I1335">
        <f t="shared" si="40"/>
        <v>1</v>
      </c>
      <c r="J1335" t="str">
        <f t="shared" si="41"/>
        <v>Complete</v>
      </c>
      <c r="K1335">
        <f>COUNTIFS(RawData[Item], B1335,RawData[Quantity],C1335,RawData[Price Per Unit],D1335,RawData[Total Spent],E1335,RawData[Payment Method],F1335,RawData[Location],G1335,RawData[Transaction Date],H1335)</f>
        <v>1</v>
      </c>
      <c r="L1335"/>
    </row>
    <row r="1336" spans="1:12" x14ac:dyDescent="0.3">
      <c r="A1336" t="s">
        <v>1342</v>
      </c>
      <c r="B1336" t="s">
        <v>10011</v>
      </c>
      <c r="C1336">
        <v>2</v>
      </c>
      <c r="D1336">
        <v>5</v>
      </c>
      <c r="E1336">
        <v>10</v>
      </c>
      <c r="F1336" t="s">
        <v>10020</v>
      </c>
      <c r="G1336" t="s">
        <v>10021</v>
      </c>
      <c r="H1336" s="6">
        <v>45287</v>
      </c>
      <c r="I1336">
        <f t="shared" si="40"/>
        <v>0</v>
      </c>
      <c r="J1336" t="str">
        <f t="shared" si="41"/>
        <v>Complete</v>
      </c>
      <c r="K1336">
        <f>COUNTIFS(RawData[Item], B1336,RawData[Quantity],C1336,RawData[Price Per Unit],D1336,RawData[Total Spent],E1336,RawData[Payment Method],F1336,RawData[Location],G1336,RawData[Transaction Date],H1336)</f>
        <v>1</v>
      </c>
      <c r="L1336"/>
    </row>
    <row r="1337" spans="1:12" x14ac:dyDescent="0.3">
      <c r="A1337" t="s">
        <v>1343</v>
      </c>
      <c r="B1337" t="s">
        <v>10014</v>
      </c>
      <c r="C1337">
        <v>4</v>
      </c>
      <c r="D1337">
        <v>4</v>
      </c>
      <c r="E1337">
        <v>16</v>
      </c>
      <c r="F1337" t="s">
        <v>10069</v>
      </c>
      <c r="G1337" t="s">
        <v>10021</v>
      </c>
      <c r="H1337" s="6">
        <v>45050</v>
      </c>
      <c r="I1337">
        <f t="shared" si="40"/>
        <v>0</v>
      </c>
      <c r="J1337" t="str">
        <f t="shared" si="41"/>
        <v>Complete</v>
      </c>
      <c r="K1337">
        <f>COUNTIFS(RawData[Item], B1337,RawData[Quantity],C1337,RawData[Price Per Unit],D1337,RawData[Total Spent],E1337,RawData[Payment Method],F1337,RawData[Location],G1337,RawData[Transaction Date],H1337)</f>
        <v>1</v>
      </c>
      <c r="L1337"/>
    </row>
    <row r="1338" spans="1:12" x14ac:dyDescent="0.3">
      <c r="A1338" t="s">
        <v>1344</v>
      </c>
      <c r="B1338" t="s">
        <v>10009</v>
      </c>
      <c r="C1338">
        <v>3</v>
      </c>
      <c r="D1338">
        <v>3</v>
      </c>
      <c r="E1338">
        <v>9</v>
      </c>
      <c r="F1338" t="s">
        <v>10018</v>
      </c>
      <c r="G1338" t="s">
        <v>10021</v>
      </c>
      <c r="H1338" s="6">
        <v>44953</v>
      </c>
      <c r="I1338">
        <f t="shared" si="40"/>
        <v>0</v>
      </c>
      <c r="J1338" t="str">
        <f t="shared" si="41"/>
        <v>Complete</v>
      </c>
      <c r="K1338">
        <f>COUNTIFS(RawData[Item], B1338,RawData[Quantity],C1338,RawData[Price Per Unit],D1338,RawData[Total Spent],E1338,RawData[Payment Method],F1338,RawData[Location],G1338,RawData[Transaction Date],H1338)</f>
        <v>1</v>
      </c>
      <c r="L1338"/>
    </row>
    <row r="1339" spans="1:12" x14ac:dyDescent="0.3">
      <c r="A1339" t="s">
        <v>1345</v>
      </c>
      <c r="B1339" t="s">
        <v>10015</v>
      </c>
      <c r="C1339">
        <v>5</v>
      </c>
      <c r="D1339" t="s">
        <v>10013</v>
      </c>
      <c r="E1339">
        <v>5</v>
      </c>
      <c r="F1339" t="s">
        <v>10069</v>
      </c>
      <c r="G1339" t="s">
        <v>10021</v>
      </c>
      <c r="H1339" s="6">
        <v>45136</v>
      </c>
      <c r="I1339">
        <f t="shared" si="40"/>
        <v>2</v>
      </c>
      <c r="J1339" t="str">
        <f t="shared" si="41"/>
        <v>Complete</v>
      </c>
      <c r="K1339">
        <f>COUNTIFS(RawData[Item], B1339,RawData[Quantity],C1339,RawData[Price Per Unit],D1339,RawData[Total Spent],E1339,RawData[Payment Method],F1339,RawData[Location],G1339,RawData[Transaction Date],H1339)</f>
        <v>1</v>
      </c>
      <c r="L1339"/>
    </row>
    <row r="1340" spans="1:12" x14ac:dyDescent="0.3">
      <c r="A1340" t="s">
        <v>1346</v>
      </c>
      <c r="B1340" t="s">
        <v>10012</v>
      </c>
      <c r="C1340">
        <v>5</v>
      </c>
      <c r="D1340">
        <v>4</v>
      </c>
      <c r="E1340">
        <v>20</v>
      </c>
      <c r="F1340" t="s">
        <v>10069</v>
      </c>
      <c r="G1340" t="s">
        <v>10102</v>
      </c>
      <c r="H1340" s="6">
        <v>44980</v>
      </c>
      <c r="I1340">
        <f t="shared" si="40"/>
        <v>0</v>
      </c>
      <c r="J1340" t="str">
        <f t="shared" si="41"/>
        <v>Complete</v>
      </c>
      <c r="K1340">
        <f>COUNTIFS(RawData[Item], B1340,RawData[Quantity],C1340,RawData[Price Per Unit],D1340,RawData[Total Spent],E1340,RawData[Payment Method],F1340,RawData[Location],G1340,RawData[Transaction Date],H1340)</f>
        <v>1</v>
      </c>
      <c r="L1340"/>
    </row>
    <row r="1341" spans="1:12" x14ac:dyDescent="0.3">
      <c r="A1341" t="s">
        <v>1347</v>
      </c>
      <c r="B1341" t="s">
        <v>10015</v>
      </c>
      <c r="C1341">
        <v>5</v>
      </c>
      <c r="D1341">
        <v>4</v>
      </c>
      <c r="E1341">
        <v>20</v>
      </c>
      <c r="F1341" t="s">
        <v>10019</v>
      </c>
      <c r="G1341" t="s">
        <v>10102</v>
      </c>
      <c r="H1341" s="6">
        <v>44955</v>
      </c>
      <c r="I1341">
        <f t="shared" si="40"/>
        <v>1</v>
      </c>
      <c r="J1341" t="str">
        <f t="shared" si="41"/>
        <v>Complete</v>
      </c>
      <c r="K1341">
        <f>COUNTIFS(RawData[Item], B1341,RawData[Quantity],C1341,RawData[Price Per Unit],D1341,RawData[Total Spent],E1341,RawData[Payment Method],F1341,RawData[Location],G1341,RawData[Transaction Date],H1341)</f>
        <v>1</v>
      </c>
      <c r="L1341"/>
    </row>
    <row r="1342" spans="1:12" x14ac:dyDescent="0.3">
      <c r="A1342" t="s">
        <v>1348</v>
      </c>
      <c r="B1342" t="s">
        <v>10016</v>
      </c>
      <c r="C1342">
        <v>3</v>
      </c>
      <c r="D1342">
        <v>3</v>
      </c>
      <c r="E1342">
        <v>9</v>
      </c>
      <c r="F1342" t="s">
        <v>10069</v>
      </c>
      <c r="G1342" t="s">
        <v>10021</v>
      </c>
      <c r="H1342" s="6">
        <v>45260</v>
      </c>
      <c r="I1342">
        <f t="shared" si="40"/>
        <v>0</v>
      </c>
      <c r="J1342" t="str">
        <f t="shared" si="41"/>
        <v>Complete</v>
      </c>
      <c r="K1342">
        <f>COUNTIFS(RawData[Item], B1342,RawData[Quantity],C1342,RawData[Price Per Unit],D1342,RawData[Total Spent],E1342,RawData[Payment Method],F1342,RawData[Location],G1342,RawData[Transaction Date],H1342)</f>
        <v>1</v>
      </c>
      <c r="L1342"/>
    </row>
    <row r="1343" spans="1:12" x14ac:dyDescent="0.3">
      <c r="A1343" t="s">
        <v>1349</v>
      </c>
      <c r="B1343" t="s">
        <v>10012</v>
      </c>
      <c r="C1343">
        <v>4</v>
      </c>
      <c r="D1343">
        <v>4</v>
      </c>
      <c r="E1343">
        <v>16</v>
      </c>
      <c r="F1343" t="s">
        <v>10018</v>
      </c>
      <c r="G1343" t="s">
        <v>10021</v>
      </c>
      <c r="H1343" s="6">
        <v>45034</v>
      </c>
      <c r="I1343">
        <f t="shared" si="40"/>
        <v>0</v>
      </c>
      <c r="J1343" t="str">
        <f t="shared" si="41"/>
        <v>Complete</v>
      </c>
      <c r="K1343">
        <f>COUNTIFS(RawData[Item], B1343,RawData[Quantity],C1343,RawData[Price Per Unit],D1343,RawData[Total Spent],E1343,RawData[Payment Method],F1343,RawData[Location],G1343,RawData[Transaction Date],H1343)</f>
        <v>1</v>
      </c>
      <c r="L1343"/>
    </row>
    <row r="1344" spans="1:12" x14ac:dyDescent="0.3">
      <c r="A1344" t="s">
        <v>1350</v>
      </c>
      <c r="B1344" t="s">
        <v>10011</v>
      </c>
      <c r="C1344">
        <v>5</v>
      </c>
      <c r="D1344">
        <v>5</v>
      </c>
      <c r="E1344">
        <v>25</v>
      </c>
      <c r="F1344" t="s">
        <v>10020</v>
      </c>
      <c r="G1344" t="s">
        <v>10021</v>
      </c>
      <c r="H1344" s="6">
        <v>44939</v>
      </c>
      <c r="I1344">
        <f t="shared" si="40"/>
        <v>0</v>
      </c>
      <c r="J1344" t="str">
        <f t="shared" si="41"/>
        <v>Complete</v>
      </c>
      <c r="K1344">
        <f>COUNTIFS(RawData[Item], B1344,RawData[Quantity],C1344,RawData[Price Per Unit],D1344,RawData[Total Spent],E1344,RawData[Payment Method],F1344,RawData[Location],G1344,RawData[Transaction Date],H1344)</f>
        <v>1</v>
      </c>
      <c r="L1344"/>
    </row>
    <row r="1345" spans="1:12" x14ac:dyDescent="0.3">
      <c r="A1345" t="s">
        <v>1351</v>
      </c>
      <c r="B1345" t="s">
        <v>10010</v>
      </c>
      <c r="C1345">
        <v>5</v>
      </c>
      <c r="D1345">
        <v>1</v>
      </c>
      <c r="E1345">
        <v>5</v>
      </c>
      <c r="F1345" t="s">
        <v>10020</v>
      </c>
      <c r="G1345" t="s">
        <v>10021</v>
      </c>
      <c r="H1345" s="6">
        <v>45063</v>
      </c>
      <c r="I1345">
        <f t="shared" si="40"/>
        <v>0</v>
      </c>
      <c r="J1345" t="str">
        <f t="shared" si="41"/>
        <v>Complete</v>
      </c>
      <c r="K1345">
        <f>COUNTIFS(RawData[Item], B1345,RawData[Quantity],C1345,RawData[Price Per Unit],D1345,RawData[Total Spent],E1345,RawData[Payment Method],F1345,RawData[Location],G1345,RawData[Transaction Date],H1345)</f>
        <v>2</v>
      </c>
      <c r="L1345"/>
    </row>
    <row r="1346" spans="1:12" x14ac:dyDescent="0.3">
      <c r="A1346" t="s">
        <v>1352</v>
      </c>
      <c r="B1346" t="s">
        <v>10008</v>
      </c>
      <c r="C1346">
        <v>5</v>
      </c>
      <c r="D1346">
        <v>2</v>
      </c>
      <c r="E1346">
        <v>10</v>
      </c>
      <c r="F1346" t="s">
        <v>10018</v>
      </c>
      <c r="G1346" t="s">
        <v>10021</v>
      </c>
      <c r="H1346" s="6">
        <v>45069</v>
      </c>
      <c r="I1346">
        <f t="shared" ref="I1346:I1409" si="42">(B1346="Unknown")+(B1346="Error")+(C1346="Unknown")+(C1346="Error")+(D1346="Unknown")+(D1346="Error")+(E1346="Unknown")+(E1346="Error")+(F1346="Unknown")+(F1346="Error")+(G1346="Unknown")+(G1346="Error")+(H1346="No Date")</f>
        <v>0</v>
      </c>
      <c r="J1346" t="str">
        <f t="shared" ref="J1346:J1409" si="43">IF((H1346="No Date"),"Incomplete","Complete")</f>
        <v>Complete</v>
      </c>
      <c r="K1346">
        <f>COUNTIFS(RawData[Item], B1346,RawData[Quantity],C1346,RawData[Price Per Unit],D1346,RawData[Total Spent],E1346,RawData[Payment Method],F1346,RawData[Location],G1346,RawData[Transaction Date],H1346)</f>
        <v>1</v>
      </c>
      <c r="L1346"/>
    </row>
    <row r="1347" spans="1:12" x14ac:dyDescent="0.3">
      <c r="A1347" t="s">
        <v>1353</v>
      </c>
      <c r="B1347" t="s">
        <v>10013</v>
      </c>
      <c r="C1347">
        <v>0</v>
      </c>
      <c r="D1347">
        <v>1.5</v>
      </c>
      <c r="E1347">
        <v>6</v>
      </c>
      <c r="F1347" t="s">
        <v>10069</v>
      </c>
      <c r="G1347" t="s">
        <v>10021</v>
      </c>
      <c r="H1347" s="6">
        <v>44938</v>
      </c>
      <c r="I1347">
        <f t="shared" si="42"/>
        <v>1</v>
      </c>
      <c r="J1347" t="str">
        <f t="shared" si="43"/>
        <v>Complete</v>
      </c>
      <c r="K1347">
        <f>COUNTIFS(RawData[Item], B1347,RawData[Quantity],C1347,RawData[Price Per Unit],D1347,RawData[Total Spent],E1347,RawData[Payment Method],F1347,RawData[Location],G1347,RawData[Transaction Date],H1347)</f>
        <v>1</v>
      </c>
      <c r="L1347"/>
    </row>
    <row r="1348" spans="1:12" x14ac:dyDescent="0.3">
      <c r="A1348" t="s">
        <v>1354</v>
      </c>
      <c r="B1348" t="s">
        <v>10012</v>
      </c>
      <c r="C1348">
        <v>5</v>
      </c>
      <c r="D1348">
        <v>4</v>
      </c>
      <c r="E1348">
        <v>20</v>
      </c>
      <c r="F1348" t="s">
        <v>10069</v>
      </c>
      <c r="G1348" t="s">
        <v>10069</v>
      </c>
      <c r="H1348" s="6">
        <v>45253</v>
      </c>
      <c r="I1348">
        <f t="shared" si="42"/>
        <v>0</v>
      </c>
      <c r="J1348" t="str">
        <f t="shared" si="43"/>
        <v>Complete</v>
      </c>
      <c r="K1348">
        <f>COUNTIFS(RawData[Item], B1348,RawData[Quantity],C1348,RawData[Price Per Unit],D1348,RawData[Total Spent],E1348,RawData[Payment Method],F1348,RawData[Location],G1348,RawData[Transaction Date],H1348)</f>
        <v>1</v>
      </c>
      <c r="L1348"/>
    </row>
    <row r="1349" spans="1:12" x14ac:dyDescent="0.3">
      <c r="A1349" t="s">
        <v>1355</v>
      </c>
      <c r="B1349" t="s">
        <v>10010</v>
      </c>
      <c r="C1349">
        <v>3</v>
      </c>
      <c r="D1349">
        <v>1</v>
      </c>
      <c r="E1349">
        <v>3</v>
      </c>
      <c r="F1349" t="s">
        <v>10019</v>
      </c>
      <c r="G1349" t="s">
        <v>10104</v>
      </c>
      <c r="H1349" s="6">
        <v>45217</v>
      </c>
      <c r="I1349">
        <f t="shared" si="42"/>
        <v>1</v>
      </c>
      <c r="J1349" t="str">
        <f t="shared" si="43"/>
        <v>Complete</v>
      </c>
      <c r="K1349">
        <f>COUNTIFS(RawData[Item], B1349,RawData[Quantity],C1349,RawData[Price Per Unit],D1349,RawData[Total Spent],E1349,RawData[Payment Method],F1349,RawData[Location],G1349,RawData[Transaction Date],H1349)</f>
        <v>1</v>
      </c>
      <c r="L1349"/>
    </row>
    <row r="1350" spans="1:12" x14ac:dyDescent="0.3">
      <c r="A1350" t="s">
        <v>1356</v>
      </c>
      <c r="B1350" t="s">
        <v>10014</v>
      </c>
      <c r="C1350">
        <v>3</v>
      </c>
      <c r="D1350">
        <v>4</v>
      </c>
      <c r="E1350">
        <v>12</v>
      </c>
      <c r="F1350" t="s">
        <v>10018</v>
      </c>
      <c r="G1350" t="s">
        <v>10103</v>
      </c>
      <c r="H1350" s="6">
        <v>45279</v>
      </c>
      <c r="I1350">
        <f t="shared" si="42"/>
        <v>1</v>
      </c>
      <c r="J1350" t="str">
        <f t="shared" si="43"/>
        <v>Complete</v>
      </c>
      <c r="K1350">
        <f>COUNTIFS(RawData[Item], B1350,RawData[Quantity],C1350,RawData[Price Per Unit],D1350,RawData[Total Spent],E1350,RawData[Payment Method],F1350,RawData[Location],G1350,RawData[Transaction Date],H1350)</f>
        <v>1</v>
      </c>
      <c r="L1350"/>
    </row>
    <row r="1351" spans="1:12" x14ac:dyDescent="0.3">
      <c r="A1351" t="s">
        <v>1357</v>
      </c>
      <c r="B1351" t="s">
        <v>10016</v>
      </c>
      <c r="C1351">
        <v>3</v>
      </c>
      <c r="D1351">
        <v>3</v>
      </c>
      <c r="E1351">
        <v>9</v>
      </c>
      <c r="F1351" t="s">
        <v>10019</v>
      </c>
      <c r="G1351" t="s">
        <v>10021</v>
      </c>
      <c r="H1351" s="6">
        <v>44966</v>
      </c>
      <c r="I1351">
        <f t="shared" si="42"/>
        <v>0</v>
      </c>
      <c r="J1351" t="str">
        <f t="shared" si="43"/>
        <v>Complete</v>
      </c>
      <c r="K1351">
        <f>COUNTIFS(RawData[Item], B1351,RawData[Quantity],C1351,RawData[Price Per Unit],D1351,RawData[Total Spent],E1351,RawData[Payment Method],F1351,RawData[Location],G1351,RawData[Transaction Date],H1351)</f>
        <v>1</v>
      </c>
      <c r="L1351"/>
    </row>
    <row r="1352" spans="1:12" x14ac:dyDescent="0.3">
      <c r="A1352" t="s">
        <v>1358</v>
      </c>
      <c r="B1352" t="s">
        <v>10008</v>
      </c>
      <c r="C1352">
        <v>3</v>
      </c>
      <c r="D1352">
        <v>2</v>
      </c>
      <c r="E1352">
        <v>6</v>
      </c>
      <c r="F1352" t="s">
        <v>10020</v>
      </c>
      <c r="G1352" t="s">
        <v>10021</v>
      </c>
      <c r="H1352" s="6">
        <v>45249</v>
      </c>
      <c r="I1352">
        <f t="shared" si="42"/>
        <v>0</v>
      </c>
      <c r="J1352" t="str">
        <f t="shared" si="43"/>
        <v>Complete</v>
      </c>
      <c r="K1352">
        <f>COUNTIFS(RawData[Item], B1352,RawData[Quantity],C1352,RawData[Price Per Unit],D1352,RawData[Total Spent],E1352,RawData[Payment Method],F1352,RawData[Location],G1352,RawData[Transaction Date],H1352)</f>
        <v>1</v>
      </c>
      <c r="L1352"/>
    </row>
    <row r="1353" spans="1:12" x14ac:dyDescent="0.3">
      <c r="A1353" t="s">
        <v>1359</v>
      </c>
      <c r="B1353" t="s">
        <v>10015</v>
      </c>
      <c r="C1353">
        <v>5</v>
      </c>
      <c r="D1353">
        <v>3</v>
      </c>
      <c r="E1353">
        <v>15</v>
      </c>
      <c r="F1353" t="s">
        <v>10069</v>
      </c>
      <c r="G1353" t="s">
        <v>10104</v>
      </c>
      <c r="H1353" s="6">
        <v>45114</v>
      </c>
      <c r="I1353">
        <f t="shared" si="42"/>
        <v>2</v>
      </c>
      <c r="J1353" t="str">
        <f t="shared" si="43"/>
        <v>Complete</v>
      </c>
      <c r="K1353">
        <f>COUNTIFS(RawData[Item], B1353,RawData[Quantity],C1353,RawData[Price Per Unit],D1353,RawData[Total Spent],E1353,RawData[Payment Method],F1353,RawData[Location],G1353,RawData[Transaction Date],H1353)</f>
        <v>1</v>
      </c>
      <c r="L1353"/>
    </row>
    <row r="1354" spans="1:12" x14ac:dyDescent="0.3">
      <c r="A1354" t="s">
        <v>1360</v>
      </c>
      <c r="B1354" t="s">
        <v>10008</v>
      </c>
      <c r="C1354">
        <v>1</v>
      </c>
      <c r="D1354">
        <v>2</v>
      </c>
      <c r="E1354">
        <v>2</v>
      </c>
      <c r="F1354" t="s">
        <v>10019</v>
      </c>
      <c r="G1354" t="s">
        <v>10021</v>
      </c>
      <c r="H1354" s="6">
        <v>45179</v>
      </c>
      <c r="I1354">
        <f t="shared" si="42"/>
        <v>0</v>
      </c>
      <c r="J1354" t="str">
        <f t="shared" si="43"/>
        <v>Complete</v>
      </c>
      <c r="K1354">
        <f>COUNTIFS(RawData[Item], B1354,RawData[Quantity],C1354,RawData[Price Per Unit],D1354,RawData[Total Spent],E1354,RawData[Payment Method],F1354,RawData[Location],G1354,RawData[Transaction Date],H1354)</f>
        <v>1</v>
      </c>
      <c r="L1354"/>
    </row>
    <row r="1355" spans="1:12" x14ac:dyDescent="0.3">
      <c r="A1355" t="s">
        <v>1361</v>
      </c>
      <c r="B1355" t="s">
        <v>10014</v>
      </c>
      <c r="C1355">
        <v>4</v>
      </c>
      <c r="D1355">
        <v>4</v>
      </c>
      <c r="E1355">
        <v>16</v>
      </c>
      <c r="F1355" t="s">
        <v>10019</v>
      </c>
      <c r="G1355" t="s">
        <v>10102</v>
      </c>
      <c r="H1355" s="6">
        <v>44931</v>
      </c>
      <c r="I1355">
        <f t="shared" si="42"/>
        <v>0</v>
      </c>
      <c r="J1355" t="str">
        <f t="shared" si="43"/>
        <v>Complete</v>
      </c>
      <c r="K1355">
        <f>COUNTIFS(RawData[Item], B1355,RawData[Quantity],C1355,RawData[Price Per Unit],D1355,RawData[Total Spent],E1355,RawData[Payment Method],F1355,RawData[Location],G1355,RawData[Transaction Date],H1355)</f>
        <v>1</v>
      </c>
      <c r="L1355"/>
    </row>
    <row r="1356" spans="1:12" x14ac:dyDescent="0.3">
      <c r="A1356" t="s">
        <v>1362</v>
      </c>
      <c r="B1356" t="s">
        <v>10008</v>
      </c>
      <c r="C1356">
        <v>4</v>
      </c>
      <c r="D1356">
        <v>2</v>
      </c>
      <c r="E1356">
        <v>8</v>
      </c>
      <c r="F1356" t="s">
        <v>10069</v>
      </c>
      <c r="G1356" t="s">
        <v>10102</v>
      </c>
      <c r="H1356" s="6">
        <v>44979</v>
      </c>
      <c r="I1356">
        <f t="shared" si="42"/>
        <v>0</v>
      </c>
      <c r="J1356" t="str">
        <f t="shared" si="43"/>
        <v>Complete</v>
      </c>
      <c r="K1356">
        <f>COUNTIFS(RawData[Item], B1356,RawData[Quantity],C1356,RawData[Price Per Unit],D1356,RawData[Total Spent],E1356,RawData[Payment Method],F1356,RawData[Location],G1356,RawData[Transaction Date],H1356)</f>
        <v>1</v>
      </c>
      <c r="L1356"/>
    </row>
    <row r="1357" spans="1:12" x14ac:dyDescent="0.3">
      <c r="A1357" t="s">
        <v>1363</v>
      </c>
      <c r="B1357" t="s">
        <v>10009</v>
      </c>
      <c r="C1357">
        <v>4</v>
      </c>
      <c r="D1357">
        <v>3</v>
      </c>
      <c r="E1357">
        <v>12</v>
      </c>
      <c r="F1357" t="s">
        <v>10020</v>
      </c>
      <c r="G1357" t="s">
        <v>10021</v>
      </c>
      <c r="H1357" s="6">
        <v>45008</v>
      </c>
      <c r="I1357">
        <f t="shared" si="42"/>
        <v>0</v>
      </c>
      <c r="J1357" t="str">
        <f t="shared" si="43"/>
        <v>Complete</v>
      </c>
      <c r="K1357">
        <f>COUNTIFS(RawData[Item], B1357,RawData[Quantity],C1357,RawData[Price Per Unit],D1357,RawData[Total Spent],E1357,RawData[Payment Method],F1357,RawData[Location],G1357,RawData[Transaction Date],H1357)</f>
        <v>1</v>
      </c>
      <c r="L1357"/>
    </row>
    <row r="1358" spans="1:12" x14ac:dyDescent="0.3">
      <c r="A1358" t="s">
        <v>1364</v>
      </c>
      <c r="B1358" t="s">
        <v>10014</v>
      </c>
      <c r="C1358">
        <v>3</v>
      </c>
      <c r="D1358">
        <v>4</v>
      </c>
      <c r="E1358">
        <v>12</v>
      </c>
      <c r="F1358" t="s">
        <v>10018</v>
      </c>
      <c r="G1358" t="s">
        <v>10069</v>
      </c>
      <c r="H1358" s="6">
        <v>45050</v>
      </c>
      <c r="I1358">
        <f t="shared" si="42"/>
        <v>0</v>
      </c>
      <c r="J1358" t="str">
        <f t="shared" si="43"/>
        <v>Complete</v>
      </c>
      <c r="K1358">
        <f>COUNTIFS(RawData[Item], B1358,RawData[Quantity],C1358,RawData[Price Per Unit],D1358,RawData[Total Spent],E1358,RawData[Payment Method],F1358,RawData[Location],G1358,RawData[Transaction Date],H1358)</f>
        <v>1</v>
      </c>
      <c r="L1358"/>
    </row>
    <row r="1359" spans="1:12" x14ac:dyDescent="0.3">
      <c r="A1359" t="s">
        <v>1365</v>
      </c>
      <c r="B1359" t="s">
        <v>10014</v>
      </c>
      <c r="C1359">
        <v>1</v>
      </c>
      <c r="D1359">
        <v>4</v>
      </c>
      <c r="E1359">
        <v>4</v>
      </c>
      <c r="F1359" t="s">
        <v>10020</v>
      </c>
      <c r="G1359" t="s">
        <v>10102</v>
      </c>
      <c r="H1359" s="6">
        <v>45070</v>
      </c>
      <c r="I1359">
        <f t="shared" si="42"/>
        <v>0</v>
      </c>
      <c r="J1359" t="str">
        <f t="shared" si="43"/>
        <v>Complete</v>
      </c>
      <c r="K1359">
        <f>COUNTIFS(RawData[Item], B1359,RawData[Quantity],C1359,RawData[Price Per Unit],D1359,RawData[Total Spent],E1359,RawData[Payment Method],F1359,RawData[Location],G1359,RawData[Transaction Date],H1359)</f>
        <v>1</v>
      </c>
      <c r="L1359"/>
    </row>
    <row r="1360" spans="1:12" x14ac:dyDescent="0.3">
      <c r="A1360" t="s">
        <v>1366</v>
      </c>
      <c r="B1360" t="s">
        <v>10009</v>
      </c>
      <c r="C1360">
        <v>3</v>
      </c>
      <c r="D1360" t="s">
        <v>10013</v>
      </c>
      <c r="E1360">
        <v>9</v>
      </c>
      <c r="F1360" t="s">
        <v>10020</v>
      </c>
      <c r="G1360" t="s">
        <v>10102</v>
      </c>
      <c r="H1360" s="6">
        <v>45267</v>
      </c>
      <c r="I1360">
        <f t="shared" si="42"/>
        <v>1</v>
      </c>
      <c r="J1360" t="str">
        <f t="shared" si="43"/>
        <v>Complete</v>
      </c>
      <c r="K1360">
        <f>COUNTIFS(RawData[Item], B1360,RawData[Quantity],C1360,RawData[Price Per Unit],D1360,RawData[Total Spent],E1360,RawData[Payment Method],F1360,RawData[Location],G1360,RawData[Transaction Date],H1360)</f>
        <v>1</v>
      </c>
      <c r="L1360"/>
    </row>
    <row r="1361" spans="1:12" x14ac:dyDescent="0.3">
      <c r="A1361" t="s">
        <v>1367</v>
      </c>
      <c r="B1361" t="s">
        <v>10009</v>
      </c>
      <c r="C1361">
        <v>3</v>
      </c>
      <c r="D1361">
        <v>3</v>
      </c>
      <c r="E1361">
        <v>9</v>
      </c>
      <c r="F1361" t="s">
        <v>10020</v>
      </c>
      <c r="G1361" t="s">
        <v>10021</v>
      </c>
      <c r="H1361" s="6">
        <v>45169</v>
      </c>
      <c r="I1361">
        <f t="shared" si="42"/>
        <v>0</v>
      </c>
      <c r="J1361" t="str">
        <f t="shared" si="43"/>
        <v>Complete</v>
      </c>
      <c r="K1361">
        <f>COUNTIFS(RawData[Item], B1361,RawData[Quantity],C1361,RawData[Price Per Unit],D1361,RawData[Total Spent],E1361,RawData[Payment Method],F1361,RawData[Location],G1361,RawData[Transaction Date],H1361)</f>
        <v>1</v>
      </c>
      <c r="L1361"/>
    </row>
    <row r="1362" spans="1:12" x14ac:dyDescent="0.3">
      <c r="A1362" t="s">
        <v>1368</v>
      </c>
      <c r="B1362" t="s">
        <v>10009</v>
      </c>
      <c r="C1362">
        <v>3</v>
      </c>
      <c r="D1362">
        <v>3</v>
      </c>
      <c r="E1362">
        <v>9</v>
      </c>
      <c r="F1362" t="s">
        <v>10019</v>
      </c>
      <c r="G1362" t="s">
        <v>10102</v>
      </c>
      <c r="H1362" s="6">
        <v>45140</v>
      </c>
      <c r="I1362">
        <f t="shared" si="42"/>
        <v>0</v>
      </c>
      <c r="J1362" t="str">
        <f t="shared" si="43"/>
        <v>Complete</v>
      </c>
      <c r="K1362">
        <f>COUNTIFS(RawData[Item], B1362,RawData[Quantity],C1362,RawData[Price Per Unit],D1362,RawData[Total Spent],E1362,RawData[Payment Method],F1362,RawData[Location],G1362,RawData[Transaction Date],H1362)</f>
        <v>1</v>
      </c>
      <c r="L1362"/>
    </row>
    <row r="1363" spans="1:12" x14ac:dyDescent="0.3">
      <c r="A1363" t="s">
        <v>1369</v>
      </c>
      <c r="B1363" t="s">
        <v>10010</v>
      </c>
      <c r="C1363">
        <v>2</v>
      </c>
      <c r="D1363">
        <v>1</v>
      </c>
      <c r="E1363">
        <v>2</v>
      </c>
      <c r="F1363" t="s">
        <v>10020</v>
      </c>
      <c r="G1363" t="s">
        <v>10021</v>
      </c>
      <c r="H1363" s="6">
        <v>45220</v>
      </c>
      <c r="I1363">
        <f t="shared" si="42"/>
        <v>0</v>
      </c>
      <c r="J1363" t="str">
        <f t="shared" si="43"/>
        <v>Complete</v>
      </c>
      <c r="K1363">
        <f>COUNTIFS(RawData[Item], B1363,RawData[Quantity],C1363,RawData[Price Per Unit],D1363,RawData[Total Spent],E1363,RawData[Payment Method],F1363,RawData[Location],G1363,RawData[Transaction Date],H1363)</f>
        <v>1</v>
      </c>
      <c r="L1363"/>
    </row>
    <row r="1364" spans="1:12" x14ac:dyDescent="0.3">
      <c r="A1364" t="s">
        <v>1370</v>
      </c>
      <c r="B1364" t="s">
        <v>10009</v>
      </c>
      <c r="C1364">
        <v>5</v>
      </c>
      <c r="D1364">
        <v>3</v>
      </c>
      <c r="E1364">
        <v>15</v>
      </c>
      <c r="F1364" t="s">
        <v>10019</v>
      </c>
      <c r="G1364" t="s">
        <v>10103</v>
      </c>
      <c r="H1364" s="6">
        <v>45282</v>
      </c>
      <c r="I1364">
        <f t="shared" si="42"/>
        <v>1</v>
      </c>
      <c r="J1364" t="str">
        <f t="shared" si="43"/>
        <v>Complete</v>
      </c>
      <c r="K1364">
        <f>COUNTIFS(RawData[Item], B1364,RawData[Quantity],C1364,RawData[Price Per Unit],D1364,RawData[Total Spent],E1364,RawData[Payment Method],F1364,RawData[Location],G1364,RawData[Transaction Date],H1364)</f>
        <v>1</v>
      </c>
      <c r="L1364"/>
    </row>
    <row r="1365" spans="1:12" x14ac:dyDescent="0.3">
      <c r="A1365" t="s">
        <v>1371</v>
      </c>
      <c r="B1365" t="s">
        <v>10010</v>
      </c>
      <c r="C1365">
        <v>3</v>
      </c>
      <c r="D1365">
        <v>1</v>
      </c>
      <c r="E1365">
        <v>3</v>
      </c>
      <c r="F1365" t="s">
        <v>10020</v>
      </c>
      <c r="G1365" t="s">
        <v>10069</v>
      </c>
      <c r="H1365" s="6">
        <v>45280</v>
      </c>
      <c r="I1365">
        <f t="shared" si="42"/>
        <v>0</v>
      </c>
      <c r="J1365" t="str">
        <f t="shared" si="43"/>
        <v>Complete</v>
      </c>
      <c r="K1365">
        <f>COUNTIFS(RawData[Item], B1365,RawData[Quantity],C1365,RawData[Price Per Unit],D1365,RawData[Total Spent],E1365,RawData[Payment Method],F1365,RawData[Location],G1365,RawData[Transaction Date],H1365)</f>
        <v>1</v>
      </c>
      <c r="L1365"/>
    </row>
    <row r="1366" spans="1:12" x14ac:dyDescent="0.3">
      <c r="A1366" t="s">
        <v>1372</v>
      </c>
      <c r="B1366" t="s">
        <v>10069</v>
      </c>
      <c r="C1366">
        <v>4</v>
      </c>
      <c r="D1366">
        <v>4</v>
      </c>
      <c r="E1366">
        <v>16</v>
      </c>
      <c r="F1366" t="s">
        <v>10020</v>
      </c>
      <c r="G1366" t="s">
        <v>10021</v>
      </c>
      <c r="H1366" s="6">
        <v>45161</v>
      </c>
      <c r="I1366">
        <f t="shared" si="42"/>
        <v>0</v>
      </c>
      <c r="J1366" t="str">
        <f t="shared" si="43"/>
        <v>Complete</v>
      </c>
      <c r="K1366">
        <f>COUNTIFS(RawData[Item], B1366,RawData[Quantity],C1366,RawData[Price Per Unit],D1366,RawData[Total Spent],E1366,RawData[Payment Method],F1366,RawData[Location],G1366,RawData[Transaction Date],H1366)</f>
        <v>1</v>
      </c>
      <c r="L1366"/>
    </row>
    <row r="1367" spans="1:12" x14ac:dyDescent="0.3">
      <c r="A1367" t="s">
        <v>1373</v>
      </c>
      <c r="B1367" t="s">
        <v>10014</v>
      </c>
      <c r="C1367">
        <v>5</v>
      </c>
      <c r="D1367">
        <v>4</v>
      </c>
      <c r="E1367">
        <v>20</v>
      </c>
      <c r="F1367" t="s">
        <v>10069</v>
      </c>
      <c r="G1367" t="s">
        <v>10102</v>
      </c>
      <c r="H1367" s="6">
        <v>45022</v>
      </c>
      <c r="I1367">
        <f t="shared" si="42"/>
        <v>0</v>
      </c>
      <c r="J1367" t="str">
        <f t="shared" si="43"/>
        <v>Complete</v>
      </c>
      <c r="K1367">
        <f>COUNTIFS(RawData[Item], B1367,RawData[Quantity],C1367,RawData[Price Per Unit],D1367,RawData[Total Spent],E1367,RawData[Payment Method],F1367,RawData[Location],G1367,RawData[Transaction Date],H1367)</f>
        <v>1</v>
      </c>
      <c r="L1367"/>
    </row>
    <row r="1368" spans="1:12" x14ac:dyDescent="0.3">
      <c r="A1368" t="s">
        <v>1374</v>
      </c>
      <c r="B1368" t="s">
        <v>10016</v>
      </c>
      <c r="C1368">
        <v>1</v>
      </c>
      <c r="D1368">
        <v>3</v>
      </c>
      <c r="E1368">
        <v>3</v>
      </c>
      <c r="F1368" t="s">
        <v>10020</v>
      </c>
      <c r="G1368" t="s">
        <v>10021</v>
      </c>
      <c r="H1368" s="6">
        <v>45281</v>
      </c>
      <c r="I1368">
        <f t="shared" si="42"/>
        <v>0</v>
      </c>
      <c r="J1368" t="str">
        <f t="shared" si="43"/>
        <v>Complete</v>
      </c>
      <c r="K1368">
        <f>COUNTIFS(RawData[Item], B1368,RawData[Quantity],C1368,RawData[Price Per Unit],D1368,RawData[Total Spent],E1368,RawData[Payment Method],F1368,RawData[Location],G1368,RawData[Transaction Date],H1368)</f>
        <v>1</v>
      </c>
      <c r="L1368"/>
    </row>
    <row r="1369" spans="1:12" x14ac:dyDescent="0.3">
      <c r="A1369" t="s">
        <v>1375</v>
      </c>
      <c r="B1369" t="s">
        <v>10016</v>
      </c>
      <c r="C1369">
        <v>5</v>
      </c>
      <c r="D1369">
        <v>3</v>
      </c>
      <c r="E1369">
        <v>15</v>
      </c>
      <c r="F1369" t="s">
        <v>10018</v>
      </c>
      <c r="G1369" t="s">
        <v>10069</v>
      </c>
      <c r="H1369" s="6">
        <v>45185</v>
      </c>
      <c r="I1369">
        <f t="shared" si="42"/>
        <v>0</v>
      </c>
      <c r="J1369" t="str">
        <f t="shared" si="43"/>
        <v>Complete</v>
      </c>
      <c r="K1369">
        <f>COUNTIFS(RawData[Item], B1369,RawData[Quantity],C1369,RawData[Price Per Unit],D1369,RawData[Total Spent],E1369,RawData[Payment Method],F1369,RawData[Location],G1369,RawData[Transaction Date],H1369)</f>
        <v>2</v>
      </c>
      <c r="L1369"/>
    </row>
    <row r="1370" spans="1:12" x14ac:dyDescent="0.3">
      <c r="A1370" t="s">
        <v>1376</v>
      </c>
      <c r="B1370" t="s">
        <v>10016</v>
      </c>
      <c r="C1370">
        <v>2</v>
      </c>
      <c r="D1370">
        <v>3</v>
      </c>
      <c r="E1370">
        <v>6</v>
      </c>
      <c r="F1370" t="s">
        <v>10020</v>
      </c>
      <c r="G1370" t="s">
        <v>10021</v>
      </c>
      <c r="H1370" s="6">
        <v>45153</v>
      </c>
      <c r="I1370">
        <f t="shared" si="42"/>
        <v>0</v>
      </c>
      <c r="J1370" t="str">
        <f t="shared" si="43"/>
        <v>Complete</v>
      </c>
      <c r="K1370">
        <f>COUNTIFS(RawData[Item], B1370,RawData[Quantity],C1370,RawData[Price Per Unit],D1370,RawData[Total Spent],E1370,RawData[Payment Method],F1370,RawData[Location],G1370,RawData[Transaction Date],H1370)</f>
        <v>1</v>
      </c>
      <c r="L1370"/>
    </row>
    <row r="1371" spans="1:12" x14ac:dyDescent="0.3">
      <c r="A1371" t="s">
        <v>1377</v>
      </c>
      <c r="B1371" t="s">
        <v>10010</v>
      </c>
      <c r="C1371">
        <v>5</v>
      </c>
      <c r="D1371">
        <v>1</v>
      </c>
      <c r="E1371">
        <v>5</v>
      </c>
      <c r="F1371" t="s">
        <v>10020</v>
      </c>
      <c r="G1371" t="s">
        <v>10069</v>
      </c>
      <c r="H1371" s="6">
        <v>45212</v>
      </c>
      <c r="I1371">
        <f t="shared" si="42"/>
        <v>0</v>
      </c>
      <c r="J1371" t="str">
        <f t="shared" si="43"/>
        <v>Complete</v>
      </c>
      <c r="K1371">
        <f>COUNTIFS(RawData[Item], B1371,RawData[Quantity],C1371,RawData[Price Per Unit],D1371,RawData[Total Spent],E1371,RawData[Payment Method],F1371,RawData[Location],G1371,RawData[Transaction Date],H1371)</f>
        <v>1</v>
      </c>
      <c r="L1371"/>
    </row>
    <row r="1372" spans="1:12" x14ac:dyDescent="0.3">
      <c r="A1372" t="s">
        <v>1378</v>
      </c>
      <c r="B1372" t="s">
        <v>10009</v>
      </c>
      <c r="C1372">
        <v>3</v>
      </c>
      <c r="D1372">
        <v>3</v>
      </c>
      <c r="E1372">
        <v>9</v>
      </c>
      <c r="F1372" t="s">
        <v>10020</v>
      </c>
      <c r="G1372" t="s">
        <v>10069</v>
      </c>
      <c r="H1372" s="6">
        <v>45054</v>
      </c>
      <c r="I1372">
        <f t="shared" si="42"/>
        <v>0</v>
      </c>
      <c r="J1372" t="str">
        <f t="shared" si="43"/>
        <v>Complete</v>
      </c>
      <c r="K1372">
        <f>COUNTIFS(RawData[Item], B1372,RawData[Quantity],C1372,RawData[Price Per Unit],D1372,RawData[Total Spent],E1372,RawData[Payment Method],F1372,RawData[Location],G1372,RawData[Transaction Date],H1372)</f>
        <v>1</v>
      </c>
      <c r="L1372"/>
    </row>
    <row r="1373" spans="1:12" x14ac:dyDescent="0.3">
      <c r="A1373" t="s">
        <v>1379</v>
      </c>
      <c r="B1373" t="s">
        <v>10014</v>
      </c>
      <c r="C1373">
        <v>2</v>
      </c>
      <c r="D1373">
        <v>4</v>
      </c>
      <c r="E1373">
        <v>8</v>
      </c>
      <c r="F1373" t="s">
        <v>10020</v>
      </c>
      <c r="G1373" t="s">
        <v>10069</v>
      </c>
      <c r="H1373" s="6">
        <v>45177</v>
      </c>
      <c r="I1373">
        <f t="shared" si="42"/>
        <v>0</v>
      </c>
      <c r="J1373" t="str">
        <f t="shared" si="43"/>
        <v>Complete</v>
      </c>
      <c r="K1373">
        <f>COUNTIFS(RawData[Item], B1373,RawData[Quantity],C1373,RawData[Price Per Unit],D1373,RawData[Total Spent],E1373,RawData[Payment Method],F1373,RawData[Location],G1373,RawData[Transaction Date],H1373)</f>
        <v>1</v>
      </c>
      <c r="L1373"/>
    </row>
    <row r="1374" spans="1:12" x14ac:dyDescent="0.3">
      <c r="A1374" t="s">
        <v>1380</v>
      </c>
      <c r="B1374" t="s">
        <v>10014</v>
      </c>
      <c r="C1374">
        <v>5</v>
      </c>
      <c r="D1374">
        <v>4</v>
      </c>
      <c r="E1374">
        <v>20</v>
      </c>
      <c r="F1374" t="s">
        <v>10020</v>
      </c>
      <c r="G1374" t="s">
        <v>10021</v>
      </c>
      <c r="H1374" s="6">
        <v>45243</v>
      </c>
      <c r="I1374">
        <f t="shared" si="42"/>
        <v>0</v>
      </c>
      <c r="J1374" t="str">
        <f t="shared" si="43"/>
        <v>Complete</v>
      </c>
      <c r="K1374">
        <f>COUNTIFS(RawData[Item], B1374,RawData[Quantity],C1374,RawData[Price Per Unit],D1374,RawData[Total Spent],E1374,RawData[Payment Method],F1374,RawData[Location],G1374,RawData[Transaction Date],H1374)</f>
        <v>1</v>
      </c>
      <c r="L1374"/>
    </row>
    <row r="1375" spans="1:12" x14ac:dyDescent="0.3">
      <c r="A1375" t="s">
        <v>1381</v>
      </c>
      <c r="B1375" t="s">
        <v>10012</v>
      </c>
      <c r="C1375">
        <v>3</v>
      </c>
      <c r="D1375">
        <v>0</v>
      </c>
      <c r="E1375">
        <v>12</v>
      </c>
      <c r="F1375" t="s">
        <v>10069</v>
      </c>
      <c r="G1375" t="s">
        <v>10102</v>
      </c>
      <c r="H1375" s="6" t="s">
        <v>10112</v>
      </c>
      <c r="I1375">
        <f t="shared" si="42"/>
        <v>1</v>
      </c>
      <c r="J1375" t="str">
        <f t="shared" si="43"/>
        <v>Incomplete</v>
      </c>
      <c r="K1375">
        <f>COUNTIFS(RawData[Item], B1375,RawData[Quantity],C1375,RawData[Price Per Unit],D1375,RawData[Total Spent],E1375,RawData[Payment Method],F1375,RawData[Location],G1375,RawData[Transaction Date],H1375)</f>
        <v>1</v>
      </c>
      <c r="L1375"/>
    </row>
    <row r="1376" spans="1:12" x14ac:dyDescent="0.3">
      <c r="A1376" t="s">
        <v>1382</v>
      </c>
      <c r="B1376" t="s">
        <v>10008</v>
      </c>
      <c r="C1376">
        <v>5</v>
      </c>
      <c r="D1376">
        <v>2</v>
      </c>
      <c r="E1376">
        <v>10</v>
      </c>
      <c r="F1376" t="s">
        <v>10104</v>
      </c>
      <c r="G1376" t="s">
        <v>10069</v>
      </c>
      <c r="H1376" s="6">
        <v>45152</v>
      </c>
      <c r="I1376">
        <f t="shared" si="42"/>
        <v>1</v>
      </c>
      <c r="J1376" t="str">
        <f t="shared" si="43"/>
        <v>Complete</v>
      </c>
      <c r="K1376">
        <f>COUNTIFS(RawData[Item], B1376,RawData[Quantity],C1376,RawData[Price Per Unit],D1376,RawData[Total Spent],E1376,RawData[Payment Method],F1376,RawData[Location],G1376,RawData[Transaction Date],H1376)</f>
        <v>1</v>
      </c>
      <c r="L1376"/>
    </row>
    <row r="1377" spans="1:12" x14ac:dyDescent="0.3">
      <c r="A1377" t="s">
        <v>1383</v>
      </c>
      <c r="B1377" t="s">
        <v>10013</v>
      </c>
      <c r="C1377">
        <v>4</v>
      </c>
      <c r="D1377">
        <v>4</v>
      </c>
      <c r="E1377">
        <v>16</v>
      </c>
      <c r="F1377" t="s">
        <v>10069</v>
      </c>
      <c r="G1377" t="s">
        <v>10021</v>
      </c>
      <c r="H1377" s="6">
        <v>45035</v>
      </c>
      <c r="I1377">
        <f t="shared" si="42"/>
        <v>1</v>
      </c>
      <c r="J1377" t="str">
        <f t="shared" si="43"/>
        <v>Complete</v>
      </c>
      <c r="K1377">
        <f>COUNTIFS(RawData[Item], B1377,RawData[Quantity],C1377,RawData[Price Per Unit],D1377,RawData[Total Spent],E1377,RawData[Payment Method],F1377,RawData[Location],G1377,RawData[Transaction Date],H1377)</f>
        <v>1</v>
      </c>
      <c r="L1377"/>
    </row>
    <row r="1378" spans="1:12" x14ac:dyDescent="0.3">
      <c r="A1378" t="s">
        <v>1384</v>
      </c>
      <c r="B1378" t="s">
        <v>10015</v>
      </c>
      <c r="C1378">
        <v>2</v>
      </c>
      <c r="D1378">
        <v>2</v>
      </c>
      <c r="E1378">
        <v>4</v>
      </c>
      <c r="F1378" t="s">
        <v>10018</v>
      </c>
      <c r="G1378" t="s">
        <v>10021</v>
      </c>
      <c r="H1378" s="6">
        <v>44973</v>
      </c>
      <c r="I1378">
        <f t="shared" si="42"/>
        <v>1</v>
      </c>
      <c r="J1378" t="str">
        <f t="shared" si="43"/>
        <v>Complete</v>
      </c>
      <c r="K1378">
        <f>COUNTIFS(RawData[Item], B1378,RawData[Quantity],C1378,RawData[Price Per Unit],D1378,RawData[Total Spent],E1378,RawData[Payment Method],F1378,RawData[Location],G1378,RawData[Transaction Date],H1378)</f>
        <v>1</v>
      </c>
      <c r="L1378"/>
    </row>
    <row r="1379" spans="1:12" x14ac:dyDescent="0.3">
      <c r="A1379" t="s">
        <v>1385</v>
      </c>
      <c r="B1379" t="s">
        <v>10015</v>
      </c>
      <c r="C1379">
        <v>2</v>
      </c>
      <c r="D1379">
        <v>0</v>
      </c>
      <c r="E1379">
        <v>2</v>
      </c>
      <c r="F1379" t="s">
        <v>10069</v>
      </c>
      <c r="G1379" t="s">
        <v>10069</v>
      </c>
      <c r="H1379" s="6">
        <v>45181</v>
      </c>
      <c r="I1379">
        <f t="shared" si="42"/>
        <v>1</v>
      </c>
      <c r="J1379" t="str">
        <f t="shared" si="43"/>
        <v>Complete</v>
      </c>
      <c r="K1379">
        <f>COUNTIFS(RawData[Item], B1379,RawData[Quantity],C1379,RawData[Price Per Unit],D1379,RawData[Total Spent],E1379,RawData[Payment Method],F1379,RawData[Location],G1379,RawData[Transaction Date],H1379)</f>
        <v>1</v>
      </c>
      <c r="L1379"/>
    </row>
    <row r="1380" spans="1:12" x14ac:dyDescent="0.3">
      <c r="A1380" t="s">
        <v>1386</v>
      </c>
      <c r="B1380" t="s">
        <v>10008</v>
      </c>
      <c r="C1380">
        <v>5</v>
      </c>
      <c r="D1380">
        <v>2</v>
      </c>
      <c r="E1380">
        <v>10</v>
      </c>
      <c r="F1380" t="s">
        <v>10069</v>
      </c>
      <c r="G1380" t="s">
        <v>10021</v>
      </c>
      <c r="H1380" s="6">
        <v>45021</v>
      </c>
      <c r="I1380">
        <f t="shared" si="42"/>
        <v>0</v>
      </c>
      <c r="J1380" t="str">
        <f t="shared" si="43"/>
        <v>Complete</v>
      </c>
      <c r="K1380">
        <f>COUNTIFS(RawData[Item], B1380,RawData[Quantity],C1380,RawData[Price Per Unit],D1380,RawData[Total Spent],E1380,RawData[Payment Method],F1380,RawData[Location],G1380,RawData[Transaction Date],H1380)</f>
        <v>1</v>
      </c>
      <c r="L1380"/>
    </row>
    <row r="1381" spans="1:12" x14ac:dyDescent="0.3">
      <c r="A1381" t="s">
        <v>1387</v>
      </c>
      <c r="B1381" t="s">
        <v>10017</v>
      </c>
      <c r="C1381">
        <v>3</v>
      </c>
      <c r="D1381">
        <v>0</v>
      </c>
      <c r="E1381">
        <v>4.5</v>
      </c>
      <c r="F1381" t="s">
        <v>10069</v>
      </c>
      <c r="G1381" t="s">
        <v>10069</v>
      </c>
      <c r="H1381" s="6" t="s">
        <v>10112</v>
      </c>
      <c r="I1381">
        <f t="shared" si="42"/>
        <v>1</v>
      </c>
      <c r="J1381" t="str">
        <f t="shared" si="43"/>
        <v>Incomplete</v>
      </c>
      <c r="K1381">
        <f>COUNTIFS(RawData[Item], B1381,RawData[Quantity],C1381,RawData[Price Per Unit],D1381,RawData[Total Spent],E1381,RawData[Payment Method],F1381,RawData[Location],G1381,RawData[Transaction Date],H1381)</f>
        <v>1</v>
      </c>
      <c r="L1381"/>
    </row>
    <row r="1382" spans="1:12" x14ac:dyDescent="0.3">
      <c r="A1382" t="s">
        <v>1388</v>
      </c>
      <c r="B1382" t="s">
        <v>10014</v>
      </c>
      <c r="C1382">
        <v>5</v>
      </c>
      <c r="D1382">
        <v>4</v>
      </c>
      <c r="E1382">
        <v>20</v>
      </c>
      <c r="F1382" t="s">
        <v>10018</v>
      </c>
      <c r="G1382" t="s">
        <v>10102</v>
      </c>
      <c r="H1382" s="6">
        <v>45083</v>
      </c>
      <c r="I1382">
        <f t="shared" si="42"/>
        <v>0</v>
      </c>
      <c r="J1382" t="str">
        <f t="shared" si="43"/>
        <v>Complete</v>
      </c>
      <c r="K1382">
        <f>COUNTIFS(RawData[Item], B1382,RawData[Quantity],C1382,RawData[Price Per Unit],D1382,RawData[Total Spent],E1382,RawData[Payment Method],F1382,RawData[Location],G1382,RawData[Transaction Date],H1382)</f>
        <v>1</v>
      </c>
      <c r="L1382"/>
    </row>
    <row r="1383" spans="1:12" x14ac:dyDescent="0.3">
      <c r="A1383" t="s">
        <v>1389</v>
      </c>
      <c r="B1383" t="s">
        <v>10012</v>
      </c>
      <c r="C1383">
        <v>1</v>
      </c>
      <c r="D1383">
        <v>4</v>
      </c>
      <c r="E1383">
        <v>4</v>
      </c>
      <c r="F1383" t="s">
        <v>10019</v>
      </c>
      <c r="G1383" t="s">
        <v>10104</v>
      </c>
      <c r="H1383" s="6">
        <v>45139</v>
      </c>
      <c r="I1383">
        <f t="shared" si="42"/>
        <v>1</v>
      </c>
      <c r="J1383" t="str">
        <f t="shared" si="43"/>
        <v>Complete</v>
      </c>
      <c r="K1383">
        <f>COUNTIFS(RawData[Item], B1383,RawData[Quantity],C1383,RawData[Price Per Unit],D1383,RawData[Total Spent],E1383,RawData[Payment Method],F1383,RawData[Location],G1383,RawData[Transaction Date],H1383)</f>
        <v>1</v>
      </c>
      <c r="L1383"/>
    </row>
    <row r="1384" spans="1:12" x14ac:dyDescent="0.3">
      <c r="A1384" t="s">
        <v>1390</v>
      </c>
      <c r="B1384" t="s">
        <v>10017</v>
      </c>
      <c r="C1384">
        <v>5</v>
      </c>
      <c r="D1384">
        <v>1.5</v>
      </c>
      <c r="E1384">
        <v>7.5</v>
      </c>
      <c r="F1384" t="s">
        <v>10069</v>
      </c>
      <c r="G1384" t="s">
        <v>10069</v>
      </c>
      <c r="H1384" s="6">
        <v>45259</v>
      </c>
      <c r="I1384">
        <f t="shared" si="42"/>
        <v>0</v>
      </c>
      <c r="J1384" t="str">
        <f t="shared" si="43"/>
        <v>Complete</v>
      </c>
      <c r="K1384">
        <f>COUNTIFS(RawData[Item], B1384,RawData[Quantity],C1384,RawData[Price Per Unit],D1384,RawData[Total Spent],E1384,RawData[Payment Method],F1384,RawData[Location],G1384,RawData[Transaction Date],H1384)</f>
        <v>1</v>
      </c>
      <c r="L1384"/>
    </row>
    <row r="1385" spans="1:12" x14ac:dyDescent="0.3">
      <c r="A1385" t="s">
        <v>1391</v>
      </c>
      <c r="B1385" t="s">
        <v>10012</v>
      </c>
      <c r="C1385">
        <v>2</v>
      </c>
      <c r="D1385">
        <v>4</v>
      </c>
      <c r="E1385">
        <v>8</v>
      </c>
      <c r="F1385" t="s">
        <v>10069</v>
      </c>
      <c r="G1385" t="s">
        <v>10069</v>
      </c>
      <c r="H1385" s="6">
        <v>45124</v>
      </c>
      <c r="I1385">
        <f t="shared" si="42"/>
        <v>0</v>
      </c>
      <c r="J1385" t="str">
        <f t="shared" si="43"/>
        <v>Complete</v>
      </c>
      <c r="K1385">
        <f>COUNTIFS(RawData[Item], B1385,RawData[Quantity],C1385,RawData[Price Per Unit],D1385,RawData[Total Spent],E1385,RawData[Payment Method],F1385,RawData[Location],G1385,RawData[Transaction Date],H1385)</f>
        <v>1</v>
      </c>
      <c r="L1385"/>
    </row>
    <row r="1386" spans="1:12" x14ac:dyDescent="0.3">
      <c r="A1386" t="s">
        <v>1392</v>
      </c>
      <c r="B1386" t="s">
        <v>10069</v>
      </c>
      <c r="C1386">
        <v>5</v>
      </c>
      <c r="D1386">
        <v>5</v>
      </c>
      <c r="E1386">
        <v>25</v>
      </c>
      <c r="F1386" t="s">
        <v>10020</v>
      </c>
      <c r="G1386" t="s">
        <v>10021</v>
      </c>
      <c r="H1386" s="6">
        <v>45130</v>
      </c>
      <c r="I1386">
        <f t="shared" si="42"/>
        <v>0</v>
      </c>
      <c r="J1386" t="str">
        <f t="shared" si="43"/>
        <v>Complete</v>
      </c>
      <c r="K1386">
        <f>COUNTIFS(RawData[Item], B1386,RawData[Quantity],C1386,RawData[Price Per Unit],D1386,RawData[Total Spent],E1386,RawData[Payment Method],F1386,RawData[Location],G1386,RawData[Transaction Date],H1386)</f>
        <v>1</v>
      </c>
      <c r="L1386"/>
    </row>
    <row r="1387" spans="1:12" x14ac:dyDescent="0.3">
      <c r="A1387" t="s">
        <v>1393</v>
      </c>
      <c r="B1387" t="s">
        <v>10013</v>
      </c>
      <c r="C1387">
        <v>2</v>
      </c>
      <c r="D1387">
        <v>1.5</v>
      </c>
      <c r="E1387">
        <v>3</v>
      </c>
      <c r="F1387" t="s">
        <v>10069</v>
      </c>
      <c r="G1387" t="s">
        <v>10069</v>
      </c>
      <c r="H1387" s="6">
        <v>45064</v>
      </c>
      <c r="I1387">
        <f t="shared" si="42"/>
        <v>1</v>
      </c>
      <c r="J1387" t="str">
        <f t="shared" si="43"/>
        <v>Complete</v>
      </c>
      <c r="K1387">
        <f>COUNTIFS(RawData[Item], B1387,RawData[Quantity],C1387,RawData[Price Per Unit],D1387,RawData[Total Spent],E1387,RawData[Payment Method],F1387,RawData[Location],G1387,RawData[Transaction Date],H1387)</f>
        <v>1</v>
      </c>
      <c r="L1387"/>
    </row>
    <row r="1388" spans="1:12" x14ac:dyDescent="0.3">
      <c r="A1388" t="s">
        <v>1394</v>
      </c>
      <c r="B1388" t="s">
        <v>10069</v>
      </c>
      <c r="C1388">
        <v>4</v>
      </c>
      <c r="D1388">
        <v>3</v>
      </c>
      <c r="E1388">
        <v>12</v>
      </c>
      <c r="F1388" t="s">
        <v>10019</v>
      </c>
      <c r="G1388" t="s">
        <v>10021</v>
      </c>
      <c r="H1388" s="6">
        <v>45093</v>
      </c>
      <c r="I1388">
        <f t="shared" si="42"/>
        <v>0</v>
      </c>
      <c r="J1388" t="str">
        <f t="shared" si="43"/>
        <v>Complete</v>
      </c>
      <c r="K1388">
        <f>COUNTIFS(RawData[Item], B1388,RawData[Quantity],C1388,RawData[Price Per Unit],D1388,RawData[Total Spent],E1388,RawData[Payment Method],F1388,RawData[Location],G1388,RawData[Transaction Date],H1388)</f>
        <v>1</v>
      </c>
      <c r="L1388"/>
    </row>
    <row r="1389" spans="1:12" x14ac:dyDescent="0.3">
      <c r="A1389" t="s">
        <v>1395</v>
      </c>
      <c r="B1389" t="s">
        <v>10009</v>
      </c>
      <c r="C1389">
        <v>2</v>
      </c>
      <c r="D1389">
        <v>3</v>
      </c>
      <c r="E1389">
        <v>6</v>
      </c>
      <c r="F1389" t="s">
        <v>10069</v>
      </c>
      <c r="G1389" t="s">
        <v>10069</v>
      </c>
      <c r="H1389" s="6">
        <v>45172</v>
      </c>
      <c r="I1389">
        <f t="shared" si="42"/>
        <v>0</v>
      </c>
      <c r="J1389" t="str">
        <f t="shared" si="43"/>
        <v>Complete</v>
      </c>
      <c r="K1389">
        <f>COUNTIFS(RawData[Item], B1389,RawData[Quantity],C1389,RawData[Price Per Unit],D1389,RawData[Total Spent],E1389,RawData[Payment Method],F1389,RawData[Location],G1389,RawData[Transaction Date],H1389)</f>
        <v>1</v>
      </c>
      <c r="L1389"/>
    </row>
    <row r="1390" spans="1:12" x14ac:dyDescent="0.3">
      <c r="A1390" t="s">
        <v>1396</v>
      </c>
      <c r="B1390" t="s">
        <v>10014</v>
      </c>
      <c r="C1390">
        <v>5</v>
      </c>
      <c r="D1390">
        <v>4</v>
      </c>
      <c r="E1390">
        <v>20</v>
      </c>
      <c r="F1390" t="s">
        <v>10069</v>
      </c>
      <c r="G1390" t="s">
        <v>10021</v>
      </c>
      <c r="H1390" s="6">
        <v>45048</v>
      </c>
      <c r="I1390">
        <f t="shared" si="42"/>
        <v>0</v>
      </c>
      <c r="J1390" t="str">
        <f t="shared" si="43"/>
        <v>Complete</v>
      </c>
      <c r="K1390">
        <f>COUNTIFS(RawData[Item], B1390,RawData[Quantity],C1390,RawData[Price Per Unit],D1390,RawData[Total Spent],E1390,RawData[Payment Method],F1390,RawData[Location],G1390,RawData[Transaction Date],H1390)</f>
        <v>1</v>
      </c>
      <c r="L1390"/>
    </row>
    <row r="1391" spans="1:12" x14ac:dyDescent="0.3">
      <c r="A1391" t="s">
        <v>1397</v>
      </c>
      <c r="B1391" t="s">
        <v>10014</v>
      </c>
      <c r="C1391">
        <v>1</v>
      </c>
      <c r="D1391" t="s">
        <v>10015</v>
      </c>
      <c r="E1391">
        <v>4</v>
      </c>
      <c r="F1391" t="s">
        <v>10019</v>
      </c>
      <c r="G1391" t="s">
        <v>10102</v>
      </c>
      <c r="H1391" s="6">
        <v>45213</v>
      </c>
      <c r="I1391">
        <f t="shared" si="42"/>
        <v>1</v>
      </c>
      <c r="J1391" t="str">
        <f t="shared" si="43"/>
        <v>Complete</v>
      </c>
      <c r="K1391">
        <f>COUNTIFS(RawData[Item], B1391,RawData[Quantity],C1391,RawData[Price Per Unit],D1391,RawData[Total Spent],E1391,RawData[Payment Method],F1391,RawData[Location],G1391,RawData[Transaction Date],H1391)</f>
        <v>1</v>
      </c>
      <c r="L1391"/>
    </row>
    <row r="1392" spans="1:12" x14ac:dyDescent="0.3">
      <c r="A1392" t="s">
        <v>1398</v>
      </c>
      <c r="B1392" t="s">
        <v>10010</v>
      </c>
      <c r="C1392">
        <v>1</v>
      </c>
      <c r="D1392">
        <v>1</v>
      </c>
      <c r="E1392">
        <v>1</v>
      </c>
      <c r="F1392" t="s">
        <v>10069</v>
      </c>
      <c r="G1392" t="s">
        <v>10102</v>
      </c>
      <c r="H1392" s="6">
        <v>45233</v>
      </c>
      <c r="I1392">
        <f t="shared" si="42"/>
        <v>0</v>
      </c>
      <c r="J1392" t="str">
        <f t="shared" si="43"/>
        <v>Complete</v>
      </c>
      <c r="K1392">
        <f>COUNTIFS(RawData[Item], B1392,RawData[Quantity],C1392,RawData[Price Per Unit],D1392,RawData[Total Spent],E1392,RawData[Payment Method],F1392,RawData[Location],G1392,RawData[Transaction Date],H1392)</f>
        <v>1</v>
      </c>
      <c r="L1392"/>
    </row>
    <row r="1393" spans="1:12" x14ac:dyDescent="0.3">
      <c r="A1393" t="s">
        <v>1399</v>
      </c>
      <c r="B1393" t="s">
        <v>10010</v>
      </c>
      <c r="C1393">
        <v>1</v>
      </c>
      <c r="D1393">
        <v>1</v>
      </c>
      <c r="E1393">
        <v>1</v>
      </c>
      <c r="F1393" t="s">
        <v>10018</v>
      </c>
      <c r="G1393" t="s">
        <v>10069</v>
      </c>
      <c r="H1393" s="6" t="s">
        <v>10112</v>
      </c>
      <c r="I1393">
        <f t="shared" si="42"/>
        <v>1</v>
      </c>
      <c r="J1393" t="str">
        <f t="shared" si="43"/>
        <v>Incomplete</v>
      </c>
      <c r="K1393">
        <f>COUNTIFS(RawData[Item], B1393,RawData[Quantity],C1393,RawData[Price Per Unit],D1393,RawData[Total Spent],E1393,RawData[Payment Method],F1393,RawData[Location],G1393,RawData[Transaction Date],H1393)</f>
        <v>2</v>
      </c>
      <c r="L1393"/>
    </row>
    <row r="1394" spans="1:12" x14ac:dyDescent="0.3">
      <c r="A1394" t="s">
        <v>1400</v>
      </c>
      <c r="B1394" t="s">
        <v>10016</v>
      </c>
      <c r="C1394">
        <v>2</v>
      </c>
      <c r="D1394">
        <v>3</v>
      </c>
      <c r="E1394">
        <v>6</v>
      </c>
      <c r="F1394" t="s">
        <v>10019</v>
      </c>
      <c r="G1394" t="s">
        <v>10021</v>
      </c>
      <c r="H1394" s="6">
        <v>44964</v>
      </c>
      <c r="I1394">
        <f t="shared" si="42"/>
        <v>0</v>
      </c>
      <c r="J1394" t="str">
        <f t="shared" si="43"/>
        <v>Complete</v>
      </c>
      <c r="K1394">
        <f>COUNTIFS(RawData[Item], B1394,RawData[Quantity],C1394,RawData[Price Per Unit],D1394,RawData[Total Spent],E1394,RawData[Payment Method],F1394,RawData[Location],G1394,RawData[Transaction Date],H1394)</f>
        <v>1</v>
      </c>
      <c r="L1394"/>
    </row>
    <row r="1395" spans="1:12" x14ac:dyDescent="0.3">
      <c r="A1395" t="s">
        <v>1401</v>
      </c>
      <c r="B1395" t="s">
        <v>10014</v>
      </c>
      <c r="C1395">
        <v>5</v>
      </c>
      <c r="D1395" t="s">
        <v>10015</v>
      </c>
      <c r="E1395">
        <v>20</v>
      </c>
      <c r="F1395" t="s">
        <v>10018</v>
      </c>
      <c r="G1395" t="s">
        <v>10021</v>
      </c>
      <c r="H1395" s="6">
        <v>44994</v>
      </c>
      <c r="I1395">
        <f t="shared" si="42"/>
        <v>1</v>
      </c>
      <c r="J1395" t="str">
        <f t="shared" si="43"/>
        <v>Complete</v>
      </c>
      <c r="K1395">
        <f>COUNTIFS(RawData[Item], B1395,RawData[Quantity],C1395,RawData[Price Per Unit],D1395,RawData[Total Spent],E1395,RawData[Payment Method],F1395,RawData[Location],G1395,RawData[Transaction Date],H1395)</f>
        <v>1</v>
      </c>
      <c r="L1395"/>
    </row>
    <row r="1396" spans="1:12" x14ac:dyDescent="0.3">
      <c r="A1396" t="s">
        <v>1402</v>
      </c>
      <c r="B1396" t="s">
        <v>10014</v>
      </c>
      <c r="C1396">
        <v>4</v>
      </c>
      <c r="D1396">
        <v>4</v>
      </c>
      <c r="E1396">
        <v>16</v>
      </c>
      <c r="F1396" t="s">
        <v>10020</v>
      </c>
      <c r="G1396" t="s">
        <v>10103</v>
      </c>
      <c r="H1396" s="6">
        <v>44941</v>
      </c>
      <c r="I1396">
        <f t="shared" si="42"/>
        <v>1</v>
      </c>
      <c r="J1396" t="str">
        <f t="shared" si="43"/>
        <v>Complete</v>
      </c>
      <c r="K1396">
        <f>COUNTIFS(RawData[Item], B1396,RawData[Quantity],C1396,RawData[Price Per Unit],D1396,RawData[Total Spent],E1396,RawData[Payment Method],F1396,RawData[Location],G1396,RawData[Transaction Date],H1396)</f>
        <v>1</v>
      </c>
      <c r="L1396"/>
    </row>
    <row r="1397" spans="1:12" x14ac:dyDescent="0.3">
      <c r="A1397" t="s">
        <v>1403</v>
      </c>
      <c r="B1397" t="s">
        <v>10016</v>
      </c>
      <c r="C1397">
        <v>1</v>
      </c>
      <c r="D1397">
        <v>3</v>
      </c>
      <c r="E1397">
        <v>3</v>
      </c>
      <c r="F1397" t="s">
        <v>10019</v>
      </c>
      <c r="G1397" t="s">
        <v>10102</v>
      </c>
      <c r="H1397" s="6">
        <v>45126</v>
      </c>
      <c r="I1397">
        <f t="shared" si="42"/>
        <v>0</v>
      </c>
      <c r="J1397" t="str">
        <f t="shared" si="43"/>
        <v>Complete</v>
      </c>
      <c r="K1397">
        <f>COUNTIFS(RawData[Item], B1397,RawData[Quantity],C1397,RawData[Price Per Unit],D1397,RawData[Total Spent],E1397,RawData[Payment Method],F1397,RawData[Location],G1397,RawData[Transaction Date],H1397)</f>
        <v>2</v>
      </c>
      <c r="L1397"/>
    </row>
    <row r="1398" spans="1:12" x14ac:dyDescent="0.3">
      <c r="A1398" t="s">
        <v>1404</v>
      </c>
      <c r="B1398" t="s">
        <v>10009</v>
      </c>
      <c r="C1398">
        <v>4</v>
      </c>
      <c r="D1398" t="s">
        <v>10015</v>
      </c>
      <c r="E1398">
        <v>12</v>
      </c>
      <c r="F1398" t="s">
        <v>10019</v>
      </c>
      <c r="G1398" t="s">
        <v>10102</v>
      </c>
      <c r="H1398" s="6">
        <v>45116</v>
      </c>
      <c r="I1398">
        <f t="shared" si="42"/>
        <v>1</v>
      </c>
      <c r="J1398" t="str">
        <f t="shared" si="43"/>
        <v>Complete</v>
      </c>
      <c r="K1398">
        <f>COUNTIFS(RawData[Item], B1398,RawData[Quantity],C1398,RawData[Price Per Unit],D1398,RawData[Total Spent],E1398,RawData[Payment Method],F1398,RawData[Location],G1398,RawData[Transaction Date],H1398)</f>
        <v>1</v>
      </c>
      <c r="L1398"/>
    </row>
    <row r="1399" spans="1:12" x14ac:dyDescent="0.3">
      <c r="A1399" t="s">
        <v>1405</v>
      </c>
      <c r="B1399" t="s">
        <v>10012</v>
      </c>
      <c r="C1399">
        <v>2</v>
      </c>
      <c r="D1399" t="s">
        <v>10013</v>
      </c>
      <c r="E1399">
        <v>8</v>
      </c>
      <c r="F1399" t="s">
        <v>10018</v>
      </c>
      <c r="G1399" t="s">
        <v>10069</v>
      </c>
      <c r="H1399" s="6">
        <v>44948</v>
      </c>
      <c r="I1399">
        <f t="shared" si="42"/>
        <v>1</v>
      </c>
      <c r="J1399" t="str">
        <f t="shared" si="43"/>
        <v>Complete</v>
      </c>
      <c r="K1399">
        <f>COUNTIFS(RawData[Item], B1399,RawData[Quantity],C1399,RawData[Price Per Unit],D1399,RawData[Total Spent],E1399,RawData[Payment Method],F1399,RawData[Location],G1399,RawData[Transaction Date],H1399)</f>
        <v>1</v>
      </c>
      <c r="L1399"/>
    </row>
    <row r="1400" spans="1:12" x14ac:dyDescent="0.3">
      <c r="A1400" t="s">
        <v>1406</v>
      </c>
      <c r="B1400" t="s">
        <v>10017</v>
      </c>
      <c r="C1400">
        <v>5</v>
      </c>
      <c r="D1400">
        <v>1.5</v>
      </c>
      <c r="E1400">
        <v>7.5</v>
      </c>
      <c r="F1400" t="s">
        <v>10020</v>
      </c>
      <c r="G1400" t="s">
        <v>10069</v>
      </c>
      <c r="H1400" s="6">
        <v>44946</v>
      </c>
      <c r="I1400">
        <f t="shared" si="42"/>
        <v>0</v>
      </c>
      <c r="J1400" t="str">
        <f t="shared" si="43"/>
        <v>Complete</v>
      </c>
      <c r="K1400">
        <f>COUNTIFS(RawData[Item], B1400,RawData[Quantity],C1400,RawData[Price Per Unit],D1400,RawData[Total Spent],E1400,RawData[Payment Method],F1400,RawData[Location],G1400,RawData[Transaction Date],H1400)</f>
        <v>1</v>
      </c>
      <c r="L1400"/>
    </row>
    <row r="1401" spans="1:12" x14ac:dyDescent="0.3">
      <c r="A1401" t="s">
        <v>1407</v>
      </c>
      <c r="B1401" t="s">
        <v>10017</v>
      </c>
      <c r="C1401">
        <v>2</v>
      </c>
      <c r="D1401">
        <v>1.5</v>
      </c>
      <c r="E1401">
        <v>3</v>
      </c>
      <c r="F1401" t="s">
        <v>10018</v>
      </c>
      <c r="G1401" t="s">
        <v>10021</v>
      </c>
      <c r="H1401" s="6">
        <v>45125</v>
      </c>
      <c r="I1401">
        <f t="shared" si="42"/>
        <v>0</v>
      </c>
      <c r="J1401" t="str">
        <f t="shared" si="43"/>
        <v>Complete</v>
      </c>
      <c r="K1401">
        <f>COUNTIFS(RawData[Item], B1401,RawData[Quantity],C1401,RawData[Price Per Unit],D1401,RawData[Total Spent],E1401,RawData[Payment Method],F1401,RawData[Location],G1401,RawData[Transaction Date],H1401)</f>
        <v>1</v>
      </c>
      <c r="L1401"/>
    </row>
    <row r="1402" spans="1:12" x14ac:dyDescent="0.3">
      <c r="A1402" t="s">
        <v>1408</v>
      </c>
      <c r="B1402" t="s">
        <v>10014</v>
      </c>
      <c r="C1402">
        <v>5</v>
      </c>
      <c r="D1402">
        <v>4</v>
      </c>
      <c r="E1402">
        <v>20</v>
      </c>
      <c r="F1402" t="s">
        <v>10018</v>
      </c>
      <c r="G1402" t="s">
        <v>10069</v>
      </c>
      <c r="H1402" s="6">
        <v>45017</v>
      </c>
      <c r="I1402">
        <f t="shared" si="42"/>
        <v>0</v>
      </c>
      <c r="J1402" t="str">
        <f t="shared" si="43"/>
        <v>Complete</v>
      </c>
      <c r="K1402">
        <f>COUNTIFS(RawData[Item], B1402,RawData[Quantity],C1402,RawData[Price Per Unit],D1402,RawData[Total Spent],E1402,RawData[Payment Method],F1402,RawData[Location],G1402,RawData[Transaction Date],H1402)</f>
        <v>1</v>
      </c>
      <c r="L1402"/>
    </row>
    <row r="1403" spans="1:12" x14ac:dyDescent="0.3">
      <c r="A1403" t="s">
        <v>1409</v>
      </c>
      <c r="B1403" t="s">
        <v>10069</v>
      </c>
      <c r="C1403">
        <v>1</v>
      </c>
      <c r="D1403">
        <v>5</v>
      </c>
      <c r="E1403">
        <v>5</v>
      </c>
      <c r="F1403" t="s">
        <v>10069</v>
      </c>
      <c r="G1403" t="s">
        <v>10069</v>
      </c>
      <c r="H1403" s="6">
        <v>45108</v>
      </c>
      <c r="I1403">
        <f t="shared" si="42"/>
        <v>0</v>
      </c>
      <c r="J1403" t="str">
        <f t="shared" si="43"/>
        <v>Complete</v>
      </c>
      <c r="K1403">
        <f>COUNTIFS(RawData[Item], B1403,RawData[Quantity],C1403,RawData[Price Per Unit],D1403,RawData[Total Spent],E1403,RawData[Payment Method],F1403,RawData[Location],G1403,RawData[Transaction Date],H1403)</f>
        <v>1</v>
      </c>
      <c r="L1403"/>
    </row>
    <row r="1404" spans="1:12" x14ac:dyDescent="0.3">
      <c r="A1404" t="s">
        <v>1410</v>
      </c>
      <c r="B1404" t="s">
        <v>10017</v>
      </c>
      <c r="C1404">
        <v>4</v>
      </c>
      <c r="D1404">
        <v>1.5</v>
      </c>
      <c r="E1404">
        <v>6</v>
      </c>
      <c r="F1404" t="s">
        <v>10020</v>
      </c>
      <c r="G1404" t="s">
        <v>10021</v>
      </c>
      <c r="H1404" s="6">
        <v>44953</v>
      </c>
      <c r="I1404">
        <f t="shared" si="42"/>
        <v>0</v>
      </c>
      <c r="J1404" t="str">
        <f t="shared" si="43"/>
        <v>Complete</v>
      </c>
      <c r="K1404">
        <f>COUNTIFS(RawData[Item], B1404,RawData[Quantity],C1404,RawData[Price Per Unit],D1404,RawData[Total Spent],E1404,RawData[Payment Method],F1404,RawData[Location],G1404,RawData[Transaction Date],H1404)</f>
        <v>1</v>
      </c>
      <c r="L1404"/>
    </row>
    <row r="1405" spans="1:12" x14ac:dyDescent="0.3">
      <c r="A1405" t="s">
        <v>1411</v>
      </c>
      <c r="B1405" t="s">
        <v>10010</v>
      </c>
      <c r="C1405">
        <v>3</v>
      </c>
      <c r="D1405">
        <v>1</v>
      </c>
      <c r="E1405">
        <v>3</v>
      </c>
      <c r="F1405" t="s">
        <v>10019</v>
      </c>
      <c r="G1405" t="s">
        <v>10069</v>
      </c>
      <c r="H1405" s="6">
        <v>44945</v>
      </c>
      <c r="I1405">
        <f t="shared" si="42"/>
        <v>0</v>
      </c>
      <c r="J1405" t="str">
        <f t="shared" si="43"/>
        <v>Complete</v>
      </c>
      <c r="K1405">
        <f>COUNTIFS(RawData[Item], B1405,RawData[Quantity],C1405,RawData[Price Per Unit],D1405,RawData[Total Spent],E1405,RawData[Payment Method],F1405,RawData[Location],G1405,RawData[Transaction Date],H1405)</f>
        <v>1</v>
      </c>
      <c r="L1405"/>
    </row>
    <row r="1406" spans="1:12" x14ac:dyDescent="0.3">
      <c r="A1406" t="s">
        <v>1412</v>
      </c>
      <c r="B1406" t="s">
        <v>10016</v>
      </c>
      <c r="C1406">
        <v>1</v>
      </c>
      <c r="D1406">
        <v>3</v>
      </c>
      <c r="E1406">
        <v>3</v>
      </c>
      <c r="F1406" t="s">
        <v>10069</v>
      </c>
      <c r="G1406" t="s">
        <v>10021</v>
      </c>
      <c r="H1406" s="6">
        <v>45194</v>
      </c>
      <c r="I1406">
        <f t="shared" si="42"/>
        <v>0</v>
      </c>
      <c r="J1406" t="str">
        <f t="shared" si="43"/>
        <v>Complete</v>
      </c>
      <c r="K1406">
        <f>COUNTIFS(RawData[Item], B1406,RawData[Quantity],C1406,RawData[Price Per Unit],D1406,RawData[Total Spent],E1406,RawData[Payment Method],F1406,RawData[Location],G1406,RawData[Transaction Date],H1406)</f>
        <v>1</v>
      </c>
      <c r="L1406"/>
    </row>
    <row r="1407" spans="1:12" x14ac:dyDescent="0.3">
      <c r="A1407" t="s">
        <v>1413</v>
      </c>
      <c r="B1407" t="s">
        <v>10011</v>
      </c>
      <c r="C1407">
        <v>1</v>
      </c>
      <c r="D1407">
        <v>5</v>
      </c>
      <c r="E1407">
        <v>5</v>
      </c>
      <c r="F1407" t="s">
        <v>10020</v>
      </c>
      <c r="G1407" t="s">
        <v>10069</v>
      </c>
      <c r="H1407" s="6">
        <v>45222</v>
      </c>
      <c r="I1407">
        <f t="shared" si="42"/>
        <v>0</v>
      </c>
      <c r="J1407" t="str">
        <f t="shared" si="43"/>
        <v>Complete</v>
      </c>
      <c r="K1407">
        <f>COUNTIFS(RawData[Item], B1407,RawData[Quantity],C1407,RawData[Price Per Unit],D1407,RawData[Total Spent],E1407,RawData[Payment Method],F1407,RawData[Location],G1407,RawData[Transaction Date],H1407)</f>
        <v>1</v>
      </c>
      <c r="L1407"/>
    </row>
    <row r="1408" spans="1:12" x14ac:dyDescent="0.3">
      <c r="A1408" t="s">
        <v>1414</v>
      </c>
      <c r="B1408" t="s">
        <v>10009</v>
      </c>
      <c r="C1408">
        <v>1</v>
      </c>
      <c r="D1408">
        <v>3</v>
      </c>
      <c r="E1408">
        <v>3</v>
      </c>
      <c r="F1408" t="s">
        <v>10018</v>
      </c>
      <c r="G1408" t="s">
        <v>10021</v>
      </c>
      <c r="H1408" s="6">
        <v>44989</v>
      </c>
      <c r="I1408">
        <f t="shared" si="42"/>
        <v>0</v>
      </c>
      <c r="J1408" t="str">
        <f t="shared" si="43"/>
        <v>Complete</v>
      </c>
      <c r="K1408">
        <f>COUNTIFS(RawData[Item], B1408,RawData[Quantity],C1408,RawData[Price Per Unit],D1408,RawData[Total Spent],E1408,RawData[Payment Method],F1408,RawData[Location],G1408,RawData[Transaction Date],H1408)</f>
        <v>1</v>
      </c>
      <c r="L1408"/>
    </row>
    <row r="1409" spans="1:12" x14ac:dyDescent="0.3">
      <c r="A1409" t="s">
        <v>1415</v>
      </c>
      <c r="B1409" t="s">
        <v>10014</v>
      </c>
      <c r="C1409">
        <v>2</v>
      </c>
      <c r="D1409">
        <v>4</v>
      </c>
      <c r="E1409">
        <v>8</v>
      </c>
      <c r="F1409" t="s">
        <v>10104</v>
      </c>
      <c r="G1409" t="s">
        <v>10021</v>
      </c>
      <c r="H1409" s="6">
        <v>45006</v>
      </c>
      <c r="I1409">
        <f t="shared" si="42"/>
        <v>1</v>
      </c>
      <c r="J1409" t="str">
        <f t="shared" si="43"/>
        <v>Complete</v>
      </c>
      <c r="K1409">
        <f>COUNTIFS(RawData[Item], B1409,RawData[Quantity],C1409,RawData[Price Per Unit],D1409,RawData[Total Spent],E1409,RawData[Payment Method],F1409,RawData[Location],G1409,RawData[Transaction Date],H1409)</f>
        <v>1</v>
      </c>
      <c r="L1409"/>
    </row>
    <row r="1410" spans="1:12" x14ac:dyDescent="0.3">
      <c r="A1410" t="s">
        <v>1416</v>
      </c>
      <c r="B1410" t="s">
        <v>10015</v>
      </c>
      <c r="C1410">
        <v>5</v>
      </c>
      <c r="D1410">
        <v>1.5</v>
      </c>
      <c r="E1410">
        <v>7.5</v>
      </c>
      <c r="F1410" t="s">
        <v>10018</v>
      </c>
      <c r="G1410" t="s">
        <v>10021</v>
      </c>
      <c r="H1410" s="6">
        <v>45095</v>
      </c>
      <c r="I1410">
        <f t="shared" ref="I1410:I1473" si="44">(B1410="Unknown")+(B1410="Error")+(C1410="Unknown")+(C1410="Error")+(D1410="Unknown")+(D1410="Error")+(E1410="Unknown")+(E1410="Error")+(F1410="Unknown")+(F1410="Error")+(G1410="Unknown")+(G1410="Error")+(H1410="No Date")</f>
        <v>1</v>
      </c>
      <c r="J1410" t="str">
        <f t="shared" ref="J1410:J1473" si="45">IF((H1410="No Date"),"Incomplete","Complete")</f>
        <v>Complete</v>
      </c>
      <c r="K1410">
        <f>COUNTIFS(RawData[Item], B1410,RawData[Quantity],C1410,RawData[Price Per Unit],D1410,RawData[Total Spent],E1410,RawData[Payment Method],F1410,RawData[Location],G1410,RawData[Transaction Date],H1410)</f>
        <v>1</v>
      </c>
      <c r="L1410"/>
    </row>
    <row r="1411" spans="1:12" x14ac:dyDescent="0.3">
      <c r="A1411" t="s">
        <v>1417</v>
      </c>
      <c r="B1411" t="s">
        <v>10010</v>
      </c>
      <c r="C1411">
        <v>4</v>
      </c>
      <c r="D1411">
        <v>1</v>
      </c>
      <c r="E1411">
        <v>4</v>
      </c>
      <c r="F1411" t="s">
        <v>10018</v>
      </c>
      <c r="G1411" t="s">
        <v>10021</v>
      </c>
      <c r="H1411" s="6">
        <v>44958</v>
      </c>
      <c r="I1411">
        <f t="shared" si="44"/>
        <v>0</v>
      </c>
      <c r="J1411" t="str">
        <f t="shared" si="45"/>
        <v>Complete</v>
      </c>
      <c r="K1411">
        <f>COUNTIFS(RawData[Item], B1411,RawData[Quantity],C1411,RawData[Price Per Unit],D1411,RawData[Total Spent],E1411,RawData[Payment Method],F1411,RawData[Location],G1411,RawData[Transaction Date],H1411)</f>
        <v>1</v>
      </c>
      <c r="L1411"/>
    </row>
    <row r="1412" spans="1:12" x14ac:dyDescent="0.3">
      <c r="A1412" t="s">
        <v>1418</v>
      </c>
      <c r="B1412" t="s">
        <v>10008</v>
      </c>
      <c r="C1412">
        <v>2</v>
      </c>
      <c r="D1412">
        <v>2</v>
      </c>
      <c r="E1412">
        <v>4</v>
      </c>
      <c r="F1412" t="s">
        <v>10069</v>
      </c>
      <c r="G1412" t="s">
        <v>10021</v>
      </c>
      <c r="H1412" s="6">
        <v>44981</v>
      </c>
      <c r="I1412">
        <f t="shared" si="44"/>
        <v>0</v>
      </c>
      <c r="J1412" t="str">
        <f t="shared" si="45"/>
        <v>Complete</v>
      </c>
      <c r="K1412">
        <f>COUNTIFS(RawData[Item], B1412,RawData[Quantity],C1412,RawData[Price Per Unit],D1412,RawData[Total Spent],E1412,RawData[Payment Method],F1412,RawData[Location],G1412,RawData[Transaction Date],H1412)</f>
        <v>1</v>
      </c>
      <c r="L1412"/>
    </row>
    <row r="1413" spans="1:12" x14ac:dyDescent="0.3">
      <c r="A1413" t="s">
        <v>1419</v>
      </c>
      <c r="B1413" t="s">
        <v>10012</v>
      </c>
      <c r="C1413">
        <v>4</v>
      </c>
      <c r="D1413">
        <v>4</v>
      </c>
      <c r="E1413">
        <v>16</v>
      </c>
      <c r="F1413" t="s">
        <v>10019</v>
      </c>
      <c r="G1413" t="s">
        <v>10021</v>
      </c>
      <c r="H1413" s="6">
        <v>45275</v>
      </c>
      <c r="I1413">
        <f t="shared" si="44"/>
        <v>0</v>
      </c>
      <c r="J1413" t="str">
        <f t="shared" si="45"/>
        <v>Complete</v>
      </c>
      <c r="K1413">
        <f>COUNTIFS(RawData[Item], B1413,RawData[Quantity],C1413,RawData[Price Per Unit],D1413,RawData[Total Spent],E1413,RawData[Payment Method],F1413,RawData[Location],G1413,RawData[Transaction Date],H1413)</f>
        <v>1</v>
      </c>
      <c r="L1413"/>
    </row>
    <row r="1414" spans="1:12" x14ac:dyDescent="0.3">
      <c r="A1414" t="s">
        <v>1420</v>
      </c>
      <c r="B1414" t="s">
        <v>10009</v>
      </c>
      <c r="C1414">
        <v>1</v>
      </c>
      <c r="D1414">
        <v>3</v>
      </c>
      <c r="E1414">
        <v>3</v>
      </c>
      <c r="F1414" t="s">
        <v>10018</v>
      </c>
      <c r="G1414" t="s">
        <v>10021</v>
      </c>
      <c r="H1414" s="6">
        <v>45208</v>
      </c>
      <c r="I1414">
        <f t="shared" si="44"/>
        <v>0</v>
      </c>
      <c r="J1414" t="str">
        <f t="shared" si="45"/>
        <v>Complete</v>
      </c>
      <c r="K1414">
        <f>COUNTIFS(RawData[Item], B1414,RawData[Quantity],C1414,RawData[Price Per Unit],D1414,RawData[Total Spent],E1414,RawData[Payment Method],F1414,RawData[Location],G1414,RawData[Transaction Date],H1414)</f>
        <v>1</v>
      </c>
      <c r="L1414"/>
    </row>
    <row r="1415" spans="1:12" x14ac:dyDescent="0.3">
      <c r="A1415" t="s">
        <v>1421</v>
      </c>
      <c r="B1415" t="s">
        <v>10017</v>
      </c>
      <c r="C1415">
        <v>5</v>
      </c>
      <c r="D1415">
        <v>1.5</v>
      </c>
      <c r="E1415">
        <v>7.5</v>
      </c>
      <c r="F1415" t="s">
        <v>10103</v>
      </c>
      <c r="G1415" t="s">
        <v>10069</v>
      </c>
      <c r="H1415" s="6">
        <v>45285</v>
      </c>
      <c r="I1415">
        <f t="shared" si="44"/>
        <v>1</v>
      </c>
      <c r="J1415" t="str">
        <f t="shared" si="45"/>
        <v>Complete</v>
      </c>
      <c r="K1415">
        <f>COUNTIFS(RawData[Item], B1415,RawData[Quantity],C1415,RawData[Price Per Unit],D1415,RawData[Total Spent],E1415,RawData[Payment Method],F1415,RawData[Location],G1415,RawData[Transaction Date],H1415)</f>
        <v>1</v>
      </c>
      <c r="L1415"/>
    </row>
    <row r="1416" spans="1:12" x14ac:dyDescent="0.3">
      <c r="A1416" t="s">
        <v>1422</v>
      </c>
      <c r="B1416" t="s">
        <v>10012</v>
      </c>
      <c r="C1416">
        <v>3</v>
      </c>
      <c r="D1416">
        <v>4</v>
      </c>
      <c r="E1416">
        <v>12</v>
      </c>
      <c r="F1416" t="s">
        <v>10019</v>
      </c>
      <c r="G1416" t="s">
        <v>10102</v>
      </c>
      <c r="H1416" s="6" t="s">
        <v>10112</v>
      </c>
      <c r="I1416">
        <f t="shared" si="44"/>
        <v>1</v>
      </c>
      <c r="J1416" t="str">
        <f t="shared" si="45"/>
        <v>Incomplete</v>
      </c>
      <c r="K1416">
        <f>COUNTIFS(RawData[Item], B1416,RawData[Quantity],C1416,RawData[Price Per Unit],D1416,RawData[Total Spent],E1416,RawData[Payment Method],F1416,RawData[Location],G1416,RawData[Transaction Date],H1416)</f>
        <v>3</v>
      </c>
      <c r="L1416"/>
    </row>
    <row r="1417" spans="1:12" x14ac:dyDescent="0.3">
      <c r="A1417" t="s">
        <v>1423</v>
      </c>
      <c r="B1417" t="s">
        <v>10017</v>
      </c>
      <c r="C1417">
        <v>5</v>
      </c>
      <c r="D1417">
        <v>1.5</v>
      </c>
      <c r="E1417">
        <v>7.5</v>
      </c>
      <c r="F1417" t="s">
        <v>10020</v>
      </c>
      <c r="G1417" t="s">
        <v>10021</v>
      </c>
      <c r="H1417" s="6">
        <v>45029</v>
      </c>
      <c r="I1417">
        <f t="shared" si="44"/>
        <v>0</v>
      </c>
      <c r="J1417" t="str">
        <f t="shared" si="45"/>
        <v>Complete</v>
      </c>
      <c r="K1417">
        <f>COUNTIFS(RawData[Item], B1417,RawData[Quantity],C1417,RawData[Price Per Unit],D1417,RawData[Total Spent],E1417,RawData[Payment Method],F1417,RawData[Location],G1417,RawData[Transaction Date],H1417)</f>
        <v>1</v>
      </c>
      <c r="L1417"/>
    </row>
    <row r="1418" spans="1:12" x14ac:dyDescent="0.3">
      <c r="A1418" t="s">
        <v>1424</v>
      </c>
      <c r="B1418" t="s">
        <v>10011</v>
      </c>
      <c r="C1418">
        <v>2</v>
      </c>
      <c r="D1418">
        <v>5</v>
      </c>
      <c r="E1418">
        <v>10</v>
      </c>
      <c r="F1418" t="s">
        <v>10020</v>
      </c>
      <c r="G1418" t="s">
        <v>10069</v>
      </c>
      <c r="H1418" s="6">
        <v>44984</v>
      </c>
      <c r="I1418">
        <f t="shared" si="44"/>
        <v>0</v>
      </c>
      <c r="J1418" t="str">
        <f t="shared" si="45"/>
        <v>Complete</v>
      </c>
      <c r="K1418">
        <f>COUNTIFS(RawData[Item], B1418,RawData[Quantity],C1418,RawData[Price Per Unit],D1418,RawData[Total Spent],E1418,RawData[Payment Method],F1418,RawData[Location],G1418,RawData[Transaction Date],H1418)</f>
        <v>1</v>
      </c>
      <c r="L1418"/>
    </row>
    <row r="1419" spans="1:12" x14ac:dyDescent="0.3">
      <c r="A1419" t="s">
        <v>1425</v>
      </c>
      <c r="B1419" t="s">
        <v>10011</v>
      </c>
      <c r="C1419">
        <v>2</v>
      </c>
      <c r="D1419">
        <v>5</v>
      </c>
      <c r="E1419">
        <v>10</v>
      </c>
      <c r="F1419" t="s">
        <v>10018</v>
      </c>
      <c r="G1419" t="s">
        <v>10021</v>
      </c>
      <c r="H1419" s="6">
        <v>45278</v>
      </c>
      <c r="I1419">
        <f t="shared" si="44"/>
        <v>0</v>
      </c>
      <c r="J1419" t="str">
        <f t="shared" si="45"/>
        <v>Complete</v>
      </c>
      <c r="K1419">
        <f>COUNTIFS(RawData[Item], B1419,RawData[Quantity],C1419,RawData[Price Per Unit],D1419,RawData[Total Spent],E1419,RawData[Payment Method],F1419,RawData[Location],G1419,RawData[Transaction Date],H1419)</f>
        <v>1</v>
      </c>
      <c r="L1419"/>
    </row>
    <row r="1420" spans="1:12" x14ac:dyDescent="0.3">
      <c r="A1420" t="s">
        <v>1426</v>
      </c>
      <c r="B1420" t="s">
        <v>10009</v>
      </c>
      <c r="C1420">
        <v>3</v>
      </c>
      <c r="D1420">
        <v>3</v>
      </c>
      <c r="E1420">
        <v>9</v>
      </c>
      <c r="F1420" t="s">
        <v>10069</v>
      </c>
      <c r="G1420" t="s">
        <v>10069</v>
      </c>
      <c r="H1420" s="6">
        <v>45120</v>
      </c>
      <c r="I1420">
        <f t="shared" si="44"/>
        <v>0</v>
      </c>
      <c r="J1420" t="str">
        <f t="shared" si="45"/>
        <v>Complete</v>
      </c>
      <c r="K1420">
        <f>COUNTIFS(RawData[Item], B1420,RawData[Quantity],C1420,RawData[Price Per Unit],D1420,RawData[Total Spent],E1420,RawData[Payment Method],F1420,RawData[Location],G1420,RawData[Transaction Date],H1420)</f>
        <v>1</v>
      </c>
      <c r="L1420"/>
    </row>
    <row r="1421" spans="1:12" x14ac:dyDescent="0.3">
      <c r="A1421" t="s">
        <v>1427</v>
      </c>
      <c r="B1421" t="s">
        <v>10009</v>
      </c>
      <c r="C1421">
        <v>2</v>
      </c>
      <c r="D1421">
        <v>3</v>
      </c>
      <c r="E1421">
        <v>6</v>
      </c>
      <c r="F1421" t="s">
        <v>10018</v>
      </c>
      <c r="G1421" t="s">
        <v>10102</v>
      </c>
      <c r="H1421" s="6">
        <v>45144</v>
      </c>
      <c r="I1421">
        <f t="shared" si="44"/>
        <v>0</v>
      </c>
      <c r="J1421" t="str">
        <f t="shared" si="45"/>
        <v>Complete</v>
      </c>
      <c r="K1421">
        <f>COUNTIFS(RawData[Item], B1421,RawData[Quantity],C1421,RawData[Price Per Unit],D1421,RawData[Total Spent],E1421,RawData[Payment Method],F1421,RawData[Location],G1421,RawData[Transaction Date],H1421)</f>
        <v>1</v>
      </c>
      <c r="L1421"/>
    </row>
    <row r="1422" spans="1:12" x14ac:dyDescent="0.3">
      <c r="A1422" t="s">
        <v>1428</v>
      </c>
      <c r="B1422" t="s">
        <v>10015</v>
      </c>
      <c r="C1422">
        <v>4</v>
      </c>
      <c r="D1422">
        <v>3</v>
      </c>
      <c r="E1422">
        <v>12</v>
      </c>
      <c r="F1422" t="s">
        <v>10020</v>
      </c>
      <c r="G1422" t="s">
        <v>10021</v>
      </c>
      <c r="H1422" s="6">
        <v>45192</v>
      </c>
      <c r="I1422">
        <f t="shared" si="44"/>
        <v>1</v>
      </c>
      <c r="J1422" t="str">
        <f t="shared" si="45"/>
        <v>Complete</v>
      </c>
      <c r="K1422">
        <f>COUNTIFS(RawData[Item], B1422,RawData[Quantity],C1422,RawData[Price Per Unit],D1422,RawData[Total Spent],E1422,RawData[Payment Method],F1422,RawData[Location],G1422,RawData[Transaction Date],H1422)</f>
        <v>1</v>
      </c>
      <c r="L1422"/>
    </row>
    <row r="1423" spans="1:12" x14ac:dyDescent="0.3">
      <c r="A1423" t="s">
        <v>1429</v>
      </c>
      <c r="B1423" t="s">
        <v>10014</v>
      </c>
      <c r="C1423">
        <v>5</v>
      </c>
      <c r="D1423">
        <v>4</v>
      </c>
      <c r="E1423">
        <v>20</v>
      </c>
      <c r="F1423" t="s">
        <v>10069</v>
      </c>
      <c r="G1423" t="s">
        <v>10069</v>
      </c>
      <c r="H1423" s="6">
        <v>44989</v>
      </c>
      <c r="I1423">
        <f t="shared" si="44"/>
        <v>0</v>
      </c>
      <c r="J1423" t="str">
        <f t="shared" si="45"/>
        <v>Complete</v>
      </c>
      <c r="K1423">
        <f>COUNTIFS(RawData[Item], B1423,RawData[Quantity],C1423,RawData[Price Per Unit],D1423,RawData[Total Spent],E1423,RawData[Payment Method],F1423,RawData[Location],G1423,RawData[Transaction Date],H1423)</f>
        <v>1</v>
      </c>
      <c r="L1423"/>
    </row>
    <row r="1424" spans="1:12" x14ac:dyDescent="0.3">
      <c r="A1424" t="s">
        <v>1430</v>
      </c>
      <c r="B1424" t="s">
        <v>10010</v>
      </c>
      <c r="C1424">
        <v>4</v>
      </c>
      <c r="D1424">
        <v>1</v>
      </c>
      <c r="E1424">
        <v>4</v>
      </c>
      <c r="F1424" t="s">
        <v>10069</v>
      </c>
      <c r="G1424" t="s">
        <v>10104</v>
      </c>
      <c r="H1424" s="6">
        <v>45248</v>
      </c>
      <c r="I1424">
        <f t="shared" si="44"/>
        <v>1</v>
      </c>
      <c r="J1424" t="str">
        <f t="shared" si="45"/>
        <v>Complete</v>
      </c>
      <c r="K1424">
        <f>COUNTIFS(RawData[Item], B1424,RawData[Quantity],C1424,RawData[Price Per Unit],D1424,RawData[Total Spent],E1424,RawData[Payment Method],F1424,RawData[Location],G1424,RawData[Transaction Date],H1424)</f>
        <v>1</v>
      </c>
      <c r="L1424"/>
    </row>
    <row r="1425" spans="1:12" x14ac:dyDescent="0.3">
      <c r="A1425" t="s">
        <v>1431</v>
      </c>
      <c r="B1425" t="s">
        <v>10016</v>
      </c>
      <c r="C1425">
        <v>5</v>
      </c>
      <c r="D1425">
        <v>3</v>
      </c>
      <c r="E1425">
        <v>15</v>
      </c>
      <c r="F1425" t="s">
        <v>10018</v>
      </c>
      <c r="G1425" t="s">
        <v>10104</v>
      </c>
      <c r="H1425" s="6">
        <v>45152</v>
      </c>
      <c r="I1425">
        <f t="shared" si="44"/>
        <v>1</v>
      </c>
      <c r="J1425" t="str">
        <f t="shared" si="45"/>
        <v>Complete</v>
      </c>
      <c r="K1425">
        <f>COUNTIFS(RawData[Item], B1425,RawData[Quantity],C1425,RawData[Price Per Unit],D1425,RawData[Total Spent],E1425,RawData[Payment Method],F1425,RawData[Location],G1425,RawData[Transaction Date],H1425)</f>
        <v>1</v>
      </c>
      <c r="L1425"/>
    </row>
    <row r="1426" spans="1:12" x14ac:dyDescent="0.3">
      <c r="A1426" t="s">
        <v>1432</v>
      </c>
      <c r="B1426" t="s">
        <v>10010</v>
      </c>
      <c r="C1426">
        <v>4</v>
      </c>
      <c r="D1426">
        <v>1</v>
      </c>
      <c r="E1426">
        <v>4</v>
      </c>
      <c r="F1426" t="s">
        <v>10069</v>
      </c>
      <c r="G1426" t="s">
        <v>10102</v>
      </c>
      <c r="H1426" s="6">
        <v>45136</v>
      </c>
      <c r="I1426">
        <f t="shared" si="44"/>
        <v>0</v>
      </c>
      <c r="J1426" t="str">
        <f t="shared" si="45"/>
        <v>Complete</v>
      </c>
      <c r="K1426">
        <f>COUNTIFS(RawData[Item], B1426,RawData[Quantity],C1426,RawData[Price Per Unit],D1426,RawData[Total Spent],E1426,RawData[Payment Method],F1426,RawData[Location],G1426,RawData[Transaction Date],H1426)</f>
        <v>1</v>
      </c>
      <c r="L1426"/>
    </row>
    <row r="1427" spans="1:12" x14ac:dyDescent="0.3">
      <c r="A1427" t="s">
        <v>1433</v>
      </c>
      <c r="B1427" t="s">
        <v>10014</v>
      </c>
      <c r="C1427">
        <v>5</v>
      </c>
      <c r="D1427">
        <v>0</v>
      </c>
      <c r="E1427">
        <v>20</v>
      </c>
      <c r="F1427" t="s">
        <v>10020</v>
      </c>
      <c r="G1427" t="s">
        <v>10102</v>
      </c>
      <c r="H1427" s="6">
        <v>44927</v>
      </c>
      <c r="I1427">
        <f t="shared" si="44"/>
        <v>0</v>
      </c>
      <c r="J1427" t="str">
        <f t="shared" si="45"/>
        <v>Complete</v>
      </c>
      <c r="K1427">
        <f>COUNTIFS(RawData[Item], B1427,RawData[Quantity],C1427,RawData[Price Per Unit],D1427,RawData[Total Spent],E1427,RawData[Payment Method],F1427,RawData[Location],G1427,RawData[Transaction Date],H1427)</f>
        <v>1</v>
      </c>
      <c r="L1427"/>
    </row>
    <row r="1428" spans="1:12" x14ac:dyDescent="0.3">
      <c r="A1428" t="s">
        <v>1434</v>
      </c>
      <c r="B1428" t="s">
        <v>10014</v>
      </c>
      <c r="C1428">
        <v>3</v>
      </c>
      <c r="D1428">
        <v>4</v>
      </c>
      <c r="E1428">
        <v>12</v>
      </c>
      <c r="F1428" t="s">
        <v>10103</v>
      </c>
      <c r="G1428" t="s">
        <v>10102</v>
      </c>
      <c r="H1428" s="6">
        <v>45277</v>
      </c>
      <c r="I1428">
        <f t="shared" si="44"/>
        <v>1</v>
      </c>
      <c r="J1428" t="str">
        <f t="shared" si="45"/>
        <v>Complete</v>
      </c>
      <c r="K1428">
        <f>COUNTIFS(RawData[Item], B1428,RawData[Quantity],C1428,RawData[Price Per Unit],D1428,RawData[Total Spent],E1428,RawData[Payment Method],F1428,RawData[Location],G1428,RawData[Transaction Date],H1428)</f>
        <v>1</v>
      </c>
      <c r="L1428"/>
    </row>
    <row r="1429" spans="1:12" x14ac:dyDescent="0.3">
      <c r="A1429" t="s">
        <v>1435</v>
      </c>
      <c r="B1429" t="s">
        <v>10014</v>
      </c>
      <c r="C1429">
        <v>5</v>
      </c>
      <c r="D1429">
        <v>4</v>
      </c>
      <c r="E1429">
        <v>20</v>
      </c>
      <c r="F1429" t="s">
        <v>10069</v>
      </c>
      <c r="G1429" t="s">
        <v>10069</v>
      </c>
      <c r="H1429" s="6">
        <v>45258</v>
      </c>
      <c r="I1429">
        <f t="shared" si="44"/>
        <v>0</v>
      </c>
      <c r="J1429" t="str">
        <f t="shared" si="45"/>
        <v>Complete</v>
      </c>
      <c r="K1429">
        <f>COUNTIFS(RawData[Item], B1429,RawData[Quantity],C1429,RawData[Price Per Unit],D1429,RawData[Total Spent],E1429,RawData[Payment Method],F1429,RawData[Location],G1429,RawData[Transaction Date],H1429)</f>
        <v>1</v>
      </c>
      <c r="L1429"/>
    </row>
    <row r="1430" spans="1:12" x14ac:dyDescent="0.3">
      <c r="A1430" t="s">
        <v>1436</v>
      </c>
      <c r="B1430" t="s">
        <v>10016</v>
      </c>
      <c r="C1430">
        <v>3</v>
      </c>
      <c r="D1430">
        <v>3</v>
      </c>
      <c r="E1430">
        <v>9</v>
      </c>
      <c r="F1430" t="s">
        <v>10020</v>
      </c>
      <c r="G1430" t="s">
        <v>10021</v>
      </c>
      <c r="H1430" s="6">
        <v>45021</v>
      </c>
      <c r="I1430">
        <f t="shared" si="44"/>
        <v>0</v>
      </c>
      <c r="J1430" t="str">
        <f t="shared" si="45"/>
        <v>Complete</v>
      </c>
      <c r="K1430">
        <f>COUNTIFS(RawData[Item], B1430,RawData[Quantity],C1430,RawData[Price Per Unit],D1430,RawData[Total Spent],E1430,RawData[Payment Method],F1430,RawData[Location],G1430,RawData[Transaction Date],H1430)</f>
        <v>1</v>
      </c>
      <c r="L1430"/>
    </row>
    <row r="1431" spans="1:12" x14ac:dyDescent="0.3">
      <c r="A1431" t="s">
        <v>1437</v>
      </c>
      <c r="B1431" t="s">
        <v>10008</v>
      </c>
      <c r="C1431">
        <v>0</v>
      </c>
      <c r="D1431">
        <v>2</v>
      </c>
      <c r="E1431">
        <v>6</v>
      </c>
      <c r="F1431" t="s">
        <v>10069</v>
      </c>
      <c r="G1431" t="s">
        <v>10021</v>
      </c>
      <c r="H1431" s="6">
        <v>45279</v>
      </c>
      <c r="I1431">
        <f t="shared" si="44"/>
        <v>0</v>
      </c>
      <c r="J1431" t="str">
        <f t="shared" si="45"/>
        <v>Complete</v>
      </c>
      <c r="K1431">
        <f>COUNTIFS(RawData[Item], B1431,RawData[Quantity],C1431,RawData[Price Per Unit],D1431,RawData[Total Spent],E1431,RawData[Payment Method],F1431,RawData[Location],G1431,RawData[Transaction Date],H1431)</f>
        <v>1</v>
      </c>
      <c r="L1431"/>
    </row>
    <row r="1432" spans="1:12" x14ac:dyDescent="0.3">
      <c r="A1432" t="s">
        <v>1438</v>
      </c>
      <c r="B1432" t="s">
        <v>10015</v>
      </c>
      <c r="C1432">
        <v>5</v>
      </c>
      <c r="D1432">
        <v>3</v>
      </c>
      <c r="E1432">
        <v>15</v>
      </c>
      <c r="F1432" t="s">
        <v>10069</v>
      </c>
      <c r="G1432" t="s">
        <v>10069</v>
      </c>
      <c r="H1432" s="6">
        <v>45273</v>
      </c>
      <c r="I1432">
        <f t="shared" si="44"/>
        <v>1</v>
      </c>
      <c r="J1432" t="str">
        <f t="shared" si="45"/>
        <v>Complete</v>
      </c>
      <c r="K1432">
        <f>COUNTIFS(RawData[Item], B1432,RawData[Quantity],C1432,RawData[Price Per Unit],D1432,RawData[Total Spent],E1432,RawData[Payment Method],F1432,RawData[Location],G1432,RawData[Transaction Date],H1432)</f>
        <v>1</v>
      </c>
      <c r="L1432"/>
    </row>
    <row r="1433" spans="1:12" x14ac:dyDescent="0.3">
      <c r="A1433" t="s">
        <v>1439</v>
      </c>
      <c r="B1433" t="s">
        <v>10011</v>
      </c>
      <c r="C1433">
        <v>5</v>
      </c>
      <c r="D1433">
        <v>5</v>
      </c>
      <c r="E1433">
        <v>25</v>
      </c>
      <c r="F1433" t="s">
        <v>10019</v>
      </c>
      <c r="G1433" t="s">
        <v>10069</v>
      </c>
      <c r="H1433" s="6">
        <v>45244</v>
      </c>
      <c r="I1433">
        <f t="shared" si="44"/>
        <v>0</v>
      </c>
      <c r="J1433" t="str">
        <f t="shared" si="45"/>
        <v>Complete</v>
      </c>
      <c r="K1433">
        <f>COUNTIFS(RawData[Item], B1433,RawData[Quantity],C1433,RawData[Price Per Unit],D1433,RawData[Total Spent],E1433,RawData[Payment Method],F1433,RawData[Location],G1433,RawData[Transaction Date],H1433)</f>
        <v>1</v>
      </c>
      <c r="L1433"/>
    </row>
    <row r="1434" spans="1:12" x14ac:dyDescent="0.3">
      <c r="A1434" t="s">
        <v>1440</v>
      </c>
      <c r="B1434" t="s">
        <v>10013</v>
      </c>
      <c r="C1434">
        <v>4</v>
      </c>
      <c r="D1434">
        <v>1</v>
      </c>
      <c r="E1434">
        <v>4</v>
      </c>
      <c r="F1434" t="s">
        <v>10018</v>
      </c>
      <c r="G1434" t="s">
        <v>10069</v>
      </c>
      <c r="H1434" s="6">
        <v>45275</v>
      </c>
      <c r="I1434">
        <f t="shared" si="44"/>
        <v>1</v>
      </c>
      <c r="J1434" t="str">
        <f t="shared" si="45"/>
        <v>Complete</v>
      </c>
      <c r="K1434">
        <f>COUNTIFS(RawData[Item], B1434,RawData[Quantity],C1434,RawData[Price Per Unit],D1434,RawData[Total Spent],E1434,RawData[Payment Method],F1434,RawData[Location],G1434,RawData[Transaction Date],H1434)</f>
        <v>1</v>
      </c>
      <c r="L1434"/>
    </row>
    <row r="1435" spans="1:12" x14ac:dyDescent="0.3">
      <c r="A1435" t="s">
        <v>1441</v>
      </c>
      <c r="B1435" t="s">
        <v>10009</v>
      </c>
      <c r="C1435">
        <v>5</v>
      </c>
      <c r="D1435">
        <v>3</v>
      </c>
      <c r="E1435" t="s">
        <v>10013</v>
      </c>
      <c r="F1435" t="s">
        <v>10020</v>
      </c>
      <c r="G1435" t="s">
        <v>10104</v>
      </c>
      <c r="H1435" s="6">
        <v>45026</v>
      </c>
      <c r="I1435">
        <f t="shared" si="44"/>
        <v>2</v>
      </c>
      <c r="J1435" t="str">
        <f t="shared" si="45"/>
        <v>Complete</v>
      </c>
      <c r="K1435">
        <f>COUNTIFS(RawData[Item], B1435,RawData[Quantity],C1435,RawData[Price Per Unit],D1435,RawData[Total Spent],E1435,RawData[Payment Method],F1435,RawData[Location],G1435,RawData[Transaction Date],H1435)</f>
        <v>1</v>
      </c>
      <c r="L1435"/>
    </row>
    <row r="1436" spans="1:12" x14ac:dyDescent="0.3">
      <c r="A1436" t="s">
        <v>1442</v>
      </c>
      <c r="B1436" t="s">
        <v>10069</v>
      </c>
      <c r="C1436">
        <v>4</v>
      </c>
      <c r="D1436">
        <v>1</v>
      </c>
      <c r="E1436">
        <v>4</v>
      </c>
      <c r="F1436" t="s">
        <v>10018</v>
      </c>
      <c r="G1436" t="s">
        <v>10021</v>
      </c>
      <c r="H1436" s="6">
        <v>44961</v>
      </c>
      <c r="I1436">
        <f t="shared" si="44"/>
        <v>0</v>
      </c>
      <c r="J1436" t="str">
        <f t="shared" si="45"/>
        <v>Complete</v>
      </c>
      <c r="K1436">
        <f>COUNTIFS(RawData[Item], B1436,RawData[Quantity],C1436,RawData[Price Per Unit],D1436,RawData[Total Spent],E1436,RawData[Payment Method],F1436,RawData[Location],G1436,RawData[Transaction Date],H1436)</f>
        <v>1</v>
      </c>
      <c r="L1436"/>
    </row>
    <row r="1437" spans="1:12" x14ac:dyDescent="0.3">
      <c r="A1437" t="s">
        <v>1443</v>
      </c>
      <c r="B1437" t="s">
        <v>10010</v>
      </c>
      <c r="C1437">
        <v>5</v>
      </c>
      <c r="D1437">
        <v>1</v>
      </c>
      <c r="E1437">
        <v>5</v>
      </c>
      <c r="F1437" t="s">
        <v>10104</v>
      </c>
      <c r="G1437" t="s">
        <v>10069</v>
      </c>
      <c r="H1437" s="6">
        <v>45039</v>
      </c>
      <c r="I1437">
        <f t="shared" si="44"/>
        <v>1</v>
      </c>
      <c r="J1437" t="str">
        <f t="shared" si="45"/>
        <v>Complete</v>
      </c>
      <c r="K1437">
        <f>COUNTIFS(RawData[Item], B1437,RawData[Quantity],C1437,RawData[Price Per Unit],D1437,RawData[Total Spent],E1437,RawData[Payment Method],F1437,RawData[Location],G1437,RawData[Transaction Date],H1437)</f>
        <v>1</v>
      </c>
      <c r="L1437"/>
    </row>
    <row r="1438" spans="1:12" x14ac:dyDescent="0.3">
      <c r="A1438" t="s">
        <v>1444</v>
      </c>
      <c r="B1438" t="s">
        <v>10017</v>
      </c>
      <c r="C1438" t="s">
        <v>10013</v>
      </c>
      <c r="D1438" t="s">
        <v>10013</v>
      </c>
      <c r="E1438">
        <v>6</v>
      </c>
      <c r="F1438" t="s">
        <v>10019</v>
      </c>
      <c r="G1438" t="s">
        <v>10021</v>
      </c>
      <c r="H1438" s="6" t="s">
        <v>10112</v>
      </c>
      <c r="I1438">
        <f t="shared" si="44"/>
        <v>3</v>
      </c>
      <c r="J1438" t="str">
        <f t="shared" si="45"/>
        <v>Incomplete</v>
      </c>
      <c r="K1438">
        <f>COUNTIFS(RawData[Item], B1438,RawData[Quantity],C1438,RawData[Price Per Unit],D1438,RawData[Total Spent],E1438,RawData[Payment Method],F1438,RawData[Location],G1438,RawData[Transaction Date],H1438)</f>
        <v>1</v>
      </c>
      <c r="L1438"/>
    </row>
    <row r="1439" spans="1:12" x14ac:dyDescent="0.3">
      <c r="A1439" t="s">
        <v>1445</v>
      </c>
      <c r="B1439" t="s">
        <v>10016</v>
      </c>
      <c r="C1439">
        <v>1</v>
      </c>
      <c r="D1439">
        <v>3</v>
      </c>
      <c r="E1439">
        <v>3</v>
      </c>
      <c r="F1439" t="s">
        <v>10020</v>
      </c>
      <c r="G1439" t="s">
        <v>10021</v>
      </c>
      <c r="H1439" s="6">
        <v>45107</v>
      </c>
      <c r="I1439">
        <f t="shared" si="44"/>
        <v>0</v>
      </c>
      <c r="J1439" t="str">
        <f t="shared" si="45"/>
        <v>Complete</v>
      </c>
      <c r="K1439">
        <f>COUNTIFS(RawData[Item], B1439,RawData[Quantity],C1439,RawData[Price Per Unit],D1439,RawData[Total Spent],E1439,RawData[Payment Method],F1439,RawData[Location],G1439,RawData[Transaction Date],H1439)</f>
        <v>1</v>
      </c>
      <c r="L1439"/>
    </row>
    <row r="1440" spans="1:12" x14ac:dyDescent="0.3">
      <c r="A1440" t="s">
        <v>1446</v>
      </c>
      <c r="B1440" t="s">
        <v>10017</v>
      </c>
      <c r="C1440">
        <v>4</v>
      </c>
      <c r="D1440">
        <v>1.5</v>
      </c>
      <c r="E1440">
        <v>6</v>
      </c>
      <c r="F1440" t="s">
        <v>10020</v>
      </c>
      <c r="G1440" t="s">
        <v>10104</v>
      </c>
      <c r="H1440" s="6">
        <v>45205</v>
      </c>
      <c r="I1440">
        <f t="shared" si="44"/>
        <v>1</v>
      </c>
      <c r="J1440" t="str">
        <f t="shared" si="45"/>
        <v>Complete</v>
      </c>
      <c r="K1440">
        <f>COUNTIFS(RawData[Item], B1440,RawData[Quantity],C1440,RawData[Price Per Unit],D1440,RawData[Total Spent],E1440,RawData[Payment Method],F1440,RawData[Location],G1440,RawData[Transaction Date],H1440)</f>
        <v>1</v>
      </c>
      <c r="L1440"/>
    </row>
    <row r="1441" spans="1:12" x14ac:dyDescent="0.3">
      <c r="A1441" t="s">
        <v>1447</v>
      </c>
      <c r="B1441" t="s">
        <v>10008</v>
      </c>
      <c r="C1441">
        <v>4</v>
      </c>
      <c r="D1441">
        <v>2</v>
      </c>
      <c r="E1441">
        <v>8</v>
      </c>
      <c r="F1441" t="s">
        <v>10069</v>
      </c>
      <c r="G1441" t="s">
        <v>10102</v>
      </c>
      <c r="H1441" s="6">
        <v>45180</v>
      </c>
      <c r="I1441">
        <f t="shared" si="44"/>
        <v>0</v>
      </c>
      <c r="J1441" t="str">
        <f t="shared" si="45"/>
        <v>Complete</v>
      </c>
      <c r="K1441">
        <f>COUNTIFS(RawData[Item], B1441,RawData[Quantity],C1441,RawData[Price Per Unit],D1441,RawData[Total Spent],E1441,RawData[Payment Method],F1441,RawData[Location],G1441,RawData[Transaction Date],H1441)</f>
        <v>1</v>
      </c>
      <c r="L1441"/>
    </row>
    <row r="1442" spans="1:12" x14ac:dyDescent="0.3">
      <c r="A1442" t="s">
        <v>1448</v>
      </c>
      <c r="B1442" t="s">
        <v>10008</v>
      </c>
      <c r="C1442">
        <v>4</v>
      </c>
      <c r="D1442">
        <v>2</v>
      </c>
      <c r="E1442">
        <v>0</v>
      </c>
      <c r="F1442" t="s">
        <v>10103</v>
      </c>
      <c r="G1442" t="s">
        <v>10021</v>
      </c>
      <c r="H1442" s="6">
        <v>45283</v>
      </c>
      <c r="I1442">
        <f t="shared" si="44"/>
        <v>1</v>
      </c>
      <c r="J1442" t="str">
        <f t="shared" si="45"/>
        <v>Complete</v>
      </c>
      <c r="K1442">
        <f>COUNTIFS(RawData[Item], B1442,RawData[Quantity],C1442,RawData[Price Per Unit],D1442,RawData[Total Spent],E1442,RawData[Payment Method],F1442,RawData[Location],G1442,RawData[Transaction Date],H1442)</f>
        <v>1</v>
      </c>
      <c r="L1442"/>
    </row>
    <row r="1443" spans="1:12" x14ac:dyDescent="0.3">
      <c r="A1443" t="s">
        <v>1449</v>
      </c>
      <c r="B1443" t="s">
        <v>10016</v>
      </c>
      <c r="C1443">
        <v>5</v>
      </c>
      <c r="D1443">
        <v>3</v>
      </c>
      <c r="E1443">
        <v>15</v>
      </c>
      <c r="F1443" t="s">
        <v>10020</v>
      </c>
      <c r="G1443" t="s">
        <v>10104</v>
      </c>
      <c r="H1443" s="6">
        <v>44956</v>
      </c>
      <c r="I1443">
        <f t="shared" si="44"/>
        <v>1</v>
      </c>
      <c r="J1443" t="str">
        <f t="shared" si="45"/>
        <v>Complete</v>
      </c>
      <c r="K1443">
        <f>COUNTIFS(RawData[Item], B1443,RawData[Quantity],C1443,RawData[Price Per Unit],D1443,RawData[Total Spent],E1443,RawData[Payment Method],F1443,RawData[Location],G1443,RawData[Transaction Date],H1443)</f>
        <v>1</v>
      </c>
      <c r="L1443"/>
    </row>
    <row r="1444" spans="1:12" x14ac:dyDescent="0.3">
      <c r="A1444" t="s">
        <v>1450</v>
      </c>
      <c r="B1444" t="s">
        <v>10012</v>
      </c>
      <c r="C1444">
        <v>2</v>
      </c>
      <c r="D1444">
        <v>4</v>
      </c>
      <c r="E1444">
        <v>8</v>
      </c>
      <c r="F1444" t="s">
        <v>10020</v>
      </c>
      <c r="G1444" t="s">
        <v>10104</v>
      </c>
      <c r="H1444" s="6">
        <v>45104</v>
      </c>
      <c r="I1444">
        <f t="shared" si="44"/>
        <v>1</v>
      </c>
      <c r="J1444" t="str">
        <f t="shared" si="45"/>
        <v>Complete</v>
      </c>
      <c r="K1444">
        <f>COUNTIFS(RawData[Item], B1444,RawData[Quantity],C1444,RawData[Price Per Unit],D1444,RawData[Total Spent],E1444,RawData[Payment Method],F1444,RawData[Location],G1444,RawData[Transaction Date],H1444)</f>
        <v>1</v>
      </c>
      <c r="L1444"/>
    </row>
    <row r="1445" spans="1:12" x14ac:dyDescent="0.3">
      <c r="A1445" t="s">
        <v>1451</v>
      </c>
      <c r="B1445" t="s">
        <v>10014</v>
      </c>
      <c r="C1445">
        <v>2</v>
      </c>
      <c r="D1445">
        <v>4</v>
      </c>
      <c r="E1445">
        <v>8</v>
      </c>
      <c r="F1445" t="s">
        <v>10069</v>
      </c>
      <c r="G1445" t="s">
        <v>10021</v>
      </c>
      <c r="H1445" s="6">
        <v>45274</v>
      </c>
      <c r="I1445">
        <f t="shared" si="44"/>
        <v>0</v>
      </c>
      <c r="J1445" t="str">
        <f t="shared" si="45"/>
        <v>Complete</v>
      </c>
      <c r="K1445">
        <f>COUNTIFS(RawData[Item], B1445,RawData[Quantity],C1445,RawData[Price Per Unit],D1445,RawData[Total Spent],E1445,RawData[Payment Method],F1445,RawData[Location],G1445,RawData[Transaction Date],H1445)</f>
        <v>1</v>
      </c>
      <c r="L1445"/>
    </row>
    <row r="1446" spans="1:12" x14ac:dyDescent="0.3">
      <c r="A1446" t="s">
        <v>1452</v>
      </c>
      <c r="B1446" t="s">
        <v>10009</v>
      </c>
      <c r="C1446">
        <v>1</v>
      </c>
      <c r="D1446">
        <v>3</v>
      </c>
      <c r="E1446">
        <v>3</v>
      </c>
      <c r="F1446" t="s">
        <v>10020</v>
      </c>
      <c r="G1446" t="s">
        <v>10069</v>
      </c>
      <c r="H1446" s="6">
        <v>45076</v>
      </c>
      <c r="I1446">
        <f t="shared" si="44"/>
        <v>0</v>
      </c>
      <c r="J1446" t="str">
        <f t="shared" si="45"/>
        <v>Complete</v>
      </c>
      <c r="K1446">
        <f>COUNTIFS(RawData[Item], B1446,RawData[Quantity],C1446,RawData[Price Per Unit],D1446,RawData[Total Spent],E1446,RawData[Payment Method],F1446,RawData[Location],G1446,RawData[Transaction Date],H1446)</f>
        <v>1</v>
      </c>
      <c r="L1446"/>
    </row>
    <row r="1447" spans="1:12" x14ac:dyDescent="0.3">
      <c r="A1447" t="s">
        <v>1453</v>
      </c>
      <c r="B1447" t="s">
        <v>10010</v>
      </c>
      <c r="C1447">
        <v>3</v>
      </c>
      <c r="D1447">
        <v>1</v>
      </c>
      <c r="E1447">
        <v>3</v>
      </c>
      <c r="F1447" t="s">
        <v>10019</v>
      </c>
      <c r="G1447" t="s">
        <v>10069</v>
      </c>
      <c r="H1447" s="6">
        <v>44936</v>
      </c>
      <c r="I1447">
        <f t="shared" si="44"/>
        <v>0</v>
      </c>
      <c r="J1447" t="str">
        <f t="shared" si="45"/>
        <v>Complete</v>
      </c>
      <c r="K1447">
        <f>COUNTIFS(RawData[Item], B1447,RawData[Quantity],C1447,RawData[Price Per Unit],D1447,RawData[Total Spent],E1447,RawData[Payment Method],F1447,RawData[Location],G1447,RawData[Transaction Date],H1447)</f>
        <v>1</v>
      </c>
      <c r="L1447"/>
    </row>
    <row r="1448" spans="1:12" x14ac:dyDescent="0.3">
      <c r="A1448" t="s">
        <v>1454</v>
      </c>
      <c r="B1448" t="s">
        <v>10009</v>
      </c>
      <c r="C1448">
        <v>2</v>
      </c>
      <c r="D1448">
        <v>3</v>
      </c>
      <c r="E1448" t="s">
        <v>10013</v>
      </c>
      <c r="F1448" t="s">
        <v>10019</v>
      </c>
      <c r="G1448" t="s">
        <v>10103</v>
      </c>
      <c r="H1448" s="6">
        <v>44976</v>
      </c>
      <c r="I1448">
        <f t="shared" si="44"/>
        <v>2</v>
      </c>
      <c r="J1448" t="str">
        <f t="shared" si="45"/>
        <v>Complete</v>
      </c>
      <c r="K1448">
        <f>COUNTIFS(RawData[Item], B1448,RawData[Quantity],C1448,RawData[Price Per Unit],D1448,RawData[Total Spent],E1448,RawData[Payment Method],F1448,RawData[Location],G1448,RawData[Transaction Date],H1448)</f>
        <v>1</v>
      </c>
      <c r="L1448"/>
    </row>
    <row r="1449" spans="1:12" x14ac:dyDescent="0.3">
      <c r="A1449" t="s">
        <v>1455</v>
      </c>
      <c r="B1449" t="s">
        <v>10010</v>
      </c>
      <c r="C1449" t="s">
        <v>10013</v>
      </c>
      <c r="D1449">
        <v>1</v>
      </c>
      <c r="E1449">
        <v>1</v>
      </c>
      <c r="F1449" t="s">
        <v>10069</v>
      </c>
      <c r="G1449" t="s">
        <v>10021</v>
      </c>
      <c r="H1449" s="6" t="s">
        <v>10112</v>
      </c>
      <c r="I1449">
        <f t="shared" si="44"/>
        <v>2</v>
      </c>
      <c r="J1449" t="str">
        <f t="shared" si="45"/>
        <v>Incomplete</v>
      </c>
      <c r="K1449">
        <f>COUNTIFS(RawData[Item], B1449,RawData[Quantity],C1449,RawData[Price Per Unit],D1449,RawData[Total Spent],E1449,RawData[Payment Method],F1449,RawData[Location],G1449,RawData[Transaction Date],H1449)</f>
        <v>1</v>
      </c>
      <c r="L1449"/>
    </row>
    <row r="1450" spans="1:12" x14ac:dyDescent="0.3">
      <c r="A1450" t="s">
        <v>1456</v>
      </c>
      <c r="B1450" t="s">
        <v>10016</v>
      </c>
      <c r="C1450">
        <v>5</v>
      </c>
      <c r="D1450">
        <v>3</v>
      </c>
      <c r="E1450" t="s">
        <v>10013</v>
      </c>
      <c r="F1450" t="s">
        <v>10069</v>
      </c>
      <c r="G1450" t="s">
        <v>10102</v>
      </c>
      <c r="H1450" s="6">
        <v>45257</v>
      </c>
      <c r="I1450">
        <f t="shared" si="44"/>
        <v>1</v>
      </c>
      <c r="J1450" t="str">
        <f t="shared" si="45"/>
        <v>Complete</v>
      </c>
      <c r="K1450">
        <f>COUNTIFS(RawData[Item], B1450,RawData[Quantity],C1450,RawData[Price Per Unit],D1450,RawData[Total Spent],E1450,RawData[Payment Method],F1450,RawData[Location],G1450,RawData[Transaction Date],H1450)</f>
        <v>1</v>
      </c>
      <c r="L1450"/>
    </row>
    <row r="1451" spans="1:12" x14ac:dyDescent="0.3">
      <c r="A1451" t="s">
        <v>1457</v>
      </c>
      <c r="B1451" t="s">
        <v>10012</v>
      </c>
      <c r="C1451">
        <v>4</v>
      </c>
      <c r="D1451">
        <v>4</v>
      </c>
      <c r="E1451">
        <v>16</v>
      </c>
      <c r="F1451" t="s">
        <v>10020</v>
      </c>
      <c r="G1451" t="s">
        <v>10104</v>
      </c>
      <c r="H1451" s="6">
        <v>45053</v>
      </c>
      <c r="I1451">
        <f t="shared" si="44"/>
        <v>1</v>
      </c>
      <c r="J1451" t="str">
        <f t="shared" si="45"/>
        <v>Complete</v>
      </c>
      <c r="K1451">
        <f>COUNTIFS(RawData[Item], B1451,RawData[Quantity],C1451,RawData[Price Per Unit],D1451,RawData[Total Spent],E1451,RawData[Payment Method],F1451,RawData[Location],G1451,RawData[Transaction Date],H1451)</f>
        <v>1</v>
      </c>
      <c r="L1451"/>
    </row>
    <row r="1452" spans="1:12" x14ac:dyDescent="0.3">
      <c r="A1452" t="s">
        <v>1458</v>
      </c>
      <c r="B1452" t="s">
        <v>10017</v>
      </c>
      <c r="C1452">
        <v>4</v>
      </c>
      <c r="D1452">
        <v>1.5</v>
      </c>
      <c r="E1452">
        <v>6</v>
      </c>
      <c r="F1452" t="s">
        <v>10018</v>
      </c>
      <c r="G1452" t="s">
        <v>10021</v>
      </c>
      <c r="H1452" s="6">
        <v>45260</v>
      </c>
      <c r="I1452">
        <f t="shared" si="44"/>
        <v>0</v>
      </c>
      <c r="J1452" t="str">
        <f t="shared" si="45"/>
        <v>Complete</v>
      </c>
      <c r="K1452">
        <f>COUNTIFS(RawData[Item], B1452,RawData[Quantity],C1452,RawData[Price Per Unit],D1452,RawData[Total Spent],E1452,RawData[Payment Method],F1452,RawData[Location],G1452,RawData[Transaction Date],H1452)</f>
        <v>1</v>
      </c>
      <c r="L1452"/>
    </row>
    <row r="1453" spans="1:12" x14ac:dyDescent="0.3">
      <c r="A1453" t="s">
        <v>1459</v>
      </c>
      <c r="B1453" t="s">
        <v>10069</v>
      </c>
      <c r="C1453">
        <v>0</v>
      </c>
      <c r="D1453">
        <v>5</v>
      </c>
      <c r="E1453">
        <v>5</v>
      </c>
      <c r="F1453" t="s">
        <v>10019</v>
      </c>
      <c r="G1453" t="s">
        <v>10069</v>
      </c>
      <c r="H1453" s="6">
        <v>45208</v>
      </c>
      <c r="I1453">
        <f t="shared" si="44"/>
        <v>0</v>
      </c>
      <c r="J1453" t="str">
        <f t="shared" si="45"/>
        <v>Complete</v>
      </c>
      <c r="K1453">
        <f>COUNTIFS(RawData[Item], B1453,RawData[Quantity],C1453,RawData[Price Per Unit],D1453,RawData[Total Spent],E1453,RawData[Payment Method],F1453,RawData[Location],G1453,RawData[Transaction Date],H1453)</f>
        <v>1</v>
      </c>
      <c r="L1453"/>
    </row>
    <row r="1454" spans="1:12" x14ac:dyDescent="0.3">
      <c r="A1454" t="s">
        <v>1460</v>
      </c>
      <c r="B1454" t="s">
        <v>10010</v>
      </c>
      <c r="C1454">
        <v>2</v>
      </c>
      <c r="D1454">
        <v>1</v>
      </c>
      <c r="E1454">
        <v>2</v>
      </c>
      <c r="F1454" t="s">
        <v>10020</v>
      </c>
      <c r="G1454" t="s">
        <v>10069</v>
      </c>
      <c r="H1454" s="6">
        <v>45015</v>
      </c>
      <c r="I1454">
        <f t="shared" si="44"/>
        <v>0</v>
      </c>
      <c r="J1454" t="str">
        <f t="shared" si="45"/>
        <v>Complete</v>
      </c>
      <c r="K1454">
        <f>COUNTIFS(RawData[Item], B1454,RawData[Quantity],C1454,RawData[Price Per Unit],D1454,RawData[Total Spent],E1454,RawData[Payment Method],F1454,RawData[Location],G1454,RawData[Transaction Date],H1454)</f>
        <v>1</v>
      </c>
      <c r="L1454"/>
    </row>
    <row r="1455" spans="1:12" x14ac:dyDescent="0.3">
      <c r="A1455" t="s">
        <v>1461</v>
      </c>
      <c r="B1455" t="s">
        <v>10016</v>
      </c>
      <c r="C1455">
        <v>4</v>
      </c>
      <c r="D1455">
        <v>3</v>
      </c>
      <c r="E1455" t="s">
        <v>10015</v>
      </c>
      <c r="F1455" t="s">
        <v>10020</v>
      </c>
      <c r="G1455" t="s">
        <v>10021</v>
      </c>
      <c r="H1455" s="6">
        <v>44929</v>
      </c>
      <c r="I1455">
        <f t="shared" si="44"/>
        <v>1</v>
      </c>
      <c r="J1455" t="str">
        <f t="shared" si="45"/>
        <v>Complete</v>
      </c>
      <c r="K1455">
        <f>COUNTIFS(RawData[Item], B1455,RawData[Quantity],C1455,RawData[Price Per Unit],D1455,RawData[Total Spent],E1455,RawData[Payment Method],F1455,RawData[Location],G1455,RawData[Transaction Date],H1455)</f>
        <v>1</v>
      </c>
      <c r="L1455"/>
    </row>
    <row r="1456" spans="1:12" x14ac:dyDescent="0.3">
      <c r="A1456" t="s">
        <v>1462</v>
      </c>
      <c r="B1456" t="s">
        <v>10016</v>
      </c>
      <c r="C1456">
        <v>3</v>
      </c>
      <c r="D1456">
        <v>3</v>
      </c>
      <c r="E1456">
        <v>9</v>
      </c>
      <c r="F1456" t="s">
        <v>10069</v>
      </c>
      <c r="G1456" t="s">
        <v>10102</v>
      </c>
      <c r="H1456" s="6">
        <v>45241</v>
      </c>
      <c r="I1456">
        <f t="shared" si="44"/>
        <v>0</v>
      </c>
      <c r="J1456" t="str">
        <f t="shared" si="45"/>
        <v>Complete</v>
      </c>
      <c r="K1456">
        <f>COUNTIFS(RawData[Item], B1456,RawData[Quantity],C1456,RawData[Price Per Unit],D1456,RawData[Total Spent],E1456,RawData[Payment Method],F1456,RawData[Location],G1456,RawData[Transaction Date],H1456)</f>
        <v>1</v>
      </c>
      <c r="L1456"/>
    </row>
    <row r="1457" spans="1:12" x14ac:dyDescent="0.3">
      <c r="A1457" t="s">
        <v>1463</v>
      </c>
      <c r="B1457" t="s">
        <v>10017</v>
      </c>
      <c r="C1457">
        <v>5</v>
      </c>
      <c r="D1457">
        <v>1.5</v>
      </c>
      <c r="E1457">
        <v>7.5</v>
      </c>
      <c r="F1457" t="s">
        <v>10018</v>
      </c>
      <c r="G1457" t="s">
        <v>10069</v>
      </c>
      <c r="H1457" s="6">
        <v>45287</v>
      </c>
      <c r="I1457">
        <f t="shared" si="44"/>
        <v>0</v>
      </c>
      <c r="J1457" t="str">
        <f t="shared" si="45"/>
        <v>Complete</v>
      </c>
      <c r="K1457">
        <f>COUNTIFS(RawData[Item], B1457,RawData[Quantity],C1457,RawData[Price Per Unit],D1457,RawData[Total Spent],E1457,RawData[Payment Method],F1457,RawData[Location],G1457,RawData[Transaction Date],H1457)</f>
        <v>1</v>
      </c>
      <c r="L1457"/>
    </row>
    <row r="1458" spans="1:12" x14ac:dyDescent="0.3">
      <c r="A1458" t="s">
        <v>1464</v>
      </c>
      <c r="B1458" t="s">
        <v>10011</v>
      </c>
      <c r="C1458">
        <v>3</v>
      </c>
      <c r="D1458">
        <v>5</v>
      </c>
      <c r="E1458">
        <v>15</v>
      </c>
      <c r="F1458" t="s">
        <v>10069</v>
      </c>
      <c r="G1458" t="s">
        <v>10069</v>
      </c>
      <c r="H1458" s="6">
        <v>45246</v>
      </c>
      <c r="I1458">
        <f t="shared" si="44"/>
        <v>0</v>
      </c>
      <c r="J1458" t="str">
        <f t="shared" si="45"/>
        <v>Complete</v>
      </c>
      <c r="K1458">
        <f>COUNTIFS(RawData[Item], B1458,RawData[Quantity],C1458,RawData[Price Per Unit],D1458,RawData[Total Spent],E1458,RawData[Payment Method],F1458,RawData[Location],G1458,RawData[Transaction Date],H1458)</f>
        <v>1</v>
      </c>
      <c r="L1458"/>
    </row>
    <row r="1459" spans="1:12" x14ac:dyDescent="0.3">
      <c r="A1459" t="s">
        <v>1465</v>
      </c>
      <c r="B1459" t="s">
        <v>10008</v>
      </c>
      <c r="C1459">
        <v>1</v>
      </c>
      <c r="D1459">
        <v>2</v>
      </c>
      <c r="E1459">
        <v>2</v>
      </c>
      <c r="F1459" t="s">
        <v>10104</v>
      </c>
      <c r="G1459" t="s">
        <v>10069</v>
      </c>
      <c r="H1459" s="6">
        <v>45064</v>
      </c>
      <c r="I1459">
        <f t="shared" si="44"/>
        <v>1</v>
      </c>
      <c r="J1459" t="str">
        <f t="shared" si="45"/>
        <v>Complete</v>
      </c>
      <c r="K1459">
        <f>COUNTIFS(RawData[Item], B1459,RawData[Quantity],C1459,RawData[Price Per Unit],D1459,RawData[Total Spent],E1459,RawData[Payment Method],F1459,RawData[Location],G1459,RawData[Transaction Date],H1459)</f>
        <v>2</v>
      </c>
      <c r="L1459"/>
    </row>
    <row r="1460" spans="1:12" x14ac:dyDescent="0.3">
      <c r="A1460" t="s">
        <v>1466</v>
      </c>
      <c r="B1460" t="s">
        <v>10011</v>
      </c>
      <c r="C1460" t="s">
        <v>10015</v>
      </c>
      <c r="D1460">
        <v>5</v>
      </c>
      <c r="E1460">
        <v>15</v>
      </c>
      <c r="F1460" t="s">
        <v>10019</v>
      </c>
      <c r="G1460" t="s">
        <v>10021</v>
      </c>
      <c r="H1460" s="6">
        <v>45085</v>
      </c>
      <c r="I1460">
        <f t="shared" si="44"/>
        <v>1</v>
      </c>
      <c r="J1460" t="str">
        <f t="shared" si="45"/>
        <v>Complete</v>
      </c>
      <c r="K1460">
        <f>COUNTIFS(RawData[Item], B1460,RawData[Quantity],C1460,RawData[Price Per Unit],D1460,RawData[Total Spent],E1460,RawData[Payment Method],F1460,RawData[Location],G1460,RawData[Transaction Date],H1460)</f>
        <v>1</v>
      </c>
      <c r="L1460"/>
    </row>
    <row r="1461" spans="1:12" x14ac:dyDescent="0.3">
      <c r="A1461" t="s">
        <v>1467</v>
      </c>
      <c r="B1461" t="s">
        <v>10016</v>
      </c>
      <c r="C1461">
        <v>3</v>
      </c>
      <c r="D1461">
        <v>3</v>
      </c>
      <c r="E1461">
        <v>9</v>
      </c>
      <c r="F1461" t="s">
        <v>10069</v>
      </c>
      <c r="G1461" t="s">
        <v>10069</v>
      </c>
      <c r="H1461" s="6">
        <v>45109</v>
      </c>
      <c r="I1461">
        <f t="shared" si="44"/>
        <v>0</v>
      </c>
      <c r="J1461" t="str">
        <f t="shared" si="45"/>
        <v>Complete</v>
      </c>
      <c r="K1461">
        <f>COUNTIFS(RawData[Item], B1461,RawData[Quantity],C1461,RawData[Price Per Unit],D1461,RawData[Total Spent],E1461,RawData[Payment Method],F1461,RawData[Location],G1461,RawData[Transaction Date],H1461)</f>
        <v>1</v>
      </c>
      <c r="L1461"/>
    </row>
    <row r="1462" spans="1:12" x14ac:dyDescent="0.3">
      <c r="A1462" t="s">
        <v>1468</v>
      </c>
      <c r="B1462" t="s">
        <v>10009</v>
      </c>
      <c r="C1462">
        <v>0</v>
      </c>
      <c r="D1462">
        <v>3</v>
      </c>
      <c r="E1462">
        <v>9</v>
      </c>
      <c r="F1462" t="s">
        <v>10018</v>
      </c>
      <c r="G1462" t="s">
        <v>10021</v>
      </c>
      <c r="H1462" s="6">
        <v>45046</v>
      </c>
      <c r="I1462">
        <f t="shared" si="44"/>
        <v>0</v>
      </c>
      <c r="J1462" t="str">
        <f t="shared" si="45"/>
        <v>Complete</v>
      </c>
      <c r="K1462">
        <f>COUNTIFS(RawData[Item], B1462,RawData[Quantity],C1462,RawData[Price Per Unit],D1462,RawData[Total Spent],E1462,RawData[Payment Method],F1462,RawData[Location],G1462,RawData[Transaction Date],H1462)</f>
        <v>1</v>
      </c>
      <c r="L1462"/>
    </row>
    <row r="1463" spans="1:12" x14ac:dyDescent="0.3">
      <c r="A1463" t="s">
        <v>1469</v>
      </c>
      <c r="B1463" t="s">
        <v>10009</v>
      </c>
      <c r="C1463">
        <v>4</v>
      </c>
      <c r="D1463" t="s">
        <v>10015</v>
      </c>
      <c r="E1463">
        <v>12</v>
      </c>
      <c r="F1463" t="s">
        <v>10020</v>
      </c>
      <c r="G1463" t="s">
        <v>10069</v>
      </c>
      <c r="H1463" s="6">
        <v>45151</v>
      </c>
      <c r="I1463">
        <f t="shared" si="44"/>
        <v>1</v>
      </c>
      <c r="J1463" t="str">
        <f t="shared" si="45"/>
        <v>Complete</v>
      </c>
      <c r="K1463">
        <f>COUNTIFS(RawData[Item], B1463,RawData[Quantity],C1463,RawData[Price Per Unit],D1463,RawData[Total Spent],E1463,RawData[Payment Method],F1463,RawData[Location],G1463,RawData[Transaction Date],H1463)</f>
        <v>1</v>
      </c>
      <c r="L1463"/>
    </row>
    <row r="1464" spans="1:12" x14ac:dyDescent="0.3">
      <c r="A1464" t="s">
        <v>1470</v>
      </c>
      <c r="B1464" t="s">
        <v>10010</v>
      </c>
      <c r="C1464">
        <v>5</v>
      </c>
      <c r="D1464">
        <v>1</v>
      </c>
      <c r="E1464">
        <v>5</v>
      </c>
      <c r="F1464" t="s">
        <v>10020</v>
      </c>
      <c r="G1464" t="s">
        <v>10021</v>
      </c>
      <c r="H1464" s="6">
        <v>45058</v>
      </c>
      <c r="I1464">
        <f t="shared" si="44"/>
        <v>0</v>
      </c>
      <c r="J1464" t="str">
        <f t="shared" si="45"/>
        <v>Complete</v>
      </c>
      <c r="K1464">
        <f>COUNTIFS(RawData[Item], B1464,RawData[Quantity],C1464,RawData[Price Per Unit],D1464,RawData[Total Spent],E1464,RawData[Payment Method],F1464,RawData[Location],G1464,RawData[Transaction Date],H1464)</f>
        <v>1</v>
      </c>
      <c r="L1464"/>
    </row>
    <row r="1465" spans="1:12" x14ac:dyDescent="0.3">
      <c r="A1465" t="s">
        <v>1471</v>
      </c>
      <c r="B1465" t="s">
        <v>10016</v>
      </c>
      <c r="C1465">
        <v>1</v>
      </c>
      <c r="D1465">
        <v>3</v>
      </c>
      <c r="E1465">
        <v>3</v>
      </c>
      <c r="F1465" t="s">
        <v>10018</v>
      </c>
      <c r="G1465" t="s">
        <v>10021</v>
      </c>
      <c r="H1465" s="6">
        <v>45248</v>
      </c>
      <c r="I1465">
        <f t="shared" si="44"/>
        <v>0</v>
      </c>
      <c r="J1465" t="str">
        <f t="shared" si="45"/>
        <v>Complete</v>
      </c>
      <c r="K1465">
        <f>COUNTIFS(RawData[Item], B1465,RawData[Quantity],C1465,RawData[Price Per Unit],D1465,RawData[Total Spent],E1465,RawData[Payment Method],F1465,RawData[Location],G1465,RawData[Transaction Date],H1465)</f>
        <v>1</v>
      </c>
      <c r="L1465"/>
    </row>
    <row r="1466" spans="1:12" x14ac:dyDescent="0.3">
      <c r="A1466" t="s">
        <v>1472</v>
      </c>
      <c r="B1466" t="s">
        <v>10017</v>
      </c>
      <c r="C1466">
        <v>1</v>
      </c>
      <c r="D1466">
        <v>1.5</v>
      </c>
      <c r="E1466">
        <v>1.5</v>
      </c>
      <c r="F1466" t="s">
        <v>10069</v>
      </c>
      <c r="G1466" t="s">
        <v>10102</v>
      </c>
      <c r="H1466" s="6">
        <v>45096</v>
      </c>
      <c r="I1466">
        <f t="shared" si="44"/>
        <v>0</v>
      </c>
      <c r="J1466" t="str">
        <f t="shared" si="45"/>
        <v>Complete</v>
      </c>
      <c r="K1466">
        <f>COUNTIFS(RawData[Item], B1466,RawData[Quantity],C1466,RawData[Price Per Unit],D1466,RawData[Total Spent],E1466,RawData[Payment Method],F1466,RawData[Location],G1466,RawData[Transaction Date],H1466)</f>
        <v>1</v>
      </c>
      <c r="L1466"/>
    </row>
    <row r="1467" spans="1:12" x14ac:dyDescent="0.3">
      <c r="A1467" t="s">
        <v>1473</v>
      </c>
      <c r="B1467" t="s">
        <v>10011</v>
      </c>
      <c r="C1467">
        <v>5</v>
      </c>
      <c r="D1467">
        <v>5</v>
      </c>
      <c r="E1467">
        <v>25</v>
      </c>
      <c r="F1467" t="s">
        <v>10069</v>
      </c>
      <c r="G1467" t="s">
        <v>10104</v>
      </c>
      <c r="H1467" s="6">
        <v>45042</v>
      </c>
      <c r="I1467">
        <f t="shared" si="44"/>
        <v>1</v>
      </c>
      <c r="J1467" t="str">
        <f t="shared" si="45"/>
        <v>Complete</v>
      </c>
      <c r="K1467">
        <f>COUNTIFS(RawData[Item], B1467,RawData[Quantity],C1467,RawData[Price Per Unit],D1467,RawData[Total Spent],E1467,RawData[Payment Method],F1467,RawData[Location],G1467,RawData[Transaction Date],H1467)</f>
        <v>1</v>
      </c>
      <c r="L1467"/>
    </row>
    <row r="1468" spans="1:12" x14ac:dyDescent="0.3">
      <c r="A1468" t="s">
        <v>1474</v>
      </c>
      <c r="B1468" t="s">
        <v>10012</v>
      </c>
      <c r="C1468">
        <v>4</v>
      </c>
      <c r="D1468">
        <v>4</v>
      </c>
      <c r="E1468">
        <v>16</v>
      </c>
      <c r="F1468" t="s">
        <v>10020</v>
      </c>
      <c r="G1468" t="s">
        <v>10021</v>
      </c>
      <c r="H1468" s="6">
        <v>45085</v>
      </c>
      <c r="I1468">
        <f t="shared" si="44"/>
        <v>0</v>
      </c>
      <c r="J1468" t="str">
        <f t="shared" si="45"/>
        <v>Complete</v>
      </c>
      <c r="K1468">
        <f>COUNTIFS(RawData[Item], B1468,RawData[Quantity],C1468,RawData[Price Per Unit],D1468,RawData[Total Spent],E1468,RawData[Payment Method],F1468,RawData[Location],G1468,RawData[Transaction Date],H1468)</f>
        <v>1</v>
      </c>
      <c r="L1468"/>
    </row>
    <row r="1469" spans="1:12" x14ac:dyDescent="0.3">
      <c r="A1469" t="s">
        <v>1475</v>
      </c>
      <c r="B1469" t="s">
        <v>10009</v>
      </c>
      <c r="C1469">
        <v>3</v>
      </c>
      <c r="D1469">
        <v>3</v>
      </c>
      <c r="E1469">
        <v>9</v>
      </c>
      <c r="F1469" t="s">
        <v>10069</v>
      </c>
      <c r="G1469" t="s">
        <v>10069</v>
      </c>
      <c r="H1469" s="6" t="s">
        <v>10112</v>
      </c>
      <c r="I1469">
        <f t="shared" si="44"/>
        <v>1</v>
      </c>
      <c r="J1469" t="str">
        <f t="shared" si="45"/>
        <v>Incomplete</v>
      </c>
      <c r="K1469">
        <f>COUNTIFS(RawData[Item], B1469,RawData[Quantity],C1469,RawData[Price Per Unit],D1469,RawData[Total Spent],E1469,RawData[Payment Method],F1469,RawData[Location],G1469,RawData[Transaction Date],H1469)</f>
        <v>1</v>
      </c>
      <c r="L1469"/>
    </row>
    <row r="1470" spans="1:12" x14ac:dyDescent="0.3">
      <c r="A1470" t="s">
        <v>1476</v>
      </c>
      <c r="B1470" t="s">
        <v>10014</v>
      </c>
      <c r="C1470">
        <v>4</v>
      </c>
      <c r="D1470">
        <v>4</v>
      </c>
      <c r="E1470">
        <v>16</v>
      </c>
      <c r="F1470" t="s">
        <v>10020</v>
      </c>
      <c r="G1470" t="s">
        <v>10102</v>
      </c>
      <c r="H1470" s="6">
        <v>45097</v>
      </c>
      <c r="I1470">
        <f t="shared" si="44"/>
        <v>0</v>
      </c>
      <c r="J1470" t="str">
        <f t="shared" si="45"/>
        <v>Complete</v>
      </c>
      <c r="K1470">
        <f>COUNTIFS(RawData[Item], B1470,RawData[Quantity],C1470,RawData[Price Per Unit],D1470,RawData[Total Spent],E1470,RawData[Payment Method],F1470,RawData[Location],G1470,RawData[Transaction Date],H1470)</f>
        <v>1</v>
      </c>
      <c r="L1470"/>
    </row>
    <row r="1471" spans="1:12" x14ac:dyDescent="0.3">
      <c r="A1471" t="s">
        <v>1477</v>
      </c>
      <c r="B1471" t="s">
        <v>10008</v>
      </c>
      <c r="C1471">
        <v>5</v>
      </c>
      <c r="D1471">
        <v>2</v>
      </c>
      <c r="E1471" t="s">
        <v>10015</v>
      </c>
      <c r="F1471" t="s">
        <v>10020</v>
      </c>
      <c r="G1471" t="s">
        <v>10021</v>
      </c>
      <c r="H1471" s="6">
        <v>45258</v>
      </c>
      <c r="I1471">
        <f t="shared" si="44"/>
        <v>1</v>
      </c>
      <c r="J1471" t="str">
        <f t="shared" si="45"/>
        <v>Complete</v>
      </c>
      <c r="K1471">
        <f>COUNTIFS(RawData[Item], B1471,RawData[Quantity],C1471,RawData[Price Per Unit],D1471,RawData[Total Spent],E1471,RawData[Payment Method],F1471,RawData[Location],G1471,RawData[Transaction Date],H1471)</f>
        <v>1</v>
      </c>
      <c r="L1471"/>
    </row>
    <row r="1472" spans="1:12" x14ac:dyDescent="0.3">
      <c r="A1472" t="s">
        <v>1478</v>
      </c>
      <c r="B1472" t="s">
        <v>10017</v>
      </c>
      <c r="C1472">
        <v>5</v>
      </c>
      <c r="D1472">
        <v>1.5</v>
      </c>
      <c r="E1472" t="s">
        <v>10013</v>
      </c>
      <c r="F1472" t="s">
        <v>10019</v>
      </c>
      <c r="G1472" t="s">
        <v>10103</v>
      </c>
      <c r="H1472" s="6">
        <v>45136</v>
      </c>
      <c r="I1472">
        <f t="shared" si="44"/>
        <v>2</v>
      </c>
      <c r="J1472" t="str">
        <f t="shared" si="45"/>
        <v>Complete</v>
      </c>
      <c r="K1472">
        <f>COUNTIFS(RawData[Item], B1472,RawData[Quantity],C1472,RawData[Price Per Unit],D1472,RawData[Total Spent],E1472,RawData[Payment Method],F1472,RawData[Location],G1472,RawData[Transaction Date],H1472)</f>
        <v>1</v>
      </c>
      <c r="L1472"/>
    </row>
    <row r="1473" spans="1:12" x14ac:dyDescent="0.3">
      <c r="A1473" t="s">
        <v>1479</v>
      </c>
      <c r="B1473" t="s">
        <v>10009</v>
      </c>
      <c r="C1473">
        <v>2</v>
      </c>
      <c r="D1473">
        <v>3</v>
      </c>
      <c r="E1473">
        <v>6</v>
      </c>
      <c r="F1473" t="s">
        <v>10018</v>
      </c>
      <c r="G1473" t="s">
        <v>10102</v>
      </c>
      <c r="H1473" s="6">
        <v>45289</v>
      </c>
      <c r="I1473">
        <f t="shared" si="44"/>
        <v>0</v>
      </c>
      <c r="J1473" t="str">
        <f t="shared" si="45"/>
        <v>Complete</v>
      </c>
      <c r="K1473">
        <f>COUNTIFS(RawData[Item], B1473,RawData[Quantity],C1473,RawData[Price Per Unit],D1473,RawData[Total Spent],E1473,RawData[Payment Method],F1473,RawData[Location],G1473,RawData[Transaction Date],H1473)</f>
        <v>1</v>
      </c>
      <c r="L1473"/>
    </row>
    <row r="1474" spans="1:12" x14ac:dyDescent="0.3">
      <c r="A1474" t="s">
        <v>1480</v>
      </c>
      <c r="B1474" t="s">
        <v>10011</v>
      </c>
      <c r="C1474">
        <v>2</v>
      </c>
      <c r="D1474">
        <v>5</v>
      </c>
      <c r="E1474">
        <v>10</v>
      </c>
      <c r="F1474" t="s">
        <v>10020</v>
      </c>
      <c r="G1474" t="s">
        <v>10104</v>
      </c>
      <c r="H1474" s="6">
        <v>45010</v>
      </c>
      <c r="I1474">
        <f t="shared" ref="I1474:I1537" si="46">(B1474="Unknown")+(B1474="Error")+(C1474="Unknown")+(C1474="Error")+(D1474="Unknown")+(D1474="Error")+(E1474="Unknown")+(E1474="Error")+(F1474="Unknown")+(F1474="Error")+(G1474="Unknown")+(G1474="Error")+(H1474="No Date")</f>
        <v>1</v>
      </c>
      <c r="J1474" t="str">
        <f t="shared" ref="J1474:J1537" si="47">IF((H1474="No Date"),"Incomplete","Complete")</f>
        <v>Complete</v>
      </c>
      <c r="K1474">
        <f>COUNTIFS(RawData[Item], B1474,RawData[Quantity],C1474,RawData[Price Per Unit],D1474,RawData[Total Spent],E1474,RawData[Payment Method],F1474,RawData[Location],G1474,RawData[Transaction Date],H1474)</f>
        <v>1</v>
      </c>
      <c r="L1474"/>
    </row>
    <row r="1475" spans="1:12" x14ac:dyDescent="0.3">
      <c r="A1475" t="s">
        <v>1481</v>
      </c>
      <c r="B1475" t="s">
        <v>10017</v>
      </c>
      <c r="C1475">
        <v>1</v>
      </c>
      <c r="D1475">
        <v>1.5</v>
      </c>
      <c r="E1475">
        <v>1.5</v>
      </c>
      <c r="F1475" t="s">
        <v>10069</v>
      </c>
      <c r="G1475" t="s">
        <v>10102</v>
      </c>
      <c r="H1475" s="6" t="s">
        <v>10112</v>
      </c>
      <c r="I1475">
        <f t="shared" si="46"/>
        <v>1</v>
      </c>
      <c r="J1475" t="str">
        <f t="shared" si="47"/>
        <v>Incomplete</v>
      </c>
      <c r="K1475">
        <f>COUNTIFS(RawData[Item], B1475,RawData[Quantity],C1475,RawData[Price Per Unit],D1475,RawData[Total Spent],E1475,RawData[Payment Method],F1475,RawData[Location],G1475,RawData[Transaction Date],H1475)</f>
        <v>1</v>
      </c>
      <c r="L1475"/>
    </row>
    <row r="1476" spans="1:12" x14ac:dyDescent="0.3">
      <c r="A1476" t="s">
        <v>1482</v>
      </c>
      <c r="B1476" t="s">
        <v>10009</v>
      </c>
      <c r="C1476">
        <v>3</v>
      </c>
      <c r="D1476">
        <v>3</v>
      </c>
      <c r="E1476">
        <v>9</v>
      </c>
      <c r="F1476" t="s">
        <v>10103</v>
      </c>
      <c r="G1476" t="s">
        <v>10069</v>
      </c>
      <c r="H1476" s="6">
        <v>45008</v>
      </c>
      <c r="I1476">
        <f t="shared" si="46"/>
        <v>1</v>
      </c>
      <c r="J1476" t="str">
        <f t="shared" si="47"/>
        <v>Complete</v>
      </c>
      <c r="K1476">
        <f>COUNTIFS(RawData[Item], B1476,RawData[Quantity],C1476,RawData[Price Per Unit],D1476,RawData[Total Spent],E1476,RawData[Payment Method],F1476,RawData[Location],G1476,RawData[Transaction Date],H1476)</f>
        <v>1</v>
      </c>
      <c r="L1476"/>
    </row>
    <row r="1477" spans="1:12" x14ac:dyDescent="0.3">
      <c r="A1477" t="s">
        <v>1483</v>
      </c>
      <c r="B1477" t="s">
        <v>10016</v>
      </c>
      <c r="C1477">
        <v>2</v>
      </c>
      <c r="D1477">
        <v>3</v>
      </c>
      <c r="E1477">
        <v>6</v>
      </c>
      <c r="F1477" t="s">
        <v>10019</v>
      </c>
      <c r="G1477" t="s">
        <v>10069</v>
      </c>
      <c r="H1477" s="6">
        <v>45289</v>
      </c>
      <c r="I1477">
        <f t="shared" si="46"/>
        <v>0</v>
      </c>
      <c r="J1477" t="str">
        <f t="shared" si="47"/>
        <v>Complete</v>
      </c>
      <c r="K1477">
        <f>COUNTIFS(RawData[Item], B1477,RawData[Quantity],C1477,RawData[Price Per Unit],D1477,RawData[Total Spent],E1477,RawData[Payment Method],F1477,RawData[Location],G1477,RawData[Transaction Date],H1477)</f>
        <v>1</v>
      </c>
      <c r="L1477"/>
    </row>
    <row r="1478" spans="1:12" x14ac:dyDescent="0.3">
      <c r="A1478" t="s">
        <v>1484</v>
      </c>
      <c r="B1478" t="s">
        <v>10014</v>
      </c>
      <c r="C1478">
        <v>2</v>
      </c>
      <c r="D1478">
        <v>4</v>
      </c>
      <c r="E1478">
        <v>8</v>
      </c>
      <c r="F1478" t="s">
        <v>10018</v>
      </c>
      <c r="G1478" t="s">
        <v>10069</v>
      </c>
      <c r="H1478" s="6">
        <v>45286</v>
      </c>
      <c r="I1478">
        <f t="shared" si="46"/>
        <v>0</v>
      </c>
      <c r="J1478" t="str">
        <f t="shared" si="47"/>
        <v>Complete</v>
      </c>
      <c r="K1478">
        <f>COUNTIFS(RawData[Item], B1478,RawData[Quantity],C1478,RawData[Price Per Unit],D1478,RawData[Total Spent],E1478,RawData[Payment Method],F1478,RawData[Location],G1478,RawData[Transaction Date],H1478)</f>
        <v>1</v>
      </c>
      <c r="L1478"/>
    </row>
    <row r="1479" spans="1:12" x14ac:dyDescent="0.3">
      <c r="A1479" t="s">
        <v>1485</v>
      </c>
      <c r="B1479" t="s">
        <v>10009</v>
      </c>
      <c r="C1479">
        <v>2</v>
      </c>
      <c r="D1479">
        <v>3</v>
      </c>
      <c r="E1479">
        <v>6</v>
      </c>
      <c r="F1479" t="s">
        <v>10019</v>
      </c>
      <c r="G1479" t="s">
        <v>10102</v>
      </c>
      <c r="H1479" s="6">
        <v>45266</v>
      </c>
      <c r="I1479">
        <f t="shared" si="46"/>
        <v>0</v>
      </c>
      <c r="J1479" t="str">
        <f t="shared" si="47"/>
        <v>Complete</v>
      </c>
      <c r="K1479">
        <f>COUNTIFS(RawData[Item], B1479,RawData[Quantity],C1479,RawData[Price Per Unit],D1479,RawData[Total Spent],E1479,RawData[Payment Method],F1479,RawData[Location],G1479,RawData[Transaction Date],H1479)</f>
        <v>1</v>
      </c>
      <c r="L1479"/>
    </row>
    <row r="1480" spans="1:12" x14ac:dyDescent="0.3">
      <c r="A1480" t="s">
        <v>1486</v>
      </c>
      <c r="B1480" t="s">
        <v>10009</v>
      </c>
      <c r="C1480">
        <v>1</v>
      </c>
      <c r="D1480">
        <v>3</v>
      </c>
      <c r="E1480">
        <v>3</v>
      </c>
      <c r="F1480" t="s">
        <v>10018</v>
      </c>
      <c r="G1480" t="s">
        <v>10103</v>
      </c>
      <c r="H1480" s="6">
        <v>45282</v>
      </c>
      <c r="I1480">
        <f t="shared" si="46"/>
        <v>1</v>
      </c>
      <c r="J1480" t="str">
        <f t="shared" si="47"/>
        <v>Complete</v>
      </c>
      <c r="K1480">
        <f>COUNTIFS(RawData[Item], B1480,RawData[Quantity],C1480,RawData[Price Per Unit],D1480,RawData[Total Spent],E1480,RawData[Payment Method],F1480,RawData[Location],G1480,RawData[Transaction Date],H1480)</f>
        <v>1</v>
      </c>
      <c r="L1480"/>
    </row>
    <row r="1481" spans="1:12" x14ac:dyDescent="0.3">
      <c r="A1481" t="s">
        <v>1487</v>
      </c>
      <c r="B1481" t="s">
        <v>10011</v>
      </c>
      <c r="C1481" t="s">
        <v>10015</v>
      </c>
      <c r="D1481">
        <v>5</v>
      </c>
      <c r="E1481">
        <v>25</v>
      </c>
      <c r="F1481" t="s">
        <v>10019</v>
      </c>
      <c r="G1481" t="s">
        <v>10104</v>
      </c>
      <c r="H1481" s="6">
        <v>45031</v>
      </c>
      <c r="I1481">
        <f t="shared" si="46"/>
        <v>2</v>
      </c>
      <c r="J1481" t="str">
        <f t="shared" si="47"/>
        <v>Complete</v>
      </c>
      <c r="K1481">
        <f>COUNTIFS(RawData[Item], B1481,RawData[Quantity],C1481,RawData[Price Per Unit],D1481,RawData[Total Spent],E1481,RawData[Payment Method],F1481,RawData[Location],G1481,RawData[Transaction Date],H1481)</f>
        <v>1</v>
      </c>
      <c r="L1481"/>
    </row>
    <row r="1482" spans="1:12" x14ac:dyDescent="0.3">
      <c r="A1482" t="s">
        <v>1488</v>
      </c>
      <c r="B1482" t="s">
        <v>10009</v>
      </c>
      <c r="C1482">
        <v>1</v>
      </c>
      <c r="D1482">
        <v>3</v>
      </c>
      <c r="E1482">
        <v>3</v>
      </c>
      <c r="F1482" t="s">
        <v>10103</v>
      </c>
      <c r="G1482" t="s">
        <v>10102</v>
      </c>
      <c r="H1482" s="6">
        <v>45125</v>
      </c>
      <c r="I1482">
        <f t="shared" si="46"/>
        <v>1</v>
      </c>
      <c r="J1482" t="str">
        <f t="shared" si="47"/>
        <v>Complete</v>
      </c>
      <c r="K1482">
        <f>COUNTIFS(RawData[Item], B1482,RawData[Quantity],C1482,RawData[Price Per Unit],D1482,RawData[Total Spent],E1482,RawData[Payment Method],F1482,RawData[Location],G1482,RawData[Transaction Date],H1482)</f>
        <v>1</v>
      </c>
      <c r="L1482"/>
    </row>
    <row r="1483" spans="1:12" x14ac:dyDescent="0.3">
      <c r="A1483" t="s">
        <v>1489</v>
      </c>
      <c r="B1483" t="s">
        <v>10013</v>
      </c>
      <c r="C1483">
        <v>5</v>
      </c>
      <c r="D1483">
        <v>1</v>
      </c>
      <c r="E1483">
        <v>5</v>
      </c>
      <c r="F1483" t="s">
        <v>10104</v>
      </c>
      <c r="G1483" t="s">
        <v>10069</v>
      </c>
      <c r="H1483" s="6">
        <v>45194</v>
      </c>
      <c r="I1483">
        <f t="shared" si="46"/>
        <v>2</v>
      </c>
      <c r="J1483" t="str">
        <f t="shared" si="47"/>
        <v>Complete</v>
      </c>
      <c r="K1483">
        <f>COUNTIFS(RawData[Item], B1483,RawData[Quantity],C1483,RawData[Price Per Unit],D1483,RawData[Total Spent],E1483,RawData[Payment Method],F1483,RawData[Location],G1483,RawData[Transaction Date],H1483)</f>
        <v>1</v>
      </c>
      <c r="L1483"/>
    </row>
    <row r="1484" spans="1:12" x14ac:dyDescent="0.3">
      <c r="A1484" t="s">
        <v>1490</v>
      </c>
      <c r="B1484" t="s">
        <v>10012</v>
      </c>
      <c r="C1484" t="s">
        <v>10013</v>
      </c>
      <c r="D1484">
        <v>0</v>
      </c>
      <c r="E1484">
        <v>16</v>
      </c>
      <c r="F1484" t="s">
        <v>10019</v>
      </c>
      <c r="G1484" t="s">
        <v>10069</v>
      </c>
      <c r="H1484" s="6">
        <v>44990</v>
      </c>
      <c r="I1484">
        <f t="shared" si="46"/>
        <v>1</v>
      </c>
      <c r="J1484" t="str">
        <f t="shared" si="47"/>
        <v>Complete</v>
      </c>
      <c r="K1484">
        <f>COUNTIFS(RawData[Item], B1484,RawData[Quantity],C1484,RawData[Price Per Unit],D1484,RawData[Total Spent],E1484,RawData[Payment Method],F1484,RawData[Location],G1484,RawData[Transaction Date],H1484)</f>
        <v>1</v>
      </c>
      <c r="L1484"/>
    </row>
    <row r="1485" spans="1:12" x14ac:dyDescent="0.3">
      <c r="A1485" t="s">
        <v>1491</v>
      </c>
      <c r="B1485" t="s">
        <v>10009</v>
      </c>
      <c r="C1485">
        <v>2</v>
      </c>
      <c r="D1485">
        <v>3</v>
      </c>
      <c r="E1485">
        <v>6</v>
      </c>
      <c r="F1485" t="s">
        <v>10019</v>
      </c>
      <c r="G1485" t="s">
        <v>10069</v>
      </c>
      <c r="H1485" s="6">
        <v>45100</v>
      </c>
      <c r="I1485">
        <f t="shared" si="46"/>
        <v>0</v>
      </c>
      <c r="J1485" t="str">
        <f t="shared" si="47"/>
        <v>Complete</v>
      </c>
      <c r="K1485">
        <f>COUNTIFS(RawData[Item], B1485,RawData[Quantity],C1485,RawData[Price Per Unit],D1485,RawData[Total Spent],E1485,RawData[Payment Method],F1485,RawData[Location],G1485,RawData[Transaction Date],H1485)</f>
        <v>1</v>
      </c>
      <c r="L1485"/>
    </row>
    <row r="1486" spans="1:12" x14ac:dyDescent="0.3">
      <c r="A1486" t="s">
        <v>1492</v>
      </c>
      <c r="B1486" t="s">
        <v>10011</v>
      </c>
      <c r="C1486">
        <v>1</v>
      </c>
      <c r="D1486">
        <v>5</v>
      </c>
      <c r="E1486">
        <v>5</v>
      </c>
      <c r="F1486" t="s">
        <v>10020</v>
      </c>
      <c r="G1486" t="s">
        <v>10102</v>
      </c>
      <c r="H1486" s="6">
        <v>45279</v>
      </c>
      <c r="I1486">
        <f t="shared" si="46"/>
        <v>0</v>
      </c>
      <c r="J1486" t="str">
        <f t="shared" si="47"/>
        <v>Complete</v>
      </c>
      <c r="K1486">
        <f>COUNTIFS(RawData[Item], B1486,RawData[Quantity],C1486,RawData[Price Per Unit],D1486,RawData[Total Spent],E1486,RawData[Payment Method],F1486,RawData[Location],G1486,RawData[Transaction Date],H1486)</f>
        <v>1</v>
      </c>
      <c r="L1486"/>
    </row>
    <row r="1487" spans="1:12" x14ac:dyDescent="0.3">
      <c r="A1487" t="s">
        <v>1493</v>
      </c>
      <c r="B1487" t="s">
        <v>10016</v>
      </c>
      <c r="C1487">
        <v>2</v>
      </c>
      <c r="D1487">
        <v>3</v>
      </c>
      <c r="E1487">
        <v>6</v>
      </c>
      <c r="F1487" t="s">
        <v>10019</v>
      </c>
      <c r="G1487" t="s">
        <v>10069</v>
      </c>
      <c r="H1487" s="6">
        <v>45257</v>
      </c>
      <c r="I1487">
        <f t="shared" si="46"/>
        <v>0</v>
      </c>
      <c r="J1487" t="str">
        <f t="shared" si="47"/>
        <v>Complete</v>
      </c>
      <c r="K1487">
        <f>COUNTIFS(RawData[Item], B1487,RawData[Quantity],C1487,RawData[Price Per Unit],D1487,RawData[Total Spent],E1487,RawData[Payment Method],F1487,RawData[Location],G1487,RawData[Transaction Date],H1487)</f>
        <v>1</v>
      </c>
      <c r="L1487"/>
    </row>
    <row r="1488" spans="1:12" x14ac:dyDescent="0.3">
      <c r="A1488" t="s">
        <v>1494</v>
      </c>
      <c r="B1488" t="s">
        <v>10015</v>
      </c>
      <c r="C1488">
        <v>2</v>
      </c>
      <c r="D1488">
        <v>3</v>
      </c>
      <c r="E1488">
        <v>6</v>
      </c>
      <c r="F1488" t="s">
        <v>10019</v>
      </c>
      <c r="G1488" t="s">
        <v>10102</v>
      </c>
      <c r="H1488" s="6">
        <v>45095</v>
      </c>
      <c r="I1488">
        <f t="shared" si="46"/>
        <v>1</v>
      </c>
      <c r="J1488" t="str">
        <f t="shared" si="47"/>
        <v>Complete</v>
      </c>
      <c r="K1488">
        <f>COUNTIFS(RawData[Item], B1488,RawData[Quantity],C1488,RawData[Price Per Unit],D1488,RawData[Total Spent],E1488,RawData[Payment Method],F1488,RawData[Location],G1488,RawData[Transaction Date],H1488)</f>
        <v>1</v>
      </c>
      <c r="L1488"/>
    </row>
    <row r="1489" spans="1:12" x14ac:dyDescent="0.3">
      <c r="A1489" t="s">
        <v>1495</v>
      </c>
      <c r="B1489" t="s">
        <v>10011</v>
      </c>
      <c r="C1489">
        <v>5</v>
      </c>
      <c r="D1489">
        <v>5</v>
      </c>
      <c r="E1489">
        <v>25</v>
      </c>
      <c r="F1489" t="s">
        <v>10020</v>
      </c>
      <c r="G1489" t="s">
        <v>10104</v>
      </c>
      <c r="H1489" s="6" t="s">
        <v>10112</v>
      </c>
      <c r="I1489">
        <f t="shared" si="46"/>
        <v>2</v>
      </c>
      <c r="J1489" t="str">
        <f t="shared" si="47"/>
        <v>Incomplete</v>
      </c>
      <c r="K1489">
        <f>COUNTIFS(RawData[Item], B1489,RawData[Quantity],C1489,RawData[Price Per Unit],D1489,RawData[Total Spent],E1489,RawData[Payment Method],F1489,RawData[Location],G1489,RawData[Transaction Date],H1489)</f>
        <v>1</v>
      </c>
      <c r="L1489"/>
    </row>
    <row r="1490" spans="1:12" x14ac:dyDescent="0.3">
      <c r="A1490" t="s">
        <v>1496</v>
      </c>
      <c r="B1490" t="s">
        <v>10009</v>
      </c>
      <c r="C1490">
        <v>5</v>
      </c>
      <c r="D1490">
        <v>3</v>
      </c>
      <c r="E1490">
        <v>15</v>
      </c>
      <c r="F1490" t="s">
        <v>10018</v>
      </c>
      <c r="G1490" t="s">
        <v>10069</v>
      </c>
      <c r="H1490" s="6">
        <v>45118</v>
      </c>
      <c r="I1490">
        <f t="shared" si="46"/>
        <v>0</v>
      </c>
      <c r="J1490" t="str">
        <f t="shared" si="47"/>
        <v>Complete</v>
      </c>
      <c r="K1490">
        <f>COUNTIFS(RawData[Item], B1490,RawData[Quantity],C1490,RawData[Price Per Unit],D1490,RawData[Total Spent],E1490,RawData[Payment Method],F1490,RawData[Location],G1490,RawData[Transaction Date],H1490)</f>
        <v>1</v>
      </c>
      <c r="L1490"/>
    </row>
    <row r="1491" spans="1:12" x14ac:dyDescent="0.3">
      <c r="A1491" t="s">
        <v>1497</v>
      </c>
      <c r="B1491" t="s">
        <v>10012</v>
      </c>
      <c r="C1491">
        <v>5</v>
      </c>
      <c r="D1491">
        <v>4</v>
      </c>
      <c r="E1491">
        <v>20</v>
      </c>
      <c r="F1491" t="s">
        <v>10019</v>
      </c>
      <c r="G1491" t="s">
        <v>10103</v>
      </c>
      <c r="H1491" s="6">
        <v>45179</v>
      </c>
      <c r="I1491">
        <f t="shared" si="46"/>
        <v>1</v>
      </c>
      <c r="J1491" t="str">
        <f t="shared" si="47"/>
        <v>Complete</v>
      </c>
      <c r="K1491">
        <f>COUNTIFS(RawData[Item], B1491,RawData[Quantity],C1491,RawData[Price Per Unit],D1491,RawData[Total Spent],E1491,RawData[Payment Method],F1491,RawData[Location],G1491,RawData[Transaction Date],H1491)</f>
        <v>1</v>
      </c>
      <c r="L1491"/>
    </row>
    <row r="1492" spans="1:12" x14ac:dyDescent="0.3">
      <c r="A1492" t="s">
        <v>1498</v>
      </c>
      <c r="B1492" t="s">
        <v>10016</v>
      </c>
      <c r="C1492">
        <v>3</v>
      </c>
      <c r="D1492">
        <v>3</v>
      </c>
      <c r="E1492">
        <v>9</v>
      </c>
      <c r="F1492" t="s">
        <v>10019</v>
      </c>
      <c r="G1492" t="s">
        <v>10069</v>
      </c>
      <c r="H1492" s="6">
        <v>44989</v>
      </c>
      <c r="I1492">
        <f t="shared" si="46"/>
        <v>0</v>
      </c>
      <c r="J1492" t="str">
        <f t="shared" si="47"/>
        <v>Complete</v>
      </c>
      <c r="K1492">
        <f>COUNTIFS(RawData[Item], B1492,RawData[Quantity],C1492,RawData[Price Per Unit],D1492,RawData[Total Spent],E1492,RawData[Payment Method],F1492,RawData[Location],G1492,RawData[Transaction Date],H1492)</f>
        <v>1</v>
      </c>
      <c r="L1492"/>
    </row>
    <row r="1493" spans="1:12" x14ac:dyDescent="0.3">
      <c r="A1493" t="s">
        <v>1499</v>
      </c>
      <c r="B1493" t="s">
        <v>10014</v>
      </c>
      <c r="C1493">
        <v>2</v>
      </c>
      <c r="D1493">
        <v>4</v>
      </c>
      <c r="E1493">
        <v>8</v>
      </c>
      <c r="F1493" t="s">
        <v>10020</v>
      </c>
      <c r="G1493" t="s">
        <v>10069</v>
      </c>
      <c r="H1493" s="6">
        <v>45084</v>
      </c>
      <c r="I1493">
        <f t="shared" si="46"/>
        <v>0</v>
      </c>
      <c r="J1493" t="str">
        <f t="shared" si="47"/>
        <v>Complete</v>
      </c>
      <c r="K1493">
        <f>COUNTIFS(RawData[Item], B1493,RawData[Quantity],C1493,RawData[Price Per Unit],D1493,RawData[Total Spent],E1493,RawData[Payment Method],F1493,RawData[Location],G1493,RawData[Transaction Date],H1493)</f>
        <v>1</v>
      </c>
      <c r="L1493"/>
    </row>
    <row r="1494" spans="1:12" x14ac:dyDescent="0.3">
      <c r="A1494" t="s">
        <v>1500</v>
      </c>
      <c r="B1494" t="s">
        <v>10011</v>
      </c>
      <c r="C1494">
        <v>5</v>
      </c>
      <c r="D1494">
        <v>5</v>
      </c>
      <c r="E1494">
        <v>25</v>
      </c>
      <c r="F1494" t="s">
        <v>10018</v>
      </c>
      <c r="G1494" t="s">
        <v>10021</v>
      </c>
      <c r="H1494" s="6">
        <v>45004</v>
      </c>
      <c r="I1494">
        <f t="shared" si="46"/>
        <v>0</v>
      </c>
      <c r="J1494" t="str">
        <f t="shared" si="47"/>
        <v>Complete</v>
      </c>
      <c r="K1494">
        <f>COUNTIFS(RawData[Item], B1494,RawData[Quantity],C1494,RawData[Price Per Unit],D1494,RawData[Total Spent],E1494,RawData[Payment Method],F1494,RawData[Location],G1494,RawData[Transaction Date],H1494)</f>
        <v>2</v>
      </c>
      <c r="L1494"/>
    </row>
    <row r="1495" spans="1:12" x14ac:dyDescent="0.3">
      <c r="A1495" t="s">
        <v>1501</v>
      </c>
      <c r="B1495" t="s">
        <v>10008</v>
      </c>
      <c r="C1495">
        <v>5</v>
      </c>
      <c r="D1495">
        <v>2</v>
      </c>
      <c r="E1495">
        <v>10</v>
      </c>
      <c r="F1495" t="s">
        <v>10018</v>
      </c>
      <c r="G1495" t="s">
        <v>10021</v>
      </c>
      <c r="H1495" s="6">
        <v>45190</v>
      </c>
      <c r="I1495">
        <f t="shared" si="46"/>
        <v>0</v>
      </c>
      <c r="J1495" t="str">
        <f t="shared" si="47"/>
        <v>Complete</v>
      </c>
      <c r="K1495">
        <f>COUNTIFS(RawData[Item], B1495,RawData[Quantity],C1495,RawData[Price Per Unit],D1495,RawData[Total Spent],E1495,RawData[Payment Method],F1495,RawData[Location],G1495,RawData[Transaction Date],H1495)</f>
        <v>1</v>
      </c>
      <c r="L1495"/>
    </row>
    <row r="1496" spans="1:12" x14ac:dyDescent="0.3">
      <c r="A1496" t="s">
        <v>1502</v>
      </c>
      <c r="B1496" t="s">
        <v>10008</v>
      </c>
      <c r="C1496">
        <v>4</v>
      </c>
      <c r="D1496">
        <v>2</v>
      </c>
      <c r="E1496">
        <v>8</v>
      </c>
      <c r="F1496" t="s">
        <v>10069</v>
      </c>
      <c r="G1496" t="s">
        <v>10104</v>
      </c>
      <c r="H1496" s="6">
        <v>45281</v>
      </c>
      <c r="I1496">
        <f t="shared" si="46"/>
        <v>1</v>
      </c>
      <c r="J1496" t="str">
        <f t="shared" si="47"/>
        <v>Complete</v>
      </c>
      <c r="K1496">
        <f>COUNTIFS(RawData[Item], B1496,RawData[Quantity],C1496,RawData[Price Per Unit],D1496,RawData[Total Spent],E1496,RawData[Payment Method],F1496,RawData[Location],G1496,RawData[Transaction Date],H1496)</f>
        <v>1</v>
      </c>
      <c r="L1496"/>
    </row>
    <row r="1497" spans="1:12" x14ac:dyDescent="0.3">
      <c r="A1497" t="s">
        <v>1503</v>
      </c>
      <c r="B1497" t="s">
        <v>10011</v>
      </c>
      <c r="C1497">
        <v>4</v>
      </c>
      <c r="D1497">
        <v>5</v>
      </c>
      <c r="E1497">
        <v>20</v>
      </c>
      <c r="F1497" t="s">
        <v>10018</v>
      </c>
      <c r="G1497" t="s">
        <v>10069</v>
      </c>
      <c r="H1497" s="6">
        <v>45173</v>
      </c>
      <c r="I1497">
        <f t="shared" si="46"/>
        <v>0</v>
      </c>
      <c r="J1497" t="str">
        <f t="shared" si="47"/>
        <v>Complete</v>
      </c>
      <c r="K1497">
        <f>COUNTIFS(RawData[Item], B1497,RawData[Quantity],C1497,RawData[Price Per Unit],D1497,RawData[Total Spent],E1497,RawData[Payment Method],F1497,RawData[Location],G1497,RawData[Transaction Date],H1497)</f>
        <v>1</v>
      </c>
      <c r="L1497"/>
    </row>
    <row r="1498" spans="1:12" x14ac:dyDescent="0.3">
      <c r="A1498" t="s">
        <v>1504</v>
      </c>
      <c r="B1498" t="s">
        <v>10016</v>
      </c>
      <c r="C1498">
        <v>2</v>
      </c>
      <c r="D1498">
        <v>3</v>
      </c>
      <c r="E1498">
        <v>6</v>
      </c>
      <c r="F1498" t="s">
        <v>10020</v>
      </c>
      <c r="G1498" t="s">
        <v>10069</v>
      </c>
      <c r="H1498" s="6">
        <v>45232</v>
      </c>
      <c r="I1498">
        <f t="shared" si="46"/>
        <v>0</v>
      </c>
      <c r="J1498" t="str">
        <f t="shared" si="47"/>
        <v>Complete</v>
      </c>
      <c r="K1498">
        <f>COUNTIFS(RawData[Item], B1498,RawData[Quantity],C1498,RawData[Price Per Unit],D1498,RawData[Total Spent],E1498,RawData[Payment Method],F1498,RawData[Location],G1498,RawData[Transaction Date],H1498)</f>
        <v>1</v>
      </c>
      <c r="L1498"/>
    </row>
    <row r="1499" spans="1:12" x14ac:dyDescent="0.3">
      <c r="A1499" t="s">
        <v>1505</v>
      </c>
      <c r="B1499" t="s">
        <v>10017</v>
      </c>
      <c r="C1499">
        <v>4</v>
      </c>
      <c r="D1499">
        <v>1.5</v>
      </c>
      <c r="E1499">
        <v>6</v>
      </c>
      <c r="F1499" t="s">
        <v>10020</v>
      </c>
      <c r="G1499" t="s">
        <v>10021</v>
      </c>
      <c r="H1499" s="6">
        <v>44970</v>
      </c>
      <c r="I1499">
        <f t="shared" si="46"/>
        <v>0</v>
      </c>
      <c r="J1499" t="str">
        <f t="shared" si="47"/>
        <v>Complete</v>
      </c>
      <c r="K1499">
        <f>COUNTIFS(RawData[Item], B1499,RawData[Quantity],C1499,RawData[Price Per Unit],D1499,RawData[Total Spent],E1499,RawData[Payment Method],F1499,RawData[Location],G1499,RawData[Transaction Date],H1499)</f>
        <v>1</v>
      </c>
      <c r="L1499"/>
    </row>
    <row r="1500" spans="1:12" x14ac:dyDescent="0.3">
      <c r="A1500" t="s">
        <v>1506</v>
      </c>
      <c r="B1500" t="s">
        <v>10011</v>
      </c>
      <c r="C1500">
        <v>4</v>
      </c>
      <c r="D1500">
        <v>5</v>
      </c>
      <c r="E1500">
        <v>20</v>
      </c>
      <c r="F1500" t="s">
        <v>10020</v>
      </c>
      <c r="G1500" t="s">
        <v>10102</v>
      </c>
      <c r="H1500" s="6">
        <v>45166</v>
      </c>
      <c r="I1500">
        <f t="shared" si="46"/>
        <v>0</v>
      </c>
      <c r="J1500" t="str">
        <f t="shared" si="47"/>
        <v>Complete</v>
      </c>
      <c r="K1500">
        <f>COUNTIFS(RawData[Item], B1500,RawData[Quantity],C1500,RawData[Price Per Unit],D1500,RawData[Total Spent],E1500,RawData[Payment Method],F1500,RawData[Location],G1500,RawData[Transaction Date],H1500)</f>
        <v>1</v>
      </c>
      <c r="L1500"/>
    </row>
    <row r="1501" spans="1:12" x14ac:dyDescent="0.3">
      <c r="A1501" t="s">
        <v>1507</v>
      </c>
      <c r="B1501" t="s">
        <v>10016</v>
      </c>
      <c r="C1501">
        <v>1</v>
      </c>
      <c r="D1501">
        <v>3</v>
      </c>
      <c r="E1501">
        <v>3</v>
      </c>
      <c r="F1501" t="s">
        <v>10069</v>
      </c>
      <c r="G1501" t="s">
        <v>10069</v>
      </c>
      <c r="H1501" s="6">
        <v>45291</v>
      </c>
      <c r="I1501">
        <f t="shared" si="46"/>
        <v>0</v>
      </c>
      <c r="J1501" t="str">
        <f t="shared" si="47"/>
        <v>Complete</v>
      </c>
      <c r="K1501">
        <f>COUNTIFS(RawData[Item], B1501,RawData[Quantity],C1501,RawData[Price Per Unit],D1501,RawData[Total Spent],E1501,RawData[Payment Method],F1501,RawData[Location],G1501,RawData[Transaction Date],H1501)</f>
        <v>1</v>
      </c>
      <c r="L1501"/>
    </row>
    <row r="1502" spans="1:12" x14ac:dyDescent="0.3">
      <c r="A1502" t="s">
        <v>1508</v>
      </c>
      <c r="B1502" t="s">
        <v>10016</v>
      </c>
      <c r="C1502" t="s">
        <v>10015</v>
      </c>
      <c r="D1502">
        <v>3</v>
      </c>
      <c r="E1502">
        <v>9</v>
      </c>
      <c r="F1502" t="s">
        <v>10019</v>
      </c>
      <c r="G1502" t="s">
        <v>10069</v>
      </c>
      <c r="H1502" s="6">
        <v>45176</v>
      </c>
      <c r="I1502">
        <f t="shared" si="46"/>
        <v>1</v>
      </c>
      <c r="J1502" t="str">
        <f t="shared" si="47"/>
        <v>Complete</v>
      </c>
      <c r="K1502">
        <f>COUNTIFS(RawData[Item], B1502,RawData[Quantity],C1502,RawData[Price Per Unit],D1502,RawData[Total Spent],E1502,RawData[Payment Method],F1502,RawData[Location],G1502,RawData[Transaction Date],H1502)</f>
        <v>1</v>
      </c>
      <c r="L1502"/>
    </row>
    <row r="1503" spans="1:12" x14ac:dyDescent="0.3">
      <c r="A1503" t="s">
        <v>1509</v>
      </c>
      <c r="B1503" t="s">
        <v>10017</v>
      </c>
      <c r="C1503">
        <v>2</v>
      </c>
      <c r="D1503">
        <v>1.5</v>
      </c>
      <c r="E1503">
        <v>3</v>
      </c>
      <c r="F1503" t="s">
        <v>10019</v>
      </c>
      <c r="G1503" t="s">
        <v>10069</v>
      </c>
      <c r="H1503" s="6">
        <v>45047</v>
      </c>
      <c r="I1503">
        <f t="shared" si="46"/>
        <v>0</v>
      </c>
      <c r="J1503" t="str">
        <f t="shared" si="47"/>
        <v>Complete</v>
      </c>
      <c r="K1503">
        <f>COUNTIFS(RawData[Item], B1503,RawData[Quantity],C1503,RawData[Price Per Unit],D1503,RawData[Total Spent],E1503,RawData[Payment Method],F1503,RawData[Location],G1503,RawData[Transaction Date],H1503)</f>
        <v>1</v>
      </c>
      <c r="L1503"/>
    </row>
    <row r="1504" spans="1:12" x14ac:dyDescent="0.3">
      <c r="A1504" t="s">
        <v>1510</v>
      </c>
      <c r="B1504" t="s">
        <v>10010</v>
      </c>
      <c r="C1504">
        <v>1</v>
      </c>
      <c r="D1504">
        <v>1</v>
      </c>
      <c r="E1504">
        <v>1</v>
      </c>
      <c r="F1504" t="s">
        <v>10020</v>
      </c>
      <c r="G1504" t="s">
        <v>10021</v>
      </c>
      <c r="H1504" s="6">
        <v>45264</v>
      </c>
      <c r="I1504">
        <f t="shared" si="46"/>
        <v>0</v>
      </c>
      <c r="J1504" t="str">
        <f t="shared" si="47"/>
        <v>Complete</v>
      </c>
      <c r="K1504">
        <f>COUNTIFS(RawData[Item], B1504,RawData[Quantity],C1504,RawData[Price Per Unit],D1504,RawData[Total Spent],E1504,RawData[Payment Method],F1504,RawData[Location],G1504,RawData[Transaction Date],H1504)</f>
        <v>1</v>
      </c>
      <c r="L1504"/>
    </row>
    <row r="1505" spans="1:12" x14ac:dyDescent="0.3">
      <c r="A1505" t="s">
        <v>1511</v>
      </c>
      <c r="B1505" t="s">
        <v>10011</v>
      </c>
      <c r="C1505">
        <v>1</v>
      </c>
      <c r="D1505">
        <v>5</v>
      </c>
      <c r="E1505">
        <v>5</v>
      </c>
      <c r="F1505" t="s">
        <v>10019</v>
      </c>
      <c r="G1505" t="s">
        <v>10021</v>
      </c>
      <c r="H1505" s="6">
        <v>45008</v>
      </c>
      <c r="I1505">
        <f t="shared" si="46"/>
        <v>0</v>
      </c>
      <c r="J1505" t="str">
        <f t="shared" si="47"/>
        <v>Complete</v>
      </c>
      <c r="K1505">
        <f>COUNTIFS(RawData[Item], B1505,RawData[Quantity],C1505,RawData[Price Per Unit],D1505,RawData[Total Spent],E1505,RawData[Payment Method],F1505,RawData[Location],G1505,RawData[Transaction Date],H1505)</f>
        <v>1</v>
      </c>
      <c r="L1505"/>
    </row>
    <row r="1506" spans="1:12" x14ac:dyDescent="0.3">
      <c r="A1506" t="s">
        <v>1512</v>
      </c>
      <c r="B1506" t="s">
        <v>10016</v>
      </c>
      <c r="C1506">
        <v>4</v>
      </c>
      <c r="D1506">
        <v>3</v>
      </c>
      <c r="E1506">
        <v>12</v>
      </c>
      <c r="F1506" t="s">
        <v>10018</v>
      </c>
      <c r="G1506" t="s">
        <v>10102</v>
      </c>
      <c r="H1506" s="6">
        <v>45064</v>
      </c>
      <c r="I1506">
        <f t="shared" si="46"/>
        <v>0</v>
      </c>
      <c r="J1506" t="str">
        <f t="shared" si="47"/>
        <v>Complete</v>
      </c>
      <c r="K1506">
        <f>COUNTIFS(RawData[Item], B1506,RawData[Quantity],C1506,RawData[Price Per Unit],D1506,RawData[Total Spent],E1506,RawData[Payment Method],F1506,RawData[Location],G1506,RawData[Transaction Date],H1506)</f>
        <v>1</v>
      </c>
      <c r="L1506"/>
    </row>
    <row r="1507" spans="1:12" x14ac:dyDescent="0.3">
      <c r="A1507" t="s">
        <v>1513</v>
      </c>
      <c r="B1507" t="s">
        <v>10012</v>
      </c>
      <c r="C1507">
        <v>5</v>
      </c>
      <c r="D1507">
        <v>4</v>
      </c>
      <c r="E1507">
        <v>20</v>
      </c>
      <c r="F1507" t="s">
        <v>10019</v>
      </c>
      <c r="G1507" t="s">
        <v>10103</v>
      </c>
      <c r="H1507" s="6">
        <v>45018</v>
      </c>
      <c r="I1507">
        <f t="shared" si="46"/>
        <v>1</v>
      </c>
      <c r="J1507" t="str">
        <f t="shared" si="47"/>
        <v>Complete</v>
      </c>
      <c r="K1507">
        <f>COUNTIFS(RawData[Item], B1507,RawData[Quantity],C1507,RawData[Price Per Unit],D1507,RawData[Total Spent],E1507,RawData[Payment Method],F1507,RawData[Location],G1507,RawData[Transaction Date],H1507)</f>
        <v>1</v>
      </c>
      <c r="L1507"/>
    </row>
    <row r="1508" spans="1:12" x14ac:dyDescent="0.3">
      <c r="A1508" t="s">
        <v>1514</v>
      </c>
      <c r="B1508" t="s">
        <v>10008</v>
      </c>
      <c r="C1508">
        <v>1</v>
      </c>
      <c r="D1508">
        <v>2</v>
      </c>
      <c r="E1508">
        <v>2</v>
      </c>
      <c r="F1508" t="s">
        <v>10018</v>
      </c>
      <c r="G1508" t="s">
        <v>10102</v>
      </c>
      <c r="H1508" s="6">
        <v>45275</v>
      </c>
      <c r="I1508">
        <f t="shared" si="46"/>
        <v>0</v>
      </c>
      <c r="J1508" t="str">
        <f t="shared" si="47"/>
        <v>Complete</v>
      </c>
      <c r="K1508">
        <f>COUNTIFS(RawData[Item], B1508,RawData[Quantity],C1508,RawData[Price Per Unit],D1508,RawData[Total Spent],E1508,RawData[Payment Method],F1508,RawData[Location],G1508,RawData[Transaction Date],H1508)</f>
        <v>1</v>
      </c>
      <c r="L1508"/>
    </row>
    <row r="1509" spans="1:12" x14ac:dyDescent="0.3">
      <c r="A1509" t="s">
        <v>1515</v>
      </c>
      <c r="B1509" t="s">
        <v>10008</v>
      </c>
      <c r="C1509">
        <v>3</v>
      </c>
      <c r="D1509">
        <v>2</v>
      </c>
      <c r="E1509">
        <v>6</v>
      </c>
      <c r="F1509" t="s">
        <v>10104</v>
      </c>
      <c r="G1509" t="s">
        <v>10069</v>
      </c>
      <c r="H1509" s="6">
        <v>45143</v>
      </c>
      <c r="I1509">
        <f t="shared" si="46"/>
        <v>1</v>
      </c>
      <c r="J1509" t="str">
        <f t="shared" si="47"/>
        <v>Complete</v>
      </c>
      <c r="K1509">
        <f>COUNTIFS(RawData[Item], B1509,RawData[Quantity],C1509,RawData[Price Per Unit],D1509,RawData[Total Spent],E1509,RawData[Payment Method],F1509,RawData[Location],G1509,RawData[Transaction Date],H1509)</f>
        <v>1</v>
      </c>
      <c r="L1509"/>
    </row>
    <row r="1510" spans="1:12" x14ac:dyDescent="0.3">
      <c r="A1510" t="s">
        <v>1516</v>
      </c>
      <c r="B1510" t="s">
        <v>10015</v>
      </c>
      <c r="C1510">
        <v>1</v>
      </c>
      <c r="D1510">
        <v>1</v>
      </c>
      <c r="E1510">
        <v>1</v>
      </c>
      <c r="F1510" t="s">
        <v>10019</v>
      </c>
      <c r="G1510" t="s">
        <v>10103</v>
      </c>
      <c r="H1510" s="6">
        <v>44989</v>
      </c>
      <c r="I1510">
        <f t="shared" si="46"/>
        <v>2</v>
      </c>
      <c r="J1510" t="str">
        <f t="shared" si="47"/>
        <v>Complete</v>
      </c>
      <c r="K1510">
        <f>COUNTIFS(RawData[Item], B1510,RawData[Quantity],C1510,RawData[Price Per Unit],D1510,RawData[Total Spent],E1510,RawData[Payment Method],F1510,RawData[Location],G1510,RawData[Transaction Date],H1510)</f>
        <v>1</v>
      </c>
      <c r="L1510"/>
    </row>
    <row r="1511" spans="1:12" x14ac:dyDescent="0.3">
      <c r="A1511" t="s">
        <v>1517</v>
      </c>
      <c r="B1511" t="s">
        <v>10008</v>
      </c>
      <c r="C1511">
        <v>3</v>
      </c>
      <c r="D1511">
        <v>2</v>
      </c>
      <c r="E1511">
        <v>6</v>
      </c>
      <c r="F1511" t="s">
        <v>10020</v>
      </c>
      <c r="G1511" t="s">
        <v>10102</v>
      </c>
      <c r="H1511" s="6">
        <v>45119</v>
      </c>
      <c r="I1511">
        <f t="shared" si="46"/>
        <v>0</v>
      </c>
      <c r="J1511" t="str">
        <f t="shared" si="47"/>
        <v>Complete</v>
      </c>
      <c r="K1511">
        <f>COUNTIFS(RawData[Item], B1511,RawData[Quantity],C1511,RawData[Price Per Unit],D1511,RawData[Total Spent],E1511,RawData[Payment Method],F1511,RawData[Location],G1511,RawData[Transaction Date],H1511)</f>
        <v>1</v>
      </c>
      <c r="L1511"/>
    </row>
    <row r="1512" spans="1:12" x14ac:dyDescent="0.3">
      <c r="A1512" t="s">
        <v>1518</v>
      </c>
      <c r="B1512" t="s">
        <v>10009</v>
      </c>
      <c r="C1512">
        <v>5</v>
      </c>
      <c r="D1512">
        <v>3</v>
      </c>
      <c r="E1512">
        <v>15</v>
      </c>
      <c r="F1512" t="s">
        <v>10069</v>
      </c>
      <c r="G1512" t="s">
        <v>10102</v>
      </c>
      <c r="H1512" s="6">
        <v>44997</v>
      </c>
      <c r="I1512">
        <f t="shared" si="46"/>
        <v>0</v>
      </c>
      <c r="J1512" t="str">
        <f t="shared" si="47"/>
        <v>Complete</v>
      </c>
      <c r="K1512">
        <f>COUNTIFS(RawData[Item], B1512,RawData[Quantity],C1512,RawData[Price Per Unit],D1512,RawData[Total Spent],E1512,RawData[Payment Method],F1512,RawData[Location],G1512,RawData[Transaction Date],H1512)</f>
        <v>1</v>
      </c>
      <c r="L1512"/>
    </row>
    <row r="1513" spans="1:12" x14ac:dyDescent="0.3">
      <c r="A1513" t="s">
        <v>1519</v>
      </c>
      <c r="B1513" t="s">
        <v>10010</v>
      </c>
      <c r="C1513">
        <v>2</v>
      </c>
      <c r="D1513">
        <v>1</v>
      </c>
      <c r="E1513">
        <v>2</v>
      </c>
      <c r="F1513" t="s">
        <v>10019</v>
      </c>
      <c r="G1513" t="s">
        <v>10021</v>
      </c>
      <c r="H1513" s="6">
        <v>45137</v>
      </c>
      <c r="I1513">
        <f t="shared" si="46"/>
        <v>0</v>
      </c>
      <c r="J1513" t="str">
        <f t="shared" si="47"/>
        <v>Complete</v>
      </c>
      <c r="K1513">
        <f>COUNTIFS(RawData[Item], B1513,RawData[Quantity],C1513,RawData[Price Per Unit],D1513,RawData[Total Spent],E1513,RawData[Payment Method],F1513,RawData[Location],G1513,RawData[Transaction Date],H1513)</f>
        <v>1</v>
      </c>
      <c r="L1513"/>
    </row>
    <row r="1514" spans="1:12" x14ac:dyDescent="0.3">
      <c r="A1514" t="s">
        <v>1520</v>
      </c>
      <c r="B1514" t="s">
        <v>10016</v>
      </c>
      <c r="C1514">
        <v>5</v>
      </c>
      <c r="D1514">
        <v>3</v>
      </c>
      <c r="E1514">
        <v>15</v>
      </c>
      <c r="F1514" t="s">
        <v>10018</v>
      </c>
      <c r="G1514" t="s">
        <v>10069</v>
      </c>
      <c r="H1514" s="6">
        <v>44952</v>
      </c>
      <c r="I1514">
        <f t="shared" si="46"/>
        <v>0</v>
      </c>
      <c r="J1514" t="str">
        <f t="shared" si="47"/>
        <v>Complete</v>
      </c>
      <c r="K1514">
        <f>COUNTIFS(RawData[Item], B1514,RawData[Quantity],C1514,RawData[Price Per Unit],D1514,RawData[Total Spent],E1514,RawData[Payment Method],F1514,RawData[Location],G1514,RawData[Transaction Date],H1514)</f>
        <v>1</v>
      </c>
      <c r="L1514"/>
    </row>
    <row r="1515" spans="1:12" x14ac:dyDescent="0.3">
      <c r="A1515" t="s">
        <v>1521</v>
      </c>
      <c r="B1515" t="s">
        <v>10015</v>
      </c>
      <c r="C1515" t="s">
        <v>10015</v>
      </c>
      <c r="D1515">
        <v>1</v>
      </c>
      <c r="E1515">
        <v>5</v>
      </c>
      <c r="F1515" t="s">
        <v>10019</v>
      </c>
      <c r="G1515" t="s">
        <v>10021</v>
      </c>
      <c r="H1515" s="6">
        <v>45198</v>
      </c>
      <c r="I1515">
        <f t="shared" si="46"/>
        <v>2</v>
      </c>
      <c r="J1515" t="str">
        <f t="shared" si="47"/>
        <v>Complete</v>
      </c>
      <c r="K1515">
        <f>COUNTIFS(RawData[Item], B1515,RawData[Quantity],C1515,RawData[Price Per Unit],D1515,RawData[Total Spent],E1515,RawData[Payment Method],F1515,RawData[Location],G1515,RawData[Transaction Date],H1515)</f>
        <v>1</v>
      </c>
      <c r="L1515"/>
    </row>
    <row r="1516" spans="1:12" x14ac:dyDescent="0.3">
      <c r="A1516" t="s">
        <v>1522</v>
      </c>
      <c r="B1516" t="s">
        <v>10016</v>
      </c>
      <c r="C1516">
        <v>1</v>
      </c>
      <c r="D1516">
        <v>3</v>
      </c>
      <c r="E1516">
        <v>3</v>
      </c>
      <c r="F1516" t="s">
        <v>10018</v>
      </c>
      <c r="G1516" t="s">
        <v>10104</v>
      </c>
      <c r="H1516" s="6">
        <v>44978</v>
      </c>
      <c r="I1516">
        <f t="shared" si="46"/>
        <v>1</v>
      </c>
      <c r="J1516" t="str">
        <f t="shared" si="47"/>
        <v>Complete</v>
      </c>
      <c r="K1516">
        <f>COUNTIFS(RawData[Item], B1516,RawData[Quantity],C1516,RawData[Price Per Unit],D1516,RawData[Total Spent],E1516,RawData[Payment Method],F1516,RawData[Location],G1516,RawData[Transaction Date],H1516)</f>
        <v>1</v>
      </c>
      <c r="L1516"/>
    </row>
    <row r="1517" spans="1:12" x14ac:dyDescent="0.3">
      <c r="A1517" t="s">
        <v>1523</v>
      </c>
      <c r="B1517" t="s">
        <v>10017</v>
      </c>
      <c r="C1517">
        <v>4</v>
      </c>
      <c r="D1517">
        <v>1.5</v>
      </c>
      <c r="E1517">
        <v>6</v>
      </c>
      <c r="F1517" t="s">
        <v>10018</v>
      </c>
      <c r="G1517" t="s">
        <v>10021</v>
      </c>
      <c r="H1517" s="6">
        <v>45097</v>
      </c>
      <c r="I1517">
        <f t="shared" si="46"/>
        <v>0</v>
      </c>
      <c r="J1517" t="str">
        <f t="shared" si="47"/>
        <v>Complete</v>
      </c>
      <c r="K1517">
        <f>COUNTIFS(RawData[Item], B1517,RawData[Quantity],C1517,RawData[Price Per Unit],D1517,RawData[Total Spent],E1517,RawData[Payment Method],F1517,RawData[Location],G1517,RawData[Transaction Date],H1517)</f>
        <v>1</v>
      </c>
      <c r="L1517"/>
    </row>
    <row r="1518" spans="1:12" x14ac:dyDescent="0.3">
      <c r="A1518" t="s">
        <v>1524</v>
      </c>
      <c r="B1518" t="s">
        <v>10012</v>
      </c>
      <c r="C1518">
        <v>4</v>
      </c>
      <c r="D1518">
        <v>4</v>
      </c>
      <c r="E1518">
        <v>16</v>
      </c>
      <c r="F1518" t="s">
        <v>10069</v>
      </c>
      <c r="G1518" t="s">
        <v>10021</v>
      </c>
      <c r="H1518" s="6">
        <v>45086</v>
      </c>
      <c r="I1518">
        <f t="shared" si="46"/>
        <v>0</v>
      </c>
      <c r="J1518" t="str">
        <f t="shared" si="47"/>
        <v>Complete</v>
      </c>
      <c r="K1518">
        <f>COUNTIFS(RawData[Item], B1518,RawData[Quantity],C1518,RawData[Price Per Unit],D1518,RawData[Total Spent],E1518,RawData[Payment Method],F1518,RawData[Location],G1518,RawData[Transaction Date],H1518)</f>
        <v>1</v>
      </c>
      <c r="L1518"/>
    </row>
    <row r="1519" spans="1:12" x14ac:dyDescent="0.3">
      <c r="A1519" t="s">
        <v>1525</v>
      </c>
      <c r="B1519" t="s">
        <v>10010</v>
      </c>
      <c r="C1519">
        <v>5</v>
      </c>
      <c r="D1519">
        <v>1</v>
      </c>
      <c r="E1519">
        <v>5</v>
      </c>
      <c r="F1519" t="s">
        <v>10019</v>
      </c>
      <c r="G1519" t="s">
        <v>10069</v>
      </c>
      <c r="H1519" s="6">
        <v>45263</v>
      </c>
      <c r="I1519">
        <f t="shared" si="46"/>
        <v>0</v>
      </c>
      <c r="J1519" t="str">
        <f t="shared" si="47"/>
        <v>Complete</v>
      </c>
      <c r="K1519">
        <f>COUNTIFS(RawData[Item], B1519,RawData[Quantity],C1519,RawData[Price Per Unit],D1519,RawData[Total Spent],E1519,RawData[Payment Method],F1519,RawData[Location],G1519,RawData[Transaction Date],H1519)</f>
        <v>1</v>
      </c>
      <c r="L1519"/>
    </row>
    <row r="1520" spans="1:12" x14ac:dyDescent="0.3">
      <c r="A1520" t="s">
        <v>1526</v>
      </c>
      <c r="B1520" t="s">
        <v>10008</v>
      </c>
      <c r="C1520">
        <v>4</v>
      </c>
      <c r="D1520">
        <v>2</v>
      </c>
      <c r="E1520">
        <v>8</v>
      </c>
      <c r="F1520" t="s">
        <v>10069</v>
      </c>
      <c r="G1520" t="s">
        <v>10069</v>
      </c>
      <c r="H1520" s="6">
        <v>45080</v>
      </c>
      <c r="I1520">
        <f t="shared" si="46"/>
        <v>0</v>
      </c>
      <c r="J1520" t="str">
        <f t="shared" si="47"/>
        <v>Complete</v>
      </c>
      <c r="K1520">
        <f>COUNTIFS(RawData[Item], B1520,RawData[Quantity],C1520,RawData[Price Per Unit],D1520,RawData[Total Spent],E1520,RawData[Payment Method],F1520,RawData[Location],G1520,RawData[Transaction Date],H1520)</f>
        <v>1</v>
      </c>
      <c r="L1520"/>
    </row>
    <row r="1521" spans="1:12" x14ac:dyDescent="0.3">
      <c r="A1521" t="s">
        <v>1527</v>
      </c>
      <c r="B1521" t="s">
        <v>10009</v>
      </c>
      <c r="C1521">
        <v>5</v>
      </c>
      <c r="D1521">
        <v>3</v>
      </c>
      <c r="E1521">
        <v>15</v>
      </c>
      <c r="F1521" t="s">
        <v>10104</v>
      </c>
      <c r="G1521" t="s">
        <v>10102</v>
      </c>
      <c r="H1521" s="6">
        <v>45200</v>
      </c>
      <c r="I1521">
        <f t="shared" si="46"/>
        <v>1</v>
      </c>
      <c r="J1521" t="str">
        <f t="shared" si="47"/>
        <v>Complete</v>
      </c>
      <c r="K1521">
        <f>COUNTIFS(RawData[Item], B1521,RawData[Quantity],C1521,RawData[Price Per Unit],D1521,RawData[Total Spent],E1521,RawData[Payment Method],F1521,RawData[Location],G1521,RawData[Transaction Date],H1521)</f>
        <v>1</v>
      </c>
      <c r="L1521"/>
    </row>
    <row r="1522" spans="1:12" x14ac:dyDescent="0.3">
      <c r="A1522" t="s">
        <v>1528</v>
      </c>
      <c r="B1522" t="s">
        <v>10017</v>
      </c>
      <c r="C1522">
        <v>2</v>
      </c>
      <c r="D1522">
        <v>1.5</v>
      </c>
      <c r="E1522">
        <v>3</v>
      </c>
      <c r="F1522" t="s">
        <v>10018</v>
      </c>
      <c r="G1522" t="s">
        <v>10102</v>
      </c>
      <c r="H1522" s="6">
        <v>45174</v>
      </c>
      <c r="I1522">
        <f t="shared" si="46"/>
        <v>0</v>
      </c>
      <c r="J1522" t="str">
        <f t="shared" si="47"/>
        <v>Complete</v>
      </c>
      <c r="K1522">
        <f>COUNTIFS(RawData[Item], B1522,RawData[Quantity],C1522,RawData[Price Per Unit],D1522,RawData[Total Spent],E1522,RawData[Payment Method],F1522,RawData[Location],G1522,RawData[Transaction Date],H1522)</f>
        <v>1</v>
      </c>
      <c r="L1522"/>
    </row>
    <row r="1523" spans="1:12" x14ac:dyDescent="0.3">
      <c r="A1523" t="s">
        <v>1529</v>
      </c>
      <c r="B1523" t="s">
        <v>10017</v>
      </c>
      <c r="C1523">
        <v>1</v>
      </c>
      <c r="D1523">
        <v>1.5</v>
      </c>
      <c r="E1523">
        <v>1.5</v>
      </c>
      <c r="F1523" t="s">
        <v>10019</v>
      </c>
      <c r="G1523" t="s">
        <v>10021</v>
      </c>
      <c r="H1523" s="6">
        <v>45181</v>
      </c>
      <c r="I1523">
        <f t="shared" si="46"/>
        <v>0</v>
      </c>
      <c r="J1523" t="str">
        <f t="shared" si="47"/>
        <v>Complete</v>
      </c>
      <c r="K1523">
        <f>COUNTIFS(RawData[Item], B1523,RawData[Quantity],C1523,RawData[Price Per Unit],D1523,RawData[Total Spent],E1523,RawData[Payment Method],F1523,RawData[Location],G1523,RawData[Transaction Date],H1523)</f>
        <v>2</v>
      </c>
      <c r="L1523"/>
    </row>
    <row r="1524" spans="1:12" x14ac:dyDescent="0.3">
      <c r="A1524" t="s">
        <v>1530</v>
      </c>
      <c r="B1524" t="s">
        <v>10069</v>
      </c>
      <c r="C1524">
        <v>1</v>
      </c>
      <c r="D1524">
        <v>4</v>
      </c>
      <c r="E1524">
        <v>4</v>
      </c>
      <c r="F1524" t="s">
        <v>10020</v>
      </c>
      <c r="G1524" t="s">
        <v>10102</v>
      </c>
      <c r="H1524" s="6">
        <v>45202</v>
      </c>
      <c r="I1524">
        <f t="shared" si="46"/>
        <v>0</v>
      </c>
      <c r="J1524" t="str">
        <f t="shared" si="47"/>
        <v>Complete</v>
      </c>
      <c r="K1524">
        <f>COUNTIFS(RawData[Item], B1524,RawData[Quantity],C1524,RawData[Price Per Unit],D1524,RawData[Total Spent],E1524,RawData[Payment Method],F1524,RawData[Location],G1524,RawData[Transaction Date],H1524)</f>
        <v>1</v>
      </c>
      <c r="L1524"/>
    </row>
    <row r="1525" spans="1:12" x14ac:dyDescent="0.3">
      <c r="A1525" t="s">
        <v>1531</v>
      </c>
      <c r="B1525" t="s">
        <v>10017</v>
      </c>
      <c r="C1525">
        <v>3</v>
      </c>
      <c r="D1525">
        <v>1.5</v>
      </c>
      <c r="E1525">
        <v>4.5</v>
      </c>
      <c r="F1525" t="s">
        <v>10069</v>
      </c>
      <c r="G1525" t="s">
        <v>10069</v>
      </c>
      <c r="H1525" s="6">
        <v>45065</v>
      </c>
      <c r="I1525">
        <f t="shared" si="46"/>
        <v>0</v>
      </c>
      <c r="J1525" t="str">
        <f t="shared" si="47"/>
        <v>Complete</v>
      </c>
      <c r="K1525">
        <f>COUNTIFS(RawData[Item], B1525,RawData[Quantity],C1525,RawData[Price Per Unit],D1525,RawData[Total Spent],E1525,RawData[Payment Method],F1525,RawData[Location],G1525,RawData[Transaction Date],H1525)</f>
        <v>1</v>
      </c>
      <c r="L1525"/>
    </row>
    <row r="1526" spans="1:12" x14ac:dyDescent="0.3">
      <c r="A1526" t="s">
        <v>1532</v>
      </c>
      <c r="B1526" t="s">
        <v>10012</v>
      </c>
      <c r="C1526">
        <v>4</v>
      </c>
      <c r="D1526">
        <v>4</v>
      </c>
      <c r="E1526">
        <v>16</v>
      </c>
      <c r="F1526" t="s">
        <v>10019</v>
      </c>
      <c r="G1526" t="s">
        <v>10021</v>
      </c>
      <c r="H1526" s="6">
        <v>45148</v>
      </c>
      <c r="I1526">
        <f t="shared" si="46"/>
        <v>0</v>
      </c>
      <c r="J1526" t="str">
        <f t="shared" si="47"/>
        <v>Complete</v>
      </c>
      <c r="K1526">
        <f>COUNTIFS(RawData[Item], B1526,RawData[Quantity],C1526,RawData[Price Per Unit],D1526,RawData[Total Spent],E1526,RawData[Payment Method],F1526,RawData[Location],G1526,RawData[Transaction Date],H1526)</f>
        <v>1</v>
      </c>
      <c r="L1526"/>
    </row>
    <row r="1527" spans="1:12" x14ac:dyDescent="0.3">
      <c r="A1527" t="s">
        <v>1533</v>
      </c>
      <c r="B1527" t="s">
        <v>10010</v>
      </c>
      <c r="C1527">
        <v>4</v>
      </c>
      <c r="D1527">
        <v>1</v>
      </c>
      <c r="E1527">
        <v>4</v>
      </c>
      <c r="F1527" t="s">
        <v>10019</v>
      </c>
      <c r="G1527" t="s">
        <v>10102</v>
      </c>
      <c r="H1527" s="6">
        <v>45158</v>
      </c>
      <c r="I1527">
        <f t="shared" si="46"/>
        <v>0</v>
      </c>
      <c r="J1527" t="str">
        <f t="shared" si="47"/>
        <v>Complete</v>
      </c>
      <c r="K1527">
        <f>COUNTIFS(RawData[Item], B1527,RawData[Quantity],C1527,RawData[Price Per Unit],D1527,RawData[Total Spent],E1527,RawData[Payment Method],F1527,RawData[Location],G1527,RawData[Transaction Date],H1527)</f>
        <v>1</v>
      </c>
      <c r="L1527"/>
    </row>
    <row r="1528" spans="1:12" x14ac:dyDescent="0.3">
      <c r="A1528" t="s">
        <v>1534</v>
      </c>
      <c r="B1528" t="s">
        <v>10011</v>
      </c>
      <c r="C1528">
        <v>3</v>
      </c>
      <c r="D1528">
        <v>5</v>
      </c>
      <c r="E1528">
        <v>15</v>
      </c>
      <c r="F1528" t="s">
        <v>10019</v>
      </c>
      <c r="G1528" t="s">
        <v>10021</v>
      </c>
      <c r="H1528" s="6">
        <v>45135</v>
      </c>
      <c r="I1528">
        <f t="shared" si="46"/>
        <v>0</v>
      </c>
      <c r="J1528" t="str">
        <f t="shared" si="47"/>
        <v>Complete</v>
      </c>
      <c r="K1528">
        <f>COUNTIFS(RawData[Item], B1528,RawData[Quantity],C1528,RawData[Price Per Unit],D1528,RawData[Total Spent],E1528,RawData[Payment Method],F1528,RawData[Location],G1528,RawData[Transaction Date],H1528)</f>
        <v>1</v>
      </c>
      <c r="L1528"/>
    </row>
    <row r="1529" spans="1:12" x14ac:dyDescent="0.3">
      <c r="A1529" t="s">
        <v>1535</v>
      </c>
      <c r="B1529" t="s">
        <v>10011</v>
      </c>
      <c r="C1529">
        <v>5</v>
      </c>
      <c r="D1529">
        <v>5</v>
      </c>
      <c r="E1529">
        <v>25</v>
      </c>
      <c r="F1529" t="s">
        <v>10018</v>
      </c>
      <c r="G1529" t="s">
        <v>10102</v>
      </c>
      <c r="H1529" s="6">
        <v>45144</v>
      </c>
      <c r="I1529">
        <f t="shared" si="46"/>
        <v>0</v>
      </c>
      <c r="J1529" t="str">
        <f t="shared" si="47"/>
        <v>Complete</v>
      </c>
      <c r="K1529">
        <f>COUNTIFS(RawData[Item], B1529,RawData[Quantity],C1529,RawData[Price Per Unit],D1529,RawData[Total Spent],E1529,RawData[Payment Method],F1529,RawData[Location],G1529,RawData[Transaction Date],H1529)</f>
        <v>2</v>
      </c>
      <c r="L1529"/>
    </row>
    <row r="1530" spans="1:12" x14ac:dyDescent="0.3">
      <c r="A1530" t="s">
        <v>1536</v>
      </c>
      <c r="B1530" t="s">
        <v>10016</v>
      </c>
      <c r="C1530">
        <v>4</v>
      </c>
      <c r="D1530">
        <v>3</v>
      </c>
      <c r="E1530">
        <v>12</v>
      </c>
      <c r="F1530" t="s">
        <v>10020</v>
      </c>
      <c r="G1530" t="s">
        <v>10102</v>
      </c>
      <c r="H1530" s="6">
        <v>45228</v>
      </c>
      <c r="I1530">
        <f t="shared" si="46"/>
        <v>0</v>
      </c>
      <c r="J1530" t="str">
        <f t="shared" si="47"/>
        <v>Complete</v>
      </c>
      <c r="K1530">
        <f>COUNTIFS(RawData[Item], B1530,RawData[Quantity],C1530,RawData[Price Per Unit],D1530,RawData[Total Spent],E1530,RawData[Payment Method],F1530,RawData[Location],G1530,RawData[Transaction Date],H1530)</f>
        <v>1</v>
      </c>
      <c r="L1530"/>
    </row>
    <row r="1531" spans="1:12" x14ac:dyDescent="0.3">
      <c r="A1531" t="s">
        <v>1537</v>
      </c>
      <c r="B1531" t="s">
        <v>10013</v>
      </c>
      <c r="C1531">
        <v>5</v>
      </c>
      <c r="D1531">
        <v>1</v>
      </c>
      <c r="E1531">
        <v>5</v>
      </c>
      <c r="F1531" t="s">
        <v>10018</v>
      </c>
      <c r="G1531" t="s">
        <v>10102</v>
      </c>
      <c r="H1531" s="6">
        <v>45186</v>
      </c>
      <c r="I1531">
        <f t="shared" si="46"/>
        <v>1</v>
      </c>
      <c r="J1531" t="str">
        <f t="shared" si="47"/>
        <v>Complete</v>
      </c>
      <c r="K1531">
        <f>COUNTIFS(RawData[Item], B1531,RawData[Quantity],C1531,RawData[Price Per Unit],D1531,RawData[Total Spent],E1531,RawData[Payment Method],F1531,RawData[Location],G1531,RawData[Transaction Date],H1531)</f>
        <v>1</v>
      </c>
      <c r="L1531"/>
    </row>
    <row r="1532" spans="1:12" x14ac:dyDescent="0.3">
      <c r="A1532" t="s">
        <v>1538</v>
      </c>
      <c r="B1532" t="s">
        <v>10011</v>
      </c>
      <c r="C1532">
        <v>1</v>
      </c>
      <c r="D1532">
        <v>5</v>
      </c>
      <c r="E1532">
        <v>5</v>
      </c>
      <c r="F1532" t="s">
        <v>10103</v>
      </c>
      <c r="G1532" t="s">
        <v>10021</v>
      </c>
      <c r="H1532" s="6">
        <v>45043</v>
      </c>
      <c r="I1532">
        <f t="shared" si="46"/>
        <v>1</v>
      </c>
      <c r="J1532" t="str">
        <f t="shared" si="47"/>
        <v>Complete</v>
      </c>
      <c r="K1532">
        <f>COUNTIFS(RawData[Item], B1532,RawData[Quantity],C1532,RawData[Price Per Unit],D1532,RawData[Total Spent],E1532,RawData[Payment Method],F1532,RawData[Location],G1532,RawData[Transaction Date],H1532)</f>
        <v>1</v>
      </c>
      <c r="L1532"/>
    </row>
    <row r="1533" spans="1:12" x14ac:dyDescent="0.3">
      <c r="A1533" t="s">
        <v>1539</v>
      </c>
      <c r="B1533" t="s">
        <v>10011</v>
      </c>
      <c r="C1533">
        <v>2</v>
      </c>
      <c r="D1533">
        <v>5</v>
      </c>
      <c r="E1533">
        <v>10</v>
      </c>
      <c r="F1533" t="s">
        <v>10069</v>
      </c>
      <c r="G1533" t="s">
        <v>10069</v>
      </c>
      <c r="H1533" s="6">
        <v>44928</v>
      </c>
      <c r="I1533">
        <f t="shared" si="46"/>
        <v>0</v>
      </c>
      <c r="J1533" t="str">
        <f t="shared" si="47"/>
        <v>Complete</v>
      </c>
      <c r="K1533">
        <f>COUNTIFS(RawData[Item], B1533,RawData[Quantity],C1533,RawData[Price Per Unit],D1533,RawData[Total Spent],E1533,RawData[Payment Method],F1533,RawData[Location],G1533,RawData[Transaction Date],H1533)</f>
        <v>1</v>
      </c>
      <c r="L1533"/>
    </row>
    <row r="1534" spans="1:12" x14ac:dyDescent="0.3">
      <c r="A1534" t="s">
        <v>1540</v>
      </c>
      <c r="B1534" t="s">
        <v>10009</v>
      </c>
      <c r="C1534">
        <v>2</v>
      </c>
      <c r="D1534">
        <v>3</v>
      </c>
      <c r="E1534">
        <v>6</v>
      </c>
      <c r="F1534" t="s">
        <v>10069</v>
      </c>
      <c r="G1534" t="s">
        <v>10021</v>
      </c>
      <c r="H1534" s="6">
        <v>45046</v>
      </c>
      <c r="I1534">
        <f t="shared" si="46"/>
        <v>0</v>
      </c>
      <c r="J1534" t="str">
        <f t="shared" si="47"/>
        <v>Complete</v>
      </c>
      <c r="K1534">
        <f>COUNTIFS(RawData[Item], B1534,RawData[Quantity],C1534,RawData[Price Per Unit],D1534,RawData[Total Spent],E1534,RawData[Payment Method],F1534,RawData[Location],G1534,RawData[Transaction Date],H1534)</f>
        <v>1</v>
      </c>
      <c r="L1534"/>
    </row>
    <row r="1535" spans="1:12" x14ac:dyDescent="0.3">
      <c r="A1535" t="s">
        <v>1541</v>
      </c>
      <c r="B1535" t="s">
        <v>10011</v>
      </c>
      <c r="C1535">
        <v>5</v>
      </c>
      <c r="D1535">
        <v>5</v>
      </c>
      <c r="E1535">
        <v>25</v>
      </c>
      <c r="F1535" t="s">
        <v>10020</v>
      </c>
      <c r="G1535" t="s">
        <v>10069</v>
      </c>
      <c r="H1535" s="6">
        <v>44968</v>
      </c>
      <c r="I1535">
        <f t="shared" si="46"/>
        <v>0</v>
      </c>
      <c r="J1535" t="str">
        <f t="shared" si="47"/>
        <v>Complete</v>
      </c>
      <c r="K1535">
        <f>COUNTIFS(RawData[Item], B1535,RawData[Quantity],C1535,RawData[Price Per Unit],D1535,RawData[Total Spent],E1535,RawData[Payment Method],F1535,RawData[Location],G1535,RawData[Transaction Date],H1535)</f>
        <v>1</v>
      </c>
      <c r="L1535"/>
    </row>
    <row r="1536" spans="1:12" x14ac:dyDescent="0.3">
      <c r="A1536" t="s">
        <v>1542</v>
      </c>
      <c r="B1536" t="s">
        <v>10011</v>
      </c>
      <c r="C1536">
        <v>2</v>
      </c>
      <c r="D1536">
        <v>5</v>
      </c>
      <c r="E1536">
        <v>10</v>
      </c>
      <c r="F1536" t="s">
        <v>10020</v>
      </c>
      <c r="G1536" t="s">
        <v>10069</v>
      </c>
      <c r="H1536" s="6" t="s">
        <v>10112</v>
      </c>
      <c r="I1536">
        <f t="shared" si="46"/>
        <v>1</v>
      </c>
      <c r="J1536" t="str">
        <f t="shared" si="47"/>
        <v>Incomplete</v>
      </c>
      <c r="K1536">
        <f>COUNTIFS(RawData[Item], B1536,RawData[Quantity],C1536,RawData[Price Per Unit],D1536,RawData[Total Spent],E1536,RawData[Payment Method],F1536,RawData[Location],G1536,RawData[Transaction Date],H1536)</f>
        <v>2</v>
      </c>
      <c r="L1536"/>
    </row>
    <row r="1537" spans="1:12" x14ac:dyDescent="0.3">
      <c r="A1537" t="s">
        <v>1543</v>
      </c>
      <c r="B1537" t="s">
        <v>10014</v>
      </c>
      <c r="C1537">
        <v>2</v>
      </c>
      <c r="D1537">
        <v>4</v>
      </c>
      <c r="E1537">
        <v>8</v>
      </c>
      <c r="F1537" t="s">
        <v>10019</v>
      </c>
      <c r="G1537" t="s">
        <v>10102</v>
      </c>
      <c r="H1537" s="6">
        <v>44974</v>
      </c>
      <c r="I1537">
        <f t="shared" si="46"/>
        <v>0</v>
      </c>
      <c r="J1537" t="str">
        <f t="shared" si="47"/>
        <v>Complete</v>
      </c>
      <c r="K1537">
        <f>COUNTIFS(RawData[Item], B1537,RawData[Quantity],C1537,RawData[Price Per Unit],D1537,RawData[Total Spent],E1537,RawData[Payment Method],F1537,RawData[Location],G1537,RawData[Transaction Date],H1537)</f>
        <v>1</v>
      </c>
      <c r="L1537"/>
    </row>
    <row r="1538" spans="1:12" x14ac:dyDescent="0.3">
      <c r="A1538" t="s">
        <v>1544</v>
      </c>
      <c r="B1538" t="s">
        <v>10008</v>
      </c>
      <c r="C1538">
        <v>4</v>
      </c>
      <c r="D1538">
        <v>2</v>
      </c>
      <c r="E1538">
        <v>8</v>
      </c>
      <c r="F1538" t="s">
        <v>10019</v>
      </c>
      <c r="G1538" t="s">
        <v>10102</v>
      </c>
      <c r="H1538" s="6">
        <v>45194</v>
      </c>
      <c r="I1538">
        <f t="shared" ref="I1538:I1601" si="48">(B1538="Unknown")+(B1538="Error")+(C1538="Unknown")+(C1538="Error")+(D1538="Unknown")+(D1538="Error")+(E1538="Unknown")+(E1538="Error")+(F1538="Unknown")+(F1538="Error")+(G1538="Unknown")+(G1538="Error")+(H1538="No Date")</f>
        <v>0</v>
      </c>
      <c r="J1538" t="str">
        <f t="shared" ref="J1538:J1601" si="49">IF((H1538="No Date"),"Incomplete","Complete")</f>
        <v>Complete</v>
      </c>
      <c r="K1538">
        <f>COUNTIFS(RawData[Item], B1538,RawData[Quantity],C1538,RawData[Price Per Unit],D1538,RawData[Total Spent],E1538,RawData[Payment Method],F1538,RawData[Location],G1538,RawData[Transaction Date],H1538)</f>
        <v>1</v>
      </c>
      <c r="L1538"/>
    </row>
    <row r="1539" spans="1:12" x14ac:dyDescent="0.3">
      <c r="A1539" t="s">
        <v>1545</v>
      </c>
      <c r="B1539" t="s">
        <v>10008</v>
      </c>
      <c r="C1539">
        <v>2</v>
      </c>
      <c r="D1539">
        <v>2</v>
      </c>
      <c r="E1539">
        <v>4</v>
      </c>
      <c r="F1539" t="s">
        <v>10020</v>
      </c>
      <c r="G1539" t="s">
        <v>10021</v>
      </c>
      <c r="H1539" s="6">
        <v>45125</v>
      </c>
      <c r="I1539">
        <f t="shared" si="48"/>
        <v>0</v>
      </c>
      <c r="J1539" t="str">
        <f t="shared" si="49"/>
        <v>Complete</v>
      </c>
      <c r="K1539">
        <f>COUNTIFS(RawData[Item], B1539,RawData[Quantity],C1539,RawData[Price Per Unit],D1539,RawData[Total Spent],E1539,RawData[Payment Method],F1539,RawData[Location],G1539,RawData[Transaction Date],H1539)</f>
        <v>1</v>
      </c>
      <c r="L1539"/>
    </row>
    <row r="1540" spans="1:12" x14ac:dyDescent="0.3">
      <c r="A1540" t="s">
        <v>1546</v>
      </c>
      <c r="B1540" t="s">
        <v>10016</v>
      </c>
      <c r="C1540">
        <v>4</v>
      </c>
      <c r="D1540">
        <v>3</v>
      </c>
      <c r="E1540">
        <v>0</v>
      </c>
      <c r="F1540" t="s">
        <v>10018</v>
      </c>
      <c r="G1540" t="s">
        <v>10102</v>
      </c>
      <c r="H1540" s="6">
        <v>45098</v>
      </c>
      <c r="I1540">
        <f t="shared" si="48"/>
        <v>0</v>
      </c>
      <c r="J1540" t="str">
        <f t="shared" si="49"/>
        <v>Complete</v>
      </c>
      <c r="K1540">
        <f>COUNTIFS(RawData[Item], B1540,RawData[Quantity],C1540,RawData[Price Per Unit],D1540,RawData[Total Spent],E1540,RawData[Payment Method],F1540,RawData[Location],G1540,RawData[Transaction Date],H1540)</f>
        <v>1</v>
      </c>
      <c r="L1540"/>
    </row>
    <row r="1541" spans="1:12" x14ac:dyDescent="0.3">
      <c r="A1541" t="s">
        <v>1547</v>
      </c>
      <c r="B1541" t="s">
        <v>10008</v>
      </c>
      <c r="C1541">
        <v>5</v>
      </c>
      <c r="D1541">
        <v>2</v>
      </c>
      <c r="E1541">
        <v>10</v>
      </c>
      <c r="F1541" t="s">
        <v>10019</v>
      </c>
      <c r="G1541" t="s">
        <v>10069</v>
      </c>
      <c r="H1541" s="6">
        <v>45259</v>
      </c>
      <c r="I1541">
        <f t="shared" si="48"/>
        <v>0</v>
      </c>
      <c r="J1541" t="str">
        <f t="shared" si="49"/>
        <v>Complete</v>
      </c>
      <c r="K1541">
        <f>COUNTIFS(RawData[Item], B1541,RawData[Quantity],C1541,RawData[Price Per Unit],D1541,RawData[Total Spent],E1541,RawData[Payment Method],F1541,RawData[Location],G1541,RawData[Transaction Date],H1541)</f>
        <v>1</v>
      </c>
      <c r="L1541"/>
    </row>
    <row r="1542" spans="1:12" x14ac:dyDescent="0.3">
      <c r="A1542" t="s">
        <v>1548</v>
      </c>
      <c r="B1542" t="s">
        <v>10008</v>
      </c>
      <c r="C1542">
        <v>5</v>
      </c>
      <c r="D1542">
        <v>2</v>
      </c>
      <c r="E1542">
        <v>10</v>
      </c>
      <c r="F1542" t="s">
        <v>10069</v>
      </c>
      <c r="G1542" t="s">
        <v>10069</v>
      </c>
      <c r="H1542" s="6">
        <v>45068</v>
      </c>
      <c r="I1542">
        <f t="shared" si="48"/>
        <v>0</v>
      </c>
      <c r="J1542" t="str">
        <f t="shared" si="49"/>
        <v>Complete</v>
      </c>
      <c r="K1542">
        <f>COUNTIFS(RawData[Item], B1542,RawData[Quantity],C1542,RawData[Price Per Unit],D1542,RawData[Total Spent],E1542,RawData[Payment Method],F1542,RawData[Location],G1542,RawData[Transaction Date],H1542)</f>
        <v>1</v>
      </c>
      <c r="L1542"/>
    </row>
    <row r="1543" spans="1:12" x14ac:dyDescent="0.3">
      <c r="A1543" t="s">
        <v>1549</v>
      </c>
      <c r="B1543" t="s">
        <v>10014</v>
      </c>
      <c r="C1543">
        <v>2</v>
      </c>
      <c r="D1543">
        <v>4</v>
      </c>
      <c r="E1543">
        <v>8</v>
      </c>
      <c r="F1543" t="s">
        <v>10020</v>
      </c>
      <c r="G1543" t="s">
        <v>10021</v>
      </c>
      <c r="H1543" s="6">
        <v>45251</v>
      </c>
      <c r="I1543">
        <f t="shared" si="48"/>
        <v>0</v>
      </c>
      <c r="J1543" t="str">
        <f t="shared" si="49"/>
        <v>Complete</v>
      </c>
      <c r="K1543">
        <f>COUNTIFS(RawData[Item], B1543,RawData[Quantity],C1543,RawData[Price Per Unit],D1543,RawData[Total Spent],E1543,RawData[Payment Method],F1543,RawData[Location],G1543,RawData[Transaction Date],H1543)</f>
        <v>1</v>
      </c>
      <c r="L1543"/>
    </row>
    <row r="1544" spans="1:12" x14ac:dyDescent="0.3">
      <c r="A1544" t="s">
        <v>1550</v>
      </c>
      <c r="B1544" t="s">
        <v>10011</v>
      </c>
      <c r="C1544">
        <v>5</v>
      </c>
      <c r="D1544">
        <v>5</v>
      </c>
      <c r="E1544" t="s">
        <v>10013</v>
      </c>
      <c r="F1544" t="s">
        <v>10069</v>
      </c>
      <c r="G1544" t="s">
        <v>10069</v>
      </c>
      <c r="H1544" s="6">
        <v>45023</v>
      </c>
      <c r="I1544">
        <f t="shared" si="48"/>
        <v>1</v>
      </c>
      <c r="J1544" t="str">
        <f t="shared" si="49"/>
        <v>Complete</v>
      </c>
      <c r="K1544">
        <f>COUNTIFS(RawData[Item], B1544,RawData[Quantity],C1544,RawData[Price Per Unit],D1544,RawData[Total Spent],E1544,RawData[Payment Method],F1544,RawData[Location],G1544,RawData[Transaction Date],H1544)</f>
        <v>1</v>
      </c>
      <c r="L1544"/>
    </row>
    <row r="1545" spans="1:12" x14ac:dyDescent="0.3">
      <c r="A1545" t="s">
        <v>1551</v>
      </c>
      <c r="B1545" t="s">
        <v>10011</v>
      </c>
      <c r="C1545">
        <v>1</v>
      </c>
      <c r="D1545">
        <v>5</v>
      </c>
      <c r="E1545">
        <v>5</v>
      </c>
      <c r="F1545" t="s">
        <v>10069</v>
      </c>
      <c r="G1545" t="s">
        <v>10102</v>
      </c>
      <c r="H1545" s="6">
        <v>45062</v>
      </c>
      <c r="I1545">
        <f t="shared" si="48"/>
        <v>0</v>
      </c>
      <c r="J1545" t="str">
        <f t="shared" si="49"/>
        <v>Complete</v>
      </c>
      <c r="K1545">
        <f>COUNTIFS(RawData[Item], B1545,RawData[Quantity],C1545,RawData[Price Per Unit],D1545,RawData[Total Spent],E1545,RawData[Payment Method],F1545,RawData[Location],G1545,RawData[Transaction Date],H1545)</f>
        <v>1</v>
      </c>
      <c r="L1545"/>
    </row>
    <row r="1546" spans="1:12" x14ac:dyDescent="0.3">
      <c r="A1546" t="s">
        <v>1552</v>
      </c>
      <c r="B1546" t="s">
        <v>10017</v>
      </c>
      <c r="C1546">
        <v>1</v>
      </c>
      <c r="D1546">
        <v>1.5</v>
      </c>
      <c r="E1546">
        <v>1.5</v>
      </c>
      <c r="F1546" t="s">
        <v>10020</v>
      </c>
      <c r="G1546" t="s">
        <v>10102</v>
      </c>
      <c r="H1546" s="6">
        <v>45212</v>
      </c>
      <c r="I1546">
        <f t="shared" si="48"/>
        <v>0</v>
      </c>
      <c r="J1546" t="str">
        <f t="shared" si="49"/>
        <v>Complete</v>
      </c>
      <c r="K1546">
        <f>COUNTIFS(RawData[Item], B1546,RawData[Quantity],C1546,RawData[Price Per Unit],D1546,RawData[Total Spent],E1546,RawData[Payment Method],F1546,RawData[Location],G1546,RawData[Transaction Date],H1546)</f>
        <v>1</v>
      </c>
      <c r="L1546"/>
    </row>
    <row r="1547" spans="1:12" x14ac:dyDescent="0.3">
      <c r="A1547" t="s">
        <v>1553</v>
      </c>
      <c r="B1547" t="s">
        <v>10011</v>
      </c>
      <c r="C1547">
        <v>3</v>
      </c>
      <c r="D1547">
        <v>5</v>
      </c>
      <c r="E1547">
        <v>15</v>
      </c>
      <c r="F1547" t="s">
        <v>10019</v>
      </c>
      <c r="G1547" t="s">
        <v>10102</v>
      </c>
      <c r="H1547" s="6">
        <v>44972</v>
      </c>
      <c r="I1547">
        <f t="shared" si="48"/>
        <v>0</v>
      </c>
      <c r="J1547" t="str">
        <f t="shared" si="49"/>
        <v>Complete</v>
      </c>
      <c r="K1547">
        <f>COUNTIFS(RawData[Item], B1547,RawData[Quantity],C1547,RawData[Price Per Unit],D1547,RawData[Total Spent],E1547,RawData[Payment Method],F1547,RawData[Location],G1547,RawData[Transaction Date],H1547)</f>
        <v>1</v>
      </c>
      <c r="L1547"/>
    </row>
    <row r="1548" spans="1:12" x14ac:dyDescent="0.3">
      <c r="A1548" t="s">
        <v>1554</v>
      </c>
      <c r="B1548" t="s">
        <v>10017</v>
      </c>
      <c r="C1548">
        <v>2</v>
      </c>
      <c r="D1548">
        <v>1.5</v>
      </c>
      <c r="E1548">
        <v>3</v>
      </c>
      <c r="F1548" t="s">
        <v>10103</v>
      </c>
      <c r="G1548" t="s">
        <v>10102</v>
      </c>
      <c r="H1548" s="6">
        <v>45234</v>
      </c>
      <c r="I1548">
        <f t="shared" si="48"/>
        <v>1</v>
      </c>
      <c r="J1548" t="str">
        <f t="shared" si="49"/>
        <v>Complete</v>
      </c>
      <c r="K1548">
        <f>COUNTIFS(RawData[Item], B1548,RawData[Quantity],C1548,RawData[Price Per Unit],D1548,RawData[Total Spent],E1548,RawData[Payment Method],F1548,RawData[Location],G1548,RawData[Transaction Date],H1548)</f>
        <v>1</v>
      </c>
      <c r="L1548"/>
    </row>
    <row r="1549" spans="1:12" x14ac:dyDescent="0.3">
      <c r="A1549" t="s">
        <v>1555</v>
      </c>
      <c r="B1549" t="s">
        <v>10010</v>
      </c>
      <c r="C1549">
        <v>3</v>
      </c>
      <c r="D1549">
        <v>1</v>
      </c>
      <c r="E1549">
        <v>0</v>
      </c>
      <c r="F1549" t="s">
        <v>10018</v>
      </c>
      <c r="G1549" t="s">
        <v>10021</v>
      </c>
      <c r="H1549" s="6">
        <v>44946</v>
      </c>
      <c r="I1549">
        <f t="shared" si="48"/>
        <v>0</v>
      </c>
      <c r="J1549" t="str">
        <f t="shared" si="49"/>
        <v>Complete</v>
      </c>
      <c r="K1549">
        <f>COUNTIFS(RawData[Item], B1549,RawData[Quantity],C1549,RawData[Price Per Unit],D1549,RawData[Total Spent],E1549,RawData[Payment Method],F1549,RawData[Location],G1549,RawData[Transaction Date],H1549)</f>
        <v>1</v>
      </c>
      <c r="L1549"/>
    </row>
    <row r="1550" spans="1:12" x14ac:dyDescent="0.3">
      <c r="A1550" t="s">
        <v>1556</v>
      </c>
      <c r="B1550" t="s">
        <v>10016</v>
      </c>
      <c r="C1550">
        <v>1</v>
      </c>
      <c r="D1550">
        <v>3</v>
      </c>
      <c r="E1550">
        <v>3</v>
      </c>
      <c r="F1550" t="s">
        <v>10019</v>
      </c>
      <c r="G1550" t="s">
        <v>10021</v>
      </c>
      <c r="H1550" s="6">
        <v>45011</v>
      </c>
      <c r="I1550">
        <f t="shared" si="48"/>
        <v>0</v>
      </c>
      <c r="J1550" t="str">
        <f t="shared" si="49"/>
        <v>Complete</v>
      </c>
      <c r="K1550">
        <f>COUNTIFS(RawData[Item], B1550,RawData[Quantity],C1550,RawData[Price Per Unit],D1550,RawData[Total Spent],E1550,RawData[Payment Method],F1550,RawData[Location],G1550,RawData[Transaction Date],H1550)</f>
        <v>1</v>
      </c>
      <c r="L1550"/>
    </row>
    <row r="1551" spans="1:12" x14ac:dyDescent="0.3">
      <c r="A1551" t="s">
        <v>1557</v>
      </c>
      <c r="B1551" t="s">
        <v>10009</v>
      </c>
      <c r="C1551">
        <v>3</v>
      </c>
      <c r="D1551">
        <v>3</v>
      </c>
      <c r="E1551">
        <v>9</v>
      </c>
      <c r="F1551" t="s">
        <v>10019</v>
      </c>
      <c r="G1551" t="s">
        <v>10102</v>
      </c>
      <c r="H1551" s="6">
        <v>45152</v>
      </c>
      <c r="I1551">
        <f t="shared" si="48"/>
        <v>0</v>
      </c>
      <c r="J1551" t="str">
        <f t="shared" si="49"/>
        <v>Complete</v>
      </c>
      <c r="K1551">
        <f>COUNTIFS(RawData[Item], B1551,RawData[Quantity],C1551,RawData[Price Per Unit],D1551,RawData[Total Spent],E1551,RawData[Payment Method],F1551,RawData[Location],G1551,RawData[Transaction Date],H1551)</f>
        <v>2</v>
      </c>
      <c r="L1551"/>
    </row>
    <row r="1552" spans="1:12" x14ac:dyDescent="0.3">
      <c r="A1552" t="s">
        <v>1558</v>
      </c>
      <c r="B1552" t="s">
        <v>10017</v>
      </c>
      <c r="C1552">
        <v>1</v>
      </c>
      <c r="D1552">
        <v>1.5</v>
      </c>
      <c r="E1552">
        <v>0</v>
      </c>
      <c r="F1552" t="s">
        <v>10019</v>
      </c>
      <c r="G1552" t="s">
        <v>10069</v>
      </c>
      <c r="H1552" s="6">
        <v>44970</v>
      </c>
      <c r="I1552">
        <f t="shared" si="48"/>
        <v>0</v>
      </c>
      <c r="J1552" t="str">
        <f t="shared" si="49"/>
        <v>Complete</v>
      </c>
      <c r="K1552">
        <f>COUNTIFS(RawData[Item], B1552,RawData[Quantity],C1552,RawData[Price Per Unit],D1552,RawData[Total Spent],E1552,RawData[Payment Method],F1552,RawData[Location],G1552,RawData[Transaction Date],H1552)</f>
        <v>1</v>
      </c>
      <c r="L1552"/>
    </row>
    <row r="1553" spans="1:12" x14ac:dyDescent="0.3">
      <c r="A1553" t="s">
        <v>1559</v>
      </c>
      <c r="B1553" t="s">
        <v>10013</v>
      </c>
      <c r="C1553">
        <v>1</v>
      </c>
      <c r="D1553">
        <v>2</v>
      </c>
      <c r="E1553">
        <v>2</v>
      </c>
      <c r="F1553" t="s">
        <v>10020</v>
      </c>
      <c r="G1553" t="s">
        <v>10069</v>
      </c>
      <c r="H1553" s="6" t="s">
        <v>10112</v>
      </c>
      <c r="I1553">
        <f t="shared" si="48"/>
        <v>2</v>
      </c>
      <c r="J1553" t="str">
        <f t="shared" si="49"/>
        <v>Incomplete</v>
      </c>
      <c r="K1553">
        <f>COUNTIFS(RawData[Item], B1553,RawData[Quantity],C1553,RawData[Price Per Unit],D1553,RawData[Total Spent],E1553,RawData[Payment Method],F1553,RawData[Location],G1553,RawData[Transaction Date],H1553)</f>
        <v>1</v>
      </c>
      <c r="L1553"/>
    </row>
    <row r="1554" spans="1:12" x14ac:dyDescent="0.3">
      <c r="A1554" t="s">
        <v>1560</v>
      </c>
      <c r="B1554" t="s">
        <v>10012</v>
      </c>
      <c r="C1554">
        <v>3</v>
      </c>
      <c r="D1554">
        <v>4</v>
      </c>
      <c r="E1554">
        <v>12</v>
      </c>
      <c r="F1554" t="s">
        <v>10069</v>
      </c>
      <c r="G1554" t="s">
        <v>10102</v>
      </c>
      <c r="H1554" s="6">
        <v>45022</v>
      </c>
      <c r="I1554">
        <f t="shared" si="48"/>
        <v>0</v>
      </c>
      <c r="J1554" t="str">
        <f t="shared" si="49"/>
        <v>Complete</v>
      </c>
      <c r="K1554">
        <f>COUNTIFS(RawData[Item], B1554,RawData[Quantity],C1554,RawData[Price Per Unit],D1554,RawData[Total Spent],E1554,RawData[Payment Method],F1554,RawData[Location],G1554,RawData[Transaction Date],H1554)</f>
        <v>1</v>
      </c>
      <c r="L1554"/>
    </row>
    <row r="1555" spans="1:12" x14ac:dyDescent="0.3">
      <c r="A1555" t="s">
        <v>1561</v>
      </c>
      <c r="B1555" t="s">
        <v>10009</v>
      </c>
      <c r="C1555">
        <v>3</v>
      </c>
      <c r="D1555">
        <v>3</v>
      </c>
      <c r="E1555">
        <v>9</v>
      </c>
      <c r="F1555" t="s">
        <v>10018</v>
      </c>
      <c r="G1555" t="s">
        <v>10021</v>
      </c>
      <c r="H1555" s="6">
        <v>45004</v>
      </c>
      <c r="I1555">
        <f t="shared" si="48"/>
        <v>0</v>
      </c>
      <c r="J1555" t="str">
        <f t="shared" si="49"/>
        <v>Complete</v>
      </c>
      <c r="K1555">
        <f>COUNTIFS(RawData[Item], B1555,RawData[Quantity],C1555,RawData[Price Per Unit],D1555,RawData[Total Spent],E1555,RawData[Payment Method],F1555,RawData[Location],G1555,RawData[Transaction Date],H1555)</f>
        <v>1</v>
      </c>
      <c r="L1555"/>
    </row>
    <row r="1556" spans="1:12" x14ac:dyDescent="0.3">
      <c r="A1556" t="s">
        <v>1562</v>
      </c>
      <c r="B1556" t="s">
        <v>10008</v>
      </c>
      <c r="C1556">
        <v>1</v>
      </c>
      <c r="D1556">
        <v>2</v>
      </c>
      <c r="E1556">
        <v>2</v>
      </c>
      <c r="F1556" t="s">
        <v>10069</v>
      </c>
      <c r="G1556" t="s">
        <v>10021</v>
      </c>
      <c r="H1556" s="6">
        <v>44955</v>
      </c>
      <c r="I1556">
        <f t="shared" si="48"/>
        <v>0</v>
      </c>
      <c r="J1556" t="str">
        <f t="shared" si="49"/>
        <v>Complete</v>
      </c>
      <c r="K1556">
        <f>COUNTIFS(RawData[Item], B1556,RawData[Quantity],C1556,RawData[Price Per Unit],D1556,RawData[Total Spent],E1556,RawData[Payment Method],F1556,RawData[Location],G1556,RawData[Transaction Date],H1556)</f>
        <v>1</v>
      </c>
      <c r="L1556"/>
    </row>
    <row r="1557" spans="1:12" x14ac:dyDescent="0.3">
      <c r="A1557" t="s">
        <v>1563</v>
      </c>
      <c r="B1557" t="s">
        <v>10016</v>
      </c>
      <c r="C1557">
        <v>1</v>
      </c>
      <c r="D1557">
        <v>3</v>
      </c>
      <c r="E1557">
        <v>3</v>
      </c>
      <c r="F1557" t="s">
        <v>10020</v>
      </c>
      <c r="G1557" t="s">
        <v>10103</v>
      </c>
      <c r="H1557" s="6">
        <v>45236</v>
      </c>
      <c r="I1557">
        <f t="shared" si="48"/>
        <v>1</v>
      </c>
      <c r="J1557" t="str">
        <f t="shared" si="49"/>
        <v>Complete</v>
      </c>
      <c r="K1557">
        <f>COUNTIFS(RawData[Item], B1557,RawData[Quantity],C1557,RawData[Price Per Unit],D1557,RawData[Total Spent],E1557,RawData[Payment Method],F1557,RawData[Location],G1557,RawData[Transaction Date],H1557)</f>
        <v>1</v>
      </c>
      <c r="L1557"/>
    </row>
    <row r="1558" spans="1:12" x14ac:dyDescent="0.3">
      <c r="A1558" t="s">
        <v>1564</v>
      </c>
      <c r="B1558" t="s">
        <v>10012</v>
      </c>
      <c r="C1558">
        <v>3</v>
      </c>
      <c r="D1558">
        <v>4</v>
      </c>
      <c r="E1558">
        <v>12</v>
      </c>
      <c r="F1558" t="s">
        <v>10020</v>
      </c>
      <c r="G1558" t="s">
        <v>10102</v>
      </c>
      <c r="H1558" s="6">
        <v>45250</v>
      </c>
      <c r="I1558">
        <f t="shared" si="48"/>
        <v>0</v>
      </c>
      <c r="J1558" t="str">
        <f t="shared" si="49"/>
        <v>Complete</v>
      </c>
      <c r="K1558">
        <f>COUNTIFS(RawData[Item], B1558,RawData[Quantity],C1558,RawData[Price Per Unit],D1558,RawData[Total Spent],E1558,RawData[Payment Method],F1558,RawData[Location],G1558,RawData[Transaction Date],H1558)</f>
        <v>1</v>
      </c>
      <c r="L1558"/>
    </row>
    <row r="1559" spans="1:12" x14ac:dyDescent="0.3">
      <c r="A1559" t="s">
        <v>1565</v>
      </c>
      <c r="B1559" t="s">
        <v>10016</v>
      </c>
      <c r="C1559">
        <v>1</v>
      </c>
      <c r="D1559">
        <v>3</v>
      </c>
      <c r="E1559">
        <v>3</v>
      </c>
      <c r="F1559" t="s">
        <v>10069</v>
      </c>
      <c r="G1559" t="s">
        <v>10021</v>
      </c>
      <c r="H1559" s="6">
        <v>45271</v>
      </c>
      <c r="I1559">
        <f t="shared" si="48"/>
        <v>0</v>
      </c>
      <c r="J1559" t="str">
        <f t="shared" si="49"/>
        <v>Complete</v>
      </c>
      <c r="K1559">
        <f>COUNTIFS(RawData[Item], B1559,RawData[Quantity],C1559,RawData[Price Per Unit],D1559,RawData[Total Spent],E1559,RawData[Payment Method],F1559,RawData[Location],G1559,RawData[Transaction Date],H1559)</f>
        <v>1</v>
      </c>
      <c r="L1559"/>
    </row>
    <row r="1560" spans="1:12" x14ac:dyDescent="0.3">
      <c r="A1560" t="s">
        <v>1566</v>
      </c>
      <c r="B1560" t="s">
        <v>10017</v>
      </c>
      <c r="C1560">
        <v>5</v>
      </c>
      <c r="D1560">
        <v>1.5</v>
      </c>
      <c r="E1560">
        <v>7.5</v>
      </c>
      <c r="F1560" t="s">
        <v>10019</v>
      </c>
      <c r="G1560" t="s">
        <v>10104</v>
      </c>
      <c r="H1560" s="6">
        <v>45229</v>
      </c>
      <c r="I1560">
        <f t="shared" si="48"/>
        <v>1</v>
      </c>
      <c r="J1560" t="str">
        <f t="shared" si="49"/>
        <v>Complete</v>
      </c>
      <c r="K1560">
        <f>COUNTIFS(RawData[Item], B1560,RawData[Quantity],C1560,RawData[Price Per Unit],D1560,RawData[Total Spent],E1560,RawData[Payment Method],F1560,RawData[Location],G1560,RawData[Transaction Date],H1560)</f>
        <v>1</v>
      </c>
      <c r="L1560"/>
    </row>
    <row r="1561" spans="1:12" x14ac:dyDescent="0.3">
      <c r="A1561" t="s">
        <v>1567</v>
      </c>
      <c r="B1561" t="s">
        <v>10013</v>
      </c>
      <c r="C1561">
        <v>4</v>
      </c>
      <c r="D1561">
        <v>1.5</v>
      </c>
      <c r="E1561">
        <v>6</v>
      </c>
      <c r="F1561" t="s">
        <v>10069</v>
      </c>
      <c r="G1561" t="s">
        <v>10021</v>
      </c>
      <c r="H1561" s="6" t="s">
        <v>10112</v>
      </c>
      <c r="I1561">
        <f t="shared" si="48"/>
        <v>2</v>
      </c>
      <c r="J1561" t="str">
        <f t="shared" si="49"/>
        <v>Incomplete</v>
      </c>
      <c r="K1561">
        <f>COUNTIFS(RawData[Item], B1561,RawData[Quantity],C1561,RawData[Price Per Unit],D1561,RawData[Total Spent],E1561,RawData[Payment Method],F1561,RawData[Location],G1561,RawData[Transaction Date],H1561)</f>
        <v>1</v>
      </c>
      <c r="L1561"/>
    </row>
    <row r="1562" spans="1:12" x14ac:dyDescent="0.3">
      <c r="A1562" t="s">
        <v>1568</v>
      </c>
      <c r="B1562" t="s">
        <v>10011</v>
      </c>
      <c r="C1562">
        <v>2</v>
      </c>
      <c r="D1562">
        <v>5</v>
      </c>
      <c r="E1562">
        <v>10</v>
      </c>
      <c r="F1562" t="s">
        <v>10069</v>
      </c>
      <c r="G1562" t="s">
        <v>10021</v>
      </c>
      <c r="H1562" s="6">
        <v>45210</v>
      </c>
      <c r="I1562">
        <f t="shared" si="48"/>
        <v>0</v>
      </c>
      <c r="J1562" t="str">
        <f t="shared" si="49"/>
        <v>Complete</v>
      </c>
      <c r="K1562">
        <f>COUNTIFS(RawData[Item], B1562,RawData[Quantity],C1562,RawData[Price Per Unit],D1562,RawData[Total Spent],E1562,RawData[Payment Method],F1562,RawData[Location],G1562,RawData[Transaction Date],H1562)</f>
        <v>1</v>
      </c>
      <c r="L1562"/>
    </row>
    <row r="1563" spans="1:12" x14ac:dyDescent="0.3">
      <c r="A1563" t="s">
        <v>1569</v>
      </c>
      <c r="B1563" t="s">
        <v>10016</v>
      </c>
      <c r="C1563">
        <v>2</v>
      </c>
      <c r="D1563">
        <v>3</v>
      </c>
      <c r="E1563">
        <v>6</v>
      </c>
      <c r="F1563" t="s">
        <v>10018</v>
      </c>
      <c r="G1563" t="s">
        <v>10104</v>
      </c>
      <c r="H1563" s="6">
        <v>44972</v>
      </c>
      <c r="I1563">
        <f t="shared" si="48"/>
        <v>1</v>
      </c>
      <c r="J1563" t="str">
        <f t="shared" si="49"/>
        <v>Complete</v>
      </c>
      <c r="K1563">
        <f>COUNTIFS(RawData[Item], B1563,RawData[Quantity],C1563,RawData[Price Per Unit],D1563,RawData[Total Spent],E1563,RawData[Payment Method],F1563,RawData[Location],G1563,RawData[Transaction Date],H1563)</f>
        <v>1</v>
      </c>
      <c r="L1563"/>
    </row>
    <row r="1564" spans="1:12" x14ac:dyDescent="0.3">
      <c r="A1564" t="s">
        <v>1570</v>
      </c>
      <c r="B1564" t="s">
        <v>10011</v>
      </c>
      <c r="C1564">
        <v>5</v>
      </c>
      <c r="D1564">
        <v>5</v>
      </c>
      <c r="E1564">
        <v>0</v>
      </c>
      <c r="F1564" t="s">
        <v>10018</v>
      </c>
      <c r="G1564" t="s">
        <v>10102</v>
      </c>
      <c r="H1564" s="6">
        <v>45093</v>
      </c>
      <c r="I1564">
        <f t="shared" si="48"/>
        <v>0</v>
      </c>
      <c r="J1564" t="str">
        <f t="shared" si="49"/>
        <v>Complete</v>
      </c>
      <c r="K1564">
        <f>COUNTIFS(RawData[Item], B1564,RawData[Quantity],C1564,RawData[Price Per Unit],D1564,RawData[Total Spent],E1564,RawData[Payment Method],F1564,RawData[Location],G1564,RawData[Transaction Date],H1564)</f>
        <v>1</v>
      </c>
      <c r="L1564"/>
    </row>
    <row r="1565" spans="1:12" x14ac:dyDescent="0.3">
      <c r="A1565" t="s">
        <v>1571</v>
      </c>
      <c r="B1565" t="s">
        <v>10011</v>
      </c>
      <c r="C1565">
        <v>5</v>
      </c>
      <c r="D1565">
        <v>5</v>
      </c>
      <c r="E1565">
        <v>25</v>
      </c>
      <c r="F1565" t="s">
        <v>10069</v>
      </c>
      <c r="G1565" t="s">
        <v>10102</v>
      </c>
      <c r="H1565" s="6">
        <v>45121</v>
      </c>
      <c r="I1565">
        <f t="shared" si="48"/>
        <v>0</v>
      </c>
      <c r="J1565" t="str">
        <f t="shared" si="49"/>
        <v>Complete</v>
      </c>
      <c r="K1565">
        <f>COUNTIFS(RawData[Item], B1565,RawData[Quantity],C1565,RawData[Price Per Unit],D1565,RawData[Total Spent],E1565,RawData[Payment Method],F1565,RawData[Location],G1565,RawData[Transaction Date],H1565)</f>
        <v>1</v>
      </c>
      <c r="L1565"/>
    </row>
    <row r="1566" spans="1:12" x14ac:dyDescent="0.3">
      <c r="A1566" t="s">
        <v>1572</v>
      </c>
      <c r="B1566" t="s">
        <v>10015</v>
      </c>
      <c r="C1566">
        <v>2</v>
      </c>
      <c r="D1566">
        <v>5</v>
      </c>
      <c r="E1566">
        <v>10</v>
      </c>
      <c r="F1566" t="s">
        <v>10018</v>
      </c>
      <c r="G1566" t="s">
        <v>10021</v>
      </c>
      <c r="H1566" s="6">
        <v>44975</v>
      </c>
      <c r="I1566">
        <f t="shared" si="48"/>
        <v>1</v>
      </c>
      <c r="J1566" t="str">
        <f t="shared" si="49"/>
        <v>Complete</v>
      </c>
      <c r="K1566">
        <f>COUNTIFS(RawData[Item], B1566,RawData[Quantity],C1566,RawData[Price Per Unit],D1566,RawData[Total Spent],E1566,RawData[Payment Method],F1566,RawData[Location],G1566,RawData[Transaction Date],H1566)</f>
        <v>1</v>
      </c>
      <c r="L1566"/>
    </row>
    <row r="1567" spans="1:12" x14ac:dyDescent="0.3">
      <c r="A1567" t="s">
        <v>1573</v>
      </c>
      <c r="B1567" t="s">
        <v>10012</v>
      </c>
      <c r="C1567">
        <v>1</v>
      </c>
      <c r="D1567">
        <v>4</v>
      </c>
      <c r="E1567">
        <v>4</v>
      </c>
      <c r="F1567" t="s">
        <v>10020</v>
      </c>
      <c r="G1567" t="s">
        <v>10103</v>
      </c>
      <c r="H1567" s="6">
        <v>45099</v>
      </c>
      <c r="I1567">
        <f t="shared" si="48"/>
        <v>1</v>
      </c>
      <c r="J1567" t="str">
        <f t="shared" si="49"/>
        <v>Complete</v>
      </c>
      <c r="K1567">
        <f>COUNTIFS(RawData[Item], B1567,RawData[Quantity],C1567,RawData[Price Per Unit],D1567,RawData[Total Spent],E1567,RawData[Payment Method],F1567,RawData[Location],G1567,RawData[Transaction Date],H1567)</f>
        <v>1</v>
      </c>
      <c r="L1567"/>
    </row>
    <row r="1568" spans="1:12" x14ac:dyDescent="0.3">
      <c r="A1568" t="s">
        <v>1574</v>
      </c>
      <c r="B1568" t="s">
        <v>10016</v>
      </c>
      <c r="C1568">
        <v>4</v>
      </c>
      <c r="D1568">
        <v>3</v>
      </c>
      <c r="E1568">
        <v>12</v>
      </c>
      <c r="F1568" t="s">
        <v>10020</v>
      </c>
      <c r="G1568" t="s">
        <v>10021</v>
      </c>
      <c r="H1568" s="6">
        <v>45177</v>
      </c>
      <c r="I1568">
        <f t="shared" si="48"/>
        <v>0</v>
      </c>
      <c r="J1568" t="str">
        <f t="shared" si="49"/>
        <v>Complete</v>
      </c>
      <c r="K1568">
        <f>COUNTIFS(RawData[Item], B1568,RawData[Quantity],C1568,RawData[Price Per Unit],D1568,RawData[Total Spent],E1568,RawData[Payment Method],F1568,RawData[Location],G1568,RawData[Transaction Date],H1568)</f>
        <v>1</v>
      </c>
      <c r="L1568"/>
    </row>
    <row r="1569" spans="1:12" x14ac:dyDescent="0.3">
      <c r="A1569" t="s">
        <v>1575</v>
      </c>
      <c r="B1569" t="s">
        <v>10014</v>
      </c>
      <c r="C1569">
        <v>1</v>
      </c>
      <c r="D1569">
        <v>4</v>
      </c>
      <c r="E1569">
        <v>4</v>
      </c>
      <c r="F1569" t="s">
        <v>10069</v>
      </c>
      <c r="G1569" t="s">
        <v>10102</v>
      </c>
      <c r="H1569" s="6">
        <v>45223</v>
      </c>
      <c r="I1569">
        <f t="shared" si="48"/>
        <v>0</v>
      </c>
      <c r="J1569" t="str">
        <f t="shared" si="49"/>
        <v>Complete</v>
      </c>
      <c r="K1569">
        <f>COUNTIFS(RawData[Item], B1569,RawData[Quantity],C1569,RawData[Price Per Unit],D1569,RawData[Total Spent],E1569,RawData[Payment Method],F1569,RawData[Location],G1569,RawData[Transaction Date],H1569)</f>
        <v>1</v>
      </c>
      <c r="L1569"/>
    </row>
    <row r="1570" spans="1:12" x14ac:dyDescent="0.3">
      <c r="A1570" t="s">
        <v>1576</v>
      </c>
      <c r="B1570" t="s">
        <v>10014</v>
      </c>
      <c r="C1570">
        <v>4</v>
      </c>
      <c r="D1570">
        <v>4</v>
      </c>
      <c r="E1570">
        <v>16</v>
      </c>
      <c r="F1570" t="s">
        <v>10069</v>
      </c>
      <c r="G1570" t="s">
        <v>10102</v>
      </c>
      <c r="H1570" s="6">
        <v>45221</v>
      </c>
      <c r="I1570">
        <f t="shared" si="48"/>
        <v>0</v>
      </c>
      <c r="J1570" t="str">
        <f t="shared" si="49"/>
        <v>Complete</v>
      </c>
      <c r="K1570">
        <f>COUNTIFS(RawData[Item], B1570,RawData[Quantity],C1570,RawData[Price Per Unit],D1570,RawData[Total Spent],E1570,RawData[Payment Method],F1570,RawData[Location],G1570,RawData[Transaction Date],H1570)</f>
        <v>1</v>
      </c>
      <c r="L1570"/>
    </row>
    <row r="1571" spans="1:12" x14ac:dyDescent="0.3">
      <c r="A1571" t="s">
        <v>1577</v>
      </c>
      <c r="B1571" t="s">
        <v>10014</v>
      </c>
      <c r="C1571">
        <v>1</v>
      </c>
      <c r="D1571">
        <v>4</v>
      </c>
      <c r="E1571">
        <v>4</v>
      </c>
      <c r="F1571" t="s">
        <v>10069</v>
      </c>
      <c r="G1571" t="s">
        <v>10102</v>
      </c>
      <c r="H1571" s="6">
        <v>45077</v>
      </c>
      <c r="I1571">
        <f t="shared" si="48"/>
        <v>0</v>
      </c>
      <c r="J1571" t="str">
        <f t="shared" si="49"/>
        <v>Complete</v>
      </c>
      <c r="K1571">
        <f>COUNTIFS(RawData[Item], B1571,RawData[Quantity],C1571,RawData[Price Per Unit],D1571,RawData[Total Spent],E1571,RawData[Payment Method],F1571,RawData[Location],G1571,RawData[Transaction Date],H1571)</f>
        <v>1</v>
      </c>
      <c r="L1571"/>
    </row>
    <row r="1572" spans="1:12" x14ac:dyDescent="0.3">
      <c r="A1572" t="s">
        <v>1578</v>
      </c>
      <c r="B1572" t="s">
        <v>10014</v>
      </c>
      <c r="C1572">
        <v>3</v>
      </c>
      <c r="D1572">
        <v>4</v>
      </c>
      <c r="E1572">
        <v>12</v>
      </c>
      <c r="F1572" t="s">
        <v>10020</v>
      </c>
      <c r="G1572" t="s">
        <v>10069</v>
      </c>
      <c r="H1572" s="6">
        <v>45225</v>
      </c>
      <c r="I1572">
        <f t="shared" si="48"/>
        <v>0</v>
      </c>
      <c r="J1572" t="str">
        <f t="shared" si="49"/>
        <v>Complete</v>
      </c>
      <c r="K1572">
        <f>COUNTIFS(RawData[Item], B1572,RawData[Quantity],C1572,RawData[Price Per Unit],D1572,RawData[Total Spent],E1572,RawData[Payment Method],F1572,RawData[Location],G1572,RawData[Transaction Date],H1572)</f>
        <v>1</v>
      </c>
      <c r="L1572"/>
    </row>
    <row r="1573" spans="1:12" x14ac:dyDescent="0.3">
      <c r="A1573" t="s">
        <v>1579</v>
      </c>
      <c r="B1573" t="s">
        <v>10069</v>
      </c>
      <c r="C1573">
        <v>2</v>
      </c>
      <c r="D1573">
        <v>1.5</v>
      </c>
      <c r="E1573">
        <v>3</v>
      </c>
      <c r="F1573" t="s">
        <v>10103</v>
      </c>
      <c r="G1573" t="s">
        <v>10069</v>
      </c>
      <c r="H1573" s="6">
        <v>45103</v>
      </c>
      <c r="I1573">
        <f t="shared" si="48"/>
        <v>1</v>
      </c>
      <c r="J1573" t="str">
        <f t="shared" si="49"/>
        <v>Complete</v>
      </c>
      <c r="K1573">
        <f>COUNTIFS(RawData[Item], B1573,RawData[Quantity],C1573,RawData[Price Per Unit],D1573,RawData[Total Spent],E1573,RawData[Payment Method],F1573,RawData[Location],G1573,RawData[Transaction Date],H1573)</f>
        <v>1</v>
      </c>
      <c r="L1573"/>
    </row>
    <row r="1574" spans="1:12" x14ac:dyDescent="0.3">
      <c r="A1574" t="s">
        <v>1580</v>
      </c>
      <c r="B1574" t="s">
        <v>10011</v>
      </c>
      <c r="C1574">
        <v>3</v>
      </c>
      <c r="D1574">
        <v>5</v>
      </c>
      <c r="E1574">
        <v>15</v>
      </c>
      <c r="F1574" t="s">
        <v>10018</v>
      </c>
      <c r="G1574" t="s">
        <v>10021</v>
      </c>
      <c r="H1574" s="6">
        <v>45259</v>
      </c>
      <c r="I1574">
        <f t="shared" si="48"/>
        <v>0</v>
      </c>
      <c r="J1574" t="str">
        <f t="shared" si="49"/>
        <v>Complete</v>
      </c>
      <c r="K1574">
        <f>COUNTIFS(RawData[Item], B1574,RawData[Quantity],C1574,RawData[Price Per Unit],D1574,RawData[Total Spent],E1574,RawData[Payment Method],F1574,RawData[Location],G1574,RawData[Transaction Date],H1574)</f>
        <v>1</v>
      </c>
      <c r="L1574"/>
    </row>
    <row r="1575" spans="1:12" x14ac:dyDescent="0.3">
      <c r="A1575" t="s">
        <v>1581</v>
      </c>
      <c r="B1575" t="s">
        <v>10012</v>
      </c>
      <c r="C1575">
        <v>1</v>
      </c>
      <c r="D1575">
        <v>4</v>
      </c>
      <c r="E1575">
        <v>4</v>
      </c>
      <c r="F1575" t="s">
        <v>10069</v>
      </c>
      <c r="G1575" t="s">
        <v>10021</v>
      </c>
      <c r="H1575" s="6">
        <v>45217</v>
      </c>
      <c r="I1575">
        <f t="shared" si="48"/>
        <v>0</v>
      </c>
      <c r="J1575" t="str">
        <f t="shared" si="49"/>
        <v>Complete</v>
      </c>
      <c r="K1575">
        <f>COUNTIFS(RawData[Item], B1575,RawData[Quantity],C1575,RawData[Price Per Unit],D1575,RawData[Total Spent],E1575,RawData[Payment Method],F1575,RawData[Location],G1575,RawData[Transaction Date],H1575)</f>
        <v>1</v>
      </c>
      <c r="L1575"/>
    </row>
    <row r="1576" spans="1:12" x14ac:dyDescent="0.3">
      <c r="A1576" t="s">
        <v>1582</v>
      </c>
      <c r="B1576" t="s">
        <v>10069</v>
      </c>
      <c r="C1576">
        <v>3</v>
      </c>
      <c r="D1576">
        <v>1.5</v>
      </c>
      <c r="E1576">
        <v>4.5</v>
      </c>
      <c r="F1576" t="s">
        <v>10069</v>
      </c>
      <c r="G1576" t="s">
        <v>10021</v>
      </c>
      <c r="H1576" s="6">
        <v>45261</v>
      </c>
      <c r="I1576">
        <f t="shared" si="48"/>
        <v>0</v>
      </c>
      <c r="J1576" t="str">
        <f t="shared" si="49"/>
        <v>Complete</v>
      </c>
      <c r="K1576">
        <f>COUNTIFS(RawData[Item], B1576,RawData[Quantity],C1576,RawData[Price Per Unit],D1576,RawData[Total Spent],E1576,RawData[Payment Method],F1576,RawData[Location],G1576,RawData[Transaction Date],H1576)</f>
        <v>1</v>
      </c>
      <c r="L1576"/>
    </row>
    <row r="1577" spans="1:12" x14ac:dyDescent="0.3">
      <c r="A1577" t="s">
        <v>1583</v>
      </c>
      <c r="B1577" t="s">
        <v>10011</v>
      </c>
      <c r="C1577">
        <v>3</v>
      </c>
      <c r="D1577">
        <v>5</v>
      </c>
      <c r="E1577">
        <v>15</v>
      </c>
      <c r="F1577" t="s">
        <v>10018</v>
      </c>
      <c r="G1577" t="s">
        <v>10069</v>
      </c>
      <c r="H1577" s="6">
        <v>45085</v>
      </c>
      <c r="I1577">
        <f t="shared" si="48"/>
        <v>0</v>
      </c>
      <c r="J1577" t="str">
        <f t="shared" si="49"/>
        <v>Complete</v>
      </c>
      <c r="K1577">
        <f>COUNTIFS(RawData[Item], B1577,RawData[Quantity],C1577,RawData[Price Per Unit],D1577,RawData[Total Spent],E1577,RawData[Payment Method],F1577,RawData[Location],G1577,RawData[Transaction Date],H1577)</f>
        <v>1</v>
      </c>
      <c r="L1577"/>
    </row>
    <row r="1578" spans="1:12" x14ac:dyDescent="0.3">
      <c r="A1578" t="s">
        <v>1584</v>
      </c>
      <c r="B1578" t="s">
        <v>10008</v>
      </c>
      <c r="C1578">
        <v>2</v>
      </c>
      <c r="D1578">
        <v>2</v>
      </c>
      <c r="E1578">
        <v>4</v>
      </c>
      <c r="F1578" t="s">
        <v>10069</v>
      </c>
      <c r="G1578" t="s">
        <v>10102</v>
      </c>
      <c r="H1578" s="6">
        <v>45182</v>
      </c>
      <c r="I1578">
        <f t="shared" si="48"/>
        <v>0</v>
      </c>
      <c r="J1578" t="str">
        <f t="shared" si="49"/>
        <v>Complete</v>
      </c>
      <c r="K1578">
        <f>COUNTIFS(RawData[Item], B1578,RawData[Quantity],C1578,RawData[Price Per Unit],D1578,RawData[Total Spent],E1578,RawData[Payment Method],F1578,RawData[Location],G1578,RawData[Transaction Date],H1578)</f>
        <v>1</v>
      </c>
      <c r="L1578"/>
    </row>
    <row r="1579" spans="1:12" x14ac:dyDescent="0.3">
      <c r="A1579" t="s">
        <v>1585</v>
      </c>
      <c r="B1579" t="s">
        <v>10008</v>
      </c>
      <c r="C1579">
        <v>1</v>
      </c>
      <c r="D1579">
        <v>2</v>
      </c>
      <c r="E1579">
        <v>2</v>
      </c>
      <c r="F1579" t="s">
        <v>10104</v>
      </c>
      <c r="G1579" t="s">
        <v>10102</v>
      </c>
      <c r="H1579" s="6">
        <v>45159</v>
      </c>
      <c r="I1579">
        <f t="shared" si="48"/>
        <v>1</v>
      </c>
      <c r="J1579" t="str">
        <f t="shared" si="49"/>
        <v>Complete</v>
      </c>
      <c r="K1579">
        <f>COUNTIFS(RawData[Item], B1579,RawData[Quantity],C1579,RawData[Price Per Unit],D1579,RawData[Total Spent],E1579,RawData[Payment Method],F1579,RawData[Location],G1579,RawData[Transaction Date],H1579)</f>
        <v>1</v>
      </c>
      <c r="L1579"/>
    </row>
    <row r="1580" spans="1:12" x14ac:dyDescent="0.3">
      <c r="A1580" t="s">
        <v>1586</v>
      </c>
      <c r="B1580" t="s">
        <v>10017</v>
      </c>
      <c r="C1580">
        <v>3</v>
      </c>
      <c r="D1580">
        <v>1.5</v>
      </c>
      <c r="E1580">
        <v>4.5</v>
      </c>
      <c r="F1580" t="s">
        <v>10069</v>
      </c>
      <c r="G1580" t="s">
        <v>10069</v>
      </c>
      <c r="H1580" s="6">
        <v>45213</v>
      </c>
      <c r="I1580">
        <f t="shared" si="48"/>
        <v>0</v>
      </c>
      <c r="J1580" t="str">
        <f t="shared" si="49"/>
        <v>Complete</v>
      </c>
      <c r="K1580">
        <f>COUNTIFS(RawData[Item], B1580,RawData[Quantity],C1580,RawData[Price Per Unit],D1580,RawData[Total Spent],E1580,RawData[Payment Method],F1580,RawData[Location],G1580,RawData[Transaction Date],H1580)</f>
        <v>1</v>
      </c>
      <c r="L1580"/>
    </row>
    <row r="1581" spans="1:12" x14ac:dyDescent="0.3">
      <c r="A1581" t="s">
        <v>1587</v>
      </c>
      <c r="B1581" t="s">
        <v>10008</v>
      </c>
      <c r="C1581">
        <v>3</v>
      </c>
      <c r="D1581">
        <v>2</v>
      </c>
      <c r="E1581">
        <v>6</v>
      </c>
      <c r="F1581" t="s">
        <v>10019</v>
      </c>
      <c r="G1581" t="s">
        <v>10021</v>
      </c>
      <c r="H1581" s="6">
        <v>45201</v>
      </c>
      <c r="I1581">
        <f t="shared" si="48"/>
        <v>0</v>
      </c>
      <c r="J1581" t="str">
        <f t="shared" si="49"/>
        <v>Complete</v>
      </c>
      <c r="K1581">
        <f>COUNTIFS(RawData[Item], B1581,RawData[Quantity],C1581,RawData[Price Per Unit],D1581,RawData[Total Spent],E1581,RawData[Payment Method],F1581,RawData[Location],G1581,RawData[Transaction Date],H1581)</f>
        <v>1</v>
      </c>
      <c r="L1581"/>
    </row>
    <row r="1582" spans="1:12" x14ac:dyDescent="0.3">
      <c r="A1582" t="s">
        <v>1588</v>
      </c>
      <c r="B1582" t="s">
        <v>10008</v>
      </c>
      <c r="C1582">
        <v>4</v>
      </c>
      <c r="D1582">
        <v>2</v>
      </c>
      <c r="E1582">
        <v>8</v>
      </c>
      <c r="F1582" t="s">
        <v>10069</v>
      </c>
      <c r="G1582" t="s">
        <v>10104</v>
      </c>
      <c r="H1582" s="6">
        <v>44931</v>
      </c>
      <c r="I1582">
        <f t="shared" si="48"/>
        <v>1</v>
      </c>
      <c r="J1582" t="str">
        <f t="shared" si="49"/>
        <v>Complete</v>
      </c>
      <c r="K1582">
        <f>COUNTIFS(RawData[Item], B1582,RawData[Quantity],C1582,RawData[Price Per Unit],D1582,RawData[Total Spent],E1582,RawData[Payment Method],F1582,RawData[Location],G1582,RawData[Transaction Date],H1582)</f>
        <v>1</v>
      </c>
      <c r="L1582"/>
    </row>
    <row r="1583" spans="1:12" x14ac:dyDescent="0.3">
      <c r="A1583" t="s">
        <v>1589</v>
      </c>
      <c r="B1583" t="s">
        <v>10016</v>
      </c>
      <c r="C1583">
        <v>5</v>
      </c>
      <c r="D1583">
        <v>3</v>
      </c>
      <c r="E1583">
        <v>15</v>
      </c>
      <c r="F1583" t="s">
        <v>10019</v>
      </c>
      <c r="G1583" t="s">
        <v>10102</v>
      </c>
      <c r="H1583" s="6">
        <v>45227</v>
      </c>
      <c r="I1583">
        <f t="shared" si="48"/>
        <v>0</v>
      </c>
      <c r="J1583" t="str">
        <f t="shared" si="49"/>
        <v>Complete</v>
      </c>
      <c r="K1583">
        <f>COUNTIFS(RawData[Item], B1583,RawData[Quantity],C1583,RawData[Price Per Unit],D1583,RawData[Total Spent],E1583,RawData[Payment Method],F1583,RawData[Location],G1583,RawData[Transaction Date],H1583)</f>
        <v>1</v>
      </c>
      <c r="L1583"/>
    </row>
    <row r="1584" spans="1:12" x14ac:dyDescent="0.3">
      <c r="A1584" t="s">
        <v>1590</v>
      </c>
      <c r="B1584" t="s">
        <v>10014</v>
      </c>
      <c r="C1584">
        <v>4</v>
      </c>
      <c r="D1584">
        <v>4</v>
      </c>
      <c r="E1584">
        <v>16</v>
      </c>
      <c r="F1584" t="s">
        <v>10069</v>
      </c>
      <c r="G1584" t="s">
        <v>10021</v>
      </c>
      <c r="H1584" s="6">
        <v>44995</v>
      </c>
      <c r="I1584">
        <f t="shared" si="48"/>
        <v>0</v>
      </c>
      <c r="J1584" t="str">
        <f t="shared" si="49"/>
        <v>Complete</v>
      </c>
      <c r="K1584">
        <f>COUNTIFS(RawData[Item], B1584,RawData[Quantity],C1584,RawData[Price Per Unit],D1584,RawData[Total Spent],E1584,RawData[Payment Method],F1584,RawData[Location],G1584,RawData[Transaction Date],H1584)</f>
        <v>1</v>
      </c>
      <c r="L1584"/>
    </row>
    <row r="1585" spans="1:12" x14ac:dyDescent="0.3">
      <c r="A1585" t="s">
        <v>1591</v>
      </c>
      <c r="B1585" t="s">
        <v>10009</v>
      </c>
      <c r="C1585">
        <v>2</v>
      </c>
      <c r="D1585">
        <v>3</v>
      </c>
      <c r="E1585">
        <v>6</v>
      </c>
      <c r="F1585" t="s">
        <v>10069</v>
      </c>
      <c r="G1585" t="s">
        <v>10069</v>
      </c>
      <c r="H1585" s="6" t="s">
        <v>10112</v>
      </c>
      <c r="I1585">
        <f t="shared" si="48"/>
        <v>1</v>
      </c>
      <c r="J1585" t="str">
        <f t="shared" si="49"/>
        <v>Incomplete</v>
      </c>
      <c r="K1585">
        <f>COUNTIFS(RawData[Item], B1585,RawData[Quantity],C1585,RawData[Price Per Unit],D1585,RawData[Total Spent],E1585,RawData[Payment Method],F1585,RawData[Location],G1585,RawData[Transaction Date],H1585)</f>
        <v>2</v>
      </c>
      <c r="L1585"/>
    </row>
    <row r="1586" spans="1:12" x14ac:dyDescent="0.3">
      <c r="A1586" t="s">
        <v>1592</v>
      </c>
      <c r="B1586" t="s">
        <v>10010</v>
      </c>
      <c r="C1586">
        <v>3</v>
      </c>
      <c r="D1586">
        <v>1</v>
      </c>
      <c r="E1586">
        <v>3</v>
      </c>
      <c r="F1586" t="s">
        <v>10019</v>
      </c>
      <c r="G1586" t="s">
        <v>10069</v>
      </c>
      <c r="H1586" s="6">
        <v>45011</v>
      </c>
      <c r="I1586">
        <f t="shared" si="48"/>
        <v>0</v>
      </c>
      <c r="J1586" t="str">
        <f t="shared" si="49"/>
        <v>Complete</v>
      </c>
      <c r="K1586">
        <f>COUNTIFS(RawData[Item], B1586,RawData[Quantity],C1586,RawData[Price Per Unit],D1586,RawData[Total Spent],E1586,RawData[Payment Method],F1586,RawData[Location],G1586,RawData[Transaction Date],H1586)</f>
        <v>1</v>
      </c>
      <c r="L1586"/>
    </row>
    <row r="1587" spans="1:12" x14ac:dyDescent="0.3">
      <c r="A1587" t="s">
        <v>1593</v>
      </c>
      <c r="B1587" t="s">
        <v>10008</v>
      </c>
      <c r="C1587">
        <v>0</v>
      </c>
      <c r="D1587">
        <v>2</v>
      </c>
      <c r="E1587">
        <v>10</v>
      </c>
      <c r="F1587" t="s">
        <v>10018</v>
      </c>
      <c r="G1587" t="s">
        <v>10021</v>
      </c>
      <c r="H1587" s="6">
        <v>45238</v>
      </c>
      <c r="I1587">
        <f t="shared" si="48"/>
        <v>0</v>
      </c>
      <c r="J1587" t="str">
        <f t="shared" si="49"/>
        <v>Complete</v>
      </c>
      <c r="K1587">
        <f>COUNTIFS(RawData[Item], B1587,RawData[Quantity],C1587,RawData[Price Per Unit],D1587,RawData[Total Spent],E1587,RawData[Payment Method],F1587,RawData[Location],G1587,RawData[Transaction Date],H1587)</f>
        <v>1</v>
      </c>
      <c r="L1587"/>
    </row>
    <row r="1588" spans="1:12" x14ac:dyDescent="0.3">
      <c r="A1588" t="s">
        <v>1594</v>
      </c>
      <c r="B1588" t="s">
        <v>10008</v>
      </c>
      <c r="C1588">
        <v>5</v>
      </c>
      <c r="D1588">
        <v>2</v>
      </c>
      <c r="E1588">
        <v>10</v>
      </c>
      <c r="F1588" t="s">
        <v>10019</v>
      </c>
      <c r="G1588" t="s">
        <v>10069</v>
      </c>
      <c r="H1588" s="6">
        <v>45035</v>
      </c>
      <c r="I1588">
        <f t="shared" si="48"/>
        <v>0</v>
      </c>
      <c r="J1588" t="str">
        <f t="shared" si="49"/>
        <v>Complete</v>
      </c>
      <c r="K1588">
        <f>COUNTIFS(RawData[Item], B1588,RawData[Quantity],C1588,RawData[Price Per Unit],D1588,RawData[Total Spent],E1588,RawData[Payment Method],F1588,RawData[Location],G1588,RawData[Transaction Date],H1588)</f>
        <v>1</v>
      </c>
      <c r="L1588"/>
    </row>
    <row r="1589" spans="1:12" x14ac:dyDescent="0.3">
      <c r="A1589" t="s">
        <v>1595</v>
      </c>
      <c r="B1589" t="s">
        <v>10014</v>
      </c>
      <c r="C1589">
        <v>4</v>
      </c>
      <c r="D1589" t="s">
        <v>10013</v>
      </c>
      <c r="E1589">
        <v>16</v>
      </c>
      <c r="F1589" t="s">
        <v>10018</v>
      </c>
      <c r="G1589" t="s">
        <v>10021</v>
      </c>
      <c r="H1589" s="6">
        <v>45165</v>
      </c>
      <c r="I1589">
        <f t="shared" si="48"/>
        <v>1</v>
      </c>
      <c r="J1589" t="str">
        <f t="shared" si="49"/>
        <v>Complete</v>
      </c>
      <c r="K1589">
        <f>COUNTIFS(RawData[Item], B1589,RawData[Quantity],C1589,RawData[Price Per Unit],D1589,RawData[Total Spent],E1589,RawData[Payment Method],F1589,RawData[Location],G1589,RawData[Transaction Date],H1589)</f>
        <v>1</v>
      </c>
      <c r="L1589"/>
    </row>
    <row r="1590" spans="1:12" x14ac:dyDescent="0.3">
      <c r="A1590" t="s">
        <v>1596</v>
      </c>
      <c r="B1590" t="s">
        <v>10014</v>
      </c>
      <c r="C1590">
        <v>3</v>
      </c>
      <c r="D1590">
        <v>4</v>
      </c>
      <c r="E1590">
        <v>12</v>
      </c>
      <c r="F1590" t="s">
        <v>10018</v>
      </c>
      <c r="G1590" t="s">
        <v>10021</v>
      </c>
      <c r="H1590" s="6">
        <v>45182</v>
      </c>
      <c r="I1590">
        <f t="shared" si="48"/>
        <v>0</v>
      </c>
      <c r="J1590" t="str">
        <f t="shared" si="49"/>
        <v>Complete</v>
      </c>
      <c r="K1590">
        <f>COUNTIFS(RawData[Item], B1590,RawData[Quantity],C1590,RawData[Price Per Unit],D1590,RawData[Total Spent],E1590,RawData[Payment Method],F1590,RawData[Location],G1590,RawData[Transaction Date],H1590)</f>
        <v>1</v>
      </c>
      <c r="L1590"/>
    </row>
    <row r="1591" spans="1:12" x14ac:dyDescent="0.3">
      <c r="A1591" t="s">
        <v>1597</v>
      </c>
      <c r="B1591" t="s">
        <v>10069</v>
      </c>
      <c r="C1591">
        <v>5</v>
      </c>
      <c r="D1591" t="s">
        <v>10013</v>
      </c>
      <c r="E1591">
        <v>10</v>
      </c>
      <c r="F1591" t="s">
        <v>10069</v>
      </c>
      <c r="G1591" t="s">
        <v>10069</v>
      </c>
      <c r="H1591" s="6">
        <v>45285</v>
      </c>
      <c r="I1591">
        <f t="shared" si="48"/>
        <v>1</v>
      </c>
      <c r="J1591" t="str">
        <f t="shared" si="49"/>
        <v>Complete</v>
      </c>
      <c r="K1591">
        <f>COUNTIFS(RawData[Item], B1591,RawData[Quantity],C1591,RawData[Price Per Unit],D1591,RawData[Total Spent],E1591,RawData[Payment Method],F1591,RawData[Location],G1591,RawData[Transaction Date],H1591)</f>
        <v>1</v>
      </c>
      <c r="L1591"/>
    </row>
    <row r="1592" spans="1:12" x14ac:dyDescent="0.3">
      <c r="A1592" t="s">
        <v>1598</v>
      </c>
      <c r="B1592" t="s">
        <v>10017</v>
      </c>
      <c r="C1592">
        <v>1</v>
      </c>
      <c r="D1592">
        <v>1.5</v>
      </c>
      <c r="E1592">
        <v>1.5</v>
      </c>
      <c r="F1592" t="s">
        <v>10018</v>
      </c>
      <c r="G1592" t="s">
        <v>10069</v>
      </c>
      <c r="H1592" s="6">
        <v>44951</v>
      </c>
      <c r="I1592">
        <f t="shared" si="48"/>
        <v>0</v>
      </c>
      <c r="J1592" t="str">
        <f t="shared" si="49"/>
        <v>Complete</v>
      </c>
      <c r="K1592">
        <f>COUNTIFS(RawData[Item], B1592,RawData[Quantity],C1592,RawData[Price Per Unit],D1592,RawData[Total Spent],E1592,RawData[Payment Method],F1592,RawData[Location],G1592,RawData[Transaction Date],H1592)</f>
        <v>1</v>
      </c>
      <c r="L1592"/>
    </row>
    <row r="1593" spans="1:12" x14ac:dyDescent="0.3">
      <c r="A1593" t="s">
        <v>1599</v>
      </c>
      <c r="B1593" t="s">
        <v>10012</v>
      </c>
      <c r="C1593">
        <v>5</v>
      </c>
      <c r="D1593">
        <v>4</v>
      </c>
      <c r="E1593">
        <v>20</v>
      </c>
      <c r="F1593" t="s">
        <v>10069</v>
      </c>
      <c r="G1593" t="s">
        <v>10104</v>
      </c>
      <c r="H1593" s="6">
        <v>45068</v>
      </c>
      <c r="I1593">
        <f t="shared" si="48"/>
        <v>1</v>
      </c>
      <c r="J1593" t="str">
        <f t="shared" si="49"/>
        <v>Complete</v>
      </c>
      <c r="K1593">
        <f>COUNTIFS(RawData[Item], B1593,RawData[Quantity],C1593,RawData[Price Per Unit],D1593,RawData[Total Spent],E1593,RawData[Payment Method],F1593,RawData[Location],G1593,RawData[Transaction Date],H1593)</f>
        <v>1</v>
      </c>
      <c r="L1593"/>
    </row>
    <row r="1594" spans="1:12" x14ac:dyDescent="0.3">
      <c r="A1594" t="s">
        <v>1600</v>
      </c>
      <c r="B1594" t="s">
        <v>10009</v>
      </c>
      <c r="C1594">
        <v>5</v>
      </c>
      <c r="D1594">
        <v>3</v>
      </c>
      <c r="E1594">
        <v>15</v>
      </c>
      <c r="F1594" t="s">
        <v>10069</v>
      </c>
      <c r="G1594" t="s">
        <v>10102</v>
      </c>
      <c r="H1594" s="6">
        <v>45185</v>
      </c>
      <c r="I1594">
        <f t="shared" si="48"/>
        <v>0</v>
      </c>
      <c r="J1594" t="str">
        <f t="shared" si="49"/>
        <v>Complete</v>
      </c>
      <c r="K1594">
        <f>COUNTIFS(RawData[Item], B1594,RawData[Quantity],C1594,RawData[Price Per Unit],D1594,RawData[Total Spent],E1594,RawData[Payment Method],F1594,RawData[Location],G1594,RawData[Transaction Date],H1594)</f>
        <v>1</v>
      </c>
      <c r="L1594"/>
    </row>
    <row r="1595" spans="1:12" x14ac:dyDescent="0.3">
      <c r="A1595" t="s">
        <v>1601</v>
      </c>
      <c r="B1595" t="s">
        <v>10009</v>
      </c>
      <c r="C1595">
        <v>2</v>
      </c>
      <c r="D1595">
        <v>3</v>
      </c>
      <c r="E1595">
        <v>6</v>
      </c>
      <c r="F1595" t="s">
        <v>10018</v>
      </c>
      <c r="G1595" t="s">
        <v>10021</v>
      </c>
      <c r="H1595" s="6">
        <v>45145</v>
      </c>
      <c r="I1595">
        <f t="shared" si="48"/>
        <v>0</v>
      </c>
      <c r="J1595" t="str">
        <f t="shared" si="49"/>
        <v>Complete</v>
      </c>
      <c r="K1595">
        <f>COUNTIFS(RawData[Item], B1595,RawData[Quantity],C1595,RawData[Price Per Unit],D1595,RawData[Total Spent],E1595,RawData[Payment Method],F1595,RawData[Location],G1595,RawData[Transaction Date],H1595)</f>
        <v>1</v>
      </c>
      <c r="L1595"/>
    </row>
    <row r="1596" spans="1:12" x14ac:dyDescent="0.3">
      <c r="A1596" t="s">
        <v>1602</v>
      </c>
      <c r="B1596" t="s">
        <v>10010</v>
      </c>
      <c r="C1596">
        <v>2</v>
      </c>
      <c r="D1596">
        <v>1</v>
      </c>
      <c r="E1596">
        <v>2</v>
      </c>
      <c r="F1596" t="s">
        <v>10019</v>
      </c>
      <c r="G1596" t="s">
        <v>10021</v>
      </c>
      <c r="H1596" s="6">
        <v>44931</v>
      </c>
      <c r="I1596">
        <f t="shared" si="48"/>
        <v>0</v>
      </c>
      <c r="J1596" t="str">
        <f t="shared" si="49"/>
        <v>Complete</v>
      </c>
      <c r="K1596">
        <f>COUNTIFS(RawData[Item], B1596,RawData[Quantity],C1596,RawData[Price Per Unit],D1596,RawData[Total Spent],E1596,RawData[Payment Method],F1596,RawData[Location],G1596,RawData[Transaction Date],H1596)</f>
        <v>1</v>
      </c>
      <c r="L1596"/>
    </row>
    <row r="1597" spans="1:12" x14ac:dyDescent="0.3">
      <c r="A1597" t="s">
        <v>1603</v>
      </c>
      <c r="B1597" t="s">
        <v>10009</v>
      </c>
      <c r="C1597">
        <v>2</v>
      </c>
      <c r="D1597">
        <v>3</v>
      </c>
      <c r="E1597">
        <v>6</v>
      </c>
      <c r="F1597" t="s">
        <v>10020</v>
      </c>
      <c r="G1597" t="s">
        <v>10021</v>
      </c>
      <c r="H1597" s="6">
        <v>45275</v>
      </c>
      <c r="I1597">
        <f t="shared" si="48"/>
        <v>0</v>
      </c>
      <c r="J1597" t="str">
        <f t="shared" si="49"/>
        <v>Complete</v>
      </c>
      <c r="K1597">
        <f>COUNTIFS(RawData[Item], B1597,RawData[Quantity],C1597,RawData[Price Per Unit],D1597,RawData[Total Spent],E1597,RawData[Payment Method],F1597,RawData[Location],G1597,RawData[Transaction Date],H1597)</f>
        <v>1</v>
      </c>
      <c r="L1597"/>
    </row>
    <row r="1598" spans="1:12" x14ac:dyDescent="0.3">
      <c r="A1598" t="s">
        <v>1604</v>
      </c>
      <c r="B1598" t="s">
        <v>10010</v>
      </c>
      <c r="C1598">
        <v>5</v>
      </c>
      <c r="D1598">
        <v>1</v>
      </c>
      <c r="E1598">
        <v>5</v>
      </c>
      <c r="F1598" t="s">
        <v>10020</v>
      </c>
      <c r="G1598" t="s">
        <v>10021</v>
      </c>
      <c r="H1598" s="6">
        <v>45083</v>
      </c>
      <c r="I1598">
        <f t="shared" si="48"/>
        <v>0</v>
      </c>
      <c r="J1598" t="str">
        <f t="shared" si="49"/>
        <v>Complete</v>
      </c>
      <c r="K1598">
        <f>COUNTIFS(RawData[Item], B1598,RawData[Quantity],C1598,RawData[Price Per Unit],D1598,RawData[Total Spent],E1598,RawData[Payment Method],F1598,RawData[Location],G1598,RawData[Transaction Date],H1598)</f>
        <v>1</v>
      </c>
      <c r="L1598"/>
    </row>
    <row r="1599" spans="1:12" x14ac:dyDescent="0.3">
      <c r="A1599" t="s">
        <v>1605</v>
      </c>
      <c r="B1599" t="s">
        <v>10014</v>
      </c>
      <c r="C1599">
        <v>4</v>
      </c>
      <c r="D1599">
        <v>4</v>
      </c>
      <c r="E1599">
        <v>16</v>
      </c>
      <c r="F1599" t="s">
        <v>10020</v>
      </c>
      <c r="G1599" t="s">
        <v>10021</v>
      </c>
      <c r="H1599" s="6">
        <v>45117</v>
      </c>
      <c r="I1599">
        <f t="shared" si="48"/>
        <v>0</v>
      </c>
      <c r="J1599" t="str">
        <f t="shared" si="49"/>
        <v>Complete</v>
      </c>
      <c r="K1599">
        <f>COUNTIFS(RawData[Item], B1599,RawData[Quantity],C1599,RawData[Price Per Unit],D1599,RawData[Total Spent],E1599,RawData[Payment Method],F1599,RawData[Location],G1599,RawData[Transaction Date],H1599)</f>
        <v>1</v>
      </c>
      <c r="L1599"/>
    </row>
    <row r="1600" spans="1:12" x14ac:dyDescent="0.3">
      <c r="A1600" t="s">
        <v>1606</v>
      </c>
      <c r="B1600" t="s">
        <v>10011</v>
      </c>
      <c r="C1600">
        <v>4</v>
      </c>
      <c r="D1600">
        <v>5</v>
      </c>
      <c r="E1600">
        <v>20</v>
      </c>
      <c r="F1600" t="s">
        <v>10019</v>
      </c>
      <c r="G1600" t="s">
        <v>10102</v>
      </c>
      <c r="H1600" s="6">
        <v>45226</v>
      </c>
      <c r="I1600">
        <f t="shared" si="48"/>
        <v>0</v>
      </c>
      <c r="J1600" t="str">
        <f t="shared" si="49"/>
        <v>Complete</v>
      </c>
      <c r="K1600">
        <f>COUNTIFS(RawData[Item], B1600,RawData[Quantity],C1600,RawData[Price Per Unit],D1600,RawData[Total Spent],E1600,RawData[Payment Method],F1600,RawData[Location],G1600,RawData[Transaction Date],H1600)</f>
        <v>1</v>
      </c>
      <c r="L1600"/>
    </row>
    <row r="1601" spans="1:12" x14ac:dyDescent="0.3">
      <c r="A1601" t="s">
        <v>1607</v>
      </c>
      <c r="B1601" t="s">
        <v>10010</v>
      </c>
      <c r="C1601">
        <v>3</v>
      </c>
      <c r="D1601">
        <v>1</v>
      </c>
      <c r="E1601">
        <v>3</v>
      </c>
      <c r="F1601" t="s">
        <v>10019</v>
      </c>
      <c r="G1601" t="s">
        <v>10021</v>
      </c>
      <c r="H1601" s="6">
        <v>45082</v>
      </c>
      <c r="I1601">
        <f t="shared" si="48"/>
        <v>0</v>
      </c>
      <c r="J1601" t="str">
        <f t="shared" si="49"/>
        <v>Complete</v>
      </c>
      <c r="K1601">
        <f>COUNTIFS(RawData[Item], B1601,RawData[Quantity],C1601,RawData[Price Per Unit],D1601,RawData[Total Spent],E1601,RawData[Payment Method],F1601,RawData[Location],G1601,RawData[Transaction Date],H1601)</f>
        <v>1</v>
      </c>
      <c r="L1601"/>
    </row>
    <row r="1602" spans="1:12" x14ac:dyDescent="0.3">
      <c r="A1602" t="s">
        <v>1608</v>
      </c>
      <c r="B1602" t="s">
        <v>10016</v>
      </c>
      <c r="C1602">
        <v>5</v>
      </c>
      <c r="D1602">
        <v>3</v>
      </c>
      <c r="E1602">
        <v>15</v>
      </c>
      <c r="F1602" t="s">
        <v>10069</v>
      </c>
      <c r="G1602" t="s">
        <v>10069</v>
      </c>
      <c r="H1602" s="6">
        <v>45177</v>
      </c>
      <c r="I1602">
        <f t="shared" ref="I1602:I1665" si="50">(B1602="Unknown")+(B1602="Error")+(C1602="Unknown")+(C1602="Error")+(D1602="Unknown")+(D1602="Error")+(E1602="Unknown")+(E1602="Error")+(F1602="Unknown")+(F1602="Error")+(G1602="Unknown")+(G1602="Error")+(H1602="No Date")</f>
        <v>0</v>
      </c>
      <c r="J1602" t="str">
        <f t="shared" ref="J1602:J1665" si="51">IF((H1602="No Date"),"Incomplete","Complete")</f>
        <v>Complete</v>
      </c>
      <c r="K1602">
        <f>COUNTIFS(RawData[Item], B1602,RawData[Quantity],C1602,RawData[Price Per Unit],D1602,RawData[Total Spent],E1602,RawData[Payment Method],F1602,RawData[Location],G1602,RawData[Transaction Date],H1602)</f>
        <v>1</v>
      </c>
      <c r="L1602"/>
    </row>
    <row r="1603" spans="1:12" x14ac:dyDescent="0.3">
      <c r="A1603" t="s">
        <v>1609</v>
      </c>
      <c r="B1603" t="s">
        <v>10010</v>
      </c>
      <c r="C1603">
        <v>4</v>
      </c>
      <c r="D1603">
        <v>1</v>
      </c>
      <c r="E1603">
        <v>4</v>
      </c>
      <c r="F1603" t="s">
        <v>10069</v>
      </c>
      <c r="G1603" t="s">
        <v>10069</v>
      </c>
      <c r="H1603" s="6">
        <v>44961</v>
      </c>
      <c r="I1603">
        <f t="shared" si="50"/>
        <v>0</v>
      </c>
      <c r="J1603" t="str">
        <f t="shared" si="51"/>
        <v>Complete</v>
      </c>
      <c r="K1603">
        <f>COUNTIFS(RawData[Item], B1603,RawData[Quantity],C1603,RawData[Price Per Unit],D1603,RawData[Total Spent],E1603,RawData[Payment Method],F1603,RawData[Location],G1603,RawData[Transaction Date],H1603)</f>
        <v>1</v>
      </c>
      <c r="L1603"/>
    </row>
    <row r="1604" spans="1:12" x14ac:dyDescent="0.3">
      <c r="A1604" t="s">
        <v>1610</v>
      </c>
      <c r="B1604" t="s">
        <v>10016</v>
      </c>
      <c r="C1604" t="s">
        <v>10013</v>
      </c>
      <c r="D1604">
        <v>3</v>
      </c>
      <c r="E1604">
        <v>6</v>
      </c>
      <c r="F1604" t="s">
        <v>10018</v>
      </c>
      <c r="G1604" t="s">
        <v>10069</v>
      </c>
      <c r="H1604" s="6">
        <v>45105</v>
      </c>
      <c r="I1604">
        <f t="shared" si="50"/>
        <v>1</v>
      </c>
      <c r="J1604" t="str">
        <f t="shared" si="51"/>
        <v>Complete</v>
      </c>
      <c r="K1604">
        <f>COUNTIFS(RawData[Item], B1604,RawData[Quantity],C1604,RawData[Price Per Unit],D1604,RawData[Total Spent],E1604,RawData[Payment Method],F1604,RawData[Location],G1604,RawData[Transaction Date],H1604)</f>
        <v>1</v>
      </c>
      <c r="L1604"/>
    </row>
    <row r="1605" spans="1:12" x14ac:dyDescent="0.3">
      <c r="A1605" t="s">
        <v>1611</v>
      </c>
      <c r="B1605" t="s">
        <v>10011</v>
      </c>
      <c r="C1605">
        <v>5</v>
      </c>
      <c r="D1605">
        <v>5</v>
      </c>
      <c r="E1605">
        <v>25</v>
      </c>
      <c r="F1605" t="s">
        <v>10018</v>
      </c>
      <c r="G1605" t="s">
        <v>10021</v>
      </c>
      <c r="H1605" s="6">
        <v>45264</v>
      </c>
      <c r="I1605">
        <f t="shared" si="50"/>
        <v>0</v>
      </c>
      <c r="J1605" t="str">
        <f t="shared" si="51"/>
        <v>Complete</v>
      </c>
      <c r="K1605">
        <f>COUNTIFS(RawData[Item], B1605,RawData[Quantity],C1605,RawData[Price Per Unit],D1605,RawData[Total Spent],E1605,RawData[Payment Method],F1605,RawData[Location],G1605,RawData[Transaction Date],H1605)</f>
        <v>1</v>
      </c>
      <c r="L1605"/>
    </row>
    <row r="1606" spans="1:12" x14ac:dyDescent="0.3">
      <c r="A1606" t="s">
        <v>1612</v>
      </c>
      <c r="B1606" t="s">
        <v>10009</v>
      </c>
      <c r="C1606">
        <v>4</v>
      </c>
      <c r="D1606">
        <v>3</v>
      </c>
      <c r="E1606">
        <v>12</v>
      </c>
      <c r="F1606" t="s">
        <v>10019</v>
      </c>
      <c r="G1606" t="s">
        <v>10102</v>
      </c>
      <c r="H1606" s="6">
        <v>45086</v>
      </c>
      <c r="I1606">
        <f t="shared" si="50"/>
        <v>0</v>
      </c>
      <c r="J1606" t="str">
        <f t="shared" si="51"/>
        <v>Complete</v>
      </c>
      <c r="K1606">
        <f>COUNTIFS(RawData[Item], B1606,RawData[Quantity],C1606,RawData[Price Per Unit],D1606,RawData[Total Spent],E1606,RawData[Payment Method],F1606,RawData[Location],G1606,RawData[Transaction Date],H1606)</f>
        <v>1</v>
      </c>
      <c r="L1606"/>
    </row>
    <row r="1607" spans="1:12" x14ac:dyDescent="0.3">
      <c r="A1607" t="s">
        <v>1613</v>
      </c>
      <c r="B1607" t="s">
        <v>10009</v>
      </c>
      <c r="C1607">
        <v>1</v>
      </c>
      <c r="D1607">
        <v>3</v>
      </c>
      <c r="E1607">
        <v>3</v>
      </c>
      <c r="F1607" t="s">
        <v>10069</v>
      </c>
      <c r="G1607" t="s">
        <v>10102</v>
      </c>
      <c r="H1607" s="6">
        <v>45119</v>
      </c>
      <c r="I1607">
        <f t="shared" si="50"/>
        <v>0</v>
      </c>
      <c r="J1607" t="str">
        <f t="shared" si="51"/>
        <v>Complete</v>
      </c>
      <c r="K1607">
        <f>COUNTIFS(RawData[Item], B1607,RawData[Quantity],C1607,RawData[Price Per Unit],D1607,RawData[Total Spent],E1607,RawData[Payment Method],F1607,RawData[Location],G1607,RawData[Transaction Date],H1607)</f>
        <v>1</v>
      </c>
      <c r="L1607"/>
    </row>
    <row r="1608" spans="1:12" x14ac:dyDescent="0.3">
      <c r="A1608" t="s">
        <v>1614</v>
      </c>
      <c r="B1608" t="s">
        <v>10012</v>
      </c>
      <c r="C1608">
        <v>3</v>
      </c>
      <c r="D1608">
        <v>4</v>
      </c>
      <c r="E1608">
        <v>0</v>
      </c>
      <c r="F1608" t="s">
        <v>10019</v>
      </c>
      <c r="G1608" t="s">
        <v>10021</v>
      </c>
      <c r="H1608" s="6">
        <v>45218</v>
      </c>
      <c r="I1608">
        <f t="shared" si="50"/>
        <v>0</v>
      </c>
      <c r="J1608" t="str">
        <f t="shared" si="51"/>
        <v>Complete</v>
      </c>
      <c r="K1608">
        <f>COUNTIFS(RawData[Item], B1608,RawData[Quantity],C1608,RawData[Price Per Unit],D1608,RawData[Total Spent],E1608,RawData[Payment Method],F1608,RawData[Location],G1608,RawData[Transaction Date],H1608)</f>
        <v>1</v>
      </c>
      <c r="L1608"/>
    </row>
    <row r="1609" spans="1:12" x14ac:dyDescent="0.3">
      <c r="A1609" t="s">
        <v>1615</v>
      </c>
      <c r="B1609" t="s">
        <v>10008</v>
      </c>
      <c r="C1609">
        <v>2</v>
      </c>
      <c r="D1609">
        <v>2</v>
      </c>
      <c r="E1609">
        <v>4</v>
      </c>
      <c r="F1609" t="s">
        <v>10018</v>
      </c>
      <c r="G1609" t="s">
        <v>10021</v>
      </c>
      <c r="H1609" s="6">
        <v>45151</v>
      </c>
      <c r="I1609">
        <f t="shared" si="50"/>
        <v>0</v>
      </c>
      <c r="J1609" t="str">
        <f t="shared" si="51"/>
        <v>Complete</v>
      </c>
      <c r="K1609">
        <f>COUNTIFS(RawData[Item], B1609,RawData[Quantity],C1609,RawData[Price Per Unit],D1609,RawData[Total Spent],E1609,RawData[Payment Method],F1609,RawData[Location],G1609,RawData[Transaction Date],H1609)</f>
        <v>1</v>
      </c>
      <c r="L1609"/>
    </row>
    <row r="1610" spans="1:12" x14ac:dyDescent="0.3">
      <c r="A1610" t="s">
        <v>1616</v>
      </c>
      <c r="B1610" t="s">
        <v>10011</v>
      </c>
      <c r="C1610">
        <v>2</v>
      </c>
      <c r="D1610">
        <v>5</v>
      </c>
      <c r="E1610">
        <v>10</v>
      </c>
      <c r="F1610" t="s">
        <v>10019</v>
      </c>
      <c r="G1610" t="s">
        <v>10102</v>
      </c>
      <c r="H1610" s="6">
        <v>45260</v>
      </c>
      <c r="I1610">
        <f t="shared" si="50"/>
        <v>0</v>
      </c>
      <c r="J1610" t="str">
        <f t="shared" si="51"/>
        <v>Complete</v>
      </c>
      <c r="K1610">
        <f>COUNTIFS(RawData[Item], B1610,RawData[Quantity],C1610,RawData[Price Per Unit],D1610,RawData[Total Spent],E1610,RawData[Payment Method],F1610,RawData[Location],G1610,RawData[Transaction Date],H1610)</f>
        <v>1</v>
      </c>
      <c r="L1610"/>
    </row>
    <row r="1611" spans="1:12" x14ac:dyDescent="0.3">
      <c r="A1611" t="s">
        <v>1617</v>
      </c>
      <c r="B1611" t="s">
        <v>10017</v>
      </c>
      <c r="C1611">
        <v>4</v>
      </c>
      <c r="D1611">
        <v>1.5</v>
      </c>
      <c r="E1611">
        <v>6</v>
      </c>
      <c r="F1611" t="s">
        <v>10019</v>
      </c>
      <c r="G1611" t="s">
        <v>10102</v>
      </c>
      <c r="H1611" s="6">
        <v>45052</v>
      </c>
      <c r="I1611">
        <f t="shared" si="50"/>
        <v>0</v>
      </c>
      <c r="J1611" t="str">
        <f t="shared" si="51"/>
        <v>Complete</v>
      </c>
      <c r="K1611">
        <f>COUNTIFS(RawData[Item], B1611,RawData[Quantity],C1611,RawData[Price Per Unit],D1611,RawData[Total Spent],E1611,RawData[Payment Method],F1611,RawData[Location],G1611,RawData[Transaction Date],H1611)</f>
        <v>1</v>
      </c>
      <c r="L1611"/>
    </row>
    <row r="1612" spans="1:12" x14ac:dyDescent="0.3">
      <c r="A1612" t="s">
        <v>1618</v>
      </c>
      <c r="B1612" t="s">
        <v>10009</v>
      </c>
      <c r="C1612">
        <v>2</v>
      </c>
      <c r="D1612">
        <v>3</v>
      </c>
      <c r="E1612">
        <v>6</v>
      </c>
      <c r="F1612" t="s">
        <v>10019</v>
      </c>
      <c r="G1612" t="s">
        <v>10021</v>
      </c>
      <c r="H1612" s="6">
        <v>44941</v>
      </c>
      <c r="I1612">
        <f t="shared" si="50"/>
        <v>0</v>
      </c>
      <c r="J1612" t="str">
        <f t="shared" si="51"/>
        <v>Complete</v>
      </c>
      <c r="K1612">
        <f>COUNTIFS(RawData[Item], B1612,RawData[Quantity],C1612,RawData[Price Per Unit],D1612,RawData[Total Spent],E1612,RawData[Payment Method],F1612,RawData[Location],G1612,RawData[Transaction Date],H1612)</f>
        <v>1</v>
      </c>
      <c r="L1612"/>
    </row>
    <row r="1613" spans="1:12" x14ac:dyDescent="0.3">
      <c r="A1613" t="s">
        <v>1619</v>
      </c>
      <c r="B1613" t="s">
        <v>10009</v>
      </c>
      <c r="C1613">
        <v>1</v>
      </c>
      <c r="D1613">
        <v>3</v>
      </c>
      <c r="E1613">
        <v>3</v>
      </c>
      <c r="F1613" t="s">
        <v>10018</v>
      </c>
      <c r="G1613" t="s">
        <v>10103</v>
      </c>
      <c r="H1613" s="6" t="s">
        <v>10112</v>
      </c>
      <c r="I1613">
        <f t="shared" si="50"/>
        <v>2</v>
      </c>
      <c r="J1613" t="str">
        <f t="shared" si="51"/>
        <v>Incomplete</v>
      </c>
      <c r="K1613">
        <f>COUNTIFS(RawData[Item], B1613,RawData[Quantity],C1613,RawData[Price Per Unit],D1613,RawData[Total Spent],E1613,RawData[Payment Method],F1613,RawData[Location],G1613,RawData[Transaction Date],H1613)</f>
        <v>1</v>
      </c>
      <c r="L1613"/>
    </row>
    <row r="1614" spans="1:12" x14ac:dyDescent="0.3">
      <c r="A1614" t="s">
        <v>1620</v>
      </c>
      <c r="B1614" t="s">
        <v>10016</v>
      </c>
      <c r="C1614">
        <v>5</v>
      </c>
      <c r="D1614">
        <v>3</v>
      </c>
      <c r="E1614">
        <v>15</v>
      </c>
      <c r="F1614" t="s">
        <v>10018</v>
      </c>
      <c r="G1614" t="s">
        <v>10069</v>
      </c>
      <c r="H1614" s="6">
        <v>45187</v>
      </c>
      <c r="I1614">
        <f t="shared" si="50"/>
        <v>0</v>
      </c>
      <c r="J1614" t="str">
        <f t="shared" si="51"/>
        <v>Complete</v>
      </c>
      <c r="K1614">
        <f>COUNTIFS(RawData[Item], B1614,RawData[Quantity],C1614,RawData[Price Per Unit],D1614,RawData[Total Spent],E1614,RawData[Payment Method],F1614,RawData[Location],G1614,RawData[Transaction Date],H1614)</f>
        <v>1</v>
      </c>
      <c r="L1614"/>
    </row>
    <row r="1615" spans="1:12" x14ac:dyDescent="0.3">
      <c r="A1615" t="s">
        <v>1621</v>
      </c>
      <c r="B1615" t="s">
        <v>10008</v>
      </c>
      <c r="C1615">
        <v>2</v>
      </c>
      <c r="D1615" t="s">
        <v>10015</v>
      </c>
      <c r="E1615">
        <v>4</v>
      </c>
      <c r="F1615" t="s">
        <v>10069</v>
      </c>
      <c r="G1615" t="s">
        <v>10102</v>
      </c>
      <c r="H1615" s="6">
        <v>45211</v>
      </c>
      <c r="I1615">
        <f t="shared" si="50"/>
        <v>1</v>
      </c>
      <c r="J1615" t="str">
        <f t="shared" si="51"/>
        <v>Complete</v>
      </c>
      <c r="K1615">
        <f>COUNTIFS(RawData[Item], B1615,RawData[Quantity],C1615,RawData[Price Per Unit],D1615,RawData[Total Spent],E1615,RawData[Payment Method],F1615,RawData[Location],G1615,RawData[Transaction Date],H1615)</f>
        <v>1</v>
      </c>
      <c r="L1615"/>
    </row>
    <row r="1616" spans="1:12" x14ac:dyDescent="0.3">
      <c r="A1616" t="s">
        <v>1622</v>
      </c>
      <c r="B1616" t="s">
        <v>10069</v>
      </c>
      <c r="C1616">
        <v>5</v>
      </c>
      <c r="D1616">
        <v>4</v>
      </c>
      <c r="E1616">
        <v>20</v>
      </c>
      <c r="F1616" t="s">
        <v>10069</v>
      </c>
      <c r="G1616" t="s">
        <v>10102</v>
      </c>
      <c r="H1616" s="6">
        <v>44967</v>
      </c>
      <c r="I1616">
        <f t="shared" si="50"/>
        <v>0</v>
      </c>
      <c r="J1616" t="str">
        <f t="shared" si="51"/>
        <v>Complete</v>
      </c>
      <c r="K1616">
        <f>COUNTIFS(RawData[Item], B1616,RawData[Quantity],C1616,RawData[Price Per Unit],D1616,RawData[Total Spent],E1616,RawData[Payment Method],F1616,RawData[Location],G1616,RawData[Transaction Date],H1616)</f>
        <v>1</v>
      </c>
      <c r="L1616"/>
    </row>
    <row r="1617" spans="1:12" x14ac:dyDescent="0.3">
      <c r="A1617" t="s">
        <v>1623</v>
      </c>
      <c r="B1617" t="s">
        <v>10069</v>
      </c>
      <c r="C1617">
        <v>2</v>
      </c>
      <c r="D1617">
        <v>4</v>
      </c>
      <c r="E1617">
        <v>8</v>
      </c>
      <c r="F1617" t="s">
        <v>10019</v>
      </c>
      <c r="G1617" t="s">
        <v>10021</v>
      </c>
      <c r="H1617" s="6">
        <v>45053</v>
      </c>
      <c r="I1617">
        <f t="shared" si="50"/>
        <v>0</v>
      </c>
      <c r="J1617" t="str">
        <f t="shared" si="51"/>
        <v>Complete</v>
      </c>
      <c r="K1617">
        <f>COUNTIFS(RawData[Item], B1617,RawData[Quantity],C1617,RawData[Price Per Unit],D1617,RawData[Total Spent],E1617,RawData[Payment Method],F1617,RawData[Location],G1617,RawData[Transaction Date],H1617)</f>
        <v>1</v>
      </c>
      <c r="L1617"/>
    </row>
    <row r="1618" spans="1:12" x14ac:dyDescent="0.3">
      <c r="A1618" t="s">
        <v>1624</v>
      </c>
      <c r="B1618" t="s">
        <v>10016</v>
      </c>
      <c r="C1618">
        <v>2</v>
      </c>
      <c r="D1618">
        <v>3</v>
      </c>
      <c r="E1618">
        <v>6</v>
      </c>
      <c r="F1618" t="s">
        <v>10018</v>
      </c>
      <c r="G1618" t="s">
        <v>10021</v>
      </c>
      <c r="H1618" s="6">
        <v>45102</v>
      </c>
      <c r="I1618">
        <f t="shared" si="50"/>
        <v>0</v>
      </c>
      <c r="J1618" t="str">
        <f t="shared" si="51"/>
        <v>Complete</v>
      </c>
      <c r="K1618">
        <f>COUNTIFS(RawData[Item], B1618,RawData[Quantity],C1618,RawData[Price Per Unit],D1618,RawData[Total Spent],E1618,RawData[Payment Method],F1618,RawData[Location],G1618,RawData[Transaction Date],H1618)</f>
        <v>1</v>
      </c>
      <c r="L1618"/>
    </row>
    <row r="1619" spans="1:12" x14ac:dyDescent="0.3">
      <c r="A1619" t="s">
        <v>1625</v>
      </c>
      <c r="B1619" t="s">
        <v>10012</v>
      </c>
      <c r="C1619">
        <v>4</v>
      </c>
      <c r="D1619">
        <v>4</v>
      </c>
      <c r="E1619">
        <v>16</v>
      </c>
      <c r="F1619" t="s">
        <v>10020</v>
      </c>
      <c r="G1619" t="s">
        <v>10069</v>
      </c>
      <c r="H1619" s="6" t="s">
        <v>10112</v>
      </c>
      <c r="I1619">
        <f t="shared" si="50"/>
        <v>1</v>
      </c>
      <c r="J1619" t="str">
        <f t="shared" si="51"/>
        <v>Incomplete</v>
      </c>
      <c r="K1619">
        <f>COUNTIFS(RawData[Item], B1619,RawData[Quantity],C1619,RawData[Price Per Unit],D1619,RawData[Total Spent],E1619,RawData[Payment Method],F1619,RawData[Location],G1619,RawData[Transaction Date],H1619)</f>
        <v>1</v>
      </c>
      <c r="L1619"/>
    </row>
    <row r="1620" spans="1:12" x14ac:dyDescent="0.3">
      <c r="A1620" t="s">
        <v>1626</v>
      </c>
      <c r="B1620" t="s">
        <v>10008</v>
      </c>
      <c r="C1620">
        <v>2</v>
      </c>
      <c r="D1620">
        <v>2</v>
      </c>
      <c r="E1620">
        <v>4</v>
      </c>
      <c r="F1620" t="s">
        <v>10069</v>
      </c>
      <c r="G1620" t="s">
        <v>10102</v>
      </c>
      <c r="H1620" s="6">
        <v>45004</v>
      </c>
      <c r="I1620">
        <f t="shared" si="50"/>
        <v>0</v>
      </c>
      <c r="J1620" t="str">
        <f t="shared" si="51"/>
        <v>Complete</v>
      </c>
      <c r="K1620">
        <f>COUNTIFS(RawData[Item], B1620,RawData[Quantity],C1620,RawData[Price Per Unit],D1620,RawData[Total Spent],E1620,RawData[Payment Method],F1620,RawData[Location],G1620,RawData[Transaction Date],H1620)</f>
        <v>1</v>
      </c>
      <c r="L1620"/>
    </row>
    <row r="1621" spans="1:12" x14ac:dyDescent="0.3">
      <c r="A1621" t="s">
        <v>1627</v>
      </c>
      <c r="B1621" t="s">
        <v>10012</v>
      </c>
      <c r="C1621">
        <v>5</v>
      </c>
      <c r="D1621">
        <v>4</v>
      </c>
      <c r="E1621" t="s">
        <v>10013</v>
      </c>
      <c r="F1621" t="s">
        <v>10018</v>
      </c>
      <c r="G1621" t="s">
        <v>10021</v>
      </c>
      <c r="H1621" s="6" t="s">
        <v>10112</v>
      </c>
      <c r="I1621">
        <f t="shared" si="50"/>
        <v>2</v>
      </c>
      <c r="J1621" t="str">
        <f t="shared" si="51"/>
        <v>Incomplete</v>
      </c>
      <c r="K1621">
        <f>COUNTIFS(RawData[Item], B1621,RawData[Quantity],C1621,RawData[Price Per Unit],D1621,RawData[Total Spent],E1621,RawData[Payment Method],F1621,RawData[Location],G1621,RawData[Transaction Date],H1621)</f>
        <v>1</v>
      </c>
      <c r="L1621"/>
    </row>
    <row r="1622" spans="1:12" x14ac:dyDescent="0.3">
      <c r="A1622" t="s">
        <v>1628</v>
      </c>
      <c r="B1622" t="s">
        <v>10010</v>
      </c>
      <c r="C1622">
        <v>1</v>
      </c>
      <c r="D1622">
        <v>1</v>
      </c>
      <c r="E1622">
        <v>1</v>
      </c>
      <c r="F1622" t="s">
        <v>10069</v>
      </c>
      <c r="G1622" t="s">
        <v>10021</v>
      </c>
      <c r="H1622" s="6">
        <v>45236</v>
      </c>
      <c r="I1622">
        <f t="shared" si="50"/>
        <v>0</v>
      </c>
      <c r="J1622" t="str">
        <f t="shared" si="51"/>
        <v>Complete</v>
      </c>
      <c r="K1622">
        <f>COUNTIFS(RawData[Item], B1622,RawData[Quantity],C1622,RawData[Price Per Unit],D1622,RawData[Total Spent],E1622,RawData[Payment Method],F1622,RawData[Location],G1622,RawData[Transaction Date],H1622)</f>
        <v>1</v>
      </c>
      <c r="L1622"/>
    </row>
    <row r="1623" spans="1:12" x14ac:dyDescent="0.3">
      <c r="A1623" t="s">
        <v>1629</v>
      </c>
      <c r="B1623" t="s">
        <v>10011</v>
      </c>
      <c r="C1623">
        <v>5</v>
      </c>
      <c r="D1623">
        <v>5</v>
      </c>
      <c r="E1623">
        <v>25</v>
      </c>
      <c r="F1623" t="s">
        <v>10018</v>
      </c>
      <c r="G1623" t="s">
        <v>10021</v>
      </c>
      <c r="H1623" s="6">
        <v>45065</v>
      </c>
      <c r="I1623">
        <f t="shared" si="50"/>
        <v>0</v>
      </c>
      <c r="J1623" t="str">
        <f t="shared" si="51"/>
        <v>Complete</v>
      </c>
      <c r="K1623">
        <f>COUNTIFS(RawData[Item], B1623,RawData[Quantity],C1623,RawData[Price Per Unit],D1623,RawData[Total Spent],E1623,RawData[Payment Method],F1623,RawData[Location],G1623,RawData[Transaction Date],H1623)</f>
        <v>1</v>
      </c>
      <c r="L1623"/>
    </row>
    <row r="1624" spans="1:12" x14ac:dyDescent="0.3">
      <c r="A1624" t="s">
        <v>1630</v>
      </c>
      <c r="B1624" t="s">
        <v>10011</v>
      </c>
      <c r="C1624">
        <v>5</v>
      </c>
      <c r="D1624">
        <v>5</v>
      </c>
      <c r="E1624">
        <v>25</v>
      </c>
      <c r="F1624" t="s">
        <v>10069</v>
      </c>
      <c r="G1624" t="s">
        <v>10102</v>
      </c>
      <c r="H1624" s="6">
        <v>45261</v>
      </c>
      <c r="I1624">
        <f t="shared" si="50"/>
        <v>0</v>
      </c>
      <c r="J1624" t="str">
        <f t="shared" si="51"/>
        <v>Complete</v>
      </c>
      <c r="K1624">
        <f>COUNTIFS(RawData[Item], B1624,RawData[Quantity],C1624,RawData[Price Per Unit],D1624,RawData[Total Spent],E1624,RawData[Payment Method],F1624,RawData[Location],G1624,RawData[Transaction Date],H1624)</f>
        <v>1</v>
      </c>
      <c r="L1624"/>
    </row>
    <row r="1625" spans="1:12" x14ac:dyDescent="0.3">
      <c r="A1625" t="s">
        <v>1631</v>
      </c>
      <c r="B1625" t="s">
        <v>10017</v>
      </c>
      <c r="C1625">
        <v>5</v>
      </c>
      <c r="D1625">
        <v>1.5</v>
      </c>
      <c r="E1625">
        <v>7.5</v>
      </c>
      <c r="F1625" t="s">
        <v>10019</v>
      </c>
      <c r="G1625" t="s">
        <v>10102</v>
      </c>
      <c r="H1625" s="6">
        <v>45089</v>
      </c>
      <c r="I1625">
        <f t="shared" si="50"/>
        <v>0</v>
      </c>
      <c r="J1625" t="str">
        <f t="shared" si="51"/>
        <v>Complete</v>
      </c>
      <c r="K1625">
        <f>COUNTIFS(RawData[Item], B1625,RawData[Quantity],C1625,RawData[Price Per Unit],D1625,RawData[Total Spent],E1625,RawData[Payment Method],F1625,RawData[Location],G1625,RawData[Transaction Date],H1625)</f>
        <v>1</v>
      </c>
      <c r="L1625"/>
    </row>
    <row r="1626" spans="1:12" x14ac:dyDescent="0.3">
      <c r="A1626" t="s">
        <v>1632</v>
      </c>
      <c r="B1626" t="s">
        <v>10017</v>
      </c>
      <c r="C1626">
        <v>5</v>
      </c>
      <c r="D1626">
        <v>1.5</v>
      </c>
      <c r="E1626">
        <v>7.5</v>
      </c>
      <c r="F1626" t="s">
        <v>10018</v>
      </c>
      <c r="G1626" t="s">
        <v>10069</v>
      </c>
      <c r="H1626" s="6">
        <v>45256</v>
      </c>
      <c r="I1626">
        <f t="shared" si="50"/>
        <v>0</v>
      </c>
      <c r="J1626" t="str">
        <f t="shared" si="51"/>
        <v>Complete</v>
      </c>
      <c r="K1626">
        <f>COUNTIFS(RawData[Item], B1626,RawData[Quantity],C1626,RawData[Price Per Unit],D1626,RawData[Total Spent],E1626,RawData[Payment Method],F1626,RawData[Location],G1626,RawData[Transaction Date],H1626)</f>
        <v>1</v>
      </c>
      <c r="L1626"/>
    </row>
    <row r="1627" spans="1:12" x14ac:dyDescent="0.3">
      <c r="A1627" t="s">
        <v>1633</v>
      </c>
      <c r="B1627" t="s">
        <v>10017</v>
      </c>
      <c r="C1627">
        <v>2</v>
      </c>
      <c r="D1627">
        <v>1.5</v>
      </c>
      <c r="E1627">
        <v>3</v>
      </c>
      <c r="F1627" t="s">
        <v>10069</v>
      </c>
      <c r="G1627" t="s">
        <v>10102</v>
      </c>
      <c r="H1627" s="6">
        <v>45238</v>
      </c>
      <c r="I1627">
        <f t="shared" si="50"/>
        <v>0</v>
      </c>
      <c r="J1627" t="str">
        <f t="shared" si="51"/>
        <v>Complete</v>
      </c>
      <c r="K1627">
        <f>COUNTIFS(RawData[Item], B1627,RawData[Quantity],C1627,RawData[Price Per Unit],D1627,RawData[Total Spent],E1627,RawData[Payment Method],F1627,RawData[Location],G1627,RawData[Transaction Date],H1627)</f>
        <v>1</v>
      </c>
      <c r="L1627"/>
    </row>
    <row r="1628" spans="1:12" x14ac:dyDescent="0.3">
      <c r="A1628" t="s">
        <v>1634</v>
      </c>
      <c r="B1628" t="s">
        <v>10012</v>
      </c>
      <c r="C1628">
        <v>2</v>
      </c>
      <c r="D1628">
        <v>4</v>
      </c>
      <c r="E1628">
        <v>8</v>
      </c>
      <c r="F1628" t="s">
        <v>10020</v>
      </c>
      <c r="G1628" t="s">
        <v>10102</v>
      </c>
      <c r="H1628" s="6">
        <v>45191</v>
      </c>
      <c r="I1628">
        <f t="shared" si="50"/>
        <v>0</v>
      </c>
      <c r="J1628" t="str">
        <f t="shared" si="51"/>
        <v>Complete</v>
      </c>
      <c r="K1628">
        <f>COUNTIFS(RawData[Item], B1628,RawData[Quantity],C1628,RawData[Price Per Unit],D1628,RawData[Total Spent],E1628,RawData[Payment Method],F1628,RawData[Location],G1628,RawData[Transaction Date],H1628)</f>
        <v>1</v>
      </c>
      <c r="L1628"/>
    </row>
    <row r="1629" spans="1:12" x14ac:dyDescent="0.3">
      <c r="A1629" t="s">
        <v>1635</v>
      </c>
      <c r="B1629" t="s">
        <v>10016</v>
      </c>
      <c r="C1629">
        <v>3</v>
      </c>
      <c r="D1629">
        <v>3</v>
      </c>
      <c r="E1629">
        <v>9</v>
      </c>
      <c r="F1629" t="s">
        <v>10020</v>
      </c>
      <c r="G1629" t="s">
        <v>10069</v>
      </c>
      <c r="H1629" s="6">
        <v>45269</v>
      </c>
      <c r="I1629">
        <f t="shared" si="50"/>
        <v>0</v>
      </c>
      <c r="J1629" t="str">
        <f t="shared" si="51"/>
        <v>Complete</v>
      </c>
      <c r="K1629">
        <f>COUNTIFS(RawData[Item], B1629,RawData[Quantity],C1629,RawData[Price Per Unit],D1629,RawData[Total Spent],E1629,RawData[Payment Method],F1629,RawData[Location],G1629,RawData[Transaction Date],H1629)</f>
        <v>1</v>
      </c>
      <c r="L1629"/>
    </row>
    <row r="1630" spans="1:12" x14ac:dyDescent="0.3">
      <c r="A1630" t="s">
        <v>1636</v>
      </c>
      <c r="B1630" t="s">
        <v>10014</v>
      </c>
      <c r="C1630">
        <v>3</v>
      </c>
      <c r="D1630">
        <v>4</v>
      </c>
      <c r="E1630">
        <v>12</v>
      </c>
      <c r="F1630" t="s">
        <v>10018</v>
      </c>
      <c r="G1630" t="s">
        <v>10069</v>
      </c>
      <c r="H1630" s="6">
        <v>45153</v>
      </c>
      <c r="I1630">
        <f t="shared" si="50"/>
        <v>0</v>
      </c>
      <c r="J1630" t="str">
        <f t="shared" si="51"/>
        <v>Complete</v>
      </c>
      <c r="K1630">
        <f>COUNTIFS(RawData[Item], B1630,RawData[Quantity],C1630,RawData[Price Per Unit],D1630,RawData[Total Spent],E1630,RawData[Payment Method],F1630,RawData[Location],G1630,RawData[Transaction Date],H1630)</f>
        <v>1</v>
      </c>
      <c r="L1630"/>
    </row>
    <row r="1631" spans="1:12" x14ac:dyDescent="0.3">
      <c r="A1631" t="s">
        <v>1637</v>
      </c>
      <c r="B1631" t="s">
        <v>10015</v>
      </c>
      <c r="C1631">
        <v>4</v>
      </c>
      <c r="D1631">
        <v>4</v>
      </c>
      <c r="E1631">
        <v>16</v>
      </c>
      <c r="F1631" t="s">
        <v>10018</v>
      </c>
      <c r="G1631" t="s">
        <v>10069</v>
      </c>
      <c r="H1631" s="6">
        <v>45161</v>
      </c>
      <c r="I1631">
        <f t="shared" si="50"/>
        <v>1</v>
      </c>
      <c r="J1631" t="str">
        <f t="shared" si="51"/>
        <v>Complete</v>
      </c>
      <c r="K1631">
        <f>COUNTIFS(RawData[Item], B1631,RawData[Quantity],C1631,RawData[Price Per Unit],D1631,RawData[Total Spent],E1631,RawData[Payment Method],F1631,RawData[Location],G1631,RawData[Transaction Date],H1631)</f>
        <v>1</v>
      </c>
      <c r="L1631"/>
    </row>
    <row r="1632" spans="1:12" x14ac:dyDescent="0.3">
      <c r="A1632" t="s">
        <v>1638</v>
      </c>
      <c r="B1632" t="s">
        <v>10017</v>
      </c>
      <c r="C1632">
        <v>2</v>
      </c>
      <c r="D1632">
        <v>1.5</v>
      </c>
      <c r="E1632">
        <v>3</v>
      </c>
      <c r="F1632" t="s">
        <v>10020</v>
      </c>
      <c r="G1632" t="s">
        <v>10104</v>
      </c>
      <c r="H1632" s="6">
        <v>45022</v>
      </c>
      <c r="I1632">
        <f t="shared" si="50"/>
        <v>1</v>
      </c>
      <c r="J1632" t="str">
        <f t="shared" si="51"/>
        <v>Complete</v>
      </c>
      <c r="K1632">
        <f>COUNTIFS(RawData[Item], B1632,RawData[Quantity],C1632,RawData[Price Per Unit],D1632,RawData[Total Spent],E1632,RawData[Payment Method],F1632,RawData[Location],G1632,RawData[Transaction Date],H1632)</f>
        <v>1</v>
      </c>
      <c r="L1632"/>
    </row>
    <row r="1633" spans="1:12" x14ac:dyDescent="0.3">
      <c r="A1633" t="s">
        <v>1639</v>
      </c>
      <c r="B1633" t="s">
        <v>10012</v>
      </c>
      <c r="C1633">
        <v>5</v>
      </c>
      <c r="D1633">
        <v>4</v>
      </c>
      <c r="E1633" t="s">
        <v>10015</v>
      </c>
      <c r="F1633" t="s">
        <v>10018</v>
      </c>
      <c r="G1633" t="s">
        <v>10021</v>
      </c>
      <c r="H1633" s="6">
        <v>45023</v>
      </c>
      <c r="I1633">
        <f t="shared" si="50"/>
        <v>1</v>
      </c>
      <c r="J1633" t="str">
        <f t="shared" si="51"/>
        <v>Complete</v>
      </c>
      <c r="K1633">
        <f>COUNTIFS(RawData[Item], B1633,RawData[Quantity],C1633,RawData[Price Per Unit],D1633,RawData[Total Spent],E1633,RawData[Payment Method],F1633,RawData[Location],G1633,RawData[Transaction Date],H1633)</f>
        <v>1</v>
      </c>
      <c r="L1633"/>
    </row>
    <row r="1634" spans="1:12" x14ac:dyDescent="0.3">
      <c r="A1634" t="s">
        <v>1640</v>
      </c>
      <c r="B1634" t="s">
        <v>10010</v>
      </c>
      <c r="C1634">
        <v>4</v>
      </c>
      <c r="D1634">
        <v>1</v>
      </c>
      <c r="E1634">
        <v>4</v>
      </c>
      <c r="F1634" t="s">
        <v>10019</v>
      </c>
      <c r="G1634" t="s">
        <v>10021</v>
      </c>
      <c r="H1634" s="6">
        <v>45187</v>
      </c>
      <c r="I1634">
        <f t="shared" si="50"/>
        <v>0</v>
      </c>
      <c r="J1634" t="str">
        <f t="shared" si="51"/>
        <v>Complete</v>
      </c>
      <c r="K1634">
        <f>COUNTIFS(RawData[Item], B1634,RawData[Quantity],C1634,RawData[Price Per Unit],D1634,RawData[Total Spent],E1634,RawData[Payment Method],F1634,RawData[Location],G1634,RawData[Transaction Date],H1634)</f>
        <v>1</v>
      </c>
      <c r="L1634"/>
    </row>
    <row r="1635" spans="1:12" x14ac:dyDescent="0.3">
      <c r="A1635" t="s">
        <v>1641</v>
      </c>
      <c r="B1635" t="s">
        <v>10011</v>
      </c>
      <c r="C1635">
        <v>5</v>
      </c>
      <c r="D1635">
        <v>5</v>
      </c>
      <c r="E1635">
        <v>25</v>
      </c>
      <c r="F1635" t="s">
        <v>10104</v>
      </c>
      <c r="G1635" t="s">
        <v>10069</v>
      </c>
      <c r="H1635" s="6">
        <v>44946</v>
      </c>
      <c r="I1635">
        <f t="shared" si="50"/>
        <v>1</v>
      </c>
      <c r="J1635" t="str">
        <f t="shared" si="51"/>
        <v>Complete</v>
      </c>
      <c r="K1635">
        <f>COUNTIFS(RawData[Item], B1635,RawData[Quantity],C1635,RawData[Price Per Unit],D1635,RawData[Total Spent],E1635,RawData[Payment Method],F1635,RawData[Location],G1635,RawData[Transaction Date],H1635)</f>
        <v>1</v>
      </c>
      <c r="L1635"/>
    </row>
    <row r="1636" spans="1:12" x14ac:dyDescent="0.3">
      <c r="A1636" t="s">
        <v>1642</v>
      </c>
      <c r="B1636" t="s">
        <v>10011</v>
      </c>
      <c r="C1636">
        <v>4</v>
      </c>
      <c r="D1636">
        <v>5</v>
      </c>
      <c r="E1636">
        <v>20</v>
      </c>
      <c r="F1636" t="s">
        <v>10069</v>
      </c>
      <c r="G1636" t="s">
        <v>10102</v>
      </c>
      <c r="H1636" s="6">
        <v>45238</v>
      </c>
      <c r="I1636">
        <f t="shared" si="50"/>
        <v>0</v>
      </c>
      <c r="J1636" t="str">
        <f t="shared" si="51"/>
        <v>Complete</v>
      </c>
      <c r="K1636">
        <f>COUNTIFS(RawData[Item], B1636,RawData[Quantity],C1636,RawData[Price Per Unit],D1636,RawData[Total Spent],E1636,RawData[Payment Method],F1636,RawData[Location],G1636,RawData[Transaction Date],H1636)</f>
        <v>1</v>
      </c>
      <c r="L1636"/>
    </row>
    <row r="1637" spans="1:12" x14ac:dyDescent="0.3">
      <c r="A1637" t="s">
        <v>1643</v>
      </c>
      <c r="B1637" t="s">
        <v>10017</v>
      </c>
      <c r="C1637">
        <v>2</v>
      </c>
      <c r="D1637">
        <v>1.5</v>
      </c>
      <c r="E1637">
        <v>3</v>
      </c>
      <c r="F1637" t="s">
        <v>10018</v>
      </c>
      <c r="G1637" t="s">
        <v>10069</v>
      </c>
      <c r="H1637" s="6">
        <v>44935</v>
      </c>
      <c r="I1637">
        <f t="shared" si="50"/>
        <v>0</v>
      </c>
      <c r="J1637" t="str">
        <f t="shared" si="51"/>
        <v>Complete</v>
      </c>
      <c r="K1637">
        <f>COUNTIFS(RawData[Item], B1637,RawData[Quantity],C1637,RawData[Price Per Unit],D1637,RawData[Total Spent],E1637,RawData[Payment Method],F1637,RawData[Location],G1637,RawData[Transaction Date],H1637)</f>
        <v>1</v>
      </c>
      <c r="L1637"/>
    </row>
    <row r="1638" spans="1:12" x14ac:dyDescent="0.3">
      <c r="A1638" t="s">
        <v>1644</v>
      </c>
      <c r="B1638" t="s">
        <v>10014</v>
      </c>
      <c r="C1638">
        <v>5</v>
      </c>
      <c r="D1638">
        <v>4</v>
      </c>
      <c r="E1638">
        <v>20</v>
      </c>
      <c r="F1638" t="s">
        <v>10019</v>
      </c>
      <c r="G1638" t="s">
        <v>10102</v>
      </c>
      <c r="H1638" s="6">
        <v>45230</v>
      </c>
      <c r="I1638">
        <f t="shared" si="50"/>
        <v>0</v>
      </c>
      <c r="J1638" t="str">
        <f t="shared" si="51"/>
        <v>Complete</v>
      </c>
      <c r="K1638">
        <f>COUNTIFS(RawData[Item], B1638,RawData[Quantity],C1638,RawData[Price Per Unit],D1638,RawData[Total Spent],E1638,RawData[Payment Method],F1638,RawData[Location],G1638,RawData[Transaction Date],H1638)</f>
        <v>1</v>
      </c>
      <c r="L1638"/>
    </row>
    <row r="1639" spans="1:12" x14ac:dyDescent="0.3">
      <c r="A1639" t="s">
        <v>1645</v>
      </c>
      <c r="B1639" t="s">
        <v>10017</v>
      </c>
      <c r="C1639">
        <v>5</v>
      </c>
      <c r="D1639">
        <v>1.5</v>
      </c>
      <c r="E1639">
        <v>7.5</v>
      </c>
      <c r="F1639" t="s">
        <v>10019</v>
      </c>
      <c r="G1639" t="s">
        <v>10021</v>
      </c>
      <c r="H1639" s="6">
        <v>45050</v>
      </c>
      <c r="I1639">
        <f t="shared" si="50"/>
        <v>0</v>
      </c>
      <c r="J1639" t="str">
        <f t="shared" si="51"/>
        <v>Complete</v>
      </c>
      <c r="K1639">
        <f>COUNTIFS(RawData[Item], B1639,RawData[Quantity],C1639,RawData[Price Per Unit],D1639,RawData[Total Spent],E1639,RawData[Payment Method],F1639,RawData[Location],G1639,RawData[Transaction Date],H1639)</f>
        <v>1</v>
      </c>
      <c r="L1639"/>
    </row>
    <row r="1640" spans="1:12" x14ac:dyDescent="0.3">
      <c r="A1640" t="s">
        <v>1646</v>
      </c>
      <c r="B1640" t="s">
        <v>10013</v>
      </c>
      <c r="C1640">
        <v>2</v>
      </c>
      <c r="D1640">
        <v>5</v>
      </c>
      <c r="E1640">
        <v>10</v>
      </c>
      <c r="F1640" t="s">
        <v>10020</v>
      </c>
      <c r="G1640" t="s">
        <v>10021</v>
      </c>
      <c r="H1640" s="6">
        <v>45159</v>
      </c>
      <c r="I1640">
        <f t="shared" si="50"/>
        <v>1</v>
      </c>
      <c r="J1640" t="str">
        <f t="shared" si="51"/>
        <v>Complete</v>
      </c>
      <c r="K1640">
        <f>COUNTIFS(RawData[Item], B1640,RawData[Quantity],C1640,RawData[Price Per Unit],D1640,RawData[Total Spent],E1640,RawData[Payment Method],F1640,RawData[Location],G1640,RawData[Transaction Date],H1640)</f>
        <v>1</v>
      </c>
      <c r="L1640"/>
    </row>
    <row r="1641" spans="1:12" x14ac:dyDescent="0.3">
      <c r="A1641" t="s">
        <v>1647</v>
      </c>
      <c r="B1641" t="s">
        <v>10012</v>
      </c>
      <c r="C1641">
        <v>1</v>
      </c>
      <c r="D1641">
        <v>4</v>
      </c>
      <c r="E1641">
        <v>4</v>
      </c>
      <c r="F1641" t="s">
        <v>10020</v>
      </c>
      <c r="G1641" t="s">
        <v>10102</v>
      </c>
      <c r="H1641" s="6">
        <v>45136</v>
      </c>
      <c r="I1641">
        <f t="shared" si="50"/>
        <v>0</v>
      </c>
      <c r="J1641" t="str">
        <f t="shared" si="51"/>
        <v>Complete</v>
      </c>
      <c r="K1641">
        <f>COUNTIFS(RawData[Item], B1641,RawData[Quantity],C1641,RawData[Price Per Unit],D1641,RawData[Total Spent],E1641,RawData[Payment Method],F1641,RawData[Location],G1641,RawData[Transaction Date],H1641)</f>
        <v>1</v>
      </c>
      <c r="L1641"/>
    </row>
    <row r="1642" spans="1:12" x14ac:dyDescent="0.3">
      <c r="A1642" t="s">
        <v>1648</v>
      </c>
      <c r="B1642" t="s">
        <v>10008</v>
      </c>
      <c r="C1642">
        <v>5</v>
      </c>
      <c r="D1642">
        <v>2</v>
      </c>
      <c r="E1642">
        <v>10</v>
      </c>
      <c r="F1642" t="s">
        <v>10018</v>
      </c>
      <c r="G1642" t="s">
        <v>10069</v>
      </c>
      <c r="H1642" s="6">
        <v>45073</v>
      </c>
      <c r="I1642">
        <f t="shared" si="50"/>
        <v>0</v>
      </c>
      <c r="J1642" t="str">
        <f t="shared" si="51"/>
        <v>Complete</v>
      </c>
      <c r="K1642">
        <f>COUNTIFS(RawData[Item], B1642,RawData[Quantity],C1642,RawData[Price Per Unit],D1642,RawData[Total Spent],E1642,RawData[Payment Method],F1642,RawData[Location],G1642,RawData[Transaction Date],H1642)</f>
        <v>1</v>
      </c>
      <c r="L1642"/>
    </row>
    <row r="1643" spans="1:12" x14ac:dyDescent="0.3">
      <c r="A1643" t="s">
        <v>1649</v>
      </c>
      <c r="B1643" t="s">
        <v>10069</v>
      </c>
      <c r="C1643">
        <v>2</v>
      </c>
      <c r="D1643">
        <v>3</v>
      </c>
      <c r="E1643">
        <v>6</v>
      </c>
      <c r="F1643" t="s">
        <v>10018</v>
      </c>
      <c r="G1643" t="s">
        <v>10069</v>
      </c>
      <c r="H1643" s="6">
        <v>45197</v>
      </c>
      <c r="I1643">
        <f t="shared" si="50"/>
        <v>0</v>
      </c>
      <c r="J1643" t="str">
        <f t="shared" si="51"/>
        <v>Complete</v>
      </c>
      <c r="K1643">
        <f>COUNTIFS(RawData[Item], B1643,RawData[Quantity],C1643,RawData[Price Per Unit],D1643,RawData[Total Spent],E1643,RawData[Payment Method],F1643,RawData[Location],G1643,RawData[Transaction Date],H1643)</f>
        <v>1</v>
      </c>
      <c r="L1643"/>
    </row>
    <row r="1644" spans="1:12" x14ac:dyDescent="0.3">
      <c r="A1644" t="s">
        <v>1650</v>
      </c>
      <c r="B1644" t="s">
        <v>10009</v>
      </c>
      <c r="C1644">
        <v>1</v>
      </c>
      <c r="D1644">
        <v>3</v>
      </c>
      <c r="E1644">
        <v>3</v>
      </c>
      <c r="F1644" t="s">
        <v>10019</v>
      </c>
      <c r="G1644" t="s">
        <v>10021</v>
      </c>
      <c r="H1644" s="6">
        <v>45212</v>
      </c>
      <c r="I1644">
        <f t="shared" si="50"/>
        <v>0</v>
      </c>
      <c r="J1644" t="str">
        <f t="shared" si="51"/>
        <v>Complete</v>
      </c>
      <c r="K1644">
        <f>COUNTIFS(RawData[Item], B1644,RawData[Quantity],C1644,RawData[Price Per Unit],D1644,RawData[Total Spent],E1644,RawData[Payment Method],F1644,RawData[Location],G1644,RawData[Transaction Date],H1644)</f>
        <v>1</v>
      </c>
      <c r="L1644"/>
    </row>
    <row r="1645" spans="1:12" x14ac:dyDescent="0.3">
      <c r="A1645" t="s">
        <v>1651</v>
      </c>
      <c r="B1645" t="s">
        <v>10012</v>
      </c>
      <c r="C1645">
        <v>1</v>
      </c>
      <c r="D1645">
        <v>4</v>
      </c>
      <c r="E1645">
        <v>4</v>
      </c>
      <c r="F1645" t="s">
        <v>10018</v>
      </c>
      <c r="G1645" t="s">
        <v>10102</v>
      </c>
      <c r="H1645" s="6">
        <v>44976</v>
      </c>
      <c r="I1645">
        <f t="shared" si="50"/>
        <v>0</v>
      </c>
      <c r="J1645" t="str">
        <f t="shared" si="51"/>
        <v>Complete</v>
      </c>
      <c r="K1645">
        <f>COUNTIFS(RawData[Item], B1645,RawData[Quantity],C1645,RawData[Price Per Unit],D1645,RawData[Total Spent],E1645,RawData[Payment Method],F1645,RawData[Location],G1645,RawData[Transaction Date],H1645)</f>
        <v>1</v>
      </c>
      <c r="L1645"/>
    </row>
    <row r="1646" spans="1:12" x14ac:dyDescent="0.3">
      <c r="A1646" t="s">
        <v>1652</v>
      </c>
      <c r="B1646" t="s">
        <v>10008</v>
      </c>
      <c r="C1646">
        <v>3</v>
      </c>
      <c r="D1646">
        <v>2</v>
      </c>
      <c r="E1646">
        <v>6</v>
      </c>
      <c r="F1646" t="s">
        <v>10019</v>
      </c>
      <c r="G1646" t="s">
        <v>10021</v>
      </c>
      <c r="H1646" s="6">
        <v>45276</v>
      </c>
      <c r="I1646">
        <f t="shared" si="50"/>
        <v>0</v>
      </c>
      <c r="J1646" t="str">
        <f t="shared" si="51"/>
        <v>Complete</v>
      </c>
      <c r="K1646">
        <f>COUNTIFS(RawData[Item], B1646,RawData[Quantity],C1646,RawData[Price Per Unit],D1646,RawData[Total Spent],E1646,RawData[Payment Method],F1646,RawData[Location],G1646,RawData[Transaction Date],H1646)</f>
        <v>1</v>
      </c>
      <c r="L1646"/>
    </row>
    <row r="1647" spans="1:12" x14ac:dyDescent="0.3">
      <c r="A1647" t="s">
        <v>1653</v>
      </c>
      <c r="B1647" t="s">
        <v>10008</v>
      </c>
      <c r="C1647">
        <v>5</v>
      </c>
      <c r="D1647">
        <v>2</v>
      </c>
      <c r="E1647">
        <v>10</v>
      </c>
      <c r="F1647" t="s">
        <v>10019</v>
      </c>
      <c r="G1647" t="s">
        <v>10069</v>
      </c>
      <c r="H1647" s="6">
        <v>44978</v>
      </c>
      <c r="I1647">
        <f t="shared" si="50"/>
        <v>0</v>
      </c>
      <c r="J1647" t="str">
        <f t="shared" si="51"/>
        <v>Complete</v>
      </c>
      <c r="K1647">
        <f>COUNTIFS(RawData[Item], B1647,RawData[Quantity],C1647,RawData[Price Per Unit],D1647,RawData[Total Spent],E1647,RawData[Payment Method],F1647,RawData[Location],G1647,RawData[Transaction Date],H1647)</f>
        <v>1</v>
      </c>
      <c r="L1647"/>
    </row>
    <row r="1648" spans="1:12" x14ac:dyDescent="0.3">
      <c r="A1648" t="s">
        <v>1654</v>
      </c>
      <c r="B1648" t="s">
        <v>10008</v>
      </c>
      <c r="C1648">
        <v>1</v>
      </c>
      <c r="D1648">
        <v>2</v>
      </c>
      <c r="E1648">
        <v>2</v>
      </c>
      <c r="F1648" t="s">
        <v>10103</v>
      </c>
      <c r="G1648" t="s">
        <v>10021</v>
      </c>
      <c r="H1648" s="6">
        <v>44942</v>
      </c>
      <c r="I1648">
        <f t="shared" si="50"/>
        <v>1</v>
      </c>
      <c r="J1648" t="str">
        <f t="shared" si="51"/>
        <v>Complete</v>
      </c>
      <c r="K1648">
        <f>COUNTIFS(RawData[Item], B1648,RawData[Quantity],C1648,RawData[Price Per Unit],D1648,RawData[Total Spent],E1648,RawData[Payment Method],F1648,RawData[Location],G1648,RawData[Transaction Date],H1648)</f>
        <v>1</v>
      </c>
      <c r="L1648"/>
    </row>
    <row r="1649" spans="1:12" x14ac:dyDescent="0.3">
      <c r="A1649" t="s">
        <v>1655</v>
      </c>
      <c r="B1649" t="s">
        <v>10009</v>
      </c>
      <c r="C1649">
        <v>5</v>
      </c>
      <c r="D1649">
        <v>3</v>
      </c>
      <c r="E1649">
        <v>15</v>
      </c>
      <c r="F1649" t="s">
        <v>10103</v>
      </c>
      <c r="G1649" t="s">
        <v>10021</v>
      </c>
      <c r="H1649" s="6">
        <v>45175</v>
      </c>
      <c r="I1649">
        <f t="shared" si="50"/>
        <v>1</v>
      </c>
      <c r="J1649" t="str">
        <f t="shared" si="51"/>
        <v>Complete</v>
      </c>
      <c r="K1649">
        <f>COUNTIFS(RawData[Item], B1649,RawData[Quantity],C1649,RawData[Price Per Unit],D1649,RawData[Total Spent],E1649,RawData[Payment Method],F1649,RawData[Location],G1649,RawData[Transaction Date],H1649)</f>
        <v>1</v>
      </c>
      <c r="L1649"/>
    </row>
    <row r="1650" spans="1:12" x14ac:dyDescent="0.3">
      <c r="A1650" t="s">
        <v>1656</v>
      </c>
      <c r="B1650" t="s">
        <v>10010</v>
      </c>
      <c r="C1650">
        <v>2</v>
      </c>
      <c r="D1650">
        <v>1</v>
      </c>
      <c r="E1650">
        <v>2</v>
      </c>
      <c r="F1650" t="s">
        <v>10018</v>
      </c>
      <c r="G1650" t="s">
        <v>10021</v>
      </c>
      <c r="H1650" s="6">
        <v>44929</v>
      </c>
      <c r="I1650">
        <f t="shared" si="50"/>
        <v>0</v>
      </c>
      <c r="J1650" t="str">
        <f t="shared" si="51"/>
        <v>Complete</v>
      </c>
      <c r="K1650">
        <f>COUNTIFS(RawData[Item], B1650,RawData[Quantity],C1650,RawData[Price Per Unit],D1650,RawData[Total Spent],E1650,RawData[Payment Method],F1650,RawData[Location],G1650,RawData[Transaction Date],H1650)</f>
        <v>1</v>
      </c>
      <c r="L1650"/>
    </row>
    <row r="1651" spans="1:12" x14ac:dyDescent="0.3">
      <c r="A1651" t="s">
        <v>1657</v>
      </c>
      <c r="B1651" t="s">
        <v>10014</v>
      </c>
      <c r="C1651">
        <v>1</v>
      </c>
      <c r="D1651">
        <v>4</v>
      </c>
      <c r="E1651">
        <v>4</v>
      </c>
      <c r="F1651" t="s">
        <v>10018</v>
      </c>
      <c r="G1651" t="s">
        <v>10102</v>
      </c>
      <c r="H1651" s="6" t="s">
        <v>10112</v>
      </c>
      <c r="I1651">
        <f t="shared" si="50"/>
        <v>1</v>
      </c>
      <c r="J1651" t="str">
        <f t="shared" si="51"/>
        <v>Incomplete</v>
      </c>
      <c r="K1651">
        <f>COUNTIFS(RawData[Item], B1651,RawData[Quantity],C1651,RawData[Price Per Unit],D1651,RawData[Total Spent],E1651,RawData[Payment Method],F1651,RawData[Location],G1651,RawData[Transaction Date],H1651)</f>
        <v>2</v>
      </c>
      <c r="L1651"/>
    </row>
    <row r="1652" spans="1:12" x14ac:dyDescent="0.3">
      <c r="A1652" t="s">
        <v>1658</v>
      </c>
      <c r="B1652" t="s">
        <v>10016</v>
      </c>
      <c r="C1652">
        <v>2</v>
      </c>
      <c r="D1652">
        <v>3</v>
      </c>
      <c r="E1652">
        <v>6</v>
      </c>
      <c r="F1652" t="s">
        <v>10020</v>
      </c>
      <c r="G1652" t="s">
        <v>10102</v>
      </c>
      <c r="H1652" s="6">
        <v>44991</v>
      </c>
      <c r="I1652">
        <f t="shared" si="50"/>
        <v>0</v>
      </c>
      <c r="J1652" t="str">
        <f t="shared" si="51"/>
        <v>Complete</v>
      </c>
      <c r="K1652">
        <f>COUNTIFS(RawData[Item], B1652,RawData[Quantity],C1652,RawData[Price Per Unit],D1652,RawData[Total Spent],E1652,RawData[Payment Method],F1652,RawData[Location],G1652,RawData[Transaction Date],H1652)</f>
        <v>1</v>
      </c>
      <c r="L1652"/>
    </row>
    <row r="1653" spans="1:12" x14ac:dyDescent="0.3">
      <c r="A1653" t="s">
        <v>1659</v>
      </c>
      <c r="B1653" t="s">
        <v>10017</v>
      </c>
      <c r="C1653">
        <v>3</v>
      </c>
      <c r="D1653">
        <v>1.5</v>
      </c>
      <c r="E1653">
        <v>4.5</v>
      </c>
      <c r="F1653" t="s">
        <v>10018</v>
      </c>
      <c r="G1653" t="s">
        <v>10102</v>
      </c>
      <c r="H1653" s="6">
        <v>45175</v>
      </c>
      <c r="I1653">
        <f t="shared" si="50"/>
        <v>0</v>
      </c>
      <c r="J1653" t="str">
        <f t="shared" si="51"/>
        <v>Complete</v>
      </c>
      <c r="K1653">
        <f>COUNTIFS(RawData[Item], B1653,RawData[Quantity],C1653,RawData[Price Per Unit],D1653,RawData[Total Spent],E1653,RawData[Payment Method],F1653,RawData[Location],G1653,RawData[Transaction Date],H1653)</f>
        <v>1</v>
      </c>
      <c r="L1653"/>
    </row>
    <row r="1654" spans="1:12" x14ac:dyDescent="0.3">
      <c r="A1654" t="s">
        <v>1660</v>
      </c>
      <c r="B1654" t="s">
        <v>10014</v>
      </c>
      <c r="C1654">
        <v>2</v>
      </c>
      <c r="D1654">
        <v>4</v>
      </c>
      <c r="E1654">
        <v>8</v>
      </c>
      <c r="F1654" t="s">
        <v>10103</v>
      </c>
      <c r="G1654" t="s">
        <v>10021</v>
      </c>
      <c r="H1654" s="6">
        <v>45223</v>
      </c>
      <c r="I1654">
        <f t="shared" si="50"/>
        <v>1</v>
      </c>
      <c r="J1654" t="str">
        <f t="shared" si="51"/>
        <v>Complete</v>
      </c>
      <c r="K1654">
        <f>COUNTIFS(RawData[Item], B1654,RawData[Quantity],C1654,RawData[Price Per Unit],D1654,RawData[Total Spent],E1654,RawData[Payment Method],F1654,RawData[Location],G1654,RawData[Transaction Date],H1654)</f>
        <v>1</v>
      </c>
      <c r="L1654"/>
    </row>
    <row r="1655" spans="1:12" x14ac:dyDescent="0.3">
      <c r="A1655" t="s">
        <v>1661</v>
      </c>
      <c r="B1655" t="s">
        <v>10014</v>
      </c>
      <c r="C1655">
        <v>5</v>
      </c>
      <c r="D1655">
        <v>4</v>
      </c>
      <c r="E1655">
        <v>20</v>
      </c>
      <c r="F1655" t="s">
        <v>10018</v>
      </c>
      <c r="G1655" t="s">
        <v>10103</v>
      </c>
      <c r="H1655" s="6">
        <v>44955</v>
      </c>
      <c r="I1655">
        <f t="shared" si="50"/>
        <v>1</v>
      </c>
      <c r="J1655" t="str">
        <f t="shared" si="51"/>
        <v>Complete</v>
      </c>
      <c r="K1655">
        <f>COUNTIFS(RawData[Item], B1655,RawData[Quantity],C1655,RawData[Price Per Unit],D1655,RawData[Total Spent],E1655,RawData[Payment Method],F1655,RawData[Location],G1655,RawData[Transaction Date],H1655)</f>
        <v>1</v>
      </c>
      <c r="L1655"/>
    </row>
    <row r="1656" spans="1:12" x14ac:dyDescent="0.3">
      <c r="A1656" t="s">
        <v>1662</v>
      </c>
      <c r="B1656" t="s">
        <v>10009</v>
      </c>
      <c r="C1656">
        <v>4</v>
      </c>
      <c r="D1656">
        <v>3</v>
      </c>
      <c r="E1656">
        <v>12</v>
      </c>
      <c r="F1656" t="s">
        <v>10103</v>
      </c>
      <c r="G1656" t="s">
        <v>10021</v>
      </c>
      <c r="H1656" s="6">
        <v>45137</v>
      </c>
      <c r="I1656">
        <f t="shared" si="50"/>
        <v>1</v>
      </c>
      <c r="J1656" t="str">
        <f t="shared" si="51"/>
        <v>Complete</v>
      </c>
      <c r="K1656">
        <f>COUNTIFS(RawData[Item], B1656,RawData[Quantity],C1656,RawData[Price Per Unit],D1656,RawData[Total Spent],E1656,RawData[Payment Method],F1656,RawData[Location],G1656,RawData[Transaction Date],H1656)</f>
        <v>1</v>
      </c>
      <c r="L1656"/>
    </row>
    <row r="1657" spans="1:12" x14ac:dyDescent="0.3">
      <c r="A1657" t="s">
        <v>1663</v>
      </c>
      <c r="B1657" t="s">
        <v>10017</v>
      </c>
      <c r="C1657">
        <v>2</v>
      </c>
      <c r="D1657">
        <v>1.5</v>
      </c>
      <c r="E1657">
        <v>0</v>
      </c>
      <c r="F1657" t="s">
        <v>10019</v>
      </c>
      <c r="G1657" t="s">
        <v>10069</v>
      </c>
      <c r="H1657" s="6">
        <v>45094</v>
      </c>
      <c r="I1657">
        <f t="shared" si="50"/>
        <v>0</v>
      </c>
      <c r="J1657" t="str">
        <f t="shared" si="51"/>
        <v>Complete</v>
      </c>
      <c r="K1657">
        <f>COUNTIFS(RawData[Item], B1657,RawData[Quantity],C1657,RawData[Price Per Unit],D1657,RawData[Total Spent],E1657,RawData[Payment Method],F1657,RawData[Location],G1657,RawData[Transaction Date],H1657)</f>
        <v>1</v>
      </c>
      <c r="L1657"/>
    </row>
    <row r="1658" spans="1:12" x14ac:dyDescent="0.3">
      <c r="A1658" t="s">
        <v>1664</v>
      </c>
      <c r="B1658" t="s">
        <v>10014</v>
      </c>
      <c r="C1658">
        <v>5</v>
      </c>
      <c r="D1658">
        <v>4</v>
      </c>
      <c r="E1658">
        <v>20</v>
      </c>
      <c r="F1658" t="s">
        <v>10069</v>
      </c>
      <c r="G1658" t="s">
        <v>10102</v>
      </c>
      <c r="H1658" s="6">
        <v>45123</v>
      </c>
      <c r="I1658">
        <f t="shared" si="50"/>
        <v>0</v>
      </c>
      <c r="J1658" t="str">
        <f t="shared" si="51"/>
        <v>Complete</v>
      </c>
      <c r="K1658">
        <f>COUNTIFS(RawData[Item], B1658,RawData[Quantity],C1658,RawData[Price Per Unit],D1658,RawData[Total Spent],E1658,RawData[Payment Method],F1658,RawData[Location],G1658,RawData[Transaction Date],H1658)</f>
        <v>1</v>
      </c>
      <c r="L1658"/>
    </row>
    <row r="1659" spans="1:12" x14ac:dyDescent="0.3">
      <c r="A1659" t="s">
        <v>1665</v>
      </c>
      <c r="B1659" t="s">
        <v>10010</v>
      </c>
      <c r="C1659">
        <v>5</v>
      </c>
      <c r="D1659">
        <v>1</v>
      </c>
      <c r="E1659">
        <v>5</v>
      </c>
      <c r="F1659" t="s">
        <v>10020</v>
      </c>
      <c r="G1659" t="s">
        <v>10102</v>
      </c>
      <c r="H1659" s="6">
        <v>45178</v>
      </c>
      <c r="I1659">
        <f t="shared" si="50"/>
        <v>0</v>
      </c>
      <c r="J1659" t="str">
        <f t="shared" si="51"/>
        <v>Complete</v>
      </c>
      <c r="K1659">
        <f>COUNTIFS(RawData[Item], B1659,RawData[Quantity],C1659,RawData[Price Per Unit],D1659,RawData[Total Spent],E1659,RawData[Payment Method],F1659,RawData[Location],G1659,RawData[Transaction Date],H1659)</f>
        <v>1</v>
      </c>
      <c r="L1659"/>
    </row>
    <row r="1660" spans="1:12" x14ac:dyDescent="0.3">
      <c r="A1660" t="s">
        <v>1666</v>
      </c>
      <c r="B1660" t="s">
        <v>10015</v>
      </c>
      <c r="C1660">
        <v>5</v>
      </c>
      <c r="D1660">
        <v>2</v>
      </c>
      <c r="E1660">
        <v>10</v>
      </c>
      <c r="F1660" t="s">
        <v>10069</v>
      </c>
      <c r="G1660" t="s">
        <v>10069</v>
      </c>
      <c r="H1660" s="6">
        <v>45054</v>
      </c>
      <c r="I1660">
        <f t="shared" si="50"/>
        <v>1</v>
      </c>
      <c r="J1660" t="str">
        <f t="shared" si="51"/>
        <v>Complete</v>
      </c>
      <c r="K1660">
        <f>COUNTIFS(RawData[Item], B1660,RawData[Quantity],C1660,RawData[Price Per Unit],D1660,RawData[Total Spent],E1660,RawData[Payment Method],F1660,RawData[Location],G1660,RawData[Transaction Date],H1660)</f>
        <v>1</v>
      </c>
      <c r="L1660"/>
    </row>
    <row r="1661" spans="1:12" x14ac:dyDescent="0.3">
      <c r="A1661" t="s">
        <v>1667</v>
      </c>
      <c r="B1661" t="s">
        <v>10012</v>
      </c>
      <c r="C1661">
        <v>2</v>
      </c>
      <c r="D1661">
        <v>4</v>
      </c>
      <c r="E1661">
        <v>8</v>
      </c>
      <c r="F1661" t="s">
        <v>10020</v>
      </c>
      <c r="G1661" t="s">
        <v>10069</v>
      </c>
      <c r="H1661" s="6">
        <v>44961</v>
      </c>
      <c r="I1661">
        <f t="shared" si="50"/>
        <v>0</v>
      </c>
      <c r="J1661" t="str">
        <f t="shared" si="51"/>
        <v>Complete</v>
      </c>
      <c r="K1661">
        <f>COUNTIFS(RawData[Item], B1661,RawData[Quantity],C1661,RawData[Price Per Unit],D1661,RawData[Total Spent],E1661,RawData[Payment Method],F1661,RawData[Location],G1661,RawData[Transaction Date],H1661)</f>
        <v>1</v>
      </c>
      <c r="L1661"/>
    </row>
    <row r="1662" spans="1:12" x14ac:dyDescent="0.3">
      <c r="A1662" t="s">
        <v>1668</v>
      </c>
      <c r="B1662" t="s">
        <v>10011</v>
      </c>
      <c r="C1662">
        <v>5</v>
      </c>
      <c r="D1662">
        <v>5</v>
      </c>
      <c r="E1662">
        <v>25</v>
      </c>
      <c r="F1662" t="s">
        <v>10018</v>
      </c>
      <c r="G1662" t="s">
        <v>10021</v>
      </c>
      <c r="H1662" s="6">
        <v>45256</v>
      </c>
      <c r="I1662">
        <f t="shared" si="50"/>
        <v>0</v>
      </c>
      <c r="J1662" t="str">
        <f t="shared" si="51"/>
        <v>Complete</v>
      </c>
      <c r="K1662">
        <f>COUNTIFS(RawData[Item], B1662,RawData[Quantity],C1662,RawData[Price Per Unit],D1662,RawData[Total Spent],E1662,RawData[Payment Method],F1662,RawData[Location],G1662,RawData[Transaction Date],H1662)</f>
        <v>1</v>
      </c>
      <c r="L1662"/>
    </row>
    <row r="1663" spans="1:12" x14ac:dyDescent="0.3">
      <c r="A1663" t="s">
        <v>1669</v>
      </c>
      <c r="B1663" t="s">
        <v>10012</v>
      </c>
      <c r="C1663">
        <v>5</v>
      </c>
      <c r="D1663">
        <v>4</v>
      </c>
      <c r="E1663">
        <v>20</v>
      </c>
      <c r="F1663" t="s">
        <v>10018</v>
      </c>
      <c r="G1663" t="s">
        <v>10102</v>
      </c>
      <c r="H1663" s="6">
        <v>45280</v>
      </c>
      <c r="I1663">
        <f t="shared" si="50"/>
        <v>0</v>
      </c>
      <c r="J1663" t="str">
        <f t="shared" si="51"/>
        <v>Complete</v>
      </c>
      <c r="K1663">
        <f>COUNTIFS(RawData[Item], B1663,RawData[Quantity],C1663,RawData[Price Per Unit],D1663,RawData[Total Spent],E1663,RawData[Payment Method],F1663,RawData[Location],G1663,RawData[Transaction Date],H1663)</f>
        <v>1</v>
      </c>
      <c r="L1663"/>
    </row>
    <row r="1664" spans="1:12" x14ac:dyDescent="0.3">
      <c r="A1664" t="s">
        <v>1670</v>
      </c>
      <c r="B1664" t="s">
        <v>10016</v>
      </c>
      <c r="C1664">
        <v>5</v>
      </c>
      <c r="D1664">
        <v>3</v>
      </c>
      <c r="E1664">
        <v>15</v>
      </c>
      <c r="F1664" t="s">
        <v>10020</v>
      </c>
      <c r="G1664" t="s">
        <v>10069</v>
      </c>
      <c r="H1664" s="6">
        <v>45203</v>
      </c>
      <c r="I1664">
        <f t="shared" si="50"/>
        <v>0</v>
      </c>
      <c r="J1664" t="str">
        <f t="shared" si="51"/>
        <v>Complete</v>
      </c>
      <c r="K1664">
        <f>COUNTIFS(RawData[Item], B1664,RawData[Quantity],C1664,RawData[Price Per Unit],D1664,RawData[Total Spent],E1664,RawData[Payment Method],F1664,RawData[Location],G1664,RawData[Transaction Date],H1664)</f>
        <v>1</v>
      </c>
      <c r="L1664"/>
    </row>
    <row r="1665" spans="1:12" x14ac:dyDescent="0.3">
      <c r="A1665" t="s">
        <v>1671</v>
      </c>
      <c r="B1665" t="s">
        <v>10017</v>
      </c>
      <c r="C1665">
        <v>4</v>
      </c>
      <c r="D1665">
        <v>1.5</v>
      </c>
      <c r="E1665">
        <v>6</v>
      </c>
      <c r="F1665" t="s">
        <v>10019</v>
      </c>
      <c r="G1665" t="s">
        <v>10102</v>
      </c>
      <c r="H1665" s="6" t="s">
        <v>10112</v>
      </c>
      <c r="I1665">
        <f t="shared" si="50"/>
        <v>1</v>
      </c>
      <c r="J1665" t="str">
        <f t="shared" si="51"/>
        <v>Incomplete</v>
      </c>
      <c r="K1665">
        <f>COUNTIFS(RawData[Item], B1665,RawData[Quantity],C1665,RawData[Price Per Unit],D1665,RawData[Total Spent],E1665,RawData[Payment Method],F1665,RawData[Location],G1665,RawData[Transaction Date],H1665)</f>
        <v>2</v>
      </c>
      <c r="L1665"/>
    </row>
    <row r="1666" spans="1:12" x14ac:dyDescent="0.3">
      <c r="A1666" t="s">
        <v>1672</v>
      </c>
      <c r="B1666" t="s">
        <v>10014</v>
      </c>
      <c r="C1666">
        <v>2</v>
      </c>
      <c r="D1666">
        <v>4</v>
      </c>
      <c r="E1666">
        <v>8</v>
      </c>
      <c r="F1666" t="s">
        <v>10019</v>
      </c>
      <c r="G1666" t="s">
        <v>10021</v>
      </c>
      <c r="H1666" s="6" t="s">
        <v>10112</v>
      </c>
      <c r="I1666">
        <f t="shared" ref="I1666:I1729" si="52">(B1666="Unknown")+(B1666="Error")+(C1666="Unknown")+(C1666="Error")+(D1666="Unknown")+(D1666="Error")+(E1666="Unknown")+(E1666="Error")+(F1666="Unknown")+(F1666="Error")+(G1666="Unknown")+(G1666="Error")+(H1666="No Date")</f>
        <v>1</v>
      </c>
      <c r="J1666" t="str">
        <f t="shared" ref="J1666:J1729" si="53">IF((H1666="No Date"),"Incomplete","Complete")</f>
        <v>Incomplete</v>
      </c>
      <c r="K1666">
        <f>COUNTIFS(RawData[Item], B1666,RawData[Quantity],C1666,RawData[Price Per Unit],D1666,RawData[Total Spent],E1666,RawData[Payment Method],F1666,RawData[Location],G1666,RawData[Transaction Date],H1666)</f>
        <v>1</v>
      </c>
      <c r="L1666"/>
    </row>
    <row r="1667" spans="1:12" x14ac:dyDescent="0.3">
      <c r="A1667" t="s">
        <v>1673</v>
      </c>
      <c r="B1667" t="s">
        <v>10012</v>
      </c>
      <c r="C1667">
        <v>2</v>
      </c>
      <c r="D1667">
        <v>4</v>
      </c>
      <c r="E1667">
        <v>8</v>
      </c>
      <c r="F1667" t="s">
        <v>10069</v>
      </c>
      <c r="G1667" t="s">
        <v>10102</v>
      </c>
      <c r="H1667" s="6">
        <v>45066</v>
      </c>
      <c r="I1667">
        <f t="shared" si="52"/>
        <v>0</v>
      </c>
      <c r="J1667" t="str">
        <f t="shared" si="53"/>
        <v>Complete</v>
      </c>
      <c r="K1667">
        <f>COUNTIFS(RawData[Item], B1667,RawData[Quantity],C1667,RawData[Price Per Unit],D1667,RawData[Total Spent],E1667,RawData[Payment Method],F1667,RawData[Location],G1667,RawData[Transaction Date],H1667)</f>
        <v>1</v>
      </c>
      <c r="L1667"/>
    </row>
    <row r="1668" spans="1:12" x14ac:dyDescent="0.3">
      <c r="A1668" t="s">
        <v>1674</v>
      </c>
      <c r="B1668" t="s">
        <v>10008</v>
      </c>
      <c r="C1668">
        <v>5</v>
      </c>
      <c r="D1668">
        <v>2</v>
      </c>
      <c r="E1668">
        <v>10</v>
      </c>
      <c r="F1668" t="s">
        <v>10069</v>
      </c>
      <c r="G1668" t="s">
        <v>10102</v>
      </c>
      <c r="H1668" s="6">
        <v>45178</v>
      </c>
      <c r="I1668">
        <f t="shared" si="52"/>
        <v>0</v>
      </c>
      <c r="J1668" t="str">
        <f t="shared" si="53"/>
        <v>Complete</v>
      </c>
      <c r="K1668">
        <f>COUNTIFS(RawData[Item], B1668,RawData[Quantity],C1668,RawData[Price Per Unit],D1668,RawData[Total Spent],E1668,RawData[Payment Method],F1668,RawData[Location],G1668,RawData[Transaction Date],H1668)</f>
        <v>1</v>
      </c>
      <c r="L1668"/>
    </row>
    <row r="1669" spans="1:12" x14ac:dyDescent="0.3">
      <c r="A1669" t="s">
        <v>1675</v>
      </c>
      <c r="B1669" t="s">
        <v>10010</v>
      </c>
      <c r="C1669">
        <v>1</v>
      </c>
      <c r="D1669">
        <v>1</v>
      </c>
      <c r="E1669">
        <v>1</v>
      </c>
      <c r="F1669" t="s">
        <v>10019</v>
      </c>
      <c r="G1669" t="s">
        <v>10021</v>
      </c>
      <c r="H1669" s="6">
        <v>45225</v>
      </c>
      <c r="I1669">
        <f t="shared" si="52"/>
        <v>0</v>
      </c>
      <c r="J1669" t="str">
        <f t="shared" si="53"/>
        <v>Complete</v>
      </c>
      <c r="K1669">
        <f>COUNTIFS(RawData[Item], B1669,RawData[Quantity],C1669,RawData[Price Per Unit],D1669,RawData[Total Spent],E1669,RawData[Payment Method],F1669,RawData[Location],G1669,RawData[Transaction Date],H1669)</f>
        <v>1</v>
      </c>
      <c r="L1669"/>
    </row>
    <row r="1670" spans="1:12" x14ac:dyDescent="0.3">
      <c r="A1670" t="s">
        <v>1676</v>
      </c>
      <c r="B1670" t="s">
        <v>10009</v>
      </c>
      <c r="C1670">
        <v>4</v>
      </c>
      <c r="D1670">
        <v>3</v>
      </c>
      <c r="E1670">
        <v>12</v>
      </c>
      <c r="F1670" t="s">
        <v>10018</v>
      </c>
      <c r="G1670" t="s">
        <v>10102</v>
      </c>
      <c r="H1670" s="6">
        <v>45222</v>
      </c>
      <c r="I1670">
        <f t="shared" si="52"/>
        <v>0</v>
      </c>
      <c r="J1670" t="str">
        <f t="shared" si="53"/>
        <v>Complete</v>
      </c>
      <c r="K1670">
        <f>COUNTIFS(RawData[Item], B1670,RawData[Quantity],C1670,RawData[Price Per Unit],D1670,RawData[Total Spent],E1670,RawData[Payment Method],F1670,RawData[Location],G1670,RawData[Transaction Date],H1670)</f>
        <v>1</v>
      </c>
      <c r="L1670"/>
    </row>
    <row r="1671" spans="1:12" x14ac:dyDescent="0.3">
      <c r="A1671" t="s">
        <v>1677</v>
      </c>
      <c r="B1671" t="s">
        <v>10014</v>
      </c>
      <c r="C1671">
        <v>5</v>
      </c>
      <c r="D1671">
        <v>4</v>
      </c>
      <c r="E1671">
        <v>20</v>
      </c>
      <c r="F1671" t="s">
        <v>10019</v>
      </c>
      <c r="G1671" t="s">
        <v>10102</v>
      </c>
      <c r="H1671" s="6">
        <v>45181</v>
      </c>
      <c r="I1671">
        <f t="shared" si="52"/>
        <v>0</v>
      </c>
      <c r="J1671" t="str">
        <f t="shared" si="53"/>
        <v>Complete</v>
      </c>
      <c r="K1671">
        <f>COUNTIFS(RawData[Item], B1671,RawData[Quantity],C1671,RawData[Price Per Unit],D1671,RawData[Total Spent],E1671,RawData[Payment Method],F1671,RawData[Location],G1671,RawData[Transaction Date],H1671)</f>
        <v>1</v>
      </c>
      <c r="L1671"/>
    </row>
    <row r="1672" spans="1:12" x14ac:dyDescent="0.3">
      <c r="A1672" t="s">
        <v>1678</v>
      </c>
      <c r="B1672" t="s">
        <v>10009</v>
      </c>
      <c r="C1672">
        <v>2</v>
      </c>
      <c r="D1672">
        <v>3</v>
      </c>
      <c r="E1672">
        <v>6</v>
      </c>
      <c r="F1672" t="s">
        <v>10019</v>
      </c>
      <c r="G1672" t="s">
        <v>10102</v>
      </c>
      <c r="H1672" s="6">
        <v>44985</v>
      </c>
      <c r="I1672">
        <f t="shared" si="52"/>
        <v>0</v>
      </c>
      <c r="J1672" t="str">
        <f t="shared" si="53"/>
        <v>Complete</v>
      </c>
      <c r="K1672">
        <f>COUNTIFS(RawData[Item], B1672,RawData[Quantity],C1672,RawData[Price Per Unit],D1672,RawData[Total Spent],E1672,RawData[Payment Method],F1672,RawData[Location],G1672,RawData[Transaction Date],H1672)</f>
        <v>1</v>
      </c>
      <c r="L1672"/>
    </row>
    <row r="1673" spans="1:12" x14ac:dyDescent="0.3">
      <c r="A1673" t="s">
        <v>1679</v>
      </c>
      <c r="B1673" t="s">
        <v>10010</v>
      </c>
      <c r="C1673">
        <v>3</v>
      </c>
      <c r="D1673">
        <v>1</v>
      </c>
      <c r="E1673">
        <v>0</v>
      </c>
      <c r="F1673" t="s">
        <v>10069</v>
      </c>
      <c r="G1673" t="s">
        <v>10069</v>
      </c>
      <c r="H1673" s="6">
        <v>45220</v>
      </c>
      <c r="I1673">
        <f t="shared" si="52"/>
        <v>0</v>
      </c>
      <c r="J1673" t="str">
        <f t="shared" si="53"/>
        <v>Complete</v>
      </c>
      <c r="K1673">
        <f>COUNTIFS(RawData[Item], B1673,RawData[Quantity],C1673,RawData[Price Per Unit],D1673,RawData[Total Spent],E1673,RawData[Payment Method],F1673,RawData[Location],G1673,RawData[Transaction Date],H1673)</f>
        <v>1</v>
      </c>
      <c r="L1673"/>
    </row>
    <row r="1674" spans="1:12" x14ac:dyDescent="0.3">
      <c r="A1674" t="s">
        <v>1680</v>
      </c>
      <c r="B1674" t="s">
        <v>10008</v>
      </c>
      <c r="C1674">
        <v>2</v>
      </c>
      <c r="D1674">
        <v>2</v>
      </c>
      <c r="E1674">
        <v>4</v>
      </c>
      <c r="F1674" t="s">
        <v>10018</v>
      </c>
      <c r="G1674" t="s">
        <v>10103</v>
      </c>
      <c r="H1674" s="6">
        <v>45201</v>
      </c>
      <c r="I1674">
        <f t="shared" si="52"/>
        <v>1</v>
      </c>
      <c r="J1674" t="str">
        <f t="shared" si="53"/>
        <v>Complete</v>
      </c>
      <c r="K1674">
        <f>COUNTIFS(RawData[Item], B1674,RawData[Quantity],C1674,RawData[Price Per Unit],D1674,RawData[Total Spent],E1674,RawData[Payment Method],F1674,RawData[Location],G1674,RawData[Transaction Date],H1674)</f>
        <v>1</v>
      </c>
      <c r="L1674"/>
    </row>
    <row r="1675" spans="1:12" x14ac:dyDescent="0.3">
      <c r="A1675" t="s">
        <v>1681</v>
      </c>
      <c r="B1675" t="s">
        <v>10014</v>
      </c>
      <c r="C1675">
        <v>3</v>
      </c>
      <c r="D1675">
        <v>4</v>
      </c>
      <c r="E1675">
        <v>12</v>
      </c>
      <c r="F1675" t="s">
        <v>10020</v>
      </c>
      <c r="G1675" t="s">
        <v>10069</v>
      </c>
      <c r="H1675" s="6">
        <v>45093</v>
      </c>
      <c r="I1675">
        <f t="shared" si="52"/>
        <v>0</v>
      </c>
      <c r="J1675" t="str">
        <f t="shared" si="53"/>
        <v>Complete</v>
      </c>
      <c r="K1675">
        <f>COUNTIFS(RawData[Item], B1675,RawData[Quantity],C1675,RawData[Price Per Unit],D1675,RawData[Total Spent],E1675,RawData[Payment Method],F1675,RawData[Location],G1675,RawData[Transaction Date],H1675)</f>
        <v>1</v>
      </c>
      <c r="L1675"/>
    </row>
    <row r="1676" spans="1:12" x14ac:dyDescent="0.3">
      <c r="A1676" t="s">
        <v>1682</v>
      </c>
      <c r="B1676" t="s">
        <v>10017</v>
      </c>
      <c r="C1676">
        <v>2</v>
      </c>
      <c r="D1676">
        <v>0</v>
      </c>
      <c r="E1676">
        <v>0</v>
      </c>
      <c r="F1676" t="s">
        <v>10019</v>
      </c>
      <c r="G1676" t="s">
        <v>10102</v>
      </c>
      <c r="H1676" s="6">
        <v>45096</v>
      </c>
      <c r="I1676">
        <f t="shared" si="52"/>
        <v>0</v>
      </c>
      <c r="J1676" t="str">
        <f t="shared" si="53"/>
        <v>Complete</v>
      </c>
      <c r="K1676">
        <f>COUNTIFS(RawData[Item], B1676,RawData[Quantity],C1676,RawData[Price Per Unit],D1676,RawData[Total Spent],E1676,RawData[Payment Method],F1676,RawData[Location],G1676,RawData[Transaction Date],H1676)</f>
        <v>1</v>
      </c>
      <c r="L1676"/>
    </row>
    <row r="1677" spans="1:12" x14ac:dyDescent="0.3">
      <c r="A1677" t="s">
        <v>1683</v>
      </c>
      <c r="B1677" t="s">
        <v>10011</v>
      </c>
      <c r="C1677">
        <v>1</v>
      </c>
      <c r="D1677">
        <v>5</v>
      </c>
      <c r="E1677">
        <v>5</v>
      </c>
      <c r="F1677" t="s">
        <v>10069</v>
      </c>
      <c r="G1677" t="s">
        <v>10021</v>
      </c>
      <c r="H1677" s="6">
        <v>45266</v>
      </c>
      <c r="I1677">
        <f t="shared" si="52"/>
        <v>0</v>
      </c>
      <c r="J1677" t="str">
        <f t="shared" si="53"/>
        <v>Complete</v>
      </c>
      <c r="K1677">
        <f>COUNTIFS(RawData[Item], B1677,RawData[Quantity],C1677,RawData[Price Per Unit],D1677,RawData[Total Spent],E1677,RawData[Payment Method],F1677,RawData[Location],G1677,RawData[Transaction Date],H1677)</f>
        <v>1</v>
      </c>
      <c r="L1677"/>
    </row>
    <row r="1678" spans="1:12" x14ac:dyDescent="0.3">
      <c r="A1678" t="s">
        <v>1684</v>
      </c>
      <c r="B1678" t="s">
        <v>10014</v>
      </c>
      <c r="C1678">
        <v>5</v>
      </c>
      <c r="D1678">
        <v>4</v>
      </c>
      <c r="E1678">
        <v>20</v>
      </c>
      <c r="F1678" t="s">
        <v>10020</v>
      </c>
      <c r="G1678" t="s">
        <v>10021</v>
      </c>
      <c r="H1678" s="6">
        <v>45223</v>
      </c>
      <c r="I1678">
        <f t="shared" si="52"/>
        <v>0</v>
      </c>
      <c r="J1678" t="str">
        <f t="shared" si="53"/>
        <v>Complete</v>
      </c>
      <c r="K1678">
        <f>COUNTIFS(RawData[Item], B1678,RawData[Quantity],C1678,RawData[Price Per Unit],D1678,RawData[Total Spent],E1678,RawData[Payment Method],F1678,RawData[Location],G1678,RawData[Transaction Date],H1678)</f>
        <v>1</v>
      </c>
      <c r="L1678"/>
    </row>
    <row r="1679" spans="1:12" x14ac:dyDescent="0.3">
      <c r="A1679" t="s">
        <v>1685</v>
      </c>
      <c r="B1679" t="s">
        <v>10016</v>
      </c>
      <c r="C1679">
        <v>5</v>
      </c>
      <c r="D1679">
        <v>3</v>
      </c>
      <c r="E1679">
        <v>15</v>
      </c>
      <c r="F1679" t="s">
        <v>10020</v>
      </c>
      <c r="G1679" t="s">
        <v>10021</v>
      </c>
      <c r="H1679" s="6">
        <v>45170</v>
      </c>
      <c r="I1679">
        <f t="shared" si="52"/>
        <v>0</v>
      </c>
      <c r="J1679" t="str">
        <f t="shared" si="53"/>
        <v>Complete</v>
      </c>
      <c r="K1679">
        <f>COUNTIFS(RawData[Item], B1679,RawData[Quantity],C1679,RawData[Price Per Unit],D1679,RawData[Total Spent],E1679,RawData[Payment Method],F1679,RawData[Location],G1679,RawData[Transaction Date],H1679)</f>
        <v>1</v>
      </c>
      <c r="L1679"/>
    </row>
    <row r="1680" spans="1:12" x14ac:dyDescent="0.3">
      <c r="A1680" t="s">
        <v>1686</v>
      </c>
      <c r="B1680" t="s">
        <v>10069</v>
      </c>
      <c r="C1680">
        <v>2</v>
      </c>
      <c r="D1680">
        <v>3</v>
      </c>
      <c r="E1680">
        <v>6</v>
      </c>
      <c r="F1680" t="s">
        <v>10019</v>
      </c>
      <c r="G1680" t="s">
        <v>10102</v>
      </c>
      <c r="H1680" s="6">
        <v>44950</v>
      </c>
      <c r="I1680">
        <f t="shared" si="52"/>
        <v>0</v>
      </c>
      <c r="J1680" t="str">
        <f t="shared" si="53"/>
        <v>Complete</v>
      </c>
      <c r="K1680">
        <f>COUNTIFS(RawData[Item], B1680,RawData[Quantity],C1680,RawData[Price Per Unit],D1680,RawData[Total Spent],E1680,RawData[Payment Method],F1680,RawData[Location],G1680,RawData[Transaction Date],H1680)</f>
        <v>1</v>
      </c>
      <c r="L1680"/>
    </row>
    <row r="1681" spans="1:12" x14ac:dyDescent="0.3">
      <c r="A1681" t="s">
        <v>1687</v>
      </c>
      <c r="B1681" t="s">
        <v>10012</v>
      </c>
      <c r="C1681">
        <v>5</v>
      </c>
      <c r="D1681">
        <v>4</v>
      </c>
      <c r="E1681">
        <v>20</v>
      </c>
      <c r="F1681" t="s">
        <v>10018</v>
      </c>
      <c r="G1681" t="s">
        <v>10102</v>
      </c>
      <c r="H1681" s="6">
        <v>45183</v>
      </c>
      <c r="I1681">
        <f t="shared" si="52"/>
        <v>0</v>
      </c>
      <c r="J1681" t="str">
        <f t="shared" si="53"/>
        <v>Complete</v>
      </c>
      <c r="K1681">
        <f>COUNTIFS(RawData[Item], B1681,RawData[Quantity],C1681,RawData[Price Per Unit],D1681,RawData[Total Spent],E1681,RawData[Payment Method],F1681,RawData[Location],G1681,RawData[Transaction Date],H1681)</f>
        <v>1</v>
      </c>
      <c r="L1681"/>
    </row>
    <row r="1682" spans="1:12" x14ac:dyDescent="0.3">
      <c r="A1682" t="s">
        <v>1688</v>
      </c>
      <c r="B1682" t="s">
        <v>10017</v>
      </c>
      <c r="C1682">
        <v>2</v>
      </c>
      <c r="D1682">
        <v>1.5</v>
      </c>
      <c r="E1682">
        <v>3</v>
      </c>
      <c r="F1682" t="s">
        <v>10020</v>
      </c>
      <c r="G1682" t="s">
        <v>10102</v>
      </c>
      <c r="H1682" s="6">
        <v>44983</v>
      </c>
      <c r="I1682">
        <f t="shared" si="52"/>
        <v>0</v>
      </c>
      <c r="J1682" t="str">
        <f t="shared" si="53"/>
        <v>Complete</v>
      </c>
      <c r="K1682">
        <f>COUNTIFS(RawData[Item], B1682,RawData[Quantity],C1682,RawData[Price Per Unit],D1682,RawData[Total Spent],E1682,RawData[Payment Method],F1682,RawData[Location],G1682,RawData[Transaction Date],H1682)</f>
        <v>1</v>
      </c>
      <c r="L1682"/>
    </row>
    <row r="1683" spans="1:12" x14ac:dyDescent="0.3">
      <c r="A1683" t="s">
        <v>1689</v>
      </c>
      <c r="B1683" t="s">
        <v>10016</v>
      </c>
      <c r="C1683">
        <v>5</v>
      </c>
      <c r="D1683">
        <v>3</v>
      </c>
      <c r="E1683">
        <v>15</v>
      </c>
      <c r="F1683" t="s">
        <v>10019</v>
      </c>
      <c r="G1683" t="s">
        <v>10102</v>
      </c>
      <c r="H1683" s="6">
        <v>45249</v>
      </c>
      <c r="I1683">
        <f t="shared" si="52"/>
        <v>0</v>
      </c>
      <c r="J1683" t="str">
        <f t="shared" si="53"/>
        <v>Complete</v>
      </c>
      <c r="K1683">
        <f>COUNTIFS(RawData[Item], B1683,RawData[Quantity],C1683,RawData[Price Per Unit],D1683,RawData[Total Spent],E1683,RawData[Payment Method],F1683,RawData[Location],G1683,RawData[Transaction Date],H1683)</f>
        <v>2</v>
      </c>
      <c r="L1683"/>
    </row>
    <row r="1684" spans="1:12" x14ac:dyDescent="0.3">
      <c r="A1684" t="s">
        <v>1690</v>
      </c>
      <c r="B1684" t="s">
        <v>10009</v>
      </c>
      <c r="C1684">
        <v>1</v>
      </c>
      <c r="D1684">
        <v>3</v>
      </c>
      <c r="E1684">
        <v>3</v>
      </c>
      <c r="F1684" t="s">
        <v>10020</v>
      </c>
      <c r="G1684" t="s">
        <v>10021</v>
      </c>
      <c r="H1684" s="6">
        <v>45155</v>
      </c>
      <c r="I1684">
        <f t="shared" si="52"/>
        <v>0</v>
      </c>
      <c r="J1684" t="str">
        <f t="shared" si="53"/>
        <v>Complete</v>
      </c>
      <c r="K1684">
        <f>COUNTIFS(RawData[Item], B1684,RawData[Quantity],C1684,RawData[Price Per Unit],D1684,RawData[Total Spent],E1684,RawData[Payment Method],F1684,RawData[Location],G1684,RawData[Transaction Date],H1684)</f>
        <v>1</v>
      </c>
      <c r="L1684"/>
    </row>
    <row r="1685" spans="1:12" x14ac:dyDescent="0.3">
      <c r="A1685" t="s">
        <v>1691</v>
      </c>
      <c r="B1685" t="s">
        <v>10016</v>
      </c>
      <c r="C1685">
        <v>5</v>
      </c>
      <c r="D1685">
        <v>3</v>
      </c>
      <c r="E1685">
        <v>15</v>
      </c>
      <c r="F1685" t="s">
        <v>10018</v>
      </c>
      <c r="G1685" t="s">
        <v>10102</v>
      </c>
      <c r="H1685" s="6">
        <v>45204</v>
      </c>
      <c r="I1685">
        <f t="shared" si="52"/>
        <v>0</v>
      </c>
      <c r="J1685" t="str">
        <f t="shared" si="53"/>
        <v>Complete</v>
      </c>
      <c r="K1685">
        <f>COUNTIFS(RawData[Item], B1685,RawData[Quantity],C1685,RawData[Price Per Unit],D1685,RawData[Total Spent],E1685,RawData[Payment Method],F1685,RawData[Location],G1685,RawData[Transaction Date],H1685)</f>
        <v>1</v>
      </c>
      <c r="L1685"/>
    </row>
    <row r="1686" spans="1:12" x14ac:dyDescent="0.3">
      <c r="A1686" t="s">
        <v>1692</v>
      </c>
      <c r="B1686" t="s">
        <v>10016</v>
      </c>
      <c r="C1686">
        <v>1</v>
      </c>
      <c r="D1686">
        <v>3</v>
      </c>
      <c r="E1686">
        <v>3</v>
      </c>
      <c r="F1686" t="s">
        <v>10019</v>
      </c>
      <c r="G1686" t="s">
        <v>10102</v>
      </c>
      <c r="H1686" s="6">
        <v>45289</v>
      </c>
      <c r="I1686">
        <f t="shared" si="52"/>
        <v>0</v>
      </c>
      <c r="J1686" t="str">
        <f t="shared" si="53"/>
        <v>Complete</v>
      </c>
      <c r="K1686">
        <f>COUNTIFS(RawData[Item], B1686,RawData[Quantity],C1686,RawData[Price Per Unit],D1686,RawData[Total Spent],E1686,RawData[Payment Method],F1686,RawData[Location],G1686,RawData[Transaction Date],H1686)</f>
        <v>1</v>
      </c>
      <c r="L1686"/>
    </row>
    <row r="1687" spans="1:12" x14ac:dyDescent="0.3">
      <c r="A1687" t="s">
        <v>1693</v>
      </c>
      <c r="B1687" t="s">
        <v>10011</v>
      </c>
      <c r="C1687">
        <v>2</v>
      </c>
      <c r="D1687">
        <v>5</v>
      </c>
      <c r="E1687">
        <v>10</v>
      </c>
      <c r="F1687" t="s">
        <v>10018</v>
      </c>
      <c r="G1687" t="s">
        <v>10069</v>
      </c>
      <c r="H1687" s="6">
        <v>45071</v>
      </c>
      <c r="I1687">
        <f t="shared" si="52"/>
        <v>0</v>
      </c>
      <c r="J1687" t="str">
        <f t="shared" si="53"/>
        <v>Complete</v>
      </c>
      <c r="K1687">
        <f>COUNTIFS(RawData[Item], B1687,RawData[Quantity],C1687,RawData[Price Per Unit],D1687,RawData[Total Spent],E1687,RawData[Payment Method],F1687,RawData[Location],G1687,RawData[Transaction Date],H1687)</f>
        <v>1</v>
      </c>
      <c r="L1687"/>
    </row>
    <row r="1688" spans="1:12" x14ac:dyDescent="0.3">
      <c r="A1688" t="s">
        <v>1694</v>
      </c>
      <c r="B1688" t="s">
        <v>10017</v>
      </c>
      <c r="C1688">
        <v>1</v>
      </c>
      <c r="D1688">
        <v>1.5</v>
      </c>
      <c r="E1688">
        <v>1.5</v>
      </c>
      <c r="F1688" t="s">
        <v>10020</v>
      </c>
      <c r="G1688" t="s">
        <v>10021</v>
      </c>
      <c r="H1688" s="6">
        <v>45184</v>
      </c>
      <c r="I1688">
        <f t="shared" si="52"/>
        <v>0</v>
      </c>
      <c r="J1688" t="str">
        <f t="shared" si="53"/>
        <v>Complete</v>
      </c>
      <c r="K1688">
        <f>COUNTIFS(RawData[Item], B1688,RawData[Quantity],C1688,RawData[Price Per Unit],D1688,RawData[Total Spent],E1688,RawData[Payment Method],F1688,RawData[Location],G1688,RawData[Transaction Date],H1688)</f>
        <v>1</v>
      </c>
      <c r="L1688"/>
    </row>
    <row r="1689" spans="1:12" x14ac:dyDescent="0.3">
      <c r="A1689" t="s">
        <v>1695</v>
      </c>
      <c r="B1689" t="s">
        <v>10017</v>
      </c>
      <c r="C1689">
        <v>2</v>
      </c>
      <c r="D1689">
        <v>1.5</v>
      </c>
      <c r="E1689">
        <v>3</v>
      </c>
      <c r="F1689" t="s">
        <v>10018</v>
      </c>
      <c r="G1689" t="s">
        <v>10103</v>
      </c>
      <c r="H1689" s="6">
        <v>45170</v>
      </c>
      <c r="I1689">
        <f t="shared" si="52"/>
        <v>1</v>
      </c>
      <c r="J1689" t="str">
        <f t="shared" si="53"/>
        <v>Complete</v>
      </c>
      <c r="K1689">
        <f>COUNTIFS(RawData[Item], B1689,RawData[Quantity],C1689,RawData[Price Per Unit],D1689,RawData[Total Spent],E1689,RawData[Payment Method],F1689,RawData[Location],G1689,RawData[Transaction Date],H1689)</f>
        <v>1</v>
      </c>
      <c r="L1689"/>
    </row>
    <row r="1690" spans="1:12" x14ac:dyDescent="0.3">
      <c r="A1690" t="s">
        <v>1696</v>
      </c>
      <c r="B1690" t="s">
        <v>10017</v>
      </c>
      <c r="C1690">
        <v>5</v>
      </c>
      <c r="D1690">
        <v>1.5</v>
      </c>
      <c r="E1690">
        <v>7.5</v>
      </c>
      <c r="F1690" t="s">
        <v>10020</v>
      </c>
      <c r="G1690" t="s">
        <v>10021</v>
      </c>
      <c r="H1690" s="6">
        <v>44941</v>
      </c>
      <c r="I1690">
        <f t="shared" si="52"/>
        <v>0</v>
      </c>
      <c r="J1690" t="str">
        <f t="shared" si="53"/>
        <v>Complete</v>
      </c>
      <c r="K1690">
        <f>COUNTIFS(RawData[Item], B1690,RawData[Quantity],C1690,RawData[Price Per Unit],D1690,RawData[Total Spent],E1690,RawData[Payment Method],F1690,RawData[Location],G1690,RawData[Transaction Date],H1690)</f>
        <v>1</v>
      </c>
      <c r="L1690"/>
    </row>
    <row r="1691" spans="1:12" x14ac:dyDescent="0.3">
      <c r="A1691" t="s">
        <v>1697</v>
      </c>
      <c r="B1691" t="s">
        <v>10016</v>
      </c>
      <c r="C1691">
        <v>4</v>
      </c>
      <c r="D1691">
        <v>3</v>
      </c>
      <c r="E1691">
        <v>12</v>
      </c>
      <c r="F1691" t="s">
        <v>10069</v>
      </c>
      <c r="G1691" t="s">
        <v>10021</v>
      </c>
      <c r="H1691" s="6">
        <v>45195</v>
      </c>
      <c r="I1691">
        <f t="shared" si="52"/>
        <v>0</v>
      </c>
      <c r="J1691" t="str">
        <f t="shared" si="53"/>
        <v>Complete</v>
      </c>
      <c r="K1691">
        <f>COUNTIFS(RawData[Item], B1691,RawData[Quantity],C1691,RawData[Price Per Unit],D1691,RawData[Total Spent],E1691,RawData[Payment Method],F1691,RawData[Location],G1691,RawData[Transaction Date],H1691)</f>
        <v>1</v>
      </c>
      <c r="L1691"/>
    </row>
    <row r="1692" spans="1:12" x14ac:dyDescent="0.3">
      <c r="A1692" t="s">
        <v>1698</v>
      </c>
      <c r="B1692" t="s">
        <v>10017</v>
      </c>
      <c r="C1692">
        <v>1</v>
      </c>
      <c r="D1692">
        <v>1.5</v>
      </c>
      <c r="E1692">
        <v>1.5</v>
      </c>
      <c r="F1692" t="s">
        <v>10020</v>
      </c>
      <c r="G1692" t="s">
        <v>10102</v>
      </c>
      <c r="H1692" s="6">
        <v>45160</v>
      </c>
      <c r="I1692">
        <f t="shared" si="52"/>
        <v>0</v>
      </c>
      <c r="J1692" t="str">
        <f t="shared" si="53"/>
        <v>Complete</v>
      </c>
      <c r="K1692">
        <f>COUNTIFS(RawData[Item], B1692,RawData[Quantity],C1692,RawData[Price Per Unit],D1692,RawData[Total Spent],E1692,RawData[Payment Method],F1692,RawData[Location],G1692,RawData[Transaction Date],H1692)</f>
        <v>1</v>
      </c>
      <c r="L1692"/>
    </row>
    <row r="1693" spans="1:12" x14ac:dyDescent="0.3">
      <c r="A1693" t="s">
        <v>1699</v>
      </c>
      <c r="B1693" t="s">
        <v>10014</v>
      </c>
      <c r="C1693">
        <v>1</v>
      </c>
      <c r="D1693">
        <v>4</v>
      </c>
      <c r="E1693">
        <v>4</v>
      </c>
      <c r="F1693" t="s">
        <v>10018</v>
      </c>
      <c r="G1693" t="s">
        <v>10102</v>
      </c>
      <c r="H1693" s="6">
        <v>45167</v>
      </c>
      <c r="I1693">
        <f t="shared" si="52"/>
        <v>0</v>
      </c>
      <c r="J1693" t="str">
        <f t="shared" si="53"/>
        <v>Complete</v>
      </c>
      <c r="K1693">
        <f>COUNTIFS(RawData[Item], B1693,RawData[Quantity],C1693,RawData[Price Per Unit],D1693,RawData[Total Spent],E1693,RawData[Payment Method],F1693,RawData[Location],G1693,RawData[Transaction Date],H1693)</f>
        <v>1</v>
      </c>
      <c r="L1693"/>
    </row>
    <row r="1694" spans="1:12" x14ac:dyDescent="0.3">
      <c r="A1694" t="s">
        <v>1700</v>
      </c>
      <c r="B1694" t="s">
        <v>10013</v>
      </c>
      <c r="C1694">
        <v>3</v>
      </c>
      <c r="D1694">
        <v>2</v>
      </c>
      <c r="E1694" t="s">
        <v>10015</v>
      </c>
      <c r="F1694" t="s">
        <v>10020</v>
      </c>
      <c r="G1694" t="s">
        <v>10021</v>
      </c>
      <c r="H1694" s="6">
        <v>45177</v>
      </c>
      <c r="I1694">
        <f t="shared" si="52"/>
        <v>2</v>
      </c>
      <c r="J1694" t="str">
        <f t="shared" si="53"/>
        <v>Complete</v>
      </c>
      <c r="K1694">
        <f>COUNTIFS(RawData[Item], B1694,RawData[Quantity],C1694,RawData[Price Per Unit],D1694,RawData[Total Spent],E1694,RawData[Payment Method],F1694,RawData[Location],G1694,RawData[Transaction Date],H1694)</f>
        <v>1</v>
      </c>
      <c r="L1694"/>
    </row>
    <row r="1695" spans="1:12" x14ac:dyDescent="0.3">
      <c r="A1695" t="s">
        <v>1701</v>
      </c>
      <c r="B1695" t="s">
        <v>10016</v>
      </c>
      <c r="C1695">
        <v>1</v>
      </c>
      <c r="D1695">
        <v>3</v>
      </c>
      <c r="E1695">
        <v>3</v>
      </c>
      <c r="F1695" t="s">
        <v>10018</v>
      </c>
      <c r="G1695" t="s">
        <v>10102</v>
      </c>
      <c r="H1695" s="6">
        <v>45235</v>
      </c>
      <c r="I1695">
        <f t="shared" si="52"/>
        <v>0</v>
      </c>
      <c r="J1695" t="str">
        <f t="shared" si="53"/>
        <v>Complete</v>
      </c>
      <c r="K1695">
        <f>COUNTIFS(RawData[Item], B1695,RawData[Quantity],C1695,RawData[Price Per Unit],D1695,RawData[Total Spent],E1695,RawData[Payment Method],F1695,RawData[Location],G1695,RawData[Transaction Date],H1695)</f>
        <v>1</v>
      </c>
      <c r="L1695"/>
    </row>
    <row r="1696" spans="1:12" x14ac:dyDescent="0.3">
      <c r="A1696" t="s">
        <v>1702</v>
      </c>
      <c r="B1696" t="s">
        <v>10008</v>
      </c>
      <c r="C1696">
        <v>5</v>
      </c>
      <c r="D1696" t="s">
        <v>10015</v>
      </c>
      <c r="E1696">
        <v>10</v>
      </c>
      <c r="F1696" t="s">
        <v>10018</v>
      </c>
      <c r="G1696" t="s">
        <v>10021</v>
      </c>
      <c r="H1696" s="6">
        <v>45072</v>
      </c>
      <c r="I1696">
        <f t="shared" si="52"/>
        <v>1</v>
      </c>
      <c r="J1696" t="str">
        <f t="shared" si="53"/>
        <v>Complete</v>
      </c>
      <c r="K1696">
        <f>COUNTIFS(RawData[Item], B1696,RawData[Quantity],C1696,RawData[Price Per Unit],D1696,RawData[Total Spent],E1696,RawData[Payment Method],F1696,RawData[Location],G1696,RawData[Transaction Date],H1696)</f>
        <v>1</v>
      </c>
      <c r="L1696"/>
    </row>
    <row r="1697" spans="1:12" x14ac:dyDescent="0.3">
      <c r="A1697" t="s">
        <v>1703</v>
      </c>
      <c r="B1697" t="s">
        <v>10011</v>
      </c>
      <c r="C1697">
        <v>1</v>
      </c>
      <c r="D1697">
        <v>5</v>
      </c>
      <c r="E1697">
        <v>5</v>
      </c>
      <c r="F1697" t="s">
        <v>10020</v>
      </c>
      <c r="G1697" t="s">
        <v>10069</v>
      </c>
      <c r="H1697" s="6">
        <v>45162</v>
      </c>
      <c r="I1697">
        <f t="shared" si="52"/>
        <v>0</v>
      </c>
      <c r="J1697" t="str">
        <f t="shared" si="53"/>
        <v>Complete</v>
      </c>
      <c r="K1697">
        <f>COUNTIFS(RawData[Item], B1697,RawData[Quantity],C1697,RawData[Price Per Unit],D1697,RawData[Total Spent],E1697,RawData[Payment Method],F1697,RawData[Location],G1697,RawData[Transaction Date],H1697)</f>
        <v>1</v>
      </c>
      <c r="L1697"/>
    </row>
    <row r="1698" spans="1:12" x14ac:dyDescent="0.3">
      <c r="A1698" t="s">
        <v>1704</v>
      </c>
      <c r="B1698" t="s">
        <v>10016</v>
      </c>
      <c r="C1698">
        <v>4</v>
      </c>
      <c r="D1698">
        <v>3</v>
      </c>
      <c r="E1698">
        <v>12</v>
      </c>
      <c r="F1698" t="s">
        <v>10018</v>
      </c>
      <c r="G1698" t="s">
        <v>10069</v>
      </c>
      <c r="H1698" s="6">
        <v>45287</v>
      </c>
      <c r="I1698">
        <f t="shared" si="52"/>
        <v>0</v>
      </c>
      <c r="J1698" t="str">
        <f t="shared" si="53"/>
        <v>Complete</v>
      </c>
      <c r="K1698">
        <f>COUNTIFS(RawData[Item], B1698,RawData[Quantity],C1698,RawData[Price Per Unit],D1698,RawData[Total Spent],E1698,RawData[Payment Method],F1698,RawData[Location],G1698,RawData[Transaction Date],H1698)</f>
        <v>1</v>
      </c>
      <c r="L1698"/>
    </row>
    <row r="1699" spans="1:12" x14ac:dyDescent="0.3">
      <c r="A1699" t="s">
        <v>1705</v>
      </c>
      <c r="B1699" t="s">
        <v>10011</v>
      </c>
      <c r="C1699">
        <v>4</v>
      </c>
      <c r="D1699">
        <v>5</v>
      </c>
      <c r="E1699">
        <v>20</v>
      </c>
      <c r="F1699" t="s">
        <v>10069</v>
      </c>
      <c r="G1699" t="s">
        <v>10021</v>
      </c>
      <c r="H1699" s="6">
        <v>45158</v>
      </c>
      <c r="I1699">
        <f t="shared" si="52"/>
        <v>0</v>
      </c>
      <c r="J1699" t="str">
        <f t="shared" si="53"/>
        <v>Complete</v>
      </c>
      <c r="K1699">
        <f>COUNTIFS(RawData[Item], B1699,RawData[Quantity],C1699,RawData[Price Per Unit],D1699,RawData[Total Spent],E1699,RawData[Payment Method],F1699,RawData[Location],G1699,RawData[Transaction Date],H1699)</f>
        <v>1</v>
      </c>
      <c r="L1699"/>
    </row>
    <row r="1700" spans="1:12" x14ac:dyDescent="0.3">
      <c r="A1700" t="s">
        <v>1706</v>
      </c>
      <c r="B1700" t="s">
        <v>10014</v>
      </c>
      <c r="C1700">
        <v>1</v>
      </c>
      <c r="D1700">
        <v>4</v>
      </c>
      <c r="E1700">
        <v>4</v>
      </c>
      <c r="F1700" t="s">
        <v>10069</v>
      </c>
      <c r="G1700" t="s">
        <v>10069</v>
      </c>
      <c r="H1700" s="6">
        <v>44931</v>
      </c>
      <c r="I1700">
        <f t="shared" si="52"/>
        <v>0</v>
      </c>
      <c r="J1700" t="str">
        <f t="shared" si="53"/>
        <v>Complete</v>
      </c>
      <c r="K1700">
        <f>COUNTIFS(RawData[Item], B1700,RawData[Quantity],C1700,RawData[Price Per Unit],D1700,RawData[Total Spent],E1700,RawData[Payment Method],F1700,RawData[Location],G1700,RawData[Transaction Date],H1700)</f>
        <v>1</v>
      </c>
      <c r="L1700"/>
    </row>
    <row r="1701" spans="1:12" x14ac:dyDescent="0.3">
      <c r="A1701" t="s">
        <v>1707</v>
      </c>
      <c r="B1701" t="s">
        <v>10009</v>
      </c>
      <c r="C1701">
        <v>1</v>
      </c>
      <c r="D1701">
        <v>3</v>
      </c>
      <c r="E1701" t="s">
        <v>10013</v>
      </c>
      <c r="F1701" t="s">
        <v>10104</v>
      </c>
      <c r="G1701" t="s">
        <v>10102</v>
      </c>
      <c r="H1701" s="6">
        <v>45289</v>
      </c>
      <c r="I1701">
        <f t="shared" si="52"/>
        <v>2</v>
      </c>
      <c r="J1701" t="str">
        <f t="shared" si="53"/>
        <v>Complete</v>
      </c>
      <c r="K1701">
        <f>COUNTIFS(RawData[Item], B1701,RawData[Quantity],C1701,RawData[Price Per Unit],D1701,RawData[Total Spent],E1701,RawData[Payment Method],F1701,RawData[Location],G1701,RawData[Transaction Date],H1701)</f>
        <v>1</v>
      </c>
      <c r="L1701"/>
    </row>
    <row r="1702" spans="1:12" x14ac:dyDescent="0.3">
      <c r="A1702" t="s">
        <v>1708</v>
      </c>
      <c r="B1702" t="s">
        <v>10009</v>
      </c>
      <c r="C1702">
        <v>2</v>
      </c>
      <c r="D1702">
        <v>3</v>
      </c>
      <c r="E1702">
        <v>6</v>
      </c>
      <c r="F1702" t="s">
        <v>10019</v>
      </c>
      <c r="G1702" t="s">
        <v>10021</v>
      </c>
      <c r="H1702" s="6" t="s">
        <v>10112</v>
      </c>
      <c r="I1702">
        <f t="shared" si="52"/>
        <v>1</v>
      </c>
      <c r="J1702" t="str">
        <f t="shared" si="53"/>
        <v>Incomplete</v>
      </c>
      <c r="K1702">
        <f>COUNTIFS(RawData[Item], B1702,RawData[Quantity],C1702,RawData[Price Per Unit],D1702,RawData[Total Spent],E1702,RawData[Payment Method],F1702,RawData[Location],G1702,RawData[Transaction Date],H1702)</f>
        <v>1</v>
      </c>
      <c r="L1702"/>
    </row>
    <row r="1703" spans="1:12" x14ac:dyDescent="0.3">
      <c r="A1703" t="s">
        <v>1709</v>
      </c>
      <c r="B1703" t="s">
        <v>10012</v>
      </c>
      <c r="C1703">
        <v>2</v>
      </c>
      <c r="D1703">
        <v>4</v>
      </c>
      <c r="E1703">
        <v>8</v>
      </c>
      <c r="F1703" t="s">
        <v>10019</v>
      </c>
      <c r="G1703" t="s">
        <v>10069</v>
      </c>
      <c r="H1703" s="6">
        <v>45262</v>
      </c>
      <c r="I1703">
        <f t="shared" si="52"/>
        <v>0</v>
      </c>
      <c r="J1703" t="str">
        <f t="shared" si="53"/>
        <v>Complete</v>
      </c>
      <c r="K1703">
        <f>COUNTIFS(RawData[Item], B1703,RawData[Quantity],C1703,RawData[Price Per Unit],D1703,RawData[Total Spent],E1703,RawData[Payment Method],F1703,RawData[Location],G1703,RawData[Transaction Date],H1703)</f>
        <v>1</v>
      </c>
      <c r="L1703"/>
    </row>
    <row r="1704" spans="1:12" x14ac:dyDescent="0.3">
      <c r="A1704" t="s">
        <v>1710</v>
      </c>
      <c r="B1704" t="s">
        <v>10012</v>
      </c>
      <c r="C1704">
        <v>2</v>
      </c>
      <c r="D1704">
        <v>4</v>
      </c>
      <c r="E1704">
        <v>8</v>
      </c>
      <c r="F1704" t="s">
        <v>10020</v>
      </c>
      <c r="G1704" t="s">
        <v>10069</v>
      </c>
      <c r="H1704" s="6">
        <v>45206</v>
      </c>
      <c r="I1704">
        <f t="shared" si="52"/>
        <v>0</v>
      </c>
      <c r="J1704" t="str">
        <f t="shared" si="53"/>
        <v>Complete</v>
      </c>
      <c r="K1704">
        <f>COUNTIFS(RawData[Item], B1704,RawData[Quantity],C1704,RawData[Price Per Unit],D1704,RawData[Total Spent],E1704,RawData[Payment Method],F1704,RawData[Location],G1704,RawData[Transaction Date],H1704)</f>
        <v>1</v>
      </c>
      <c r="L1704"/>
    </row>
    <row r="1705" spans="1:12" x14ac:dyDescent="0.3">
      <c r="A1705" t="s">
        <v>1711</v>
      </c>
      <c r="B1705" t="s">
        <v>10013</v>
      </c>
      <c r="C1705">
        <v>5</v>
      </c>
      <c r="D1705">
        <v>3</v>
      </c>
      <c r="E1705">
        <v>15</v>
      </c>
      <c r="F1705" t="s">
        <v>10069</v>
      </c>
      <c r="G1705" t="s">
        <v>10069</v>
      </c>
      <c r="H1705" s="6">
        <v>44967</v>
      </c>
      <c r="I1705">
        <f t="shared" si="52"/>
        <v>1</v>
      </c>
      <c r="J1705" t="str">
        <f t="shared" si="53"/>
        <v>Complete</v>
      </c>
      <c r="K1705">
        <f>COUNTIFS(RawData[Item], B1705,RawData[Quantity],C1705,RawData[Price Per Unit],D1705,RawData[Total Spent],E1705,RawData[Payment Method],F1705,RawData[Location],G1705,RawData[Transaction Date],H1705)</f>
        <v>1</v>
      </c>
      <c r="L1705"/>
    </row>
    <row r="1706" spans="1:12" x14ac:dyDescent="0.3">
      <c r="A1706" t="s">
        <v>1712</v>
      </c>
      <c r="B1706" t="s">
        <v>10016</v>
      </c>
      <c r="C1706">
        <v>1</v>
      </c>
      <c r="D1706">
        <v>3</v>
      </c>
      <c r="E1706">
        <v>3</v>
      </c>
      <c r="F1706" t="s">
        <v>10069</v>
      </c>
      <c r="G1706" t="s">
        <v>10069</v>
      </c>
      <c r="H1706" s="6">
        <v>44932</v>
      </c>
      <c r="I1706">
        <f t="shared" si="52"/>
        <v>0</v>
      </c>
      <c r="J1706" t="str">
        <f t="shared" si="53"/>
        <v>Complete</v>
      </c>
      <c r="K1706">
        <f>COUNTIFS(RawData[Item], B1706,RawData[Quantity],C1706,RawData[Price Per Unit],D1706,RawData[Total Spent],E1706,RawData[Payment Method],F1706,RawData[Location],G1706,RawData[Transaction Date],H1706)</f>
        <v>1</v>
      </c>
      <c r="L1706"/>
    </row>
    <row r="1707" spans="1:12" x14ac:dyDescent="0.3">
      <c r="A1707" t="s">
        <v>1713</v>
      </c>
      <c r="B1707" t="s">
        <v>10010</v>
      </c>
      <c r="C1707">
        <v>1</v>
      </c>
      <c r="D1707">
        <v>1</v>
      </c>
      <c r="E1707">
        <v>1</v>
      </c>
      <c r="F1707" t="s">
        <v>10018</v>
      </c>
      <c r="G1707" t="s">
        <v>10021</v>
      </c>
      <c r="H1707" s="6">
        <v>45114</v>
      </c>
      <c r="I1707">
        <f t="shared" si="52"/>
        <v>0</v>
      </c>
      <c r="J1707" t="str">
        <f t="shared" si="53"/>
        <v>Complete</v>
      </c>
      <c r="K1707">
        <f>COUNTIFS(RawData[Item], B1707,RawData[Quantity],C1707,RawData[Price Per Unit],D1707,RawData[Total Spent],E1707,RawData[Payment Method],F1707,RawData[Location],G1707,RawData[Transaction Date],H1707)</f>
        <v>1</v>
      </c>
      <c r="L1707"/>
    </row>
    <row r="1708" spans="1:12" x14ac:dyDescent="0.3">
      <c r="A1708" t="s">
        <v>1714</v>
      </c>
      <c r="B1708" t="s">
        <v>10011</v>
      </c>
      <c r="C1708" t="s">
        <v>10015</v>
      </c>
      <c r="D1708">
        <v>5</v>
      </c>
      <c r="E1708">
        <v>10</v>
      </c>
      <c r="F1708" t="s">
        <v>10104</v>
      </c>
      <c r="G1708" t="s">
        <v>10069</v>
      </c>
      <c r="H1708" s="6">
        <v>45065</v>
      </c>
      <c r="I1708">
        <f t="shared" si="52"/>
        <v>2</v>
      </c>
      <c r="J1708" t="str">
        <f t="shared" si="53"/>
        <v>Complete</v>
      </c>
      <c r="K1708">
        <f>COUNTIFS(RawData[Item], B1708,RawData[Quantity],C1708,RawData[Price Per Unit],D1708,RawData[Total Spent],E1708,RawData[Payment Method],F1708,RawData[Location],G1708,RawData[Transaction Date],H1708)</f>
        <v>1</v>
      </c>
      <c r="L1708"/>
    </row>
    <row r="1709" spans="1:12" x14ac:dyDescent="0.3">
      <c r="A1709" t="s">
        <v>1715</v>
      </c>
      <c r="B1709" t="s">
        <v>10009</v>
      </c>
      <c r="C1709">
        <v>2</v>
      </c>
      <c r="D1709">
        <v>3</v>
      </c>
      <c r="E1709">
        <v>6</v>
      </c>
      <c r="F1709" t="s">
        <v>10019</v>
      </c>
      <c r="G1709" t="s">
        <v>10021</v>
      </c>
      <c r="H1709" s="6">
        <v>45190</v>
      </c>
      <c r="I1709">
        <f t="shared" si="52"/>
        <v>0</v>
      </c>
      <c r="J1709" t="str">
        <f t="shared" si="53"/>
        <v>Complete</v>
      </c>
      <c r="K1709">
        <f>COUNTIFS(RawData[Item], B1709,RawData[Quantity],C1709,RawData[Price Per Unit],D1709,RawData[Total Spent],E1709,RawData[Payment Method],F1709,RawData[Location],G1709,RawData[Transaction Date],H1709)</f>
        <v>1</v>
      </c>
      <c r="L1709"/>
    </row>
    <row r="1710" spans="1:12" x14ac:dyDescent="0.3">
      <c r="A1710" t="s">
        <v>1716</v>
      </c>
      <c r="B1710" t="s">
        <v>10008</v>
      </c>
      <c r="C1710">
        <v>5</v>
      </c>
      <c r="D1710">
        <v>2</v>
      </c>
      <c r="E1710">
        <v>10</v>
      </c>
      <c r="F1710" t="s">
        <v>10019</v>
      </c>
      <c r="G1710" t="s">
        <v>10102</v>
      </c>
      <c r="H1710" s="6">
        <v>44946</v>
      </c>
      <c r="I1710">
        <f t="shared" si="52"/>
        <v>0</v>
      </c>
      <c r="J1710" t="str">
        <f t="shared" si="53"/>
        <v>Complete</v>
      </c>
      <c r="K1710">
        <f>COUNTIFS(RawData[Item], B1710,RawData[Quantity],C1710,RawData[Price Per Unit],D1710,RawData[Total Spent],E1710,RawData[Payment Method],F1710,RawData[Location],G1710,RawData[Transaction Date],H1710)</f>
        <v>1</v>
      </c>
      <c r="L1710"/>
    </row>
    <row r="1711" spans="1:12" x14ac:dyDescent="0.3">
      <c r="A1711" t="s">
        <v>1717</v>
      </c>
      <c r="B1711" t="s">
        <v>10009</v>
      </c>
      <c r="C1711">
        <v>2</v>
      </c>
      <c r="D1711">
        <v>3</v>
      </c>
      <c r="E1711">
        <v>6</v>
      </c>
      <c r="F1711" t="s">
        <v>10020</v>
      </c>
      <c r="G1711" t="s">
        <v>10021</v>
      </c>
      <c r="H1711" s="6">
        <v>44965</v>
      </c>
      <c r="I1711">
        <f t="shared" si="52"/>
        <v>0</v>
      </c>
      <c r="J1711" t="str">
        <f t="shared" si="53"/>
        <v>Complete</v>
      </c>
      <c r="K1711">
        <f>COUNTIFS(RawData[Item], B1711,RawData[Quantity],C1711,RawData[Price Per Unit],D1711,RawData[Total Spent],E1711,RawData[Payment Method],F1711,RawData[Location],G1711,RawData[Transaction Date],H1711)</f>
        <v>1</v>
      </c>
      <c r="L1711"/>
    </row>
    <row r="1712" spans="1:12" x14ac:dyDescent="0.3">
      <c r="A1712" t="s">
        <v>1718</v>
      </c>
      <c r="B1712" t="s">
        <v>10010</v>
      </c>
      <c r="C1712">
        <v>5</v>
      </c>
      <c r="D1712">
        <v>1</v>
      </c>
      <c r="E1712">
        <v>5</v>
      </c>
      <c r="F1712" t="s">
        <v>10019</v>
      </c>
      <c r="G1712" t="s">
        <v>10069</v>
      </c>
      <c r="H1712" s="6">
        <v>45192</v>
      </c>
      <c r="I1712">
        <f t="shared" si="52"/>
        <v>0</v>
      </c>
      <c r="J1712" t="str">
        <f t="shared" si="53"/>
        <v>Complete</v>
      </c>
      <c r="K1712">
        <f>COUNTIFS(RawData[Item], B1712,RawData[Quantity],C1712,RawData[Price Per Unit],D1712,RawData[Total Spent],E1712,RawData[Payment Method],F1712,RawData[Location],G1712,RawData[Transaction Date],H1712)</f>
        <v>1</v>
      </c>
      <c r="L1712"/>
    </row>
    <row r="1713" spans="1:12" x14ac:dyDescent="0.3">
      <c r="A1713" t="s">
        <v>1719</v>
      </c>
      <c r="B1713" t="s">
        <v>10008</v>
      </c>
      <c r="C1713">
        <v>4</v>
      </c>
      <c r="D1713">
        <v>2</v>
      </c>
      <c r="E1713">
        <v>8</v>
      </c>
      <c r="F1713" t="s">
        <v>10020</v>
      </c>
      <c r="G1713" t="s">
        <v>10021</v>
      </c>
      <c r="H1713" s="6">
        <v>44960</v>
      </c>
      <c r="I1713">
        <f t="shared" si="52"/>
        <v>0</v>
      </c>
      <c r="J1713" t="str">
        <f t="shared" si="53"/>
        <v>Complete</v>
      </c>
      <c r="K1713">
        <f>COUNTIFS(RawData[Item], B1713,RawData[Quantity],C1713,RawData[Price Per Unit],D1713,RawData[Total Spent],E1713,RawData[Payment Method],F1713,RawData[Location],G1713,RawData[Transaction Date],H1713)</f>
        <v>1</v>
      </c>
      <c r="L1713"/>
    </row>
    <row r="1714" spans="1:12" x14ac:dyDescent="0.3">
      <c r="A1714" t="s">
        <v>1720</v>
      </c>
      <c r="B1714" t="s">
        <v>10010</v>
      </c>
      <c r="C1714">
        <v>2</v>
      </c>
      <c r="D1714">
        <v>1</v>
      </c>
      <c r="E1714">
        <v>2</v>
      </c>
      <c r="F1714" t="s">
        <v>10020</v>
      </c>
      <c r="G1714" t="s">
        <v>10069</v>
      </c>
      <c r="H1714" s="6">
        <v>45036</v>
      </c>
      <c r="I1714">
        <f t="shared" si="52"/>
        <v>0</v>
      </c>
      <c r="J1714" t="str">
        <f t="shared" si="53"/>
        <v>Complete</v>
      </c>
      <c r="K1714">
        <f>COUNTIFS(RawData[Item], B1714,RawData[Quantity],C1714,RawData[Price Per Unit],D1714,RawData[Total Spent],E1714,RawData[Payment Method],F1714,RawData[Location],G1714,RawData[Transaction Date],H1714)</f>
        <v>1</v>
      </c>
      <c r="L1714"/>
    </row>
    <row r="1715" spans="1:12" x14ac:dyDescent="0.3">
      <c r="A1715" t="s">
        <v>1721</v>
      </c>
      <c r="B1715" t="s">
        <v>10014</v>
      </c>
      <c r="C1715">
        <v>3</v>
      </c>
      <c r="D1715">
        <v>4</v>
      </c>
      <c r="E1715">
        <v>12</v>
      </c>
      <c r="F1715" t="s">
        <v>10069</v>
      </c>
      <c r="G1715" t="s">
        <v>10021</v>
      </c>
      <c r="H1715" s="6">
        <v>44955</v>
      </c>
      <c r="I1715">
        <f t="shared" si="52"/>
        <v>0</v>
      </c>
      <c r="J1715" t="str">
        <f t="shared" si="53"/>
        <v>Complete</v>
      </c>
      <c r="K1715">
        <f>COUNTIFS(RawData[Item], B1715,RawData[Quantity],C1715,RawData[Price Per Unit],D1715,RawData[Total Spent],E1715,RawData[Payment Method],F1715,RawData[Location],G1715,RawData[Transaction Date],H1715)</f>
        <v>1</v>
      </c>
      <c r="L1715"/>
    </row>
    <row r="1716" spans="1:12" x14ac:dyDescent="0.3">
      <c r="A1716" t="s">
        <v>1722</v>
      </c>
      <c r="B1716" t="s">
        <v>10008</v>
      </c>
      <c r="C1716">
        <v>3</v>
      </c>
      <c r="D1716">
        <v>2</v>
      </c>
      <c r="E1716">
        <v>6</v>
      </c>
      <c r="F1716" t="s">
        <v>10069</v>
      </c>
      <c r="G1716" t="s">
        <v>10102</v>
      </c>
      <c r="H1716" s="6">
        <v>45264</v>
      </c>
      <c r="I1716">
        <f t="shared" si="52"/>
        <v>0</v>
      </c>
      <c r="J1716" t="str">
        <f t="shared" si="53"/>
        <v>Complete</v>
      </c>
      <c r="K1716">
        <f>COUNTIFS(RawData[Item], B1716,RawData[Quantity],C1716,RawData[Price Per Unit],D1716,RawData[Total Spent],E1716,RawData[Payment Method],F1716,RawData[Location],G1716,RawData[Transaction Date],H1716)</f>
        <v>1</v>
      </c>
      <c r="L1716"/>
    </row>
    <row r="1717" spans="1:12" x14ac:dyDescent="0.3">
      <c r="A1717" t="s">
        <v>1723</v>
      </c>
      <c r="B1717" t="s">
        <v>10014</v>
      </c>
      <c r="C1717">
        <v>5</v>
      </c>
      <c r="D1717">
        <v>4</v>
      </c>
      <c r="E1717">
        <v>20</v>
      </c>
      <c r="F1717" t="s">
        <v>10069</v>
      </c>
      <c r="G1717" t="s">
        <v>10103</v>
      </c>
      <c r="H1717" s="6">
        <v>45210</v>
      </c>
      <c r="I1717">
        <f t="shared" si="52"/>
        <v>1</v>
      </c>
      <c r="J1717" t="str">
        <f t="shared" si="53"/>
        <v>Complete</v>
      </c>
      <c r="K1717">
        <f>COUNTIFS(RawData[Item], B1717,RawData[Quantity],C1717,RawData[Price Per Unit],D1717,RawData[Total Spent],E1717,RawData[Payment Method],F1717,RawData[Location],G1717,RawData[Transaction Date],H1717)</f>
        <v>1</v>
      </c>
      <c r="L1717"/>
    </row>
    <row r="1718" spans="1:12" x14ac:dyDescent="0.3">
      <c r="A1718" t="s">
        <v>1724</v>
      </c>
      <c r="B1718" t="s">
        <v>10011</v>
      </c>
      <c r="C1718">
        <v>1</v>
      </c>
      <c r="D1718">
        <v>5</v>
      </c>
      <c r="E1718">
        <v>5</v>
      </c>
      <c r="F1718" t="s">
        <v>10018</v>
      </c>
      <c r="G1718" t="s">
        <v>10021</v>
      </c>
      <c r="H1718" s="6">
        <v>45063</v>
      </c>
      <c r="I1718">
        <f t="shared" si="52"/>
        <v>0</v>
      </c>
      <c r="J1718" t="str">
        <f t="shared" si="53"/>
        <v>Complete</v>
      </c>
      <c r="K1718">
        <f>COUNTIFS(RawData[Item], B1718,RawData[Quantity],C1718,RawData[Price Per Unit],D1718,RawData[Total Spent],E1718,RawData[Payment Method],F1718,RawData[Location],G1718,RawData[Transaction Date],H1718)</f>
        <v>1</v>
      </c>
      <c r="L1718"/>
    </row>
    <row r="1719" spans="1:12" x14ac:dyDescent="0.3">
      <c r="A1719" t="s">
        <v>1725</v>
      </c>
      <c r="B1719" t="s">
        <v>10012</v>
      </c>
      <c r="C1719">
        <v>1</v>
      </c>
      <c r="D1719">
        <v>4</v>
      </c>
      <c r="E1719">
        <v>4</v>
      </c>
      <c r="F1719" t="s">
        <v>10019</v>
      </c>
      <c r="G1719" t="s">
        <v>10102</v>
      </c>
      <c r="H1719" s="6">
        <v>45002</v>
      </c>
      <c r="I1719">
        <f t="shared" si="52"/>
        <v>0</v>
      </c>
      <c r="J1719" t="str">
        <f t="shared" si="53"/>
        <v>Complete</v>
      </c>
      <c r="K1719">
        <f>COUNTIFS(RawData[Item], B1719,RawData[Quantity],C1719,RawData[Price Per Unit],D1719,RawData[Total Spent],E1719,RawData[Payment Method],F1719,RawData[Location],G1719,RawData[Transaction Date],H1719)</f>
        <v>1</v>
      </c>
      <c r="L1719"/>
    </row>
    <row r="1720" spans="1:12" x14ac:dyDescent="0.3">
      <c r="A1720" t="s">
        <v>1726</v>
      </c>
      <c r="B1720" t="s">
        <v>10016</v>
      </c>
      <c r="C1720">
        <v>3</v>
      </c>
      <c r="D1720">
        <v>3</v>
      </c>
      <c r="E1720">
        <v>9</v>
      </c>
      <c r="F1720" t="s">
        <v>10069</v>
      </c>
      <c r="G1720" t="s">
        <v>10102</v>
      </c>
      <c r="H1720" s="6">
        <v>45281</v>
      </c>
      <c r="I1720">
        <f t="shared" si="52"/>
        <v>0</v>
      </c>
      <c r="J1720" t="str">
        <f t="shared" si="53"/>
        <v>Complete</v>
      </c>
      <c r="K1720">
        <f>COUNTIFS(RawData[Item], B1720,RawData[Quantity],C1720,RawData[Price Per Unit],D1720,RawData[Total Spent],E1720,RawData[Payment Method],F1720,RawData[Location],G1720,RawData[Transaction Date],H1720)</f>
        <v>1</v>
      </c>
      <c r="L1720"/>
    </row>
    <row r="1721" spans="1:12" x14ac:dyDescent="0.3">
      <c r="A1721" t="s">
        <v>1727</v>
      </c>
      <c r="B1721" t="s">
        <v>10013</v>
      </c>
      <c r="C1721">
        <v>3</v>
      </c>
      <c r="D1721">
        <v>3</v>
      </c>
      <c r="E1721">
        <v>9</v>
      </c>
      <c r="F1721" t="s">
        <v>10069</v>
      </c>
      <c r="G1721" t="s">
        <v>10021</v>
      </c>
      <c r="H1721" s="6">
        <v>45183</v>
      </c>
      <c r="I1721">
        <f t="shared" si="52"/>
        <v>1</v>
      </c>
      <c r="J1721" t="str">
        <f t="shared" si="53"/>
        <v>Complete</v>
      </c>
      <c r="K1721">
        <f>COUNTIFS(RawData[Item], B1721,RawData[Quantity],C1721,RawData[Price Per Unit],D1721,RawData[Total Spent],E1721,RawData[Payment Method],F1721,RawData[Location],G1721,RawData[Transaction Date],H1721)</f>
        <v>1</v>
      </c>
      <c r="L1721"/>
    </row>
    <row r="1722" spans="1:12" x14ac:dyDescent="0.3">
      <c r="A1722" t="s">
        <v>1728</v>
      </c>
      <c r="B1722" t="s">
        <v>10009</v>
      </c>
      <c r="C1722">
        <v>5</v>
      </c>
      <c r="D1722">
        <v>3</v>
      </c>
      <c r="E1722" t="s">
        <v>10013</v>
      </c>
      <c r="F1722" t="s">
        <v>10019</v>
      </c>
      <c r="G1722" t="s">
        <v>10102</v>
      </c>
      <c r="H1722" s="6">
        <v>45087</v>
      </c>
      <c r="I1722">
        <f t="shared" si="52"/>
        <v>1</v>
      </c>
      <c r="J1722" t="str">
        <f t="shared" si="53"/>
        <v>Complete</v>
      </c>
      <c r="K1722">
        <f>COUNTIFS(RawData[Item], B1722,RawData[Quantity],C1722,RawData[Price Per Unit],D1722,RawData[Total Spent],E1722,RawData[Payment Method],F1722,RawData[Location],G1722,RawData[Transaction Date],H1722)</f>
        <v>1</v>
      </c>
      <c r="L1722"/>
    </row>
    <row r="1723" spans="1:12" x14ac:dyDescent="0.3">
      <c r="A1723" t="s">
        <v>1729</v>
      </c>
      <c r="B1723" t="s">
        <v>10010</v>
      </c>
      <c r="C1723">
        <v>5</v>
      </c>
      <c r="D1723">
        <v>1</v>
      </c>
      <c r="E1723">
        <v>5</v>
      </c>
      <c r="F1723" t="s">
        <v>10019</v>
      </c>
      <c r="G1723" t="s">
        <v>10021</v>
      </c>
      <c r="H1723" s="6">
        <v>44989</v>
      </c>
      <c r="I1723">
        <f t="shared" si="52"/>
        <v>0</v>
      </c>
      <c r="J1723" t="str">
        <f t="shared" si="53"/>
        <v>Complete</v>
      </c>
      <c r="K1723">
        <f>COUNTIFS(RawData[Item], B1723,RawData[Quantity],C1723,RawData[Price Per Unit],D1723,RawData[Total Spent],E1723,RawData[Payment Method],F1723,RawData[Location],G1723,RawData[Transaction Date],H1723)</f>
        <v>1</v>
      </c>
      <c r="L1723"/>
    </row>
    <row r="1724" spans="1:12" x14ac:dyDescent="0.3">
      <c r="A1724" t="s">
        <v>1730</v>
      </c>
      <c r="B1724" t="s">
        <v>10015</v>
      </c>
      <c r="C1724">
        <v>1</v>
      </c>
      <c r="D1724">
        <v>5</v>
      </c>
      <c r="E1724">
        <v>5</v>
      </c>
      <c r="F1724" t="s">
        <v>10019</v>
      </c>
      <c r="G1724" t="s">
        <v>10102</v>
      </c>
      <c r="H1724" s="6">
        <v>44992</v>
      </c>
      <c r="I1724">
        <f t="shared" si="52"/>
        <v>1</v>
      </c>
      <c r="J1724" t="str">
        <f t="shared" si="53"/>
        <v>Complete</v>
      </c>
      <c r="K1724">
        <f>COUNTIFS(RawData[Item], B1724,RawData[Quantity],C1724,RawData[Price Per Unit],D1724,RawData[Total Spent],E1724,RawData[Payment Method],F1724,RawData[Location],G1724,RawData[Transaction Date],H1724)</f>
        <v>1</v>
      </c>
      <c r="L1724"/>
    </row>
    <row r="1725" spans="1:12" x14ac:dyDescent="0.3">
      <c r="A1725" t="s">
        <v>1731</v>
      </c>
      <c r="B1725" t="s">
        <v>10012</v>
      </c>
      <c r="C1725">
        <v>1</v>
      </c>
      <c r="D1725">
        <v>4</v>
      </c>
      <c r="E1725">
        <v>4</v>
      </c>
      <c r="F1725" t="s">
        <v>10069</v>
      </c>
      <c r="G1725" t="s">
        <v>10069</v>
      </c>
      <c r="H1725" s="6">
        <v>45260</v>
      </c>
      <c r="I1725">
        <f t="shared" si="52"/>
        <v>0</v>
      </c>
      <c r="J1725" t="str">
        <f t="shared" si="53"/>
        <v>Complete</v>
      </c>
      <c r="K1725">
        <f>COUNTIFS(RawData[Item], B1725,RawData[Quantity],C1725,RawData[Price Per Unit],D1725,RawData[Total Spent],E1725,RawData[Payment Method],F1725,RawData[Location],G1725,RawData[Transaction Date],H1725)</f>
        <v>2</v>
      </c>
      <c r="L1725"/>
    </row>
    <row r="1726" spans="1:12" x14ac:dyDescent="0.3">
      <c r="A1726" t="s">
        <v>1732</v>
      </c>
      <c r="B1726" t="s">
        <v>10009</v>
      </c>
      <c r="C1726">
        <v>4</v>
      </c>
      <c r="D1726">
        <v>3</v>
      </c>
      <c r="E1726">
        <v>12</v>
      </c>
      <c r="F1726" t="s">
        <v>10019</v>
      </c>
      <c r="G1726" t="s">
        <v>10021</v>
      </c>
      <c r="H1726" s="6">
        <v>45074</v>
      </c>
      <c r="I1726">
        <f t="shared" si="52"/>
        <v>0</v>
      </c>
      <c r="J1726" t="str">
        <f t="shared" si="53"/>
        <v>Complete</v>
      </c>
      <c r="K1726">
        <f>COUNTIFS(RawData[Item], B1726,RawData[Quantity],C1726,RawData[Price Per Unit],D1726,RawData[Total Spent],E1726,RawData[Payment Method],F1726,RawData[Location],G1726,RawData[Transaction Date],H1726)</f>
        <v>1</v>
      </c>
      <c r="L1726"/>
    </row>
    <row r="1727" spans="1:12" x14ac:dyDescent="0.3">
      <c r="A1727" t="s">
        <v>1733</v>
      </c>
      <c r="B1727" t="s">
        <v>10069</v>
      </c>
      <c r="C1727">
        <v>3</v>
      </c>
      <c r="D1727">
        <v>5</v>
      </c>
      <c r="E1727">
        <v>15</v>
      </c>
      <c r="F1727" t="s">
        <v>10019</v>
      </c>
      <c r="G1727" t="s">
        <v>10102</v>
      </c>
      <c r="H1727" s="6">
        <v>45090</v>
      </c>
      <c r="I1727">
        <f t="shared" si="52"/>
        <v>0</v>
      </c>
      <c r="J1727" t="str">
        <f t="shared" si="53"/>
        <v>Complete</v>
      </c>
      <c r="K1727">
        <f>COUNTIFS(RawData[Item], B1727,RawData[Quantity],C1727,RawData[Price Per Unit],D1727,RawData[Total Spent],E1727,RawData[Payment Method],F1727,RawData[Location],G1727,RawData[Transaction Date],H1727)</f>
        <v>1</v>
      </c>
      <c r="L1727"/>
    </row>
    <row r="1728" spans="1:12" x14ac:dyDescent="0.3">
      <c r="A1728" t="s">
        <v>1734</v>
      </c>
      <c r="B1728" t="s">
        <v>10014</v>
      </c>
      <c r="C1728">
        <v>2</v>
      </c>
      <c r="D1728">
        <v>4</v>
      </c>
      <c r="E1728">
        <v>8</v>
      </c>
      <c r="F1728" t="s">
        <v>10019</v>
      </c>
      <c r="G1728" t="s">
        <v>10102</v>
      </c>
      <c r="H1728" s="6">
        <v>45164</v>
      </c>
      <c r="I1728">
        <f t="shared" si="52"/>
        <v>0</v>
      </c>
      <c r="J1728" t="str">
        <f t="shared" si="53"/>
        <v>Complete</v>
      </c>
      <c r="K1728">
        <f>COUNTIFS(RawData[Item], B1728,RawData[Quantity],C1728,RawData[Price Per Unit],D1728,RawData[Total Spent],E1728,RawData[Payment Method],F1728,RawData[Location],G1728,RawData[Transaction Date],H1728)</f>
        <v>1</v>
      </c>
      <c r="L1728"/>
    </row>
    <row r="1729" spans="1:12" x14ac:dyDescent="0.3">
      <c r="A1729" t="s">
        <v>1735</v>
      </c>
      <c r="B1729" t="s">
        <v>10017</v>
      </c>
      <c r="C1729">
        <v>5</v>
      </c>
      <c r="D1729">
        <v>1.5</v>
      </c>
      <c r="E1729">
        <v>7.5</v>
      </c>
      <c r="F1729" t="s">
        <v>10018</v>
      </c>
      <c r="G1729" t="s">
        <v>10021</v>
      </c>
      <c r="H1729" s="6">
        <v>45242</v>
      </c>
      <c r="I1729">
        <f t="shared" si="52"/>
        <v>0</v>
      </c>
      <c r="J1729" t="str">
        <f t="shared" si="53"/>
        <v>Complete</v>
      </c>
      <c r="K1729">
        <f>COUNTIFS(RawData[Item], B1729,RawData[Quantity],C1729,RawData[Price Per Unit],D1729,RawData[Total Spent],E1729,RawData[Payment Method],F1729,RawData[Location],G1729,RawData[Transaction Date],H1729)</f>
        <v>1</v>
      </c>
      <c r="L1729"/>
    </row>
    <row r="1730" spans="1:12" x14ac:dyDescent="0.3">
      <c r="A1730" t="s">
        <v>1736</v>
      </c>
      <c r="B1730" t="s">
        <v>10009</v>
      </c>
      <c r="C1730">
        <v>2</v>
      </c>
      <c r="D1730">
        <v>3</v>
      </c>
      <c r="E1730">
        <v>6</v>
      </c>
      <c r="F1730" t="s">
        <v>10018</v>
      </c>
      <c r="G1730" t="s">
        <v>10069</v>
      </c>
      <c r="H1730" s="6">
        <v>45281</v>
      </c>
      <c r="I1730">
        <f t="shared" ref="I1730:I1793" si="54">(B1730="Unknown")+(B1730="Error")+(C1730="Unknown")+(C1730="Error")+(D1730="Unknown")+(D1730="Error")+(E1730="Unknown")+(E1730="Error")+(F1730="Unknown")+(F1730="Error")+(G1730="Unknown")+(G1730="Error")+(H1730="No Date")</f>
        <v>0</v>
      </c>
      <c r="J1730" t="str">
        <f t="shared" ref="J1730:J1793" si="55">IF((H1730="No Date"),"Incomplete","Complete")</f>
        <v>Complete</v>
      </c>
      <c r="K1730">
        <f>COUNTIFS(RawData[Item], B1730,RawData[Quantity],C1730,RawData[Price Per Unit],D1730,RawData[Total Spent],E1730,RawData[Payment Method],F1730,RawData[Location],G1730,RawData[Transaction Date],H1730)</f>
        <v>1</v>
      </c>
      <c r="L1730"/>
    </row>
    <row r="1731" spans="1:12" x14ac:dyDescent="0.3">
      <c r="A1731" t="s">
        <v>1737</v>
      </c>
      <c r="B1731" t="s">
        <v>10008</v>
      </c>
      <c r="C1731">
        <v>3</v>
      </c>
      <c r="D1731">
        <v>2</v>
      </c>
      <c r="E1731">
        <v>6</v>
      </c>
      <c r="F1731" t="s">
        <v>10020</v>
      </c>
      <c r="G1731" t="s">
        <v>10069</v>
      </c>
      <c r="H1731" s="6">
        <v>45094</v>
      </c>
      <c r="I1731">
        <f t="shared" si="54"/>
        <v>0</v>
      </c>
      <c r="J1731" t="str">
        <f t="shared" si="55"/>
        <v>Complete</v>
      </c>
      <c r="K1731">
        <f>COUNTIFS(RawData[Item], B1731,RawData[Quantity],C1731,RawData[Price Per Unit],D1731,RawData[Total Spent],E1731,RawData[Payment Method],F1731,RawData[Location],G1731,RawData[Transaction Date],H1731)</f>
        <v>1</v>
      </c>
      <c r="L1731"/>
    </row>
    <row r="1732" spans="1:12" x14ac:dyDescent="0.3">
      <c r="A1732" t="s">
        <v>1738</v>
      </c>
      <c r="B1732" t="s">
        <v>10009</v>
      </c>
      <c r="C1732">
        <v>3</v>
      </c>
      <c r="D1732">
        <v>3</v>
      </c>
      <c r="E1732">
        <v>9</v>
      </c>
      <c r="F1732" t="s">
        <v>10069</v>
      </c>
      <c r="G1732" t="s">
        <v>10069</v>
      </c>
      <c r="H1732" s="6">
        <v>45154</v>
      </c>
      <c r="I1732">
        <f t="shared" si="54"/>
        <v>0</v>
      </c>
      <c r="J1732" t="str">
        <f t="shared" si="55"/>
        <v>Complete</v>
      </c>
      <c r="K1732">
        <f>COUNTIFS(RawData[Item], B1732,RawData[Quantity],C1732,RawData[Price Per Unit],D1732,RawData[Total Spent],E1732,RawData[Payment Method],F1732,RawData[Location],G1732,RawData[Transaction Date],H1732)</f>
        <v>1</v>
      </c>
      <c r="L1732"/>
    </row>
    <row r="1733" spans="1:12" x14ac:dyDescent="0.3">
      <c r="A1733" t="s">
        <v>1739</v>
      </c>
      <c r="B1733" t="s">
        <v>10014</v>
      </c>
      <c r="C1733">
        <v>5</v>
      </c>
      <c r="D1733">
        <v>4</v>
      </c>
      <c r="E1733">
        <v>20</v>
      </c>
      <c r="F1733" t="s">
        <v>10018</v>
      </c>
      <c r="G1733" t="s">
        <v>10021</v>
      </c>
      <c r="H1733" s="6">
        <v>45181</v>
      </c>
      <c r="I1733">
        <f t="shared" si="54"/>
        <v>0</v>
      </c>
      <c r="J1733" t="str">
        <f t="shared" si="55"/>
        <v>Complete</v>
      </c>
      <c r="K1733">
        <f>COUNTIFS(RawData[Item], B1733,RawData[Quantity],C1733,RawData[Price Per Unit],D1733,RawData[Total Spent],E1733,RawData[Payment Method],F1733,RawData[Location],G1733,RawData[Transaction Date],H1733)</f>
        <v>1</v>
      </c>
      <c r="L1733"/>
    </row>
    <row r="1734" spans="1:12" x14ac:dyDescent="0.3">
      <c r="A1734" t="s">
        <v>1740</v>
      </c>
      <c r="B1734" t="s">
        <v>10009</v>
      </c>
      <c r="C1734">
        <v>3</v>
      </c>
      <c r="D1734">
        <v>3</v>
      </c>
      <c r="E1734">
        <v>9</v>
      </c>
      <c r="F1734" t="s">
        <v>10103</v>
      </c>
      <c r="G1734" t="s">
        <v>10021</v>
      </c>
      <c r="H1734" s="6">
        <v>45251</v>
      </c>
      <c r="I1734">
        <f t="shared" si="54"/>
        <v>1</v>
      </c>
      <c r="J1734" t="str">
        <f t="shared" si="55"/>
        <v>Complete</v>
      </c>
      <c r="K1734">
        <f>COUNTIFS(RawData[Item], B1734,RawData[Quantity],C1734,RawData[Price Per Unit],D1734,RawData[Total Spent],E1734,RawData[Payment Method],F1734,RawData[Location],G1734,RawData[Transaction Date],H1734)</f>
        <v>1</v>
      </c>
      <c r="L1734"/>
    </row>
    <row r="1735" spans="1:12" x14ac:dyDescent="0.3">
      <c r="A1735" t="s">
        <v>1741</v>
      </c>
      <c r="B1735" t="s">
        <v>10069</v>
      </c>
      <c r="C1735">
        <v>2</v>
      </c>
      <c r="D1735">
        <v>1.5</v>
      </c>
      <c r="E1735">
        <v>3</v>
      </c>
      <c r="F1735" t="s">
        <v>10020</v>
      </c>
      <c r="G1735" t="s">
        <v>10069</v>
      </c>
      <c r="H1735" s="6">
        <v>45290</v>
      </c>
      <c r="I1735">
        <f t="shared" si="54"/>
        <v>0</v>
      </c>
      <c r="J1735" t="str">
        <f t="shared" si="55"/>
        <v>Complete</v>
      </c>
      <c r="K1735">
        <f>COUNTIFS(RawData[Item], B1735,RawData[Quantity],C1735,RawData[Price Per Unit],D1735,RawData[Total Spent],E1735,RawData[Payment Method],F1735,RawData[Location],G1735,RawData[Transaction Date],H1735)</f>
        <v>1</v>
      </c>
      <c r="L1735"/>
    </row>
    <row r="1736" spans="1:12" x14ac:dyDescent="0.3">
      <c r="A1736" t="s">
        <v>1742</v>
      </c>
      <c r="B1736" t="s">
        <v>10011</v>
      </c>
      <c r="C1736">
        <v>5</v>
      </c>
      <c r="D1736">
        <v>5</v>
      </c>
      <c r="E1736">
        <v>25</v>
      </c>
      <c r="F1736" t="s">
        <v>10020</v>
      </c>
      <c r="G1736" t="s">
        <v>10069</v>
      </c>
      <c r="H1736" s="6">
        <v>45077</v>
      </c>
      <c r="I1736">
        <f t="shared" si="54"/>
        <v>0</v>
      </c>
      <c r="J1736" t="str">
        <f t="shared" si="55"/>
        <v>Complete</v>
      </c>
      <c r="K1736">
        <f>COUNTIFS(RawData[Item], B1736,RawData[Quantity],C1736,RawData[Price Per Unit],D1736,RawData[Total Spent],E1736,RawData[Payment Method],F1736,RawData[Location],G1736,RawData[Transaction Date],H1736)</f>
        <v>1</v>
      </c>
      <c r="L1736"/>
    </row>
    <row r="1737" spans="1:12" x14ac:dyDescent="0.3">
      <c r="A1737" t="s">
        <v>1743</v>
      </c>
      <c r="B1737" t="s">
        <v>10008</v>
      </c>
      <c r="C1737">
        <v>5</v>
      </c>
      <c r="D1737">
        <v>2</v>
      </c>
      <c r="E1737">
        <v>10</v>
      </c>
      <c r="F1737" t="s">
        <v>10019</v>
      </c>
      <c r="G1737" t="s">
        <v>10021</v>
      </c>
      <c r="H1737" s="6">
        <v>44945</v>
      </c>
      <c r="I1737">
        <f t="shared" si="54"/>
        <v>0</v>
      </c>
      <c r="J1737" t="str">
        <f t="shared" si="55"/>
        <v>Complete</v>
      </c>
      <c r="K1737">
        <f>COUNTIFS(RawData[Item], B1737,RawData[Quantity],C1737,RawData[Price Per Unit],D1737,RawData[Total Spent],E1737,RawData[Payment Method],F1737,RawData[Location],G1737,RawData[Transaction Date],H1737)</f>
        <v>1</v>
      </c>
      <c r="L1737"/>
    </row>
    <row r="1738" spans="1:12" x14ac:dyDescent="0.3">
      <c r="A1738" t="s">
        <v>1744</v>
      </c>
      <c r="B1738" t="s">
        <v>10012</v>
      </c>
      <c r="C1738">
        <v>2</v>
      </c>
      <c r="D1738">
        <v>4</v>
      </c>
      <c r="E1738">
        <v>8</v>
      </c>
      <c r="F1738" t="s">
        <v>10019</v>
      </c>
      <c r="G1738" t="s">
        <v>10069</v>
      </c>
      <c r="H1738" s="6">
        <v>45235</v>
      </c>
      <c r="I1738">
        <f t="shared" si="54"/>
        <v>0</v>
      </c>
      <c r="J1738" t="str">
        <f t="shared" si="55"/>
        <v>Complete</v>
      </c>
      <c r="K1738">
        <f>COUNTIFS(RawData[Item], B1738,RawData[Quantity],C1738,RawData[Price Per Unit],D1738,RawData[Total Spent],E1738,RawData[Payment Method],F1738,RawData[Location],G1738,RawData[Transaction Date],H1738)</f>
        <v>2</v>
      </c>
      <c r="L1738"/>
    </row>
    <row r="1739" spans="1:12" x14ac:dyDescent="0.3">
      <c r="A1739" t="s">
        <v>1745</v>
      </c>
      <c r="B1739" t="s">
        <v>10012</v>
      </c>
      <c r="C1739" t="s">
        <v>10015</v>
      </c>
      <c r="D1739">
        <v>4</v>
      </c>
      <c r="E1739">
        <v>4</v>
      </c>
      <c r="F1739" t="s">
        <v>10019</v>
      </c>
      <c r="G1739" t="s">
        <v>10069</v>
      </c>
      <c r="H1739" s="6">
        <v>45186</v>
      </c>
      <c r="I1739">
        <f t="shared" si="54"/>
        <v>1</v>
      </c>
      <c r="J1739" t="str">
        <f t="shared" si="55"/>
        <v>Complete</v>
      </c>
      <c r="K1739">
        <f>COUNTIFS(RawData[Item], B1739,RawData[Quantity],C1739,RawData[Price Per Unit],D1739,RawData[Total Spent],E1739,RawData[Payment Method],F1739,RawData[Location],G1739,RawData[Transaction Date],H1739)</f>
        <v>1</v>
      </c>
      <c r="L1739"/>
    </row>
    <row r="1740" spans="1:12" x14ac:dyDescent="0.3">
      <c r="A1740" t="s">
        <v>1746</v>
      </c>
      <c r="B1740" t="s">
        <v>10013</v>
      </c>
      <c r="C1740">
        <v>4</v>
      </c>
      <c r="D1740">
        <v>2</v>
      </c>
      <c r="E1740">
        <v>8</v>
      </c>
      <c r="F1740" t="s">
        <v>10069</v>
      </c>
      <c r="G1740" t="s">
        <v>10021</v>
      </c>
      <c r="H1740" s="6">
        <v>45251</v>
      </c>
      <c r="I1740">
        <f t="shared" si="54"/>
        <v>1</v>
      </c>
      <c r="J1740" t="str">
        <f t="shared" si="55"/>
        <v>Complete</v>
      </c>
      <c r="K1740">
        <f>COUNTIFS(RawData[Item], B1740,RawData[Quantity],C1740,RawData[Price Per Unit],D1740,RawData[Total Spent],E1740,RawData[Payment Method],F1740,RawData[Location],G1740,RawData[Transaction Date],H1740)</f>
        <v>1</v>
      </c>
      <c r="L1740"/>
    </row>
    <row r="1741" spans="1:12" x14ac:dyDescent="0.3">
      <c r="A1741" t="s">
        <v>1747</v>
      </c>
      <c r="B1741" t="s">
        <v>10012</v>
      </c>
      <c r="C1741">
        <v>4</v>
      </c>
      <c r="D1741">
        <v>4</v>
      </c>
      <c r="E1741">
        <v>16</v>
      </c>
      <c r="F1741" t="s">
        <v>10069</v>
      </c>
      <c r="G1741" t="s">
        <v>10102</v>
      </c>
      <c r="H1741" s="6">
        <v>45052</v>
      </c>
      <c r="I1741">
        <f t="shared" si="54"/>
        <v>0</v>
      </c>
      <c r="J1741" t="str">
        <f t="shared" si="55"/>
        <v>Complete</v>
      </c>
      <c r="K1741">
        <f>COUNTIFS(RawData[Item], B1741,RawData[Quantity],C1741,RawData[Price Per Unit],D1741,RawData[Total Spent],E1741,RawData[Payment Method],F1741,RawData[Location],G1741,RawData[Transaction Date],H1741)</f>
        <v>1</v>
      </c>
      <c r="L1741"/>
    </row>
    <row r="1742" spans="1:12" x14ac:dyDescent="0.3">
      <c r="A1742" t="s">
        <v>1748</v>
      </c>
      <c r="B1742" t="s">
        <v>10009</v>
      </c>
      <c r="C1742">
        <v>4</v>
      </c>
      <c r="D1742">
        <v>3</v>
      </c>
      <c r="E1742">
        <v>12</v>
      </c>
      <c r="F1742" t="s">
        <v>10018</v>
      </c>
      <c r="G1742" t="s">
        <v>10069</v>
      </c>
      <c r="H1742" s="6">
        <v>45050</v>
      </c>
      <c r="I1742">
        <f t="shared" si="54"/>
        <v>0</v>
      </c>
      <c r="J1742" t="str">
        <f t="shared" si="55"/>
        <v>Complete</v>
      </c>
      <c r="K1742">
        <f>COUNTIFS(RawData[Item], B1742,RawData[Quantity],C1742,RawData[Price Per Unit],D1742,RawData[Total Spent],E1742,RawData[Payment Method],F1742,RawData[Location],G1742,RawData[Transaction Date],H1742)</f>
        <v>1</v>
      </c>
      <c r="L1742"/>
    </row>
    <row r="1743" spans="1:12" x14ac:dyDescent="0.3">
      <c r="A1743" t="s">
        <v>1749</v>
      </c>
      <c r="B1743" t="s">
        <v>10008</v>
      </c>
      <c r="C1743">
        <v>4</v>
      </c>
      <c r="D1743">
        <v>2</v>
      </c>
      <c r="E1743">
        <v>8</v>
      </c>
      <c r="F1743" t="s">
        <v>10069</v>
      </c>
      <c r="G1743" t="s">
        <v>10069</v>
      </c>
      <c r="H1743" s="6">
        <v>44956</v>
      </c>
      <c r="I1743">
        <f t="shared" si="54"/>
        <v>0</v>
      </c>
      <c r="J1743" t="str">
        <f t="shared" si="55"/>
        <v>Complete</v>
      </c>
      <c r="K1743">
        <f>COUNTIFS(RawData[Item], B1743,RawData[Quantity],C1743,RawData[Price Per Unit],D1743,RawData[Total Spent],E1743,RawData[Payment Method],F1743,RawData[Location],G1743,RawData[Transaction Date],H1743)</f>
        <v>1</v>
      </c>
      <c r="L1743"/>
    </row>
    <row r="1744" spans="1:12" x14ac:dyDescent="0.3">
      <c r="A1744" t="s">
        <v>1750</v>
      </c>
      <c r="B1744" t="s">
        <v>10014</v>
      </c>
      <c r="C1744">
        <v>1</v>
      </c>
      <c r="D1744">
        <v>4</v>
      </c>
      <c r="E1744">
        <v>4</v>
      </c>
      <c r="F1744" t="s">
        <v>10018</v>
      </c>
      <c r="G1744" t="s">
        <v>10021</v>
      </c>
      <c r="H1744" s="6">
        <v>45024</v>
      </c>
      <c r="I1744">
        <f t="shared" si="54"/>
        <v>0</v>
      </c>
      <c r="J1744" t="str">
        <f t="shared" si="55"/>
        <v>Complete</v>
      </c>
      <c r="K1744">
        <f>COUNTIFS(RawData[Item], B1744,RawData[Quantity],C1744,RawData[Price Per Unit],D1744,RawData[Total Spent],E1744,RawData[Payment Method],F1744,RawData[Location],G1744,RawData[Transaction Date],H1744)</f>
        <v>1</v>
      </c>
      <c r="L1744"/>
    </row>
    <row r="1745" spans="1:12" x14ac:dyDescent="0.3">
      <c r="A1745" t="s">
        <v>1751</v>
      </c>
      <c r="B1745" t="s">
        <v>10014</v>
      </c>
      <c r="C1745">
        <v>3</v>
      </c>
      <c r="D1745">
        <v>4</v>
      </c>
      <c r="E1745">
        <v>12</v>
      </c>
      <c r="F1745" t="s">
        <v>10018</v>
      </c>
      <c r="G1745" t="s">
        <v>10021</v>
      </c>
      <c r="H1745" s="6">
        <v>45251</v>
      </c>
      <c r="I1745">
        <f t="shared" si="54"/>
        <v>0</v>
      </c>
      <c r="J1745" t="str">
        <f t="shared" si="55"/>
        <v>Complete</v>
      </c>
      <c r="K1745">
        <f>COUNTIFS(RawData[Item], B1745,RawData[Quantity],C1745,RawData[Price Per Unit],D1745,RawData[Total Spent],E1745,RawData[Payment Method],F1745,RawData[Location],G1745,RawData[Transaction Date],H1745)</f>
        <v>1</v>
      </c>
      <c r="L1745"/>
    </row>
    <row r="1746" spans="1:12" x14ac:dyDescent="0.3">
      <c r="A1746" t="s">
        <v>1752</v>
      </c>
      <c r="B1746" t="s">
        <v>10008</v>
      </c>
      <c r="C1746">
        <v>1</v>
      </c>
      <c r="D1746">
        <v>2</v>
      </c>
      <c r="E1746">
        <v>2</v>
      </c>
      <c r="F1746" t="s">
        <v>10020</v>
      </c>
      <c r="G1746" t="s">
        <v>10103</v>
      </c>
      <c r="H1746" s="6">
        <v>45161</v>
      </c>
      <c r="I1746">
        <f t="shared" si="54"/>
        <v>1</v>
      </c>
      <c r="J1746" t="str">
        <f t="shared" si="55"/>
        <v>Complete</v>
      </c>
      <c r="K1746">
        <f>COUNTIFS(RawData[Item], B1746,RawData[Quantity],C1746,RawData[Price Per Unit],D1746,RawData[Total Spent],E1746,RawData[Payment Method],F1746,RawData[Location],G1746,RawData[Transaction Date],H1746)</f>
        <v>1</v>
      </c>
      <c r="L1746"/>
    </row>
    <row r="1747" spans="1:12" x14ac:dyDescent="0.3">
      <c r="A1747" t="s">
        <v>1753</v>
      </c>
      <c r="B1747" t="s">
        <v>10012</v>
      </c>
      <c r="C1747">
        <v>5</v>
      </c>
      <c r="D1747">
        <v>4</v>
      </c>
      <c r="E1747">
        <v>20</v>
      </c>
      <c r="F1747" t="s">
        <v>10020</v>
      </c>
      <c r="G1747" t="s">
        <v>10102</v>
      </c>
      <c r="H1747" s="6">
        <v>45000</v>
      </c>
      <c r="I1747">
        <f t="shared" si="54"/>
        <v>0</v>
      </c>
      <c r="J1747" t="str">
        <f t="shared" si="55"/>
        <v>Complete</v>
      </c>
      <c r="K1747">
        <f>COUNTIFS(RawData[Item], B1747,RawData[Quantity],C1747,RawData[Price Per Unit],D1747,RawData[Total Spent],E1747,RawData[Payment Method],F1747,RawData[Location],G1747,RawData[Transaction Date],H1747)</f>
        <v>1</v>
      </c>
      <c r="L1747"/>
    </row>
    <row r="1748" spans="1:12" x14ac:dyDescent="0.3">
      <c r="A1748" t="s">
        <v>1754</v>
      </c>
      <c r="B1748" t="s">
        <v>10013</v>
      </c>
      <c r="C1748">
        <v>5</v>
      </c>
      <c r="D1748">
        <v>3</v>
      </c>
      <c r="E1748">
        <v>15</v>
      </c>
      <c r="F1748" t="s">
        <v>10069</v>
      </c>
      <c r="G1748" t="s">
        <v>10021</v>
      </c>
      <c r="H1748" s="6">
        <v>45242</v>
      </c>
      <c r="I1748">
        <f t="shared" si="54"/>
        <v>1</v>
      </c>
      <c r="J1748" t="str">
        <f t="shared" si="55"/>
        <v>Complete</v>
      </c>
      <c r="K1748">
        <f>COUNTIFS(RawData[Item], B1748,RawData[Quantity],C1748,RawData[Price Per Unit],D1748,RawData[Total Spent],E1748,RawData[Payment Method],F1748,RawData[Location],G1748,RawData[Transaction Date],H1748)</f>
        <v>1</v>
      </c>
      <c r="L1748"/>
    </row>
    <row r="1749" spans="1:12" x14ac:dyDescent="0.3">
      <c r="A1749" t="s">
        <v>1755</v>
      </c>
      <c r="B1749" t="s">
        <v>10016</v>
      </c>
      <c r="C1749">
        <v>5</v>
      </c>
      <c r="D1749">
        <v>3</v>
      </c>
      <c r="E1749">
        <v>15</v>
      </c>
      <c r="F1749" t="s">
        <v>10018</v>
      </c>
      <c r="G1749" t="s">
        <v>10102</v>
      </c>
      <c r="H1749" s="6">
        <v>45234</v>
      </c>
      <c r="I1749">
        <f t="shared" si="54"/>
        <v>0</v>
      </c>
      <c r="J1749" t="str">
        <f t="shared" si="55"/>
        <v>Complete</v>
      </c>
      <c r="K1749">
        <f>COUNTIFS(RawData[Item], B1749,RawData[Quantity],C1749,RawData[Price Per Unit],D1749,RawData[Total Spent],E1749,RawData[Payment Method],F1749,RawData[Location],G1749,RawData[Transaction Date],H1749)</f>
        <v>1</v>
      </c>
      <c r="L1749"/>
    </row>
    <row r="1750" spans="1:12" x14ac:dyDescent="0.3">
      <c r="A1750" t="s">
        <v>1756</v>
      </c>
      <c r="B1750" t="s">
        <v>10014</v>
      </c>
      <c r="C1750">
        <v>5</v>
      </c>
      <c r="D1750">
        <v>4</v>
      </c>
      <c r="E1750" t="s">
        <v>10013</v>
      </c>
      <c r="F1750" t="s">
        <v>10020</v>
      </c>
      <c r="G1750" t="s">
        <v>10102</v>
      </c>
      <c r="H1750" s="6">
        <v>45199</v>
      </c>
      <c r="I1750">
        <f t="shared" si="54"/>
        <v>1</v>
      </c>
      <c r="J1750" t="str">
        <f t="shared" si="55"/>
        <v>Complete</v>
      </c>
      <c r="K1750">
        <f>COUNTIFS(RawData[Item], B1750,RawData[Quantity],C1750,RawData[Price Per Unit],D1750,RawData[Total Spent],E1750,RawData[Payment Method],F1750,RawData[Location],G1750,RawData[Transaction Date],H1750)</f>
        <v>1</v>
      </c>
      <c r="L1750"/>
    </row>
    <row r="1751" spans="1:12" x14ac:dyDescent="0.3">
      <c r="A1751" t="s">
        <v>1757</v>
      </c>
      <c r="B1751" t="s">
        <v>10017</v>
      </c>
      <c r="C1751">
        <v>2</v>
      </c>
      <c r="D1751" t="s">
        <v>10015</v>
      </c>
      <c r="E1751">
        <v>3</v>
      </c>
      <c r="F1751" t="s">
        <v>10020</v>
      </c>
      <c r="G1751" t="s">
        <v>10021</v>
      </c>
      <c r="H1751" s="6">
        <v>45252</v>
      </c>
      <c r="I1751">
        <f t="shared" si="54"/>
        <v>1</v>
      </c>
      <c r="J1751" t="str">
        <f t="shared" si="55"/>
        <v>Complete</v>
      </c>
      <c r="K1751">
        <f>COUNTIFS(RawData[Item], B1751,RawData[Quantity],C1751,RawData[Price Per Unit],D1751,RawData[Total Spent],E1751,RawData[Payment Method],F1751,RawData[Location],G1751,RawData[Transaction Date],H1751)</f>
        <v>1</v>
      </c>
      <c r="L1751"/>
    </row>
    <row r="1752" spans="1:12" x14ac:dyDescent="0.3">
      <c r="A1752" t="s">
        <v>1758</v>
      </c>
      <c r="B1752" t="s">
        <v>10016</v>
      </c>
      <c r="C1752">
        <v>1</v>
      </c>
      <c r="D1752">
        <v>3</v>
      </c>
      <c r="E1752">
        <v>3</v>
      </c>
      <c r="F1752" t="s">
        <v>10103</v>
      </c>
      <c r="G1752" t="s">
        <v>10069</v>
      </c>
      <c r="H1752" s="6">
        <v>44951</v>
      </c>
      <c r="I1752">
        <f t="shared" si="54"/>
        <v>1</v>
      </c>
      <c r="J1752" t="str">
        <f t="shared" si="55"/>
        <v>Complete</v>
      </c>
      <c r="K1752">
        <f>COUNTIFS(RawData[Item], B1752,RawData[Quantity],C1752,RawData[Price Per Unit],D1752,RawData[Total Spent],E1752,RawData[Payment Method],F1752,RawData[Location],G1752,RawData[Transaction Date],H1752)</f>
        <v>1</v>
      </c>
      <c r="L1752"/>
    </row>
    <row r="1753" spans="1:12" x14ac:dyDescent="0.3">
      <c r="A1753" t="s">
        <v>1759</v>
      </c>
      <c r="B1753" t="s">
        <v>10014</v>
      </c>
      <c r="C1753">
        <v>1</v>
      </c>
      <c r="D1753">
        <v>4</v>
      </c>
      <c r="E1753">
        <v>4</v>
      </c>
      <c r="F1753" t="s">
        <v>10019</v>
      </c>
      <c r="G1753" t="s">
        <v>10069</v>
      </c>
      <c r="H1753" s="6">
        <v>45004</v>
      </c>
      <c r="I1753">
        <f t="shared" si="54"/>
        <v>0</v>
      </c>
      <c r="J1753" t="str">
        <f t="shared" si="55"/>
        <v>Complete</v>
      </c>
      <c r="K1753">
        <f>COUNTIFS(RawData[Item], B1753,RawData[Quantity],C1753,RawData[Price Per Unit],D1753,RawData[Total Spent],E1753,RawData[Payment Method],F1753,RawData[Location],G1753,RawData[Transaction Date],H1753)</f>
        <v>1</v>
      </c>
      <c r="L1753"/>
    </row>
    <row r="1754" spans="1:12" x14ac:dyDescent="0.3">
      <c r="A1754" t="s">
        <v>1760</v>
      </c>
      <c r="B1754" t="s">
        <v>10014</v>
      </c>
      <c r="C1754">
        <v>2</v>
      </c>
      <c r="D1754">
        <v>4</v>
      </c>
      <c r="E1754">
        <v>8</v>
      </c>
      <c r="F1754" t="s">
        <v>10018</v>
      </c>
      <c r="G1754" t="s">
        <v>10069</v>
      </c>
      <c r="H1754" s="6">
        <v>44948</v>
      </c>
      <c r="I1754">
        <f t="shared" si="54"/>
        <v>0</v>
      </c>
      <c r="J1754" t="str">
        <f t="shared" si="55"/>
        <v>Complete</v>
      </c>
      <c r="K1754">
        <f>COUNTIFS(RawData[Item], B1754,RawData[Quantity],C1754,RawData[Price Per Unit],D1754,RawData[Total Spent],E1754,RawData[Payment Method],F1754,RawData[Location],G1754,RawData[Transaction Date],H1754)</f>
        <v>1</v>
      </c>
      <c r="L1754"/>
    </row>
    <row r="1755" spans="1:12" x14ac:dyDescent="0.3">
      <c r="A1755" t="s">
        <v>1761</v>
      </c>
      <c r="B1755" t="s">
        <v>10069</v>
      </c>
      <c r="C1755">
        <v>4</v>
      </c>
      <c r="D1755">
        <v>1</v>
      </c>
      <c r="E1755" t="s">
        <v>10015</v>
      </c>
      <c r="F1755" t="s">
        <v>10020</v>
      </c>
      <c r="G1755" t="s">
        <v>10021</v>
      </c>
      <c r="H1755" s="6">
        <v>44948</v>
      </c>
      <c r="I1755">
        <f t="shared" si="54"/>
        <v>1</v>
      </c>
      <c r="J1755" t="str">
        <f t="shared" si="55"/>
        <v>Complete</v>
      </c>
      <c r="K1755">
        <f>COUNTIFS(RawData[Item], B1755,RawData[Quantity],C1755,RawData[Price Per Unit],D1755,RawData[Total Spent],E1755,RawData[Payment Method],F1755,RawData[Location],G1755,RawData[Transaction Date],H1755)</f>
        <v>1</v>
      </c>
      <c r="L1755"/>
    </row>
    <row r="1756" spans="1:12" x14ac:dyDescent="0.3">
      <c r="A1756" t="s">
        <v>1762</v>
      </c>
      <c r="B1756" t="s">
        <v>10008</v>
      </c>
      <c r="C1756">
        <v>3</v>
      </c>
      <c r="D1756">
        <v>2</v>
      </c>
      <c r="E1756">
        <v>6</v>
      </c>
      <c r="F1756" t="s">
        <v>10018</v>
      </c>
      <c r="G1756" t="s">
        <v>10069</v>
      </c>
      <c r="H1756" s="6" t="s">
        <v>10112</v>
      </c>
      <c r="I1756">
        <f t="shared" si="54"/>
        <v>1</v>
      </c>
      <c r="J1756" t="str">
        <f t="shared" si="55"/>
        <v>Incomplete</v>
      </c>
      <c r="K1756">
        <f>COUNTIFS(RawData[Item], B1756,RawData[Quantity],C1756,RawData[Price Per Unit],D1756,RawData[Total Spent],E1756,RawData[Payment Method],F1756,RawData[Location],G1756,RawData[Transaction Date],H1756)</f>
        <v>1</v>
      </c>
      <c r="L1756"/>
    </row>
    <row r="1757" spans="1:12" x14ac:dyDescent="0.3">
      <c r="A1757" t="s">
        <v>1763</v>
      </c>
      <c r="B1757" t="s">
        <v>10008</v>
      </c>
      <c r="C1757">
        <v>2</v>
      </c>
      <c r="D1757">
        <v>2</v>
      </c>
      <c r="E1757">
        <v>4</v>
      </c>
      <c r="F1757" t="s">
        <v>10019</v>
      </c>
      <c r="G1757" t="s">
        <v>10102</v>
      </c>
      <c r="H1757" s="6">
        <v>45009</v>
      </c>
      <c r="I1757">
        <f t="shared" si="54"/>
        <v>0</v>
      </c>
      <c r="J1757" t="str">
        <f t="shared" si="55"/>
        <v>Complete</v>
      </c>
      <c r="K1757">
        <f>COUNTIFS(RawData[Item], B1757,RawData[Quantity],C1757,RawData[Price Per Unit],D1757,RawData[Total Spent],E1757,RawData[Payment Method],F1757,RawData[Location],G1757,RawData[Transaction Date],H1757)</f>
        <v>1</v>
      </c>
      <c r="L1757"/>
    </row>
    <row r="1758" spans="1:12" x14ac:dyDescent="0.3">
      <c r="A1758" t="s">
        <v>1764</v>
      </c>
      <c r="B1758" t="s">
        <v>10009</v>
      </c>
      <c r="C1758">
        <v>1</v>
      </c>
      <c r="D1758" t="s">
        <v>10015</v>
      </c>
      <c r="E1758">
        <v>3</v>
      </c>
      <c r="F1758" t="s">
        <v>10020</v>
      </c>
      <c r="G1758" t="s">
        <v>10069</v>
      </c>
      <c r="H1758" s="6">
        <v>44965</v>
      </c>
      <c r="I1758">
        <f t="shared" si="54"/>
        <v>1</v>
      </c>
      <c r="J1758" t="str">
        <f t="shared" si="55"/>
        <v>Complete</v>
      </c>
      <c r="K1758">
        <f>COUNTIFS(RawData[Item], B1758,RawData[Quantity],C1758,RawData[Price Per Unit],D1758,RawData[Total Spent],E1758,RawData[Payment Method],F1758,RawData[Location],G1758,RawData[Transaction Date],H1758)</f>
        <v>1</v>
      </c>
      <c r="L1758"/>
    </row>
    <row r="1759" spans="1:12" x14ac:dyDescent="0.3">
      <c r="A1759" t="s">
        <v>1765</v>
      </c>
      <c r="B1759" t="s">
        <v>10011</v>
      </c>
      <c r="C1759">
        <v>5</v>
      </c>
      <c r="D1759">
        <v>5</v>
      </c>
      <c r="E1759">
        <v>25</v>
      </c>
      <c r="F1759" t="s">
        <v>10019</v>
      </c>
      <c r="G1759" t="s">
        <v>10102</v>
      </c>
      <c r="H1759" s="6">
        <v>45033</v>
      </c>
      <c r="I1759">
        <f t="shared" si="54"/>
        <v>0</v>
      </c>
      <c r="J1759" t="str">
        <f t="shared" si="55"/>
        <v>Complete</v>
      </c>
      <c r="K1759">
        <f>COUNTIFS(RawData[Item], B1759,RawData[Quantity],C1759,RawData[Price Per Unit],D1759,RawData[Total Spent],E1759,RawData[Payment Method],F1759,RawData[Location],G1759,RawData[Transaction Date],H1759)</f>
        <v>1</v>
      </c>
      <c r="L1759"/>
    </row>
    <row r="1760" spans="1:12" x14ac:dyDescent="0.3">
      <c r="A1760" t="s">
        <v>1766</v>
      </c>
      <c r="B1760" t="s">
        <v>10010</v>
      </c>
      <c r="C1760">
        <v>5</v>
      </c>
      <c r="D1760">
        <v>1</v>
      </c>
      <c r="E1760">
        <v>5</v>
      </c>
      <c r="F1760" t="s">
        <v>10019</v>
      </c>
      <c r="G1760" t="s">
        <v>10104</v>
      </c>
      <c r="H1760" s="6">
        <v>45048</v>
      </c>
      <c r="I1760">
        <f t="shared" si="54"/>
        <v>1</v>
      </c>
      <c r="J1760" t="str">
        <f t="shared" si="55"/>
        <v>Complete</v>
      </c>
      <c r="K1760">
        <f>COUNTIFS(RawData[Item], B1760,RawData[Quantity],C1760,RawData[Price Per Unit],D1760,RawData[Total Spent],E1760,RawData[Payment Method],F1760,RawData[Location],G1760,RawData[Transaction Date],H1760)</f>
        <v>1</v>
      </c>
      <c r="L1760"/>
    </row>
    <row r="1761" spans="1:12" x14ac:dyDescent="0.3">
      <c r="A1761" t="s">
        <v>1767</v>
      </c>
      <c r="B1761" t="s">
        <v>10014</v>
      </c>
      <c r="C1761">
        <v>3</v>
      </c>
      <c r="D1761">
        <v>4</v>
      </c>
      <c r="E1761">
        <v>12</v>
      </c>
      <c r="F1761" t="s">
        <v>10019</v>
      </c>
      <c r="G1761" t="s">
        <v>10102</v>
      </c>
      <c r="H1761" s="6">
        <v>44934</v>
      </c>
      <c r="I1761">
        <f t="shared" si="54"/>
        <v>0</v>
      </c>
      <c r="J1761" t="str">
        <f t="shared" si="55"/>
        <v>Complete</v>
      </c>
      <c r="K1761">
        <f>COUNTIFS(RawData[Item], B1761,RawData[Quantity],C1761,RawData[Price Per Unit],D1761,RawData[Total Spent],E1761,RawData[Payment Method],F1761,RawData[Location],G1761,RawData[Transaction Date],H1761)</f>
        <v>1</v>
      </c>
      <c r="L1761"/>
    </row>
    <row r="1762" spans="1:12" x14ac:dyDescent="0.3">
      <c r="A1762" t="s">
        <v>1768</v>
      </c>
      <c r="B1762" t="s">
        <v>10016</v>
      </c>
      <c r="C1762">
        <v>4</v>
      </c>
      <c r="D1762">
        <v>3</v>
      </c>
      <c r="E1762">
        <v>12</v>
      </c>
      <c r="F1762" t="s">
        <v>10069</v>
      </c>
      <c r="G1762" t="s">
        <v>10102</v>
      </c>
      <c r="H1762" s="6">
        <v>44996</v>
      </c>
      <c r="I1762">
        <f t="shared" si="54"/>
        <v>0</v>
      </c>
      <c r="J1762" t="str">
        <f t="shared" si="55"/>
        <v>Complete</v>
      </c>
      <c r="K1762">
        <f>COUNTIFS(RawData[Item], B1762,RawData[Quantity],C1762,RawData[Price Per Unit],D1762,RawData[Total Spent],E1762,RawData[Payment Method],F1762,RawData[Location],G1762,RawData[Transaction Date],H1762)</f>
        <v>1</v>
      </c>
      <c r="L1762"/>
    </row>
    <row r="1763" spans="1:12" x14ac:dyDescent="0.3">
      <c r="A1763" t="s">
        <v>1769</v>
      </c>
      <c r="B1763" t="s">
        <v>10069</v>
      </c>
      <c r="C1763">
        <v>4</v>
      </c>
      <c r="D1763" t="s">
        <v>10015</v>
      </c>
      <c r="E1763" t="s">
        <v>10015</v>
      </c>
      <c r="F1763" t="s">
        <v>10018</v>
      </c>
      <c r="G1763" t="s">
        <v>10069</v>
      </c>
      <c r="H1763" s="6">
        <v>44966</v>
      </c>
      <c r="I1763">
        <f t="shared" si="54"/>
        <v>2</v>
      </c>
      <c r="J1763" t="str">
        <f t="shared" si="55"/>
        <v>Complete</v>
      </c>
      <c r="K1763">
        <f>COUNTIFS(RawData[Item], B1763,RawData[Quantity],C1763,RawData[Price Per Unit],D1763,RawData[Total Spent],E1763,RawData[Payment Method],F1763,RawData[Location],G1763,RawData[Transaction Date],H1763)</f>
        <v>1</v>
      </c>
      <c r="L1763"/>
    </row>
    <row r="1764" spans="1:12" x14ac:dyDescent="0.3">
      <c r="A1764" t="s">
        <v>1770</v>
      </c>
      <c r="B1764" t="s">
        <v>10010</v>
      </c>
      <c r="C1764">
        <v>5</v>
      </c>
      <c r="D1764">
        <v>1</v>
      </c>
      <c r="E1764">
        <v>5</v>
      </c>
      <c r="F1764" t="s">
        <v>10019</v>
      </c>
      <c r="G1764" t="s">
        <v>10102</v>
      </c>
      <c r="H1764" s="6">
        <v>44984</v>
      </c>
      <c r="I1764">
        <f t="shared" si="54"/>
        <v>0</v>
      </c>
      <c r="J1764" t="str">
        <f t="shared" si="55"/>
        <v>Complete</v>
      </c>
      <c r="K1764">
        <f>COUNTIFS(RawData[Item], B1764,RawData[Quantity],C1764,RawData[Price Per Unit],D1764,RawData[Total Spent],E1764,RawData[Payment Method],F1764,RawData[Location],G1764,RawData[Transaction Date],H1764)</f>
        <v>1</v>
      </c>
      <c r="L1764"/>
    </row>
    <row r="1765" spans="1:12" x14ac:dyDescent="0.3">
      <c r="A1765" t="s">
        <v>1771</v>
      </c>
      <c r="B1765" t="s">
        <v>10008</v>
      </c>
      <c r="C1765">
        <v>1</v>
      </c>
      <c r="D1765">
        <v>2</v>
      </c>
      <c r="E1765">
        <v>2</v>
      </c>
      <c r="F1765" t="s">
        <v>10020</v>
      </c>
      <c r="G1765" t="s">
        <v>10069</v>
      </c>
      <c r="H1765" s="6">
        <v>44949</v>
      </c>
      <c r="I1765">
        <f t="shared" si="54"/>
        <v>0</v>
      </c>
      <c r="J1765" t="str">
        <f t="shared" si="55"/>
        <v>Complete</v>
      </c>
      <c r="K1765">
        <f>COUNTIFS(RawData[Item], B1765,RawData[Quantity],C1765,RawData[Price Per Unit],D1765,RawData[Total Spent],E1765,RawData[Payment Method],F1765,RawData[Location],G1765,RawData[Transaction Date],H1765)</f>
        <v>1</v>
      </c>
      <c r="L1765"/>
    </row>
    <row r="1766" spans="1:12" x14ac:dyDescent="0.3">
      <c r="A1766" t="s">
        <v>1772</v>
      </c>
      <c r="B1766" t="s">
        <v>10016</v>
      </c>
      <c r="C1766">
        <v>0</v>
      </c>
      <c r="D1766">
        <v>3</v>
      </c>
      <c r="E1766">
        <v>12</v>
      </c>
      <c r="F1766" t="s">
        <v>10069</v>
      </c>
      <c r="G1766" t="s">
        <v>10069</v>
      </c>
      <c r="H1766" s="6">
        <v>45042</v>
      </c>
      <c r="I1766">
        <f t="shared" si="54"/>
        <v>0</v>
      </c>
      <c r="J1766" t="str">
        <f t="shared" si="55"/>
        <v>Complete</v>
      </c>
      <c r="K1766">
        <f>COUNTIFS(RawData[Item], B1766,RawData[Quantity],C1766,RawData[Price Per Unit],D1766,RawData[Total Spent],E1766,RawData[Payment Method],F1766,RawData[Location],G1766,RawData[Transaction Date],H1766)</f>
        <v>1</v>
      </c>
      <c r="L1766"/>
    </row>
    <row r="1767" spans="1:12" x14ac:dyDescent="0.3">
      <c r="A1767" t="s">
        <v>1773</v>
      </c>
      <c r="B1767" t="s">
        <v>10010</v>
      </c>
      <c r="C1767">
        <v>4</v>
      </c>
      <c r="D1767">
        <v>1</v>
      </c>
      <c r="E1767">
        <v>4</v>
      </c>
      <c r="F1767" t="s">
        <v>10019</v>
      </c>
      <c r="G1767" t="s">
        <v>10102</v>
      </c>
      <c r="H1767" s="6">
        <v>45237</v>
      </c>
      <c r="I1767">
        <f t="shared" si="54"/>
        <v>0</v>
      </c>
      <c r="J1767" t="str">
        <f t="shared" si="55"/>
        <v>Complete</v>
      </c>
      <c r="K1767">
        <f>COUNTIFS(RawData[Item], B1767,RawData[Quantity],C1767,RawData[Price Per Unit],D1767,RawData[Total Spent],E1767,RawData[Payment Method],F1767,RawData[Location],G1767,RawData[Transaction Date],H1767)</f>
        <v>1</v>
      </c>
      <c r="L1767"/>
    </row>
    <row r="1768" spans="1:12" x14ac:dyDescent="0.3">
      <c r="A1768" t="s">
        <v>1774</v>
      </c>
      <c r="B1768" t="s">
        <v>10014</v>
      </c>
      <c r="C1768">
        <v>0</v>
      </c>
      <c r="D1768">
        <v>4</v>
      </c>
      <c r="E1768">
        <v>20</v>
      </c>
      <c r="F1768" t="s">
        <v>10018</v>
      </c>
      <c r="G1768" t="s">
        <v>10069</v>
      </c>
      <c r="H1768" s="6">
        <v>44984</v>
      </c>
      <c r="I1768">
        <f t="shared" si="54"/>
        <v>0</v>
      </c>
      <c r="J1768" t="str">
        <f t="shared" si="55"/>
        <v>Complete</v>
      </c>
      <c r="K1768">
        <f>COUNTIFS(RawData[Item], B1768,RawData[Quantity],C1768,RawData[Price Per Unit],D1768,RawData[Total Spent],E1768,RawData[Payment Method],F1768,RawData[Location],G1768,RawData[Transaction Date],H1768)</f>
        <v>1</v>
      </c>
      <c r="L1768"/>
    </row>
    <row r="1769" spans="1:12" x14ac:dyDescent="0.3">
      <c r="A1769" t="s">
        <v>1775</v>
      </c>
      <c r="B1769" t="s">
        <v>10012</v>
      </c>
      <c r="C1769">
        <v>5</v>
      </c>
      <c r="D1769">
        <v>4</v>
      </c>
      <c r="E1769">
        <v>20</v>
      </c>
      <c r="F1769" t="s">
        <v>10018</v>
      </c>
      <c r="G1769" t="s">
        <v>10021</v>
      </c>
      <c r="H1769" s="6">
        <v>45175</v>
      </c>
      <c r="I1769">
        <f t="shared" si="54"/>
        <v>0</v>
      </c>
      <c r="J1769" t="str">
        <f t="shared" si="55"/>
        <v>Complete</v>
      </c>
      <c r="K1769">
        <f>COUNTIFS(RawData[Item], B1769,RawData[Quantity],C1769,RawData[Price Per Unit],D1769,RawData[Total Spent],E1769,RawData[Payment Method],F1769,RawData[Location],G1769,RawData[Transaction Date],H1769)</f>
        <v>2</v>
      </c>
      <c r="L1769"/>
    </row>
    <row r="1770" spans="1:12" x14ac:dyDescent="0.3">
      <c r="A1770" t="s">
        <v>1776</v>
      </c>
      <c r="B1770" t="s">
        <v>10008</v>
      </c>
      <c r="C1770">
        <v>3</v>
      </c>
      <c r="D1770">
        <v>2</v>
      </c>
      <c r="E1770">
        <v>6</v>
      </c>
      <c r="F1770" t="s">
        <v>10020</v>
      </c>
      <c r="G1770" t="s">
        <v>10021</v>
      </c>
      <c r="H1770" s="6">
        <v>44929</v>
      </c>
      <c r="I1770">
        <f t="shared" si="54"/>
        <v>0</v>
      </c>
      <c r="J1770" t="str">
        <f t="shared" si="55"/>
        <v>Complete</v>
      </c>
      <c r="K1770">
        <f>COUNTIFS(RawData[Item], B1770,RawData[Quantity],C1770,RawData[Price Per Unit],D1770,RawData[Total Spent],E1770,RawData[Payment Method],F1770,RawData[Location],G1770,RawData[Transaction Date],H1770)</f>
        <v>1</v>
      </c>
      <c r="L1770"/>
    </row>
    <row r="1771" spans="1:12" x14ac:dyDescent="0.3">
      <c r="A1771" t="s">
        <v>1777</v>
      </c>
      <c r="B1771" t="s">
        <v>10015</v>
      </c>
      <c r="C1771">
        <v>2</v>
      </c>
      <c r="D1771">
        <v>1.5</v>
      </c>
      <c r="E1771">
        <v>3</v>
      </c>
      <c r="F1771" t="s">
        <v>10019</v>
      </c>
      <c r="G1771" t="s">
        <v>10103</v>
      </c>
      <c r="H1771" s="6">
        <v>45050</v>
      </c>
      <c r="I1771">
        <f t="shared" si="54"/>
        <v>2</v>
      </c>
      <c r="J1771" t="str">
        <f t="shared" si="55"/>
        <v>Complete</v>
      </c>
      <c r="K1771">
        <f>COUNTIFS(RawData[Item], B1771,RawData[Quantity],C1771,RawData[Price Per Unit],D1771,RawData[Total Spent],E1771,RawData[Payment Method],F1771,RawData[Location],G1771,RawData[Transaction Date],H1771)</f>
        <v>1</v>
      </c>
      <c r="L1771"/>
    </row>
    <row r="1772" spans="1:12" x14ac:dyDescent="0.3">
      <c r="A1772" t="s">
        <v>1778</v>
      </c>
      <c r="B1772" t="s">
        <v>10010</v>
      </c>
      <c r="C1772">
        <v>1</v>
      </c>
      <c r="D1772">
        <v>1</v>
      </c>
      <c r="E1772">
        <v>1</v>
      </c>
      <c r="F1772" t="s">
        <v>10018</v>
      </c>
      <c r="G1772" t="s">
        <v>10069</v>
      </c>
      <c r="H1772" s="6">
        <v>45136</v>
      </c>
      <c r="I1772">
        <f t="shared" si="54"/>
        <v>0</v>
      </c>
      <c r="J1772" t="str">
        <f t="shared" si="55"/>
        <v>Complete</v>
      </c>
      <c r="K1772">
        <f>COUNTIFS(RawData[Item], B1772,RawData[Quantity],C1772,RawData[Price Per Unit],D1772,RawData[Total Spent],E1772,RawData[Payment Method],F1772,RawData[Location],G1772,RawData[Transaction Date],H1772)</f>
        <v>1</v>
      </c>
      <c r="L1772"/>
    </row>
    <row r="1773" spans="1:12" x14ac:dyDescent="0.3">
      <c r="A1773" t="s">
        <v>1779</v>
      </c>
      <c r="B1773" t="s">
        <v>10017</v>
      </c>
      <c r="C1773">
        <v>1</v>
      </c>
      <c r="D1773">
        <v>1.5</v>
      </c>
      <c r="E1773">
        <v>1.5</v>
      </c>
      <c r="F1773" t="s">
        <v>10020</v>
      </c>
      <c r="G1773" t="s">
        <v>10102</v>
      </c>
      <c r="H1773" s="6">
        <v>45070</v>
      </c>
      <c r="I1773">
        <f t="shared" si="54"/>
        <v>0</v>
      </c>
      <c r="J1773" t="str">
        <f t="shared" si="55"/>
        <v>Complete</v>
      </c>
      <c r="K1773">
        <f>COUNTIFS(RawData[Item], B1773,RawData[Quantity],C1773,RawData[Price Per Unit],D1773,RawData[Total Spent],E1773,RawData[Payment Method],F1773,RawData[Location],G1773,RawData[Transaction Date],H1773)</f>
        <v>1</v>
      </c>
      <c r="L1773"/>
    </row>
    <row r="1774" spans="1:12" x14ac:dyDescent="0.3">
      <c r="A1774" t="s">
        <v>1780</v>
      </c>
      <c r="B1774" t="s">
        <v>10016</v>
      </c>
      <c r="C1774">
        <v>2</v>
      </c>
      <c r="D1774">
        <v>3</v>
      </c>
      <c r="E1774">
        <v>6</v>
      </c>
      <c r="F1774" t="s">
        <v>10020</v>
      </c>
      <c r="G1774" t="s">
        <v>10069</v>
      </c>
      <c r="H1774" s="6">
        <v>45030</v>
      </c>
      <c r="I1774">
        <f t="shared" si="54"/>
        <v>0</v>
      </c>
      <c r="J1774" t="str">
        <f t="shared" si="55"/>
        <v>Complete</v>
      </c>
      <c r="K1774">
        <f>COUNTIFS(RawData[Item], B1774,RawData[Quantity],C1774,RawData[Price Per Unit],D1774,RawData[Total Spent],E1774,RawData[Payment Method],F1774,RawData[Location],G1774,RawData[Transaction Date],H1774)</f>
        <v>1</v>
      </c>
      <c r="L1774"/>
    </row>
    <row r="1775" spans="1:12" x14ac:dyDescent="0.3">
      <c r="A1775" t="s">
        <v>1781</v>
      </c>
      <c r="B1775" t="s">
        <v>10010</v>
      </c>
      <c r="C1775">
        <v>2</v>
      </c>
      <c r="D1775" t="s">
        <v>10013</v>
      </c>
      <c r="E1775">
        <v>2</v>
      </c>
      <c r="F1775" t="s">
        <v>10019</v>
      </c>
      <c r="G1775" t="s">
        <v>10102</v>
      </c>
      <c r="H1775" s="6">
        <v>45082</v>
      </c>
      <c r="I1775">
        <f t="shared" si="54"/>
        <v>1</v>
      </c>
      <c r="J1775" t="str">
        <f t="shared" si="55"/>
        <v>Complete</v>
      </c>
      <c r="K1775">
        <f>COUNTIFS(RawData[Item], B1775,RawData[Quantity],C1775,RawData[Price Per Unit],D1775,RawData[Total Spent],E1775,RawData[Payment Method],F1775,RawData[Location],G1775,RawData[Transaction Date],H1775)</f>
        <v>1</v>
      </c>
      <c r="L1775"/>
    </row>
    <row r="1776" spans="1:12" x14ac:dyDescent="0.3">
      <c r="A1776" t="s">
        <v>1782</v>
      </c>
      <c r="B1776" t="s">
        <v>10008</v>
      </c>
      <c r="C1776">
        <v>3</v>
      </c>
      <c r="D1776">
        <v>2</v>
      </c>
      <c r="E1776">
        <v>6</v>
      </c>
      <c r="F1776" t="s">
        <v>10069</v>
      </c>
      <c r="G1776" t="s">
        <v>10102</v>
      </c>
      <c r="H1776" s="6">
        <v>45124</v>
      </c>
      <c r="I1776">
        <f t="shared" si="54"/>
        <v>0</v>
      </c>
      <c r="J1776" t="str">
        <f t="shared" si="55"/>
        <v>Complete</v>
      </c>
      <c r="K1776">
        <f>COUNTIFS(RawData[Item], B1776,RawData[Quantity],C1776,RawData[Price Per Unit],D1776,RawData[Total Spent],E1776,RawData[Payment Method],F1776,RawData[Location],G1776,RawData[Transaction Date],H1776)</f>
        <v>1</v>
      </c>
      <c r="L1776"/>
    </row>
    <row r="1777" spans="1:12" x14ac:dyDescent="0.3">
      <c r="A1777" t="s">
        <v>1783</v>
      </c>
      <c r="B1777" t="s">
        <v>10017</v>
      </c>
      <c r="C1777">
        <v>2</v>
      </c>
      <c r="D1777">
        <v>1.5</v>
      </c>
      <c r="E1777">
        <v>3</v>
      </c>
      <c r="F1777" t="s">
        <v>10069</v>
      </c>
      <c r="G1777" t="s">
        <v>10069</v>
      </c>
      <c r="H1777" s="6">
        <v>45008</v>
      </c>
      <c r="I1777">
        <f t="shared" si="54"/>
        <v>0</v>
      </c>
      <c r="J1777" t="str">
        <f t="shared" si="55"/>
        <v>Complete</v>
      </c>
      <c r="K1777">
        <f>COUNTIFS(RawData[Item], B1777,RawData[Quantity],C1777,RawData[Price Per Unit],D1777,RawData[Total Spent],E1777,RawData[Payment Method],F1777,RawData[Location],G1777,RawData[Transaction Date],H1777)</f>
        <v>1</v>
      </c>
      <c r="L1777"/>
    </row>
    <row r="1778" spans="1:12" x14ac:dyDescent="0.3">
      <c r="A1778" t="s">
        <v>1784</v>
      </c>
      <c r="B1778" t="s">
        <v>10016</v>
      </c>
      <c r="C1778">
        <v>1</v>
      </c>
      <c r="D1778">
        <v>3</v>
      </c>
      <c r="E1778">
        <v>3</v>
      </c>
      <c r="F1778" t="s">
        <v>10069</v>
      </c>
      <c r="G1778" t="s">
        <v>10069</v>
      </c>
      <c r="H1778" s="6">
        <v>45071</v>
      </c>
      <c r="I1778">
        <f t="shared" si="54"/>
        <v>0</v>
      </c>
      <c r="J1778" t="str">
        <f t="shared" si="55"/>
        <v>Complete</v>
      </c>
      <c r="K1778">
        <f>COUNTIFS(RawData[Item], B1778,RawData[Quantity],C1778,RawData[Price Per Unit],D1778,RawData[Total Spent],E1778,RawData[Payment Method],F1778,RawData[Location],G1778,RawData[Transaction Date],H1778)</f>
        <v>1</v>
      </c>
      <c r="L1778"/>
    </row>
    <row r="1779" spans="1:12" x14ac:dyDescent="0.3">
      <c r="A1779" t="s">
        <v>1785</v>
      </c>
      <c r="B1779" t="s">
        <v>10016</v>
      </c>
      <c r="C1779">
        <v>5</v>
      </c>
      <c r="D1779">
        <v>3</v>
      </c>
      <c r="E1779">
        <v>15</v>
      </c>
      <c r="F1779" t="s">
        <v>10020</v>
      </c>
      <c r="G1779" t="s">
        <v>10021</v>
      </c>
      <c r="H1779" s="6">
        <v>44927</v>
      </c>
      <c r="I1779">
        <f t="shared" si="54"/>
        <v>0</v>
      </c>
      <c r="J1779" t="str">
        <f t="shared" si="55"/>
        <v>Complete</v>
      </c>
      <c r="K1779">
        <f>COUNTIFS(RawData[Item], B1779,RawData[Quantity],C1779,RawData[Price Per Unit],D1779,RawData[Total Spent],E1779,RawData[Payment Method],F1779,RawData[Location],G1779,RawData[Transaction Date],H1779)</f>
        <v>1</v>
      </c>
      <c r="L1779"/>
    </row>
    <row r="1780" spans="1:12" x14ac:dyDescent="0.3">
      <c r="A1780" t="s">
        <v>1786</v>
      </c>
      <c r="B1780" t="s">
        <v>10009</v>
      </c>
      <c r="C1780">
        <v>2</v>
      </c>
      <c r="D1780">
        <v>3</v>
      </c>
      <c r="E1780">
        <v>6</v>
      </c>
      <c r="F1780" t="s">
        <v>10020</v>
      </c>
      <c r="G1780" t="s">
        <v>10104</v>
      </c>
      <c r="H1780" s="6">
        <v>45089</v>
      </c>
      <c r="I1780">
        <f t="shared" si="54"/>
        <v>1</v>
      </c>
      <c r="J1780" t="str">
        <f t="shared" si="55"/>
        <v>Complete</v>
      </c>
      <c r="K1780">
        <f>COUNTIFS(RawData[Item], B1780,RawData[Quantity],C1780,RawData[Price Per Unit],D1780,RawData[Total Spent],E1780,RawData[Payment Method],F1780,RawData[Location],G1780,RawData[Transaction Date],H1780)</f>
        <v>1</v>
      </c>
      <c r="L1780"/>
    </row>
    <row r="1781" spans="1:12" x14ac:dyDescent="0.3">
      <c r="A1781" t="s">
        <v>1787</v>
      </c>
      <c r="B1781" t="s">
        <v>10008</v>
      </c>
      <c r="C1781">
        <v>5</v>
      </c>
      <c r="D1781">
        <v>2</v>
      </c>
      <c r="E1781">
        <v>0</v>
      </c>
      <c r="F1781" t="s">
        <v>10069</v>
      </c>
      <c r="G1781" t="s">
        <v>10021</v>
      </c>
      <c r="H1781" s="6">
        <v>44991</v>
      </c>
      <c r="I1781">
        <f t="shared" si="54"/>
        <v>0</v>
      </c>
      <c r="J1781" t="str">
        <f t="shared" si="55"/>
        <v>Complete</v>
      </c>
      <c r="K1781">
        <f>COUNTIFS(RawData[Item], B1781,RawData[Quantity],C1781,RawData[Price Per Unit],D1781,RawData[Total Spent],E1781,RawData[Payment Method],F1781,RawData[Location],G1781,RawData[Transaction Date],H1781)</f>
        <v>1</v>
      </c>
      <c r="L1781"/>
    </row>
    <row r="1782" spans="1:12" x14ac:dyDescent="0.3">
      <c r="A1782" t="s">
        <v>1788</v>
      </c>
      <c r="B1782" t="s">
        <v>10014</v>
      </c>
      <c r="C1782">
        <v>5</v>
      </c>
      <c r="D1782">
        <v>4</v>
      </c>
      <c r="E1782">
        <v>20</v>
      </c>
      <c r="F1782" t="s">
        <v>10069</v>
      </c>
      <c r="G1782" t="s">
        <v>10021</v>
      </c>
      <c r="H1782" s="6" t="s">
        <v>10112</v>
      </c>
      <c r="I1782">
        <f t="shared" si="54"/>
        <v>1</v>
      </c>
      <c r="J1782" t="str">
        <f t="shared" si="55"/>
        <v>Incomplete</v>
      </c>
      <c r="K1782">
        <f>COUNTIFS(RawData[Item], B1782,RawData[Quantity],C1782,RawData[Price Per Unit],D1782,RawData[Total Spent],E1782,RawData[Payment Method],F1782,RawData[Location],G1782,RawData[Transaction Date],H1782)</f>
        <v>1</v>
      </c>
      <c r="L1782"/>
    </row>
    <row r="1783" spans="1:12" x14ac:dyDescent="0.3">
      <c r="A1783" t="s">
        <v>1789</v>
      </c>
      <c r="B1783" t="s">
        <v>10008</v>
      </c>
      <c r="C1783">
        <v>3</v>
      </c>
      <c r="D1783">
        <v>2</v>
      </c>
      <c r="E1783">
        <v>6</v>
      </c>
      <c r="F1783" t="s">
        <v>10069</v>
      </c>
      <c r="G1783" t="s">
        <v>10102</v>
      </c>
      <c r="H1783" s="6">
        <v>44958</v>
      </c>
      <c r="I1783">
        <f t="shared" si="54"/>
        <v>0</v>
      </c>
      <c r="J1783" t="str">
        <f t="shared" si="55"/>
        <v>Complete</v>
      </c>
      <c r="K1783">
        <f>COUNTIFS(RawData[Item], B1783,RawData[Quantity],C1783,RawData[Price Per Unit],D1783,RawData[Total Spent],E1783,RawData[Payment Method],F1783,RawData[Location],G1783,RawData[Transaction Date],H1783)</f>
        <v>1</v>
      </c>
      <c r="L1783"/>
    </row>
    <row r="1784" spans="1:12" x14ac:dyDescent="0.3">
      <c r="A1784" t="s">
        <v>1790</v>
      </c>
      <c r="B1784" t="s">
        <v>10010</v>
      </c>
      <c r="C1784">
        <v>5</v>
      </c>
      <c r="D1784">
        <v>1</v>
      </c>
      <c r="E1784">
        <v>5</v>
      </c>
      <c r="F1784" t="s">
        <v>10069</v>
      </c>
      <c r="G1784" t="s">
        <v>10069</v>
      </c>
      <c r="H1784" s="6">
        <v>44946</v>
      </c>
      <c r="I1784">
        <f t="shared" si="54"/>
        <v>0</v>
      </c>
      <c r="J1784" t="str">
        <f t="shared" si="55"/>
        <v>Complete</v>
      </c>
      <c r="K1784">
        <f>COUNTIFS(RawData[Item], B1784,RawData[Quantity],C1784,RawData[Price Per Unit],D1784,RawData[Total Spent],E1784,RawData[Payment Method],F1784,RawData[Location],G1784,RawData[Transaction Date],H1784)</f>
        <v>1</v>
      </c>
      <c r="L1784"/>
    </row>
    <row r="1785" spans="1:12" x14ac:dyDescent="0.3">
      <c r="A1785" t="s">
        <v>1791</v>
      </c>
      <c r="B1785" t="s">
        <v>10014</v>
      </c>
      <c r="C1785">
        <v>1</v>
      </c>
      <c r="D1785">
        <v>4</v>
      </c>
      <c r="E1785">
        <v>4</v>
      </c>
      <c r="F1785" t="s">
        <v>10069</v>
      </c>
      <c r="G1785" t="s">
        <v>10069</v>
      </c>
      <c r="H1785" s="6">
        <v>45119</v>
      </c>
      <c r="I1785">
        <f t="shared" si="54"/>
        <v>0</v>
      </c>
      <c r="J1785" t="str">
        <f t="shared" si="55"/>
        <v>Complete</v>
      </c>
      <c r="K1785">
        <f>COUNTIFS(RawData[Item], B1785,RawData[Quantity],C1785,RawData[Price Per Unit],D1785,RawData[Total Spent],E1785,RawData[Payment Method],F1785,RawData[Location],G1785,RawData[Transaction Date],H1785)</f>
        <v>1</v>
      </c>
      <c r="L1785"/>
    </row>
    <row r="1786" spans="1:12" x14ac:dyDescent="0.3">
      <c r="A1786" t="s">
        <v>1792</v>
      </c>
      <c r="B1786" t="s">
        <v>10011</v>
      </c>
      <c r="C1786">
        <v>2</v>
      </c>
      <c r="D1786">
        <v>5</v>
      </c>
      <c r="E1786">
        <v>10</v>
      </c>
      <c r="F1786" t="s">
        <v>10018</v>
      </c>
      <c r="G1786" t="s">
        <v>10021</v>
      </c>
      <c r="H1786" s="6">
        <v>45016</v>
      </c>
      <c r="I1786">
        <f t="shared" si="54"/>
        <v>0</v>
      </c>
      <c r="J1786" t="str">
        <f t="shared" si="55"/>
        <v>Complete</v>
      </c>
      <c r="K1786">
        <f>COUNTIFS(RawData[Item], B1786,RawData[Quantity],C1786,RawData[Price Per Unit],D1786,RawData[Total Spent],E1786,RawData[Payment Method],F1786,RawData[Location],G1786,RawData[Transaction Date],H1786)</f>
        <v>1</v>
      </c>
      <c r="L1786"/>
    </row>
    <row r="1787" spans="1:12" x14ac:dyDescent="0.3">
      <c r="A1787" t="s">
        <v>1793</v>
      </c>
      <c r="B1787" t="s">
        <v>10010</v>
      </c>
      <c r="C1787">
        <v>2</v>
      </c>
      <c r="D1787">
        <v>1</v>
      </c>
      <c r="E1787">
        <v>2</v>
      </c>
      <c r="F1787" t="s">
        <v>10020</v>
      </c>
      <c r="G1787" t="s">
        <v>10021</v>
      </c>
      <c r="H1787" s="6">
        <v>45077</v>
      </c>
      <c r="I1787">
        <f t="shared" si="54"/>
        <v>0</v>
      </c>
      <c r="J1787" t="str">
        <f t="shared" si="55"/>
        <v>Complete</v>
      </c>
      <c r="K1787">
        <f>COUNTIFS(RawData[Item], B1787,RawData[Quantity],C1787,RawData[Price Per Unit],D1787,RawData[Total Spent],E1787,RawData[Payment Method],F1787,RawData[Location],G1787,RawData[Transaction Date],H1787)</f>
        <v>1</v>
      </c>
      <c r="L1787"/>
    </row>
    <row r="1788" spans="1:12" x14ac:dyDescent="0.3">
      <c r="A1788" t="s">
        <v>1794</v>
      </c>
      <c r="B1788" t="s">
        <v>10015</v>
      </c>
      <c r="C1788">
        <v>4</v>
      </c>
      <c r="D1788" t="s">
        <v>10015</v>
      </c>
      <c r="E1788">
        <v>6</v>
      </c>
      <c r="F1788" t="s">
        <v>10069</v>
      </c>
      <c r="G1788" t="s">
        <v>10069</v>
      </c>
      <c r="H1788" s="6">
        <v>45113</v>
      </c>
      <c r="I1788">
        <f t="shared" si="54"/>
        <v>2</v>
      </c>
      <c r="J1788" t="str">
        <f t="shared" si="55"/>
        <v>Complete</v>
      </c>
      <c r="K1788">
        <f>COUNTIFS(RawData[Item], B1788,RawData[Quantity],C1788,RawData[Price Per Unit],D1788,RawData[Total Spent],E1788,RawData[Payment Method],F1788,RawData[Location],G1788,RawData[Transaction Date],H1788)</f>
        <v>1</v>
      </c>
      <c r="L1788"/>
    </row>
    <row r="1789" spans="1:12" x14ac:dyDescent="0.3">
      <c r="A1789" t="s">
        <v>1795</v>
      </c>
      <c r="B1789" t="s">
        <v>10017</v>
      </c>
      <c r="C1789">
        <v>1</v>
      </c>
      <c r="D1789">
        <v>1.5</v>
      </c>
      <c r="E1789">
        <v>1.5</v>
      </c>
      <c r="F1789" t="s">
        <v>10020</v>
      </c>
      <c r="G1789" t="s">
        <v>10069</v>
      </c>
      <c r="H1789" s="6">
        <v>45179</v>
      </c>
      <c r="I1789">
        <f t="shared" si="54"/>
        <v>0</v>
      </c>
      <c r="J1789" t="str">
        <f t="shared" si="55"/>
        <v>Complete</v>
      </c>
      <c r="K1789">
        <f>COUNTIFS(RawData[Item], B1789,RawData[Quantity],C1789,RawData[Price Per Unit],D1789,RawData[Total Spent],E1789,RawData[Payment Method],F1789,RawData[Location],G1789,RawData[Transaction Date],H1789)</f>
        <v>1</v>
      </c>
      <c r="L1789"/>
    </row>
    <row r="1790" spans="1:12" x14ac:dyDescent="0.3">
      <c r="A1790" t="s">
        <v>1796</v>
      </c>
      <c r="B1790" t="s">
        <v>10011</v>
      </c>
      <c r="C1790">
        <v>4</v>
      </c>
      <c r="D1790">
        <v>5</v>
      </c>
      <c r="E1790">
        <v>0</v>
      </c>
      <c r="F1790" t="s">
        <v>10018</v>
      </c>
      <c r="G1790" t="s">
        <v>10069</v>
      </c>
      <c r="H1790" s="6">
        <v>45164</v>
      </c>
      <c r="I1790">
        <f t="shared" si="54"/>
        <v>0</v>
      </c>
      <c r="J1790" t="str">
        <f t="shared" si="55"/>
        <v>Complete</v>
      </c>
      <c r="K1790">
        <f>COUNTIFS(RawData[Item], B1790,RawData[Quantity],C1790,RawData[Price Per Unit],D1790,RawData[Total Spent],E1790,RawData[Payment Method],F1790,RawData[Location],G1790,RawData[Transaction Date],H1790)</f>
        <v>1</v>
      </c>
      <c r="L1790"/>
    </row>
    <row r="1791" spans="1:12" x14ac:dyDescent="0.3">
      <c r="A1791" t="s">
        <v>1797</v>
      </c>
      <c r="B1791" t="s">
        <v>10008</v>
      </c>
      <c r="C1791">
        <v>2</v>
      </c>
      <c r="D1791">
        <v>0</v>
      </c>
      <c r="E1791">
        <v>4</v>
      </c>
      <c r="F1791" t="s">
        <v>10018</v>
      </c>
      <c r="G1791" t="s">
        <v>10069</v>
      </c>
      <c r="H1791" s="6">
        <v>45157</v>
      </c>
      <c r="I1791">
        <f t="shared" si="54"/>
        <v>0</v>
      </c>
      <c r="J1791" t="str">
        <f t="shared" si="55"/>
        <v>Complete</v>
      </c>
      <c r="K1791">
        <f>COUNTIFS(RawData[Item], B1791,RawData[Quantity],C1791,RawData[Price Per Unit],D1791,RawData[Total Spent],E1791,RawData[Payment Method],F1791,RawData[Location],G1791,RawData[Transaction Date],H1791)</f>
        <v>1</v>
      </c>
      <c r="L1791"/>
    </row>
    <row r="1792" spans="1:12" x14ac:dyDescent="0.3">
      <c r="A1792" t="s">
        <v>1798</v>
      </c>
      <c r="B1792" t="s">
        <v>10069</v>
      </c>
      <c r="C1792">
        <v>2</v>
      </c>
      <c r="D1792">
        <v>4</v>
      </c>
      <c r="E1792">
        <v>8</v>
      </c>
      <c r="F1792" t="s">
        <v>10019</v>
      </c>
      <c r="G1792" t="s">
        <v>10102</v>
      </c>
      <c r="H1792" s="6">
        <v>45165</v>
      </c>
      <c r="I1792">
        <f t="shared" si="54"/>
        <v>0</v>
      </c>
      <c r="J1792" t="str">
        <f t="shared" si="55"/>
        <v>Complete</v>
      </c>
      <c r="K1792">
        <f>COUNTIFS(RawData[Item], B1792,RawData[Quantity],C1792,RawData[Price Per Unit],D1792,RawData[Total Spent],E1792,RawData[Payment Method],F1792,RawData[Location],G1792,RawData[Transaction Date],H1792)</f>
        <v>1</v>
      </c>
      <c r="L1792"/>
    </row>
    <row r="1793" spans="1:12" x14ac:dyDescent="0.3">
      <c r="A1793" t="s">
        <v>1799</v>
      </c>
      <c r="B1793" t="s">
        <v>10009</v>
      </c>
      <c r="C1793">
        <v>2</v>
      </c>
      <c r="D1793">
        <v>3</v>
      </c>
      <c r="E1793">
        <v>6</v>
      </c>
      <c r="F1793" t="s">
        <v>10020</v>
      </c>
      <c r="G1793" t="s">
        <v>10102</v>
      </c>
      <c r="H1793" s="6">
        <v>44968</v>
      </c>
      <c r="I1793">
        <f t="shared" si="54"/>
        <v>0</v>
      </c>
      <c r="J1793" t="str">
        <f t="shared" si="55"/>
        <v>Complete</v>
      </c>
      <c r="K1793">
        <f>COUNTIFS(RawData[Item], B1793,RawData[Quantity],C1793,RawData[Price Per Unit],D1793,RawData[Total Spent],E1793,RawData[Payment Method],F1793,RawData[Location],G1793,RawData[Transaction Date],H1793)</f>
        <v>1</v>
      </c>
      <c r="L1793"/>
    </row>
    <row r="1794" spans="1:12" x14ac:dyDescent="0.3">
      <c r="A1794" t="s">
        <v>1800</v>
      </c>
      <c r="B1794" t="s">
        <v>10015</v>
      </c>
      <c r="C1794">
        <v>3</v>
      </c>
      <c r="D1794">
        <v>1.5</v>
      </c>
      <c r="E1794">
        <v>4.5</v>
      </c>
      <c r="F1794" t="s">
        <v>10019</v>
      </c>
      <c r="G1794" t="s">
        <v>10069</v>
      </c>
      <c r="H1794" s="6">
        <v>45068</v>
      </c>
      <c r="I1794">
        <f t="shared" ref="I1794:I1857" si="56">(B1794="Unknown")+(B1794="Error")+(C1794="Unknown")+(C1794="Error")+(D1794="Unknown")+(D1794="Error")+(E1794="Unknown")+(E1794="Error")+(F1794="Unknown")+(F1794="Error")+(G1794="Unknown")+(G1794="Error")+(H1794="No Date")</f>
        <v>1</v>
      </c>
      <c r="J1794" t="str">
        <f t="shared" ref="J1794:J1857" si="57">IF((H1794="No Date"),"Incomplete","Complete")</f>
        <v>Complete</v>
      </c>
      <c r="K1794">
        <f>COUNTIFS(RawData[Item], B1794,RawData[Quantity],C1794,RawData[Price Per Unit],D1794,RawData[Total Spent],E1794,RawData[Payment Method],F1794,RawData[Location],G1794,RawData[Transaction Date],H1794)</f>
        <v>1</v>
      </c>
      <c r="L1794"/>
    </row>
    <row r="1795" spans="1:12" x14ac:dyDescent="0.3">
      <c r="A1795" t="s">
        <v>1801</v>
      </c>
      <c r="B1795" t="s">
        <v>10017</v>
      </c>
      <c r="C1795">
        <v>5</v>
      </c>
      <c r="D1795">
        <v>1.5</v>
      </c>
      <c r="E1795">
        <v>7.5</v>
      </c>
      <c r="F1795" t="s">
        <v>10069</v>
      </c>
      <c r="G1795" t="s">
        <v>10102</v>
      </c>
      <c r="H1795" s="6">
        <v>44951</v>
      </c>
      <c r="I1795">
        <f t="shared" si="56"/>
        <v>0</v>
      </c>
      <c r="J1795" t="str">
        <f t="shared" si="57"/>
        <v>Complete</v>
      </c>
      <c r="K1795">
        <f>COUNTIFS(RawData[Item], B1795,RawData[Quantity],C1795,RawData[Price Per Unit],D1795,RawData[Total Spent],E1795,RawData[Payment Method],F1795,RawData[Location],G1795,RawData[Transaction Date],H1795)</f>
        <v>1</v>
      </c>
      <c r="L1795"/>
    </row>
    <row r="1796" spans="1:12" x14ac:dyDescent="0.3">
      <c r="A1796" t="s">
        <v>1802</v>
      </c>
      <c r="B1796" t="s">
        <v>10016</v>
      </c>
      <c r="C1796">
        <v>1</v>
      </c>
      <c r="D1796">
        <v>3</v>
      </c>
      <c r="E1796">
        <v>3</v>
      </c>
      <c r="F1796" t="s">
        <v>10019</v>
      </c>
      <c r="G1796" t="s">
        <v>10102</v>
      </c>
      <c r="H1796" s="6">
        <v>44936</v>
      </c>
      <c r="I1796">
        <f t="shared" si="56"/>
        <v>0</v>
      </c>
      <c r="J1796" t="str">
        <f t="shared" si="57"/>
        <v>Complete</v>
      </c>
      <c r="K1796">
        <f>COUNTIFS(RawData[Item], B1796,RawData[Quantity],C1796,RawData[Price Per Unit],D1796,RawData[Total Spent],E1796,RawData[Payment Method],F1796,RawData[Location],G1796,RawData[Transaction Date],H1796)</f>
        <v>1</v>
      </c>
      <c r="L1796"/>
    </row>
    <row r="1797" spans="1:12" x14ac:dyDescent="0.3">
      <c r="A1797" t="s">
        <v>1803</v>
      </c>
      <c r="B1797" t="s">
        <v>10010</v>
      </c>
      <c r="C1797">
        <v>1</v>
      </c>
      <c r="D1797">
        <v>1</v>
      </c>
      <c r="E1797">
        <v>1</v>
      </c>
      <c r="F1797" t="s">
        <v>10018</v>
      </c>
      <c r="G1797" t="s">
        <v>10069</v>
      </c>
      <c r="H1797" s="6">
        <v>45245</v>
      </c>
      <c r="I1797">
        <f t="shared" si="56"/>
        <v>0</v>
      </c>
      <c r="J1797" t="str">
        <f t="shared" si="57"/>
        <v>Complete</v>
      </c>
      <c r="K1797">
        <f>COUNTIFS(RawData[Item], B1797,RawData[Quantity],C1797,RawData[Price Per Unit],D1797,RawData[Total Spent],E1797,RawData[Payment Method],F1797,RawData[Location],G1797,RawData[Transaction Date],H1797)</f>
        <v>1</v>
      </c>
      <c r="L1797"/>
    </row>
    <row r="1798" spans="1:12" x14ac:dyDescent="0.3">
      <c r="A1798" t="s">
        <v>1804</v>
      </c>
      <c r="B1798" t="s">
        <v>10069</v>
      </c>
      <c r="C1798">
        <v>2</v>
      </c>
      <c r="D1798">
        <v>4</v>
      </c>
      <c r="E1798">
        <v>8</v>
      </c>
      <c r="F1798" t="s">
        <v>10020</v>
      </c>
      <c r="G1798" t="s">
        <v>10021</v>
      </c>
      <c r="H1798" s="6">
        <v>44976</v>
      </c>
      <c r="I1798">
        <f t="shared" si="56"/>
        <v>0</v>
      </c>
      <c r="J1798" t="str">
        <f t="shared" si="57"/>
        <v>Complete</v>
      </c>
      <c r="K1798">
        <f>COUNTIFS(RawData[Item], B1798,RawData[Quantity],C1798,RawData[Price Per Unit],D1798,RawData[Total Spent],E1798,RawData[Payment Method],F1798,RawData[Location],G1798,RawData[Transaction Date],H1798)</f>
        <v>1</v>
      </c>
      <c r="L1798"/>
    </row>
    <row r="1799" spans="1:12" x14ac:dyDescent="0.3">
      <c r="A1799" t="s">
        <v>1805</v>
      </c>
      <c r="B1799" t="s">
        <v>10012</v>
      </c>
      <c r="C1799">
        <v>5</v>
      </c>
      <c r="D1799">
        <v>4</v>
      </c>
      <c r="E1799">
        <v>20</v>
      </c>
      <c r="F1799" t="s">
        <v>10020</v>
      </c>
      <c r="G1799" t="s">
        <v>10021</v>
      </c>
      <c r="H1799" s="6">
        <v>45002</v>
      </c>
      <c r="I1799">
        <f t="shared" si="56"/>
        <v>0</v>
      </c>
      <c r="J1799" t="str">
        <f t="shared" si="57"/>
        <v>Complete</v>
      </c>
      <c r="K1799">
        <f>COUNTIFS(RawData[Item], B1799,RawData[Quantity],C1799,RawData[Price Per Unit],D1799,RawData[Total Spent],E1799,RawData[Payment Method],F1799,RawData[Location],G1799,RawData[Transaction Date],H1799)</f>
        <v>1</v>
      </c>
      <c r="L1799"/>
    </row>
    <row r="1800" spans="1:12" x14ac:dyDescent="0.3">
      <c r="A1800" t="s">
        <v>1806</v>
      </c>
      <c r="B1800" t="s">
        <v>10010</v>
      </c>
      <c r="C1800">
        <v>4</v>
      </c>
      <c r="D1800">
        <v>1</v>
      </c>
      <c r="E1800">
        <v>4</v>
      </c>
      <c r="F1800" t="s">
        <v>10019</v>
      </c>
      <c r="G1800" t="s">
        <v>10021</v>
      </c>
      <c r="H1800" s="6">
        <v>45085</v>
      </c>
      <c r="I1800">
        <f t="shared" si="56"/>
        <v>0</v>
      </c>
      <c r="J1800" t="str">
        <f t="shared" si="57"/>
        <v>Complete</v>
      </c>
      <c r="K1800">
        <f>COUNTIFS(RawData[Item], B1800,RawData[Quantity],C1800,RawData[Price Per Unit],D1800,RawData[Total Spent],E1800,RawData[Payment Method],F1800,RawData[Location],G1800,RawData[Transaction Date],H1800)</f>
        <v>1</v>
      </c>
      <c r="L1800"/>
    </row>
    <row r="1801" spans="1:12" x14ac:dyDescent="0.3">
      <c r="A1801" t="s">
        <v>1807</v>
      </c>
      <c r="B1801" t="s">
        <v>10011</v>
      </c>
      <c r="C1801">
        <v>5</v>
      </c>
      <c r="D1801">
        <v>5</v>
      </c>
      <c r="E1801" t="s">
        <v>10015</v>
      </c>
      <c r="F1801" t="s">
        <v>10019</v>
      </c>
      <c r="G1801" t="s">
        <v>10102</v>
      </c>
      <c r="H1801" s="6">
        <v>45270</v>
      </c>
      <c r="I1801">
        <f t="shared" si="56"/>
        <v>1</v>
      </c>
      <c r="J1801" t="str">
        <f t="shared" si="57"/>
        <v>Complete</v>
      </c>
      <c r="K1801">
        <f>COUNTIFS(RawData[Item], B1801,RawData[Quantity],C1801,RawData[Price Per Unit],D1801,RawData[Total Spent],E1801,RawData[Payment Method],F1801,RawData[Location],G1801,RawData[Transaction Date],H1801)</f>
        <v>1</v>
      </c>
      <c r="L1801"/>
    </row>
    <row r="1802" spans="1:12" x14ac:dyDescent="0.3">
      <c r="A1802" t="s">
        <v>1808</v>
      </c>
      <c r="B1802" t="s">
        <v>10010</v>
      </c>
      <c r="C1802">
        <v>5</v>
      </c>
      <c r="D1802">
        <v>1</v>
      </c>
      <c r="E1802">
        <v>5</v>
      </c>
      <c r="F1802" t="s">
        <v>10019</v>
      </c>
      <c r="G1802" t="s">
        <v>10102</v>
      </c>
      <c r="H1802" s="6">
        <v>45003</v>
      </c>
      <c r="I1802">
        <f t="shared" si="56"/>
        <v>0</v>
      </c>
      <c r="J1802" t="str">
        <f t="shared" si="57"/>
        <v>Complete</v>
      </c>
      <c r="K1802">
        <f>COUNTIFS(RawData[Item], B1802,RawData[Quantity],C1802,RawData[Price Per Unit],D1802,RawData[Total Spent],E1802,RawData[Payment Method],F1802,RawData[Location],G1802,RawData[Transaction Date],H1802)</f>
        <v>1</v>
      </c>
      <c r="L1802"/>
    </row>
    <row r="1803" spans="1:12" x14ac:dyDescent="0.3">
      <c r="A1803" t="s">
        <v>1809</v>
      </c>
      <c r="B1803" t="s">
        <v>10011</v>
      </c>
      <c r="C1803">
        <v>1</v>
      </c>
      <c r="D1803">
        <v>5</v>
      </c>
      <c r="E1803">
        <v>5</v>
      </c>
      <c r="F1803" t="s">
        <v>10018</v>
      </c>
      <c r="G1803" t="s">
        <v>10069</v>
      </c>
      <c r="H1803" s="6">
        <v>45245</v>
      </c>
      <c r="I1803">
        <f t="shared" si="56"/>
        <v>0</v>
      </c>
      <c r="J1803" t="str">
        <f t="shared" si="57"/>
        <v>Complete</v>
      </c>
      <c r="K1803">
        <f>COUNTIFS(RawData[Item], B1803,RawData[Quantity],C1803,RawData[Price Per Unit],D1803,RawData[Total Spent],E1803,RawData[Payment Method],F1803,RawData[Location],G1803,RawData[Transaction Date],H1803)</f>
        <v>1</v>
      </c>
      <c r="L1803"/>
    </row>
    <row r="1804" spans="1:12" x14ac:dyDescent="0.3">
      <c r="A1804" t="s">
        <v>1810</v>
      </c>
      <c r="B1804" t="s">
        <v>10011</v>
      </c>
      <c r="C1804">
        <v>4</v>
      </c>
      <c r="D1804">
        <v>5</v>
      </c>
      <c r="E1804">
        <v>20</v>
      </c>
      <c r="F1804" t="s">
        <v>10018</v>
      </c>
      <c r="G1804" t="s">
        <v>10069</v>
      </c>
      <c r="H1804" s="6">
        <v>44980</v>
      </c>
      <c r="I1804">
        <f t="shared" si="56"/>
        <v>0</v>
      </c>
      <c r="J1804" t="str">
        <f t="shared" si="57"/>
        <v>Complete</v>
      </c>
      <c r="K1804">
        <f>COUNTIFS(RawData[Item], B1804,RawData[Quantity],C1804,RawData[Price Per Unit],D1804,RawData[Total Spent],E1804,RawData[Payment Method],F1804,RawData[Location],G1804,RawData[Transaction Date],H1804)</f>
        <v>1</v>
      </c>
      <c r="L1804"/>
    </row>
    <row r="1805" spans="1:12" x14ac:dyDescent="0.3">
      <c r="A1805" t="s">
        <v>1811</v>
      </c>
      <c r="B1805" t="s">
        <v>10015</v>
      </c>
      <c r="C1805">
        <v>3</v>
      </c>
      <c r="D1805">
        <v>3</v>
      </c>
      <c r="E1805">
        <v>9</v>
      </c>
      <c r="F1805" t="s">
        <v>10020</v>
      </c>
      <c r="G1805" t="s">
        <v>10021</v>
      </c>
      <c r="H1805" s="6">
        <v>44990</v>
      </c>
      <c r="I1805">
        <f t="shared" si="56"/>
        <v>1</v>
      </c>
      <c r="J1805" t="str">
        <f t="shared" si="57"/>
        <v>Complete</v>
      </c>
      <c r="K1805">
        <f>COUNTIFS(RawData[Item], B1805,RawData[Quantity],C1805,RawData[Price Per Unit],D1805,RawData[Total Spent],E1805,RawData[Payment Method],F1805,RawData[Location],G1805,RawData[Transaction Date],H1805)</f>
        <v>1</v>
      </c>
      <c r="L1805"/>
    </row>
    <row r="1806" spans="1:12" x14ac:dyDescent="0.3">
      <c r="A1806" t="s">
        <v>1812</v>
      </c>
      <c r="B1806" t="s">
        <v>10010</v>
      </c>
      <c r="C1806">
        <v>2</v>
      </c>
      <c r="D1806">
        <v>1</v>
      </c>
      <c r="E1806">
        <v>2</v>
      </c>
      <c r="F1806" t="s">
        <v>10069</v>
      </c>
      <c r="G1806" t="s">
        <v>10069</v>
      </c>
      <c r="H1806" s="6">
        <v>45216</v>
      </c>
      <c r="I1806">
        <f t="shared" si="56"/>
        <v>0</v>
      </c>
      <c r="J1806" t="str">
        <f t="shared" si="57"/>
        <v>Complete</v>
      </c>
      <c r="K1806">
        <f>COUNTIFS(RawData[Item], B1806,RawData[Quantity],C1806,RawData[Price Per Unit],D1806,RawData[Total Spent],E1806,RawData[Payment Method],F1806,RawData[Location],G1806,RawData[Transaction Date],H1806)</f>
        <v>1</v>
      </c>
      <c r="L1806"/>
    </row>
    <row r="1807" spans="1:12" x14ac:dyDescent="0.3">
      <c r="A1807" t="s">
        <v>1813</v>
      </c>
      <c r="B1807" t="s">
        <v>10008</v>
      </c>
      <c r="C1807">
        <v>1</v>
      </c>
      <c r="D1807">
        <v>2</v>
      </c>
      <c r="E1807">
        <v>2</v>
      </c>
      <c r="F1807" t="s">
        <v>10018</v>
      </c>
      <c r="G1807" t="s">
        <v>10021</v>
      </c>
      <c r="H1807" s="6">
        <v>44967</v>
      </c>
      <c r="I1807">
        <f t="shared" si="56"/>
        <v>0</v>
      </c>
      <c r="J1807" t="str">
        <f t="shared" si="57"/>
        <v>Complete</v>
      </c>
      <c r="K1807">
        <f>COUNTIFS(RawData[Item], B1807,RawData[Quantity],C1807,RawData[Price Per Unit],D1807,RawData[Total Spent],E1807,RawData[Payment Method],F1807,RawData[Location],G1807,RawData[Transaction Date],H1807)</f>
        <v>1</v>
      </c>
      <c r="L1807"/>
    </row>
    <row r="1808" spans="1:12" x14ac:dyDescent="0.3">
      <c r="A1808" t="s">
        <v>1814</v>
      </c>
      <c r="B1808" t="s">
        <v>10014</v>
      </c>
      <c r="C1808">
        <v>5</v>
      </c>
      <c r="D1808">
        <v>4</v>
      </c>
      <c r="E1808">
        <v>20</v>
      </c>
      <c r="F1808" t="s">
        <v>10019</v>
      </c>
      <c r="G1808" t="s">
        <v>10102</v>
      </c>
      <c r="H1808" s="6">
        <v>44927</v>
      </c>
      <c r="I1808">
        <f t="shared" si="56"/>
        <v>0</v>
      </c>
      <c r="J1808" t="str">
        <f t="shared" si="57"/>
        <v>Complete</v>
      </c>
      <c r="K1808">
        <f>COUNTIFS(RawData[Item], B1808,RawData[Quantity],C1808,RawData[Price Per Unit],D1808,RawData[Total Spent],E1808,RawData[Payment Method],F1808,RawData[Location],G1808,RawData[Transaction Date],H1808)</f>
        <v>1</v>
      </c>
      <c r="L1808"/>
    </row>
    <row r="1809" spans="1:12" x14ac:dyDescent="0.3">
      <c r="A1809" t="s">
        <v>1815</v>
      </c>
      <c r="B1809" t="s">
        <v>10009</v>
      </c>
      <c r="C1809">
        <v>4</v>
      </c>
      <c r="D1809">
        <v>3</v>
      </c>
      <c r="E1809">
        <v>12</v>
      </c>
      <c r="F1809" t="s">
        <v>10019</v>
      </c>
      <c r="G1809" t="s">
        <v>10102</v>
      </c>
      <c r="H1809" s="6">
        <v>45124</v>
      </c>
      <c r="I1809">
        <f t="shared" si="56"/>
        <v>0</v>
      </c>
      <c r="J1809" t="str">
        <f t="shared" si="57"/>
        <v>Complete</v>
      </c>
      <c r="K1809">
        <f>COUNTIFS(RawData[Item], B1809,RawData[Quantity],C1809,RawData[Price Per Unit],D1809,RawData[Total Spent],E1809,RawData[Payment Method],F1809,RawData[Location],G1809,RawData[Transaction Date],H1809)</f>
        <v>1</v>
      </c>
      <c r="L1809"/>
    </row>
    <row r="1810" spans="1:12" x14ac:dyDescent="0.3">
      <c r="A1810" t="s">
        <v>1816</v>
      </c>
      <c r="B1810" t="s">
        <v>10069</v>
      </c>
      <c r="C1810">
        <v>4</v>
      </c>
      <c r="D1810">
        <v>2</v>
      </c>
      <c r="E1810">
        <v>8</v>
      </c>
      <c r="F1810" t="s">
        <v>10019</v>
      </c>
      <c r="G1810" t="s">
        <v>10021</v>
      </c>
      <c r="H1810" s="6">
        <v>45015</v>
      </c>
      <c r="I1810">
        <f t="shared" si="56"/>
        <v>0</v>
      </c>
      <c r="J1810" t="str">
        <f t="shared" si="57"/>
        <v>Complete</v>
      </c>
      <c r="K1810">
        <f>COUNTIFS(RawData[Item], B1810,RawData[Quantity],C1810,RawData[Price Per Unit],D1810,RawData[Total Spent],E1810,RawData[Payment Method],F1810,RawData[Location],G1810,RawData[Transaction Date],H1810)</f>
        <v>1</v>
      </c>
      <c r="L1810"/>
    </row>
    <row r="1811" spans="1:12" x14ac:dyDescent="0.3">
      <c r="A1811" t="s">
        <v>1817</v>
      </c>
      <c r="B1811" t="s">
        <v>10014</v>
      </c>
      <c r="C1811">
        <v>1</v>
      </c>
      <c r="D1811">
        <v>4</v>
      </c>
      <c r="E1811">
        <v>4</v>
      </c>
      <c r="F1811" t="s">
        <v>10019</v>
      </c>
      <c r="G1811" t="s">
        <v>10103</v>
      </c>
      <c r="H1811" s="6">
        <v>45096</v>
      </c>
      <c r="I1811">
        <f t="shared" si="56"/>
        <v>1</v>
      </c>
      <c r="J1811" t="str">
        <f t="shared" si="57"/>
        <v>Complete</v>
      </c>
      <c r="K1811">
        <f>COUNTIFS(RawData[Item], B1811,RawData[Quantity],C1811,RawData[Price Per Unit],D1811,RawData[Total Spent],E1811,RawData[Payment Method],F1811,RawData[Location],G1811,RawData[Transaction Date],H1811)</f>
        <v>1</v>
      </c>
      <c r="L1811"/>
    </row>
    <row r="1812" spans="1:12" x14ac:dyDescent="0.3">
      <c r="A1812" t="s">
        <v>1818</v>
      </c>
      <c r="B1812" t="s">
        <v>10010</v>
      </c>
      <c r="C1812">
        <v>2</v>
      </c>
      <c r="D1812">
        <v>1</v>
      </c>
      <c r="E1812">
        <v>2</v>
      </c>
      <c r="F1812" t="s">
        <v>10020</v>
      </c>
      <c r="G1812" t="s">
        <v>10021</v>
      </c>
      <c r="H1812" s="6">
        <v>45189</v>
      </c>
      <c r="I1812">
        <f t="shared" si="56"/>
        <v>0</v>
      </c>
      <c r="J1812" t="str">
        <f t="shared" si="57"/>
        <v>Complete</v>
      </c>
      <c r="K1812">
        <f>COUNTIFS(RawData[Item], B1812,RawData[Quantity],C1812,RawData[Price Per Unit],D1812,RawData[Total Spent],E1812,RawData[Payment Method],F1812,RawData[Location],G1812,RawData[Transaction Date],H1812)</f>
        <v>1</v>
      </c>
      <c r="L1812"/>
    </row>
    <row r="1813" spans="1:12" x14ac:dyDescent="0.3">
      <c r="A1813" t="s">
        <v>1819</v>
      </c>
      <c r="B1813" t="s">
        <v>10017</v>
      </c>
      <c r="C1813" t="s">
        <v>10013</v>
      </c>
      <c r="D1813">
        <v>1.5</v>
      </c>
      <c r="E1813">
        <v>3</v>
      </c>
      <c r="F1813" t="s">
        <v>10020</v>
      </c>
      <c r="G1813" t="s">
        <v>10102</v>
      </c>
      <c r="H1813" s="6">
        <v>44978</v>
      </c>
      <c r="I1813">
        <f t="shared" si="56"/>
        <v>1</v>
      </c>
      <c r="J1813" t="str">
        <f t="shared" si="57"/>
        <v>Complete</v>
      </c>
      <c r="K1813">
        <f>COUNTIFS(RawData[Item], B1813,RawData[Quantity],C1813,RawData[Price Per Unit],D1813,RawData[Total Spent],E1813,RawData[Payment Method],F1813,RawData[Location],G1813,RawData[Transaction Date],H1813)</f>
        <v>1</v>
      </c>
      <c r="L1813"/>
    </row>
    <row r="1814" spans="1:12" x14ac:dyDescent="0.3">
      <c r="A1814" t="s">
        <v>1820</v>
      </c>
      <c r="B1814" t="s">
        <v>10012</v>
      </c>
      <c r="C1814">
        <v>3</v>
      </c>
      <c r="D1814">
        <v>4</v>
      </c>
      <c r="E1814">
        <v>12</v>
      </c>
      <c r="F1814" t="s">
        <v>10018</v>
      </c>
      <c r="G1814" t="s">
        <v>10102</v>
      </c>
      <c r="H1814" s="6">
        <v>45203</v>
      </c>
      <c r="I1814">
        <f t="shared" si="56"/>
        <v>0</v>
      </c>
      <c r="J1814" t="str">
        <f t="shared" si="57"/>
        <v>Complete</v>
      </c>
      <c r="K1814">
        <f>COUNTIFS(RawData[Item], B1814,RawData[Quantity],C1814,RawData[Price Per Unit],D1814,RawData[Total Spent],E1814,RawData[Payment Method],F1814,RawData[Location],G1814,RawData[Transaction Date],H1814)</f>
        <v>1</v>
      </c>
      <c r="L1814"/>
    </row>
    <row r="1815" spans="1:12" x14ac:dyDescent="0.3">
      <c r="A1815" t="s">
        <v>1821</v>
      </c>
      <c r="B1815" t="s">
        <v>10009</v>
      </c>
      <c r="C1815">
        <v>5</v>
      </c>
      <c r="D1815">
        <v>3</v>
      </c>
      <c r="E1815">
        <v>15</v>
      </c>
      <c r="F1815" t="s">
        <v>10019</v>
      </c>
      <c r="G1815" t="s">
        <v>10069</v>
      </c>
      <c r="H1815" s="6">
        <v>45188</v>
      </c>
      <c r="I1815">
        <f t="shared" si="56"/>
        <v>0</v>
      </c>
      <c r="J1815" t="str">
        <f t="shared" si="57"/>
        <v>Complete</v>
      </c>
      <c r="K1815">
        <f>COUNTIFS(RawData[Item], B1815,RawData[Quantity],C1815,RawData[Price Per Unit],D1815,RawData[Total Spent],E1815,RawData[Payment Method],F1815,RawData[Location],G1815,RawData[Transaction Date],H1815)</f>
        <v>1</v>
      </c>
      <c r="L1815"/>
    </row>
    <row r="1816" spans="1:12" x14ac:dyDescent="0.3">
      <c r="A1816" t="s">
        <v>1822</v>
      </c>
      <c r="B1816" t="s">
        <v>10011</v>
      </c>
      <c r="C1816">
        <v>5</v>
      </c>
      <c r="D1816">
        <v>5</v>
      </c>
      <c r="E1816">
        <v>25</v>
      </c>
      <c r="F1816" t="s">
        <v>10018</v>
      </c>
      <c r="G1816" t="s">
        <v>10102</v>
      </c>
      <c r="H1816" s="6">
        <v>45268</v>
      </c>
      <c r="I1816">
        <f t="shared" si="56"/>
        <v>0</v>
      </c>
      <c r="J1816" t="str">
        <f t="shared" si="57"/>
        <v>Complete</v>
      </c>
      <c r="K1816">
        <f>COUNTIFS(RawData[Item], B1816,RawData[Quantity],C1816,RawData[Price Per Unit],D1816,RawData[Total Spent],E1816,RawData[Payment Method],F1816,RawData[Location],G1816,RawData[Transaction Date],H1816)</f>
        <v>1</v>
      </c>
      <c r="L1816"/>
    </row>
    <row r="1817" spans="1:12" x14ac:dyDescent="0.3">
      <c r="A1817" t="s">
        <v>1823</v>
      </c>
      <c r="B1817" t="s">
        <v>10012</v>
      </c>
      <c r="C1817">
        <v>3</v>
      </c>
      <c r="D1817">
        <v>4</v>
      </c>
      <c r="E1817">
        <v>12</v>
      </c>
      <c r="F1817" t="s">
        <v>10020</v>
      </c>
      <c r="G1817" t="s">
        <v>10102</v>
      </c>
      <c r="H1817" s="6">
        <v>45180</v>
      </c>
      <c r="I1817">
        <f t="shared" si="56"/>
        <v>0</v>
      </c>
      <c r="J1817" t="str">
        <f t="shared" si="57"/>
        <v>Complete</v>
      </c>
      <c r="K1817">
        <f>COUNTIFS(RawData[Item], B1817,RawData[Quantity],C1817,RawData[Price Per Unit],D1817,RawData[Total Spent],E1817,RawData[Payment Method],F1817,RawData[Location],G1817,RawData[Transaction Date],H1817)</f>
        <v>1</v>
      </c>
      <c r="L1817"/>
    </row>
    <row r="1818" spans="1:12" x14ac:dyDescent="0.3">
      <c r="A1818" t="s">
        <v>1824</v>
      </c>
      <c r="B1818" t="s">
        <v>10012</v>
      </c>
      <c r="C1818">
        <v>1</v>
      </c>
      <c r="D1818">
        <v>4</v>
      </c>
      <c r="E1818">
        <v>4</v>
      </c>
      <c r="F1818" t="s">
        <v>10069</v>
      </c>
      <c r="G1818" t="s">
        <v>10102</v>
      </c>
      <c r="H1818" s="6">
        <v>45048</v>
      </c>
      <c r="I1818">
        <f t="shared" si="56"/>
        <v>0</v>
      </c>
      <c r="J1818" t="str">
        <f t="shared" si="57"/>
        <v>Complete</v>
      </c>
      <c r="K1818">
        <f>COUNTIFS(RawData[Item], B1818,RawData[Quantity],C1818,RawData[Price Per Unit],D1818,RawData[Total Spent],E1818,RawData[Payment Method],F1818,RawData[Location],G1818,RawData[Transaction Date],H1818)</f>
        <v>1</v>
      </c>
      <c r="L1818"/>
    </row>
    <row r="1819" spans="1:12" x14ac:dyDescent="0.3">
      <c r="A1819" t="s">
        <v>1825</v>
      </c>
      <c r="B1819" t="s">
        <v>10012</v>
      </c>
      <c r="C1819">
        <v>4</v>
      </c>
      <c r="D1819">
        <v>4</v>
      </c>
      <c r="E1819">
        <v>0</v>
      </c>
      <c r="F1819" t="s">
        <v>10018</v>
      </c>
      <c r="G1819" t="s">
        <v>10069</v>
      </c>
      <c r="H1819" s="6">
        <v>44967</v>
      </c>
      <c r="I1819">
        <f t="shared" si="56"/>
        <v>0</v>
      </c>
      <c r="J1819" t="str">
        <f t="shared" si="57"/>
        <v>Complete</v>
      </c>
      <c r="K1819">
        <f>COUNTIFS(RawData[Item], B1819,RawData[Quantity],C1819,RawData[Price Per Unit],D1819,RawData[Total Spent],E1819,RawData[Payment Method],F1819,RawData[Location],G1819,RawData[Transaction Date],H1819)</f>
        <v>1</v>
      </c>
      <c r="L1819"/>
    </row>
    <row r="1820" spans="1:12" x14ac:dyDescent="0.3">
      <c r="A1820" t="s">
        <v>1826</v>
      </c>
      <c r="B1820" t="s">
        <v>10009</v>
      </c>
      <c r="C1820">
        <v>5</v>
      </c>
      <c r="D1820">
        <v>3</v>
      </c>
      <c r="E1820">
        <v>15</v>
      </c>
      <c r="F1820" t="s">
        <v>10020</v>
      </c>
      <c r="G1820" t="s">
        <v>10102</v>
      </c>
      <c r="H1820" s="6">
        <v>45036</v>
      </c>
      <c r="I1820">
        <f t="shared" si="56"/>
        <v>0</v>
      </c>
      <c r="J1820" t="str">
        <f t="shared" si="57"/>
        <v>Complete</v>
      </c>
      <c r="K1820">
        <f>COUNTIFS(RawData[Item], B1820,RawData[Quantity],C1820,RawData[Price Per Unit],D1820,RawData[Total Spent],E1820,RawData[Payment Method],F1820,RawData[Location],G1820,RawData[Transaction Date],H1820)</f>
        <v>1</v>
      </c>
      <c r="L1820"/>
    </row>
    <row r="1821" spans="1:12" x14ac:dyDescent="0.3">
      <c r="A1821" t="s">
        <v>1827</v>
      </c>
      <c r="B1821" t="s">
        <v>10009</v>
      </c>
      <c r="C1821">
        <v>5</v>
      </c>
      <c r="D1821">
        <v>3</v>
      </c>
      <c r="E1821">
        <v>15</v>
      </c>
      <c r="F1821" t="s">
        <v>10019</v>
      </c>
      <c r="G1821" t="s">
        <v>10069</v>
      </c>
      <c r="H1821" s="6">
        <v>45112</v>
      </c>
      <c r="I1821">
        <f t="shared" si="56"/>
        <v>0</v>
      </c>
      <c r="J1821" t="str">
        <f t="shared" si="57"/>
        <v>Complete</v>
      </c>
      <c r="K1821">
        <f>COUNTIFS(RawData[Item], B1821,RawData[Quantity],C1821,RawData[Price Per Unit],D1821,RawData[Total Spent],E1821,RawData[Payment Method],F1821,RawData[Location],G1821,RawData[Transaction Date],H1821)</f>
        <v>1</v>
      </c>
      <c r="L1821"/>
    </row>
    <row r="1822" spans="1:12" x14ac:dyDescent="0.3">
      <c r="A1822" t="s">
        <v>1828</v>
      </c>
      <c r="B1822" t="s">
        <v>10016</v>
      </c>
      <c r="C1822">
        <v>3</v>
      </c>
      <c r="D1822">
        <v>3</v>
      </c>
      <c r="E1822">
        <v>9</v>
      </c>
      <c r="F1822" t="s">
        <v>10018</v>
      </c>
      <c r="G1822" t="s">
        <v>10069</v>
      </c>
      <c r="H1822" s="6">
        <v>45138</v>
      </c>
      <c r="I1822">
        <f t="shared" si="56"/>
        <v>0</v>
      </c>
      <c r="J1822" t="str">
        <f t="shared" si="57"/>
        <v>Complete</v>
      </c>
      <c r="K1822">
        <f>COUNTIFS(RawData[Item], B1822,RawData[Quantity],C1822,RawData[Price Per Unit],D1822,RawData[Total Spent],E1822,RawData[Payment Method],F1822,RawData[Location],G1822,RawData[Transaction Date],H1822)</f>
        <v>1</v>
      </c>
      <c r="L1822"/>
    </row>
    <row r="1823" spans="1:12" x14ac:dyDescent="0.3">
      <c r="A1823" t="s">
        <v>1829</v>
      </c>
      <c r="B1823" t="s">
        <v>10009</v>
      </c>
      <c r="C1823">
        <v>0</v>
      </c>
      <c r="D1823">
        <v>3</v>
      </c>
      <c r="E1823">
        <v>9</v>
      </c>
      <c r="F1823" t="s">
        <v>10019</v>
      </c>
      <c r="G1823" t="s">
        <v>10104</v>
      </c>
      <c r="H1823" s="6">
        <v>45263</v>
      </c>
      <c r="I1823">
        <f t="shared" si="56"/>
        <v>1</v>
      </c>
      <c r="J1823" t="str">
        <f t="shared" si="57"/>
        <v>Complete</v>
      </c>
      <c r="K1823">
        <f>COUNTIFS(RawData[Item], B1823,RawData[Quantity],C1823,RawData[Price Per Unit],D1823,RawData[Total Spent],E1823,RawData[Payment Method],F1823,RawData[Location],G1823,RawData[Transaction Date],H1823)</f>
        <v>1</v>
      </c>
      <c r="L1823"/>
    </row>
    <row r="1824" spans="1:12" x14ac:dyDescent="0.3">
      <c r="A1824" t="s">
        <v>1830</v>
      </c>
      <c r="B1824" t="s">
        <v>10014</v>
      </c>
      <c r="C1824">
        <v>1</v>
      </c>
      <c r="D1824">
        <v>4</v>
      </c>
      <c r="E1824">
        <v>4</v>
      </c>
      <c r="F1824" t="s">
        <v>10018</v>
      </c>
      <c r="G1824" t="s">
        <v>10069</v>
      </c>
      <c r="H1824" s="6">
        <v>45066</v>
      </c>
      <c r="I1824">
        <f t="shared" si="56"/>
        <v>0</v>
      </c>
      <c r="J1824" t="str">
        <f t="shared" si="57"/>
        <v>Complete</v>
      </c>
      <c r="K1824">
        <f>COUNTIFS(RawData[Item], B1824,RawData[Quantity],C1824,RawData[Price Per Unit],D1824,RawData[Total Spent],E1824,RawData[Payment Method],F1824,RawData[Location],G1824,RawData[Transaction Date],H1824)</f>
        <v>1</v>
      </c>
      <c r="L1824"/>
    </row>
    <row r="1825" spans="1:12" x14ac:dyDescent="0.3">
      <c r="A1825" t="s">
        <v>1831</v>
      </c>
      <c r="B1825" t="s">
        <v>10012</v>
      </c>
      <c r="C1825">
        <v>5</v>
      </c>
      <c r="D1825">
        <v>4</v>
      </c>
      <c r="E1825">
        <v>20</v>
      </c>
      <c r="F1825" t="s">
        <v>10018</v>
      </c>
      <c r="G1825" t="s">
        <v>10021</v>
      </c>
      <c r="H1825" s="6">
        <v>45020</v>
      </c>
      <c r="I1825">
        <f t="shared" si="56"/>
        <v>0</v>
      </c>
      <c r="J1825" t="str">
        <f t="shared" si="57"/>
        <v>Complete</v>
      </c>
      <c r="K1825">
        <f>COUNTIFS(RawData[Item], B1825,RawData[Quantity],C1825,RawData[Price Per Unit],D1825,RawData[Total Spent],E1825,RawData[Payment Method],F1825,RawData[Location],G1825,RawData[Transaction Date],H1825)</f>
        <v>1</v>
      </c>
      <c r="L1825"/>
    </row>
    <row r="1826" spans="1:12" x14ac:dyDescent="0.3">
      <c r="A1826" t="s">
        <v>1832</v>
      </c>
      <c r="B1826" t="s">
        <v>10012</v>
      </c>
      <c r="C1826" t="s">
        <v>10015</v>
      </c>
      <c r="D1826">
        <v>4</v>
      </c>
      <c r="E1826">
        <v>8</v>
      </c>
      <c r="F1826" t="s">
        <v>10069</v>
      </c>
      <c r="G1826" t="s">
        <v>10021</v>
      </c>
      <c r="H1826" s="6" t="s">
        <v>10112</v>
      </c>
      <c r="I1826">
        <f t="shared" si="56"/>
        <v>2</v>
      </c>
      <c r="J1826" t="str">
        <f t="shared" si="57"/>
        <v>Incomplete</v>
      </c>
      <c r="K1826">
        <f>COUNTIFS(RawData[Item], B1826,RawData[Quantity],C1826,RawData[Price Per Unit],D1826,RawData[Total Spent],E1826,RawData[Payment Method],F1826,RawData[Location],G1826,RawData[Transaction Date],H1826)</f>
        <v>1</v>
      </c>
      <c r="L1826"/>
    </row>
    <row r="1827" spans="1:12" x14ac:dyDescent="0.3">
      <c r="A1827" t="s">
        <v>1833</v>
      </c>
      <c r="B1827" t="s">
        <v>10008</v>
      </c>
      <c r="C1827">
        <v>3</v>
      </c>
      <c r="D1827">
        <v>2</v>
      </c>
      <c r="E1827">
        <v>6</v>
      </c>
      <c r="F1827" t="s">
        <v>10069</v>
      </c>
      <c r="G1827" t="s">
        <v>10069</v>
      </c>
      <c r="H1827" s="6">
        <v>45060</v>
      </c>
      <c r="I1827">
        <f t="shared" si="56"/>
        <v>0</v>
      </c>
      <c r="J1827" t="str">
        <f t="shared" si="57"/>
        <v>Complete</v>
      </c>
      <c r="K1827">
        <f>COUNTIFS(RawData[Item], B1827,RawData[Quantity],C1827,RawData[Price Per Unit],D1827,RawData[Total Spent],E1827,RawData[Payment Method],F1827,RawData[Location],G1827,RawData[Transaction Date],H1827)</f>
        <v>1</v>
      </c>
      <c r="L1827"/>
    </row>
    <row r="1828" spans="1:12" x14ac:dyDescent="0.3">
      <c r="A1828" t="s">
        <v>1834</v>
      </c>
      <c r="B1828" t="s">
        <v>10012</v>
      </c>
      <c r="C1828">
        <v>3</v>
      </c>
      <c r="D1828">
        <v>4</v>
      </c>
      <c r="E1828">
        <v>12</v>
      </c>
      <c r="F1828" t="s">
        <v>10019</v>
      </c>
      <c r="G1828" t="s">
        <v>10102</v>
      </c>
      <c r="H1828" s="6">
        <v>45067</v>
      </c>
      <c r="I1828">
        <f t="shared" si="56"/>
        <v>0</v>
      </c>
      <c r="J1828" t="str">
        <f t="shared" si="57"/>
        <v>Complete</v>
      </c>
      <c r="K1828">
        <f>COUNTIFS(RawData[Item], B1828,RawData[Quantity],C1828,RawData[Price Per Unit],D1828,RawData[Total Spent],E1828,RawData[Payment Method],F1828,RawData[Location],G1828,RawData[Transaction Date],H1828)</f>
        <v>1</v>
      </c>
      <c r="L1828"/>
    </row>
    <row r="1829" spans="1:12" x14ac:dyDescent="0.3">
      <c r="A1829" t="s">
        <v>1835</v>
      </c>
      <c r="B1829" t="s">
        <v>10017</v>
      </c>
      <c r="C1829">
        <v>2</v>
      </c>
      <c r="D1829">
        <v>1.5</v>
      </c>
      <c r="E1829">
        <v>3</v>
      </c>
      <c r="F1829" t="s">
        <v>10018</v>
      </c>
      <c r="G1829" t="s">
        <v>10021</v>
      </c>
      <c r="H1829" s="6">
        <v>45179</v>
      </c>
      <c r="I1829">
        <f t="shared" si="56"/>
        <v>0</v>
      </c>
      <c r="J1829" t="str">
        <f t="shared" si="57"/>
        <v>Complete</v>
      </c>
      <c r="K1829">
        <f>COUNTIFS(RawData[Item], B1829,RawData[Quantity],C1829,RawData[Price Per Unit],D1829,RawData[Total Spent],E1829,RawData[Payment Method],F1829,RawData[Location],G1829,RawData[Transaction Date],H1829)</f>
        <v>1</v>
      </c>
      <c r="L1829"/>
    </row>
    <row r="1830" spans="1:12" x14ac:dyDescent="0.3">
      <c r="A1830" t="s">
        <v>1836</v>
      </c>
      <c r="B1830" t="s">
        <v>10014</v>
      </c>
      <c r="C1830">
        <v>5</v>
      </c>
      <c r="D1830">
        <v>4</v>
      </c>
      <c r="E1830">
        <v>20</v>
      </c>
      <c r="F1830" t="s">
        <v>10019</v>
      </c>
      <c r="G1830" t="s">
        <v>10102</v>
      </c>
      <c r="H1830" s="6">
        <v>45199</v>
      </c>
      <c r="I1830">
        <f t="shared" si="56"/>
        <v>0</v>
      </c>
      <c r="J1830" t="str">
        <f t="shared" si="57"/>
        <v>Complete</v>
      </c>
      <c r="K1830">
        <f>COUNTIFS(RawData[Item], B1830,RawData[Quantity],C1830,RawData[Price Per Unit],D1830,RawData[Total Spent],E1830,RawData[Payment Method],F1830,RawData[Location],G1830,RawData[Transaction Date],H1830)</f>
        <v>1</v>
      </c>
      <c r="L1830"/>
    </row>
    <row r="1831" spans="1:12" x14ac:dyDescent="0.3">
      <c r="A1831" t="s">
        <v>1837</v>
      </c>
      <c r="B1831" t="s">
        <v>10009</v>
      </c>
      <c r="C1831">
        <v>1</v>
      </c>
      <c r="D1831">
        <v>3</v>
      </c>
      <c r="E1831">
        <v>3</v>
      </c>
      <c r="F1831" t="s">
        <v>10019</v>
      </c>
      <c r="G1831" t="s">
        <v>10069</v>
      </c>
      <c r="H1831" s="6">
        <v>45289</v>
      </c>
      <c r="I1831">
        <f t="shared" si="56"/>
        <v>0</v>
      </c>
      <c r="J1831" t="str">
        <f t="shared" si="57"/>
        <v>Complete</v>
      </c>
      <c r="K1831">
        <f>COUNTIFS(RawData[Item], B1831,RawData[Quantity],C1831,RawData[Price Per Unit],D1831,RawData[Total Spent],E1831,RawData[Payment Method],F1831,RawData[Location],G1831,RawData[Transaction Date],H1831)</f>
        <v>1</v>
      </c>
      <c r="L1831"/>
    </row>
    <row r="1832" spans="1:12" x14ac:dyDescent="0.3">
      <c r="A1832" t="s">
        <v>1838</v>
      </c>
      <c r="B1832" t="s">
        <v>10016</v>
      </c>
      <c r="C1832">
        <v>3</v>
      </c>
      <c r="D1832">
        <v>3</v>
      </c>
      <c r="E1832">
        <v>9</v>
      </c>
      <c r="F1832" t="s">
        <v>10069</v>
      </c>
      <c r="G1832" t="s">
        <v>10102</v>
      </c>
      <c r="H1832" s="6">
        <v>45127</v>
      </c>
      <c r="I1832">
        <f t="shared" si="56"/>
        <v>0</v>
      </c>
      <c r="J1832" t="str">
        <f t="shared" si="57"/>
        <v>Complete</v>
      </c>
      <c r="K1832">
        <f>COUNTIFS(RawData[Item], B1832,RawData[Quantity],C1832,RawData[Price Per Unit],D1832,RawData[Total Spent],E1832,RawData[Payment Method],F1832,RawData[Location],G1832,RawData[Transaction Date],H1832)</f>
        <v>1</v>
      </c>
      <c r="L1832"/>
    </row>
    <row r="1833" spans="1:12" x14ac:dyDescent="0.3">
      <c r="A1833" t="s">
        <v>1839</v>
      </c>
      <c r="B1833" t="s">
        <v>10017</v>
      </c>
      <c r="C1833">
        <v>5</v>
      </c>
      <c r="D1833">
        <v>1.5</v>
      </c>
      <c r="E1833">
        <v>7.5</v>
      </c>
      <c r="F1833" t="s">
        <v>10020</v>
      </c>
      <c r="G1833" t="s">
        <v>10102</v>
      </c>
      <c r="H1833" s="6">
        <v>44954</v>
      </c>
      <c r="I1833">
        <f t="shared" si="56"/>
        <v>0</v>
      </c>
      <c r="J1833" t="str">
        <f t="shared" si="57"/>
        <v>Complete</v>
      </c>
      <c r="K1833">
        <f>COUNTIFS(RawData[Item], B1833,RawData[Quantity],C1833,RawData[Price Per Unit],D1833,RawData[Total Spent],E1833,RawData[Payment Method],F1833,RawData[Location],G1833,RawData[Transaction Date],H1833)</f>
        <v>1</v>
      </c>
      <c r="L1833"/>
    </row>
    <row r="1834" spans="1:12" x14ac:dyDescent="0.3">
      <c r="A1834" t="s">
        <v>1840</v>
      </c>
      <c r="B1834" t="s">
        <v>10008</v>
      </c>
      <c r="C1834">
        <v>3</v>
      </c>
      <c r="D1834">
        <v>0</v>
      </c>
      <c r="E1834">
        <v>6</v>
      </c>
      <c r="F1834" t="s">
        <v>10069</v>
      </c>
      <c r="G1834" t="s">
        <v>10102</v>
      </c>
      <c r="H1834" s="6">
        <v>45035</v>
      </c>
      <c r="I1834">
        <f t="shared" si="56"/>
        <v>0</v>
      </c>
      <c r="J1834" t="str">
        <f t="shared" si="57"/>
        <v>Complete</v>
      </c>
      <c r="K1834">
        <f>COUNTIFS(RawData[Item], B1834,RawData[Quantity],C1834,RawData[Price Per Unit],D1834,RawData[Total Spent],E1834,RawData[Payment Method],F1834,RawData[Location],G1834,RawData[Transaction Date],H1834)</f>
        <v>1</v>
      </c>
      <c r="L1834"/>
    </row>
    <row r="1835" spans="1:12" x14ac:dyDescent="0.3">
      <c r="A1835" t="s">
        <v>1841</v>
      </c>
      <c r="B1835" t="s">
        <v>10014</v>
      </c>
      <c r="C1835">
        <v>4</v>
      </c>
      <c r="D1835">
        <v>4</v>
      </c>
      <c r="E1835">
        <v>16</v>
      </c>
      <c r="F1835" t="s">
        <v>10019</v>
      </c>
      <c r="G1835" t="s">
        <v>10021</v>
      </c>
      <c r="H1835" s="6">
        <v>45048</v>
      </c>
      <c r="I1835">
        <f t="shared" si="56"/>
        <v>0</v>
      </c>
      <c r="J1835" t="str">
        <f t="shared" si="57"/>
        <v>Complete</v>
      </c>
      <c r="K1835">
        <f>COUNTIFS(RawData[Item], B1835,RawData[Quantity],C1835,RawData[Price Per Unit],D1835,RawData[Total Spent],E1835,RawData[Payment Method],F1835,RawData[Location],G1835,RawData[Transaction Date],H1835)</f>
        <v>1</v>
      </c>
      <c r="L1835"/>
    </row>
    <row r="1836" spans="1:12" x14ac:dyDescent="0.3">
      <c r="A1836" t="s">
        <v>1842</v>
      </c>
      <c r="B1836" t="s">
        <v>10015</v>
      </c>
      <c r="C1836">
        <v>4</v>
      </c>
      <c r="D1836">
        <v>1.5</v>
      </c>
      <c r="E1836">
        <v>6</v>
      </c>
      <c r="F1836" t="s">
        <v>10018</v>
      </c>
      <c r="G1836" t="s">
        <v>10021</v>
      </c>
      <c r="H1836" s="6">
        <v>45158</v>
      </c>
      <c r="I1836">
        <f t="shared" si="56"/>
        <v>1</v>
      </c>
      <c r="J1836" t="str">
        <f t="shared" si="57"/>
        <v>Complete</v>
      </c>
      <c r="K1836">
        <f>COUNTIFS(RawData[Item], B1836,RawData[Quantity],C1836,RawData[Price Per Unit],D1836,RawData[Total Spent],E1836,RawData[Payment Method],F1836,RawData[Location],G1836,RawData[Transaction Date],H1836)</f>
        <v>1</v>
      </c>
      <c r="L1836"/>
    </row>
    <row r="1837" spans="1:12" x14ac:dyDescent="0.3">
      <c r="A1837" t="s">
        <v>1843</v>
      </c>
      <c r="B1837" t="s">
        <v>10016</v>
      </c>
      <c r="C1837">
        <v>4</v>
      </c>
      <c r="D1837">
        <v>3</v>
      </c>
      <c r="E1837">
        <v>12</v>
      </c>
      <c r="F1837" t="s">
        <v>10069</v>
      </c>
      <c r="G1837" t="s">
        <v>10102</v>
      </c>
      <c r="H1837" s="6">
        <v>44971</v>
      </c>
      <c r="I1837">
        <f t="shared" si="56"/>
        <v>0</v>
      </c>
      <c r="J1837" t="str">
        <f t="shared" si="57"/>
        <v>Complete</v>
      </c>
      <c r="K1837">
        <f>COUNTIFS(RawData[Item], B1837,RawData[Quantity],C1837,RawData[Price Per Unit],D1837,RawData[Total Spent],E1837,RawData[Payment Method],F1837,RawData[Location],G1837,RawData[Transaction Date],H1837)</f>
        <v>1</v>
      </c>
      <c r="L1837"/>
    </row>
    <row r="1838" spans="1:12" x14ac:dyDescent="0.3">
      <c r="A1838" t="s">
        <v>1844</v>
      </c>
      <c r="B1838" t="s">
        <v>10011</v>
      </c>
      <c r="C1838">
        <v>4</v>
      </c>
      <c r="D1838">
        <v>5</v>
      </c>
      <c r="E1838">
        <v>20</v>
      </c>
      <c r="F1838" t="s">
        <v>10020</v>
      </c>
      <c r="G1838" t="s">
        <v>10069</v>
      </c>
      <c r="H1838" s="6">
        <v>45022</v>
      </c>
      <c r="I1838">
        <f t="shared" si="56"/>
        <v>0</v>
      </c>
      <c r="J1838" t="str">
        <f t="shared" si="57"/>
        <v>Complete</v>
      </c>
      <c r="K1838">
        <f>COUNTIFS(RawData[Item], B1838,RawData[Quantity],C1838,RawData[Price Per Unit],D1838,RawData[Total Spent],E1838,RawData[Payment Method],F1838,RawData[Location],G1838,RawData[Transaction Date],H1838)</f>
        <v>1</v>
      </c>
      <c r="L1838"/>
    </row>
    <row r="1839" spans="1:12" x14ac:dyDescent="0.3">
      <c r="A1839" t="s">
        <v>1845</v>
      </c>
      <c r="B1839" t="s">
        <v>10008</v>
      </c>
      <c r="C1839">
        <v>3</v>
      </c>
      <c r="D1839">
        <v>2</v>
      </c>
      <c r="E1839">
        <v>6</v>
      </c>
      <c r="F1839" t="s">
        <v>10019</v>
      </c>
      <c r="G1839" t="s">
        <v>10021</v>
      </c>
      <c r="H1839" s="6">
        <v>44988</v>
      </c>
      <c r="I1839">
        <f t="shared" si="56"/>
        <v>0</v>
      </c>
      <c r="J1839" t="str">
        <f t="shared" si="57"/>
        <v>Complete</v>
      </c>
      <c r="K1839">
        <f>COUNTIFS(RawData[Item], B1839,RawData[Quantity],C1839,RawData[Price Per Unit],D1839,RawData[Total Spent],E1839,RawData[Payment Method],F1839,RawData[Location],G1839,RawData[Transaction Date],H1839)</f>
        <v>2</v>
      </c>
      <c r="L1839"/>
    </row>
    <row r="1840" spans="1:12" x14ac:dyDescent="0.3">
      <c r="A1840" t="s">
        <v>1846</v>
      </c>
      <c r="B1840" t="s">
        <v>10016</v>
      </c>
      <c r="C1840">
        <v>2</v>
      </c>
      <c r="D1840">
        <v>3</v>
      </c>
      <c r="E1840">
        <v>6</v>
      </c>
      <c r="F1840" t="s">
        <v>10018</v>
      </c>
      <c r="G1840" t="s">
        <v>10021</v>
      </c>
      <c r="H1840" s="6">
        <v>45107</v>
      </c>
      <c r="I1840">
        <f t="shared" si="56"/>
        <v>0</v>
      </c>
      <c r="J1840" t="str">
        <f t="shared" si="57"/>
        <v>Complete</v>
      </c>
      <c r="K1840">
        <f>COUNTIFS(RawData[Item], B1840,RawData[Quantity],C1840,RawData[Price Per Unit],D1840,RawData[Total Spent],E1840,RawData[Payment Method],F1840,RawData[Location],G1840,RawData[Transaction Date],H1840)</f>
        <v>1</v>
      </c>
      <c r="L1840"/>
    </row>
    <row r="1841" spans="1:12" x14ac:dyDescent="0.3">
      <c r="A1841" t="s">
        <v>1847</v>
      </c>
      <c r="B1841" t="s">
        <v>10017</v>
      </c>
      <c r="C1841">
        <v>4</v>
      </c>
      <c r="D1841">
        <v>1.5</v>
      </c>
      <c r="E1841">
        <v>6</v>
      </c>
      <c r="F1841" t="s">
        <v>10020</v>
      </c>
      <c r="G1841" t="s">
        <v>10102</v>
      </c>
      <c r="H1841" s="6">
        <v>45263</v>
      </c>
      <c r="I1841">
        <f t="shared" si="56"/>
        <v>0</v>
      </c>
      <c r="J1841" t="str">
        <f t="shared" si="57"/>
        <v>Complete</v>
      </c>
      <c r="K1841">
        <f>COUNTIFS(RawData[Item], B1841,RawData[Quantity],C1841,RawData[Price Per Unit],D1841,RawData[Total Spent],E1841,RawData[Payment Method],F1841,RawData[Location],G1841,RawData[Transaction Date],H1841)</f>
        <v>1</v>
      </c>
      <c r="L1841"/>
    </row>
    <row r="1842" spans="1:12" x14ac:dyDescent="0.3">
      <c r="A1842" t="s">
        <v>1848</v>
      </c>
      <c r="B1842" t="s">
        <v>10009</v>
      </c>
      <c r="C1842">
        <v>4</v>
      </c>
      <c r="D1842">
        <v>3</v>
      </c>
      <c r="E1842">
        <v>12</v>
      </c>
      <c r="F1842" t="s">
        <v>10020</v>
      </c>
      <c r="G1842" t="s">
        <v>10102</v>
      </c>
      <c r="H1842" s="6">
        <v>45179</v>
      </c>
      <c r="I1842">
        <f t="shared" si="56"/>
        <v>0</v>
      </c>
      <c r="J1842" t="str">
        <f t="shared" si="57"/>
        <v>Complete</v>
      </c>
      <c r="K1842">
        <f>COUNTIFS(RawData[Item], B1842,RawData[Quantity],C1842,RawData[Price Per Unit],D1842,RawData[Total Spent],E1842,RawData[Payment Method],F1842,RawData[Location],G1842,RawData[Transaction Date],H1842)</f>
        <v>1</v>
      </c>
      <c r="L1842"/>
    </row>
    <row r="1843" spans="1:12" x14ac:dyDescent="0.3">
      <c r="A1843" t="s">
        <v>1849</v>
      </c>
      <c r="B1843" t="s">
        <v>10011</v>
      </c>
      <c r="C1843">
        <v>3</v>
      </c>
      <c r="D1843">
        <v>5</v>
      </c>
      <c r="E1843">
        <v>15</v>
      </c>
      <c r="F1843" t="s">
        <v>10104</v>
      </c>
      <c r="G1843" t="s">
        <v>10021</v>
      </c>
      <c r="H1843" s="6">
        <v>45209</v>
      </c>
      <c r="I1843">
        <f t="shared" si="56"/>
        <v>1</v>
      </c>
      <c r="J1843" t="str">
        <f t="shared" si="57"/>
        <v>Complete</v>
      </c>
      <c r="K1843">
        <f>COUNTIFS(RawData[Item], B1843,RawData[Quantity],C1843,RawData[Price Per Unit],D1843,RawData[Total Spent],E1843,RawData[Payment Method],F1843,RawData[Location],G1843,RawData[Transaction Date],H1843)</f>
        <v>1</v>
      </c>
      <c r="L1843"/>
    </row>
    <row r="1844" spans="1:12" x14ac:dyDescent="0.3">
      <c r="A1844" t="s">
        <v>1850</v>
      </c>
      <c r="B1844" t="s">
        <v>10011</v>
      </c>
      <c r="C1844">
        <v>4</v>
      </c>
      <c r="D1844">
        <v>5</v>
      </c>
      <c r="E1844">
        <v>20</v>
      </c>
      <c r="F1844" t="s">
        <v>10069</v>
      </c>
      <c r="G1844" t="s">
        <v>10102</v>
      </c>
      <c r="H1844" s="6">
        <v>45237</v>
      </c>
      <c r="I1844">
        <f t="shared" si="56"/>
        <v>0</v>
      </c>
      <c r="J1844" t="str">
        <f t="shared" si="57"/>
        <v>Complete</v>
      </c>
      <c r="K1844">
        <f>COUNTIFS(RawData[Item], B1844,RawData[Quantity],C1844,RawData[Price Per Unit],D1844,RawData[Total Spent],E1844,RawData[Payment Method],F1844,RawData[Location],G1844,RawData[Transaction Date],H1844)</f>
        <v>1</v>
      </c>
      <c r="L1844"/>
    </row>
    <row r="1845" spans="1:12" x14ac:dyDescent="0.3">
      <c r="A1845" t="s">
        <v>1851</v>
      </c>
      <c r="B1845" t="s">
        <v>10013</v>
      </c>
      <c r="C1845" t="s">
        <v>10015</v>
      </c>
      <c r="D1845">
        <v>5</v>
      </c>
      <c r="E1845">
        <v>10</v>
      </c>
      <c r="F1845" t="s">
        <v>10019</v>
      </c>
      <c r="G1845" t="s">
        <v>10069</v>
      </c>
      <c r="H1845" s="6">
        <v>45242</v>
      </c>
      <c r="I1845">
        <f t="shared" si="56"/>
        <v>2</v>
      </c>
      <c r="J1845" t="str">
        <f t="shared" si="57"/>
        <v>Complete</v>
      </c>
      <c r="K1845">
        <f>COUNTIFS(RawData[Item], B1845,RawData[Quantity],C1845,RawData[Price Per Unit],D1845,RawData[Total Spent],E1845,RawData[Payment Method],F1845,RawData[Location],G1845,RawData[Transaction Date],H1845)</f>
        <v>1</v>
      </c>
      <c r="L1845"/>
    </row>
    <row r="1846" spans="1:12" x14ac:dyDescent="0.3">
      <c r="A1846" t="s">
        <v>1852</v>
      </c>
      <c r="B1846" t="s">
        <v>10009</v>
      </c>
      <c r="C1846">
        <v>5</v>
      </c>
      <c r="D1846">
        <v>3</v>
      </c>
      <c r="E1846">
        <v>15</v>
      </c>
      <c r="F1846" t="s">
        <v>10019</v>
      </c>
      <c r="G1846" t="s">
        <v>10021</v>
      </c>
      <c r="H1846" s="6">
        <v>45086</v>
      </c>
      <c r="I1846">
        <f t="shared" si="56"/>
        <v>0</v>
      </c>
      <c r="J1846" t="str">
        <f t="shared" si="57"/>
        <v>Complete</v>
      </c>
      <c r="K1846">
        <f>COUNTIFS(RawData[Item], B1846,RawData[Quantity],C1846,RawData[Price Per Unit],D1846,RawData[Total Spent],E1846,RawData[Payment Method],F1846,RawData[Location],G1846,RawData[Transaction Date],H1846)</f>
        <v>1</v>
      </c>
      <c r="L1846"/>
    </row>
    <row r="1847" spans="1:12" x14ac:dyDescent="0.3">
      <c r="A1847" t="s">
        <v>1853</v>
      </c>
      <c r="B1847" t="s">
        <v>10011</v>
      </c>
      <c r="C1847">
        <v>5</v>
      </c>
      <c r="D1847">
        <v>5</v>
      </c>
      <c r="E1847">
        <v>25</v>
      </c>
      <c r="F1847" t="s">
        <v>10020</v>
      </c>
      <c r="G1847" t="s">
        <v>10104</v>
      </c>
      <c r="H1847" s="6">
        <v>44997</v>
      </c>
      <c r="I1847">
        <f t="shared" si="56"/>
        <v>1</v>
      </c>
      <c r="J1847" t="str">
        <f t="shared" si="57"/>
        <v>Complete</v>
      </c>
      <c r="K1847">
        <f>COUNTIFS(RawData[Item], B1847,RawData[Quantity],C1847,RawData[Price Per Unit],D1847,RawData[Total Spent],E1847,RawData[Payment Method],F1847,RawData[Location],G1847,RawData[Transaction Date],H1847)</f>
        <v>1</v>
      </c>
      <c r="L1847"/>
    </row>
    <row r="1848" spans="1:12" x14ac:dyDescent="0.3">
      <c r="A1848" t="s">
        <v>1854</v>
      </c>
      <c r="B1848" t="s">
        <v>10010</v>
      </c>
      <c r="C1848">
        <v>4</v>
      </c>
      <c r="D1848">
        <v>1</v>
      </c>
      <c r="E1848">
        <v>4</v>
      </c>
      <c r="F1848" t="s">
        <v>10018</v>
      </c>
      <c r="G1848" t="s">
        <v>10021</v>
      </c>
      <c r="H1848" s="6">
        <v>45285</v>
      </c>
      <c r="I1848">
        <f t="shared" si="56"/>
        <v>0</v>
      </c>
      <c r="J1848" t="str">
        <f t="shared" si="57"/>
        <v>Complete</v>
      </c>
      <c r="K1848">
        <f>COUNTIFS(RawData[Item], B1848,RawData[Quantity],C1848,RawData[Price Per Unit],D1848,RawData[Total Spent],E1848,RawData[Payment Method],F1848,RawData[Location],G1848,RawData[Transaction Date],H1848)</f>
        <v>1</v>
      </c>
      <c r="L1848"/>
    </row>
    <row r="1849" spans="1:12" x14ac:dyDescent="0.3">
      <c r="A1849" t="s">
        <v>1855</v>
      </c>
      <c r="B1849" t="s">
        <v>10017</v>
      </c>
      <c r="C1849">
        <v>1</v>
      </c>
      <c r="D1849">
        <v>1.5</v>
      </c>
      <c r="E1849">
        <v>1.5</v>
      </c>
      <c r="F1849" t="s">
        <v>10019</v>
      </c>
      <c r="G1849" t="s">
        <v>10069</v>
      </c>
      <c r="H1849" s="6">
        <v>45288</v>
      </c>
      <c r="I1849">
        <f t="shared" si="56"/>
        <v>0</v>
      </c>
      <c r="J1849" t="str">
        <f t="shared" si="57"/>
        <v>Complete</v>
      </c>
      <c r="K1849">
        <f>COUNTIFS(RawData[Item], B1849,RawData[Quantity],C1849,RawData[Price Per Unit],D1849,RawData[Total Spent],E1849,RawData[Payment Method],F1849,RawData[Location],G1849,RawData[Transaction Date],H1849)</f>
        <v>1</v>
      </c>
      <c r="L1849"/>
    </row>
    <row r="1850" spans="1:12" x14ac:dyDescent="0.3">
      <c r="A1850" t="s">
        <v>1856</v>
      </c>
      <c r="B1850" t="s">
        <v>10016</v>
      </c>
      <c r="C1850">
        <v>5</v>
      </c>
      <c r="D1850">
        <v>3</v>
      </c>
      <c r="E1850">
        <v>15</v>
      </c>
      <c r="F1850" t="s">
        <v>10020</v>
      </c>
      <c r="G1850" t="s">
        <v>10104</v>
      </c>
      <c r="H1850" s="6">
        <v>44963</v>
      </c>
      <c r="I1850">
        <f t="shared" si="56"/>
        <v>1</v>
      </c>
      <c r="J1850" t="str">
        <f t="shared" si="57"/>
        <v>Complete</v>
      </c>
      <c r="K1850">
        <f>COUNTIFS(RawData[Item], B1850,RawData[Quantity],C1850,RawData[Price Per Unit],D1850,RawData[Total Spent],E1850,RawData[Payment Method],F1850,RawData[Location],G1850,RawData[Transaction Date],H1850)</f>
        <v>1</v>
      </c>
      <c r="L1850"/>
    </row>
    <row r="1851" spans="1:12" x14ac:dyDescent="0.3">
      <c r="A1851" t="s">
        <v>1857</v>
      </c>
      <c r="B1851" t="s">
        <v>10008</v>
      </c>
      <c r="C1851">
        <v>5</v>
      </c>
      <c r="D1851">
        <v>2</v>
      </c>
      <c r="E1851">
        <v>10</v>
      </c>
      <c r="F1851" t="s">
        <v>10019</v>
      </c>
      <c r="G1851" t="s">
        <v>10021</v>
      </c>
      <c r="H1851" s="6">
        <v>45082</v>
      </c>
      <c r="I1851">
        <f t="shared" si="56"/>
        <v>0</v>
      </c>
      <c r="J1851" t="str">
        <f t="shared" si="57"/>
        <v>Complete</v>
      </c>
      <c r="K1851">
        <f>COUNTIFS(RawData[Item], B1851,RawData[Quantity],C1851,RawData[Price Per Unit],D1851,RawData[Total Spent],E1851,RawData[Payment Method],F1851,RawData[Location],G1851,RawData[Transaction Date],H1851)</f>
        <v>1</v>
      </c>
      <c r="L1851"/>
    </row>
    <row r="1852" spans="1:12" x14ac:dyDescent="0.3">
      <c r="A1852" t="s">
        <v>1858</v>
      </c>
      <c r="B1852" t="s">
        <v>10017</v>
      </c>
      <c r="C1852">
        <v>1</v>
      </c>
      <c r="D1852">
        <v>1.5</v>
      </c>
      <c r="E1852">
        <v>1.5</v>
      </c>
      <c r="F1852" t="s">
        <v>10020</v>
      </c>
      <c r="G1852" t="s">
        <v>10021</v>
      </c>
      <c r="H1852" s="6">
        <v>45030</v>
      </c>
      <c r="I1852">
        <f t="shared" si="56"/>
        <v>0</v>
      </c>
      <c r="J1852" t="str">
        <f t="shared" si="57"/>
        <v>Complete</v>
      </c>
      <c r="K1852">
        <f>COUNTIFS(RawData[Item], B1852,RawData[Quantity],C1852,RawData[Price Per Unit],D1852,RawData[Total Spent],E1852,RawData[Payment Method],F1852,RawData[Location],G1852,RawData[Transaction Date],H1852)</f>
        <v>2</v>
      </c>
      <c r="L1852"/>
    </row>
    <row r="1853" spans="1:12" x14ac:dyDescent="0.3">
      <c r="A1853" t="s">
        <v>1859</v>
      </c>
      <c r="B1853" t="s">
        <v>10016</v>
      </c>
      <c r="C1853">
        <v>1</v>
      </c>
      <c r="D1853">
        <v>3</v>
      </c>
      <c r="E1853">
        <v>3</v>
      </c>
      <c r="F1853" t="s">
        <v>10020</v>
      </c>
      <c r="G1853" t="s">
        <v>10069</v>
      </c>
      <c r="H1853" s="6">
        <v>45065</v>
      </c>
      <c r="I1853">
        <f t="shared" si="56"/>
        <v>0</v>
      </c>
      <c r="J1853" t="str">
        <f t="shared" si="57"/>
        <v>Complete</v>
      </c>
      <c r="K1853">
        <f>COUNTIFS(RawData[Item], B1853,RawData[Quantity],C1853,RawData[Price Per Unit],D1853,RawData[Total Spent],E1853,RawData[Payment Method],F1853,RawData[Location],G1853,RawData[Transaction Date],H1853)</f>
        <v>1</v>
      </c>
      <c r="L1853"/>
    </row>
    <row r="1854" spans="1:12" x14ac:dyDescent="0.3">
      <c r="A1854" t="s">
        <v>1860</v>
      </c>
      <c r="B1854" t="s">
        <v>10008</v>
      </c>
      <c r="C1854">
        <v>5</v>
      </c>
      <c r="D1854">
        <v>2</v>
      </c>
      <c r="E1854">
        <v>10</v>
      </c>
      <c r="F1854" t="s">
        <v>10069</v>
      </c>
      <c r="G1854" t="s">
        <v>10102</v>
      </c>
      <c r="H1854" s="6">
        <v>45257</v>
      </c>
      <c r="I1854">
        <f t="shared" si="56"/>
        <v>0</v>
      </c>
      <c r="J1854" t="str">
        <f t="shared" si="57"/>
        <v>Complete</v>
      </c>
      <c r="K1854">
        <f>COUNTIFS(RawData[Item], B1854,RawData[Quantity],C1854,RawData[Price Per Unit],D1854,RawData[Total Spent],E1854,RawData[Payment Method],F1854,RawData[Location],G1854,RawData[Transaction Date],H1854)</f>
        <v>1</v>
      </c>
      <c r="L1854"/>
    </row>
    <row r="1855" spans="1:12" x14ac:dyDescent="0.3">
      <c r="A1855" t="s">
        <v>1861</v>
      </c>
      <c r="B1855" t="s">
        <v>10010</v>
      </c>
      <c r="C1855">
        <v>3</v>
      </c>
      <c r="D1855">
        <v>1</v>
      </c>
      <c r="E1855">
        <v>3</v>
      </c>
      <c r="F1855" t="s">
        <v>10020</v>
      </c>
      <c r="G1855" t="s">
        <v>10069</v>
      </c>
      <c r="H1855" s="6">
        <v>45164</v>
      </c>
      <c r="I1855">
        <f t="shared" si="56"/>
        <v>0</v>
      </c>
      <c r="J1855" t="str">
        <f t="shared" si="57"/>
        <v>Complete</v>
      </c>
      <c r="K1855">
        <f>COUNTIFS(RawData[Item], B1855,RawData[Quantity],C1855,RawData[Price Per Unit],D1855,RawData[Total Spent],E1855,RawData[Payment Method],F1855,RawData[Location],G1855,RawData[Transaction Date],H1855)</f>
        <v>1</v>
      </c>
      <c r="L1855"/>
    </row>
    <row r="1856" spans="1:12" x14ac:dyDescent="0.3">
      <c r="A1856" t="s">
        <v>1862</v>
      </c>
      <c r="B1856" t="s">
        <v>10015</v>
      </c>
      <c r="C1856">
        <v>1</v>
      </c>
      <c r="D1856">
        <v>5</v>
      </c>
      <c r="E1856">
        <v>5</v>
      </c>
      <c r="F1856" t="s">
        <v>10104</v>
      </c>
      <c r="G1856" t="s">
        <v>10069</v>
      </c>
      <c r="H1856" s="6">
        <v>45086</v>
      </c>
      <c r="I1856">
        <f t="shared" si="56"/>
        <v>2</v>
      </c>
      <c r="J1856" t="str">
        <f t="shared" si="57"/>
        <v>Complete</v>
      </c>
      <c r="K1856">
        <f>COUNTIFS(RawData[Item], B1856,RawData[Quantity],C1856,RawData[Price Per Unit],D1856,RawData[Total Spent],E1856,RawData[Payment Method],F1856,RawData[Location],G1856,RawData[Transaction Date],H1856)</f>
        <v>1</v>
      </c>
      <c r="L1856"/>
    </row>
    <row r="1857" spans="1:12" x14ac:dyDescent="0.3">
      <c r="A1857" t="s">
        <v>1863</v>
      </c>
      <c r="B1857" t="s">
        <v>10014</v>
      </c>
      <c r="C1857">
        <v>5</v>
      </c>
      <c r="D1857">
        <v>4</v>
      </c>
      <c r="E1857">
        <v>20</v>
      </c>
      <c r="F1857" t="s">
        <v>10069</v>
      </c>
      <c r="G1857" t="s">
        <v>10069</v>
      </c>
      <c r="H1857" s="6">
        <v>45145</v>
      </c>
      <c r="I1857">
        <f t="shared" si="56"/>
        <v>0</v>
      </c>
      <c r="J1857" t="str">
        <f t="shared" si="57"/>
        <v>Complete</v>
      </c>
      <c r="K1857">
        <f>COUNTIFS(RawData[Item], B1857,RawData[Quantity],C1857,RawData[Price Per Unit],D1857,RawData[Total Spent],E1857,RawData[Payment Method],F1857,RawData[Location],G1857,RawData[Transaction Date],H1857)</f>
        <v>1</v>
      </c>
      <c r="L1857"/>
    </row>
    <row r="1858" spans="1:12" x14ac:dyDescent="0.3">
      <c r="A1858" t="s">
        <v>1864</v>
      </c>
      <c r="B1858" t="s">
        <v>10012</v>
      </c>
      <c r="C1858">
        <v>4</v>
      </c>
      <c r="D1858">
        <v>4</v>
      </c>
      <c r="E1858">
        <v>16</v>
      </c>
      <c r="F1858" t="s">
        <v>10069</v>
      </c>
      <c r="G1858" t="s">
        <v>10069</v>
      </c>
      <c r="H1858" s="6">
        <v>45100</v>
      </c>
      <c r="I1858">
        <f t="shared" ref="I1858:I1921" si="58">(B1858="Unknown")+(B1858="Error")+(C1858="Unknown")+(C1858="Error")+(D1858="Unknown")+(D1858="Error")+(E1858="Unknown")+(E1858="Error")+(F1858="Unknown")+(F1858="Error")+(G1858="Unknown")+(G1858="Error")+(H1858="No Date")</f>
        <v>0</v>
      </c>
      <c r="J1858" t="str">
        <f t="shared" ref="J1858:J1921" si="59">IF((H1858="No Date"),"Incomplete","Complete")</f>
        <v>Complete</v>
      </c>
      <c r="K1858">
        <f>COUNTIFS(RawData[Item], B1858,RawData[Quantity],C1858,RawData[Price Per Unit],D1858,RawData[Total Spent],E1858,RawData[Payment Method],F1858,RawData[Location],G1858,RawData[Transaction Date],H1858)</f>
        <v>1</v>
      </c>
      <c r="L1858"/>
    </row>
    <row r="1859" spans="1:12" x14ac:dyDescent="0.3">
      <c r="A1859" t="s">
        <v>1865</v>
      </c>
      <c r="B1859" t="s">
        <v>10011</v>
      </c>
      <c r="C1859">
        <v>0</v>
      </c>
      <c r="D1859">
        <v>5</v>
      </c>
      <c r="E1859">
        <v>5</v>
      </c>
      <c r="F1859" t="s">
        <v>10069</v>
      </c>
      <c r="G1859" t="s">
        <v>10069</v>
      </c>
      <c r="H1859" s="6">
        <v>45255</v>
      </c>
      <c r="I1859">
        <f t="shared" si="58"/>
        <v>0</v>
      </c>
      <c r="J1859" t="str">
        <f t="shared" si="59"/>
        <v>Complete</v>
      </c>
      <c r="K1859">
        <f>COUNTIFS(RawData[Item], B1859,RawData[Quantity],C1859,RawData[Price Per Unit],D1859,RawData[Total Spent],E1859,RawData[Payment Method],F1859,RawData[Location],G1859,RawData[Transaction Date],H1859)</f>
        <v>1</v>
      </c>
      <c r="L1859"/>
    </row>
    <row r="1860" spans="1:12" x14ac:dyDescent="0.3">
      <c r="A1860" t="s">
        <v>1866</v>
      </c>
      <c r="B1860" t="s">
        <v>10014</v>
      </c>
      <c r="C1860">
        <v>5</v>
      </c>
      <c r="D1860">
        <v>4</v>
      </c>
      <c r="E1860">
        <v>20</v>
      </c>
      <c r="F1860" t="s">
        <v>10019</v>
      </c>
      <c r="G1860" t="s">
        <v>10102</v>
      </c>
      <c r="H1860" s="6">
        <v>45216</v>
      </c>
      <c r="I1860">
        <f t="shared" si="58"/>
        <v>0</v>
      </c>
      <c r="J1860" t="str">
        <f t="shared" si="59"/>
        <v>Complete</v>
      </c>
      <c r="K1860">
        <f>COUNTIFS(RawData[Item], B1860,RawData[Quantity],C1860,RawData[Price Per Unit],D1860,RawData[Total Spent],E1860,RawData[Payment Method],F1860,RawData[Location],G1860,RawData[Transaction Date],H1860)</f>
        <v>1</v>
      </c>
      <c r="L1860"/>
    </row>
    <row r="1861" spans="1:12" x14ac:dyDescent="0.3">
      <c r="A1861" t="s">
        <v>1867</v>
      </c>
      <c r="B1861" t="s">
        <v>10017</v>
      </c>
      <c r="C1861" t="s">
        <v>10013</v>
      </c>
      <c r="D1861">
        <v>1.5</v>
      </c>
      <c r="E1861">
        <v>6</v>
      </c>
      <c r="F1861" t="s">
        <v>10018</v>
      </c>
      <c r="G1861" t="s">
        <v>10069</v>
      </c>
      <c r="H1861" s="6">
        <v>45100</v>
      </c>
      <c r="I1861">
        <f t="shared" si="58"/>
        <v>1</v>
      </c>
      <c r="J1861" t="str">
        <f t="shared" si="59"/>
        <v>Complete</v>
      </c>
      <c r="K1861">
        <f>COUNTIFS(RawData[Item], B1861,RawData[Quantity],C1861,RawData[Price Per Unit],D1861,RawData[Total Spent],E1861,RawData[Payment Method],F1861,RawData[Location],G1861,RawData[Transaction Date],H1861)</f>
        <v>1</v>
      </c>
      <c r="L1861"/>
    </row>
    <row r="1862" spans="1:12" x14ac:dyDescent="0.3">
      <c r="A1862" t="s">
        <v>1868</v>
      </c>
      <c r="B1862" t="s">
        <v>10011</v>
      </c>
      <c r="C1862">
        <v>3</v>
      </c>
      <c r="D1862">
        <v>5</v>
      </c>
      <c r="E1862">
        <v>15</v>
      </c>
      <c r="F1862" t="s">
        <v>10018</v>
      </c>
      <c r="G1862" t="s">
        <v>10102</v>
      </c>
      <c r="H1862" s="6">
        <v>45213</v>
      </c>
      <c r="I1862">
        <f t="shared" si="58"/>
        <v>0</v>
      </c>
      <c r="J1862" t="str">
        <f t="shared" si="59"/>
        <v>Complete</v>
      </c>
      <c r="K1862">
        <f>COUNTIFS(RawData[Item], B1862,RawData[Quantity],C1862,RawData[Price Per Unit],D1862,RawData[Total Spent],E1862,RawData[Payment Method],F1862,RawData[Location],G1862,RawData[Transaction Date],H1862)</f>
        <v>1</v>
      </c>
      <c r="L1862"/>
    </row>
    <row r="1863" spans="1:12" x14ac:dyDescent="0.3">
      <c r="A1863" t="s">
        <v>1869</v>
      </c>
      <c r="B1863" t="s">
        <v>10012</v>
      </c>
      <c r="C1863">
        <v>4</v>
      </c>
      <c r="D1863">
        <v>4</v>
      </c>
      <c r="E1863">
        <v>16</v>
      </c>
      <c r="F1863" t="s">
        <v>10018</v>
      </c>
      <c r="G1863" t="s">
        <v>10069</v>
      </c>
      <c r="H1863" s="6">
        <v>45070</v>
      </c>
      <c r="I1863">
        <f t="shared" si="58"/>
        <v>0</v>
      </c>
      <c r="J1863" t="str">
        <f t="shared" si="59"/>
        <v>Complete</v>
      </c>
      <c r="K1863">
        <f>COUNTIFS(RawData[Item], B1863,RawData[Quantity],C1863,RawData[Price Per Unit],D1863,RawData[Total Spent],E1863,RawData[Payment Method],F1863,RawData[Location],G1863,RawData[Transaction Date],H1863)</f>
        <v>1</v>
      </c>
      <c r="L1863"/>
    </row>
    <row r="1864" spans="1:12" x14ac:dyDescent="0.3">
      <c r="A1864" t="s">
        <v>1870</v>
      </c>
      <c r="B1864" t="s">
        <v>10011</v>
      </c>
      <c r="C1864">
        <v>4</v>
      </c>
      <c r="D1864">
        <v>5</v>
      </c>
      <c r="E1864">
        <v>20</v>
      </c>
      <c r="F1864" t="s">
        <v>10069</v>
      </c>
      <c r="G1864" t="s">
        <v>10069</v>
      </c>
      <c r="H1864" s="6">
        <v>45025</v>
      </c>
      <c r="I1864">
        <f t="shared" si="58"/>
        <v>0</v>
      </c>
      <c r="J1864" t="str">
        <f t="shared" si="59"/>
        <v>Complete</v>
      </c>
      <c r="K1864">
        <f>COUNTIFS(RawData[Item], B1864,RawData[Quantity],C1864,RawData[Price Per Unit],D1864,RawData[Total Spent],E1864,RawData[Payment Method],F1864,RawData[Location],G1864,RawData[Transaction Date],H1864)</f>
        <v>1</v>
      </c>
      <c r="L1864"/>
    </row>
    <row r="1865" spans="1:12" x14ac:dyDescent="0.3">
      <c r="A1865" t="s">
        <v>1871</v>
      </c>
      <c r="B1865" t="s">
        <v>10012</v>
      </c>
      <c r="C1865">
        <v>4</v>
      </c>
      <c r="D1865">
        <v>4</v>
      </c>
      <c r="E1865">
        <v>16</v>
      </c>
      <c r="F1865" t="s">
        <v>10020</v>
      </c>
      <c r="G1865" t="s">
        <v>10069</v>
      </c>
      <c r="H1865" s="6">
        <v>45046</v>
      </c>
      <c r="I1865">
        <f t="shared" si="58"/>
        <v>0</v>
      </c>
      <c r="J1865" t="str">
        <f t="shared" si="59"/>
        <v>Complete</v>
      </c>
      <c r="K1865">
        <f>COUNTIFS(RawData[Item], B1865,RawData[Quantity],C1865,RawData[Price Per Unit],D1865,RawData[Total Spent],E1865,RawData[Payment Method],F1865,RawData[Location],G1865,RawData[Transaction Date],H1865)</f>
        <v>1</v>
      </c>
      <c r="L1865"/>
    </row>
    <row r="1866" spans="1:12" x14ac:dyDescent="0.3">
      <c r="A1866" t="s">
        <v>1872</v>
      </c>
      <c r="B1866" t="s">
        <v>10011</v>
      </c>
      <c r="C1866">
        <v>4</v>
      </c>
      <c r="D1866">
        <v>5</v>
      </c>
      <c r="E1866">
        <v>20</v>
      </c>
      <c r="F1866" t="s">
        <v>10018</v>
      </c>
      <c r="G1866" t="s">
        <v>10102</v>
      </c>
      <c r="H1866" s="6">
        <v>45195</v>
      </c>
      <c r="I1866">
        <f t="shared" si="58"/>
        <v>0</v>
      </c>
      <c r="J1866" t="str">
        <f t="shared" si="59"/>
        <v>Complete</v>
      </c>
      <c r="K1866">
        <f>COUNTIFS(RawData[Item], B1866,RawData[Quantity],C1866,RawData[Price Per Unit],D1866,RawData[Total Spent],E1866,RawData[Payment Method],F1866,RawData[Location],G1866,RawData[Transaction Date],H1866)</f>
        <v>1</v>
      </c>
      <c r="L1866"/>
    </row>
    <row r="1867" spans="1:12" x14ac:dyDescent="0.3">
      <c r="A1867" t="s">
        <v>1873</v>
      </c>
      <c r="B1867" t="s">
        <v>10016</v>
      </c>
      <c r="C1867">
        <v>3</v>
      </c>
      <c r="D1867">
        <v>3</v>
      </c>
      <c r="E1867">
        <v>9</v>
      </c>
      <c r="F1867" t="s">
        <v>10019</v>
      </c>
      <c r="G1867" t="s">
        <v>10021</v>
      </c>
      <c r="H1867" s="6">
        <v>44976</v>
      </c>
      <c r="I1867">
        <f t="shared" si="58"/>
        <v>0</v>
      </c>
      <c r="J1867" t="str">
        <f t="shared" si="59"/>
        <v>Complete</v>
      </c>
      <c r="K1867">
        <f>COUNTIFS(RawData[Item], B1867,RawData[Quantity],C1867,RawData[Price Per Unit],D1867,RawData[Total Spent],E1867,RawData[Payment Method],F1867,RawData[Location],G1867,RawData[Transaction Date],H1867)</f>
        <v>1</v>
      </c>
      <c r="L1867"/>
    </row>
    <row r="1868" spans="1:12" x14ac:dyDescent="0.3">
      <c r="A1868" t="s">
        <v>1874</v>
      </c>
      <c r="B1868" t="s">
        <v>10016</v>
      </c>
      <c r="C1868">
        <v>1</v>
      </c>
      <c r="D1868">
        <v>3</v>
      </c>
      <c r="E1868">
        <v>3</v>
      </c>
      <c r="F1868" t="s">
        <v>10018</v>
      </c>
      <c r="G1868" t="s">
        <v>10069</v>
      </c>
      <c r="H1868" s="6">
        <v>45006</v>
      </c>
      <c r="I1868">
        <f t="shared" si="58"/>
        <v>0</v>
      </c>
      <c r="J1868" t="str">
        <f t="shared" si="59"/>
        <v>Complete</v>
      </c>
      <c r="K1868">
        <f>COUNTIFS(RawData[Item], B1868,RawData[Quantity],C1868,RawData[Price Per Unit],D1868,RawData[Total Spent],E1868,RawData[Payment Method],F1868,RawData[Location],G1868,RawData[Transaction Date],H1868)</f>
        <v>1</v>
      </c>
      <c r="L1868"/>
    </row>
    <row r="1869" spans="1:12" x14ac:dyDescent="0.3">
      <c r="A1869" t="s">
        <v>1875</v>
      </c>
      <c r="B1869" t="s">
        <v>10010</v>
      </c>
      <c r="C1869" t="s">
        <v>10015</v>
      </c>
      <c r="D1869">
        <v>1</v>
      </c>
      <c r="E1869">
        <v>5</v>
      </c>
      <c r="F1869" t="s">
        <v>10069</v>
      </c>
      <c r="G1869" t="s">
        <v>10102</v>
      </c>
      <c r="H1869" s="6">
        <v>44992</v>
      </c>
      <c r="I1869">
        <f t="shared" si="58"/>
        <v>1</v>
      </c>
      <c r="J1869" t="str">
        <f t="shared" si="59"/>
        <v>Complete</v>
      </c>
      <c r="K1869">
        <f>COUNTIFS(RawData[Item], B1869,RawData[Quantity],C1869,RawData[Price Per Unit],D1869,RawData[Total Spent],E1869,RawData[Payment Method],F1869,RawData[Location],G1869,RawData[Transaction Date],H1869)</f>
        <v>1</v>
      </c>
      <c r="L1869"/>
    </row>
    <row r="1870" spans="1:12" x14ac:dyDescent="0.3">
      <c r="A1870" t="s">
        <v>1876</v>
      </c>
      <c r="B1870" t="s">
        <v>10016</v>
      </c>
      <c r="C1870">
        <v>1</v>
      </c>
      <c r="D1870">
        <v>0</v>
      </c>
      <c r="E1870">
        <v>3</v>
      </c>
      <c r="F1870" t="s">
        <v>10020</v>
      </c>
      <c r="G1870" t="s">
        <v>10102</v>
      </c>
      <c r="H1870" s="6">
        <v>45195</v>
      </c>
      <c r="I1870">
        <f t="shared" si="58"/>
        <v>0</v>
      </c>
      <c r="J1870" t="str">
        <f t="shared" si="59"/>
        <v>Complete</v>
      </c>
      <c r="K1870">
        <f>COUNTIFS(RawData[Item], B1870,RawData[Quantity],C1870,RawData[Price Per Unit],D1870,RawData[Total Spent],E1870,RawData[Payment Method],F1870,RawData[Location],G1870,RawData[Transaction Date],H1870)</f>
        <v>1</v>
      </c>
      <c r="L1870"/>
    </row>
    <row r="1871" spans="1:12" x14ac:dyDescent="0.3">
      <c r="A1871" t="s">
        <v>1877</v>
      </c>
      <c r="B1871" t="s">
        <v>10014</v>
      </c>
      <c r="C1871">
        <v>5</v>
      </c>
      <c r="D1871">
        <v>4</v>
      </c>
      <c r="E1871">
        <v>20</v>
      </c>
      <c r="F1871" t="s">
        <v>10020</v>
      </c>
      <c r="G1871" t="s">
        <v>10102</v>
      </c>
      <c r="H1871" s="6">
        <v>45133</v>
      </c>
      <c r="I1871">
        <f t="shared" si="58"/>
        <v>0</v>
      </c>
      <c r="J1871" t="str">
        <f t="shared" si="59"/>
        <v>Complete</v>
      </c>
      <c r="K1871">
        <f>COUNTIFS(RawData[Item], B1871,RawData[Quantity],C1871,RawData[Price Per Unit],D1871,RawData[Total Spent],E1871,RawData[Payment Method],F1871,RawData[Location],G1871,RawData[Transaction Date],H1871)</f>
        <v>1</v>
      </c>
      <c r="L1871"/>
    </row>
    <row r="1872" spans="1:12" x14ac:dyDescent="0.3">
      <c r="A1872" t="s">
        <v>1878</v>
      </c>
      <c r="B1872" t="s">
        <v>10016</v>
      </c>
      <c r="C1872">
        <v>1</v>
      </c>
      <c r="D1872">
        <v>3</v>
      </c>
      <c r="E1872">
        <v>3</v>
      </c>
      <c r="F1872" t="s">
        <v>10019</v>
      </c>
      <c r="G1872" t="s">
        <v>10069</v>
      </c>
      <c r="H1872" s="6">
        <v>44999</v>
      </c>
      <c r="I1872">
        <f t="shared" si="58"/>
        <v>0</v>
      </c>
      <c r="J1872" t="str">
        <f t="shared" si="59"/>
        <v>Complete</v>
      </c>
      <c r="K1872">
        <f>COUNTIFS(RawData[Item], B1872,RawData[Quantity],C1872,RawData[Price Per Unit],D1872,RawData[Total Spent],E1872,RawData[Payment Method],F1872,RawData[Location],G1872,RawData[Transaction Date],H1872)</f>
        <v>1</v>
      </c>
      <c r="L1872"/>
    </row>
    <row r="1873" spans="1:12" x14ac:dyDescent="0.3">
      <c r="A1873" t="s">
        <v>1879</v>
      </c>
      <c r="B1873" t="s">
        <v>10008</v>
      </c>
      <c r="C1873">
        <v>4</v>
      </c>
      <c r="D1873">
        <v>2</v>
      </c>
      <c r="E1873">
        <v>8</v>
      </c>
      <c r="F1873" t="s">
        <v>10069</v>
      </c>
      <c r="G1873" t="s">
        <v>10102</v>
      </c>
      <c r="H1873" s="6">
        <v>45225</v>
      </c>
      <c r="I1873">
        <f t="shared" si="58"/>
        <v>0</v>
      </c>
      <c r="J1873" t="str">
        <f t="shared" si="59"/>
        <v>Complete</v>
      </c>
      <c r="K1873">
        <f>COUNTIFS(RawData[Item], B1873,RawData[Quantity],C1873,RawData[Price Per Unit],D1873,RawData[Total Spent],E1873,RawData[Payment Method],F1873,RawData[Location],G1873,RawData[Transaction Date],H1873)</f>
        <v>1</v>
      </c>
      <c r="L1873"/>
    </row>
    <row r="1874" spans="1:12" x14ac:dyDescent="0.3">
      <c r="A1874" t="s">
        <v>1880</v>
      </c>
      <c r="B1874" t="s">
        <v>10012</v>
      </c>
      <c r="C1874">
        <v>2</v>
      </c>
      <c r="D1874">
        <v>4</v>
      </c>
      <c r="E1874">
        <v>8</v>
      </c>
      <c r="F1874" t="s">
        <v>10020</v>
      </c>
      <c r="G1874" t="s">
        <v>10102</v>
      </c>
      <c r="H1874" s="6">
        <v>45131</v>
      </c>
      <c r="I1874">
        <f t="shared" si="58"/>
        <v>0</v>
      </c>
      <c r="J1874" t="str">
        <f t="shared" si="59"/>
        <v>Complete</v>
      </c>
      <c r="K1874">
        <f>COUNTIFS(RawData[Item], B1874,RawData[Quantity],C1874,RawData[Price Per Unit],D1874,RawData[Total Spent],E1874,RawData[Payment Method],F1874,RawData[Location],G1874,RawData[Transaction Date],H1874)</f>
        <v>1</v>
      </c>
      <c r="L1874"/>
    </row>
    <row r="1875" spans="1:12" x14ac:dyDescent="0.3">
      <c r="A1875" t="s">
        <v>1881</v>
      </c>
      <c r="B1875" t="s">
        <v>10016</v>
      </c>
      <c r="C1875">
        <v>5</v>
      </c>
      <c r="D1875">
        <v>3</v>
      </c>
      <c r="E1875">
        <v>15</v>
      </c>
      <c r="F1875" t="s">
        <v>10018</v>
      </c>
      <c r="G1875" t="s">
        <v>10069</v>
      </c>
      <c r="H1875" s="6">
        <v>44994</v>
      </c>
      <c r="I1875">
        <f t="shared" si="58"/>
        <v>0</v>
      </c>
      <c r="J1875" t="str">
        <f t="shared" si="59"/>
        <v>Complete</v>
      </c>
      <c r="K1875">
        <f>COUNTIFS(RawData[Item], B1875,RawData[Quantity],C1875,RawData[Price Per Unit],D1875,RawData[Total Spent],E1875,RawData[Payment Method],F1875,RawData[Location],G1875,RawData[Transaction Date],H1875)</f>
        <v>1</v>
      </c>
      <c r="L1875"/>
    </row>
    <row r="1876" spans="1:12" x14ac:dyDescent="0.3">
      <c r="A1876" t="s">
        <v>1882</v>
      </c>
      <c r="B1876" t="s">
        <v>10010</v>
      </c>
      <c r="C1876">
        <v>2</v>
      </c>
      <c r="D1876">
        <v>1</v>
      </c>
      <c r="E1876">
        <v>2</v>
      </c>
      <c r="F1876" t="s">
        <v>10020</v>
      </c>
      <c r="G1876" t="s">
        <v>10102</v>
      </c>
      <c r="H1876" s="6">
        <v>44977</v>
      </c>
      <c r="I1876">
        <f t="shared" si="58"/>
        <v>0</v>
      </c>
      <c r="J1876" t="str">
        <f t="shared" si="59"/>
        <v>Complete</v>
      </c>
      <c r="K1876">
        <f>COUNTIFS(RawData[Item], B1876,RawData[Quantity],C1876,RawData[Price Per Unit],D1876,RawData[Total Spent],E1876,RawData[Payment Method],F1876,RawData[Location],G1876,RawData[Transaction Date],H1876)</f>
        <v>1</v>
      </c>
      <c r="L1876"/>
    </row>
    <row r="1877" spans="1:12" x14ac:dyDescent="0.3">
      <c r="A1877" t="s">
        <v>1883</v>
      </c>
      <c r="B1877" t="s">
        <v>10009</v>
      </c>
      <c r="C1877" t="s">
        <v>10015</v>
      </c>
      <c r="D1877">
        <v>3</v>
      </c>
      <c r="E1877">
        <v>6</v>
      </c>
      <c r="F1877" t="s">
        <v>10020</v>
      </c>
      <c r="G1877" t="s">
        <v>10102</v>
      </c>
      <c r="H1877" s="6">
        <v>45043</v>
      </c>
      <c r="I1877">
        <f t="shared" si="58"/>
        <v>1</v>
      </c>
      <c r="J1877" t="str">
        <f t="shared" si="59"/>
        <v>Complete</v>
      </c>
      <c r="K1877">
        <f>COUNTIFS(RawData[Item], B1877,RawData[Quantity],C1877,RawData[Price Per Unit],D1877,RawData[Total Spent],E1877,RawData[Payment Method],F1877,RawData[Location],G1877,RawData[Transaction Date],H1877)</f>
        <v>1</v>
      </c>
      <c r="L1877"/>
    </row>
    <row r="1878" spans="1:12" x14ac:dyDescent="0.3">
      <c r="A1878" t="s">
        <v>1884</v>
      </c>
      <c r="B1878" t="s">
        <v>10009</v>
      </c>
      <c r="C1878">
        <v>1</v>
      </c>
      <c r="D1878">
        <v>3</v>
      </c>
      <c r="E1878">
        <v>3</v>
      </c>
      <c r="F1878" t="s">
        <v>10018</v>
      </c>
      <c r="G1878" t="s">
        <v>10102</v>
      </c>
      <c r="H1878" s="6">
        <v>45209</v>
      </c>
      <c r="I1878">
        <f t="shared" si="58"/>
        <v>0</v>
      </c>
      <c r="J1878" t="str">
        <f t="shared" si="59"/>
        <v>Complete</v>
      </c>
      <c r="K1878">
        <f>COUNTIFS(RawData[Item], B1878,RawData[Quantity],C1878,RawData[Price Per Unit],D1878,RawData[Total Spent],E1878,RawData[Payment Method],F1878,RawData[Location],G1878,RawData[Transaction Date],H1878)</f>
        <v>1</v>
      </c>
      <c r="L1878"/>
    </row>
    <row r="1879" spans="1:12" x14ac:dyDescent="0.3">
      <c r="A1879" t="s">
        <v>1885</v>
      </c>
      <c r="B1879" t="s">
        <v>10017</v>
      </c>
      <c r="C1879">
        <v>5</v>
      </c>
      <c r="D1879">
        <v>1.5</v>
      </c>
      <c r="E1879">
        <v>7.5</v>
      </c>
      <c r="F1879" t="s">
        <v>10069</v>
      </c>
      <c r="G1879" t="s">
        <v>10102</v>
      </c>
      <c r="H1879" s="6">
        <v>45203</v>
      </c>
      <c r="I1879">
        <f t="shared" si="58"/>
        <v>0</v>
      </c>
      <c r="J1879" t="str">
        <f t="shared" si="59"/>
        <v>Complete</v>
      </c>
      <c r="K1879">
        <f>COUNTIFS(RawData[Item], B1879,RawData[Quantity],C1879,RawData[Price Per Unit],D1879,RawData[Total Spent],E1879,RawData[Payment Method],F1879,RawData[Location],G1879,RawData[Transaction Date],H1879)</f>
        <v>1</v>
      </c>
      <c r="L1879"/>
    </row>
    <row r="1880" spans="1:12" x14ac:dyDescent="0.3">
      <c r="A1880" t="s">
        <v>1886</v>
      </c>
      <c r="B1880" t="s">
        <v>10009</v>
      </c>
      <c r="C1880">
        <v>5</v>
      </c>
      <c r="D1880">
        <v>3</v>
      </c>
      <c r="E1880">
        <v>15</v>
      </c>
      <c r="F1880" t="s">
        <v>10019</v>
      </c>
      <c r="G1880" t="s">
        <v>10104</v>
      </c>
      <c r="H1880" s="6">
        <v>45184</v>
      </c>
      <c r="I1880">
        <f t="shared" si="58"/>
        <v>1</v>
      </c>
      <c r="J1880" t="str">
        <f t="shared" si="59"/>
        <v>Complete</v>
      </c>
      <c r="K1880">
        <f>COUNTIFS(RawData[Item], B1880,RawData[Quantity],C1880,RawData[Price Per Unit],D1880,RawData[Total Spent],E1880,RawData[Payment Method],F1880,RawData[Location],G1880,RawData[Transaction Date],H1880)</f>
        <v>1</v>
      </c>
      <c r="L1880"/>
    </row>
    <row r="1881" spans="1:12" x14ac:dyDescent="0.3">
      <c r="A1881" t="s">
        <v>1887</v>
      </c>
      <c r="B1881" t="s">
        <v>10011</v>
      </c>
      <c r="C1881">
        <v>1</v>
      </c>
      <c r="D1881">
        <v>5</v>
      </c>
      <c r="E1881">
        <v>5</v>
      </c>
      <c r="F1881" t="s">
        <v>10020</v>
      </c>
      <c r="G1881" t="s">
        <v>10102</v>
      </c>
      <c r="H1881" s="6" t="s">
        <v>10112</v>
      </c>
      <c r="I1881">
        <f t="shared" si="58"/>
        <v>1</v>
      </c>
      <c r="J1881" t="str">
        <f t="shared" si="59"/>
        <v>Incomplete</v>
      </c>
      <c r="K1881">
        <f>COUNTIFS(RawData[Item], B1881,RawData[Quantity],C1881,RawData[Price Per Unit],D1881,RawData[Total Spent],E1881,RawData[Payment Method],F1881,RawData[Location],G1881,RawData[Transaction Date],H1881)</f>
        <v>1</v>
      </c>
      <c r="L1881"/>
    </row>
    <row r="1882" spans="1:12" x14ac:dyDescent="0.3">
      <c r="A1882" t="s">
        <v>1888</v>
      </c>
      <c r="B1882" t="s">
        <v>10017</v>
      </c>
      <c r="C1882">
        <v>3</v>
      </c>
      <c r="D1882">
        <v>1.5</v>
      </c>
      <c r="E1882">
        <v>4.5</v>
      </c>
      <c r="F1882" t="s">
        <v>10019</v>
      </c>
      <c r="G1882" t="s">
        <v>10021</v>
      </c>
      <c r="H1882" s="6">
        <v>45191</v>
      </c>
      <c r="I1882">
        <f t="shared" si="58"/>
        <v>0</v>
      </c>
      <c r="J1882" t="str">
        <f t="shared" si="59"/>
        <v>Complete</v>
      </c>
      <c r="K1882">
        <f>COUNTIFS(RawData[Item], B1882,RawData[Quantity],C1882,RawData[Price Per Unit],D1882,RawData[Total Spent],E1882,RawData[Payment Method],F1882,RawData[Location],G1882,RawData[Transaction Date],H1882)</f>
        <v>1</v>
      </c>
      <c r="L1882"/>
    </row>
    <row r="1883" spans="1:12" x14ac:dyDescent="0.3">
      <c r="A1883" t="s">
        <v>1889</v>
      </c>
      <c r="B1883" t="s">
        <v>10014</v>
      </c>
      <c r="C1883">
        <v>4</v>
      </c>
      <c r="D1883">
        <v>4</v>
      </c>
      <c r="E1883">
        <v>16</v>
      </c>
      <c r="F1883" t="s">
        <v>10020</v>
      </c>
      <c r="G1883" t="s">
        <v>10069</v>
      </c>
      <c r="H1883" s="6">
        <v>45038</v>
      </c>
      <c r="I1883">
        <f t="shared" si="58"/>
        <v>0</v>
      </c>
      <c r="J1883" t="str">
        <f t="shared" si="59"/>
        <v>Complete</v>
      </c>
      <c r="K1883">
        <f>COUNTIFS(RawData[Item], B1883,RawData[Quantity],C1883,RawData[Price Per Unit],D1883,RawData[Total Spent],E1883,RawData[Payment Method],F1883,RawData[Location],G1883,RawData[Transaction Date],H1883)</f>
        <v>1</v>
      </c>
      <c r="L1883"/>
    </row>
    <row r="1884" spans="1:12" x14ac:dyDescent="0.3">
      <c r="A1884" t="s">
        <v>1890</v>
      </c>
      <c r="B1884" t="s">
        <v>10012</v>
      </c>
      <c r="C1884">
        <v>4</v>
      </c>
      <c r="D1884">
        <v>4</v>
      </c>
      <c r="E1884">
        <v>16</v>
      </c>
      <c r="F1884" t="s">
        <v>10018</v>
      </c>
      <c r="G1884" t="s">
        <v>10069</v>
      </c>
      <c r="H1884" s="6">
        <v>45112</v>
      </c>
      <c r="I1884">
        <f t="shared" si="58"/>
        <v>0</v>
      </c>
      <c r="J1884" t="str">
        <f t="shared" si="59"/>
        <v>Complete</v>
      </c>
      <c r="K1884">
        <f>COUNTIFS(RawData[Item], B1884,RawData[Quantity],C1884,RawData[Price Per Unit],D1884,RawData[Total Spent],E1884,RawData[Payment Method],F1884,RawData[Location],G1884,RawData[Transaction Date],H1884)</f>
        <v>1</v>
      </c>
      <c r="L1884"/>
    </row>
    <row r="1885" spans="1:12" x14ac:dyDescent="0.3">
      <c r="A1885" t="s">
        <v>1891</v>
      </c>
      <c r="B1885" t="s">
        <v>10008</v>
      </c>
      <c r="C1885">
        <v>1</v>
      </c>
      <c r="D1885">
        <v>2</v>
      </c>
      <c r="E1885">
        <v>2</v>
      </c>
      <c r="F1885" t="s">
        <v>10020</v>
      </c>
      <c r="G1885" t="s">
        <v>10021</v>
      </c>
      <c r="H1885" s="6">
        <v>45078</v>
      </c>
      <c r="I1885">
        <f t="shared" si="58"/>
        <v>0</v>
      </c>
      <c r="J1885" t="str">
        <f t="shared" si="59"/>
        <v>Complete</v>
      </c>
      <c r="K1885">
        <f>COUNTIFS(RawData[Item], B1885,RawData[Quantity],C1885,RawData[Price Per Unit],D1885,RawData[Total Spent],E1885,RawData[Payment Method],F1885,RawData[Location],G1885,RawData[Transaction Date],H1885)</f>
        <v>1</v>
      </c>
      <c r="L1885"/>
    </row>
    <row r="1886" spans="1:12" x14ac:dyDescent="0.3">
      <c r="A1886" t="s">
        <v>1892</v>
      </c>
      <c r="B1886" t="s">
        <v>10011</v>
      </c>
      <c r="C1886">
        <v>3</v>
      </c>
      <c r="D1886">
        <v>5</v>
      </c>
      <c r="E1886">
        <v>15</v>
      </c>
      <c r="F1886" t="s">
        <v>10103</v>
      </c>
      <c r="G1886" t="s">
        <v>10069</v>
      </c>
      <c r="H1886" s="6">
        <v>44966</v>
      </c>
      <c r="I1886">
        <f t="shared" si="58"/>
        <v>1</v>
      </c>
      <c r="J1886" t="str">
        <f t="shared" si="59"/>
        <v>Complete</v>
      </c>
      <c r="K1886">
        <f>COUNTIFS(RawData[Item], B1886,RawData[Quantity],C1886,RawData[Price Per Unit],D1886,RawData[Total Spent],E1886,RawData[Payment Method],F1886,RawData[Location],G1886,RawData[Transaction Date],H1886)</f>
        <v>1</v>
      </c>
      <c r="L1886"/>
    </row>
    <row r="1887" spans="1:12" x14ac:dyDescent="0.3">
      <c r="A1887" t="s">
        <v>1893</v>
      </c>
      <c r="B1887" t="s">
        <v>10009</v>
      </c>
      <c r="C1887">
        <v>1</v>
      </c>
      <c r="D1887">
        <v>3</v>
      </c>
      <c r="E1887">
        <v>3</v>
      </c>
      <c r="F1887" t="s">
        <v>10069</v>
      </c>
      <c r="G1887" t="s">
        <v>10102</v>
      </c>
      <c r="H1887" s="6" t="s">
        <v>10112</v>
      </c>
      <c r="I1887">
        <f t="shared" si="58"/>
        <v>1</v>
      </c>
      <c r="J1887" t="str">
        <f t="shared" si="59"/>
        <v>Incomplete</v>
      </c>
      <c r="K1887">
        <f>COUNTIFS(RawData[Item], B1887,RawData[Quantity],C1887,RawData[Price Per Unit],D1887,RawData[Total Spent],E1887,RawData[Payment Method],F1887,RawData[Location],G1887,RawData[Transaction Date],H1887)</f>
        <v>1</v>
      </c>
      <c r="L1887"/>
    </row>
    <row r="1888" spans="1:12" x14ac:dyDescent="0.3">
      <c r="A1888" t="s">
        <v>1894</v>
      </c>
      <c r="B1888" t="s">
        <v>10008</v>
      </c>
      <c r="C1888">
        <v>1</v>
      </c>
      <c r="D1888">
        <v>2</v>
      </c>
      <c r="E1888">
        <v>2</v>
      </c>
      <c r="F1888" t="s">
        <v>10020</v>
      </c>
      <c r="G1888" t="s">
        <v>10021</v>
      </c>
      <c r="H1888" s="6">
        <v>45234</v>
      </c>
      <c r="I1888">
        <f t="shared" si="58"/>
        <v>0</v>
      </c>
      <c r="J1888" t="str">
        <f t="shared" si="59"/>
        <v>Complete</v>
      </c>
      <c r="K1888">
        <f>COUNTIFS(RawData[Item], B1888,RawData[Quantity],C1888,RawData[Price Per Unit],D1888,RawData[Total Spent],E1888,RawData[Payment Method],F1888,RawData[Location],G1888,RawData[Transaction Date],H1888)</f>
        <v>1</v>
      </c>
      <c r="L1888"/>
    </row>
    <row r="1889" spans="1:12" x14ac:dyDescent="0.3">
      <c r="A1889" t="s">
        <v>1895</v>
      </c>
      <c r="B1889" t="s">
        <v>10016</v>
      </c>
      <c r="C1889">
        <v>5</v>
      </c>
      <c r="D1889">
        <v>3</v>
      </c>
      <c r="E1889">
        <v>15</v>
      </c>
      <c r="F1889" t="s">
        <v>10019</v>
      </c>
      <c r="G1889" t="s">
        <v>10102</v>
      </c>
      <c r="H1889" s="6">
        <v>44977</v>
      </c>
      <c r="I1889">
        <f t="shared" si="58"/>
        <v>0</v>
      </c>
      <c r="J1889" t="str">
        <f t="shared" si="59"/>
        <v>Complete</v>
      </c>
      <c r="K1889">
        <f>COUNTIFS(RawData[Item], B1889,RawData[Quantity],C1889,RawData[Price Per Unit],D1889,RawData[Total Spent],E1889,RawData[Payment Method],F1889,RawData[Location],G1889,RawData[Transaction Date],H1889)</f>
        <v>1</v>
      </c>
      <c r="L1889"/>
    </row>
    <row r="1890" spans="1:12" x14ac:dyDescent="0.3">
      <c r="A1890" t="s">
        <v>1896</v>
      </c>
      <c r="B1890" t="s">
        <v>10008</v>
      </c>
      <c r="C1890">
        <v>5</v>
      </c>
      <c r="D1890">
        <v>2</v>
      </c>
      <c r="E1890">
        <v>10</v>
      </c>
      <c r="F1890" t="s">
        <v>10069</v>
      </c>
      <c r="G1890" t="s">
        <v>10102</v>
      </c>
      <c r="H1890" s="6">
        <v>45143</v>
      </c>
      <c r="I1890">
        <f t="shared" si="58"/>
        <v>0</v>
      </c>
      <c r="J1890" t="str">
        <f t="shared" si="59"/>
        <v>Complete</v>
      </c>
      <c r="K1890">
        <f>COUNTIFS(RawData[Item], B1890,RawData[Quantity],C1890,RawData[Price Per Unit],D1890,RawData[Total Spent],E1890,RawData[Payment Method],F1890,RawData[Location],G1890,RawData[Transaction Date],H1890)</f>
        <v>1</v>
      </c>
      <c r="L1890"/>
    </row>
    <row r="1891" spans="1:12" x14ac:dyDescent="0.3">
      <c r="A1891" t="s">
        <v>1897</v>
      </c>
      <c r="B1891" t="s">
        <v>10013</v>
      </c>
      <c r="C1891">
        <v>5</v>
      </c>
      <c r="D1891">
        <v>3</v>
      </c>
      <c r="E1891">
        <v>0</v>
      </c>
      <c r="F1891" t="s">
        <v>10069</v>
      </c>
      <c r="G1891" t="s">
        <v>10069</v>
      </c>
      <c r="H1891" s="6" t="s">
        <v>10112</v>
      </c>
      <c r="I1891">
        <f t="shared" si="58"/>
        <v>2</v>
      </c>
      <c r="J1891" t="str">
        <f t="shared" si="59"/>
        <v>Incomplete</v>
      </c>
      <c r="K1891">
        <f>COUNTIFS(RawData[Item], B1891,RawData[Quantity],C1891,RawData[Price Per Unit],D1891,RawData[Total Spent],E1891,RawData[Payment Method],F1891,RawData[Location],G1891,RawData[Transaction Date],H1891)</f>
        <v>1</v>
      </c>
      <c r="L1891"/>
    </row>
    <row r="1892" spans="1:12" x14ac:dyDescent="0.3">
      <c r="A1892" t="s">
        <v>1898</v>
      </c>
      <c r="B1892" t="s">
        <v>10015</v>
      </c>
      <c r="C1892">
        <v>4</v>
      </c>
      <c r="D1892">
        <v>1.5</v>
      </c>
      <c r="E1892">
        <v>6</v>
      </c>
      <c r="F1892" t="s">
        <v>10020</v>
      </c>
      <c r="G1892" t="s">
        <v>10069</v>
      </c>
      <c r="H1892" s="6">
        <v>45019</v>
      </c>
      <c r="I1892">
        <f t="shared" si="58"/>
        <v>1</v>
      </c>
      <c r="J1892" t="str">
        <f t="shared" si="59"/>
        <v>Complete</v>
      </c>
      <c r="K1892">
        <f>COUNTIFS(RawData[Item], B1892,RawData[Quantity],C1892,RawData[Price Per Unit],D1892,RawData[Total Spent],E1892,RawData[Payment Method],F1892,RawData[Location],G1892,RawData[Transaction Date],H1892)</f>
        <v>1</v>
      </c>
      <c r="L1892"/>
    </row>
    <row r="1893" spans="1:12" x14ac:dyDescent="0.3">
      <c r="A1893" t="s">
        <v>1899</v>
      </c>
      <c r="B1893" t="s">
        <v>10017</v>
      </c>
      <c r="C1893">
        <v>5</v>
      </c>
      <c r="D1893">
        <v>1.5</v>
      </c>
      <c r="E1893">
        <v>7.5</v>
      </c>
      <c r="F1893" t="s">
        <v>10069</v>
      </c>
      <c r="G1893" t="s">
        <v>10021</v>
      </c>
      <c r="H1893" s="6">
        <v>45119</v>
      </c>
      <c r="I1893">
        <f t="shared" si="58"/>
        <v>0</v>
      </c>
      <c r="J1893" t="str">
        <f t="shared" si="59"/>
        <v>Complete</v>
      </c>
      <c r="K1893">
        <f>COUNTIFS(RawData[Item], B1893,RawData[Quantity],C1893,RawData[Price Per Unit],D1893,RawData[Total Spent],E1893,RawData[Payment Method],F1893,RawData[Location],G1893,RawData[Transaction Date],H1893)</f>
        <v>1</v>
      </c>
      <c r="L1893"/>
    </row>
    <row r="1894" spans="1:12" x14ac:dyDescent="0.3">
      <c r="A1894" t="s">
        <v>1900</v>
      </c>
      <c r="B1894" t="s">
        <v>10016</v>
      </c>
      <c r="C1894">
        <v>4</v>
      </c>
      <c r="D1894">
        <v>3</v>
      </c>
      <c r="E1894">
        <v>12</v>
      </c>
      <c r="F1894" t="s">
        <v>10069</v>
      </c>
      <c r="G1894" t="s">
        <v>10069</v>
      </c>
      <c r="H1894" s="6">
        <v>45037</v>
      </c>
      <c r="I1894">
        <f t="shared" si="58"/>
        <v>0</v>
      </c>
      <c r="J1894" t="str">
        <f t="shared" si="59"/>
        <v>Complete</v>
      </c>
      <c r="K1894">
        <f>COUNTIFS(RawData[Item], B1894,RawData[Quantity],C1894,RawData[Price Per Unit],D1894,RawData[Total Spent],E1894,RawData[Payment Method],F1894,RawData[Location],G1894,RawData[Transaction Date],H1894)</f>
        <v>1</v>
      </c>
      <c r="L1894"/>
    </row>
    <row r="1895" spans="1:12" x14ac:dyDescent="0.3">
      <c r="A1895" t="s">
        <v>1901</v>
      </c>
      <c r="B1895" t="s">
        <v>10012</v>
      </c>
      <c r="C1895">
        <v>5</v>
      </c>
      <c r="D1895">
        <v>4</v>
      </c>
      <c r="E1895">
        <v>20</v>
      </c>
      <c r="F1895" t="s">
        <v>10020</v>
      </c>
      <c r="G1895" t="s">
        <v>10069</v>
      </c>
      <c r="H1895" s="6">
        <v>44967</v>
      </c>
      <c r="I1895">
        <f t="shared" si="58"/>
        <v>0</v>
      </c>
      <c r="J1895" t="str">
        <f t="shared" si="59"/>
        <v>Complete</v>
      </c>
      <c r="K1895">
        <f>COUNTIFS(RawData[Item], B1895,RawData[Quantity],C1895,RawData[Price Per Unit],D1895,RawData[Total Spent],E1895,RawData[Payment Method],F1895,RawData[Location],G1895,RawData[Transaction Date],H1895)</f>
        <v>1</v>
      </c>
      <c r="L1895"/>
    </row>
    <row r="1896" spans="1:12" x14ac:dyDescent="0.3">
      <c r="A1896" t="s">
        <v>1902</v>
      </c>
      <c r="B1896" t="s">
        <v>10012</v>
      </c>
      <c r="C1896">
        <v>2</v>
      </c>
      <c r="D1896">
        <v>4</v>
      </c>
      <c r="E1896">
        <v>8</v>
      </c>
      <c r="F1896" t="s">
        <v>10069</v>
      </c>
      <c r="G1896" t="s">
        <v>10102</v>
      </c>
      <c r="H1896" s="6" t="s">
        <v>10112</v>
      </c>
      <c r="I1896">
        <f t="shared" si="58"/>
        <v>1</v>
      </c>
      <c r="J1896" t="str">
        <f t="shared" si="59"/>
        <v>Incomplete</v>
      </c>
      <c r="K1896">
        <f>COUNTIFS(RawData[Item], B1896,RawData[Quantity],C1896,RawData[Price Per Unit],D1896,RawData[Total Spent],E1896,RawData[Payment Method],F1896,RawData[Location],G1896,RawData[Transaction Date],H1896)</f>
        <v>1</v>
      </c>
      <c r="L1896"/>
    </row>
    <row r="1897" spans="1:12" x14ac:dyDescent="0.3">
      <c r="A1897" t="s">
        <v>1903</v>
      </c>
      <c r="B1897" t="s">
        <v>10014</v>
      </c>
      <c r="C1897">
        <v>5</v>
      </c>
      <c r="D1897">
        <v>4</v>
      </c>
      <c r="E1897" t="s">
        <v>10015</v>
      </c>
      <c r="F1897" t="s">
        <v>10018</v>
      </c>
      <c r="G1897" t="s">
        <v>10102</v>
      </c>
      <c r="H1897" s="6">
        <v>44928</v>
      </c>
      <c r="I1897">
        <f t="shared" si="58"/>
        <v>1</v>
      </c>
      <c r="J1897" t="str">
        <f t="shared" si="59"/>
        <v>Complete</v>
      </c>
      <c r="K1897">
        <f>COUNTIFS(RawData[Item], B1897,RawData[Quantity],C1897,RawData[Price Per Unit],D1897,RawData[Total Spent],E1897,RawData[Payment Method],F1897,RawData[Location],G1897,RawData[Transaction Date],H1897)</f>
        <v>1</v>
      </c>
      <c r="L1897"/>
    </row>
    <row r="1898" spans="1:12" x14ac:dyDescent="0.3">
      <c r="A1898" t="s">
        <v>1904</v>
      </c>
      <c r="B1898" t="s">
        <v>10012</v>
      </c>
      <c r="C1898">
        <v>4</v>
      </c>
      <c r="D1898">
        <v>0</v>
      </c>
      <c r="E1898">
        <v>16</v>
      </c>
      <c r="F1898" t="s">
        <v>10069</v>
      </c>
      <c r="G1898" t="s">
        <v>10021</v>
      </c>
      <c r="H1898" s="6">
        <v>45170</v>
      </c>
      <c r="I1898">
        <f t="shared" si="58"/>
        <v>0</v>
      </c>
      <c r="J1898" t="str">
        <f t="shared" si="59"/>
        <v>Complete</v>
      </c>
      <c r="K1898">
        <f>COUNTIFS(RawData[Item], B1898,RawData[Quantity],C1898,RawData[Price Per Unit],D1898,RawData[Total Spent],E1898,RawData[Payment Method],F1898,RawData[Location],G1898,RawData[Transaction Date],H1898)</f>
        <v>1</v>
      </c>
      <c r="L1898"/>
    </row>
    <row r="1899" spans="1:12" x14ac:dyDescent="0.3">
      <c r="A1899" t="s">
        <v>1905</v>
      </c>
      <c r="B1899" t="s">
        <v>10016</v>
      </c>
      <c r="C1899">
        <v>5</v>
      </c>
      <c r="D1899">
        <v>3</v>
      </c>
      <c r="E1899">
        <v>15</v>
      </c>
      <c r="F1899" t="s">
        <v>10019</v>
      </c>
      <c r="G1899" t="s">
        <v>10102</v>
      </c>
      <c r="H1899" s="6">
        <v>45106</v>
      </c>
      <c r="I1899">
        <f t="shared" si="58"/>
        <v>0</v>
      </c>
      <c r="J1899" t="str">
        <f t="shared" si="59"/>
        <v>Complete</v>
      </c>
      <c r="K1899">
        <f>COUNTIFS(RawData[Item], B1899,RawData[Quantity],C1899,RawData[Price Per Unit],D1899,RawData[Total Spent],E1899,RawData[Payment Method],F1899,RawData[Location],G1899,RawData[Transaction Date],H1899)</f>
        <v>1</v>
      </c>
      <c r="L1899"/>
    </row>
    <row r="1900" spans="1:12" x14ac:dyDescent="0.3">
      <c r="A1900" t="s">
        <v>1906</v>
      </c>
      <c r="B1900" t="s">
        <v>10009</v>
      </c>
      <c r="C1900">
        <v>3</v>
      </c>
      <c r="D1900">
        <v>3</v>
      </c>
      <c r="E1900">
        <v>9</v>
      </c>
      <c r="F1900" t="s">
        <v>10069</v>
      </c>
      <c r="G1900" t="s">
        <v>10021</v>
      </c>
      <c r="H1900" s="6">
        <v>45195</v>
      </c>
      <c r="I1900">
        <f t="shared" si="58"/>
        <v>0</v>
      </c>
      <c r="J1900" t="str">
        <f t="shared" si="59"/>
        <v>Complete</v>
      </c>
      <c r="K1900">
        <f>COUNTIFS(RawData[Item], B1900,RawData[Quantity],C1900,RawData[Price Per Unit],D1900,RawData[Total Spent],E1900,RawData[Payment Method],F1900,RawData[Location],G1900,RawData[Transaction Date],H1900)</f>
        <v>1</v>
      </c>
      <c r="L1900"/>
    </row>
    <row r="1901" spans="1:12" x14ac:dyDescent="0.3">
      <c r="A1901" t="s">
        <v>1907</v>
      </c>
      <c r="B1901" t="s">
        <v>10010</v>
      </c>
      <c r="C1901">
        <v>3</v>
      </c>
      <c r="D1901">
        <v>1</v>
      </c>
      <c r="E1901" t="s">
        <v>10013</v>
      </c>
      <c r="F1901" t="s">
        <v>10020</v>
      </c>
      <c r="G1901" t="s">
        <v>10021</v>
      </c>
      <c r="H1901" s="6">
        <v>45254</v>
      </c>
      <c r="I1901">
        <f t="shared" si="58"/>
        <v>1</v>
      </c>
      <c r="J1901" t="str">
        <f t="shared" si="59"/>
        <v>Complete</v>
      </c>
      <c r="K1901">
        <f>COUNTIFS(RawData[Item], B1901,RawData[Quantity],C1901,RawData[Price Per Unit],D1901,RawData[Total Spent],E1901,RawData[Payment Method],F1901,RawData[Location],G1901,RawData[Transaction Date],H1901)</f>
        <v>1</v>
      </c>
      <c r="L1901"/>
    </row>
    <row r="1902" spans="1:12" x14ac:dyDescent="0.3">
      <c r="A1902" t="s">
        <v>1908</v>
      </c>
      <c r="B1902" t="s">
        <v>10014</v>
      </c>
      <c r="C1902">
        <v>3</v>
      </c>
      <c r="D1902">
        <v>4</v>
      </c>
      <c r="E1902">
        <v>12</v>
      </c>
      <c r="F1902" t="s">
        <v>10019</v>
      </c>
      <c r="G1902" t="s">
        <v>10069</v>
      </c>
      <c r="H1902" s="6">
        <v>45084</v>
      </c>
      <c r="I1902">
        <f t="shared" si="58"/>
        <v>0</v>
      </c>
      <c r="J1902" t="str">
        <f t="shared" si="59"/>
        <v>Complete</v>
      </c>
      <c r="K1902">
        <f>COUNTIFS(RawData[Item], B1902,RawData[Quantity],C1902,RawData[Price Per Unit],D1902,RawData[Total Spent],E1902,RawData[Payment Method],F1902,RawData[Location],G1902,RawData[Transaction Date],H1902)</f>
        <v>1</v>
      </c>
      <c r="L1902"/>
    </row>
    <row r="1903" spans="1:12" x14ac:dyDescent="0.3">
      <c r="A1903" t="s">
        <v>1909</v>
      </c>
      <c r="B1903" t="s">
        <v>10017</v>
      </c>
      <c r="C1903">
        <v>1</v>
      </c>
      <c r="D1903">
        <v>1.5</v>
      </c>
      <c r="E1903">
        <v>1.5</v>
      </c>
      <c r="F1903" t="s">
        <v>10103</v>
      </c>
      <c r="G1903" t="s">
        <v>10102</v>
      </c>
      <c r="H1903" s="6">
        <v>45148</v>
      </c>
      <c r="I1903">
        <f t="shared" si="58"/>
        <v>1</v>
      </c>
      <c r="J1903" t="str">
        <f t="shared" si="59"/>
        <v>Complete</v>
      </c>
      <c r="K1903">
        <f>COUNTIFS(RawData[Item], B1903,RawData[Quantity],C1903,RawData[Price Per Unit],D1903,RawData[Total Spent],E1903,RawData[Payment Method],F1903,RawData[Location],G1903,RawData[Transaction Date],H1903)</f>
        <v>1</v>
      </c>
      <c r="L1903"/>
    </row>
    <row r="1904" spans="1:12" x14ac:dyDescent="0.3">
      <c r="A1904" t="s">
        <v>1910</v>
      </c>
      <c r="B1904" t="s">
        <v>10015</v>
      </c>
      <c r="C1904">
        <v>3</v>
      </c>
      <c r="D1904">
        <v>2</v>
      </c>
      <c r="E1904">
        <v>6</v>
      </c>
      <c r="F1904" t="s">
        <v>10069</v>
      </c>
      <c r="G1904" t="s">
        <v>10102</v>
      </c>
      <c r="H1904" s="6">
        <v>44993</v>
      </c>
      <c r="I1904">
        <f t="shared" si="58"/>
        <v>1</v>
      </c>
      <c r="J1904" t="str">
        <f t="shared" si="59"/>
        <v>Complete</v>
      </c>
      <c r="K1904">
        <f>COUNTIFS(RawData[Item], B1904,RawData[Quantity],C1904,RawData[Price Per Unit],D1904,RawData[Total Spent],E1904,RawData[Payment Method],F1904,RawData[Location],G1904,RawData[Transaction Date],H1904)</f>
        <v>1</v>
      </c>
      <c r="L1904"/>
    </row>
    <row r="1905" spans="1:12" x14ac:dyDescent="0.3">
      <c r="A1905" t="s">
        <v>1911</v>
      </c>
      <c r="B1905" t="s">
        <v>10017</v>
      </c>
      <c r="C1905">
        <v>2</v>
      </c>
      <c r="D1905">
        <v>1.5</v>
      </c>
      <c r="E1905">
        <v>3</v>
      </c>
      <c r="F1905" t="s">
        <v>10020</v>
      </c>
      <c r="G1905" t="s">
        <v>10102</v>
      </c>
      <c r="H1905" s="6">
        <v>45155</v>
      </c>
      <c r="I1905">
        <f t="shared" si="58"/>
        <v>0</v>
      </c>
      <c r="J1905" t="str">
        <f t="shared" si="59"/>
        <v>Complete</v>
      </c>
      <c r="K1905">
        <f>COUNTIFS(RawData[Item], B1905,RawData[Quantity],C1905,RawData[Price Per Unit],D1905,RawData[Total Spent],E1905,RawData[Payment Method],F1905,RawData[Location],G1905,RawData[Transaction Date],H1905)</f>
        <v>1</v>
      </c>
      <c r="L1905"/>
    </row>
    <row r="1906" spans="1:12" x14ac:dyDescent="0.3">
      <c r="A1906" t="s">
        <v>1912</v>
      </c>
      <c r="B1906" t="s">
        <v>10008</v>
      </c>
      <c r="C1906">
        <v>1</v>
      </c>
      <c r="D1906">
        <v>2</v>
      </c>
      <c r="E1906">
        <v>2</v>
      </c>
      <c r="F1906" t="s">
        <v>10069</v>
      </c>
      <c r="G1906" t="s">
        <v>10021</v>
      </c>
      <c r="H1906" s="6">
        <v>45064</v>
      </c>
      <c r="I1906">
        <f t="shared" si="58"/>
        <v>0</v>
      </c>
      <c r="J1906" t="str">
        <f t="shared" si="59"/>
        <v>Complete</v>
      </c>
      <c r="K1906">
        <f>COUNTIFS(RawData[Item], B1906,RawData[Quantity],C1906,RawData[Price Per Unit],D1906,RawData[Total Spent],E1906,RawData[Payment Method],F1906,RawData[Location],G1906,RawData[Transaction Date],H1906)</f>
        <v>1</v>
      </c>
      <c r="L1906"/>
    </row>
    <row r="1907" spans="1:12" x14ac:dyDescent="0.3">
      <c r="A1907" t="s">
        <v>1913</v>
      </c>
      <c r="B1907" t="s">
        <v>10014</v>
      </c>
      <c r="C1907">
        <v>1</v>
      </c>
      <c r="D1907">
        <v>4</v>
      </c>
      <c r="E1907">
        <v>4</v>
      </c>
      <c r="F1907" t="s">
        <v>10018</v>
      </c>
      <c r="G1907" t="s">
        <v>10069</v>
      </c>
      <c r="H1907" s="6">
        <v>45166</v>
      </c>
      <c r="I1907">
        <f t="shared" si="58"/>
        <v>0</v>
      </c>
      <c r="J1907" t="str">
        <f t="shared" si="59"/>
        <v>Complete</v>
      </c>
      <c r="K1907">
        <f>COUNTIFS(RawData[Item], B1907,RawData[Quantity],C1907,RawData[Price Per Unit],D1907,RawData[Total Spent],E1907,RawData[Payment Method],F1907,RawData[Location],G1907,RawData[Transaction Date],H1907)</f>
        <v>1</v>
      </c>
      <c r="L1907"/>
    </row>
    <row r="1908" spans="1:12" x14ac:dyDescent="0.3">
      <c r="A1908" t="s">
        <v>1914</v>
      </c>
      <c r="B1908" t="s">
        <v>10012</v>
      </c>
      <c r="C1908">
        <v>3</v>
      </c>
      <c r="D1908">
        <v>4</v>
      </c>
      <c r="E1908">
        <v>12</v>
      </c>
      <c r="F1908" t="s">
        <v>10019</v>
      </c>
      <c r="G1908" t="s">
        <v>10102</v>
      </c>
      <c r="H1908" s="6">
        <v>45072</v>
      </c>
      <c r="I1908">
        <f t="shared" si="58"/>
        <v>0</v>
      </c>
      <c r="J1908" t="str">
        <f t="shared" si="59"/>
        <v>Complete</v>
      </c>
      <c r="K1908">
        <f>COUNTIFS(RawData[Item], B1908,RawData[Quantity],C1908,RawData[Price Per Unit],D1908,RawData[Total Spent],E1908,RawData[Payment Method],F1908,RawData[Location],G1908,RawData[Transaction Date],H1908)</f>
        <v>1</v>
      </c>
      <c r="L1908"/>
    </row>
    <row r="1909" spans="1:12" x14ac:dyDescent="0.3">
      <c r="A1909" t="s">
        <v>1915</v>
      </c>
      <c r="B1909" t="s">
        <v>10016</v>
      </c>
      <c r="C1909">
        <v>3</v>
      </c>
      <c r="D1909">
        <v>3</v>
      </c>
      <c r="E1909">
        <v>9</v>
      </c>
      <c r="F1909" t="s">
        <v>10019</v>
      </c>
      <c r="G1909" t="s">
        <v>10069</v>
      </c>
      <c r="H1909" s="6">
        <v>45172</v>
      </c>
      <c r="I1909">
        <f t="shared" si="58"/>
        <v>0</v>
      </c>
      <c r="J1909" t="str">
        <f t="shared" si="59"/>
        <v>Complete</v>
      </c>
      <c r="K1909">
        <f>COUNTIFS(RawData[Item], B1909,RawData[Quantity],C1909,RawData[Price Per Unit],D1909,RawData[Total Spent],E1909,RawData[Payment Method],F1909,RawData[Location],G1909,RawData[Transaction Date],H1909)</f>
        <v>1</v>
      </c>
      <c r="L1909"/>
    </row>
    <row r="1910" spans="1:12" x14ac:dyDescent="0.3">
      <c r="A1910" t="s">
        <v>1916</v>
      </c>
      <c r="B1910" t="s">
        <v>10016</v>
      </c>
      <c r="C1910">
        <v>5</v>
      </c>
      <c r="D1910">
        <v>3</v>
      </c>
      <c r="E1910">
        <v>15</v>
      </c>
      <c r="F1910" t="s">
        <v>10069</v>
      </c>
      <c r="G1910" t="s">
        <v>10069</v>
      </c>
      <c r="H1910" s="6">
        <v>45261</v>
      </c>
      <c r="I1910">
        <f t="shared" si="58"/>
        <v>0</v>
      </c>
      <c r="J1910" t="str">
        <f t="shared" si="59"/>
        <v>Complete</v>
      </c>
      <c r="K1910">
        <f>COUNTIFS(RawData[Item], B1910,RawData[Quantity],C1910,RawData[Price Per Unit],D1910,RawData[Total Spent],E1910,RawData[Payment Method],F1910,RawData[Location],G1910,RawData[Transaction Date],H1910)</f>
        <v>1</v>
      </c>
      <c r="L1910"/>
    </row>
    <row r="1911" spans="1:12" x14ac:dyDescent="0.3">
      <c r="A1911" t="s">
        <v>1917</v>
      </c>
      <c r="B1911" t="s">
        <v>10008</v>
      </c>
      <c r="C1911">
        <v>1</v>
      </c>
      <c r="D1911">
        <v>2</v>
      </c>
      <c r="E1911">
        <v>2</v>
      </c>
      <c r="F1911" t="s">
        <v>10020</v>
      </c>
      <c r="G1911" t="s">
        <v>10069</v>
      </c>
      <c r="H1911" s="6">
        <v>45012</v>
      </c>
      <c r="I1911">
        <f t="shared" si="58"/>
        <v>0</v>
      </c>
      <c r="J1911" t="str">
        <f t="shared" si="59"/>
        <v>Complete</v>
      </c>
      <c r="K1911">
        <f>COUNTIFS(RawData[Item], B1911,RawData[Quantity],C1911,RawData[Price Per Unit],D1911,RawData[Total Spent],E1911,RawData[Payment Method],F1911,RawData[Location],G1911,RawData[Transaction Date],H1911)</f>
        <v>1</v>
      </c>
      <c r="L1911"/>
    </row>
    <row r="1912" spans="1:12" x14ac:dyDescent="0.3">
      <c r="A1912" t="s">
        <v>1918</v>
      </c>
      <c r="B1912" t="s">
        <v>10009</v>
      </c>
      <c r="C1912">
        <v>4</v>
      </c>
      <c r="D1912">
        <v>3</v>
      </c>
      <c r="E1912">
        <v>12</v>
      </c>
      <c r="F1912" t="s">
        <v>10069</v>
      </c>
      <c r="G1912" t="s">
        <v>10103</v>
      </c>
      <c r="H1912" s="6">
        <v>45269</v>
      </c>
      <c r="I1912">
        <f t="shared" si="58"/>
        <v>1</v>
      </c>
      <c r="J1912" t="str">
        <f t="shared" si="59"/>
        <v>Complete</v>
      </c>
      <c r="K1912">
        <f>COUNTIFS(RawData[Item], B1912,RawData[Quantity],C1912,RawData[Price Per Unit],D1912,RawData[Total Spent],E1912,RawData[Payment Method],F1912,RawData[Location],G1912,RawData[Transaction Date],H1912)</f>
        <v>1</v>
      </c>
      <c r="L1912"/>
    </row>
    <row r="1913" spans="1:12" x14ac:dyDescent="0.3">
      <c r="A1913" t="s">
        <v>1919</v>
      </c>
      <c r="B1913" t="s">
        <v>10014</v>
      </c>
      <c r="C1913">
        <v>2</v>
      </c>
      <c r="D1913">
        <v>4</v>
      </c>
      <c r="E1913">
        <v>8</v>
      </c>
      <c r="F1913" t="s">
        <v>10019</v>
      </c>
      <c r="G1913" t="s">
        <v>10102</v>
      </c>
      <c r="H1913" s="6">
        <v>45176</v>
      </c>
      <c r="I1913">
        <f t="shared" si="58"/>
        <v>0</v>
      </c>
      <c r="J1913" t="str">
        <f t="shared" si="59"/>
        <v>Complete</v>
      </c>
      <c r="K1913">
        <f>COUNTIFS(RawData[Item], B1913,RawData[Quantity],C1913,RawData[Price Per Unit],D1913,RawData[Total Spent],E1913,RawData[Payment Method],F1913,RawData[Location],G1913,RawData[Transaction Date],H1913)</f>
        <v>1</v>
      </c>
      <c r="L1913"/>
    </row>
    <row r="1914" spans="1:12" x14ac:dyDescent="0.3">
      <c r="A1914" t="s">
        <v>1920</v>
      </c>
      <c r="B1914" t="s">
        <v>10017</v>
      </c>
      <c r="C1914">
        <v>3</v>
      </c>
      <c r="D1914">
        <v>1.5</v>
      </c>
      <c r="E1914">
        <v>4.5</v>
      </c>
      <c r="F1914" t="s">
        <v>10020</v>
      </c>
      <c r="G1914" t="s">
        <v>10102</v>
      </c>
      <c r="H1914" s="6">
        <v>44927</v>
      </c>
      <c r="I1914">
        <f t="shared" si="58"/>
        <v>0</v>
      </c>
      <c r="J1914" t="str">
        <f t="shared" si="59"/>
        <v>Complete</v>
      </c>
      <c r="K1914">
        <f>COUNTIFS(RawData[Item], B1914,RawData[Quantity],C1914,RawData[Price Per Unit],D1914,RawData[Total Spent],E1914,RawData[Payment Method],F1914,RawData[Location],G1914,RawData[Transaction Date],H1914)</f>
        <v>1</v>
      </c>
      <c r="L1914"/>
    </row>
    <row r="1915" spans="1:12" x14ac:dyDescent="0.3">
      <c r="A1915" t="s">
        <v>1921</v>
      </c>
      <c r="B1915" t="s">
        <v>10069</v>
      </c>
      <c r="C1915">
        <v>3</v>
      </c>
      <c r="D1915">
        <v>3</v>
      </c>
      <c r="E1915">
        <v>9</v>
      </c>
      <c r="F1915" t="s">
        <v>10069</v>
      </c>
      <c r="G1915" t="s">
        <v>10021</v>
      </c>
      <c r="H1915" s="6">
        <v>45024</v>
      </c>
      <c r="I1915">
        <f t="shared" si="58"/>
        <v>0</v>
      </c>
      <c r="J1915" t="str">
        <f t="shared" si="59"/>
        <v>Complete</v>
      </c>
      <c r="K1915">
        <f>COUNTIFS(RawData[Item], B1915,RawData[Quantity],C1915,RawData[Price Per Unit],D1915,RawData[Total Spent],E1915,RawData[Payment Method],F1915,RawData[Location],G1915,RawData[Transaction Date],H1915)</f>
        <v>1</v>
      </c>
      <c r="L1915"/>
    </row>
    <row r="1916" spans="1:12" x14ac:dyDescent="0.3">
      <c r="A1916" t="s">
        <v>1922</v>
      </c>
      <c r="B1916" t="s">
        <v>10017</v>
      </c>
      <c r="C1916">
        <v>5</v>
      </c>
      <c r="D1916">
        <v>1.5</v>
      </c>
      <c r="E1916">
        <v>7.5</v>
      </c>
      <c r="F1916" t="s">
        <v>10103</v>
      </c>
      <c r="G1916" t="s">
        <v>10069</v>
      </c>
      <c r="H1916" s="6" t="s">
        <v>10112</v>
      </c>
      <c r="I1916">
        <f t="shared" si="58"/>
        <v>2</v>
      </c>
      <c r="J1916" t="str">
        <f t="shared" si="59"/>
        <v>Incomplete</v>
      </c>
      <c r="K1916">
        <f>COUNTIFS(RawData[Item], B1916,RawData[Quantity],C1916,RawData[Price Per Unit],D1916,RawData[Total Spent],E1916,RawData[Payment Method],F1916,RawData[Location],G1916,RawData[Transaction Date],H1916)</f>
        <v>1</v>
      </c>
      <c r="L1916"/>
    </row>
    <row r="1917" spans="1:12" x14ac:dyDescent="0.3">
      <c r="A1917" t="s">
        <v>1923</v>
      </c>
      <c r="B1917" t="s">
        <v>10011</v>
      </c>
      <c r="C1917">
        <v>2</v>
      </c>
      <c r="D1917" t="s">
        <v>10013</v>
      </c>
      <c r="E1917">
        <v>10</v>
      </c>
      <c r="F1917" t="s">
        <v>10069</v>
      </c>
      <c r="G1917" t="s">
        <v>10069</v>
      </c>
      <c r="H1917" s="6">
        <v>44932</v>
      </c>
      <c r="I1917">
        <f t="shared" si="58"/>
        <v>1</v>
      </c>
      <c r="J1917" t="str">
        <f t="shared" si="59"/>
        <v>Complete</v>
      </c>
      <c r="K1917">
        <f>COUNTIFS(RawData[Item], B1917,RawData[Quantity],C1917,RawData[Price Per Unit],D1917,RawData[Total Spent],E1917,RawData[Payment Method],F1917,RawData[Location],G1917,RawData[Transaction Date],H1917)</f>
        <v>1</v>
      </c>
      <c r="L1917"/>
    </row>
    <row r="1918" spans="1:12" x14ac:dyDescent="0.3">
      <c r="A1918" t="s">
        <v>1924</v>
      </c>
      <c r="B1918" t="s">
        <v>10014</v>
      </c>
      <c r="C1918">
        <v>3</v>
      </c>
      <c r="D1918" t="s">
        <v>10013</v>
      </c>
      <c r="E1918">
        <v>12</v>
      </c>
      <c r="F1918" t="s">
        <v>10020</v>
      </c>
      <c r="G1918" t="s">
        <v>10104</v>
      </c>
      <c r="H1918" s="6">
        <v>45139</v>
      </c>
      <c r="I1918">
        <f t="shared" si="58"/>
        <v>2</v>
      </c>
      <c r="J1918" t="str">
        <f t="shared" si="59"/>
        <v>Complete</v>
      </c>
      <c r="K1918">
        <f>COUNTIFS(RawData[Item], B1918,RawData[Quantity],C1918,RawData[Price Per Unit],D1918,RawData[Total Spent],E1918,RawData[Payment Method],F1918,RawData[Location],G1918,RawData[Transaction Date],H1918)</f>
        <v>1</v>
      </c>
      <c r="L1918"/>
    </row>
    <row r="1919" spans="1:12" x14ac:dyDescent="0.3">
      <c r="A1919" t="s">
        <v>1925</v>
      </c>
      <c r="B1919" t="s">
        <v>10016</v>
      </c>
      <c r="C1919">
        <v>3</v>
      </c>
      <c r="D1919">
        <v>3</v>
      </c>
      <c r="E1919">
        <v>9</v>
      </c>
      <c r="F1919" t="s">
        <v>10020</v>
      </c>
      <c r="G1919" t="s">
        <v>10021</v>
      </c>
      <c r="H1919" s="6">
        <v>45034</v>
      </c>
      <c r="I1919">
        <f t="shared" si="58"/>
        <v>0</v>
      </c>
      <c r="J1919" t="str">
        <f t="shared" si="59"/>
        <v>Complete</v>
      </c>
      <c r="K1919">
        <f>COUNTIFS(RawData[Item], B1919,RawData[Quantity],C1919,RawData[Price Per Unit],D1919,RawData[Total Spent],E1919,RawData[Payment Method],F1919,RawData[Location],G1919,RawData[Transaction Date],H1919)</f>
        <v>1</v>
      </c>
      <c r="L1919"/>
    </row>
    <row r="1920" spans="1:12" x14ac:dyDescent="0.3">
      <c r="A1920" t="s">
        <v>1926</v>
      </c>
      <c r="B1920" t="s">
        <v>10009</v>
      </c>
      <c r="C1920">
        <v>4</v>
      </c>
      <c r="D1920">
        <v>3</v>
      </c>
      <c r="E1920">
        <v>12</v>
      </c>
      <c r="F1920" t="s">
        <v>10020</v>
      </c>
      <c r="G1920" t="s">
        <v>10102</v>
      </c>
      <c r="H1920" s="6">
        <v>45092</v>
      </c>
      <c r="I1920">
        <f t="shared" si="58"/>
        <v>0</v>
      </c>
      <c r="J1920" t="str">
        <f t="shared" si="59"/>
        <v>Complete</v>
      </c>
      <c r="K1920">
        <f>COUNTIFS(RawData[Item], B1920,RawData[Quantity],C1920,RawData[Price Per Unit],D1920,RawData[Total Spent],E1920,RawData[Payment Method],F1920,RawData[Location],G1920,RawData[Transaction Date],H1920)</f>
        <v>2</v>
      </c>
      <c r="L1920"/>
    </row>
    <row r="1921" spans="1:12" x14ac:dyDescent="0.3">
      <c r="A1921" t="s">
        <v>1927</v>
      </c>
      <c r="B1921" t="s">
        <v>10069</v>
      </c>
      <c r="C1921">
        <v>4</v>
      </c>
      <c r="D1921">
        <v>4</v>
      </c>
      <c r="E1921">
        <v>16</v>
      </c>
      <c r="F1921" t="s">
        <v>10020</v>
      </c>
      <c r="G1921" t="s">
        <v>10021</v>
      </c>
      <c r="H1921" s="6">
        <v>44959</v>
      </c>
      <c r="I1921">
        <f t="shared" si="58"/>
        <v>0</v>
      </c>
      <c r="J1921" t="str">
        <f t="shared" si="59"/>
        <v>Complete</v>
      </c>
      <c r="K1921">
        <f>COUNTIFS(RawData[Item], B1921,RawData[Quantity],C1921,RawData[Price Per Unit],D1921,RawData[Total Spent],E1921,RawData[Payment Method],F1921,RawData[Location],G1921,RawData[Transaction Date],H1921)</f>
        <v>1</v>
      </c>
      <c r="L1921"/>
    </row>
    <row r="1922" spans="1:12" x14ac:dyDescent="0.3">
      <c r="A1922" t="s">
        <v>1928</v>
      </c>
      <c r="B1922" t="s">
        <v>10008</v>
      </c>
      <c r="C1922">
        <v>2</v>
      </c>
      <c r="D1922">
        <v>2</v>
      </c>
      <c r="E1922">
        <v>4</v>
      </c>
      <c r="F1922" t="s">
        <v>10019</v>
      </c>
      <c r="G1922" t="s">
        <v>10103</v>
      </c>
      <c r="H1922" s="6">
        <v>45106</v>
      </c>
      <c r="I1922">
        <f t="shared" ref="I1922:I1985" si="60">(B1922="Unknown")+(B1922="Error")+(C1922="Unknown")+(C1922="Error")+(D1922="Unknown")+(D1922="Error")+(E1922="Unknown")+(E1922="Error")+(F1922="Unknown")+(F1922="Error")+(G1922="Unknown")+(G1922="Error")+(H1922="No Date")</f>
        <v>1</v>
      </c>
      <c r="J1922" t="str">
        <f t="shared" ref="J1922:J1985" si="61">IF((H1922="No Date"),"Incomplete","Complete")</f>
        <v>Complete</v>
      </c>
      <c r="K1922">
        <f>COUNTIFS(RawData[Item], B1922,RawData[Quantity],C1922,RawData[Price Per Unit],D1922,RawData[Total Spent],E1922,RawData[Payment Method],F1922,RawData[Location],G1922,RawData[Transaction Date],H1922)</f>
        <v>1</v>
      </c>
      <c r="L1922"/>
    </row>
    <row r="1923" spans="1:12" x14ac:dyDescent="0.3">
      <c r="A1923" t="s">
        <v>1929</v>
      </c>
      <c r="B1923" t="s">
        <v>10014</v>
      </c>
      <c r="C1923">
        <v>2</v>
      </c>
      <c r="D1923">
        <v>4</v>
      </c>
      <c r="E1923">
        <v>8</v>
      </c>
      <c r="F1923" t="s">
        <v>10019</v>
      </c>
      <c r="G1923" t="s">
        <v>10021</v>
      </c>
      <c r="H1923" s="6">
        <v>45175</v>
      </c>
      <c r="I1923">
        <f t="shared" si="60"/>
        <v>0</v>
      </c>
      <c r="J1923" t="str">
        <f t="shared" si="61"/>
        <v>Complete</v>
      </c>
      <c r="K1923">
        <f>COUNTIFS(RawData[Item], B1923,RawData[Quantity],C1923,RawData[Price Per Unit],D1923,RawData[Total Spent],E1923,RawData[Payment Method],F1923,RawData[Location],G1923,RawData[Transaction Date],H1923)</f>
        <v>1</v>
      </c>
      <c r="L1923"/>
    </row>
    <row r="1924" spans="1:12" x14ac:dyDescent="0.3">
      <c r="A1924" t="s">
        <v>1930</v>
      </c>
      <c r="B1924" t="s">
        <v>10008</v>
      </c>
      <c r="C1924">
        <v>3</v>
      </c>
      <c r="D1924">
        <v>2</v>
      </c>
      <c r="E1924">
        <v>6</v>
      </c>
      <c r="F1924" t="s">
        <v>10018</v>
      </c>
      <c r="G1924" t="s">
        <v>10102</v>
      </c>
      <c r="H1924" s="6">
        <v>45048</v>
      </c>
      <c r="I1924">
        <f t="shared" si="60"/>
        <v>0</v>
      </c>
      <c r="J1924" t="str">
        <f t="shared" si="61"/>
        <v>Complete</v>
      </c>
      <c r="K1924">
        <f>COUNTIFS(RawData[Item], B1924,RawData[Quantity],C1924,RawData[Price Per Unit],D1924,RawData[Total Spent],E1924,RawData[Payment Method],F1924,RawData[Location],G1924,RawData[Transaction Date],H1924)</f>
        <v>1</v>
      </c>
      <c r="L1924"/>
    </row>
    <row r="1925" spans="1:12" x14ac:dyDescent="0.3">
      <c r="A1925" t="s">
        <v>1931</v>
      </c>
      <c r="B1925" t="s">
        <v>10017</v>
      </c>
      <c r="C1925">
        <v>5</v>
      </c>
      <c r="D1925">
        <v>1.5</v>
      </c>
      <c r="E1925">
        <v>7.5</v>
      </c>
      <c r="F1925" t="s">
        <v>10019</v>
      </c>
      <c r="G1925" t="s">
        <v>10069</v>
      </c>
      <c r="H1925" s="6">
        <v>45007</v>
      </c>
      <c r="I1925">
        <f t="shared" si="60"/>
        <v>0</v>
      </c>
      <c r="J1925" t="str">
        <f t="shared" si="61"/>
        <v>Complete</v>
      </c>
      <c r="K1925">
        <f>COUNTIFS(RawData[Item], B1925,RawData[Quantity],C1925,RawData[Price Per Unit],D1925,RawData[Total Spent],E1925,RawData[Payment Method],F1925,RawData[Location],G1925,RawData[Transaction Date],H1925)</f>
        <v>1</v>
      </c>
      <c r="L1925"/>
    </row>
    <row r="1926" spans="1:12" x14ac:dyDescent="0.3">
      <c r="A1926" t="s">
        <v>1932</v>
      </c>
      <c r="B1926" t="s">
        <v>10011</v>
      </c>
      <c r="C1926">
        <v>1</v>
      </c>
      <c r="D1926">
        <v>5</v>
      </c>
      <c r="E1926">
        <v>5</v>
      </c>
      <c r="F1926" t="s">
        <v>10020</v>
      </c>
      <c r="G1926" t="s">
        <v>10021</v>
      </c>
      <c r="H1926" s="6">
        <v>45227</v>
      </c>
      <c r="I1926">
        <f t="shared" si="60"/>
        <v>0</v>
      </c>
      <c r="J1926" t="str">
        <f t="shared" si="61"/>
        <v>Complete</v>
      </c>
      <c r="K1926">
        <f>COUNTIFS(RawData[Item], B1926,RawData[Quantity],C1926,RawData[Price Per Unit],D1926,RawData[Total Spent],E1926,RawData[Payment Method],F1926,RawData[Location],G1926,RawData[Transaction Date],H1926)</f>
        <v>1</v>
      </c>
      <c r="L1926"/>
    </row>
    <row r="1927" spans="1:12" x14ac:dyDescent="0.3">
      <c r="A1927" t="s">
        <v>1933</v>
      </c>
      <c r="B1927" t="s">
        <v>10012</v>
      </c>
      <c r="C1927">
        <v>4</v>
      </c>
      <c r="D1927">
        <v>4</v>
      </c>
      <c r="E1927">
        <v>16</v>
      </c>
      <c r="F1927" t="s">
        <v>10069</v>
      </c>
      <c r="G1927" t="s">
        <v>10102</v>
      </c>
      <c r="H1927" s="6">
        <v>45244</v>
      </c>
      <c r="I1927">
        <f t="shared" si="60"/>
        <v>0</v>
      </c>
      <c r="J1927" t="str">
        <f t="shared" si="61"/>
        <v>Complete</v>
      </c>
      <c r="K1927">
        <f>COUNTIFS(RawData[Item], B1927,RawData[Quantity],C1927,RawData[Price Per Unit],D1927,RawData[Total Spent],E1927,RawData[Payment Method],F1927,RawData[Location],G1927,RawData[Transaction Date],H1927)</f>
        <v>1</v>
      </c>
      <c r="L1927"/>
    </row>
    <row r="1928" spans="1:12" x14ac:dyDescent="0.3">
      <c r="A1928" t="s">
        <v>1934</v>
      </c>
      <c r="B1928" t="s">
        <v>10015</v>
      </c>
      <c r="C1928">
        <v>5</v>
      </c>
      <c r="D1928">
        <v>5</v>
      </c>
      <c r="E1928">
        <v>25</v>
      </c>
      <c r="F1928" t="s">
        <v>10020</v>
      </c>
      <c r="G1928" t="s">
        <v>10102</v>
      </c>
      <c r="H1928" s="6">
        <v>44973</v>
      </c>
      <c r="I1928">
        <f t="shared" si="60"/>
        <v>1</v>
      </c>
      <c r="J1928" t="str">
        <f t="shared" si="61"/>
        <v>Complete</v>
      </c>
      <c r="K1928">
        <f>COUNTIFS(RawData[Item], B1928,RawData[Quantity],C1928,RawData[Price Per Unit],D1928,RawData[Total Spent],E1928,RawData[Payment Method],F1928,RawData[Location],G1928,RawData[Transaction Date],H1928)</f>
        <v>1</v>
      </c>
      <c r="L1928"/>
    </row>
    <row r="1929" spans="1:12" x14ac:dyDescent="0.3">
      <c r="A1929" t="s">
        <v>1935</v>
      </c>
      <c r="B1929" t="s">
        <v>10013</v>
      </c>
      <c r="C1929">
        <v>2</v>
      </c>
      <c r="D1929">
        <v>1.5</v>
      </c>
      <c r="E1929">
        <v>3</v>
      </c>
      <c r="F1929" t="s">
        <v>10069</v>
      </c>
      <c r="G1929" t="s">
        <v>10021</v>
      </c>
      <c r="H1929" s="6">
        <v>44962</v>
      </c>
      <c r="I1929">
        <f t="shared" si="60"/>
        <v>1</v>
      </c>
      <c r="J1929" t="str">
        <f t="shared" si="61"/>
        <v>Complete</v>
      </c>
      <c r="K1929">
        <f>COUNTIFS(RawData[Item], B1929,RawData[Quantity],C1929,RawData[Price Per Unit],D1929,RawData[Total Spent],E1929,RawData[Payment Method],F1929,RawData[Location],G1929,RawData[Transaction Date],H1929)</f>
        <v>1</v>
      </c>
      <c r="L1929"/>
    </row>
    <row r="1930" spans="1:12" x14ac:dyDescent="0.3">
      <c r="A1930" t="s">
        <v>1936</v>
      </c>
      <c r="B1930" t="s">
        <v>10008</v>
      </c>
      <c r="C1930">
        <v>5</v>
      </c>
      <c r="D1930">
        <v>2</v>
      </c>
      <c r="E1930">
        <v>10</v>
      </c>
      <c r="F1930" t="s">
        <v>10019</v>
      </c>
      <c r="G1930" t="s">
        <v>10069</v>
      </c>
      <c r="H1930" s="6">
        <v>45184</v>
      </c>
      <c r="I1930">
        <f t="shared" si="60"/>
        <v>0</v>
      </c>
      <c r="J1930" t="str">
        <f t="shared" si="61"/>
        <v>Complete</v>
      </c>
      <c r="K1930">
        <f>COUNTIFS(RawData[Item], B1930,RawData[Quantity],C1930,RawData[Price Per Unit],D1930,RawData[Total Spent],E1930,RawData[Payment Method],F1930,RawData[Location],G1930,RawData[Transaction Date],H1930)</f>
        <v>1</v>
      </c>
      <c r="L1930"/>
    </row>
    <row r="1931" spans="1:12" x14ac:dyDescent="0.3">
      <c r="A1931" t="s">
        <v>1937</v>
      </c>
      <c r="B1931" t="s">
        <v>10008</v>
      </c>
      <c r="C1931">
        <v>2</v>
      </c>
      <c r="D1931">
        <v>2</v>
      </c>
      <c r="E1931">
        <v>4</v>
      </c>
      <c r="F1931" t="s">
        <v>10019</v>
      </c>
      <c r="G1931" t="s">
        <v>10069</v>
      </c>
      <c r="H1931" s="6">
        <v>45268</v>
      </c>
      <c r="I1931">
        <f t="shared" si="60"/>
        <v>0</v>
      </c>
      <c r="J1931" t="str">
        <f t="shared" si="61"/>
        <v>Complete</v>
      </c>
      <c r="K1931">
        <f>COUNTIFS(RawData[Item], B1931,RawData[Quantity],C1931,RawData[Price Per Unit],D1931,RawData[Total Spent],E1931,RawData[Payment Method],F1931,RawData[Location],G1931,RawData[Transaction Date],H1931)</f>
        <v>1</v>
      </c>
      <c r="L1931"/>
    </row>
    <row r="1932" spans="1:12" x14ac:dyDescent="0.3">
      <c r="A1932" t="s">
        <v>1938</v>
      </c>
      <c r="B1932" t="s">
        <v>10010</v>
      </c>
      <c r="C1932">
        <v>2</v>
      </c>
      <c r="D1932">
        <v>1</v>
      </c>
      <c r="E1932">
        <v>2</v>
      </c>
      <c r="F1932" t="s">
        <v>10018</v>
      </c>
      <c r="G1932" t="s">
        <v>10102</v>
      </c>
      <c r="H1932" s="6">
        <v>45288</v>
      </c>
      <c r="I1932">
        <f t="shared" si="60"/>
        <v>0</v>
      </c>
      <c r="J1932" t="str">
        <f t="shared" si="61"/>
        <v>Complete</v>
      </c>
      <c r="K1932">
        <f>COUNTIFS(RawData[Item], B1932,RawData[Quantity],C1932,RawData[Price Per Unit],D1932,RawData[Total Spent],E1932,RawData[Payment Method],F1932,RawData[Location],G1932,RawData[Transaction Date],H1932)</f>
        <v>1</v>
      </c>
      <c r="L1932"/>
    </row>
    <row r="1933" spans="1:12" x14ac:dyDescent="0.3">
      <c r="A1933" t="s">
        <v>1939</v>
      </c>
      <c r="B1933" t="s">
        <v>10008</v>
      </c>
      <c r="C1933">
        <v>2</v>
      </c>
      <c r="D1933">
        <v>2</v>
      </c>
      <c r="E1933">
        <v>4</v>
      </c>
      <c r="F1933" t="s">
        <v>10019</v>
      </c>
      <c r="G1933" t="s">
        <v>10069</v>
      </c>
      <c r="H1933" s="6">
        <v>45033</v>
      </c>
      <c r="I1933">
        <f t="shared" si="60"/>
        <v>0</v>
      </c>
      <c r="J1933" t="str">
        <f t="shared" si="61"/>
        <v>Complete</v>
      </c>
      <c r="K1933">
        <f>COUNTIFS(RawData[Item], B1933,RawData[Quantity],C1933,RawData[Price Per Unit],D1933,RawData[Total Spent],E1933,RawData[Payment Method],F1933,RawData[Location],G1933,RawData[Transaction Date],H1933)</f>
        <v>1</v>
      </c>
      <c r="L1933"/>
    </row>
    <row r="1934" spans="1:12" x14ac:dyDescent="0.3">
      <c r="A1934" t="s">
        <v>1940</v>
      </c>
      <c r="B1934" t="s">
        <v>10012</v>
      </c>
      <c r="C1934">
        <v>2</v>
      </c>
      <c r="D1934">
        <v>4</v>
      </c>
      <c r="E1934">
        <v>8</v>
      </c>
      <c r="F1934" t="s">
        <v>10019</v>
      </c>
      <c r="G1934" t="s">
        <v>10069</v>
      </c>
      <c r="H1934" s="6">
        <v>45060</v>
      </c>
      <c r="I1934">
        <f t="shared" si="60"/>
        <v>0</v>
      </c>
      <c r="J1934" t="str">
        <f t="shared" si="61"/>
        <v>Complete</v>
      </c>
      <c r="K1934">
        <f>COUNTIFS(RawData[Item], B1934,RawData[Quantity],C1934,RawData[Price Per Unit],D1934,RawData[Total Spent],E1934,RawData[Payment Method],F1934,RawData[Location],G1934,RawData[Transaction Date],H1934)</f>
        <v>1</v>
      </c>
      <c r="L1934"/>
    </row>
    <row r="1935" spans="1:12" x14ac:dyDescent="0.3">
      <c r="A1935" t="s">
        <v>1941</v>
      </c>
      <c r="B1935" t="s">
        <v>10009</v>
      </c>
      <c r="C1935">
        <v>5</v>
      </c>
      <c r="D1935">
        <v>3</v>
      </c>
      <c r="E1935">
        <v>15</v>
      </c>
      <c r="F1935" t="s">
        <v>10018</v>
      </c>
      <c r="G1935" t="s">
        <v>10102</v>
      </c>
      <c r="H1935" s="6">
        <v>45092</v>
      </c>
      <c r="I1935">
        <f t="shared" si="60"/>
        <v>0</v>
      </c>
      <c r="J1935" t="str">
        <f t="shared" si="61"/>
        <v>Complete</v>
      </c>
      <c r="K1935">
        <f>COUNTIFS(RawData[Item], B1935,RawData[Quantity],C1935,RawData[Price Per Unit],D1935,RawData[Total Spent],E1935,RawData[Payment Method],F1935,RawData[Location],G1935,RawData[Transaction Date],H1935)</f>
        <v>1</v>
      </c>
      <c r="L1935"/>
    </row>
    <row r="1936" spans="1:12" x14ac:dyDescent="0.3">
      <c r="A1936" t="s">
        <v>1942</v>
      </c>
      <c r="B1936" t="s">
        <v>10008</v>
      </c>
      <c r="C1936">
        <v>5</v>
      </c>
      <c r="D1936">
        <v>2</v>
      </c>
      <c r="E1936">
        <v>10</v>
      </c>
      <c r="F1936" t="s">
        <v>10069</v>
      </c>
      <c r="G1936" t="s">
        <v>10102</v>
      </c>
      <c r="H1936" s="6">
        <v>45040</v>
      </c>
      <c r="I1936">
        <f t="shared" si="60"/>
        <v>0</v>
      </c>
      <c r="J1936" t="str">
        <f t="shared" si="61"/>
        <v>Complete</v>
      </c>
      <c r="K1936">
        <f>COUNTIFS(RawData[Item], B1936,RawData[Quantity],C1936,RawData[Price Per Unit],D1936,RawData[Total Spent],E1936,RawData[Payment Method],F1936,RawData[Location],G1936,RawData[Transaction Date],H1936)</f>
        <v>1</v>
      </c>
      <c r="L1936"/>
    </row>
    <row r="1937" spans="1:12" x14ac:dyDescent="0.3">
      <c r="A1937" t="s">
        <v>1943</v>
      </c>
      <c r="B1937" t="s">
        <v>10017</v>
      </c>
      <c r="C1937">
        <v>5</v>
      </c>
      <c r="D1937">
        <v>1.5</v>
      </c>
      <c r="E1937">
        <v>7.5</v>
      </c>
      <c r="F1937" t="s">
        <v>10104</v>
      </c>
      <c r="G1937" t="s">
        <v>10069</v>
      </c>
      <c r="H1937" s="6">
        <v>45089</v>
      </c>
      <c r="I1937">
        <f t="shared" si="60"/>
        <v>1</v>
      </c>
      <c r="J1937" t="str">
        <f t="shared" si="61"/>
        <v>Complete</v>
      </c>
      <c r="K1937">
        <f>COUNTIFS(RawData[Item], B1937,RawData[Quantity],C1937,RawData[Price Per Unit],D1937,RawData[Total Spent],E1937,RawData[Payment Method],F1937,RawData[Location],G1937,RawData[Transaction Date],H1937)</f>
        <v>1</v>
      </c>
      <c r="L1937"/>
    </row>
    <row r="1938" spans="1:12" x14ac:dyDescent="0.3">
      <c r="A1938" t="s">
        <v>1944</v>
      </c>
      <c r="B1938" t="s">
        <v>10009</v>
      </c>
      <c r="C1938">
        <v>2</v>
      </c>
      <c r="D1938">
        <v>0</v>
      </c>
      <c r="E1938">
        <v>6</v>
      </c>
      <c r="F1938" t="s">
        <v>10018</v>
      </c>
      <c r="G1938" t="s">
        <v>10021</v>
      </c>
      <c r="H1938" s="6">
        <v>45091</v>
      </c>
      <c r="I1938">
        <f t="shared" si="60"/>
        <v>0</v>
      </c>
      <c r="J1938" t="str">
        <f t="shared" si="61"/>
        <v>Complete</v>
      </c>
      <c r="K1938">
        <f>COUNTIFS(RawData[Item], B1938,RawData[Quantity],C1938,RawData[Price Per Unit],D1938,RawData[Total Spent],E1938,RawData[Payment Method],F1938,RawData[Location],G1938,RawData[Transaction Date],H1938)</f>
        <v>1</v>
      </c>
      <c r="L1938"/>
    </row>
    <row r="1939" spans="1:12" x14ac:dyDescent="0.3">
      <c r="A1939" t="s">
        <v>1945</v>
      </c>
      <c r="B1939" t="s">
        <v>10012</v>
      </c>
      <c r="C1939">
        <v>1</v>
      </c>
      <c r="D1939">
        <v>4</v>
      </c>
      <c r="E1939">
        <v>4</v>
      </c>
      <c r="F1939" t="s">
        <v>10018</v>
      </c>
      <c r="G1939" t="s">
        <v>10104</v>
      </c>
      <c r="H1939" s="6">
        <v>45048</v>
      </c>
      <c r="I1939">
        <f t="shared" si="60"/>
        <v>1</v>
      </c>
      <c r="J1939" t="str">
        <f t="shared" si="61"/>
        <v>Complete</v>
      </c>
      <c r="K1939">
        <f>COUNTIFS(RawData[Item], B1939,RawData[Quantity],C1939,RawData[Price Per Unit],D1939,RawData[Total Spent],E1939,RawData[Payment Method],F1939,RawData[Location],G1939,RawData[Transaction Date],H1939)</f>
        <v>1</v>
      </c>
      <c r="L1939"/>
    </row>
    <row r="1940" spans="1:12" x14ac:dyDescent="0.3">
      <c r="A1940" t="s">
        <v>1946</v>
      </c>
      <c r="B1940" t="s">
        <v>10010</v>
      </c>
      <c r="C1940">
        <v>3</v>
      </c>
      <c r="D1940">
        <v>1</v>
      </c>
      <c r="E1940">
        <v>3</v>
      </c>
      <c r="F1940" t="s">
        <v>10069</v>
      </c>
      <c r="G1940" t="s">
        <v>10069</v>
      </c>
      <c r="H1940" s="6">
        <v>44974</v>
      </c>
      <c r="I1940">
        <f t="shared" si="60"/>
        <v>0</v>
      </c>
      <c r="J1940" t="str">
        <f t="shared" si="61"/>
        <v>Complete</v>
      </c>
      <c r="K1940">
        <f>COUNTIFS(RawData[Item], B1940,RawData[Quantity],C1940,RawData[Price Per Unit],D1940,RawData[Total Spent],E1940,RawData[Payment Method],F1940,RawData[Location],G1940,RawData[Transaction Date],H1940)</f>
        <v>1</v>
      </c>
      <c r="L1940"/>
    </row>
    <row r="1941" spans="1:12" x14ac:dyDescent="0.3">
      <c r="A1941" t="s">
        <v>1947</v>
      </c>
      <c r="B1941" t="s">
        <v>10017</v>
      </c>
      <c r="C1941">
        <v>5</v>
      </c>
      <c r="D1941" t="s">
        <v>10015</v>
      </c>
      <c r="E1941">
        <v>7.5</v>
      </c>
      <c r="F1941" t="s">
        <v>10018</v>
      </c>
      <c r="G1941" t="s">
        <v>10069</v>
      </c>
      <c r="H1941" s="6">
        <v>45185</v>
      </c>
      <c r="I1941">
        <f t="shared" si="60"/>
        <v>1</v>
      </c>
      <c r="J1941" t="str">
        <f t="shared" si="61"/>
        <v>Complete</v>
      </c>
      <c r="K1941">
        <f>COUNTIFS(RawData[Item], B1941,RawData[Quantity],C1941,RawData[Price Per Unit],D1941,RawData[Total Spent],E1941,RawData[Payment Method],F1941,RawData[Location],G1941,RawData[Transaction Date],H1941)</f>
        <v>1</v>
      </c>
      <c r="L1941"/>
    </row>
    <row r="1942" spans="1:12" x14ac:dyDescent="0.3">
      <c r="A1942" t="s">
        <v>1948</v>
      </c>
      <c r="B1942" t="s">
        <v>10014</v>
      </c>
      <c r="C1942">
        <v>5</v>
      </c>
      <c r="D1942">
        <v>4</v>
      </c>
      <c r="E1942">
        <v>20</v>
      </c>
      <c r="F1942" t="s">
        <v>10069</v>
      </c>
      <c r="G1942" t="s">
        <v>10102</v>
      </c>
      <c r="H1942" s="6">
        <v>45252</v>
      </c>
      <c r="I1942">
        <f t="shared" si="60"/>
        <v>0</v>
      </c>
      <c r="J1942" t="str">
        <f t="shared" si="61"/>
        <v>Complete</v>
      </c>
      <c r="K1942">
        <f>COUNTIFS(RawData[Item], B1942,RawData[Quantity],C1942,RawData[Price Per Unit],D1942,RawData[Total Spent],E1942,RawData[Payment Method],F1942,RawData[Location],G1942,RawData[Transaction Date],H1942)</f>
        <v>1</v>
      </c>
      <c r="L1942"/>
    </row>
    <row r="1943" spans="1:12" x14ac:dyDescent="0.3">
      <c r="A1943" t="s">
        <v>1949</v>
      </c>
      <c r="B1943" t="s">
        <v>10010</v>
      </c>
      <c r="C1943">
        <v>1</v>
      </c>
      <c r="D1943">
        <v>1</v>
      </c>
      <c r="E1943">
        <v>1</v>
      </c>
      <c r="F1943" t="s">
        <v>10069</v>
      </c>
      <c r="G1943" t="s">
        <v>10021</v>
      </c>
      <c r="H1943" s="6">
        <v>45053</v>
      </c>
      <c r="I1943">
        <f t="shared" si="60"/>
        <v>0</v>
      </c>
      <c r="J1943" t="str">
        <f t="shared" si="61"/>
        <v>Complete</v>
      </c>
      <c r="K1943">
        <f>COUNTIFS(RawData[Item], B1943,RawData[Quantity],C1943,RawData[Price Per Unit],D1943,RawData[Total Spent],E1943,RawData[Payment Method],F1943,RawData[Location],G1943,RawData[Transaction Date],H1943)</f>
        <v>1</v>
      </c>
      <c r="L1943"/>
    </row>
    <row r="1944" spans="1:12" x14ac:dyDescent="0.3">
      <c r="A1944" t="s">
        <v>1950</v>
      </c>
      <c r="B1944" t="s">
        <v>10008</v>
      </c>
      <c r="C1944">
        <v>2</v>
      </c>
      <c r="D1944">
        <v>2</v>
      </c>
      <c r="E1944">
        <v>4</v>
      </c>
      <c r="F1944" t="s">
        <v>10020</v>
      </c>
      <c r="G1944" t="s">
        <v>10103</v>
      </c>
      <c r="H1944" s="6">
        <v>45153</v>
      </c>
      <c r="I1944">
        <f t="shared" si="60"/>
        <v>1</v>
      </c>
      <c r="J1944" t="str">
        <f t="shared" si="61"/>
        <v>Complete</v>
      </c>
      <c r="K1944">
        <f>COUNTIFS(RawData[Item], B1944,RawData[Quantity],C1944,RawData[Price Per Unit],D1944,RawData[Total Spent],E1944,RawData[Payment Method],F1944,RawData[Location],G1944,RawData[Transaction Date],H1944)</f>
        <v>1</v>
      </c>
      <c r="L1944"/>
    </row>
    <row r="1945" spans="1:12" x14ac:dyDescent="0.3">
      <c r="A1945" t="s">
        <v>1951</v>
      </c>
      <c r="B1945" t="s">
        <v>10015</v>
      </c>
      <c r="C1945">
        <v>3</v>
      </c>
      <c r="D1945">
        <v>3</v>
      </c>
      <c r="E1945">
        <v>9</v>
      </c>
      <c r="F1945" t="s">
        <v>10069</v>
      </c>
      <c r="G1945" t="s">
        <v>10069</v>
      </c>
      <c r="H1945" s="6">
        <v>45032</v>
      </c>
      <c r="I1945">
        <f t="shared" si="60"/>
        <v>1</v>
      </c>
      <c r="J1945" t="str">
        <f t="shared" si="61"/>
        <v>Complete</v>
      </c>
      <c r="K1945">
        <f>COUNTIFS(RawData[Item], B1945,RawData[Quantity],C1945,RawData[Price Per Unit],D1945,RawData[Total Spent],E1945,RawData[Payment Method],F1945,RawData[Location],G1945,RawData[Transaction Date],H1945)</f>
        <v>1</v>
      </c>
      <c r="L1945"/>
    </row>
    <row r="1946" spans="1:12" x14ac:dyDescent="0.3">
      <c r="A1946" t="s">
        <v>1952</v>
      </c>
      <c r="B1946" t="s">
        <v>10011</v>
      </c>
      <c r="C1946">
        <v>4</v>
      </c>
      <c r="D1946">
        <v>5</v>
      </c>
      <c r="E1946">
        <v>20</v>
      </c>
      <c r="F1946" t="s">
        <v>10069</v>
      </c>
      <c r="G1946" t="s">
        <v>10069</v>
      </c>
      <c r="H1946" s="6">
        <v>45024</v>
      </c>
      <c r="I1946">
        <f t="shared" si="60"/>
        <v>0</v>
      </c>
      <c r="J1946" t="str">
        <f t="shared" si="61"/>
        <v>Complete</v>
      </c>
      <c r="K1946">
        <f>COUNTIFS(RawData[Item], B1946,RawData[Quantity],C1946,RawData[Price Per Unit],D1946,RawData[Total Spent],E1946,RawData[Payment Method],F1946,RawData[Location],G1946,RawData[Transaction Date],H1946)</f>
        <v>1</v>
      </c>
      <c r="L1946"/>
    </row>
    <row r="1947" spans="1:12" x14ac:dyDescent="0.3">
      <c r="A1947" t="s">
        <v>1953</v>
      </c>
      <c r="B1947" t="s">
        <v>10017</v>
      </c>
      <c r="C1947">
        <v>4</v>
      </c>
      <c r="D1947">
        <v>1.5</v>
      </c>
      <c r="E1947">
        <v>6</v>
      </c>
      <c r="F1947" t="s">
        <v>10020</v>
      </c>
      <c r="G1947" t="s">
        <v>10069</v>
      </c>
      <c r="H1947" s="6">
        <v>45011</v>
      </c>
      <c r="I1947">
        <f t="shared" si="60"/>
        <v>0</v>
      </c>
      <c r="J1947" t="str">
        <f t="shared" si="61"/>
        <v>Complete</v>
      </c>
      <c r="K1947">
        <f>COUNTIFS(RawData[Item], B1947,RawData[Quantity],C1947,RawData[Price Per Unit],D1947,RawData[Total Spent],E1947,RawData[Payment Method],F1947,RawData[Location],G1947,RawData[Transaction Date],H1947)</f>
        <v>1</v>
      </c>
      <c r="L1947"/>
    </row>
    <row r="1948" spans="1:12" x14ac:dyDescent="0.3">
      <c r="A1948" t="s">
        <v>1954</v>
      </c>
      <c r="B1948" t="s">
        <v>10012</v>
      </c>
      <c r="C1948">
        <v>3</v>
      </c>
      <c r="D1948">
        <v>4</v>
      </c>
      <c r="E1948">
        <v>12</v>
      </c>
      <c r="F1948" t="s">
        <v>10018</v>
      </c>
      <c r="G1948" t="s">
        <v>10021</v>
      </c>
      <c r="H1948" s="6">
        <v>45020</v>
      </c>
      <c r="I1948">
        <f t="shared" si="60"/>
        <v>0</v>
      </c>
      <c r="J1948" t="str">
        <f t="shared" si="61"/>
        <v>Complete</v>
      </c>
      <c r="K1948">
        <f>COUNTIFS(RawData[Item], B1948,RawData[Quantity],C1948,RawData[Price Per Unit],D1948,RawData[Total Spent],E1948,RawData[Payment Method],F1948,RawData[Location],G1948,RawData[Transaction Date],H1948)</f>
        <v>1</v>
      </c>
      <c r="L1948"/>
    </row>
    <row r="1949" spans="1:12" x14ac:dyDescent="0.3">
      <c r="A1949" t="s">
        <v>1955</v>
      </c>
      <c r="B1949" t="s">
        <v>10011</v>
      </c>
      <c r="C1949">
        <v>5</v>
      </c>
      <c r="D1949">
        <v>5</v>
      </c>
      <c r="E1949">
        <v>25</v>
      </c>
      <c r="F1949" t="s">
        <v>10069</v>
      </c>
      <c r="G1949" t="s">
        <v>10021</v>
      </c>
      <c r="H1949" s="6">
        <v>45254</v>
      </c>
      <c r="I1949">
        <f t="shared" si="60"/>
        <v>0</v>
      </c>
      <c r="J1949" t="str">
        <f t="shared" si="61"/>
        <v>Complete</v>
      </c>
      <c r="K1949">
        <f>COUNTIFS(RawData[Item], B1949,RawData[Quantity],C1949,RawData[Price Per Unit],D1949,RawData[Total Spent],E1949,RawData[Payment Method],F1949,RawData[Location],G1949,RawData[Transaction Date],H1949)</f>
        <v>1</v>
      </c>
      <c r="L1949"/>
    </row>
    <row r="1950" spans="1:12" x14ac:dyDescent="0.3">
      <c r="A1950" t="s">
        <v>1956</v>
      </c>
      <c r="B1950" t="s">
        <v>10016</v>
      </c>
      <c r="C1950">
        <v>5</v>
      </c>
      <c r="D1950">
        <v>3</v>
      </c>
      <c r="E1950">
        <v>15</v>
      </c>
      <c r="F1950" t="s">
        <v>10020</v>
      </c>
      <c r="G1950" t="s">
        <v>10021</v>
      </c>
      <c r="H1950" s="6">
        <v>45222</v>
      </c>
      <c r="I1950">
        <f t="shared" si="60"/>
        <v>0</v>
      </c>
      <c r="J1950" t="str">
        <f t="shared" si="61"/>
        <v>Complete</v>
      </c>
      <c r="K1950">
        <f>COUNTIFS(RawData[Item], B1950,RawData[Quantity],C1950,RawData[Price Per Unit],D1950,RawData[Total Spent],E1950,RawData[Payment Method],F1950,RawData[Location],G1950,RawData[Transaction Date],H1950)</f>
        <v>1</v>
      </c>
      <c r="L1950"/>
    </row>
    <row r="1951" spans="1:12" x14ac:dyDescent="0.3">
      <c r="A1951" t="s">
        <v>1957</v>
      </c>
      <c r="B1951" t="s">
        <v>10016</v>
      </c>
      <c r="C1951">
        <v>1</v>
      </c>
      <c r="D1951">
        <v>3</v>
      </c>
      <c r="E1951">
        <v>3</v>
      </c>
      <c r="F1951" t="s">
        <v>10069</v>
      </c>
      <c r="G1951" t="s">
        <v>10102</v>
      </c>
      <c r="H1951" s="6">
        <v>45265</v>
      </c>
      <c r="I1951">
        <f t="shared" si="60"/>
        <v>0</v>
      </c>
      <c r="J1951" t="str">
        <f t="shared" si="61"/>
        <v>Complete</v>
      </c>
      <c r="K1951">
        <f>COUNTIFS(RawData[Item], B1951,RawData[Quantity],C1951,RawData[Price Per Unit],D1951,RawData[Total Spent],E1951,RawData[Payment Method],F1951,RawData[Location],G1951,RawData[Transaction Date],H1951)</f>
        <v>2</v>
      </c>
      <c r="L1951"/>
    </row>
    <row r="1952" spans="1:12" x14ac:dyDescent="0.3">
      <c r="A1952" t="s">
        <v>1958</v>
      </c>
      <c r="B1952" t="s">
        <v>10014</v>
      </c>
      <c r="C1952">
        <v>4</v>
      </c>
      <c r="D1952">
        <v>4</v>
      </c>
      <c r="E1952">
        <v>16</v>
      </c>
      <c r="F1952" t="s">
        <v>10019</v>
      </c>
      <c r="G1952" t="s">
        <v>10102</v>
      </c>
      <c r="H1952" s="6">
        <v>45127</v>
      </c>
      <c r="I1952">
        <f t="shared" si="60"/>
        <v>0</v>
      </c>
      <c r="J1952" t="str">
        <f t="shared" si="61"/>
        <v>Complete</v>
      </c>
      <c r="K1952">
        <f>COUNTIFS(RawData[Item], B1952,RawData[Quantity],C1952,RawData[Price Per Unit],D1952,RawData[Total Spent],E1952,RawData[Payment Method],F1952,RawData[Location],G1952,RawData[Transaction Date],H1952)</f>
        <v>1</v>
      </c>
      <c r="L1952"/>
    </row>
    <row r="1953" spans="1:12" x14ac:dyDescent="0.3">
      <c r="A1953" t="s">
        <v>1959</v>
      </c>
      <c r="B1953" t="s">
        <v>10014</v>
      </c>
      <c r="C1953">
        <v>1</v>
      </c>
      <c r="D1953">
        <v>4</v>
      </c>
      <c r="E1953">
        <v>4</v>
      </c>
      <c r="F1953" t="s">
        <v>10020</v>
      </c>
      <c r="G1953" t="s">
        <v>10021</v>
      </c>
      <c r="H1953" s="6">
        <v>44995</v>
      </c>
      <c r="I1953">
        <f t="shared" si="60"/>
        <v>0</v>
      </c>
      <c r="J1953" t="str">
        <f t="shared" si="61"/>
        <v>Complete</v>
      </c>
      <c r="K1953">
        <f>COUNTIFS(RawData[Item], B1953,RawData[Quantity],C1953,RawData[Price Per Unit],D1953,RawData[Total Spent],E1953,RawData[Payment Method],F1953,RawData[Location],G1953,RawData[Transaction Date],H1953)</f>
        <v>1</v>
      </c>
      <c r="L1953"/>
    </row>
    <row r="1954" spans="1:12" x14ac:dyDescent="0.3">
      <c r="A1954" t="s">
        <v>1960</v>
      </c>
      <c r="B1954" t="s">
        <v>10011</v>
      </c>
      <c r="C1954">
        <v>2</v>
      </c>
      <c r="D1954">
        <v>5</v>
      </c>
      <c r="E1954">
        <v>10</v>
      </c>
      <c r="F1954" t="s">
        <v>10019</v>
      </c>
      <c r="G1954" t="s">
        <v>10102</v>
      </c>
      <c r="H1954" s="6">
        <v>45128</v>
      </c>
      <c r="I1954">
        <f t="shared" si="60"/>
        <v>0</v>
      </c>
      <c r="J1954" t="str">
        <f t="shared" si="61"/>
        <v>Complete</v>
      </c>
      <c r="K1954">
        <f>COUNTIFS(RawData[Item], B1954,RawData[Quantity],C1954,RawData[Price Per Unit],D1954,RawData[Total Spent],E1954,RawData[Payment Method],F1954,RawData[Location],G1954,RawData[Transaction Date],H1954)</f>
        <v>1</v>
      </c>
      <c r="L1954"/>
    </row>
    <row r="1955" spans="1:12" x14ac:dyDescent="0.3">
      <c r="A1955" t="s">
        <v>1961</v>
      </c>
      <c r="B1955" t="s">
        <v>10009</v>
      </c>
      <c r="C1955">
        <v>3</v>
      </c>
      <c r="D1955">
        <v>3</v>
      </c>
      <c r="E1955">
        <v>9</v>
      </c>
      <c r="F1955" t="s">
        <v>10018</v>
      </c>
      <c r="G1955" t="s">
        <v>10102</v>
      </c>
      <c r="H1955" s="6">
        <v>44956</v>
      </c>
      <c r="I1955">
        <f t="shared" si="60"/>
        <v>0</v>
      </c>
      <c r="J1955" t="str">
        <f t="shared" si="61"/>
        <v>Complete</v>
      </c>
      <c r="K1955">
        <f>COUNTIFS(RawData[Item], B1955,RawData[Quantity],C1955,RawData[Price Per Unit],D1955,RawData[Total Spent],E1955,RawData[Payment Method],F1955,RawData[Location],G1955,RawData[Transaction Date],H1955)</f>
        <v>1</v>
      </c>
      <c r="L1955"/>
    </row>
    <row r="1956" spans="1:12" x14ac:dyDescent="0.3">
      <c r="A1956" t="s">
        <v>1962</v>
      </c>
      <c r="B1956" t="s">
        <v>10010</v>
      </c>
      <c r="C1956">
        <v>5</v>
      </c>
      <c r="D1956">
        <v>1</v>
      </c>
      <c r="E1956">
        <v>5</v>
      </c>
      <c r="F1956" t="s">
        <v>10020</v>
      </c>
      <c r="G1956" t="s">
        <v>10021</v>
      </c>
      <c r="H1956" s="6" t="s">
        <v>10112</v>
      </c>
      <c r="I1956">
        <f t="shared" si="60"/>
        <v>1</v>
      </c>
      <c r="J1956" t="str">
        <f t="shared" si="61"/>
        <v>Incomplete</v>
      </c>
      <c r="K1956">
        <f>COUNTIFS(RawData[Item], B1956,RawData[Quantity],C1956,RawData[Price Per Unit],D1956,RawData[Total Spent],E1956,RawData[Payment Method],F1956,RawData[Location],G1956,RawData[Transaction Date],H1956)</f>
        <v>1</v>
      </c>
      <c r="L1956"/>
    </row>
    <row r="1957" spans="1:12" x14ac:dyDescent="0.3">
      <c r="A1957" t="s">
        <v>1963</v>
      </c>
      <c r="B1957" t="s">
        <v>10012</v>
      </c>
      <c r="C1957">
        <v>1</v>
      </c>
      <c r="D1957">
        <v>4</v>
      </c>
      <c r="E1957">
        <v>4</v>
      </c>
      <c r="F1957" t="s">
        <v>10069</v>
      </c>
      <c r="G1957" t="s">
        <v>10021</v>
      </c>
      <c r="H1957" s="6">
        <v>45260</v>
      </c>
      <c r="I1957">
        <f t="shared" si="60"/>
        <v>0</v>
      </c>
      <c r="J1957" t="str">
        <f t="shared" si="61"/>
        <v>Complete</v>
      </c>
      <c r="K1957">
        <f>COUNTIFS(RawData[Item], B1957,RawData[Quantity],C1957,RawData[Price Per Unit],D1957,RawData[Total Spent],E1957,RawData[Payment Method],F1957,RawData[Location],G1957,RawData[Transaction Date],H1957)</f>
        <v>1</v>
      </c>
      <c r="L1957"/>
    </row>
    <row r="1958" spans="1:12" x14ac:dyDescent="0.3">
      <c r="A1958" t="s">
        <v>1964</v>
      </c>
      <c r="B1958" t="s">
        <v>10013</v>
      </c>
      <c r="C1958">
        <v>3</v>
      </c>
      <c r="D1958">
        <v>5</v>
      </c>
      <c r="E1958">
        <v>15</v>
      </c>
      <c r="F1958" t="s">
        <v>10020</v>
      </c>
      <c r="G1958" t="s">
        <v>10102</v>
      </c>
      <c r="H1958" s="6">
        <v>45007</v>
      </c>
      <c r="I1958">
        <f t="shared" si="60"/>
        <v>1</v>
      </c>
      <c r="J1958" t="str">
        <f t="shared" si="61"/>
        <v>Complete</v>
      </c>
      <c r="K1958">
        <f>COUNTIFS(RawData[Item], B1958,RawData[Quantity],C1958,RawData[Price Per Unit],D1958,RawData[Total Spent],E1958,RawData[Payment Method],F1958,RawData[Location],G1958,RawData[Transaction Date],H1958)</f>
        <v>1</v>
      </c>
      <c r="L1958"/>
    </row>
    <row r="1959" spans="1:12" x14ac:dyDescent="0.3">
      <c r="A1959" t="s">
        <v>1965</v>
      </c>
      <c r="B1959" t="s">
        <v>10014</v>
      </c>
      <c r="C1959">
        <v>2</v>
      </c>
      <c r="D1959">
        <v>4</v>
      </c>
      <c r="E1959">
        <v>8</v>
      </c>
      <c r="F1959" t="s">
        <v>10103</v>
      </c>
      <c r="G1959" t="s">
        <v>10069</v>
      </c>
      <c r="H1959" s="6">
        <v>44953</v>
      </c>
      <c r="I1959">
        <f t="shared" si="60"/>
        <v>1</v>
      </c>
      <c r="J1959" t="str">
        <f t="shared" si="61"/>
        <v>Complete</v>
      </c>
      <c r="K1959">
        <f>COUNTIFS(RawData[Item], B1959,RawData[Quantity],C1959,RawData[Price Per Unit],D1959,RawData[Total Spent],E1959,RawData[Payment Method],F1959,RawData[Location],G1959,RawData[Transaction Date],H1959)</f>
        <v>1</v>
      </c>
      <c r="L1959"/>
    </row>
    <row r="1960" spans="1:12" x14ac:dyDescent="0.3">
      <c r="A1960" t="s">
        <v>1966</v>
      </c>
      <c r="B1960" t="s">
        <v>10016</v>
      </c>
      <c r="C1960">
        <v>4</v>
      </c>
      <c r="D1960">
        <v>0</v>
      </c>
      <c r="E1960">
        <v>12</v>
      </c>
      <c r="F1960" t="s">
        <v>10018</v>
      </c>
      <c r="G1960" t="s">
        <v>10069</v>
      </c>
      <c r="H1960" s="6">
        <v>45221</v>
      </c>
      <c r="I1960">
        <f t="shared" si="60"/>
        <v>0</v>
      </c>
      <c r="J1960" t="str">
        <f t="shared" si="61"/>
        <v>Complete</v>
      </c>
      <c r="K1960">
        <f>COUNTIFS(RawData[Item], B1960,RawData[Quantity],C1960,RawData[Price Per Unit],D1960,RawData[Total Spent],E1960,RawData[Payment Method],F1960,RawData[Location],G1960,RawData[Transaction Date],H1960)</f>
        <v>1</v>
      </c>
      <c r="L1960"/>
    </row>
    <row r="1961" spans="1:12" x14ac:dyDescent="0.3">
      <c r="A1961" t="s">
        <v>1967</v>
      </c>
      <c r="B1961" t="s">
        <v>10013</v>
      </c>
      <c r="C1961">
        <v>1</v>
      </c>
      <c r="D1961">
        <v>3</v>
      </c>
      <c r="E1961">
        <v>3</v>
      </c>
      <c r="F1961" t="s">
        <v>10018</v>
      </c>
      <c r="G1961" t="s">
        <v>10021</v>
      </c>
      <c r="H1961" s="6">
        <v>44975</v>
      </c>
      <c r="I1961">
        <f t="shared" si="60"/>
        <v>1</v>
      </c>
      <c r="J1961" t="str">
        <f t="shared" si="61"/>
        <v>Complete</v>
      </c>
      <c r="K1961">
        <f>COUNTIFS(RawData[Item], B1961,RawData[Quantity],C1961,RawData[Price Per Unit],D1961,RawData[Total Spent],E1961,RawData[Payment Method],F1961,RawData[Location],G1961,RawData[Transaction Date],H1961)</f>
        <v>1</v>
      </c>
      <c r="L1961"/>
    </row>
    <row r="1962" spans="1:12" x14ac:dyDescent="0.3">
      <c r="A1962" t="s">
        <v>1968</v>
      </c>
      <c r="B1962" t="s">
        <v>10014</v>
      </c>
      <c r="C1962">
        <v>1</v>
      </c>
      <c r="D1962">
        <v>4</v>
      </c>
      <c r="E1962">
        <v>4</v>
      </c>
      <c r="F1962" t="s">
        <v>10018</v>
      </c>
      <c r="G1962" t="s">
        <v>10021</v>
      </c>
      <c r="H1962" s="6">
        <v>45070</v>
      </c>
      <c r="I1962">
        <f t="shared" si="60"/>
        <v>0</v>
      </c>
      <c r="J1962" t="str">
        <f t="shared" si="61"/>
        <v>Complete</v>
      </c>
      <c r="K1962">
        <f>COUNTIFS(RawData[Item], B1962,RawData[Quantity],C1962,RawData[Price Per Unit],D1962,RawData[Total Spent],E1962,RawData[Payment Method],F1962,RawData[Location],G1962,RawData[Transaction Date],H1962)</f>
        <v>1</v>
      </c>
      <c r="L1962"/>
    </row>
    <row r="1963" spans="1:12" x14ac:dyDescent="0.3">
      <c r="A1963" t="s">
        <v>1969</v>
      </c>
      <c r="B1963" t="s">
        <v>10016</v>
      </c>
      <c r="C1963">
        <v>4</v>
      </c>
      <c r="D1963">
        <v>3</v>
      </c>
      <c r="E1963">
        <v>12</v>
      </c>
      <c r="F1963" t="s">
        <v>10018</v>
      </c>
      <c r="G1963" t="s">
        <v>10069</v>
      </c>
      <c r="H1963" s="6">
        <v>45260</v>
      </c>
      <c r="I1963">
        <f t="shared" si="60"/>
        <v>0</v>
      </c>
      <c r="J1963" t="str">
        <f t="shared" si="61"/>
        <v>Complete</v>
      </c>
      <c r="K1963">
        <f>COUNTIFS(RawData[Item], B1963,RawData[Quantity],C1963,RawData[Price Per Unit],D1963,RawData[Total Spent],E1963,RawData[Payment Method],F1963,RawData[Location],G1963,RawData[Transaction Date],H1963)</f>
        <v>1</v>
      </c>
      <c r="L1963"/>
    </row>
    <row r="1964" spans="1:12" x14ac:dyDescent="0.3">
      <c r="A1964" t="s">
        <v>1970</v>
      </c>
      <c r="B1964" t="s">
        <v>10015</v>
      </c>
      <c r="C1964">
        <v>3</v>
      </c>
      <c r="D1964">
        <v>4</v>
      </c>
      <c r="E1964" t="s">
        <v>10015</v>
      </c>
      <c r="F1964" t="s">
        <v>10020</v>
      </c>
      <c r="G1964" t="s">
        <v>10102</v>
      </c>
      <c r="H1964" s="6">
        <v>45069</v>
      </c>
      <c r="I1964">
        <f t="shared" si="60"/>
        <v>2</v>
      </c>
      <c r="J1964" t="str">
        <f t="shared" si="61"/>
        <v>Complete</v>
      </c>
      <c r="K1964">
        <f>COUNTIFS(RawData[Item], B1964,RawData[Quantity],C1964,RawData[Price Per Unit],D1964,RawData[Total Spent],E1964,RawData[Payment Method],F1964,RawData[Location],G1964,RawData[Transaction Date],H1964)</f>
        <v>1</v>
      </c>
      <c r="L1964"/>
    </row>
    <row r="1965" spans="1:12" x14ac:dyDescent="0.3">
      <c r="A1965" t="s">
        <v>1971</v>
      </c>
      <c r="B1965" t="s">
        <v>10016</v>
      </c>
      <c r="C1965">
        <v>3</v>
      </c>
      <c r="D1965">
        <v>3</v>
      </c>
      <c r="E1965">
        <v>9</v>
      </c>
      <c r="F1965" t="s">
        <v>10018</v>
      </c>
      <c r="G1965" t="s">
        <v>10103</v>
      </c>
      <c r="H1965" s="6">
        <v>45237</v>
      </c>
      <c r="I1965">
        <f t="shared" si="60"/>
        <v>1</v>
      </c>
      <c r="J1965" t="str">
        <f t="shared" si="61"/>
        <v>Complete</v>
      </c>
      <c r="K1965">
        <f>COUNTIFS(RawData[Item], B1965,RawData[Quantity],C1965,RawData[Price Per Unit],D1965,RawData[Total Spent],E1965,RawData[Payment Method],F1965,RawData[Location],G1965,RawData[Transaction Date],H1965)</f>
        <v>1</v>
      </c>
      <c r="L1965"/>
    </row>
    <row r="1966" spans="1:12" x14ac:dyDescent="0.3">
      <c r="A1966" t="s">
        <v>1972</v>
      </c>
      <c r="B1966" t="s">
        <v>10016</v>
      </c>
      <c r="C1966">
        <v>5</v>
      </c>
      <c r="D1966">
        <v>3</v>
      </c>
      <c r="E1966" t="s">
        <v>10013</v>
      </c>
      <c r="F1966" t="s">
        <v>10069</v>
      </c>
      <c r="G1966" t="s">
        <v>10102</v>
      </c>
      <c r="H1966" s="6">
        <v>45017</v>
      </c>
      <c r="I1966">
        <f t="shared" si="60"/>
        <v>1</v>
      </c>
      <c r="J1966" t="str">
        <f t="shared" si="61"/>
        <v>Complete</v>
      </c>
      <c r="K1966">
        <f>COUNTIFS(RawData[Item], B1966,RawData[Quantity],C1966,RawData[Price Per Unit],D1966,RawData[Total Spent],E1966,RawData[Payment Method],F1966,RawData[Location],G1966,RawData[Transaction Date],H1966)</f>
        <v>1</v>
      </c>
      <c r="L1966"/>
    </row>
    <row r="1967" spans="1:12" x14ac:dyDescent="0.3">
      <c r="A1967" t="s">
        <v>1973</v>
      </c>
      <c r="B1967" t="s">
        <v>10012</v>
      </c>
      <c r="C1967">
        <v>3</v>
      </c>
      <c r="D1967">
        <v>4</v>
      </c>
      <c r="E1967">
        <v>12</v>
      </c>
      <c r="F1967" t="s">
        <v>10020</v>
      </c>
      <c r="G1967" t="s">
        <v>10021</v>
      </c>
      <c r="H1967" s="6">
        <v>45101</v>
      </c>
      <c r="I1967">
        <f t="shared" si="60"/>
        <v>0</v>
      </c>
      <c r="J1967" t="str">
        <f t="shared" si="61"/>
        <v>Complete</v>
      </c>
      <c r="K1967">
        <f>COUNTIFS(RawData[Item], B1967,RawData[Quantity],C1967,RawData[Price Per Unit],D1967,RawData[Total Spent],E1967,RawData[Payment Method],F1967,RawData[Location],G1967,RawData[Transaction Date],H1967)</f>
        <v>1</v>
      </c>
      <c r="L1967"/>
    </row>
    <row r="1968" spans="1:12" x14ac:dyDescent="0.3">
      <c r="A1968" t="s">
        <v>1974</v>
      </c>
      <c r="B1968" t="s">
        <v>10012</v>
      </c>
      <c r="C1968">
        <v>5</v>
      </c>
      <c r="D1968">
        <v>4</v>
      </c>
      <c r="E1968">
        <v>20</v>
      </c>
      <c r="F1968" t="s">
        <v>10069</v>
      </c>
      <c r="G1968" t="s">
        <v>10069</v>
      </c>
      <c r="H1968" s="6">
        <v>45225</v>
      </c>
      <c r="I1968">
        <f t="shared" si="60"/>
        <v>0</v>
      </c>
      <c r="J1968" t="str">
        <f t="shared" si="61"/>
        <v>Complete</v>
      </c>
      <c r="K1968">
        <f>COUNTIFS(RawData[Item], B1968,RawData[Quantity],C1968,RawData[Price Per Unit],D1968,RawData[Total Spent],E1968,RawData[Payment Method],F1968,RawData[Location],G1968,RawData[Transaction Date],H1968)</f>
        <v>1</v>
      </c>
      <c r="L1968"/>
    </row>
    <row r="1969" spans="1:12" x14ac:dyDescent="0.3">
      <c r="A1969" t="s">
        <v>1975</v>
      </c>
      <c r="B1969" t="s">
        <v>10009</v>
      </c>
      <c r="C1969">
        <v>5</v>
      </c>
      <c r="D1969">
        <v>3</v>
      </c>
      <c r="E1969">
        <v>15</v>
      </c>
      <c r="F1969" t="s">
        <v>10020</v>
      </c>
      <c r="G1969" t="s">
        <v>10021</v>
      </c>
      <c r="H1969" s="6">
        <v>45246</v>
      </c>
      <c r="I1969">
        <f t="shared" si="60"/>
        <v>0</v>
      </c>
      <c r="J1969" t="str">
        <f t="shared" si="61"/>
        <v>Complete</v>
      </c>
      <c r="K1969">
        <f>COUNTIFS(RawData[Item], B1969,RawData[Quantity],C1969,RawData[Price Per Unit],D1969,RawData[Total Spent],E1969,RawData[Payment Method],F1969,RawData[Location],G1969,RawData[Transaction Date],H1969)</f>
        <v>1</v>
      </c>
      <c r="L1969"/>
    </row>
    <row r="1970" spans="1:12" x14ac:dyDescent="0.3">
      <c r="A1970" t="s">
        <v>1976</v>
      </c>
      <c r="B1970" t="s">
        <v>10011</v>
      </c>
      <c r="C1970">
        <v>4</v>
      </c>
      <c r="D1970">
        <v>5</v>
      </c>
      <c r="E1970">
        <v>20</v>
      </c>
      <c r="F1970" t="s">
        <v>10019</v>
      </c>
      <c r="G1970" t="s">
        <v>10069</v>
      </c>
      <c r="H1970" s="6">
        <v>45280</v>
      </c>
      <c r="I1970">
        <f t="shared" si="60"/>
        <v>0</v>
      </c>
      <c r="J1970" t="str">
        <f t="shared" si="61"/>
        <v>Complete</v>
      </c>
      <c r="K1970">
        <f>COUNTIFS(RawData[Item], B1970,RawData[Quantity],C1970,RawData[Price Per Unit],D1970,RawData[Total Spent],E1970,RawData[Payment Method],F1970,RawData[Location],G1970,RawData[Transaction Date],H1970)</f>
        <v>1</v>
      </c>
      <c r="L1970"/>
    </row>
    <row r="1971" spans="1:12" x14ac:dyDescent="0.3">
      <c r="A1971" t="s">
        <v>1977</v>
      </c>
      <c r="B1971" t="s">
        <v>10010</v>
      </c>
      <c r="C1971">
        <v>4</v>
      </c>
      <c r="D1971">
        <v>1</v>
      </c>
      <c r="E1971">
        <v>4</v>
      </c>
      <c r="F1971" t="s">
        <v>10020</v>
      </c>
      <c r="G1971" t="s">
        <v>10102</v>
      </c>
      <c r="H1971" s="6">
        <v>45104</v>
      </c>
      <c r="I1971">
        <f t="shared" si="60"/>
        <v>0</v>
      </c>
      <c r="J1971" t="str">
        <f t="shared" si="61"/>
        <v>Complete</v>
      </c>
      <c r="K1971">
        <f>COUNTIFS(RawData[Item], B1971,RawData[Quantity],C1971,RawData[Price Per Unit],D1971,RawData[Total Spent],E1971,RawData[Payment Method],F1971,RawData[Location],G1971,RawData[Transaction Date],H1971)</f>
        <v>1</v>
      </c>
      <c r="L1971"/>
    </row>
    <row r="1972" spans="1:12" x14ac:dyDescent="0.3">
      <c r="A1972" t="s">
        <v>1978</v>
      </c>
      <c r="B1972" t="s">
        <v>10010</v>
      </c>
      <c r="C1972">
        <v>3</v>
      </c>
      <c r="D1972">
        <v>1</v>
      </c>
      <c r="E1972">
        <v>3</v>
      </c>
      <c r="F1972" t="s">
        <v>10019</v>
      </c>
      <c r="G1972" t="s">
        <v>10104</v>
      </c>
      <c r="H1972" s="6">
        <v>45165</v>
      </c>
      <c r="I1972">
        <f t="shared" si="60"/>
        <v>1</v>
      </c>
      <c r="J1972" t="str">
        <f t="shared" si="61"/>
        <v>Complete</v>
      </c>
      <c r="K1972">
        <f>COUNTIFS(RawData[Item], B1972,RawData[Quantity],C1972,RawData[Price Per Unit],D1972,RawData[Total Spent],E1972,RawData[Payment Method],F1972,RawData[Location],G1972,RawData[Transaction Date],H1972)</f>
        <v>1</v>
      </c>
      <c r="L1972"/>
    </row>
    <row r="1973" spans="1:12" x14ac:dyDescent="0.3">
      <c r="A1973" t="s">
        <v>1979</v>
      </c>
      <c r="B1973" t="s">
        <v>10017</v>
      </c>
      <c r="C1973">
        <v>2</v>
      </c>
      <c r="D1973">
        <v>1.5</v>
      </c>
      <c r="E1973">
        <v>3</v>
      </c>
      <c r="F1973" t="s">
        <v>10069</v>
      </c>
      <c r="G1973" t="s">
        <v>10069</v>
      </c>
      <c r="H1973" s="6">
        <v>45105</v>
      </c>
      <c r="I1973">
        <f t="shared" si="60"/>
        <v>0</v>
      </c>
      <c r="J1973" t="str">
        <f t="shared" si="61"/>
        <v>Complete</v>
      </c>
      <c r="K1973">
        <f>COUNTIFS(RawData[Item], B1973,RawData[Quantity],C1973,RawData[Price Per Unit],D1973,RawData[Total Spent],E1973,RawData[Payment Method],F1973,RawData[Location],G1973,RawData[Transaction Date],H1973)</f>
        <v>1</v>
      </c>
      <c r="L1973"/>
    </row>
    <row r="1974" spans="1:12" x14ac:dyDescent="0.3">
      <c r="A1974" t="s">
        <v>1980</v>
      </c>
      <c r="B1974" t="s">
        <v>10016</v>
      </c>
      <c r="C1974">
        <v>4</v>
      </c>
      <c r="D1974">
        <v>3</v>
      </c>
      <c r="E1974">
        <v>12</v>
      </c>
      <c r="F1974" t="s">
        <v>10018</v>
      </c>
      <c r="G1974" t="s">
        <v>10069</v>
      </c>
      <c r="H1974" s="6">
        <v>45282</v>
      </c>
      <c r="I1974">
        <f t="shared" si="60"/>
        <v>0</v>
      </c>
      <c r="J1974" t="str">
        <f t="shared" si="61"/>
        <v>Complete</v>
      </c>
      <c r="K1974">
        <f>COUNTIFS(RawData[Item], B1974,RawData[Quantity],C1974,RawData[Price Per Unit],D1974,RawData[Total Spent],E1974,RawData[Payment Method],F1974,RawData[Location],G1974,RawData[Transaction Date],H1974)</f>
        <v>1</v>
      </c>
      <c r="L1974"/>
    </row>
    <row r="1975" spans="1:12" x14ac:dyDescent="0.3">
      <c r="A1975" t="s">
        <v>1981</v>
      </c>
      <c r="B1975" t="s">
        <v>10016</v>
      </c>
      <c r="C1975">
        <v>4</v>
      </c>
      <c r="D1975">
        <v>3</v>
      </c>
      <c r="E1975">
        <v>12</v>
      </c>
      <c r="F1975" t="s">
        <v>10018</v>
      </c>
      <c r="G1975" t="s">
        <v>10021</v>
      </c>
      <c r="H1975" s="6">
        <v>45263</v>
      </c>
      <c r="I1975">
        <f t="shared" si="60"/>
        <v>0</v>
      </c>
      <c r="J1975" t="str">
        <f t="shared" si="61"/>
        <v>Complete</v>
      </c>
      <c r="K1975">
        <f>COUNTIFS(RawData[Item], B1975,RawData[Quantity],C1975,RawData[Price Per Unit],D1975,RawData[Total Spent],E1975,RawData[Payment Method],F1975,RawData[Location],G1975,RawData[Transaction Date],H1975)</f>
        <v>1</v>
      </c>
      <c r="L1975"/>
    </row>
    <row r="1976" spans="1:12" x14ac:dyDescent="0.3">
      <c r="A1976" t="s">
        <v>1982</v>
      </c>
      <c r="B1976" t="s">
        <v>10012</v>
      </c>
      <c r="C1976">
        <v>3</v>
      </c>
      <c r="D1976">
        <v>4</v>
      </c>
      <c r="E1976" t="s">
        <v>10015</v>
      </c>
      <c r="F1976" t="s">
        <v>10069</v>
      </c>
      <c r="G1976" t="s">
        <v>10069</v>
      </c>
      <c r="H1976" s="6">
        <v>45036</v>
      </c>
      <c r="I1976">
        <f t="shared" si="60"/>
        <v>1</v>
      </c>
      <c r="J1976" t="str">
        <f t="shared" si="61"/>
        <v>Complete</v>
      </c>
      <c r="K1976">
        <f>COUNTIFS(RawData[Item], B1976,RawData[Quantity],C1976,RawData[Price Per Unit],D1976,RawData[Total Spent],E1976,RawData[Payment Method],F1976,RawData[Location],G1976,RawData[Transaction Date],H1976)</f>
        <v>1</v>
      </c>
      <c r="L1976"/>
    </row>
    <row r="1977" spans="1:12" x14ac:dyDescent="0.3">
      <c r="A1977" t="s">
        <v>1983</v>
      </c>
      <c r="B1977" t="s">
        <v>10008</v>
      </c>
      <c r="C1977">
        <v>3</v>
      </c>
      <c r="D1977">
        <v>2</v>
      </c>
      <c r="E1977">
        <v>6</v>
      </c>
      <c r="F1977" t="s">
        <v>10018</v>
      </c>
      <c r="G1977" t="s">
        <v>10069</v>
      </c>
      <c r="H1977" s="6">
        <v>45129</v>
      </c>
      <c r="I1977">
        <f t="shared" si="60"/>
        <v>0</v>
      </c>
      <c r="J1977" t="str">
        <f t="shared" si="61"/>
        <v>Complete</v>
      </c>
      <c r="K1977">
        <f>COUNTIFS(RawData[Item], B1977,RawData[Quantity],C1977,RawData[Price Per Unit],D1977,RawData[Total Spent],E1977,RawData[Payment Method],F1977,RawData[Location],G1977,RawData[Transaction Date],H1977)</f>
        <v>1</v>
      </c>
      <c r="L1977"/>
    </row>
    <row r="1978" spans="1:12" x14ac:dyDescent="0.3">
      <c r="A1978" t="s">
        <v>1984</v>
      </c>
      <c r="B1978" t="s">
        <v>10012</v>
      </c>
      <c r="C1978">
        <v>3</v>
      </c>
      <c r="D1978">
        <v>4</v>
      </c>
      <c r="E1978">
        <v>12</v>
      </c>
      <c r="F1978" t="s">
        <v>10069</v>
      </c>
      <c r="G1978" t="s">
        <v>10021</v>
      </c>
      <c r="H1978" s="6">
        <v>45063</v>
      </c>
      <c r="I1978">
        <f t="shared" si="60"/>
        <v>0</v>
      </c>
      <c r="J1978" t="str">
        <f t="shared" si="61"/>
        <v>Complete</v>
      </c>
      <c r="K1978">
        <f>COUNTIFS(RawData[Item], B1978,RawData[Quantity],C1978,RawData[Price Per Unit],D1978,RawData[Total Spent],E1978,RawData[Payment Method],F1978,RawData[Location],G1978,RawData[Transaction Date],H1978)</f>
        <v>1</v>
      </c>
      <c r="L1978"/>
    </row>
    <row r="1979" spans="1:12" x14ac:dyDescent="0.3">
      <c r="A1979" t="s">
        <v>1985</v>
      </c>
      <c r="B1979" t="s">
        <v>10008</v>
      </c>
      <c r="C1979">
        <v>1</v>
      </c>
      <c r="D1979">
        <v>2</v>
      </c>
      <c r="E1979">
        <v>2</v>
      </c>
      <c r="F1979" t="s">
        <v>10020</v>
      </c>
      <c r="G1979" t="s">
        <v>10069</v>
      </c>
      <c r="H1979" s="6">
        <v>45121</v>
      </c>
      <c r="I1979">
        <f t="shared" si="60"/>
        <v>0</v>
      </c>
      <c r="J1979" t="str">
        <f t="shared" si="61"/>
        <v>Complete</v>
      </c>
      <c r="K1979">
        <f>COUNTIFS(RawData[Item], B1979,RawData[Quantity],C1979,RawData[Price Per Unit],D1979,RawData[Total Spent],E1979,RawData[Payment Method],F1979,RawData[Location],G1979,RawData[Transaction Date],H1979)</f>
        <v>1</v>
      </c>
      <c r="L1979"/>
    </row>
    <row r="1980" spans="1:12" x14ac:dyDescent="0.3">
      <c r="A1980" t="s">
        <v>1986</v>
      </c>
      <c r="B1980" t="s">
        <v>10013</v>
      </c>
      <c r="C1980">
        <v>3</v>
      </c>
      <c r="D1980">
        <v>2</v>
      </c>
      <c r="E1980">
        <v>6</v>
      </c>
      <c r="F1980" t="s">
        <v>10020</v>
      </c>
      <c r="G1980" t="s">
        <v>10102</v>
      </c>
      <c r="H1980" s="6">
        <v>45100</v>
      </c>
      <c r="I1980">
        <f t="shared" si="60"/>
        <v>1</v>
      </c>
      <c r="J1980" t="str">
        <f t="shared" si="61"/>
        <v>Complete</v>
      </c>
      <c r="K1980">
        <f>COUNTIFS(RawData[Item], B1980,RawData[Quantity],C1980,RawData[Price Per Unit],D1980,RawData[Total Spent],E1980,RawData[Payment Method],F1980,RawData[Location],G1980,RawData[Transaction Date],H1980)</f>
        <v>1</v>
      </c>
      <c r="L1980"/>
    </row>
    <row r="1981" spans="1:12" x14ac:dyDescent="0.3">
      <c r="A1981" t="s">
        <v>1987</v>
      </c>
      <c r="B1981" t="s">
        <v>10011</v>
      </c>
      <c r="C1981">
        <v>4</v>
      </c>
      <c r="D1981">
        <v>5</v>
      </c>
      <c r="E1981">
        <v>20</v>
      </c>
      <c r="F1981" t="s">
        <v>10104</v>
      </c>
      <c r="G1981" t="s">
        <v>10021</v>
      </c>
      <c r="H1981" s="6">
        <v>45096</v>
      </c>
      <c r="I1981">
        <f t="shared" si="60"/>
        <v>1</v>
      </c>
      <c r="J1981" t="str">
        <f t="shared" si="61"/>
        <v>Complete</v>
      </c>
      <c r="K1981">
        <f>COUNTIFS(RawData[Item], B1981,RawData[Quantity],C1981,RawData[Price Per Unit],D1981,RawData[Total Spent],E1981,RawData[Payment Method],F1981,RawData[Location],G1981,RawData[Transaction Date],H1981)</f>
        <v>1</v>
      </c>
      <c r="L1981"/>
    </row>
    <row r="1982" spans="1:12" x14ac:dyDescent="0.3">
      <c r="A1982" t="s">
        <v>1988</v>
      </c>
      <c r="B1982" t="s">
        <v>10017</v>
      </c>
      <c r="C1982">
        <v>2</v>
      </c>
      <c r="D1982">
        <v>1.5</v>
      </c>
      <c r="E1982">
        <v>3</v>
      </c>
      <c r="F1982" t="s">
        <v>10019</v>
      </c>
      <c r="G1982" t="s">
        <v>10103</v>
      </c>
      <c r="H1982" s="6">
        <v>44946</v>
      </c>
      <c r="I1982">
        <f t="shared" si="60"/>
        <v>1</v>
      </c>
      <c r="J1982" t="str">
        <f t="shared" si="61"/>
        <v>Complete</v>
      </c>
      <c r="K1982">
        <f>COUNTIFS(RawData[Item], B1982,RawData[Quantity],C1982,RawData[Price Per Unit],D1982,RawData[Total Spent],E1982,RawData[Payment Method],F1982,RawData[Location],G1982,RawData[Transaction Date],H1982)</f>
        <v>1</v>
      </c>
      <c r="L1982"/>
    </row>
    <row r="1983" spans="1:12" x14ac:dyDescent="0.3">
      <c r="A1983" t="s">
        <v>1989</v>
      </c>
      <c r="B1983" t="s">
        <v>10008</v>
      </c>
      <c r="C1983">
        <v>5</v>
      </c>
      <c r="D1983">
        <v>2</v>
      </c>
      <c r="E1983">
        <v>10</v>
      </c>
      <c r="F1983" t="s">
        <v>10069</v>
      </c>
      <c r="G1983" t="s">
        <v>10069</v>
      </c>
      <c r="H1983" s="6">
        <v>45266</v>
      </c>
      <c r="I1983">
        <f t="shared" si="60"/>
        <v>0</v>
      </c>
      <c r="J1983" t="str">
        <f t="shared" si="61"/>
        <v>Complete</v>
      </c>
      <c r="K1983">
        <f>COUNTIFS(RawData[Item], B1983,RawData[Quantity],C1983,RawData[Price Per Unit],D1983,RawData[Total Spent],E1983,RawData[Payment Method],F1983,RawData[Location],G1983,RawData[Transaction Date],H1983)</f>
        <v>1</v>
      </c>
      <c r="L1983"/>
    </row>
    <row r="1984" spans="1:12" x14ac:dyDescent="0.3">
      <c r="A1984" t="s">
        <v>1990</v>
      </c>
      <c r="B1984" t="s">
        <v>10008</v>
      </c>
      <c r="C1984">
        <v>5</v>
      </c>
      <c r="D1984">
        <v>2</v>
      </c>
      <c r="E1984">
        <v>10</v>
      </c>
      <c r="F1984" t="s">
        <v>10020</v>
      </c>
      <c r="G1984" t="s">
        <v>10021</v>
      </c>
      <c r="H1984" s="6">
        <v>44932</v>
      </c>
      <c r="I1984">
        <f t="shared" si="60"/>
        <v>0</v>
      </c>
      <c r="J1984" t="str">
        <f t="shared" si="61"/>
        <v>Complete</v>
      </c>
      <c r="K1984">
        <f>COUNTIFS(RawData[Item], B1984,RawData[Quantity],C1984,RawData[Price Per Unit],D1984,RawData[Total Spent],E1984,RawData[Payment Method],F1984,RawData[Location],G1984,RawData[Transaction Date],H1984)</f>
        <v>1</v>
      </c>
      <c r="L1984"/>
    </row>
    <row r="1985" spans="1:12" x14ac:dyDescent="0.3">
      <c r="A1985" t="s">
        <v>1991</v>
      </c>
      <c r="B1985" t="s">
        <v>10009</v>
      </c>
      <c r="C1985">
        <v>2</v>
      </c>
      <c r="D1985" t="s">
        <v>10015</v>
      </c>
      <c r="E1985">
        <v>6</v>
      </c>
      <c r="F1985" t="s">
        <v>10069</v>
      </c>
      <c r="G1985" t="s">
        <v>10102</v>
      </c>
      <c r="H1985" s="6">
        <v>45113</v>
      </c>
      <c r="I1985">
        <f t="shared" si="60"/>
        <v>1</v>
      </c>
      <c r="J1985" t="str">
        <f t="shared" si="61"/>
        <v>Complete</v>
      </c>
      <c r="K1985">
        <f>COUNTIFS(RawData[Item], B1985,RawData[Quantity],C1985,RawData[Price Per Unit],D1985,RawData[Total Spent],E1985,RawData[Payment Method],F1985,RawData[Location],G1985,RawData[Transaction Date],H1985)</f>
        <v>1</v>
      </c>
      <c r="L1985"/>
    </row>
    <row r="1986" spans="1:12" x14ac:dyDescent="0.3">
      <c r="A1986" t="s">
        <v>1992</v>
      </c>
      <c r="B1986" t="s">
        <v>10008</v>
      </c>
      <c r="C1986">
        <v>3</v>
      </c>
      <c r="D1986">
        <v>2</v>
      </c>
      <c r="E1986">
        <v>6</v>
      </c>
      <c r="F1986" t="s">
        <v>10019</v>
      </c>
      <c r="G1986" t="s">
        <v>10104</v>
      </c>
      <c r="H1986" s="6">
        <v>45151</v>
      </c>
      <c r="I1986">
        <f t="shared" ref="I1986:I2049" si="62">(B1986="Unknown")+(B1986="Error")+(C1986="Unknown")+(C1986="Error")+(D1986="Unknown")+(D1986="Error")+(E1986="Unknown")+(E1986="Error")+(F1986="Unknown")+(F1986="Error")+(G1986="Unknown")+(G1986="Error")+(H1986="No Date")</f>
        <v>1</v>
      </c>
      <c r="J1986" t="str">
        <f t="shared" ref="J1986:J2049" si="63">IF((H1986="No Date"),"Incomplete","Complete")</f>
        <v>Complete</v>
      </c>
      <c r="K1986">
        <f>COUNTIFS(RawData[Item], B1986,RawData[Quantity],C1986,RawData[Price Per Unit],D1986,RawData[Total Spent],E1986,RawData[Payment Method],F1986,RawData[Location],G1986,RawData[Transaction Date],H1986)</f>
        <v>1</v>
      </c>
      <c r="L1986"/>
    </row>
    <row r="1987" spans="1:12" x14ac:dyDescent="0.3">
      <c r="A1987" t="s">
        <v>1993</v>
      </c>
      <c r="B1987" t="s">
        <v>10012</v>
      </c>
      <c r="C1987">
        <v>1</v>
      </c>
      <c r="D1987">
        <v>4</v>
      </c>
      <c r="E1987">
        <v>4</v>
      </c>
      <c r="F1987" t="s">
        <v>10104</v>
      </c>
      <c r="G1987" t="s">
        <v>10021</v>
      </c>
      <c r="H1987" s="6">
        <v>44931</v>
      </c>
      <c r="I1987">
        <f t="shared" si="62"/>
        <v>1</v>
      </c>
      <c r="J1987" t="str">
        <f t="shared" si="63"/>
        <v>Complete</v>
      </c>
      <c r="K1987">
        <f>COUNTIFS(RawData[Item], B1987,RawData[Quantity],C1987,RawData[Price Per Unit],D1987,RawData[Total Spent],E1987,RawData[Payment Method],F1987,RawData[Location],G1987,RawData[Transaction Date],H1987)</f>
        <v>1</v>
      </c>
      <c r="L1987"/>
    </row>
    <row r="1988" spans="1:12" x14ac:dyDescent="0.3">
      <c r="A1988" t="s">
        <v>1994</v>
      </c>
      <c r="B1988" t="s">
        <v>10010</v>
      </c>
      <c r="C1988" t="s">
        <v>10015</v>
      </c>
      <c r="D1988">
        <v>1</v>
      </c>
      <c r="E1988">
        <v>1</v>
      </c>
      <c r="F1988" t="s">
        <v>10018</v>
      </c>
      <c r="G1988" t="s">
        <v>10021</v>
      </c>
      <c r="H1988" s="6">
        <v>45133</v>
      </c>
      <c r="I1988">
        <f t="shared" si="62"/>
        <v>1</v>
      </c>
      <c r="J1988" t="str">
        <f t="shared" si="63"/>
        <v>Complete</v>
      </c>
      <c r="K1988">
        <f>COUNTIFS(RawData[Item], B1988,RawData[Quantity],C1988,RawData[Price Per Unit],D1988,RawData[Total Spent],E1988,RawData[Payment Method],F1988,RawData[Location],G1988,RawData[Transaction Date],H1988)</f>
        <v>1</v>
      </c>
      <c r="L1988"/>
    </row>
    <row r="1989" spans="1:12" x14ac:dyDescent="0.3">
      <c r="A1989" t="s">
        <v>1995</v>
      </c>
      <c r="B1989" t="s">
        <v>10009</v>
      </c>
      <c r="C1989">
        <v>1</v>
      </c>
      <c r="D1989">
        <v>3</v>
      </c>
      <c r="E1989">
        <v>3</v>
      </c>
      <c r="F1989" t="s">
        <v>10019</v>
      </c>
      <c r="G1989" t="s">
        <v>10102</v>
      </c>
      <c r="H1989" s="6">
        <v>45281</v>
      </c>
      <c r="I1989">
        <f t="shared" si="62"/>
        <v>0</v>
      </c>
      <c r="J1989" t="str">
        <f t="shared" si="63"/>
        <v>Complete</v>
      </c>
      <c r="K1989">
        <f>COUNTIFS(RawData[Item], B1989,RawData[Quantity],C1989,RawData[Price Per Unit],D1989,RawData[Total Spent],E1989,RawData[Payment Method],F1989,RawData[Location],G1989,RawData[Transaction Date],H1989)</f>
        <v>1</v>
      </c>
      <c r="L1989"/>
    </row>
    <row r="1990" spans="1:12" x14ac:dyDescent="0.3">
      <c r="A1990" t="s">
        <v>1996</v>
      </c>
      <c r="B1990" t="s">
        <v>10017</v>
      </c>
      <c r="C1990">
        <v>4</v>
      </c>
      <c r="D1990" t="s">
        <v>10015</v>
      </c>
      <c r="E1990">
        <v>6</v>
      </c>
      <c r="F1990" t="s">
        <v>10018</v>
      </c>
      <c r="G1990" t="s">
        <v>10102</v>
      </c>
      <c r="H1990" s="6">
        <v>45285</v>
      </c>
      <c r="I1990">
        <f t="shared" si="62"/>
        <v>1</v>
      </c>
      <c r="J1990" t="str">
        <f t="shared" si="63"/>
        <v>Complete</v>
      </c>
      <c r="K1990">
        <f>COUNTIFS(RawData[Item], B1990,RawData[Quantity],C1990,RawData[Price Per Unit],D1990,RawData[Total Spent],E1990,RawData[Payment Method],F1990,RawData[Location],G1990,RawData[Transaction Date],H1990)</f>
        <v>1</v>
      </c>
      <c r="L1990"/>
    </row>
    <row r="1991" spans="1:12" x14ac:dyDescent="0.3">
      <c r="A1991" t="s">
        <v>1997</v>
      </c>
      <c r="B1991" t="s">
        <v>10012</v>
      </c>
      <c r="C1991">
        <v>4</v>
      </c>
      <c r="D1991">
        <v>4</v>
      </c>
      <c r="E1991">
        <v>16</v>
      </c>
      <c r="F1991" t="s">
        <v>10020</v>
      </c>
      <c r="G1991" t="s">
        <v>10104</v>
      </c>
      <c r="H1991" s="6">
        <v>44985</v>
      </c>
      <c r="I1991">
        <f t="shared" si="62"/>
        <v>1</v>
      </c>
      <c r="J1991" t="str">
        <f t="shared" si="63"/>
        <v>Complete</v>
      </c>
      <c r="K1991">
        <f>COUNTIFS(RawData[Item], B1991,RawData[Quantity],C1991,RawData[Price Per Unit],D1991,RawData[Total Spent],E1991,RawData[Payment Method],F1991,RawData[Location],G1991,RawData[Transaction Date],H1991)</f>
        <v>1</v>
      </c>
      <c r="L1991"/>
    </row>
    <row r="1992" spans="1:12" x14ac:dyDescent="0.3">
      <c r="A1992" t="s">
        <v>1998</v>
      </c>
      <c r="B1992" t="s">
        <v>10016</v>
      </c>
      <c r="C1992">
        <v>3</v>
      </c>
      <c r="D1992">
        <v>3</v>
      </c>
      <c r="E1992">
        <v>9</v>
      </c>
      <c r="F1992" t="s">
        <v>10069</v>
      </c>
      <c r="G1992" t="s">
        <v>10102</v>
      </c>
      <c r="H1992" s="6">
        <v>45159</v>
      </c>
      <c r="I1992">
        <f t="shared" si="62"/>
        <v>0</v>
      </c>
      <c r="J1992" t="str">
        <f t="shared" si="63"/>
        <v>Complete</v>
      </c>
      <c r="K1992">
        <f>COUNTIFS(RawData[Item], B1992,RawData[Quantity],C1992,RawData[Price Per Unit],D1992,RawData[Total Spent],E1992,RawData[Payment Method],F1992,RawData[Location],G1992,RawData[Transaction Date],H1992)</f>
        <v>1</v>
      </c>
      <c r="L1992"/>
    </row>
    <row r="1993" spans="1:12" x14ac:dyDescent="0.3">
      <c r="A1993" t="s">
        <v>1999</v>
      </c>
      <c r="B1993" t="s">
        <v>10008</v>
      </c>
      <c r="C1993">
        <v>1</v>
      </c>
      <c r="D1993">
        <v>2</v>
      </c>
      <c r="E1993">
        <v>2</v>
      </c>
      <c r="F1993" t="s">
        <v>10069</v>
      </c>
      <c r="G1993" t="s">
        <v>10069</v>
      </c>
      <c r="H1993" s="6">
        <v>45150</v>
      </c>
      <c r="I1993">
        <f t="shared" si="62"/>
        <v>0</v>
      </c>
      <c r="J1993" t="str">
        <f t="shared" si="63"/>
        <v>Complete</v>
      </c>
      <c r="K1993">
        <f>COUNTIFS(RawData[Item], B1993,RawData[Quantity],C1993,RawData[Price Per Unit],D1993,RawData[Total Spent],E1993,RawData[Payment Method],F1993,RawData[Location],G1993,RawData[Transaction Date],H1993)</f>
        <v>1</v>
      </c>
      <c r="L1993"/>
    </row>
    <row r="1994" spans="1:12" x14ac:dyDescent="0.3">
      <c r="A1994" t="s">
        <v>2000</v>
      </c>
      <c r="B1994" t="s">
        <v>10011</v>
      </c>
      <c r="C1994">
        <v>1</v>
      </c>
      <c r="D1994">
        <v>5</v>
      </c>
      <c r="E1994">
        <v>5</v>
      </c>
      <c r="F1994" t="s">
        <v>10069</v>
      </c>
      <c r="G1994" t="s">
        <v>10069</v>
      </c>
      <c r="H1994" s="6">
        <v>44945</v>
      </c>
      <c r="I1994">
        <f t="shared" si="62"/>
        <v>0</v>
      </c>
      <c r="J1994" t="str">
        <f t="shared" si="63"/>
        <v>Complete</v>
      </c>
      <c r="K1994">
        <f>COUNTIFS(RawData[Item], B1994,RawData[Quantity],C1994,RawData[Price Per Unit],D1994,RawData[Total Spent],E1994,RawData[Payment Method],F1994,RawData[Location],G1994,RawData[Transaction Date],H1994)</f>
        <v>1</v>
      </c>
      <c r="L1994"/>
    </row>
    <row r="1995" spans="1:12" x14ac:dyDescent="0.3">
      <c r="A1995" t="s">
        <v>2001</v>
      </c>
      <c r="B1995" t="s">
        <v>10012</v>
      </c>
      <c r="C1995">
        <v>2</v>
      </c>
      <c r="D1995">
        <v>4</v>
      </c>
      <c r="E1995">
        <v>8</v>
      </c>
      <c r="F1995" t="s">
        <v>10019</v>
      </c>
      <c r="G1995" t="s">
        <v>10102</v>
      </c>
      <c r="H1995" s="6">
        <v>44938</v>
      </c>
      <c r="I1995">
        <f t="shared" si="62"/>
        <v>0</v>
      </c>
      <c r="J1995" t="str">
        <f t="shared" si="63"/>
        <v>Complete</v>
      </c>
      <c r="K1995">
        <f>COUNTIFS(RawData[Item], B1995,RawData[Quantity],C1995,RawData[Price Per Unit],D1995,RawData[Total Spent],E1995,RawData[Payment Method],F1995,RawData[Location],G1995,RawData[Transaction Date],H1995)</f>
        <v>1</v>
      </c>
      <c r="L1995"/>
    </row>
    <row r="1996" spans="1:12" x14ac:dyDescent="0.3">
      <c r="A1996" t="s">
        <v>2002</v>
      </c>
      <c r="B1996" t="s">
        <v>10012</v>
      </c>
      <c r="C1996">
        <v>4</v>
      </c>
      <c r="D1996">
        <v>4</v>
      </c>
      <c r="E1996" t="s">
        <v>10015</v>
      </c>
      <c r="F1996" t="s">
        <v>10020</v>
      </c>
      <c r="G1996" t="s">
        <v>10102</v>
      </c>
      <c r="H1996" s="6">
        <v>45240</v>
      </c>
      <c r="I1996">
        <f t="shared" si="62"/>
        <v>1</v>
      </c>
      <c r="J1996" t="str">
        <f t="shared" si="63"/>
        <v>Complete</v>
      </c>
      <c r="K1996">
        <f>COUNTIFS(RawData[Item], B1996,RawData[Quantity],C1996,RawData[Price Per Unit],D1996,RawData[Total Spent],E1996,RawData[Payment Method],F1996,RawData[Location],G1996,RawData[Transaction Date],H1996)</f>
        <v>1</v>
      </c>
      <c r="L1996"/>
    </row>
    <row r="1997" spans="1:12" x14ac:dyDescent="0.3">
      <c r="A1997" t="s">
        <v>2003</v>
      </c>
      <c r="B1997" t="s">
        <v>10016</v>
      </c>
      <c r="C1997">
        <v>2</v>
      </c>
      <c r="D1997">
        <v>3</v>
      </c>
      <c r="E1997">
        <v>6</v>
      </c>
      <c r="F1997" t="s">
        <v>10069</v>
      </c>
      <c r="G1997" t="s">
        <v>10102</v>
      </c>
      <c r="H1997" s="6">
        <v>45033</v>
      </c>
      <c r="I1997">
        <f t="shared" si="62"/>
        <v>0</v>
      </c>
      <c r="J1997" t="str">
        <f t="shared" si="63"/>
        <v>Complete</v>
      </c>
      <c r="K1997">
        <f>COUNTIFS(RawData[Item], B1997,RawData[Quantity],C1997,RawData[Price Per Unit],D1997,RawData[Total Spent],E1997,RawData[Payment Method],F1997,RawData[Location],G1997,RawData[Transaction Date],H1997)</f>
        <v>1</v>
      </c>
      <c r="L1997"/>
    </row>
    <row r="1998" spans="1:12" x14ac:dyDescent="0.3">
      <c r="A1998" t="s">
        <v>2004</v>
      </c>
      <c r="B1998" t="s">
        <v>10010</v>
      </c>
      <c r="C1998">
        <v>2</v>
      </c>
      <c r="D1998">
        <v>1</v>
      </c>
      <c r="E1998">
        <v>2</v>
      </c>
      <c r="F1998" t="s">
        <v>10069</v>
      </c>
      <c r="G1998" t="s">
        <v>10069</v>
      </c>
      <c r="H1998" s="6">
        <v>45135</v>
      </c>
      <c r="I1998">
        <f t="shared" si="62"/>
        <v>0</v>
      </c>
      <c r="J1998" t="str">
        <f t="shared" si="63"/>
        <v>Complete</v>
      </c>
      <c r="K1998">
        <f>COUNTIFS(RawData[Item], B1998,RawData[Quantity],C1998,RawData[Price Per Unit],D1998,RawData[Total Spent],E1998,RawData[Payment Method],F1998,RawData[Location],G1998,RawData[Transaction Date],H1998)</f>
        <v>1</v>
      </c>
      <c r="L1998"/>
    </row>
    <row r="1999" spans="1:12" x14ac:dyDescent="0.3">
      <c r="A1999" t="s">
        <v>2005</v>
      </c>
      <c r="B1999" t="s">
        <v>10017</v>
      </c>
      <c r="C1999">
        <v>3</v>
      </c>
      <c r="D1999">
        <v>1.5</v>
      </c>
      <c r="E1999">
        <v>4.5</v>
      </c>
      <c r="F1999" t="s">
        <v>10020</v>
      </c>
      <c r="G1999" t="s">
        <v>10021</v>
      </c>
      <c r="H1999" s="6">
        <v>45045</v>
      </c>
      <c r="I1999">
        <f t="shared" si="62"/>
        <v>0</v>
      </c>
      <c r="J1999" t="str">
        <f t="shared" si="63"/>
        <v>Complete</v>
      </c>
      <c r="K1999">
        <f>COUNTIFS(RawData[Item], B1999,RawData[Quantity],C1999,RawData[Price Per Unit],D1999,RawData[Total Spent],E1999,RawData[Payment Method],F1999,RawData[Location],G1999,RawData[Transaction Date],H1999)</f>
        <v>1</v>
      </c>
      <c r="L1999"/>
    </row>
    <row r="2000" spans="1:12" x14ac:dyDescent="0.3">
      <c r="A2000" t="s">
        <v>2006</v>
      </c>
      <c r="B2000" t="s">
        <v>10009</v>
      </c>
      <c r="C2000">
        <v>4</v>
      </c>
      <c r="D2000">
        <v>3</v>
      </c>
      <c r="E2000">
        <v>12</v>
      </c>
      <c r="F2000" t="s">
        <v>10018</v>
      </c>
      <c r="G2000" t="s">
        <v>10021</v>
      </c>
      <c r="H2000" s="6">
        <v>45054</v>
      </c>
      <c r="I2000">
        <f t="shared" si="62"/>
        <v>0</v>
      </c>
      <c r="J2000" t="str">
        <f t="shared" si="63"/>
        <v>Complete</v>
      </c>
      <c r="K2000">
        <f>COUNTIFS(RawData[Item], B2000,RawData[Quantity],C2000,RawData[Price Per Unit],D2000,RawData[Total Spent],E2000,RawData[Payment Method],F2000,RawData[Location],G2000,RawData[Transaction Date],H2000)</f>
        <v>1</v>
      </c>
      <c r="L2000"/>
    </row>
    <row r="2001" spans="1:12" x14ac:dyDescent="0.3">
      <c r="A2001" t="s">
        <v>2007</v>
      </c>
      <c r="B2001" t="s">
        <v>10011</v>
      </c>
      <c r="C2001">
        <v>3</v>
      </c>
      <c r="D2001">
        <v>5</v>
      </c>
      <c r="E2001">
        <v>0</v>
      </c>
      <c r="F2001" t="s">
        <v>10104</v>
      </c>
      <c r="G2001" t="s">
        <v>10021</v>
      </c>
      <c r="H2001" s="6">
        <v>45042</v>
      </c>
      <c r="I2001">
        <f t="shared" si="62"/>
        <v>1</v>
      </c>
      <c r="J2001" t="str">
        <f t="shared" si="63"/>
        <v>Complete</v>
      </c>
      <c r="K2001">
        <f>COUNTIFS(RawData[Item], B2001,RawData[Quantity],C2001,RawData[Price Per Unit],D2001,RawData[Total Spent],E2001,RawData[Payment Method],F2001,RawData[Location],G2001,RawData[Transaction Date],H2001)</f>
        <v>1</v>
      </c>
      <c r="L2001"/>
    </row>
    <row r="2002" spans="1:12" x14ac:dyDescent="0.3">
      <c r="A2002" t="s">
        <v>2008</v>
      </c>
      <c r="B2002" t="s">
        <v>10014</v>
      </c>
      <c r="C2002">
        <v>5</v>
      </c>
      <c r="D2002">
        <v>4</v>
      </c>
      <c r="E2002">
        <v>20</v>
      </c>
      <c r="F2002" t="s">
        <v>10104</v>
      </c>
      <c r="G2002" t="s">
        <v>10069</v>
      </c>
      <c r="H2002" s="6" t="s">
        <v>10112</v>
      </c>
      <c r="I2002">
        <f t="shared" si="62"/>
        <v>2</v>
      </c>
      <c r="J2002" t="str">
        <f t="shared" si="63"/>
        <v>Incomplete</v>
      </c>
      <c r="K2002">
        <f>COUNTIFS(RawData[Item], B2002,RawData[Quantity],C2002,RawData[Price Per Unit],D2002,RawData[Total Spent],E2002,RawData[Payment Method],F2002,RawData[Location],G2002,RawData[Transaction Date],H2002)</f>
        <v>1</v>
      </c>
      <c r="L2002"/>
    </row>
    <row r="2003" spans="1:12" x14ac:dyDescent="0.3">
      <c r="A2003" t="s">
        <v>2009</v>
      </c>
      <c r="B2003" t="s">
        <v>10012</v>
      </c>
      <c r="C2003">
        <v>1</v>
      </c>
      <c r="D2003">
        <v>4</v>
      </c>
      <c r="E2003">
        <v>4</v>
      </c>
      <c r="F2003" t="s">
        <v>10069</v>
      </c>
      <c r="G2003" t="s">
        <v>10102</v>
      </c>
      <c r="H2003" s="6">
        <v>45287</v>
      </c>
      <c r="I2003">
        <f t="shared" si="62"/>
        <v>0</v>
      </c>
      <c r="J2003" t="str">
        <f t="shared" si="63"/>
        <v>Complete</v>
      </c>
      <c r="K2003">
        <f>COUNTIFS(RawData[Item], B2003,RawData[Quantity],C2003,RawData[Price Per Unit],D2003,RawData[Total Spent],E2003,RawData[Payment Method],F2003,RawData[Location],G2003,RawData[Transaction Date],H2003)</f>
        <v>1</v>
      </c>
      <c r="L2003"/>
    </row>
    <row r="2004" spans="1:12" x14ac:dyDescent="0.3">
      <c r="A2004" t="s">
        <v>2010</v>
      </c>
      <c r="B2004" t="s">
        <v>10069</v>
      </c>
      <c r="C2004">
        <v>3</v>
      </c>
      <c r="D2004" t="s">
        <v>10013</v>
      </c>
      <c r="E2004">
        <v>3</v>
      </c>
      <c r="F2004" t="s">
        <v>10020</v>
      </c>
      <c r="G2004" t="s">
        <v>10069</v>
      </c>
      <c r="H2004" s="6">
        <v>45101</v>
      </c>
      <c r="I2004">
        <f t="shared" si="62"/>
        <v>1</v>
      </c>
      <c r="J2004" t="str">
        <f t="shared" si="63"/>
        <v>Complete</v>
      </c>
      <c r="K2004">
        <f>COUNTIFS(RawData[Item], B2004,RawData[Quantity],C2004,RawData[Price Per Unit],D2004,RawData[Total Spent],E2004,RawData[Payment Method],F2004,RawData[Location],G2004,RawData[Transaction Date],H2004)</f>
        <v>1</v>
      </c>
      <c r="L2004"/>
    </row>
    <row r="2005" spans="1:12" x14ac:dyDescent="0.3">
      <c r="A2005" t="s">
        <v>2011</v>
      </c>
      <c r="B2005" t="s">
        <v>10016</v>
      </c>
      <c r="C2005">
        <v>3</v>
      </c>
      <c r="D2005">
        <v>3</v>
      </c>
      <c r="E2005">
        <v>9</v>
      </c>
      <c r="F2005" t="s">
        <v>10018</v>
      </c>
      <c r="G2005" t="s">
        <v>10102</v>
      </c>
      <c r="H2005" s="6">
        <v>44943</v>
      </c>
      <c r="I2005">
        <f t="shared" si="62"/>
        <v>0</v>
      </c>
      <c r="J2005" t="str">
        <f t="shared" si="63"/>
        <v>Complete</v>
      </c>
      <c r="K2005">
        <f>COUNTIFS(RawData[Item], B2005,RawData[Quantity],C2005,RawData[Price Per Unit],D2005,RawData[Total Spent],E2005,RawData[Payment Method],F2005,RawData[Location],G2005,RawData[Transaction Date],H2005)</f>
        <v>1</v>
      </c>
      <c r="L2005"/>
    </row>
    <row r="2006" spans="1:12" x14ac:dyDescent="0.3">
      <c r="A2006" t="s">
        <v>2012</v>
      </c>
      <c r="B2006" t="s">
        <v>10008</v>
      </c>
      <c r="C2006">
        <v>1</v>
      </c>
      <c r="D2006">
        <v>2</v>
      </c>
      <c r="E2006">
        <v>2</v>
      </c>
      <c r="F2006" t="s">
        <v>10020</v>
      </c>
      <c r="G2006" t="s">
        <v>10021</v>
      </c>
      <c r="H2006" s="6">
        <v>45005</v>
      </c>
      <c r="I2006">
        <f t="shared" si="62"/>
        <v>0</v>
      </c>
      <c r="J2006" t="str">
        <f t="shared" si="63"/>
        <v>Complete</v>
      </c>
      <c r="K2006">
        <f>COUNTIFS(RawData[Item], B2006,RawData[Quantity],C2006,RawData[Price Per Unit],D2006,RawData[Total Spent],E2006,RawData[Payment Method],F2006,RawData[Location],G2006,RawData[Transaction Date],H2006)</f>
        <v>1</v>
      </c>
      <c r="L2006"/>
    </row>
    <row r="2007" spans="1:12" x14ac:dyDescent="0.3">
      <c r="A2007" t="s">
        <v>2013</v>
      </c>
      <c r="B2007" t="s">
        <v>10012</v>
      </c>
      <c r="C2007">
        <v>2</v>
      </c>
      <c r="D2007">
        <v>4</v>
      </c>
      <c r="E2007">
        <v>8</v>
      </c>
      <c r="F2007" t="s">
        <v>10018</v>
      </c>
      <c r="G2007" t="s">
        <v>10102</v>
      </c>
      <c r="H2007" s="6">
        <v>45041</v>
      </c>
      <c r="I2007">
        <f t="shared" si="62"/>
        <v>0</v>
      </c>
      <c r="J2007" t="str">
        <f t="shared" si="63"/>
        <v>Complete</v>
      </c>
      <c r="K2007">
        <f>COUNTIFS(RawData[Item], B2007,RawData[Quantity],C2007,RawData[Price Per Unit],D2007,RawData[Total Spent],E2007,RawData[Payment Method],F2007,RawData[Location],G2007,RawData[Transaction Date],H2007)</f>
        <v>1</v>
      </c>
      <c r="L2007"/>
    </row>
    <row r="2008" spans="1:12" x14ac:dyDescent="0.3">
      <c r="A2008" t="s">
        <v>2014</v>
      </c>
      <c r="B2008" t="s">
        <v>10009</v>
      </c>
      <c r="C2008">
        <v>1</v>
      </c>
      <c r="D2008" t="s">
        <v>10015</v>
      </c>
      <c r="E2008">
        <v>3</v>
      </c>
      <c r="F2008" t="s">
        <v>10103</v>
      </c>
      <c r="G2008" t="s">
        <v>10103</v>
      </c>
      <c r="H2008" s="6">
        <v>45033</v>
      </c>
      <c r="I2008">
        <f t="shared" si="62"/>
        <v>3</v>
      </c>
      <c r="J2008" t="str">
        <f t="shared" si="63"/>
        <v>Complete</v>
      </c>
      <c r="K2008">
        <f>COUNTIFS(RawData[Item], B2008,RawData[Quantity],C2008,RawData[Price Per Unit],D2008,RawData[Total Spent],E2008,RawData[Payment Method],F2008,RawData[Location],G2008,RawData[Transaction Date],H2008)</f>
        <v>1</v>
      </c>
      <c r="L2008"/>
    </row>
    <row r="2009" spans="1:12" x14ac:dyDescent="0.3">
      <c r="A2009" t="s">
        <v>2015</v>
      </c>
      <c r="B2009" t="s">
        <v>10016</v>
      </c>
      <c r="C2009">
        <v>2</v>
      </c>
      <c r="D2009">
        <v>3</v>
      </c>
      <c r="E2009">
        <v>6</v>
      </c>
      <c r="F2009" t="s">
        <v>10019</v>
      </c>
      <c r="G2009" t="s">
        <v>10069</v>
      </c>
      <c r="H2009" s="6">
        <v>45087</v>
      </c>
      <c r="I2009">
        <f t="shared" si="62"/>
        <v>0</v>
      </c>
      <c r="J2009" t="str">
        <f t="shared" si="63"/>
        <v>Complete</v>
      </c>
      <c r="K2009">
        <f>COUNTIFS(RawData[Item], B2009,RawData[Quantity],C2009,RawData[Price Per Unit],D2009,RawData[Total Spent],E2009,RawData[Payment Method],F2009,RawData[Location],G2009,RawData[Transaction Date],H2009)</f>
        <v>1</v>
      </c>
      <c r="L2009"/>
    </row>
    <row r="2010" spans="1:12" x14ac:dyDescent="0.3">
      <c r="A2010" t="s">
        <v>2016</v>
      </c>
      <c r="B2010" t="s">
        <v>10011</v>
      </c>
      <c r="C2010">
        <v>3</v>
      </c>
      <c r="D2010" t="s">
        <v>10015</v>
      </c>
      <c r="E2010">
        <v>15</v>
      </c>
      <c r="F2010" t="s">
        <v>10019</v>
      </c>
      <c r="G2010" t="s">
        <v>10069</v>
      </c>
      <c r="H2010" s="6">
        <v>45063</v>
      </c>
      <c r="I2010">
        <f t="shared" si="62"/>
        <v>1</v>
      </c>
      <c r="J2010" t="str">
        <f t="shared" si="63"/>
        <v>Complete</v>
      </c>
      <c r="K2010">
        <f>COUNTIFS(RawData[Item], B2010,RawData[Quantity],C2010,RawData[Price Per Unit],D2010,RawData[Total Spent],E2010,RawData[Payment Method],F2010,RawData[Location],G2010,RawData[Transaction Date],H2010)</f>
        <v>1</v>
      </c>
      <c r="L2010"/>
    </row>
    <row r="2011" spans="1:12" x14ac:dyDescent="0.3">
      <c r="A2011" t="s">
        <v>2017</v>
      </c>
      <c r="B2011" t="s">
        <v>10017</v>
      </c>
      <c r="C2011">
        <v>5</v>
      </c>
      <c r="D2011" t="s">
        <v>10013</v>
      </c>
      <c r="E2011">
        <v>7.5</v>
      </c>
      <c r="F2011" t="s">
        <v>10104</v>
      </c>
      <c r="G2011" t="s">
        <v>10103</v>
      </c>
      <c r="H2011" s="6">
        <v>45256</v>
      </c>
      <c r="I2011">
        <f t="shared" si="62"/>
        <v>3</v>
      </c>
      <c r="J2011" t="str">
        <f t="shared" si="63"/>
        <v>Complete</v>
      </c>
      <c r="K2011">
        <f>COUNTIFS(RawData[Item], B2011,RawData[Quantity],C2011,RawData[Price Per Unit],D2011,RawData[Total Spent],E2011,RawData[Payment Method],F2011,RawData[Location],G2011,RawData[Transaction Date],H2011)</f>
        <v>1</v>
      </c>
      <c r="L2011"/>
    </row>
    <row r="2012" spans="1:12" x14ac:dyDescent="0.3">
      <c r="A2012" t="s">
        <v>2018</v>
      </c>
      <c r="B2012" t="s">
        <v>10009</v>
      </c>
      <c r="C2012">
        <v>5</v>
      </c>
      <c r="D2012">
        <v>3</v>
      </c>
      <c r="E2012">
        <v>15</v>
      </c>
      <c r="F2012" t="s">
        <v>10020</v>
      </c>
      <c r="G2012" t="s">
        <v>10021</v>
      </c>
      <c r="H2012" s="6">
        <v>45165</v>
      </c>
      <c r="I2012">
        <f t="shared" si="62"/>
        <v>0</v>
      </c>
      <c r="J2012" t="str">
        <f t="shared" si="63"/>
        <v>Complete</v>
      </c>
      <c r="K2012">
        <f>COUNTIFS(RawData[Item], B2012,RawData[Quantity],C2012,RawData[Price Per Unit],D2012,RawData[Total Spent],E2012,RawData[Payment Method],F2012,RawData[Location],G2012,RawData[Transaction Date],H2012)</f>
        <v>1</v>
      </c>
      <c r="L2012"/>
    </row>
    <row r="2013" spans="1:12" x14ac:dyDescent="0.3">
      <c r="A2013" t="s">
        <v>2019</v>
      </c>
      <c r="B2013" t="s">
        <v>10010</v>
      </c>
      <c r="C2013">
        <v>1</v>
      </c>
      <c r="D2013">
        <v>1</v>
      </c>
      <c r="E2013">
        <v>1</v>
      </c>
      <c r="F2013" t="s">
        <v>10069</v>
      </c>
      <c r="G2013" t="s">
        <v>10102</v>
      </c>
      <c r="H2013" s="6">
        <v>45212</v>
      </c>
      <c r="I2013">
        <f t="shared" si="62"/>
        <v>0</v>
      </c>
      <c r="J2013" t="str">
        <f t="shared" si="63"/>
        <v>Complete</v>
      </c>
      <c r="K2013">
        <f>COUNTIFS(RawData[Item], B2013,RawData[Quantity],C2013,RawData[Price Per Unit],D2013,RawData[Total Spent],E2013,RawData[Payment Method],F2013,RawData[Location],G2013,RawData[Transaction Date],H2013)</f>
        <v>1</v>
      </c>
      <c r="L2013"/>
    </row>
    <row r="2014" spans="1:12" x14ac:dyDescent="0.3">
      <c r="A2014" t="s">
        <v>2020</v>
      </c>
      <c r="B2014" t="s">
        <v>10014</v>
      </c>
      <c r="C2014">
        <v>1</v>
      </c>
      <c r="D2014">
        <v>4</v>
      </c>
      <c r="E2014">
        <v>4</v>
      </c>
      <c r="F2014" t="s">
        <v>10019</v>
      </c>
      <c r="G2014" t="s">
        <v>10102</v>
      </c>
      <c r="H2014" s="6">
        <v>45151</v>
      </c>
      <c r="I2014">
        <f t="shared" si="62"/>
        <v>0</v>
      </c>
      <c r="J2014" t="str">
        <f t="shared" si="63"/>
        <v>Complete</v>
      </c>
      <c r="K2014">
        <f>COUNTIFS(RawData[Item], B2014,RawData[Quantity],C2014,RawData[Price Per Unit],D2014,RawData[Total Spent],E2014,RawData[Payment Method],F2014,RawData[Location],G2014,RawData[Transaction Date],H2014)</f>
        <v>1</v>
      </c>
      <c r="L2014"/>
    </row>
    <row r="2015" spans="1:12" x14ac:dyDescent="0.3">
      <c r="A2015" t="s">
        <v>2021</v>
      </c>
      <c r="B2015" t="s">
        <v>10012</v>
      </c>
      <c r="C2015">
        <v>3</v>
      </c>
      <c r="D2015">
        <v>4</v>
      </c>
      <c r="E2015">
        <v>12</v>
      </c>
      <c r="F2015" t="s">
        <v>10020</v>
      </c>
      <c r="G2015" t="s">
        <v>10103</v>
      </c>
      <c r="H2015" s="6">
        <v>45101</v>
      </c>
      <c r="I2015">
        <f t="shared" si="62"/>
        <v>1</v>
      </c>
      <c r="J2015" t="str">
        <f t="shared" si="63"/>
        <v>Complete</v>
      </c>
      <c r="K2015">
        <f>COUNTIFS(RawData[Item], B2015,RawData[Quantity],C2015,RawData[Price Per Unit],D2015,RawData[Total Spent],E2015,RawData[Payment Method],F2015,RawData[Location],G2015,RawData[Transaction Date],H2015)</f>
        <v>1</v>
      </c>
      <c r="L2015"/>
    </row>
    <row r="2016" spans="1:12" x14ac:dyDescent="0.3">
      <c r="A2016" t="s">
        <v>2022</v>
      </c>
      <c r="B2016" t="s">
        <v>10010</v>
      </c>
      <c r="C2016">
        <v>3</v>
      </c>
      <c r="D2016">
        <v>1</v>
      </c>
      <c r="E2016">
        <v>3</v>
      </c>
      <c r="F2016" t="s">
        <v>10069</v>
      </c>
      <c r="G2016" t="s">
        <v>10102</v>
      </c>
      <c r="H2016" s="6">
        <v>45088</v>
      </c>
      <c r="I2016">
        <f t="shared" si="62"/>
        <v>0</v>
      </c>
      <c r="J2016" t="str">
        <f t="shared" si="63"/>
        <v>Complete</v>
      </c>
      <c r="K2016">
        <f>COUNTIFS(RawData[Item], B2016,RawData[Quantity],C2016,RawData[Price Per Unit],D2016,RawData[Total Spent],E2016,RawData[Payment Method],F2016,RawData[Location],G2016,RawData[Transaction Date],H2016)</f>
        <v>1</v>
      </c>
      <c r="L2016"/>
    </row>
    <row r="2017" spans="1:12" x14ac:dyDescent="0.3">
      <c r="A2017" t="s">
        <v>2023</v>
      </c>
      <c r="B2017" t="s">
        <v>10069</v>
      </c>
      <c r="C2017" t="s">
        <v>10015</v>
      </c>
      <c r="D2017">
        <v>2</v>
      </c>
      <c r="E2017">
        <v>2</v>
      </c>
      <c r="F2017" t="s">
        <v>10020</v>
      </c>
      <c r="G2017" t="s">
        <v>10021</v>
      </c>
      <c r="H2017" s="6">
        <v>45021</v>
      </c>
      <c r="I2017">
        <f t="shared" si="62"/>
        <v>1</v>
      </c>
      <c r="J2017" t="str">
        <f t="shared" si="63"/>
        <v>Complete</v>
      </c>
      <c r="K2017">
        <f>COUNTIFS(RawData[Item], B2017,RawData[Quantity],C2017,RawData[Price Per Unit],D2017,RawData[Total Spent],E2017,RawData[Payment Method],F2017,RawData[Location],G2017,RawData[Transaction Date],H2017)</f>
        <v>1</v>
      </c>
      <c r="L2017"/>
    </row>
    <row r="2018" spans="1:12" x14ac:dyDescent="0.3">
      <c r="A2018" t="s">
        <v>2024</v>
      </c>
      <c r="B2018" t="s">
        <v>10013</v>
      </c>
      <c r="C2018">
        <v>5</v>
      </c>
      <c r="D2018">
        <v>4</v>
      </c>
      <c r="E2018">
        <v>20</v>
      </c>
      <c r="F2018" t="s">
        <v>10020</v>
      </c>
      <c r="G2018" t="s">
        <v>10104</v>
      </c>
      <c r="H2018" s="6">
        <v>45251</v>
      </c>
      <c r="I2018">
        <f t="shared" si="62"/>
        <v>2</v>
      </c>
      <c r="J2018" t="str">
        <f t="shared" si="63"/>
        <v>Complete</v>
      </c>
      <c r="K2018">
        <f>COUNTIFS(RawData[Item], B2018,RawData[Quantity],C2018,RawData[Price Per Unit],D2018,RawData[Total Spent],E2018,RawData[Payment Method],F2018,RawData[Location],G2018,RawData[Transaction Date],H2018)</f>
        <v>1</v>
      </c>
      <c r="L2018"/>
    </row>
    <row r="2019" spans="1:12" x14ac:dyDescent="0.3">
      <c r="A2019" t="s">
        <v>2025</v>
      </c>
      <c r="B2019" t="s">
        <v>10011</v>
      </c>
      <c r="C2019">
        <v>5</v>
      </c>
      <c r="D2019">
        <v>5</v>
      </c>
      <c r="E2019">
        <v>25</v>
      </c>
      <c r="F2019" t="s">
        <v>10020</v>
      </c>
      <c r="G2019" t="s">
        <v>10069</v>
      </c>
      <c r="H2019" s="6">
        <v>45108</v>
      </c>
      <c r="I2019">
        <f t="shared" si="62"/>
        <v>0</v>
      </c>
      <c r="J2019" t="str">
        <f t="shared" si="63"/>
        <v>Complete</v>
      </c>
      <c r="K2019">
        <f>COUNTIFS(RawData[Item], B2019,RawData[Quantity],C2019,RawData[Price Per Unit],D2019,RawData[Total Spent],E2019,RawData[Payment Method],F2019,RawData[Location],G2019,RawData[Transaction Date],H2019)</f>
        <v>1</v>
      </c>
      <c r="L2019"/>
    </row>
    <row r="2020" spans="1:12" x14ac:dyDescent="0.3">
      <c r="A2020" t="s">
        <v>2026</v>
      </c>
      <c r="B2020" t="s">
        <v>10012</v>
      </c>
      <c r="C2020">
        <v>3</v>
      </c>
      <c r="D2020">
        <v>4</v>
      </c>
      <c r="E2020">
        <v>12</v>
      </c>
      <c r="F2020" t="s">
        <v>10020</v>
      </c>
      <c r="G2020" t="s">
        <v>10102</v>
      </c>
      <c r="H2020" s="6">
        <v>45253</v>
      </c>
      <c r="I2020">
        <f t="shared" si="62"/>
        <v>0</v>
      </c>
      <c r="J2020" t="str">
        <f t="shared" si="63"/>
        <v>Complete</v>
      </c>
      <c r="K2020">
        <f>COUNTIFS(RawData[Item], B2020,RawData[Quantity],C2020,RawData[Price Per Unit],D2020,RawData[Total Spent],E2020,RawData[Payment Method],F2020,RawData[Location],G2020,RawData[Transaction Date],H2020)</f>
        <v>1</v>
      </c>
      <c r="L2020"/>
    </row>
    <row r="2021" spans="1:12" x14ac:dyDescent="0.3">
      <c r="A2021" t="s">
        <v>2027</v>
      </c>
      <c r="B2021" t="s">
        <v>10011</v>
      </c>
      <c r="C2021">
        <v>3</v>
      </c>
      <c r="D2021">
        <v>5</v>
      </c>
      <c r="E2021">
        <v>15</v>
      </c>
      <c r="F2021" t="s">
        <v>10018</v>
      </c>
      <c r="G2021" t="s">
        <v>10021</v>
      </c>
      <c r="H2021" s="6">
        <v>44944</v>
      </c>
      <c r="I2021">
        <f t="shared" si="62"/>
        <v>0</v>
      </c>
      <c r="J2021" t="str">
        <f t="shared" si="63"/>
        <v>Complete</v>
      </c>
      <c r="K2021">
        <f>COUNTIFS(RawData[Item], B2021,RawData[Quantity],C2021,RawData[Price Per Unit],D2021,RawData[Total Spent],E2021,RawData[Payment Method],F2021,RawData[Location],G2021,RawData[Transaction Date],H2021)</f>
        <v>1</v>
      </c>
      <c r="L2021"/>
    </row>
    <row r="2022" spans="1:12" x14ac:dyDescent="0.3">
      <c r="A2022" t="s">
        <v>2028</v>
      </c>
      <c r="B2022" t="s">
        <v>10008</v>
      </c>
      <c r="C2022">
        <v>1</v>
      </c>
      <c r="D2022">
        <v>2</v>
      </c>
      <c r="E2022">
        <v>2</v>
      </c>
      <c r="F2022" t="s">
        <v>10020</v>
      </c>
      <c r="G2022" t="s">
        <v>10069</v>
      </c>
      <c r="H2022" s="6">
        <v>45178</v>
      </c>
      <c r="I2022">
        <f t="shared" si="62"/>
        <v>0</v>
      </c>
      <c r="J2022" t="str">
        <f t="shared" si="63"/>
        <v>Complete</v>
      </c>
      <c r="K2022">
        <f>COUNTIFS(RawData[Item], B2022,RawData[Quantity],C2022,RawData[Price Per Unit],D2022,RawData[Total Spent],E2022,RawData[Payment Method],F2022,RawData[Location],G2022,RawData[Transaction Date],H2022)</f>
        <v>1</v>
      </c>
      <c r="L2022"/>
    </row>
    <row r="2023" spans="1:12" x14ac:dyDescent="0.3">
      <c r="A2023" t="s">
        <v>2029</v>
      </c>
      <c r="B2023" t="s">
        <v>10010</v>
      </c>
      <c r="C2023">
        <v>4</v>
      </c>
      <c r="D2023">
        <v>1</v>
      </c>
      <c r="E2023">
        <v>4</v>
      </c>
      <c r="F2023" t="s">
        <v>10069</v>
      </c>
      <c r="G2023" t="s">
        <v>10021</v>
      </c>
      <c r="H2023" s="6">
        <v>45043</v>
      </c>
      <c r="I2023">
        <f t="shared" si="62"/>
        <v>0</v>
      </c>
      <c r="J2023" t="str">
        <f t="shared" si="63"/>
        <v>Complete</v>
      </c>
      <c r="K2023">
        <f>COUNTIFS(RawData[Item], B2023,RawData[Quantity],C2023,RawData[Price Per Unit],D2023,RawData[Total Spent],E2023,RawData[Payment Method],F2023,RawData[Location],G2023,RawData[Transaction Date],H2023)</f>
        <v>1</v>
      </c>
      <c r="L2023"/>
    </row>
    <row r="2024" spans="1:12" x14ac:dyDescent="0.3">
      <c r="A2024" t="s">
        <v>2030</v>
      </c>
      <c r="B2024" t="s">
        <v>10017</v>
      </c>
      <c r="C2024">
        <v>3</v>
      </c>
      <c r="D2024">
        <v>1.5</v>
      </c>
      <c r="E2024">
        <v>4.5</v>
      </c>
      <c r="F2024" t="s">
        <v>10018</v>
      </c>
      <c r="G2024" t="s">
        <v>10102</v>
      </c>
      <c r="H2024" s="6">
        <v>45286</v>
      </c>
      <c r="I2024">
        <f t="shared" si="62"/>
        <v>0</v>
      </c>
      <c r="J2024" t="str">
        <f t="shared" si="63"/>
        <v>Complete</v>
      </c>
      <c r="K2024">
        <f>COUNTIFS(RawData[Item], B2024,RawData[Quantity],C2024,RawData[Price Per Unit],D2024,RawData[Total Spent],E2024,RawData[Payment Method],F2024,RawData[Location],G2024,RawData[Transaction Date],H2024)</f>
        <v>1</v>
      </c>
      <c r="L2024"/>
    </row>
    <row r="2025" spans="1:12" x14ac:dyDescent="0.3">
      <c r="A2025" t="s">
        <v>2031</v>
      </c>
      <c r="B2025" t="s">
        <v>10016</v>
      </c>
      <c r="C2025">
        <v>4</v>
      </c>
      <c r="D2025">
        <v>3</v>
      </c>
      <c r="E2025">
        <v>12</v>
      </c>
      <c r="F2025" t="s">
        <v>10020</v>
      </c>
      <c r="G2025" t="s">
        <v>10102</v>
      </c>
      <c r="H2025" s="6">
        <v>44985</v>
      </c>
      <c r="I2025">
        <f t="shared" si="62"/>
        <v>0</v>
      </c>
      <c r="J2025" t="str">
        <f t="shared" si="63"/>
        <v>Complete</v>
      </c>
      <c r="K2025">
        <f>COUNTIFS(RawData[Item], B2025,RawData[Quantity],C2025,RawData[Price Per Unit],D2025,RawData[Total Spent],E2025,RawData[Payment Method],F2025,RawData[Location],G2025,RawData[Transaction Date],H2025)</f>
        <v>1</v>
      </c>
      <c r="L2025"/>
    </row>
    <row r="2026" spans="1:12" x14ac:dyDescent="0.3">
      <c r="A2026" t="s">
        <v>2032</v>
      </c>
      <c r="B2026" t="s">
        <v>10008</v>
      </c>
      <c r="C2026">
        <v>1</v>
      </c>
      <c r="D2026">
        <v>2</v>
      </c>
      <c r="E2026">
        <v>2</v>
      </c>
      <c r="F2026" t="s">
        <v>10018</v>
      </c>
      <c r="G2026" t="s">
        <v>10102</v>
      </c>
      <c r="H2026" s="6" t="s">
        <v>10112</v>
      </c>
      <c r="I2026">
        <f t="shared" si="62"/>
        <v>1</v>
      </c>
      <c r="J2026" t="str">
        <f t="shared" si="63"/>
        <v>Incomplete</v>
      </c>
      <c r="K2026">
        <f>COUNTIFS(RawData[Item], B2026,RawData[Quantity],C2026,RawData[Price Per Unit],D2026,RawData[Total Spent],E2026,RawData[Payment Method],F2026,RawData[Location],G2026,RawData[Transaction Date],H2026)</f>
        <v>1</v>
      </c>
      <c r="L2026"/>
    </row>
    <row r="2027" spans="1:12" x14ac:dyDescent="0.3">
      <c r="A2027" t="s">
        <v>2033</v>
      </c>
      <c r="B2027" t="s">
        <v>10014</v>
      </c>
      <c r="C2027">
        <v>3</v>
      </c>
      <c r="D2027">
        <v>4</v>
      </c>
      <c r="E2027">
        <v>12</v>
      </c>
      <c r="F2027" t="s">
        <v>10019</v>
      </c>
      <c r="G2027" t="s">
        <v>10021</v>
      </c>
      <c r="H2027" s="6">
        <v>45165</v>
      </c>
      <c r="I2027">
        <f t="shared" si="62"/>
        <v>0</v>
      </c>
      <c r="J2027" t="str">
        <f t="shared" si="63"/>
        <v>Complete</v>
      </c>
      <c r="K2027">
        <f>COUNTIFS(RawData[Item], B2027,RawData[Quantity],C2027,RawData[Price Per Unit],D2027,RawData[Total Spent],E2027,RawData[Payment Method],F2027,RawData[Location],G2027,RawData[Transaction Date],H2027)</f>
        <v>1</v>
      </c>
      <c r="L2027"/>
    </row>
    <row r="2028" spans="1:12" x14ac:dyDescent="0.3">
      <c r="A2028" t="s">
        <v>2034</v>
      </c>
      <c r="B2028" t="s">
        <v>10014</v>
      </c>
      <c r="C2028">
        <v>5</v>
      </c>
      <c r="D2028">
        <v>4</v>
      </c>
      <c r="E2028">
        <v>20</v>
      </c>
      <c r="F2028" t="s">
        <v>10020</v>
      </c>
      <c r="G2028" t="s">
        <v>10069</v>
      </c>
      <c r="H2028" s="6">
        <v>45069</v>
      </c>
      <c r="I2028">
        <f t="shared" si="62"/>
        <v>0</v>
      </c>
      <c r="J2028" t="str">
        <f t="shared" si="63"/>
        <v>Complete</v>
      </c>
      <c r="K2028">
        <f>COUNTIFS(RawData[Item], B2028,RawData[Quantity],C2028,RawData[Price Per Unit],D2028,RawData[Total Spent],E2028,RawData[Payment Method],F2028,RawData[Location],G2028,RawData[Transaction Date],H2028)</f>
        <v>1</v>
      </c>
      <c r="L2028"/>
    </row>
    <row r="2029" spans="1:12" x14ac:dyDescent="0.3">
      <c r="A2029" t="s">
        <v>2035</v>
      </c>
      <c r="B2029" t="s">
        <v>10008</v>
      </c>
      <c r="C2029">
        <v>3</v>
      </c>
      <c r="D2029">
        <v>2</v>
      </c>
      <c r="E2029">
        <v>6</v>
      </c>
      <c r="F2029" t="s">
        <v>10019</v>
      </c>
      <c r="G2029" t="s">
        <v>10102</v>
      </c>
      <c r="H2029" s="6">
        <v>45282</v>
      </c>
      <c r="I2029">
        <f t="shared" si="62"/>
        <v>0</v>
      </c>
      <c r="J2029" t="str">
        <f t="shared" si="63"/>
        <v>Complete</v>
      </c>
      <c r="K2029">
        <f>COUNTIFS(RawData[Item], B2029,RawData[Quantity],C2029,RawData[Price Per Unit],D2029,RawData[Total Spent],E2029,RawData[Payment Method],F2029,RawData[Location],G2029,RawData[Transaction Date],H2029)</f>
        <v>1</v>
      </c>
      <c r="L2029"/>
    </row>
    <row r="2030" spans="1:12" x14ac:dyDescent="0.3">
      <c r="A2030" t="s">
        <v>2036</v>
      </c>
      <c r="B2030" t="s">
        <v>10016</v>
      </c>
      <c r="C2030">
        <v>4</v>
      </c>
      <c r="D2030" t="s">
        <v>10015</v>
      </c>
      <c r="E2030">
        <v>12</v>
      </c>
      <c r="F2030" t="s">
        <v>10069</v>
      </c>
      <c r="G2030" t="s">
        <v>10021</v>
      </c>
      <c r="H2030" s="6">
        <v>45229</v>
      </c>
      <c r="I2030">
        <f t="shared" si="62"/>
        <v>1</v>
      </c>
      <c r="J2030" t="str">
        <f t="shared" si="63"/>
        <v>Complete</v>
      </c>
      <c r="K2030">
        <f>COUNTIFS(RawData[Item], B2030,RawData[Quantity],C2030,RawData[Price Per Unit],D2030,RawData[Total Spent],E2030,RawData[Payment Method],F2030,RawData[Location],G2030,RawData[Transaction Date],H2030)</f>
        <v>1</v>
      </c>
      <c r="L2030"/>
    </row>
    <row r="2031" spans="1:12" x14ac:dyDescent="0.3">
      <c r="A2031" t="s">
        <v>2037</v>
      </c>
      <c r="B2031" t="s">
        <v>10011</v>
      </c>
      <c r="C2031">
        <v>3</v>
      </c>
      <c r="D2031">
        <v>5</v>
      </c>
      <c r="E2031">
        <v>15</v>
      </c>
      <c r="F2031" t="s">
        <v>10020</v>
      </c>
      <c r="G2031" t="s">
        <v>10069</v>
      </c>
      <c r="H2031" s="6" t="s">
        <v>10112</v>
      </c>
      <c r="I2031">
        <f t="shared" si="62"/>
        <v>1</v>
      </c>
      <c r="J2031" t="str">
        <f t="shared" si="63"/>
        <v>Incomplete</v>
      </c>
      <c r="K2031">
        <f>COUNTIFS(RawData[Item], B2031,RawData[Quantity],C2031,RawData[Price Per Unit],D2031,RawData[Total Spent],E2031,RawData[Payment Method],F2031,RawData[Location],G2031,RawData[Transaction Date],H2031)</f>
        <v>2</v>
      </c>
      <c r="L2031"/>
    </row>
    <row r="2032" spans="1:12" x14ac:dyDescent="0.3">
      <c r="A2032" t="s">
        <v>2038</v>
      </c>
      <c r="B2032" t="s">
        <v>10017</v>
      </c>
      <c r="C2032">
        <v>2</v>
      </c>
      <c r="D2032">
        <v>1.5</v>
      </c>
      <c r="E2032">
        <v>3</v>
      </c>
      <c r="F2032" t="s">
        <v>10069</v>
      </c>
      <c r="G2032" t="s">
        <v>10021</v>
      </c>
      <c r="H2032" s="6">
        <v>45218</v>
      </c>
      <c r="I2032">
        <f t="shared" si="62"/>
        <v>0</v>
      </c>
      <c r="J2032" t="str">
        <f t="shared" si="63"/>
        <v>Complete</v>
      </c>
      <c r="K2032">
        <f>COUNTIFS(RawData[Item], B2032,RawData[Quantity],C2032,RawData[Price Per Unit],D2032,RawData[Total Spent],E2032,RawData[Payment Method],F2032,RawData[Location],G2032,RawData[Transaction Date],H2032)</f>
        <v>1</v>
      </c>
      <c r="L2032"/>
    </row>
    <row r="2033" spans="1:12" x14ac:dyDescent="0.3">
      <c r="A2033" t="s">
        <v>2039</v>
      </c>
      <c r="B2033" t="s">
        <v>10016</v>
      </c>
      <c r="C2033">
        <v>3</v>
      </c>
      <c r="D2033">
        <v>3</v>
      </c>
      <c r="E2033">
        <v>9</v>
      </c>
      <c r="F2033" t="s">
        <v>10019</v>
      </c>
      <c r="G2033" t="s">
        <v>10102</v>
      </c>
      <c r="H2033" s="6" t="s">
        <v>10112</v>
      </c>
      <c r="I2033">
        <f t="shared" si="62"/>
        <v>1</v>
      </c>
      <c r="J2033" t="str">
        <f t="shared" si="63"/>
        <v>Incomplete</v>
      </c>
      <c r="K2033">
        <f>COUNTIFS(RawData[Item], B2033,RawData[Quantity],C2033,RawData[Price Per Unit],D2033,RawData[Total Spent],E2033,RawData[Payment Method],F2033,RawData[Location],G2033,RawData[Transaction Date],H2033)</f>
        <v>2</v>
      </c>
      <c r="L2033"/>
    </row>
    <row r="2034" spans="1:12" x14ac:dyDescent="0.3">
      <c r="A2034" t="s">
        <v>2040</v>
      </c>
      <c r="B2034" t="s">
        <v>10011</v>
      </c>
      <c r="C2034">
        <v>1</v>
      </c>
      <c r="D2034">
        <v>5</v>
      </c>
      <c r="E2034">
        <v>5</v>
      </c>
      <c r="F2034" t="s">
        <v>10018</v>
      </c>
      <c r="G2034" t="s">
        <v>10102</v>
      </c>
      <c r="H2034" s="6">
        <v>45188</v>
      </c>
      <c r="I2034">
        <f t="shared" si="62"/>
        <v>0</v>
      </c>
      <c r="J2034" t="str">
        <f t="shared" si="63"/>
        <v>Complete</v>
      </c>
      <c r="K2034">
        <f>COUNTIFS(RawData[Item], B2034,RawData[Quantity],C2034,RawData[Price Per Unit],D2034,RawData[Total Spent],E2034,RawData[Payment Method],F2034,RawData[Location],G2034,RawData[Transaction Date],H2034)</f>
        <v>1</v>
      </c>
      <c r="L2034"/>
    </row>
    <row r="2035" spans="1:12" x14ac:dyDescent="0.3">
      <c r="A2035" t="s">
        <v>2041</v>
      </c>
      <c r="B2035" t="s">
        <v>10008</v>
      </c>
      <c r="C2035">
        <v>3</v>
      </c>
      <c r="D2035">
        <v>2</v>
      </c>
      <c r="E2035">
        <v>6</v>
      </c>
      <c r="F2035" t="s">
        <v>10018</v>
      </c>
      <c r="G2035" t="s">
        <v>10021</v>
      </c>
      <c r="H2035" s="6">
        <v>45159</v>
      </c>
      <c r="I2035">
        <f t="shared" si="62"/>
        <v>0</v>
      </c>
      <c r="J2035" t="str">
        <f t="shared" si="63"/>
        <v>Complete</v>
      </c>
      <c r="K2035">
        <f>COUNTIFS(RawData[Item], B2035,RawData[Quantity],C2035,RawData[Price Per Unit],D2035,RawData[Total Spent],E2035,RawData[Payment Method],F2035,RawData[Location],G2035,RawData[Transaction Date],H2035)</f>
        <v>1</v>
      </c>
      <c r="L2035"/>
    </row>
    <row r="2036" spans="1:12" x14ac:dyDescent="0.3">
      <c r="A2036" t="s">
        <v>2042</v>
      </c>
      <c r="B2036" t="s">
        <v>10011</v>
      </c>
      <c r="C2036">
        <v>4</v>
      </c>
      <c r="D2036">
        <v>5</v>
      </c>
      <c r="E2036">
        <v>20</v>
      </c>
      <c r="F2036" t="s">
        <v>10019</v>
      </c>
      <c r="G2036" t="s">
        <v>10069</v>
      </c>
      <c r="H2036" s="6">
        <v>45194</v>
      </c>
      <c r="I2036">
        <f t="shared" si="62"/>
        <v>0</v>
      </c>
      <c r="J2036" t="str">
        <f t="shared" si="63"/>
        <v>Complete</v>
      </c>
      <c r="K2036">
        <f>COUNTIFS(RawData[Item], B2036,RawData[Quantity],C2036,RawData[Price Per Unit],D2036,RawData[Total Spent],E2036,RawData[Payment Method],F2036,RawData[Location],G2036,RawData[Transaction Date],H2036)</f>
        <v>1</v>
      </c>
      <c r="L2036"/>
    </row>
    <row r="2037" spans="1:12" x14ac:dyDescent="0.3">
      <c r="A2037" t="s">
        <v>2043</v>
      </c>
      <c r="B2037" t="s">
        <v>10009</v>
      </c>
      <c r="C2037">
        <v>3</v>
      </c>
      <c r="D2037">
        <v>3</v>
      </c>
      <c r="E2037">
        <v>9</v>
      </c>
      <c r="F2037" t="s">
        <v>10020</v>
      </c>
      <c r="G2037" t="s">
        <v>10069</v>
      </c>
      <c r="H2037" s="6">
        <v>45260</v>
      </c>
      <c r="I2037">
        <f t="shared" si="62"/>
        <v>0</v>
      </c>
      <c r="J2037" t="str">
        <f t="shared" si="63"/>
        <v>Complete</v>
      </c>
      <c r="K2037">
        <f>COUNTIFS(RawData[Item], B2037,RawData[Quantity],C2037,RawData[Price Per Unit],D2037,RawData[Total Spent],E2037,RawData[Payment Method],F2037,RawData[Location],G2037,RawData[Transaction Date],H2037)</f>
        <v>1</v>
      </c>
      <c r="L2037"/>
    </row>
    <row r="2038" spans="1:12" x14ac:dyDescent="0.3">
      <c r="A2038" t="s">
        <v>2044</v>
      </c>
      <c r="B2038" t="s">
        <v>10014</v>
      </c>
      <c r="C2038">
        <v>5</v>
      </c>
      <c r="D2038">
        <v>4</v>
      </c>
      <c r="E2038">
        <v>20</v>
      </c>
      <c r="F2038" t="s">
        <v>10018</v>
      </c>
      <c r="G2038" t="s">
        <v>10069</v>
      </c>
      <c r="H2038" s="6">
        <v>44998</v>
      </c>
      <c r="I2038">
        <f t="shared" si="62"/>
        <v>0</v>
      </c>
      <c r="J2038" t="str">
        <f t="shared" si="63"/>
        <v>Complete</v>
      </c>
      <c r="K2038">
        <f>COUNTIFS(RawData[Item], B2038,RawData[Quantity],C2038,RawData[Price Per Unit],D2038,RawData[Total Spent],E2038,RawData[Payment Method],F2038,RawData[Location],G2038,RawData[Transaction Date],H2038)</f>
        <v>1</v>
      </c>
      <c r="L2038"/>
    </row>
    <row r="2039" spans="1:12" x14ac:dyDescent="0.3">
      <c r="A2039" t="s">
        <v>2045</v>
      </c>
      <c r="B2039" t="s">
        <v>10012</v>
      </c>
      <c r="C2039">
        <v>3</v>
      </c>
      <c r="D2039">
        <v>4</v>
      </c>
      <c r="E2039">
        <v>12</v>
      </c>
      <c r="F2039" t="s">
        <v>10069</v>
      </c>
      <c r="G2039" t="s">
        <v>10104</v>
      </c>
      <c r="H2039" s="6">
        <v>45051</v>
      </c>
      <c r="I2039">
        <f t="shared" si="62"/>
        <v>1</v>
      </c>
      <c r="J2039" t="str">
        <f t="shared" si="63"/>
        <v>Complete</v>
      </c>
      <c r="K2039">
        <f>COUNTIFS(RawData[Item], B2039,RawData[Quantity],C2039,RawData[Price Per Unit],D2039,RawData[Total Spent],E2039,RawData[Payment Method],F2039,RawData[Location],G2039,RawData[Transaction Date],H2039)</f>
        <v>1</v>
      </c>
      <c r="L2039"/>
    </row>
    <row r="2040" spans="1:12" x14ac:dyDescent="0.3">
      <c r="A2040" t="s">
        <v>2046</v>
      </c>
      <c r="B2040" t="s">
        <v>10008</v>
      </c>
      <c r="C2040">
        <v>4</v>
      </c>
      <c r="D2040">
        <v>2</v>
      </c>
      <c r="E2040">
        <v>8</v>
      </c>
      <c r="F2040" t="s">
        <v>10020</v>
      </c>
      <c r="G2040" t="s">
        <v>10102</v>
      </c>
      <c r="H2040" s="6">
        <v>45168</v>
      </c>
      <c r="I2040">
        <f t="shared" si="62"/>
        <v>0</v>
      </c>
      <c r="J2040" t="str">
        <f t="shared" si="63"/>
        <v>Complete</v>
      </c>
      <c r="K2040">
        <f>COUNTIFS(RawData[Item], B2040,RawData[Quantity],C2040,RawData[Price Per Unit],D2040,RawData[Total Spent],E2040,RawData[Payment Method],F2040,RawData[Location],G2040,RawData[Transaction Date],H2040)</f>
        <v>1</v>
      </c>
      <c r="L2040"/>
    </row>
    <row r="2041" spans="1:12" x14ac:dyDescent="0.3">
      <c r="A2041" t="s">
        <v>2047</v>
      </c>
      <c r="B2041" t="s">
        <v>10009</v>
      </c>
      <c r="C2041">
        <v>1</v>
      </c>
      <c r="D2041">
        <v>3</v>
      </c>
      <c r="E2041">
        <v>3</v>
      </c>
      <c r="F2041" t="s">
        <v>10069</v>
      </c>
      <c r="G2041" t="s">
        <v>10021</v>
      </c>
      <c r="H2041" s="6">
        <v>45277</v>
      </c>
      <c r="I2041">
        <f t="shared" si="62"/>
        <v>0</v>
      </c>
      <c r="J2041" t="str">
        <f t="shared" si="63"/>
        <v>Complete</v>
      </c>
      <c r="K2041">
        <f>COUNTIFS(RawData[Item], B2041,RawData[Quantity],C2041,RawData[Price Per Unit],D2041,RawData[Total Spent],E2041,RawData[Payment Method],F2041,RawData[Location],G2041,RawData[Transaction Date],H2041)</f>
        <v>1</v>
      </c>
      <c r="L2041"/>
    </row>
    <row r="2042" spans="1:12" x14ac:dyDescent="0.3">
      <c r="A2042" t="s">
        <v>2048</v>
      </c>
      <c r="B2042" t="s">
        <v>10010</v>
      </c>
      <c r="C2042">
        <v>4</v>
      </c>
      <c r="D2042" t="s">
        <v>10013</v>
      </c>
      <c r="E2042">
        <v>4</v>
      </c>
      <c r="F2042" t="s">
        <v>10020</v>
      </c>
      <c r="G2042" t="s">
        <v>10021</v>
      </c>
      <c r="H2042" s="6">
        <v>45112</v>
      </c>
      <c r="I2042">
        <f t="shared" si="62"/>
        <v>1</v>
      </c>
      <c r="J2042" t="str">
        <f t="shared" si="63"/>
        <v>Complete</v>
      </c>
      <c r="K2042">
        <f>COUNTIFS(RawData[Item], B2042,RawData[Quantity],C2042,RawData[Price Per Unit],D2042,RawData[Total Spent],E2042,RawData[Payment Method],F2042,RawData[Location],G2042,RawData[Transaction Date],H2042)</f>
        <v>1</v>
      </c>
      <c r="L2042"/>
    </row>
    <row r="2043" spans="1:12" x14ac:dyDescent="0.3">
      <c r="A2043" t="s">
        <v>2049</v>
      </c>
      <c r="B2043" t="s">
        <v>10011</v>
      </c>
      <c r="C2043">
        <v>1</v>
      </c>
      <c r="D2043">
        <v>5</v>
      </c>
      <c r="E2043">
        <v>5</v>
      </c>
      <c r="F2043" t="s">
        <v>10020</v>
      </c>
      <c r="G2043" t="s">
        <v>10021</v>
      </c>
      <c r="H2043" s="6">
        <v>45125</v>
      </c>
      <c r="I2043">
        <f t="shared" si="62"/>
        <v>0</v>
      </c>
      <c r="J2043" t="str">
        <f t="shared" si="63"/>
        <v>Complete</v>
      </c>
      <c r="K2043">
        <f>COUNTIFS(RawData[Item], B2043,RawData[Quantity],C2043,RawData[Price Per Unit],D2043,RawData[Total Spent],E2043,RawData[Payment Method],F2043,RawData[Location],G2043,RawData[Transaction Date],H2043)</f>
        <v>1</v>
      </c>
      <c r="L2043"/>
    </row>
    <row r="2044" spans="1:12" x14ac:dyDescent="0.3">
      <c r="A2044" t="s">
        <v>2050</v>
      </c>
      <c r="B2044" t="s">
        <v>10014</v>
      </c>
      <c r="C2044">
        <v>1</v>
      </c>
      <c r="D2044">
        <v>4</v>
      </c>
      <c r="E2044">
        <v>4</v>
      </c>
      <c r="F2044" t="s">
        <v>10020</v>
      </c>
      <c r="G2044" t="s">
        <v>10069</v>
      </c>
      <c r="H2044" s="6">
        <v>45150</v>
      </c>
      <c r="I2044">
        <f t="shared" si="62"/>
        <v>0</v>
      </c>
      <c r="J2044" t="str">
        <f t="shared" si="63"/>
        <v>Complete</v>
      </c>
      <c r="K2044">
        <f>COUNTIFS(RawData[Item], B2044,RawData[Quantity],C2044,RawData[Price Per Unit],D2044,RawData[Total Spent],E2044,RawData[Payment Method],F2044,RawData[Location],G2044,RawData[Transaction Date],H2044)</f>
        <v>1</v>
      </c>
      <c r="L2044"/>
    </row>
    <row r="2045" spans="1:12" x14ac:dyDescent="0.3">
      <c r="A2045" t="s">
        <v>2051</v>
      </c>
      <c r="B2045" t="s">
        <v>10013</v>
      </c>
      <c r="C2045">
        <v>0</v>
      </c>
      <c r="D2045">
        <v>5</v>
      </c>
      <c r="E2045">
        <v>20</v>
      </c>
      <c r="F2045" t="s">
        <v>10019</v>
      </c>
      <c r="G2045" t="s">
        <v>10069</v>
      </c>
      <c r="H2045" s="6">
        <v>45097</v>
      </c>
      <c r="I2045">
        <f t="shared" si="62"/>
        <v>1</v>
      </c>
      <c r="J2045" t="str">
        <f t="shared" si="63"/>
        <v>Complete</v>
      </c>
      <c r="K2045">
        <f>COUNTIFS(RawData[Item], B2045,RawData[Quantity],C2045,RawData[Price Per Unit],D2045,RawData[Total Spent],E2045,RawData[Payment Method],F2045,RawData[Location],G2045,RawData[Transaction Date],H2045)</f>
        <v>1</v>
      </c>
      <c r="L2045"/>
    </row>
    <row r="2046" spans="1:12" x14ac:dyDescent="0.3">
      <c r="A2046" t="s">
        <v>2052</v>
      </c>
      <c r="B2046" t="s">
        <v>10017</v>
      </c>
      <c r="C2046">
        <v>3</v>
      </c>
      <c r="D2046">
        <v>1.5</v>
      </c>
      <c r="E2046">
        <v>4.5</v>
      </c>
      <c r="F2046" t="s">
        <v>10020</v>
      </c>
      <c r="G2046" t="s">
        <v>10021</v>
      </c>
      <c r="H2046" s="6">
        <v>44998</v>
      </c>
      <c r="I2046">
        <f t="shared" si="62"/>
        <v>0</v>
      </c>
      <c r="J2046" t="str">
        <f t="shared" si="63"/>
        <v>Complete</v>
      </c>
      <c r="K2046">
        <f>COUNTIFS(RawData[Item], B2046,RawData[Quantity],C2046,RawData[Price Per Unit],D2046,RawData[Total Spent],E2046,RawData[Payment Method],F2046,RawData[Location],G2046,RawData[Transaction Date],H2046)</f>
        <v>1</v>
      </c>
      <c r="L2046"/>
    </row>
    <row r="2047" spans="1:12" x14ac:dyDescent="0.3">
      <c r="A2047" t="s">
        <v>2053</v>
      </c>
      <c r="B2047" t="s">
        <v>10016</v>
      </c>
      <c r="C2047">
        <v>2</v>
      </c>
      <c r="D2047">
        <v>3</v>
      </c>
      <c r="E2047">
        <v>6</v>
      </c>
      <c r="F2047" t="s">
        <v>10018</v>
      </c>
      <c r="G2047" t="s">
        <v>10104</v>
      </c>
      <c r="H2047" s="6">
        <v>45242</v>
      </c>
      <c r="I2047">
        <f t="shared" si="62"/>
        <v>1</v>
      </c>
      <c r="J2047" t="str">
        <f t="shared" si="63"/>
        <v>Complete</v>
      </c>
      <c r="K2047">
        <f>COUNTIFS(RawData[Item], B2047,RawData[Quantity],C2047,RawData[Price Per Unit],D2047,RawData[Total Spent],E2047,RawData[Payment Method],F2047,RawData[Location],G2047,RawData[Transaction Date],H2047)</f>
        <v>1</v>
      </c>
      <c r="L2047"/>
    </row>
    <row r="2048" spans="1:12" x14ac:dyDescent="0.3">
      <c r="A2048" t="s">
        <v>2054</v>
      </c>
      <c r="B2048" t="s">
        <v>10014</v>
      </c>
      <c r="C2048">
        <v>2</v>
      </c>
      <c r="D2048">
        <v>4</v>
      </c>
      <c r="E2048">
        <v>8</v>
      </c>
      <c r="F2048" t="s">
        <v>10018</v>
      </c>
      <c r="G2048" t="s">
        <v>10102</v>
      </c>
      <c r="H2048" s="6">
        <v>45046</v>
      </c>
      <c r="I2048">
        <f t="shared" si="62"/>
        <v>0</v>
      </c>
      <c r="J2048" t="str">
        <f t="shared" si="63"/>
        <v>Complete</v>
      </c>
      <c r="K2048">
        <f>COUNTIFS(RawData[Item], B2048,RawData[Quantity],C2048,RawData[Price Per Unit],D2048,RawData[Total Spent],E2048,RawData[Payment Method],F2048,RawData[Location],G2048,RawData[Transaction Date],H2048)</f>
        <v>1</v>
      </c>
      <c r="L2048"/>
    </row>
    <row r="2049" spans="1:12" x14ac:dyDescent="0.3">
      <c r="A2049" t="s">
        <v>2055</v>
      </c>
      <c r="B2049" t="s">
        <v>10016</v>
      </c>
      <c r="C2049">
        <v>4</v>
      </c>
      <c r="D2049">
        <v>3</v>
      </c>
      <c r="E2049">
        <v>12</v>
      </c>
      <c r="F2049" t="s">
        <v>10018</v>
      </c>
      <c r="G2049" t="s">
        <v>10104</v>
      </c>
      <c r="H2049" s="6">
        <v>45159</v>
      </c>
      <c r="I2049">
        <f t="shared" si="62"/>
        <v>1</v>
      </c>
      <c r="J2049" t="str">
        <f t="shared" si="63"/>
        <v>Complete</v>
      </c>
      <c r="K2049">
        <f>COUNTIFS(RawData[Item], B2049,RawData[Quantity],C2049,RawData[Price Per Unit],D2049,RawData[Total Spent],E2049,RawData[Payment Method],F2049,RawData[Location],G2049,RawData[Transaction Date],H2049)</f>
        <v>1</v>
      </c>
      <c r="L2049"/>
    </row>
    <row r="2050" spans="1:12" x14ac:dyDescent="0.3">
      <c r="A2050" t="s">
        <v>2056</v>
      </c>
      <c r="B2050" t="s">
        <v>10012</v>
      </c>
      <c r="C2050">
        <v>5</v>
      </c>
      <c r="D2050">
        <v>4</v>
      </c>
      <c r="E2050">
        <v>20</v>
      </c>
      <c r="F2050" t="s">
        <v>10018</v>
      </c>
      <c r="G2050" t="s">
        <v>10069</v>
      </c>
      <c r="H2050" s="6">
        <v>45150</v>
      </c>
      <c r="I2050">
        <f t="shared" ref="I2050:I2113" si="64">(B2050="Unknown")+(B2050="Error")+(C2050="Unknown")+(C2050="Error")+(D2050="Unknown")+(D2050="Error")+(E2050="Unknown")+(E2050="Error")+(F2050="Unknown")+(F2050="Error")+(G2050="Unknown")+(G2050="Error")+(H2050="No Date")</f>
        <v>0</v>
      </c>
      <c r="J2050" t="str">
        <f t="shared" ref="J2050:J2113" si="65">IF((H2050="No Date"),"Incomplete","Complete")</f>
        <v>Complete</v>
      </c>
      <c r="K2050">
        <f>COUNTIFS(RawData[Item], B2050,RawData[Quantity],C2050,RawData[Price Per Unit],D2050,RawData[Total Spent],E2050,RawData[Payment Method],F2050,RawData[Location],G2050,RawData[Transaction Date],H2050)</f>
        <v>1</v>
      </c>
      <c r="L2050"/>
    </row>
    <row r="2051" spans="1:12" x14ac:dyDescent="0.3">
      <c r="A2051" t="s">
        <v>2057</v>
      </c>
      <c r="B2051" t="s">
        <v>10014</v>
      </c>
      <c r="C2051">
        <v>5</v>
      </c>
      <c r="D2051">
        <v>0</v>
      </c>
      <c r="E2051">
        <v>20</v>
      </c>
      <c r="F2051" t="s">
        <v>10069</v>
      </c>
      <c r="G2051" t="s">
        <v>10021</v>
      </c>
      <c r="H2051" s="6">
        <v>45100</v>
      </c>
      <c r="I2051">
        <f t="shared" si="64"/>
        <v>0</v>
      </c>
      <c r="J2051" t="str">
        <f t="shared" si="65"/>
        <v>Complete</v>
      </c>
      <c r="K2051">
        <f>COUNTIFS(RawData[Item], B2051,RawData[Quantity],C2051,RawData[Price Per Unit],D2051,RawData[Total Spent],E2051,RawData[Payment Method],F2051,RawData[Location],G2051,RawData[Transaction Date],H2051)</f>
        <v>1</v>
      </c>
      <c r="L2051"/>
    </row>
    <row r="2052" spans="1:12" x14ac:dyDescent="0.3">
      <c r="A2052" t="s">
        <v>2058</v>
      </c>
      <c r="B2052" t="s">
        <v>10008</v>
      </c>
      <c r="C2052">
        <v>1</v>
      </c>
      <c r="D2052">
        <v>2</v>
      </c>
      <c r="E2052">
        <v>2</v>
      </c>
      <c r="F2052" t="s">
        <v>10069</v>
      </c>
      <c r="G2052" t="s">
        <v>10103</v>
      </c>
      <c r="H2052" s="6">
        <v>45249</v>
      </c>
      <c r="I2052">
        <f t="shared" si="64"/>
        <v>1</v>
      </c>
      <c r="J2052" t="str">
        <f t="shared" si="65"/>
        <v>Complete</v>
      </c>
      <c r="K2052">
        <f>COUNTIFS(RawData[Item], B2052,RawData[Quantity],C2052,RawData[Price Per Unit],D2052,RawData[Total Spent],E2052,RawData[Payment Method],F2052,RawData[Location],G2052,RawData[Transaction Date],H2052)</f>
        <v>1</v>
      </c>
      <c r="L2052"/>
    </row>
    <row r="2053" spans="1:12" x14ac:dyDescent="0.3">
      <c r="A2053" t="s">
        <v>2059</v>
      </c>
      <c r="B2053" t="s">
        <v>10008</v>
      </c>
      <c r="C2053">
        <v>1</v>
      </c>
      <c r="D2053">
        <v>2</v>
      </c>
      <c r="E2053">
        <v>2</v>
      </c>
      <c r="F2053" t="s">
        <v>10018</v>
      </c>
      <c r="G2053" t="s">
        <v>10021</v>
      </c>
      <c r="H2053" s="6">
        <v>45202</v>
      </c>
      <c r="I2053">
        <f t="shared" si="64"/>
        <v>0</v>
      </c>
      <c r="J2053" t="str">
        <f t="shared" si="65"/>
        <v>Complete</v>
      </c>
      <c r="K2053">
        <f>COUNTIFS(RawData[Item], B2053,RawData[Quantity],C2053,RawData[Price Per Unit],D2053,RawData[Total Spent],E2053,RawData[Payment Method],F2053,RawData[Location],G2053,RawData[Transaction Date],H2053)</f>
        <v>1</v>
      </c>
      <c r="L2053"/>
    </row>
    <row r="2054" spans="1:12" x14ac:dyDescent="0.3">
      <c r="A2054" t="s">
        <v>2060</v>
      </c>
      <c r="B2054" t="s">
        <v>10008</v>
      </c>
      <c r="C2054">
        <v>4</v>
      </c>
      <c r="D2054">
        <v>2</v>
      </c>
      <c r="E2054">
        <v>8</v>
      </c>
      <c r="F2054" t="s">
        <v>10018</v>
      </c>
      <c r="G2054" t="s">
        <v>10021</v>
      </c>
      <c r="H2054" s="6">
        <v>44935</v>
      </c>
      <c r="I2054">
        <f t="shared" si="64"/>
        <v>0</v>
      </c>
      <c r="J2054" t="str">
        <f t="shared" si="65"/>
        <v>Complete</v>
      </c>
      <c r="K2054">
        <f>COUNTIFS(RawData[Item], B2054,RawData[Quantity],C2054,RawData[Price Per Unit],D2054,RawData[Total Spent],E2054,RawData[Payment Method],F2054,RawData[Location],G2054,RawData[Transaction Date],H2054)</f>
        <v>1</v>
      </c>
      <c r="L2054"/>
    </row>
    <row r="2055" spans="1:12" x14ac:dyDescent="0.3">
      <c r="A2055" t="s">
        <v>2061</v>
      </c>
      <c r="B2055" t="s">
        <v>10011</v>
      </c>
      <c r="C2055">
        <v>1</v>
      </c>
      <c r="D2055">
        <v>5</v>
      </c>
      <c r="E2055">
        <v>5</v>
      </c>
      <c r="F2055" t="s">
        <v>10018</v>
      </c>
      <c r="G2055" t="s">
        <v>10021</v>
      </c>
      <c r="H2055" s="6">
        <v>45147</v>
      </c>
      <c r="I2055">
        <f t="shared" si="64"/>
        <v>0</v>
      </c>
      <c r="J2055" t="str">
        <f t="shared" si="65"/>
        <v>Complete</v>
      </c>
      <c r="K2055">
        <f>COUNTIFS(RawData[Item], B2055,RawData[Quantity],C2055,RawData[Price Per Unit],D2055,RawData[Total Spent],E2055,RawData[Payment Method],F2055,RawData[Location],G2055,RawData[Transaction Date],H2055)</f>
        <v>1</v>
      </c>
      <c r="L2055"/>
    </row>
    <row r="2056" spans="1:12" x14ac:dyDescent="0.3">
      <c r="A2056" t="s">
        <v>2062</v>
      </c>
      <c r="B2056" t="s">
        <v>10014</v>
      </c>
      <c r="C2056">
        <v>5</v>
      </c>
      <c r="D2056">
        <v>4</v>
      </c>
      <c r="E2056">
        <v>20</v>
      </c>
      <c r="F2056" t="s">
        <v>10069</v>
      </c>
      <c r="G2056" t="s">
        <v>10021</v>
      </c>
      <c r="H2056" s="6">
        <v>45041</v>
      </c>
      <c r="I2056">
        <f t="shared" si="64"/>
        <v>0</v>
      </c>
      <c r="J2056" t="str">
        <f t="shared" si="65"/>
        <v>Complete</v>
      </c>
      <c r="K2056">
        <f>COUNTIFS(RawData[Item], B2056,RawData[Quantity],C2056,RawData[Price Per Unit],D2056,RawData[Total Spent],E2056,RawData[Payment Method],F2056,RawData[Location],G2056,RawData[Transaction Date],H2056)</f>
        <v>1</v>
      </c>
      <c r="L2056"/>
    </row>
    <row r="2057" spans="1:12" x14ac:dyDescent="0.3">
      <c r="A2057" t="s">
        <v>2063</v>
      </c>
      <c r="B2057" t="s">
        <v>10016</v>
      </c>
      <c r="C2057">
        <v>4</v>
      </c>
      <c r="D2057">
        <v>3</v>
      </c>
      <c r="E2057">
        <v>12</v>
      </c>
      <c r="F2057" t="s">
        <v>10069</v>
      </c>
      <c r="G2057" t="s">
        <v>10102</v>
      </c>
      <c r="H2057" s="6">
        <v>45107</v>
      </c>
      <c r="I2057">
        <f t="shared" si="64"/>
        <v>0</v>
      </c>
      <c r="J2057" t="str">
        <f t="shared" si="65"/>
        <v>Complete</v>
      </c>
      <c r="K2057">
        <f>COUNTIFS(RawData[Item], B2057,RawData[Quantity],C2057,RawData[Price Per Unit],D2057,RawData[Total Spent],E2057,RawData[Payment Method],F2057,RawData[Location],G2057,RawData[Transaction Date],H2057)</f>
        <v>2</v>
      </c>
      <c r="L2057"/>
    </row>
    <row r="2058" spans="1:12" x14ac:dyDescent="0.3">
      <c r="A2058" t="s">
        <v>2064</v>
      </c>
      <c r="B2058" t="s">
        <v>10010</v>
      </c>
      <c r="C2058">
        <v>3</v>
      </c>
      <c r="D2058">
        <v>1</v>
      </c>
      <c r="E2058">
        <v>3</v>
      </c>
      <c r="F2058" t="s">
        <v>10069</v>
      </c>
      <c r="G2058" t="s">
        <v>10102</v>
      </c>
      <c r="H2058" s="6">
        <v>45068</v>
      </c>
      <c r="I2058">
        <f t="shared" si="64"/>
        <v>0</v>
      </c>
      <c r="J2058" t="str">
        <f t="shared" si="65"/>
        <v>Complete</v>
      </c>
      <c r="K2058">
        <f>COUNTIFS(RawData[Item], B2058,RawData[Quantity],C2058,RawData[Price Per Unit],D2058,RawData[Total Spent],E2058,RawData[Payment Method],F2058,RawData[Location],G2058,RawData[Transaction Date],H2058)</f>
        <v>1</v>
      </c>
      <c r="L2058"/>
    </row>
    <row r="2059" spans="1:12" x14ac:dyDescent="0.3">
      <c r="A2059" t="s">
        <v>2065</v>
      </c>
      <c r="B2059" t="s">
        <v>10012</v>
      </c>
      <c r="C2059">
        <v>5</v>
      </c>
      <c r="D2059">
        <v>4</v>
      </c>
      <c r="E2059">
        <v>20</v>
      </c>
      <c r="F2059" t="s">
        <v>10018</v>
      </c>
      <c r="G2059" t="s">
        <v>10021</v>
      </c>
      <c r="H2059" s="6">
        <v>45094</v>
      </c>
      <c r="I2059">
        <f t="shared" si="64"/>
        <v>0</v>
      </c>
      <c r="J2059" t="str">
        <f t="shared" si="65"/>
        <v>Complete</v>
      </c>
      <c r="K2059">
        <f>COUNTIFS(RawData[Item], B2059,RawData[Quantity],C2059,RawData[Price Per Unit],D2059,RawData[Total Spent],E2059,RawData[Payment Method],F2059,RawData[Location],G2059,RawData[Transaction Date],H2059)</f>
        <v>1</v>
      </c>
      <c r="L2059"/>
    </row>
    <row r="2060" spans="1:12" x14ac:dyDescent="0.3">
      <c r="A2060" t="s">
        <v>2066</v>
      </c>
      <c r="B2060" t="s">
        <v>10012</v>
      </c>
      <c r="C2060">
        <v>4</v>
      </c>
      <c r="D2060">
        <v>4</v>
      </c>
      <c r="E2060">
        <v>16</v>
      </c>
      <c r="F2060" t="s">
        <v>10018</v>
      </c>
      <c r="G2060" t="s">
        <v>10021</v>
      </c>
      <c r="H2060" s="6">
        <v>45186</v>
      </c>
      <c r="I2060">
        <f t="shared" si="64"/>
        <v>0</v>
      </c>
      <c r="J2060" t="str">
        <f t="shared" si="65"/>
        <v>Complete</v>
      </c>
      <c r="K2060">
        <f>COUNTIFS(RawData[Item], B2060,RawData[Quantity],C2060,RawData[Price Per Unit],D2060,RawData[Total Spent],E2060,RawData[Payment Method],F2060,RawData[Location],G2060,RawData[Transaction Date],H2060)</f>
        <v>1</v>
      </c>
      <c r="L2060"/>
    </row>
    <row r="2061" spans="1:12" x14ac:dyDescent="0.3">
      <c r="A2061" t="s">
        <v>2067</v>
      </c>
      <c r="B2061" t="s">
        <v>10008</v>
      </c>
      <c r="C2061">
        <v>5</v>
      </c>
      <c r="D2061">
        <v>2</v>
      </c>
      <c r="E2061">
        <v>10</v>
      </c>
      <c r="F2061" t="s">
        <v>10020</v>
      </c>
      <c r="G2061" t="s">
        <v>10069</v>
      </c>
      <c r="H2061" s="6">
        <v>45227</v>
      </c>
      <c r="I2061">
        <f t="shared" si="64"/>
        <v>0</v>
      </c>
      <c r="J2061" t="str">
        <f t="shared" si="65"/>
        <v>Complete</v>
      </c>
      <c r="K2061">
        <f>COUNTIFS(RawData[Item], B2061,RawData[Quantity],C2061,RawData[Price Per Unit],D2061,RawData[Total Spent],E2061,RawData[Payment Method],F2061,RawData[Location],G2061,RawData[Transaction Date],H2061)</f>
        <v>1</v>
      </c>
      <c r="L2061"/>
    </row>
    <row r="2062" spans="1:12" x14ac:dyDescent="0.3">
      <c r="A2062" t="s">
        <v>2068</v>
      </c>
      <c r="B2062" t="s">
        <v>10016</v>
      </c>
      <c r="C2062">
        <v>5</v>
      </c>
      <c r="D2062">
        <v>3</v>
      </c>
      <c r="E2062">
        <v>15</v>
      </c>
      <c r="F2062" t="s">
        <v>10018</v>
      </c>
      <c r="G2062" t="s">
        <v>10069</v>
      </c>
      <c r="H2062" s="6">
        <v>45150</v>
      </c>
      <c r="I2062">
        <f t="shared" si="64"/>
        <v>0</v>
      </c>
      <c r="J2062" t="str">
        <f t="shared" si="65"/>
        <v>Complete</v>
      </c>
      <c r="K2062">
        <f>COUNTIFS(RawData[Item], B2062,RawData[Quantity],C2062,RawData[Price Per Unit],D2062,RawData[Total Spent],E2062,RawData[Payment Method],F2062,RawData[Location],G2062,RawData[Transaction Date],H2062)</f>
        <v>1</v>
      </c>
      <c r="L2062"/>
    </row>
    <row r="2063" spans="1:12" x14ac:dyDescent="0.3">
      <c r="A2063" t="s">
        <v>2069</v>
      </c>
      <c r="B2063" t="s">
        <v>10011</v>
      </c>
      <c r="C2063">
        <v>4</v>
      </c>
      <c r="D2063">
        <v>5</v>
      </c>
      <c r="E2063">
        <v>20</v>
      </c>
      <c r="F2063" t="s">
        <v>10020</v>
      </c>
      <c r="G2063" t="s">
        <v>10069</v>
      </c>
      <c r="H2063" s="6">
        <v>45164</v>
      </c>
      <c r="I2063">
        <f t="shared" si="64"/>
        <v>0</v>
      </c>
      <c r="J2063" t="str">
        <f t="shared" si="65"/>
        <v>Complete</v>
      </c>
      <c r="K2063">
        <f>COUNTIFS(RawData[Item], B2063,RawData[Quantity],C2063,RawData[Price Per Unit],D2063,RawData[Total Spent],E2063,RawData[Payment Method],F2063,RawData[Location],G2063,RawData[Transaction Date],H2063)</f>
        <v>1</v>
      </c>
      <c r="L2063"/>
    </row>
    <row r="2064" spans="1:12" x14ac:dyDescent="0.3">
      <c r="A2064" t="s">
        <v>2070</v>
      </c>
      <c r="B2064" t="s">
        <v>10009</v>
      </c>
      <c r="C2064">
        <v>4</v>
      </c>
      <c r="D2064">
        <v>3</v>
      </c>
      <c r="E2064">
        <v>12</v>
      </c>
      <c r="F2064" t="s">
        <v>10019</v>
      </c>
      <c r="G2064" t="s">
        <v>10069</v>
      </c>
      <c r="H2064" s="6">
        <v>45107</v>
      </c>
      <c r="I2064">
        <f t="shared" si="64"/>
        <v>0</v>
      </c>
      <c r="J2064" t="str">
        <f t="shared" si="65"/>
        <v>Complete</v>
      </c>
      <c r="K2064">
        <f>COUNTIFS(RawData[Item], B2064,RawData[Quantity],C2064,RawData[Price Per Unit],D2064,RawData[Total Spent],E2064,RawData[Payment Method],F2064,RawData[Location],G2064,RawData[Transaction Date],H2064)</f>
        <v>1</v>
      </c>
      <c r="L2064"/>
    </row>
    <row r="2065" spans="1:12" x14ac:dyDescent="0.3">
      <c r="A2065" t="s">
        <v>2071</v>
      </c>
      <c r="B2065" t="s">
        <v>10017</v>
      </c>
      <c r="C2065">
        <v>3</v>
      </c>
      <c r="D2065">
        <v>1.5</v>
      </c>
      <c r="E2065">
        <v>4.5</v>
      </c>
      <c r="F2065" t="s">
        <v>10019</v>
      </c>
      <c r="G2065" t="s">
        <v>10069</v>
      </c>
      <c r="H2065" s="6">
        <v>45195</v>
      </c>
      <c r="I2065">
        <f t="shared" si="64"/>
        <v>0</v>
      </c>
      <c r="J2065" t="str">
        <f t="shared" si="65"/>
        <v>Complete</v>
      </c>
      <c r="K2065">
        <f>COUNTIFS(RawData[Item], B2065,RawData[Quantity],C2065,RawData[Price Per Unit],D2065,RawData[Total Spent],E2065,RawData[Payment Method],F2065,RawData[Location],G2065,RawData[Transaction Date],H2065)</f>
        <v>1</v>
      </c>
      <c r="L2065"/>
    </row>
    <row r="2066" spans="1:12" x14ac:dyDescent="0.3">
      <c r="A2066" t="s">
        <v>2072</v>
      </c>
      <c r="B2066" t="s">
        <v>10011</v>
      </c>
      <c r="C2066">
        <v>3</v>
      </c>
      <c r="D2066">
        <v>5</v>
      </c>
      <c r="E2066">
        <v>15</v>
      </c>
      <c r="F2066" t="s">
        <v>10018</v>
      </c>
      <c r="G2066" t="s">
        <v>10021</v>
      </c>
      <c r="H2066" s="6">
        <v>44990</v>
      </c>
      <c r="I2066">
        <f t="shared" si="64"/>
        <v>0</v>
      </c>
      <c r="J2066" t="str">
        <f t="shared" si="65"/>
        <v>Complete</v>
      </c>
      <c r="K2066">
        <f>COUNTIFS(RawData[Item], B2066,RawData[Quantity],C2066,RawData[Price Per Unit],D2066,RawData[Total Spent],E2066,RawData[Payment Method],F2066,RawData[Location],G2066,RawData[Transaction Date],H2066)</f>
        <v>1</v>
      </c>
      <c r="L2066"/>
    </row>
    <row r="2067" spans="1:12" x14ac:dyDescent="0.3">
      <c r="A2067" t="s">
        <v>2073</v>
      </c>
      <c r="B2067" t="s">
        <v>10008</v>
      </c>
      <c r="C2067">
        <v>5</v>
      </c>
      <c r="D2067" t="s">
        <v>10015</v>
      </c>
      <c r="E2067">
        <v>10</v>
      </c>
      <c r="F2067" t="s">
        <v>10019</v>
      </c>
      <c r="G2067" t="s">
        <v>10021</v>
      </c>
      <c r="H2067" s="6">
        <v>45113</v>
      </c>
      <c r="I2067">
        <f t="shared" si="64"/>
        <v>1</v>
      </c>
      <c r="J2067" t="str">
        <f t="shared" si="65"/>
        <v>Complete</v>
      </c>
      <c r="K2067">
        <f>COUNTIFS(RawData[Item], B2067,RawData[Quantity],C2067,RawData[Price Per Unit],D2067,RawData[Total Spent],E2067,RawData[Payment Method],F2067,RawData[Location],G2067,RawData[Transaction Date],H2067)</f>
        <v>1</v>
      </c>
      <c r="L2067"/>
    </row>
    <row r="2068" spans="1:12" x14ac:dyDescent="0.3">
      <c r="A2068" t="s">
        <v>2074</v>
      </c>
      <c r="B2068" t="s">
        <v>10011</v>
      </c>
      <c r="C2068">
        <v>1</v>
      </c>
      <c r="D2068">
        <v>5</v>
      </c>
      <c r="E2068">
        <v>5</v>
      </c>
      <c r="F2068" t="s">
        <v>10018</v>
      </c>
      <c r="G2068" t="s">
        <v>10102</v>
      </c>
      <c r="H2068" s="6">
        <v>45253</v>
      </c>
      <c r="I2068">
        <f t="shared" si="64"/>
        <v>0</v>
      </c>
      <c r="J2068" t="str">
        <f t="shared" si="65"/>
        <v>Complete</v>
      </c>
      <c r="K2068">
        <f>COUNTIFS(RawData[Item], B2068,RawData[Quantity],C2068,RawData[Price Per Unit],D2068,RawData[Total Spent],E2068,RawData[Payment Method],F2068,RawData[Location],G2068,RawData[Transaction Date],H2068)</f>
        <v>1</v>
      </c>
      <c r="L2068"/>
    </row>
    <row r="2069" spans="1:12" x14ac:dyDescent="0.3">
      <c r="A2069" t="s">
        <v>2075</v>
      </c>
      <c r="B2069" t="s">
        <v>10012</v>
      </c>
      <c r="C2069">
        <v>4</v>
      </c>
      <c r="D2069">
        <v>4</v>
      </c>
      <c r="E2069">
        <v>16</v>
      </c>
      <c r="F2069" t="s">
        <v>10020</v>
      </c>
      <c r="G2069" t="s">
        <v>10102</v>
      </c>
      <c r="H2069" s="6">
        <v>45243</v>
      </c>
      <c r="I2069">
        <f t="shared" si="64"/>
        <v>0</v>
      </c>
      <c r="J2069" t="str">
        <f t="shared" si="65"/>
        <v>Complete</v>
      </c>
      <c r="K2069">
        <f>COUNTIFS(RawData[Item], B2069,RawData[Quantity],C2069,RawData[Price Per Unit],D2069,RawData[Total Spent],E2069,RawData[Payment Method],F2069,RawData[Location],G2069,RawData[Transaction Date],H2069)</f>
        <v>1</v>
      </c>
      <c r="L2069"/>
    </row>
    <row r="2070" spans="1:12" x14ac:dyDescent="0.3">
      <c r="A2070" t="s">
        <v>2076</v>
      </c>
      <c r="B2070" t="s">
        <v>10008</v>
      </c>
      <c r="C2070">
        <v>2</v>
      </c>
      <c r="D2070">
        <v>2</v>
      </c>
      <c r="E2070">
        <v>4</v>
      </c>
      <c r="F2070" t="s">
        <v>10020</v>
      </c>
      <c r="G2070" t="s">
        <v>10102</v>
      </c>
      <c r="H2070" s="6">
        <v>45076</v>
      </c>
      <c r="I2070">
        <f t="shared" si="64"/>
        <v>0</v>
      </c>
      <c r="J2070" t="str">
        <f t="shared" si="65"/>
        <v>Complete</v>
      </c>
      <c r="K2070">
        <f>COUNTIFS(RawData[Item], B2070,RawData[Quantity],C2070,RawData[Price Per Unit],D2070,RawData[Total Spent],E2070,RawData[Payment Method],F2070,RawData[Location],G2070,RawData[Transaction Date],H2070)</f>
        <v>1</v>
      </c>
      <c r="L2070"/>
    </row>
    <row r="2071" spans="1:12" x14ac:dyDescent="0.3">
      <c r="A2071" t="s">
        <v>2077</v>
      </c>
      <c r="B2071" t="s">
        <v>10016</v>
      </c>
      <c r="C2071">
        <v>1</v>
      </c>
      <c r="D2071">
        <v>3</v>
      </c>
      <c r="E2071">
        <v>3</v>
      </c>
      <c r="F2071" t="s">
        <v>10019</v>
      </c>
      <c r="G2071" t="s">
        <v>10102</v>
      </c>
      <c r="H2071" s="6">
        <v>45115</v>
      </c>
      <c r="I2071">
        <f t="shared" si="64"/>
        <v>0</v>
      </c>
      <c r="J2071" t="str">
        <f t="shared" si="65"/>
        <v>Complete</v>
      </c>
      <c r="K2071">
        <f>COUNTIFS(RawData[Item], B2071,RawData[Quantity],C2071,RawData[Price Per Unit],D2071,RawData[Total Spent],E2071,RawData[Payment Method],F2071,RawData[Location],G2071,RawData[Transaction Date],H2071)</f>
        <v>1</v>
      </c>
      <c r="L2071"/>
    </row>
    <row r="2072" spans="1:12" x14ac:dyDescent="0.3">
      <c r="A2072" t="s">
        <v>2078</v>
      </c>
      <c r="B2072" t="s">
        <v>10012</v>
      </c>
      <c r="C2072">
        <v>1</v>
      </c>
      <c r="D2072">
        <v>4</v>
      </c>
      <c r="E2072">
        <v>4</v>
      </c>
      <c r="F2072" t="s">
        <v>10019</v>
      </c>
      <c r="G2072" t="s">
        <v>10102</v>
      </c>
      <c r="H2072" s="6">
        <v>45181</v>
      </c>
      <c r="I2072">
        <f t="shared" si="64"/>
        <v>0</v>
      </c>
      <c r="J2072" t="str">
        <f t="shared" si="65"/>
        <v>Complete</v>
      </c>
      <c r="K2072">
        <f>COUNTIFS(RawData[Item], B2072,RawData[Quantity],C2072,RawData[Price Per Unit],D2072,RawData[Total Spent],E2072,RawData[Payment Method],F2072,RawData[Location],G2072,RawData[Transaction Date],H2072)</f>
        <v>1</v>
      </c>
      <c r="L2072"/>
    </row>
    <row r="2073" spans="1:12" x14ac:dyDescent="0.3">
      <c r="A2073" t="s">
        <v>2079</v>
      </c>
      <c r="B2073" t="s">
        <v>10016</v>
      </c>
      <c r="C2073">
        <v>4</v>
      </c>
      <c r="D2073">
        <v>3</v>
      </c>
      <c r="E2073">
        <v>12</v>
      </c>
      <c r="F2073" t="s">
        <v>10069</v>
      </c>
      <c r="G2073" t="s">
        <v>10021</v>
      </c>
      <c r="H2073" s="6">
        <v>45000</v>
      </c>
      <c r="I2073">
        <f t="shared" si="64"/>
        <v>0</v>
      </c>
      <c r="J2073" t="str">
        <f t="shared" si="65"/>
        <v>Complete</v>
      </c>
      <c r="K2073">
        <f>COUNTIFS(RawData[Item], B2073,RawData[Quantity],C2073,RawData[Price Per Unit],D2073,RawData[Total Spent],E2073,RawData[Payment Method],F2073,RawData[Location],G2073,RawData[Transaction Date],H2073)</f>
        <v>1</v>
      </c>
      <c r="L2073"/>
    </row>
    <row r="2074" spans="1:12" x14ac:dyDescent="0.3">
      <c r="A2074" t="s">
        <v>2080</v>
      </c>
      <c r="B2074" t="s">
        <v>10011</v>
      </c>
      <c r="C2074">
        <v>2</v>
      </c>
      <c r="D2074">
        <v>5</v>
      </c>
      <c r="E2074">
        <v>10</v>
      </c>
      <c r="F2074" t="s">
        <v>10020</v>
      </c>
      <c r="G2074" t="s">
        <v>10021</v>
      </c>
      <c r="H2074" s="6">
        <v>44927</v>
      </c>
      <c r="I2074">
        <f t="shared" si="64"/>
        <v>0</v>
      </c>
      <c r="J2074" t="str">
        <f t="shared" si="65"/>
        <v>Complete</v>
      </c>
      <c r="K2074">
        <f>COUNTIFS(RawData[Item], B2074,RawData[Quantity],C2074,RawData[Price Per Unit],D2074,RawData[Total Spent],E2074,RawData[Payment Method],F2074,RawData[Location],G2074,RawData[Transaction Date],H2074)</f>
        <v>1</v>
      </c>
      <c r="L2074"/>
    </row>
    <row r="2075" spans="1:12" x14ac:dyDescent="0.3">
      <c r="A2075" t="s">
        <v>2081</v>
      </c>
      <c r="B2075" t="s">
        <v>10017</v>
      </c>
      <c r="C2075">
        <v>2</v>
      </c>
      <c r="D2075">
        <v>1.5</v>
      </c>
      <c r="E2075">
        <v>3</v>
      </c>
      <c r="F2075" t="s">
        <v>10018</v>
      </c>
      <c r="G2075" t="s">
        <v>10021</v>
      </c>
      <c r="H2075" s="6">
        <v>45276</v>
      </c>
      <c r="I2075">
        <f t="shared" si="64"/>
        <v>0</v>
      </c>
      <c r="J2075" t="str">
        <f t="shared" si="65"/>
        <v>Complete</v>
      </c>
      <c r="K2075">
        <f>COUNTIFS(RawData[Item], B2075,RawData[Quantity],C2075,RawData[Price Per Unit],D2075,RawData[Total Spent],E2075,RawData[Payment Method],F2075,RawData[Location],G2075,RawData[Transaction Date],H2075)</f>
        <v>1</v>
      </c>
      <c r="L2075"/>
    </row>
    <row r="2076" spans="1:12" x14ac:dyDescent="0.3">
      <c r="A2076" t="s">
        <v>2082</v>
      </c>
      <c r="B2076" t="s">
        <v>10016</v>
      </c>
      <c r="C2076">
        <v>1</v>
      </c>
      <c r="D2076">
        <v>3</v>
      </c>
      <c r="E2076">
        <v>3</v>
      </c>
      <c r="F2076" t="s">
        <v>10020</v>
      </c>
      <c r="G2076" t="s">
        <v>10069</v>
      </c>
      <c r="H2076" s="6">
        <v>44971</v>
      </c>
      <c r="I2076">
        <f t="shared" si="64"/>
        <v>0</v>
      </c>
      <c r="J2076" t="str">
        <f t="shared" si="65"/>
        <v>Complete</v>
      </c>
      <c r="K2076">
        <f>COUNTIFS(RawData[Item], B2076,RawData[Quantity],C2076,RawData[Price Per Unit],D2076,RawData[Total Spent],E2076,RawData[Payment Method],F2076,RawData[Location],G2076,RawData[Transaction Date],H2076)</f>
        <v>1</v>
      </c>
      <c r="L2076"/>
    </row>
    <row r="2077" spans="1:12" x14ac:dyDescent="0.3">
      <c r="A2077" t="s">
        <v>2083</v>
      </c>
      <c r="B2077" t="s">
        <v>10012</v>
      </c>
      <c r="C2077">
        <v>1</v>
      </c>
      <c r="D2077" t="s">
        <v>10013</v>
      </c>
      <c r="E2077">
        <v>4</v>
      </c>
      <c r="F2077" t="s">
        <v>10018</v>
      </c>
      <c r="G2077" t="s">
        <v>10103</v>
      </c>
      <c r="H2077" s="6">
        <v>45073</v>
      </c>
      <c r="I2077">
        <f t="shared" si="64"/>
        <v>2</v>
      </c>
      <c r="J2077" t="str">
        <f t="shared" si="65"/>
        <v>Complete</v>
      </c>
      <c r="K2077">
        <f>COUNTIFS(RawData[Item], B2077,RawData[Quantity],C2077,RawData[Price Per Unit],D2077,RawData[Total Spent],E2077,RawData[Payment Method],F2077,RawData[Location],G2077,RawData[Transaction Date],H2077)</f>
        <v>1</v>
      </c>
      <c r="L2077"/>
    </row>
    <row r="2078" spans="1:12" x14ac:dyDescent="0.3">
      <c r="A2078" t="s">
        <v>2084</v>
      </c>
      <c r="B2078" t="s">
        <v>10014</v>
      </c>
      <c r="C2078">
        <v>1</v>
      </c>
      <c r="D2078">
        <v>4</v>
      </c>
      <c r="E2078" t="s">
        <v>10015</v>
      </c>
      <c r="F2078" t="s">
        <v>10103</v>
      </c>
      <c r="G2078" t="s">
        <v>10021</v>
      </c>
      <c r="H2078" s="6">
        <v>44956</v>
      </c>
      <c r="I2078">
        <f t="shared" si="64"/>
        <v>2</v>
      </c>
      <c r="J2078" t="str">
        <f t="shared" si="65"/>
        <v>Complete</v>
      </c>
      <c r="K2078">
        <f>COUNTIFS(RawData[Item], B2078,RawData[Quantity],C2078,RawData[Price Per Unit],D2078,RawData[Total Spent],E2078,RawData[Payment Method],F2078,RawData[Location],G2078,RawData[Transaction Date],H2078)</f>
        <v>1</v>
      </c>
      <c r="L2078"/>
    </row>
    <row r="2079" spans="1:12" x14ac:dyDescent="0.3">
      <c r="A2079" t="s">
        <v>2085</v>
      </c>
      <c r="B2079" t="s">
        <v>10016</v>
      </c>
      <c r="C2079">
        <v>1</v>
      </c>
      <c r="D2079">
        <v>3</v>
      </c>
      <c r="E2079">
        <v>3</v>
      </c>
      <c r="F2079" t="s">
        <v>10069</v>
      </c>
      <c r="G2079" t="s">
        <v>10102</v>
      </c>
      <c r="H2079" s="6">
        <v>45266</v>
      </c>
      <c r="I2079">
        <f t="shared" si="64"/>
        <v>0</v>
      </c>
      <c r="J2079" t="str">
        <f t="shared" si="65"/>
        <v>Complete</v>
      </c>
      <c r="K2079">
        <f>COUNTIFS(RawData[Item], B2079,RawData[Quantity],C2079,RawData[Price Per Unit],D2079,RawData[Total Spent],E2079,RawData[Payment Method],F2079,RawData[Location],G2079,RawData[Transaction Date],H2079)</f>
        <v>1</v>
      </c>
      <c r="L2079"/>
    </row>
    <row r="2080" spans="1:12" x14ac:dyDescent="0.3">
      <c r="A2080" t="s">
        <v>2086</v>
      </c>
      <c r="B2080" t="s">
        <v>10014</v>
      </c>
      <c r="C2080">
        <v>0</v>
      </c>
      <c r="D2080">
        <v>4</v>
      </c>
      <c r="E2080">
        <v>20</v>
      </c>
      <c r="F2080" t="s">
        <v>10018</v>
      </c>
      <c r="G2080" t="s">
        <v>10021</v>
      </c>
      <c r="H2080" s="6">
        <v>45195</v>
      </c>
      <c r="I2080">
        <f t="shared" si="64"/>
        <v>0</v>
      </c>
      <c r="J2080" t="str">
        <f t="shared" si="65"/>
        <v>Complete</v>
      </c>
      <c r="K2080">
        <f>COUNTIFS(RawData[Item], B2080,RawData[Quantity],C2080,RawData[Price Per Unit],D2080,RawData[Total Spent],E2080,RawData[Payment Method],F2080,RawData[Location],G2080,RawData[Transaction Date],H2080)</f>
        <v>1</v>
      </c>
      <c r="L2080"/>
    </row>
    <row r="2081" spans="1:12" x14ac:dyDescent="0.3">
      <c r="A2081" t="s">
        <v>2087</v>
      </c>
      <c r="B2081" t="s">
        <v>10008</v>
      </c>
      <c r="C2081">
        <v>1</v>
      </c>
      <c r="D2081">
        <v>2</v>
      </c>
      <c r="E2081">
        <v>2</v>
      </c>
      <c r="F2081" t="s">
        <v>10069</v>
      </c>
      <c r="G2081" t="s">
        <v>10102</v>
      </c>
      <c r="H2081" s="6">
        <v>45256</v>
      </c>
      <c r="I2081">
        <f t="shared" si="64"/>
        <v>0</v>
      </c>
      <c r="J2081" t="str">
        <f t="shared" si="65"/>
        <v>Complete</v>
      </c>
      <c r="K2081">
        <f>COUNTIFS(RawData[Item], B2081,RawData[Quantity],C2081,RawData[Price Per Unit],D2081,RawData[Total Spent],E2081,RawData[Payment Method],F2081,RawData[Location],G2081,RawData[Transaction Date],H2081)</f>
        <v>1</v>
      </c>
      <c r="L2081"/>
    </row>
    <row r="2082" spans="1:12" x14ac:dyDescent="0.3">
      <c r="A2082" t="s">
        <v>2088</v>
      </c>
      <c r="B2082" t="s">
        <v>10017</v>
      </c>
      <c r="C2082">
        <v>3</v>
      </c>
      <c r="D2082">
        <v>1.5</v>
      </c>
      <c r="E2082">
        <v>4.5</v>
      </c>
      <c r="F2082" t="s">
        <v>10069</v>
      </c>
      <c r="G2082" t="s">
        <v>10069</v>
      </c>
      <c r="H2082" s="6">
        <v>45151</v>
      </c>
      <c r="I2082">
        <f t="shared" si="64"/>
        <v>0</v>
      </c>
      <c r="J2082" t="str">
        <f t="shared" si="65"/>
        <v>Complete</v>
      </c>
      <c r="K2082">
        <f>COUNTIFS(RawData[Item], B2082,RawData[Quantity],C2082,RawData[Price Per Unit],D2082,RawData[Total Spent],E2082,RawData[Payment Method],F2082,RawData[Location],G2082,RawData[Transaction Date],H2082)</f>
        <v>1</v>
      </c>
      <c r="L2082"/>
    </row>
    <row r="2083" spans="1:12" x14ac:dyDescent="0.3">
      <c r="A2083" t="s">
        <v>2089</v>
      </c>
      <c r="B2083" t="s">
        <v>10009</v>
      </c>
      <c r="C2083">
        <v>4</v>
      </c>
      <c r="D2083">
        <v>3</v>
      </c>
      <c r="E2083">
        <v>12</v>
      </c>
      <c r="F2083" t="s">
        <v>10103</v>
      </c>
      <c r="G2083" t="s">
        <v>10021</v>
      </c>
      <c r="H2083" s="6">
        <v>45124</v>
      </c>
      <c r="I2083">
        <f t="shared" si="64"/>
        <v>1</v>
      </c>
      <c r="J2083" t="str">
        <f t="shared" si="65"/>
        <v>Complete</v>
      </c>
      <c r="K2083">
        <f>COUNTIFS(RawData[Item], B2083,RawData[Quantity],C2083,RawData[Price Per Unit],D2083,RawData[Total Spent],E2083,RawData[Payment Method],F2083,RawData[Location],G2083,RawData[Transaction Date],H2083)</f>
        <v>1</v>
      </c>
      <c r="L2083"/>
    </row>
    <row r="2084" spans="1:12" x14ac:dyDescent="0.3">
      <c r="A2084" t="s">
        <v>2090</v>
      </c>
      <c r="B2084" t="s">
        <v>10008</v>
      </c>
      <c r="C2084">
        <v>5</v>
      </c>
      <c r="D2084">
        <v>2</v>
      </c>
      <c r="E2084">
        <v>10</v>
      </c>
      <c r="F2084" t="s">
        <v>10069</v>
      </c>
      <c r="G2084" t="s">
        <v>10021</v>
      </c>
      <c r="H2084" s="6">
        <v>45128</v>
      </c>
      <c r="I2084">
        <f t="shared" si="64"/>
        <v>0</v>
      </c>
      <c r="J2084" t="str">
        <f t="shared" si="65"/>
        <v>Complete</v>
      </c>
      <c r="K2084">
        <f>COUNTIFS(RawData[Item], B2084,RawData[Quantity],C2084,RawData[Price Per Unit],D2084,RawData[Total Spent],E2084,RawData[Payment Method],F2084,RawData[Location],G2084,RawData[Transaction Date],H2084)</f>
        <v>1</v>
      </c>
      <c r="L2084"/>
    </row>
    <row r="2085" spans="1:12" x14ac:dyDescent="0.3">
      <c r="A2085" t="s">
        <v>2091</v>
      </c>
      <c r="B2085" t="s">
        <v>10009</v>
      </c>
      <c r="C2085">
        <v>2</v>
      </c>
      <c r="D2085">
        <v>3</v>
      </c>
      <c r="E2085">
        <v>6</v>
      </c>
      <c r="F2085" t="s">
        <v>10069</v>
      </c>
      <c r="G2085" t="s">
        <v>10069</v>
      </c>
      <c r="H2085" s="6">
        <v>45148</v>
      </c>
      <c r="I2085">
        <f t="shared" si="64"/>
        <v>0</v>
      </c>
      <c r="J2085" t="str">
        <f t="shared" si="65"/>
        <v>Complete</v>
      </c>
      <c r="K2085">
        <f>COUNTIFS(RawData[Item], B2085,RawData[Quantity],C2085,RawData[Price Per Unit],D2085,RawData[Total Spent],E2085,RawData[Payment Method],F2085,RawData[Location],G2085,RawData[Transaction Date],H2085)</f>
        <v>1</v>
      </c>
      <c r="L2085"/>
    </row>
    <row r="2086" spans="1:12" x14ac:dyDescent="0.3">
      <c r="A2086" t="s">
        <v>2092</v>
      </c>
      <c r="B2086" t="s">
        <v>10014</v>
      </c>
      <c r="C2086">
        <v>1</v>
      </c>
      <c r="D2086">
        <v>4</v>
      </c>
      <c r="E2086">
        <v>4</v>
      </c>
      <c r="F2086" t="s">
        <v>10018</v>
      </c>
      <c r="G2086" t="s">
        <v>10069</v>
      </c>
      <c r="H2086" s="6">
        <v>45141</v>
      </c>
      <c r="I2086">
        <f t="shared" si="64"/>
        <v>0</v>
      </c>
      <c r="J2086" t="str">
        <f t="shared" si="65"/>
        <v>Complete</v>
      </c>
      <c r="K2086">
        <f>COUNTIFS(RawData[Item], B2086,RawData[Quantity],C2086,RawData[Price Per Unit],D2086,RawData[Total Spent],E2086,RawData[Payment Method],F2086,RawData[Location],G2086,RawData[Transaction Date],H2086)</f>
        <v>1</v>
      </c>
      <c r="L2086"/>
    </row>
    <row r="2087" spans="1:12" x14ac:dyDescent="0.3">
      <c r="A2087" t="s">
        <v>2093</v>
      </c>
      <c r="B2087" t="s">
        <v>10012</v>
      </c>
      <c r="C2087" t="s">
        <v>10015</v>
      </c>
      <c r="D2087">
        <v>4</v>
      </c>
      <c r="E2087">
        <v>4</v>
      </c>
      <c r="F2087" t="s">
        <v>10018</v>
      </c>
      <c r="G2087" t="s">
        <v>10069</v>
      </c>
      <c r="H2087" s="6">
        <v>45202</v>
      </c>
      <c r="I2087">
        <f t="shared" si="64"/>
        <v>1</v>
      </c>
      <c r="J2087" t="str">
        <f t="shared" si="65"/>
        <v>Complete</v>
      </c>
      <c r="K2087">
        <f>COUNTIFS(RawData[Item], B2087,RawData[Quantity],C2087,RawData[Price Per Unit],D2087,RawData[Total Spent],E2087,RawData[Payment Method],F2087,RawData[Location],G2087,RawData[Transaction Date],H2087)</f>
        <v>1</v>
      </c>
      <c r="L2087"/>
    </row>
    <row r="2088" spans="1:12" x14ac:dyDescent="0.3">
      <c r="A2088" t="s">
        <v>2094</v>
      </c>
      <c r="B2088" t="s">
        <v>10008</v>
      </c>
      <c r="C2088">
        <v>2</v>
      </c>
      <c r="D2088">
        <v>2</v>
      </c>
      <c r="E2088">
        <v>4</v>
      </c>
      <c r="F2088" t="s">
        <v>10020</v>
      </c>
      <c r="G2088" t="s">
        <v>10102</v>
      </c>
      <c r="H2088" s="6">
        <v>44970</v>
      </c>
      <c r="I2088">
        <f t="shared" si="64"/>
        <v>0</v>
      </c>
      <c r="J2088" t="str">
        <f t="shared" si="65"/>
        <v>Complete</v>
      </c>
      <c r="K2088">
        <f>COUNTIFS(RawData[Item], B2088,RawData[Quantity],C2088,RawData[Price Per Unit],D2088,RawData[Total Spent],E2088,RawData[Payment Method],F2088,RawData[Location],G2088,RawData[Transaction Date],H2088)</f>
        <v>1</v>
      </c>
      <c r="L2088"/>
    </row>
    <row r="2089" spans="1:12" x14ac:dyDescent="0.3">
      <c r="A2089" t="s">
        <v>2095</v>
      </c>
      <c r="B2089" t="s">
        <v>10012</v>
      </c>
      <c r="C2089">
        <v>2</v>
      </c>
      <c r="D2089">
        <v>4</v>
      </c>
      <c r="E2089">
        <v>8</v>
      </c>
      <c r="F2089" t="s">
        <v>10020</v>
      </c>
      <c r="G2089" t="s">
        <v>10021</v>
      </c>
      <c r="H2089" s="6" t="s">
        <v>10112</v>
      </c>
      <c r="I2089">
        <f t="shared" si="64"/>
        <v>1</v>
      </c>
      <c r="J2089" t="str">
        <f t="shared" si="65"/>
        <v>Incomplete</v>
      </c>
      <c r="K2089">
        <f>COUNTIFS(RawData[Item], B2089,RawData[Quantity],C2089,RawData[Price Per Unit],D2089,RawData[Total Spent],E2089,RawData[Payment Method],F2089,RawData[Location],G2089,RawData[Transaction Date],H2089)</f>
        <v>2</v>
      </c>
      <c r="L2089"/>
    </row>
    <row r="2090" spans="1:12" x14ac:dyDescent="0.3">
      <c r="A2090" t="s">
        <v>2096</v>
      </c>
      <c r="B2090" t="s">
        <v>10009</v>
      </c>
      <c r="C2090">
        <v>2</v>
      </c>
      <c r="D2090">
        <v>3</v>
      </c>
      <c r="E2090">
        <v>6</v>
      </c>
      <c r="F2090" t="s">
        <v>10019</v>
      </c>
      <c r="G2090" t="s">
        <v>10102</v>
      </c>
      <c r="H2090" s="6">
        <v>44987</v>
      </c>
      <c r="I2090">
        <f t="shared" si="64"/>
        <v>0</v>
      </c>
      <c r="J2090" t="str">
        <f t="shared" si="65"/>
        <v>Complete</v>
      </c>
      <c r="K2090">
        <f>COUNTIFS(RawData[Item], B2090,RawData[Quantity],C2090,RawData[Price Per Unit],D2090,RawData[Total Spent],E2090,RawData[Payment Method],F2090,RawData[Location],G2090,RawData[Transaction Date],H2090)</f>
        <v>1</v>
      </c>
      <c r="L2090"/>
    </row>
    <row r="2091" spans="1:12" x14ac:dyDescent="0.3">
      <c r="A2091" t="s">
        <v>2097</v>
      </c>
      <c r="B2091" t="s">
        <v>10014</v>
      </c>
      <c r="C2091" t="s">
        <v>10015</v>
      </c>
      <c r="D2091">
        <v>4</v>
      </c>
      <c r="E2091">
        <v>12</v>
      </c>
      <c r="F2091" t="s">
        <v>10019</v>
      </c>
      <c r="G2091" t="s">
        <v>10021</v>
      </c>
      <c r="H2091" s="6">
        <v>45022</v>
      </c>
      <c r="I2091">
        <f t="shared" si="64"/>
        <v>1</v>
      </c>
      <c r="J2091" t="str">
        <f t="shared" si="65"/>
        <v>Complete</v>
      </c>
      <c r="K2091">
        <f>COUNTIFS(RawData[Item], B2091,RawData[Quantity],C2091,RawData[Price Per Unit],D2091,RawData[Total Spent],E2091,RawData[Payment Method],F2091,RawData[Location],G2091,RawData[Transaction Date],H2091)</f>
        <v>1</v>
      </c>
      <c r="L2091"/>
    </row>
    <row r="2092" spans="1:12" x14ac:dyDescent="0.3">
      <c r="A2092" t="s">
        <v>2098</v>
      </c>
      <c r="B2092" t="s">
        <v>10010</v>
      </c>
      <c r="C2092">
        <v>2</v>
      </c>
      <c r="D2092">
        <v>0</v>
      </c>
      <c r="E2092">
        <v>2</v>
      </c>
      <c r="F2092" t="s">
        <v>10020</v>
      </c>
      <c r="G2092" t="s">
        <v>10021</v>
      </c>
      <c r="H2092" s="6">
        <v>45144</v>
      </c>
      <c r="I2092">
        <f t="shared" si="64"/>
        <v>0</v>
      </c>
      <c r="J2092" t="str">
        <f t="shared" si="65"/>
        <v>Complete</v>
      </c>
      <c r="K2092">
        <f>COUNTIFS(RawData[Item], B2092,RawData[Quantity],C2092,RawData[Price Per Unit],D2092,RawData[Total Spent],E2092,RawData[Payment Method],F2092,RawData[Location],G2092,RawData[Transaction Date],H2092)</f>
        <v>1</v>
      </c>
      <c r="L2092"/>
    </row>
    <row r="2093" spans="1:12" x14ac:dyDescent="0.3">
      <c r="A2093" t="s">
        <v>2099</v>
      </c>
      <c r="B2093" t="s">
        <v>10011</v>
      </c>
      <c r="C2093">
        <v>5</v>
      </c>
      <c r="D2093">
        <v>5</v>
      </c>
      <c r="E2093">
        <v>25</v>
      </c>
      <c r="F2093" t="s">
        <v>10069</v>
      </c>
      <c r="G2093" t="s">
        <v>10102</v>
      </c>
      <c r="H2093" s="6">
        <v>45206</v>
      </c>
      <c r="I2093">
        <f t="shared" si="64"/>
        <v>0</v>
      </c>
      <c r="J2093" t="str">
        <f t="shared" si="65"/>
        <v>Complete</v>
      </c>
      <c r="K2093">
        <f>COUNTIFS(RawData[Item], B2093,RawData[Quantity],C2093,RawData[Price Per Unit],D2093,RawData[Total Spent],E2093,RawData[Payment Method],F2093,RawData[Location],G2093,RawData[Transaction Date],H2093)</f>
        <v>1</v>
      </c>
      <c r="L2093"/>
    </row>
    <row r="2094" spans="1:12" x14ac:dyDescent="0.3">
      <c r="A2094" t="s">
        <v>2100</v>
      </c>
      <c r="B2094" t="s">
        <v>10016</v>
      </c>
      <c r="C2094" t="s">
        <v>10013</v>
      </c>
      <c r="D2094">
        <v>3</v>
      </c>
      <c r="E2094">
        <v>15</v>
      </c>
      <c r="F2094" t="s">
        <v>10020</v>
      </c>
      <c r="G2094" t="s">
        <v>10069</v>
      </c>
      <c r="H2094" s="6">
        <v>45142</v>
      </c>
      <c r="I2094">
        <f t="shared" si="64"/>
        <v>1</v>
      </c>
      <c r="J2094" t="str">
        <f t="shared" si="65"/>
        <v>Complete</v>
      </c>
      <c r="K2094">
        <f>COUNTIFS(RawData[Item], B2094,RawData[Quantity],C2094,RawData[Price Per Unit],D2094,RawData[Total Spent],E2094,RawData[Payment Method],F2094,RawData[Location],G2094,RawData[Transaction Date],H2094)</f>
        <v>1</v>
      </c>
      <c r="L2094"/>
    </row>
    <row r="2095" spans="1:12" x14ac:dyDescent="0.3">
      <c r="A2095" t="s">
        <v>2101</v>
      </c>
      <c r="B2095" t="s">
        <v>10016</v>
      </c>
      <c r="C2095">
        <v>1</v>
      </c>
      <c r="D2095">
        <v>3</v>
      </c>
      <c r="E2095">
        <v>3</v>
      </c>
      <c r="F2095" t="s">
        <v>10069</v>
      </c>
      <c r="G2095" t="s">
        <v>10069</v>
      </c>
      <c r="H2095" s="6">
        <v>45136</v>
      </c>
      <c r="I2095">
        <f t="shared" si="64"/>
        <v>0</v>
      </c>
      <c r="J2095" t="str">
        <f t="shared" si="65"/>
        <v>Complete</v>
      </c>
      <c r="K2095">
        <f>COUNTIFS(RawData[Item], B2095,RawData[Quantity],C2095,RawData[Price Per Unit],D2095,RawData[Total Spent],E2095,RawData[Payment Method],F2095,RawData[Location],G2095,RawData[Transaction Date],H2095)</f>
        <v>1</v>
      </c>
      <c r="L2095"/>
    </row>
    <row r="2096" spans="1:12" x14ac:dyDescent="0.3">
      <c r="A2096" t="s">
        <v>2102</v>
      </c>
      <c r="B2096" t="s">
        <v>10014</v>
      </c>
      <c r="C2096">
        <v>2</v>
      </c>
      <c r="D2096">
        <v>4</v>
      </c>
      <c r="E2096">
        <v>8</v>
      </c>
      <c r="F2096" t="s">
        <v>10020</v>
      </c>
      <c r="G2096" t="s">
        <v>10069</v>
      </c>
      <c r="H2096" s="6">
        <v>45103</v>
      </c>
      <c r="I2096">
        <f t="shared" si="64"/>
        <v>0</v>
      </c>
      <c r="J2096" t="str">
        <f t="shared" si="65"/>
        <v>Complete</v>
      </c>
      <c r="K2096">
        <f>COUNTIFS(RawData[Item], B2096,RawData[Quantity],C2096,RawData[Price Per Unit],D2096,RawData[Total Spent],E2096,RawData[Payment Method],F2096,RawData[Location],G2096,RawData[Transaction Date],H2096)</f>
        <v>1</v>
      </c>
      <c r="L2096"/>
    </row>
    <row r="2097" spans="1:12" x14ac:dyDescent="0.3">
      <c r="A2097" t="s">
        <v>2103</v>
      </c>
      <c r="B2097" t="s">
        <v>10010</v>
      </c>
      <c r="C2097">
        <v>1</v>
      </c>
      <c r="D2097">
        <v>1</v>
      </c>
      <c r="E2097">
        <v>1</v>
      </c>
      <c r="F2097" t="s">
        <v>10019</v>
      </c>
      <c r="G2097" t="s">
        <v>10069</v>
      </c>
      <c r="H2097" s="6">
        <v>45116</v>
      </c>
      <c r="I2097">
        <f t="shared" si="64"/>
        <v>0</v>
      </c>
      <c r="J2097" t="str">
        <f t="shared" si="65"/>
        <v>Complete</v>
      </c>
      <c r="K2097">
        <f>COUNTIFS(RawData[Item], B2097,RawData[Quantity],C2097,RawData[Price Per Unit],D2097,RawData[Total Spent],E2097,RawData[Payment Method],F2097,RawData[Location],G2097,RawData[Transaction Date],H2097)</f>
        <v>1</v>
      </c>
      <c r="L2097"/>
    </row>
    <row r="2098" spans="1:12" x14ac:dyDescent="0.3">
      <c r="A2098" t="s">
        <v>2104</v>
      </c>
      <c r="B2098" t="s">
        <v>10014</v>
      </c>
      <c r="C2098">
        <v>3</v>
      </c>
      <c r="D2098">
        <v>4</v>
      </c>
      <c r="E2098">
        <v>12</v>
      </c>
      <c r="F2098" t="s">
        <v>10018</v>
      </c>
      <c r="G2098" t="s">
        <v>10102</v>
      </c>
      <c r="H2098" s="6">
        <v>45029</v>
      </c>
      <c r="I2098">
        <f t="shared" si="64"/>
        <v>0</v>
      </c>
      <c r="J2098" t="str">
        <f t="shared" si="65"/>
        <v>Complete</v>
      </c>
      <c r="K2098">
        <f>COUNTIFS(RawData[Item], B2098,RawData[Quantity],C2098,RawData[Price Per Unit],D2098,RawData[Total Spent],E2098,RawData[Payment Method],F2098,RawData[Location],G2098,RawData[Transaction Date],H2098)</f>
        <v>1</v>
      </c>
      <c r="L2098"/>
    </row>
    <row r="2099" spans="1:12" x14ac:dyDescent="0.3">
      <c r="A2099" t="s">
        <v>2105</v>
      </c>
      <c r="B2099" t="s">
        <v>10010</v>
      </c>
      <c r="C2099">
        <v>2</v>
      </c>
      <c r="D2099">
        <v>1</v>
      </c>
      <c r="E2099">
        <v>2</v>
      </c>
      <c r="F2099" t="s">
        <v>10069</v>
      </c>
      <c r="G2099" t="s">
        <v>10021</v>
      </c>
      <c r="H2099" s="6">
        <v>45170</v>
      </c>
      <c r="I2099">
        <f t="shared" si="64"/>
        <v>0</v>
      </c>
      <c r="J2099" t="str">
        <f t="shared" si="65"/>
        <v>Complete</v>
      </c>
      <c r="K2099">
        <f>COUNTIFS(RawData[Item], B2099,RawData[Quantity],C2099,RawData[Price Per Unit],D2099,RawData[Total Spent],E2099,RawData[Payment Method],F2099,RawData[Location],G2099,RawData[Transaction Date],H2099)</f>
        <v>1</v>
      </c>
      <c r="L2099"/>
    </row>
    <row r="2100" spans="1:12" x14ac:dyDescent="0.3">
      <c r="A2100" t="s">
        <v>2106</v>
      </c>
      <c r="B2100" t="s">
        <v>10012</v>
      </c>
      <c r="C2100">
        <v>3</v>
      </c>
      <c r="D2100">
        <v>4</v>
      </c>
      <c r="E2100">
        <v>12</v>
      </c>
      <c r="F2100" t="s">
        <v>10018</v>
      </c>
      <c r="G2100" t="s">
        <v>10102</v>
      </c>
      <c r="H2100" s="6">
        <v>45236</v>
      </c>
      <c r="I2100">
        <f t="shared" si="64"/>
        <v>0</v>
      </c>
      <c r="J2100" t="str">
        <f t="shared" si="65"/>
        <v>Complete</v>
      </c>
      <c r="K2100">
        <f>COUNTIFS(RawData[Item], B2100,RawData[Quantity],C2100,RawData[Price Per Unit],D2100,RawData[Total Spent],E2100,RawData[Payment Method],F2100,RawData[Location],G2100,RawData[Transaction Date],H2100)</f>
        <v>1</v>
      </c>
      <c r="L2100"/>
    </row>
    <row r="2101" spans="1:12" x14ac:dyDescent="0.3">
      <c r="A2101" t="s">
        <v>2107</v>
      </c>
      <c r="B2101" t="s">
        <v>10016</v>
      </c>
      <c r="C2101">
        <v>3</v>
      </c>
      <c r="D2101">
        <v>3</v>
      </c>
      <c r="E2101">
        <v>9</v>
      </c>
      <c r="F2101" t="s">
        <v>10069</v>
      </c>
      <c r="G2101" t="s">
        <v>10021</v>
      </c>
      <c r="H2101" s="6">
        <v>45252</v>
      </c>
      <c r="I2101">
        <f t="shared" si="64"/>
        <v>0</v>
      </c>
      <c r="J2101" t="str">
        <f t="shared" si="65"/>
        <v>Complete</v>
      </c>
      <c r="K2101">
        <f>COUNTIFS(RawData[Item], B2101,RawData[Quantity],C2101,RawData[Price Per Unit],D2101,RawData[Total Spent],E2101,RawData[Payment Method],F2101,RawData[Location],G2101,RawData[Transaction Date],H2101)</f>
        <v>1</v>
      </c>
      <c r="L2101"/>
    </row>
    <row r="2102" spans="1:12" x14ac:dyDescent="0.3">
      <c r="A2102" t="s">
        <v>2108</v>
      </c>
      <c r="B2102" t="s">
        <v>10014</v>
      </c>
      <c r="C2102">
        <v>5</v>
      </c>
      <c r="D2102">
        <v>4</v>
      </c>
      <c r="E2102">
        <v>20</v>
      </c>
      <c r="F2102" t="s">
        <v>10020</v>
      </c>
      <c r="G2102" t="s">
        <v>10021</v>
      </c>
      <c r="H2102" s="6">
        <v>44990</v>
      </c>
      <c r="I2102">
        <f t="shared" si="64"/>
        <v>0</v>
      </c>
      <c r="J2102" t="str">
        <f t="shared" si="65"/>
        <v>Complete</v>
      </c>
      <c r="K2102">
        <f>COUNTIFS(RawData[Item], B2102,RawData[Quantity],C2102,RawData[Price Per Unit],D2102,RawData[Total Spent],E2102,RawData[Payment Method],F2102,RawData[Location],G2102,RawData[Transaction Date],H2102)</f>
        <v>1</v>
      </c>
      <c r="L2102"/>
    </row>
    <row r="2103" spans="1:12" x14ac:dyDescent="0.3">
      <c r="A2103" t="s">
        <v>2109</v>
      </c>
      <c r="B2103" t="s">
        <v>10009</v>
      </c>
      <c r="C2103">
        <v>3</v>
      </c>
      <c r="D2103">
        <v>3</v>
      </c>
      <c r="E2103">
        <v>9</v>
      </c>
      <c r="F2103" t="s">
        <v>10069</v>
      </c>
      <c r="G2103" t="s">
        <v>10021</v>
      </c>
      <c r="H2103" s="6">
        <v>45183</v>
      </c>
      <c r="I2103">
        <f t="shared" si="64"/>
        <v>0</v>
      </c>
      <c r="J2103" t="str">
        <f t="shared" si="65"/>
        <v>Complete</v>
      </c>
      <c r="K2103">
        <f>COUNTIFS(RawData[Item], B2103,RawData[Quantity],C2103,RawData[Price Per Unit],D2103,RawData[Total Spent],E2103,RawData[Payment Method],F2103,RawData[Location],G2103,RawData[Transaction Date],H2103)</f>
        <v>1</v>
      </c>
      <c r="L2103"/>
    </row>
    <row r="2104" spans="1:12" x14ac:dyDescent="0.3">
      <c r="A2104" t="s">
        <v>2110</v>
      </c>
      <c r="B2104" t="s">
        <v>10012</v>
      </c>
      <c r="C2104">
        <v>3</v>
      </c>
      <c r="D2104">
        <v>4</v>
      </c>
      <c r="E2104">
        <v>12</v>
      </c>
      <c r="F2104" t="s">
        <v>10103</v>
      </c>
      <c r="G2104" t="s">
        <v>10102</v>
      </c>
      <c r="H2104" s="6">
        <v>45207</v>
      </c>
      <c r="I2104">
        <f t="shared" si="64"/>
        <v>1</v>
      </c>
      <c r="J2104" t="str">
        <f t="shared" si="65"/>
        <v>Complete</v>
      </c>
      <c r="K2104">
        <f>COUNTIFS(RawData[Item], B2104,RawData[Quantity],C2104,RawData[Price Per Unit],D2104,RawData[Total Spent],E2104,RawData[Payment Method],F2104,RawData[Location],G2104,RawData[Transaction Date],H2104)</f>
        <v>1</v>
      </c>
      <c r="L2104"/>
    </row>
    <row r="2105" spans="1:12" x14ac:dyDescent="0.3">
      <c r="A2105" t="s">
        <v>2111</v>
      </c>
      <c r="B2105" t="s">
        <v>10010</v>
      </c>
      <c r="C2105">
        <v>4</v>
      </c>
      <c r="D2105">
        <v>1</v>
      </c>
      <c r="E2105">
        <v>4</v>
      </c>
      <c r="F2105" t="s">
        <v>10069</v>
      </c>
      <c r="G2105" t="s">
        <v>10021</v>
      </c>
      <c r="H2105" s="6">
        <v>45211</v>
      </c>
      <c r="I2105">
        <f t="shared" si="64"/>
        <v>0</v>
      </c>
      <c r="J2105" t="str">
        <f t="shared" si="65"/>
        <v>Complete</v>
      </c>
      <c r="K2105">
        <f>COUNTIFS(RawData[Item], B2105,RawData[Quantity],C2105,RawData[Price Per Unit],D2105,RawData[Total Spent],E2105,RawData[Payment Method],F2105,RawData[Location],G2105,RawData[Transaction Date],H2105)</f>
        <v>1</v>
      </c>
      <c r="L2105"/>
    </row>
    <row r="2106" spans="1:12" x14ac:dyDescent="0.3">
      <c r="A2106" t="s">
        <v>2112</v>
      </c>
      <c r="B2106" t="s">
        <v>10012</v>
      </c>
      <c r="C2106">
        <v>3</v>
      </c>
      <c r="D2106">
        <v>4</v>
      </c>
      <c r="E2106">
        <v>12</v>
      </c>
      <c r="F2106" t="s">
        <v>10069</v>
      </c>
      <c r="G2106" t="s">
        <v>10104</v>
      </c>
      <c r="H2106" s="6">
        <v>45122</v>
      </c>
      <c r="I2106">
        <f t="shared" si="64"/>
        <v>1</v>
      </c>
      <c r="J2106" t="str">
        <f t="shared" si="65"/>
        <v>Complete</v>
      </c>
      <c r="K2106">
        <f>COUNTIFS(RawData[Item], B2106,RawData[Quantity],C2106,RawData[Price Per Unit],D2106,RawData[Total Spent],E2106,RawData[Payment Method],F2106,RawData[Location],G2106,RawData[Transaction Date],H2106)</f>
        <v>1</v>
      </c>
      <c r="L2106"/>
    </row>
    <row r="2107" spans="1:12" x14ac:dyDescent="0.3">
      <c r="A2107" t="s">
        <v>2113</v>
      </c>
      <c r="B2107" t="s">
        <v>10016</v>
      </c>
      <c r="C2107">
        <v>5</v>
      </c>
      <c r="D2107">
        <v>3</v>
      </c>
      <c r="E2107">
        <v>15</v>
      </c>
      <c r="F2107" t="s">
        <v>10069</v>
      </c>
      <c r="G2107" t="s">
        <v>10104</v>
      </c>
      <c r="H2107" s="6">
        <v>44934</v>
      </c>
      <c r="I2107">
        <f t="shared" si="64"/>
        <v>1</v>
      </c>
      <c r="J2107" t="str">
        <f t="shared" si="65"/>
        <v>Complete</v>
      </c>
      <c r="K2107">
        <f>COUNTIFS(RawData[Item], B2107,RawData[Quantity],C2107,RawData[Price Per Unit],D2107,RawData[Total Spent],E2107,RawData[Payment Method],F2107,RawData[Location],G2107,RawData[Transaction Date],H2107)</f>
        <v>1</v>
      </c>
      <c r="L2107"/>
    </row>
    <row r="2108" spans="1:12" x14ac:dyDescent="0.3">
      <c r="A2108" t="s">
        <v>2114</v>
      </c>
      <c r="B2108" t="s">
        <v>10017</v>
      </c>
      <c r="C2108">
        <v>3</v>
      </c>
      <c r="D2108">
        <v>1.5</v>
      </c>
      <c r="E2108">
        <v>0</v>
      </c>
      <c r="F2108" t="s">
        <v>10020</v>
      </c>
      <c r="G2108" t="s">
        <v>10021</v>
      </c>
      <c r="H2108" s="6" t="s">
        <v>10112</v>
      </c>
      <c r="I2108">
        <f t="shared" si="64"/>
        <v>1</v>
      </c>
      <c r="J2108" t="str">
        <f t="shared" si="65"/>
        <v>Incomplete</v>
      </c>
      <c r="K2108">
        <f>COUNTIFS(RawData[Item], B2108,RawData[Quantity],C2108,RawData[Price Per Unit],D2108,RawData[Total Spent],E2108,RawData[Payment Method],F2108,RawData[Location],G2108,RawData[Transaction Date],H2108)</f>
        <v>1</v>
      </c>
      <c r="L2108"/>
    </row>
    <row r="2109" spans="1:12" x14ac:dyDescent="0.3">
      <c r="A2109" t="s">
        <v>2115</v>
      </c>
      <c r="B2109" t="s">
        <v>10069</v>
      </c>
      <c r="C2109">
        <v>5</v>
      </c>
      <c r="D2109">
        <v>3</v>
      </c>
      <c r="E2109">
        <v>15</v>
      </c>
      <c r="F2109" t="s">
        <v>10020</v>
      </c>
      <c r="G2109" t="s">
        <v>10021</v>
      </c>
      <c r="H2109" s="6">
        <v>45040</v>
      </c>
      <c r="I2109">
        <f t="shared" si="64"/>
        <v>0</v>
      </c>
      <c r="J2109" t="str">
        <f t="shared" si="65"/>
        <v>Complete</v>
      </c>
      <c r="K2109">
        <f>COUNTIFS(RawData[Item], B2109,RawData[Quantity],C2109,RawData[Price Per Unit],D2109,RawData[Total Spent],E2109,RawData[Payment Method],F2109,RawData[Location],G2109,RawData[Transaction Date],H2109)</f>
        <v>1</v>
      </c>
      <c r="L2109"/>
    </row>
    <row r="2110" spans="1:12" x14ac:dyDescent="0.3">
      <c r="A2110" t="s">
        <v>2116</v>
      </c>
      <c r="B2110" t="s">
        <v>10008</v>
      </c>
      <c r="C2110">
        <v>5</v>
      </c>
      <c r="D2110">
        <v>2</v>
      </c>
      <c r="E2110">
        <v>10</v>
      </c>
      <c r="F2110" t="s">
        <v>10020</v>
      </c>
      <c r="G2110" t="s">
        <v>10069</v>
      </c>
      <c r="H2110" s="6">
        <v>45287</v>
      </c>
      <c r="I2110">
        <f t="shared" si="64"/>
        <v>0</v>
      </c>
      <c r="J2110" t="str">
        <f t="shared" si="65"/>
        <v>Complete</v>
      </c>
      <c r="K2110">
        <f>COUNTIFS(RawData[Item], B2110,RawData[Quantity],C2110,RawData[Price Per Unit],D2110,RawData[Total Spent],E2110,RawData[Payment Method],F2110,RawData[Location],G2110,RawData[Transaction Date],H2110)</f>
        <v>1</v>
      </c>
      <c r="L2110"/>
    </row>
    <row r="2111" spans="1:12" x14ac:dyDescent="0.3">
      <c r="A2111" t="s">
        <v>2117</v>
      </c>
      <c r="B2111" t="s">
        <v>10013</v>
      </c>
      <c r="C2111">
        <v>2</v>
      </c>
      <c r="D2111">
        <v>1</v>
      </c>
      <c r="E2111">
        <v>2</v>
      </c>
      <c r="F2111" t="s">
        <v>10020</v>
      </c>
      <c r="G2111" t="s">
        <v>10021</v>
      </c>
      <c r="H2111" s="6">
        <v>45220</v>
      </c>
      <c r="I2111">
        <f t="shared" si="64"/>
        <v>1</v>
      </c>
      <c r="J2111" t="str">
        <f t="shared" si="65"/>
        <v>Complete</v>
      </c>
      <c r="K2111">
        <f>COUNTIFS(RawData[Item], B2111,RawData[Quantity],C2111,RawData[Price Per Unit],D2111,RawData[Total Spent],E2111,RawData[Payment Method],F2111,RawData[Location],G2111,RawData[Transaction Date],H2111)</f>
        <v>1</v>
      </c>
      <c r="L2111"/>
    </row>
    <row r="2112" spans="1:12" x14ac:dyDescent="0.3">
      <c r="A2112" t="s">
        <v>2118</v>
      </c>
      <c r="B2112" t="s">
        <v>10009</v>
      </c>
      <c r="C2112">
        <v>1</v>
      </c>
      <c r="D2112">
        <v>3</v>
      </c>
      <c r="E2112">
        <v>3</v>
      </c>
      <c r="F2112" t="s">
        <v>10020</v>
      </c>
      <c r="G2112" t="s">
        <v>10069</v>
      </c>
      <c r="H2112" s="6">
        <v>45005</v>
      </c>
      <c r="I2112">
        <f t="shared" si="64"/>
        <v>0</v>
      </c>
      <c r="J2112" t="str">
        <f t="shared" si="65"/>
        <v>Complete</v>
      </c>
      <c r="K2112">
        <f>COUNTIFS(RawData[Item], B2112,RawData[Quantity],C2112,RawData[Price Per Unit],D2112,RawData[Total Spent],E2112,RawData[Payment Method],F2112,RawData[Location],G2112,RawData[Transaction Date],H2112)</f>
        <v>1</v>
      </c>
      <c r="L2112"/>
    </row>
    <row r="2113" spans="1:12" x14ac:dyDescent="0.3">
      <c r="A2113" t="s">
        <v>2119</v>
      </c>
      <c r="B2113" t="s">
        <v>10008</v>
      </c>
      <c r="C2113">
        <v>0</v>
      </c>
      <c r="D2113">
        <v>2</v>
      </c>
      <c r="E2113">
        <v>4</v>
      </c>
      <c r="F2113" t="s">
        <v>10069</v>
      </c>
      <c r="G2113" t="s">
        <v>10069</v>
      </c>
      <c r="H2113" s="6">
        <v>45255</v>
      </c>
      <c r="I2113">
        <f t="shared" si="64"/>
        <v>0</v>
      </c>
      <c r="J2113" t="str">
        <f t="shared" si="65"/>
        <v>Complete</v>
      </c>
      <c r="K2113">
        <f>COUNTIFS(RawData[Item], B2113,RawData[Quantity],C2113,RawData[Price Per Unit],D2113,RawData[Total Spent],E2113,RawData[Payment Method],F2113,RawData[Location],G2113,RawData[Transaction Date],H2113)</f>
        <v>1</v>
      </c>
      <c r="L2113"/>
    </row>
    <row r="2114" spans="1:12" x14ac:dyDescent="0.3">
      <c r="A2114" t="s">
        <v>2120</v>
      </c>
      <c r="B2114" t="s">
        <v>10015</v>
      </c>
      <c r="C2114">
        <v>4</v>
      </c>
      <c r="D2114">
        <v>2</v>
      </c>
      <c r="E2114">
        <v>8</v>
      </c>
      <c r="F2114" t="s">
        <v>10069</v>
      </c>
      <c r="G2114" t="s">
        <v>10102</v>
      </c>
      <c r="H2114" s="6">
        <v>44950</v>
      </c>
      <c r="I2114">
        <f t="shared" ref="I2114:I2177" si="66">(B2114="Unknown")+(B2114="Error")+(C2114="Unknown")+(C2114="Error")+(D2114="Unknown")+(D2114="Error")+(E2114="Unknown")+(E2114="Error")+(F2114="Unknown")+(F2114="Error")+(G2114="Unknown")+(G2114="Error")+(H2114="No Date")</f>
        <v>1</v>
      </c>
      <c r="J2114" t="str">
        <f t="shared" ref="J2114:J2177" si="67">IF((H2114="No Date"),"Incomplete","Complete")</f>
        <v>Complete</v>
      </c>
      <c r="K2114">
        <f>COUNTIFS(RawData[Item], B2114,RawData[Quantity],C2114,RawData[Price Per Unit],D2114,RawData[Total Spent],E2114,RawData[Payment Method],F2114,RawData[Location],G2114,RawData[Transaction Date],H2114)</f>
        <v>1</v>
      </c>
      <c r="L2114"/>
    </row>
    <row r="2115" spans="1:12" x14ac:dyDescent="0.3">
      <c r="A2115" t="s">
        <v>2121</v>
      </c>
      <c r="B2115" t="s">
        <v>10011</v>
      </c>
      <c r="C2115">
        <v>2</v>
      </c>
      <c r="D2115">
        <v>5</v>
      </c>
      <c r="E2115">
        <v>10</v>
      </c>
      <c r="F2115" t="s">
        <v>10019</v>
      </c>
      <c r="G2115" t="s">
        <v>10069</v>
      </c>
      <c r="H2115" s="6">
        <v>45022</v>
      </c>
      <c r="I2115">
        <f t="shared" si="66"/>
        <v>0</v>
      </c>
      <c r="J2115" t="str">
        <f t="shared" si="67"/>
        <v>Complete</v>
      </c>
      <c r="K2115">
        <f>COUNTIFS(RawData[Item], B2115,RawData[Quantity],C2115,RawData[Price Per Unit],D2115,RawData[Total Spent],E2115,RawData[Payment Method],F2115,RawData[Location],G2115,RawData[Transaction Date],H2115)</f>
        <v>1</v>
      </c>
      <c r="L2115"/>
    </row>
    <row r="2116" spans="1:12" x14ac:dyDescent="0.3">
      <c r="A2116" t="s">
        <v>2122</v>
      </c>
      <c r="B2116" t="s">
        <v>10016</v>
      </c>
      <c r="C2116">
        <v>4</v>
      </c>
      <c r="D2116">
        <v>3</v>
      </c>
      <c r="E2116">
        <v>12</v>
      </c>
      <c r="F2116" t="s">
        <v>10019</v>
      </c>
      <c r="G2116" t="s">
        <v>10069</v>
      </c>
      <c r="H2116" s="6">
        <v>45064</v>
      </c>
      <c r="I2116">
        <f t="shared" si="66"/>
        <v>0</v>
      </c>
      <c r="J2116" t="str">
        <f t="shared" si="67"/>
        <v>Complete</v>
      </c>
      <c r="K2116">
        <f>COUNTIFS(RawData[Item], B2116,RawData[Quantity],C2116,RawData[Price Per Unit],D2116,RawData[Total Spent],E2116,RawData[Payment Method],F2116,RawData[Location],G2116,RawData[Transaction Date],H2116)</f>
        <v>1</v>
      </c>
      <c r="L2116"/>
    </row>
    <row r="2117" spans="1:12" x14ac:dyDescent="0.3">
      <c r="A2117" t="s">
        <v>2123</v>
      </c>
      <c r="B2117" t="s">
        <v>10008</v>
      </c>
      <c r="C2117">
        <v>5</v>
      </c>
      <c r="D2117">
        <v>2</v>
      </c>
      <c r="E2117">
        <v>10</v>
      </c>
      <c r="F2117" t="s">
        <v>10020</v>
      </c>
      <c r="G2117" t="s">
        <v>10021</v>
      </c>
      <c r="H2117" s="6">
        <v>45074</v>
      </c>
      <c r="I2117">
        <f t="shared" si="66"/>
        <v>0</v>
      </c>
      <c r="J2117" t="str">
        <f t="shared" si="67"/>
        <v>Complete</v>
      </c>
      <c r="K2117">
        <f>COUNTIFS(RawData[Item], B2117,RawData[Quantity],C2117,RawData[Price Per Unit],D2117,RawData[Total Spent],E2117,RawData[Payment Method],F2117,RawData[Location],G2117,RawData[Transaction Date],H2117)</f>
        <v>1</v>
      </c>
      <c r="L2117"/>
    </row>
    <row r="2118" spans="1:12" x14ac:dyDescent="0.3">
      <c r="A2118" t="s">
        <v>2124</v>
      </c>
      <c r="B2118" t="s">
        <v>10009</v>
      </c>
      <c r="C2118">
        <v>3</v>
      </c>
      <c r="D2118" t="s">
        <v>10013</v>
      </c>
      <c r="E2118">
        <v>9</v>
      </c>
      <c r="F2118" t="s">
        <v>10018</v>
      </c>
      <c r="G2118" t="s">
        <v>10069</v>
      </c>
      <c r="H2118" s="6">
        <v>45051</v>
      </c>
      <c r="I2118">
        <f t="shared" si="66"/>
        <v>1</v>
      </c>
      <c r="J2118" t="str">
        <f t="shared" si="67"/>
        <v>Complete</v>
      </c>
      <c r="K2118">
        <f>COUNTIFS(RawData[Item], B2118,RawData[Quantity],C2118,RawData[Price Per Unit],D2118,RawData[Total Spent],E2118,RawData[Payment Method],F2118,RawData[Location],G2118,RawData[Transaction Date],H2118)</f>
        <v>1</v>
      </c>
      <c r="L2118"/>
    </row>
    <row r="2119" spans="1:12" x14ac:dyDescent="0.3">
      <c r="A2119" t="s">
        <v>2125</v>
      </c>
      <c r="B2119" t="s">
        <v>10011</v>
      </c>
      <c r="C2119">
        <v>3</v>
      </c>
      <c r="D2119">
        <v>5</v>
      </c>
      <c r="E2119">
        <v>15</v>
      </c>
      <c r="F2119" t="s">
        <v>10019</v>
      </c>
      <c r="G2119" t="s">
        <v>10102</v>
      </c>
      <c r="H2119" s="6">
        <v>45170</v>
      </c>
      <c r="I2119">
        <f t="shared" si="66"/>
        <v>0</v>
      </c>
      <c r="J2119" t="str">
        <f t="shared" si="67"/>
        <v>Complete</v>
      </c>
      <c r="K2119">
        <f>COUNTIFS(RawData[Item], B2119,RawData[Quantity],C2119,RawData[Price Per Unit],D2119,RawData[Total Spent],E2119,RawData[Payment Method],F2119,RawData[Location],G2119,RawData[Transaction Date],H2119)</f>
        <v>1</v>
      </c>
      <c r="L2119"/>
    </row>
    <row r="2120" spans="1:12" x14ac:dyDescent="0.3">
      <c r="A2120" t="s">
        <v>2126</v>
      </c>
      <c r="B2120" t="s">
        <v>10009</v>
      </c>
      <c r="C2120">
        <v>2</v>
      </c>
      <c r="D2120">
        <v>3</v>
      </c>
      <c r="E2120">
        <v>6</v>
      </c>
      <c r="F2120" t="s">
        <v>10019</v>
      </c>
      <c r="G2120" t="s">
        <v>10104</v>
      </c>
      <c r="H2120" s="6">
        <v>45221</v>
      </c>
      <c r="I2120">
        <f t="shared" si="66"/>
        <v>1</v>
      </c>
      <c r="J2120" t="str">
        <f t="shared" si="67"/>
        <v>Complete</v>
      </c>
      <c r="K2120">
        <f>COUNTIFS(RawData[Item], B2120,RawData[Quantity],C2120,RawData[Price Per Unit],D2120,RawData[Total Spent],E2120,RawData[Payment Method],F2120,RawData[Location],G2120,RawData[Transaction Date],H2120)</f>
        <v>1</v>
      </c>
      <c r="L2120"/>
    </row>
    <row r="2121" spans="1:12" x14ac:dyDescent="0.3">
      <c r="A2121" t="s">
        <v>2127</v>
      </c>
      <c r="B2121" t="s">
        <v>10009</v>
      </c>
      <c r="C2121">
        <v>1</v>
      </c>
      <c r="D2121">
        <v>3</v>
      </c>
      <c r="E2121">
        <v>3</v>
      </c>
      <c r="F2121" t="s">
        <v>10069</v>
      </c>
      <c r="G2121" t="s">
        <v>10102</v>
      </c>
      <c r="H2121" s="6">
        <v>45175</v>
      </c>
      <c r="I2121">
        <f t="shared" si="66"/>
        <v>0</v>
      </c>
      <c r="J2121" t="str">
        <f t="shared" si="67"/>
        <v>Complete</v>
      </c>
      <c r="K2121">
        <f>COUNTIFS(RawData[Item], B2121,RawData[Quantity],C2121,RawData[Price Per Unit],D2121,RawData[Total Spent],E2121,RawData[Payment Method],F2121,RawData[Location],G2121,RawData[Transaction Date],H2121)</f>
        <v>1</v>
      </c>
      <c r="L2121"/>
    </row>
    <row r="2122" spans="1:12" x14ac:dyDescent="0.3">
      <c r="A2122" t="s">
        <v>2128</v>
      </c>
      <c r="B2122" t="s">
        <v>10012</v>
      </c>
      <c r="C2122">
        <v>2</v>
      </c>
      <c r="D2122">
        <v>4</v>
      </c>
      <c r="E2122">
        <v>8</v>
      </c>
      <c r="F2122" t="s">
        <v>10104</v>
      </c>
      <c r="G2122" t="s">
        <v>10103</v>
      </c>
      <c r="H2122" s="6">
        <v>45009</v>
      </c>
      <c r="I2122">
        <f t="shared" si="66"/>
        <v>2</v>
      </c>
      <c r="J2122" t="str">
        <f t="shared" si="67"/>
        <v>Complete</v>
      </c>
      <c r="K2122">
        <f>COUNTIFS(RawData[Item], B2122,RawData[Quantity],C2122,RawData[Price Per Unit],D2122,RawData[Total Spent],E2122,RawData[Payment Method],F2122,RawData[Location],G2122,RawData[Transaction Date],H2122)</f>
        <v>1</v>
      </c>
      <c r="L2122"/>
    </row>
    <row r="2123" spans="1:12" x14ac:dyDescent="0.3">
      <c r="A2123" t="s">
        <v>2129</v>
      </c>
      <c r="B2123" t="s">
        <v>10014</v>
      </c>
      <c r="C2123">
        <v>1</v>
      </c>
      <c r="D2123">
        <v>4</v>
      </c>
      <c r="E2123">
        <v>4</v>
      </c>
      <c r="F2123" t="s">
        <v>10019</v>
      </c>
      <c r="G2123" t="s">
        <v>10021</v>
      </c>
      <c r="H2123" s="6" t="s">
        <v>10112</v>
      </c>
      <c r="I2123">
        <f t="shared" si="66"/>
        <v>1</v>
      </c>
      <c r="J2123" t="str">
        <f t="shared" si="67"/>
        <v>Incomplete</v>
      </c>
      <c r="K2123">
        <f>COUNTIFS(RawData[Item], B2123,RawData[Quantity],C2123,RawData[Price Per Unit],D2123,RawData[Total Spent],E2123,RawData[Payment Method],F2123,RawData[Location],G2123,RawData[Transaction Date],H2123)</f>
        <v>2</v>
      </c>
      <c r="L2123"/>
    </row>
    <row r="2124" spans="1:12" x14ac:dyDescent="0.3">
      <c r="A2124" t="s">
        <v>2130</v>
      </c>
      <c r="B2124" t="s">
        <v>10017</v>
      </c>
      <c r="C2124">
        <v>2</v>
      </c>
      <c r="D2124">
        <v>1.5</v>
      </c>
      <c r="E2124">
        <v>3</v>
      </c>
      <c r="F2124" t="s">
        <v>10018</v>
      </c>
      <c r="G2124" t="s">
        <v>10021</v>
      </c>
      <c r="H2124" s="6">
        <v>45151</v>
      </c>
      <c r="I2124">
        <f t="shared" si="66"/>
        <v>0</v>
      </c>
      <c r="J2124" t="str">
        <f t="shared" si="67"/>
        <v>Complete</v>
      </c>
      <c r="K2124">
        <f>COUNTIFS(RawData[Item], B2124,RawData[Quantity],C2124,RawData[Price Per Unit],D2124,RawData[Total Spent],E2124,RawData[Payment Method],F2124,RawData[Location],G2124,RawData[Transaction Date],H2124)</f>
        <v>1</v>
      </c>
      <c r="L2124"/>
    </row>
    <row r="2125" spans="1:12" x14ac:dyDescent="0.3">
      <c r="A2125" t="s">
        <v>2131</v>
      </c>
      <c r="B2125" t="s">
        <v>10016</v>
      </c>
      <c r="C2125">
        <v>2</v>
      </c>
      <c r="D2125" t="s">
        <v>10013</v>
      </c>
      <c r="E2125">
        <v>6</v>
      </c>
      <c r="F2125" t="s">
        <v>10018</v>
      </c>
      <c r="G2125" t="s">
        <v>10021</v>
      </c>
      <c r="H2125" s="6">
        <v>45212</v>
      </c>
      <c r="I2125">
        <f t="shared" si="66"/>
        <v>1</v>
      </c>
      <c r="J2125" t="str">
        <f t="shared" si="67"/>
        <v>Complete</v>
      </c>
      <c r="K2125">
        <f>COUNTIFS(RawData[Item], B2125,RawData[Quantity],C2125,RawData[Price Per Unit],D2125,RawData[Total Spent],E2125,RawData[Payment Method],F2125,RawData[Location],G2125,RawData[Transaction Date],H2125)</f>
        <v>1</v>
      </c>
      <c r="L2125"/>
    </row>
    <row r="2126" spans="1:12" x14ac:dyDescent="0.3">
      <c r="A2126" t="s">
        <v>2132</v>
      </c>
      <c r="B2126" t="s">
        <v>10017</v>
      </c>
      <c r="C2126">
        <v>5</v>
      </c>
      <c r="D2126">
        <v>1.5</v>
      </c>
      <c r="E2126">
        <v>7.5</v>
      </c>
      <c r="F2126" t="s">
        <v>10069</v>
      </c>
      <c r="G2126" t="s">
        <v>10069</v>
      </c>
      <c r="H2126" s="6">
        <v>44972</v>
      </c>
      <c r="I2126">
        <f t="shared" si="66"/>
        <v>0</v>
      </c>
      <c r="J2126" t="str">
        <f t="shared" si="67"/>
        <v>Complete</v>
      </c>
      <c r="K2126">
        <f>COUNTIFS(RawData[Item], B2126,RawData[Quantity],C2126,RawData[Price Per Unit],D2126,RawData[Total Spent],E2126,RawData[Payment Method],F2126,RawData[Location],G2126,RawData[Transaction Date],H2126)</f>
        <v>1</v>
      </c>
      <c r="L2126"/>
    </row>
    <row r="2127" spans="1:12" x14ac:dyDescent="0.3">
      <c r="A2127" t="s">
        <v>2133</v>
      </c>
      <c r="B2127" t="s">
        <v>10016</v>
      </c>
      <c r="C2127">
        <v>4</v>
      </c>
      <c r="D2127">
        <v>3</v>
      </c>
      <c r="E2127">
        <v>12</v>
      </c>
      <c r="F2127" t="s">
        <v>10069</v>
      </c>
      <c r="G2127" t="s">
        <v>10021</v>
      </c>
      <c r="H2127" s="6">
        <v>45054</v>
      </c>
      <c r="I2127">
        <f t="shared" si="66"/>
        <v>0</v>
      </c>
      <c r="J2127" t="str">
        <f t="shared" si="67"/>
        <v>Complete</v>
      </c>
      <c r="K2127">
        <f>COUNTIFS(RawData[Item], B2127,RawData[Quantity],C2127,RawData[Price Per Unit],D2127,RawData[Total Spent],E2127,RawData[Payment Method],F2127,RawData[Location],G2127,RawData[Transaction Date],H2127)</f>
        <v>1</v>
      </c>
      <c r="L2127"/>
    </row>
    <row r="2128" spans="1:12" x14ac:dyDescent="0.3">
      <c r="A2128" t="s">
        <v>2134</v>
      </c>
      <c r="B2128" t="s">
        <v>10009</v>
      </c>
      <c r="C2128" t="s">
        <v>10015</v>
      </c>
      <c r="D2128">
        <v>3</v>
      </c>
      <c r="E2128">
        <v>12</v>
      </c>
      <c r="F2128" t="s">
        <v>10018</v>
      </c>
      <c r="G2128" t="s">
        <v>10102</v>
      </c>
      <c r="H2128" s="6">
        <v>44988</v>
      </c>
      <c r="I2128">
        <f t="shared" si="66"/>
        <v>1</v>
      </c>
      <c r="J2128" t="str">
        <f t="shared" si="67"/>
        <v>Complete</v>
      </c>
      <c r="K2128">
        <f>COUNTIFS(RawData[Item], B2128,RawData[Quantity],C2128,RawData[Price Per Unit],D2128,RawData[Total Spent],E2128,RawData[Payment Method],F2128,RawData[Location],G2128,RawData[Transaction Date],H2128)</f>
        <v>1</v>
      </c>
      <c r="L2128"/>
    </row>
    <row r="2129" spans="1:12" x14ac:dyDescent="0.3">
      <c r="A2129" t="s">
        <v>2135</v>
      </c>
      <c r="B2129" t="s">
        <v>10016</v>
      </c>
      <c r="C2129">
        <v>3</v>
      </c>
      <c r="D2129">
        <v>3</v>
      </c>
      <c r="E2129">
        <v>9</v>
      </c>
      <c r="F2129" t="s">
        <v>10019</v>
      </c>
      <c r="G2129" t="s">
        <v>10103</v>
      </c>
      <c r="H2129" s="6">
        <v>45027</v>
      </c>
      <c r="I2129">
        <f t="shared" si="66"/>
        <v>1</v>
      </c>
      <c r="J2129" t="str">
        <f t="shared" si="67"/>
        <v>Complete</v>
      </c>
      <c r="K2129">
        <f>COUNTIFS(RawData[Item], B2129,RawData[Quantity],C2129,RawData[Price Per Unit],D2129,RawData[Total Spent],E2129,RawData[Payment Method],F2129,RawData[Location],G2129,RawData[Transaction Date],H2129)</f>
        <v>1</v>
      </c>
      <c r="L2129"/>
    </row>
    <row r="2130" spans="1:12" x14ac:dyDescent="0.3">
      <c r="A2130" t="s">
        <v>2136</v>
      </c>
      <c r="B2130" t="s">
        <v>10017</v>
      </c>
      <c r="C2130">
        <v>1</v>
      </c>
      <c r="D2130">
        <v>1.5</v>
      </c>
      <c r="E2130">
        <v>1.5</v>
      </c>
      <c r="F2130" t="s">
        <v>10069</v>
      </c>
      <c r="G2130" t="s">
        <v>10102</v>
      </c>
      <c r="H2130" s="6">
        <v>45225</v>
      </c>
      <c r="I2130">
        <f t="shared" si="66"/>
        <v>0</v>
      </c>
      <c r="J2130" t="str">
        <f t="shared" si="67"/>
        <v>Complete</v>
      </c>
      <c r="K2130">
        <f>COUNTIFS(RawData[Item], B2130,RawData[Quantity],C2130,RawData[Price Per Unit],D2130,RawData[Total Spent],E2130,RawData[Payment Method],F2130,RawData[Location],G2130,RawData[Transaction Date],H2130)</f>
        <v>1</v>
      </c>
      <c r="L2130"/>
    </row>
    <row r="2131" spans="1:12" x14ac:dyDescent="0.3">
      <c r="A2131" t="s">
        <v>2137</v>
      </c>
      <c r="B2131" t="s">
        <v>10016</v>
      </c>
      <c r="C2131">
        <v>2</v>
      </c>
      <c r="D2131">
        <v>3</v>
      </c>
      <c r="E2131">
        <v>6</v>
      </c>
      <c r="F2131" t="s">
        <v>10018</v>
      </c>
      <c r="G2131" t="s">
        <v>10102</v>
      </c>
      <c r="H2131" s="6">
        <v>44984</v>
      </c>
      <c r="I2131">
        <f t="shared" si="66"/>
        <v>0</v>
      </c>
      <c r="J2131" t="str">
        <f t="shared" si="67"/>
        <v>Complete</v>
      </c>
      <c r="K2131">
        <f>COUNTIFS(RawData[Item], B2131,RawData[Quantity],C2131,RawData[Price Per Unit],D2131,RawData[Total Spent],E2131,RawData[Payment Method],F2131,RawData[Location],G2131,RawData[Transaction Date],H2131)</f>
        <v>1</v>
      </c>
      <c r="L2131"/>
    </row>
    <row r="2132" spans="1:12" x14ac:dyDescent="0.3">
      <c r="A2132" t="s">
        <v>2138</v>
      </c>
      <c r="B2132" t="s">
        <v>10017</v>
      </c>
      <c r="C2132">
        <v>2</v>
      </c>
      <c r="D2132">
        <v>1.5</v>
      </c>
      <c r="E2132">
        <v>3</v>
      </c>
      <c r="F2132" t="s">
        <v>10069</v>
      </c>
      <c r="G2132" t="s">
        <v>10021</v>
      </c>
      <c r="H2132" s="6">
        <v>45017</v>
      </c>
      <c r="I2132">
        <f t="shared" si="66"/>
        <v>0</v>
      </c>
      <c r="J2132" t="str">
        <f t="shared" si="67"/>
        <v>Complete</v>
      </c>
      <c r="K2132">
        <f>COUNTIFS(RawData[Item], B2132,RawData[Quantity],C2132,RawData[Price Per Unit],D2132,RawData[Total Spent],E2132,RawData[Payment Method],F2132,RawData[Location],G2132,RawData[Transaction Date],H2132)</f>
        <v>1</v>
      </c>
      <c r="L2132"/>
    </row>
    <row r="2133" spans="1:12" x14ac:dyDescent="0.3">
      <c r="A2133" t="s">
        <v>2139</v>
      </c>
      <c r="B2133" t="s">
        <v>10011</v>
      </c>
      <c r="C2133">
        <v>2</v>
      </c>
      <c r="D2133">
        <v>5</v>
      </c>
      <c r="E2133">
        <v>10</v>
      </c>
      <c r="F2133" t="s">
        <v>10018</v>
      </c>
      <c r="G2133" t="s">
        <v>10021</v>
      </c>
      <c r="H2133" s="6">
        <v>44932</v>
      </c>
      <c r="I2133">
        <f t="shared" si="66"/>
        <v>0</v>
      </c>
      <c r="J2133" t="str">
        <f t="shared" si="67"/>
        <v>Complete</v>
      </c>
      <c r="K2133">
        <f>COUNTIFS(RawData[Item], B2133,RawData[Quantity],C2133,RawData[Price Per Unit],D2133,RawData[Total Spent],E2133,RawData[Payment Method],F2133,RawData[Location],G2133,RawData[Transaction Date],H2133)</f>
        <v>1</v>
      </c>
      <c r="L2133"/>
    </row>
    <row r="2134" spans="1:12" x14ac:dyDescent="0.3">
      <c r="A2134" t="s">
        <v>2140</v>
      </c>
      <c r="B2134" t="s">
        <v>10011</v>
      </c>
      <c r="C2134">
        <v>5</v>
      </c>
      <c r="D2134">
        <v>5</v>
      </c>
      <c r="E2134">
        <v>25</v>
      </c>
      <c r="F2134" t="s">
        <v>10019</v>
      </c>
      <c r="G2134" t="s">
        <v>10021</v>
      </c>
      <c r="H2134" s="6">
        <v>45141</v>
      </c>
      <c r="I2134">
        <f t="shared" si="66"/>
        <v>0</v>
      </c>
      <c r="J2134" t="str">
        <f t="shared" si="67"/>
        <v>Complete</v>
      </c>
      <c r="K2134">
        <f>COUNTIFS(RawData[Item], B2134,RawData[Quantity],C2134,RawData[Price Per Unit],D2134,RawData[Total Spent],E2134,RawData[Payment Method],F2134,RawData[Location],G2134,RawData[Transaction Date],H2134)</f>
        <v>1</v>
      </c>
      <c r="L2134"/>
    </row>
    <row r="2135" spans="1:12" x14ac:dyDescent="0.3">
      <c r="A2135" t="s">
        <v>2141</v>
      </c>
      <c r="B2135" t="s">
        <v>10017</v>
      </c>
      <c r="C2135">
        <v>3</v>
      </c>
      <c r="D2135">
        <v>1.5</v>
      </c>
      <c r="E2135">
        <v>4.5</v>
      </c>
      <c r="F2135" t="s">
        <v>10019</v>
      </c>
      <c r="G2135" t="s">
        <v>10021</v>
      </c>
      <c r="H2135" s="6">
        <v>45285</v>
      </c>
      <c r="I2135">
        <f t="shared" si="66"/>
        <v>0</v>
      </c>
      <c r="J2135" t="str">
        <f t="shared" si="67"/>
        <v>Complete</v>
      </c>
      <c r="K2135">
        <f>COUNTIFS(RawData[Item], B2135,RawData[Quantity],C2135,RawData[Price Per Unit],D2135,RawData[Total Spent],E2135,RawData[Payment Method],F2135,RawData[Location],G2135,RawData[Transaction Date],H2135)</f>
        <v>1</v>
      </c>
      <c r="L2135"/>
    </row>
    <row r="2136" spans="1:12" x14ac:dyDescent="0.3">
      <c r="A2136" t="s">
        <v>2142</v>
      </c>
      <c r="B2136" t="s">
        <v>10014</v>
      </c>
      <c r="C2136">
        <v>5</v>
      </c>
      <c r="D2136">
        <v>4</v>
      </c>
      <c r="E2136">
        <v>20</v>
      </c>
      <c r="F2136" t="s">
        <v>10069</v>
      </c>
      <c r="G2136" t="s">
        <v>10069</v>
      </c>
      <c r="H2136" s="6">
        <v>45256</v>
      </c>
      <c r="I2136">
        <f t="shared" si="66"/>
        <v>0</v>
      </c>
      <c r="J2136" t="str">
        <f t="shared" si="67"/>
        <v>Complete</v>
      </c>
      <c r="K2136">
        <f>COUNTIFS(RawData[Item], B2136,RawData[Quantity],C2136,RawData[Price Per Unit],D2136,RawData[Total Spent],E2136,RawData[Payment Method],F2136,RawData[Location],G2136,RawData[Transaction Date],H2136)</f>
        <v>1</v>
      </c>
      <c r="L2136"/>
    </row>
    <row r="2137" spans="1:12" x14ac:dyDescent="0.3">
      <c r="A2137" t="s">
        <v>2143</v>
      </c>
      <c r="B2137" t="s">
        <v>10017</v>
      </c>
      <c r="C2137">
        <v>1</v>
      </c>
      <c r="D2137">
        <v>1.5</v>
      </c>
      <c r="E2137">
        <v>1.5</v>
      </c>
      <c r="F2137" t="s">
        <v>10069</v>
      </c>
      <c r="G2137" t="s">
        <v>10021</v>
      </c>
      <c r="H2137" s="6" t="s">
        <v>10112</v>
      </c>
      <c r="I2137">
        <f t="shared" si="66"/>
        <v>1</v>
      </c>
      <c r="J2137" t="str">
        <f t="shared" si="67"/>
        <v>Incomplete</v>
      </c>
      <c r="K2137">
        <f>COUNTIFS(RawData[Item], B2137,RawData[Quantity],C2137,RawData[Price Per Unit],D2137,RawData[Total Spent],E2137,RawData[Payment Method],F2137,RawData[Location],G2137,RawData[Transaction Date],H2137)</f>
        <v>2</v>
      </c>
      <c r="L2137"/>
    </row>
    <row r="2138" spans="1:12" x14ac:dyDescent="0.3">
      <c r="A2138" t="s">
        <v>2144</v>
      </c>
      <c r="B2138" t="s">
        <v>10015</v>
      </c>
      <c r="C2138">
        <v>1</v>
      </c>
      <c r="D2138">
        <v>1.5</v>
      </c>
      <c r="E2138">
        <v>1.5</v>
      </c>
      <c r="F2138" t="s">
        <v>10018</v>
      </c>
      <c r="G2138" t="s">
        <v>10102</v>
      </c>
      <c r="H2138" s="6">
        <v>45152</v>
      </c>
      <c r="I2138">
        <f t="shared" si="66"/>
        <v>1</v>
      </c>
      <c r="J2138" t="str">
        <f t="shared" si="67"/>
        <v>Complete</v>
      </c>
      <c r="K2138">
        <f>COUNTIFS(RawData[Item], B2138,RawData[Quantity],C2138,RawData[Price Per Unit],D2138,RawData[Total Spent],E2138,RawData[Payment Method],F2138,RawData[Location],G2138,RawData[Transaction Date],H2138)</f>
        <v>1</v>
      </c>
      <c r="L2138"/>
    </row>
    <row r="2139" spans="1:12" x14ac:dyDescent="0.3">
      <c r="A2139" t="s">
        <v>2145</v>
      </c>
      <c r="B2139" t="s">
        <v>10012</v>
      </c>
      <c r="C2139">
        <v>2</v>
      </c>
      <c r="D2139">
        <v>4</v>
      </c>
      <c r="E2139">
        <v>8</v>
      </c>
      <c r="F2139" t="s">
        <v>10020</v>
      </c>
      <c r="G2139" t="s">
        <v>10069</v>
      </c>
      <c r="H2139" s="6">
        <v>45057</v>
      </c>
      <c r="I2139">
        <f t="shared" si="66"/>
        <v>0</v>
      </c>
      <c r="J2139" t="str">
        <f t="shared" si="67"/>
        <v>Complete</v>
      </c>
      <c r="K2139">
        <f>COUNTIFS(RawData[Item], B2139,RawData[Quantity],C2139,RawData[Price Per Unit],D2139,RawData[Total Spent],E2139,RawData[Payment Method],F2139,RawData[Location],G2139,RawData[Transaction Date],H2139)</f>
        <v>1</v>
      </c>
      <c r="L2139"/>
    </row>
    <row r="2140" spans="1:12" x14ac:dyDescent="0.3">
      <c r="A2140" t="s">
        <v>2146</v>
      </c>
      <c r="B2140" t="s">
        <v>10016</v>
      </c>
      <c r="C2140">
        <v>4</v>
      </c>
      <c r="D2140">
        <v>3</v>
      </c>
      <c r="E2140">
        <v>0</v>
      </c>
      <c r="F2140" t="s">
        <v>10019</v>
      </c>
      <c r="G2140" t="s">
        <v>10102</v>
      </c>
      <c r="H2140" s="6">
        <v>45188</v>
      </c>
      <c r="I2140">
        <f t="shared" si="66"/>
        <v>0</v>
      </c>
      <c r="J2140" t="str">
        <f t="shared" si="67"/>
        <v>Complete</v>
      </c>
      <c r="K2140">
        <f>COUNTIFS(RawData[Item], B2140,RawData[Quantity],C2140,RawData[Price Per Unit],D2140,RawData[Total Spent],E2140,RawData[Payment Method],F2140,RawData[Location],G2140,RawData[Transaction Date],H2140)</f>
        <v>1</v>
      </c>
      <c r="L2140"/>
    </row>
    <row r="2141" spans="1:12" x14ac:dyDescent="0.3">
      <c r="A2141" t="s">
        <v>2147</v>
      </c>
      <c r="B2141" t="s">
        <v>10013</v>
      </c>
      <c r="C2141">
        <v>2</v>
      </c>
      <c r="D2141">
        <v>4</v>
      </c>
      <c r="E2141" t="s">
        <v>10015</v>
      </c>
      <c r="F2141" t="s">
        <v>10018</v>
      </c>
      <c r="G2141" t="s">
        <v>10069</v>
      </c>
      <c r="H2141" s="6">
        <v>45093</v>
      </c>
      <c r="I2141">
        <f t="shared" si="66"/>
        <v>2</v>
      </c>
      <c r="J2141" t="str">
        <f t="shared" si="67"/>
        <v>Complete</v>
      </c>
      <c r="K2141">
        <f>COUNTIFS(RawData[Item], B2141,RawData[Quantity],C2141,RawData[Price Per Unit],D2141,RawData[Total Spent],E2141,RawData[Payment Method],F2141,RawData[Location],G2141,RawData[Transaction Date],H2141)</f>
        <v>1</v>
      </c>
      <c r="L2141"/>
    </row>
    <row r="2142" spans="1:12" x14ac:dyDescent="0.3">
      <c r="A2142" t="s">
        <v>2148</v>
      </c>
      <c r="B2142" t="s">
        <v>10011</v>
      </c>
      <c r="C2142">
        <v>3</v>
      </c>
      <c r="D2142">
        <v>5</v>
      </c>
      <c r="E2142">
        <v>15</v>
      </c>
      <c r="F2142" t="s">
        <v>10019</v>
      </c>
      <c r="G2142" t="s">
        <v>10069</v>
      </c>
      <c r="H2142" s="6">
        <v>45125</v>
      </c>
      <c r="I2142">
        <f t="shared" si="66"/>
        <v>0</v>
      </c>
      <c r="J2142" t="str">
        <f t="shared" si="67"/>
        <v>Complete</v>
      </c>
      <c r="K2142">
        <f>COUNTIFS(RawData[Item], B2142,RawData[Quantity],C2142,RawData[Price Per Unit],D2142,RawData[Total Spent],E2142,RawData[Payment Method],F2142,RawData[Location],G2142,RawData[Transaction Date],H2142)</f>
        <v>1</v>
      </c>
      <c r="L2142"/>
    </row>
    <row r="2143" spans="1:12" x14ac:dyDescent="0.3">
      <c r="A2143" t="s">
        <v>2149</v>
      </c>
      <c r="B2143" t="s">
        <v>10016</v>
      </c>
      <c r="C2143">
        <v>3</v>
      </c>
      <c r="D2143">
        <v>3</v>
      </c>
      <c r="E2143">
        <v>9</v>
      </c>
      <c r="F2143" t="s">
        <v>10018</v>
      </c>
      <c r="G2143" t="s">
        <v>10021</v>
      </c>
      <c r="H2143" s="6">
        <v>44977</v>
      </c>
      <c r="I2143">
        <f t="shared" si="66"/>
        <v>0</v>
      </c>
      <c r="J2143" t="str">
        <f t="shared" si="67"/>
        <v>Complete</v>
      </c>
      <c r="K2143">
        <f>COUNTIFS(RawData[Item], B2143,RawData[Quantity],C2143,RawData[Price Per Unit],D2143,RawData[Total Spent],E2143,RawData[Payment Method],F2143,RawData[Location],G2143,RawData[Transaction Date],H2143)</f>
        <v>1</v>
      </c>
      <c r="L2143"/>
    </row>
    <row r="2144" spans="1:12" x14ac:dyDescent="0.3">
      <c r="A2144" t="s">
        <v>2150</v>
      </c>
      <c r="B2144" t="s">
        <v>10008</v>
      </c>
      <c r="C2144">
        <v>4</v>
      </c>
      <c r="D2144">
        <v>2</v>
      </c>
      <c r="E2144">
        <v>8</v>
      </c>
      <c r="F2144" t="s">
        <v>10018</v>
      </c>
      <c r="G2144" t="s">
        <v>10102</v>
      </c>
      <c r="H2144" s="6">
        <v>45266</v>
      </c>
      <c r="I2144">
        <f t="shared" si="66"/>
        <v>0</v>
      </c>
      <c r="J2144" t="str">
        <f t="shared" si="67"/>
        <v>Complete</v>
      </c>
      <c r="K2144">
        <f>COUNTIFS(RawData[Item], B2144,RawData[Quantity],C2144,RawData[Price Per Unit],D2144,RawData[Total Spent],E2144,RawData[Payment Method],F2144,RawData[Location],G2144,RawData[Transaction Date],H2144)</f>
        <v>1</v>
      </c>
      <c r="L2144"/>
    </row>
    <row r="2145" spans="1:12" x14ac:dyDescent="0.3">
      <c r="A2145" t="s">
        <v>2151</v>
      </c>
      <c r="B2145" t="s">
        <v>10012</v>
      </c>
      <c r="C2145">
        <v>5</v>
      </c>
      <c r="D2145">
        <v>4</v>
      </c>
      <c r="E2145">
        <v>20</v>
      </c>
      <c r="F2145" t="s">
        <v>10018</v>
      </c>
      <c r="G2145" t="s">
        <v>10069</v>
      </c>
      <c r="H2145" s="6">
        <v>45191</v>
      </c>
      <c r="I2145">
        <f t="shared" si="66"/>
        <v>0</v>
      </c>
      <c r="J2145" t="str">
        <f t="shared" si="67"/>
        <v>Complete</v>
      </c>
      <c r="K2145">
        <f>COUNTIFS(RawData[Item], B2145,RawData[Quantity],C2145,RawData[Price Per Unit],D2145,RawData[Total Spent],E2145,RawData[Payment Method],F2145,RawData[Location],G2145,RawData[Transaction Date],H2145)</f>
        <v>1</v>
      </c>
      <c r="L2145"/>
    </row>
    <row r="2146" spans="1:12" x14ac:dyDescent="0.3">
      <c r="A2146" t="s">
        <v>2152</v>
      </c>
      <c r="B2146" t="s">
        <v>10010</v>
      </c>
      <c r="C2146">
        <v>4</v>
      </c>
      <c r="D2146">
        <v>1</v>
      </c>
      <c r="E2146">
        <v>4</v>
      </c>
      <c r="F2146" t="s">
        <v>10020</v>
      </c>
      <c r="G2146" t="s">
        <v>10102</v>
      </c>
      <c r="H2146" s="6">
        <v>44970</v>
      </c>
      <c r="I2146">
        <f t="shared" si="66"/>
        <v>0</v>
      </c>
      <c r="J2146" t="str">
        <f t="shared" si="67"/>
        <v>Complete</v>
      </c>
      <c r="K2146">
        <f>COUNTIFS(RawData[Item], B2146,RawData[Quantity],C2146,RawData[Price Per Unit],D2146,RawData[Total Spent],E2146,RawData[Payment Method],F2146,RawData[Location],G2146,RawData[Transaction Date],H2146)</f>
        <v>1</v>
      </c>
      <c r="L2146"/>
    </row>
    <row r="2147" spans="1:12" x14ac:dyDescent="0.3">
      <c r="A2147" t="s">
        <v>2153</v>
      </c>
      <c r="B2147" t="s">
        <v>10009</v>
      </c>
      <c r="C2147">
        <v>2</v>
      </c>
      <c r="D2147">
        <v>3</v>
      </c>
      <c r="E2147">
        <v>6</v>
      </c>
      <c r="F2147" t="s">
        <v>10020</v>
      </c>
      <c r="G2147" t="s">
        <v>10069</v>
      </c>
      <c r="H2147" s="6">
        <v>45056</v>
      </c>
      <c r="I2147">
        <f t="shared" si="66"/>
        <v>0</v>
      </c>
      <c r="J2147" t="str">
        <f t="shared" si="67"/>
        <v>Complete</v>
      </c>
      <c r="K2147">
        <f>COUNTIFS(RawData[Item], B2147,RawData[Quantity],C2147,RawData[Price Per Unit],D2147,RawData[Total Spent],E2147,RawData[Payment Method],F2147,RawData[Location],G2147,RawData[Transaction Date],H2147)</f>
        <v>1</v>
      </c>
      <c r="L2147"/>
    </row>
    <row r="2148" spans="1:12" x14ac:dyDescent="0.3">
      <c r="A2148" t="s">
        <v>2154</v>
      </c>
      <c r="B2148" t="s">
        <v>10016</v>
      </c>
      <c r="C2148">
        <v>5</v>
      </c>
      <c r="D2148">
        <v>3</v>
      </c>
      <c r="E2148">
        <v>15</v>
      </c>
      <c r="F2148" t="s">
        <v>10069</v>
      </c>
      <c r="G2148" t="s">
        <v>10021</v>
      </c>
      <c r="H2148" s="6">
        <v>44940</v>
      </c>
      <c r="I2148">
        <f t="shared" si="66"/>
        <v>0</v>
      </c>
      <c r="J2148" t="str">
        <f t="shared" si="67"/>
        <v>Complete</v>
      </c>
      <c r="K2148">
        <f>COUNTIFS(RawData[Item], B2148,RawData[Quantity],C2148,RawData[Price Per Unit],D2148,RawData[Total Spent],E2148,RawData[Payment Method],F2148,RawData[Location],G2148,RawData[Transaction Date],H2148)</f>
        <v>1</v>
      </c>
      <c r="L2148"/>
    </row>
    <row r="2149" spans="1:12" x14ac:dyDescent="0.3">
      <c r="A2149" t="s">
        <v>2155</v>
      </c>
      <c r="B2149" t="s">
        <v>10009</v>
      </c>
      <c r="C2149">
        <v>4</v>
      </c>
      <c r="D2149">
        <v>3</v>
      </c>
      <c r="E2149">
        <v>0</v>
      </c>
      <c r="F2149" t="s">
        <v>10069</v>
      </c>
      <c r="G2149" t="s">
        <v>10069</v>
      </c>
      <c r="H2149" s="6">
        <v>45029</v>
      </c>
      <c r="I2149">
        <f t="shared" si="66"/>
        <v>0</v>
      </c>
      <c r="J2149" t="str">
        <f t="shared" si="67"/>
        <v>Complete</v>
      </c>
      <c r="K2149">
        <f>COUNTIFS(RawData[Item], B2149,RawData[Quantity],C2149,RawData[Price Per Unit],D2149,RawData[Total Spent],E2149,RawData[Payment Method],F2149,RawData[Location],G2149,RawData[Transaction Date],H2149)</f>
        <v>1</v>
      </c>
      <c r="L2149"/>
    </row>
    <row r="2150" spans="1:12" x14ac:dyDescent="0.3">
      <c r="A2150" t="s">
        <v>2156</v>
      </c>
      <c r="B2150" t="s">
        <v>10015</v>
      </c>
      <c r="C2150">
        <v>2</v>
      </c>
      <c r="D2150">
        <v>1</v>
      </c>
      <c r="E2150">
        <v>2</v>
      </c>
      <c r="F2150" t="s">
        <v>10019</v>
      </c>
      <c r="G2150" t="s">
        <v>10103</v>
      </c>
      <c r="H2150" s="6" t="s">
        <v>10112</v>
      </c>
      <c r="I2150">
        <f t="shared" si="66"/>
        <v>3</v>
      </c>
      <c r="J2150" t="str">
        <f t="shared" si="67"/>
        <v>Incomplete</v>
      </c>
      <c r="K2150">
        <f>COUNTIFS(RawData[Item], B2150,RawData[Quantity],C2150,RawData[Price Per Unit],D2150,RawData[Total Spent],E2150,RawData[Payment Method],F2150,RawData[Location],G2150,RawData[Transaction Date],H2150)</f>
        <v>1</v>
      </c>
      <c r="L2150"/>
    </row>
    <row r="2151" spans="1:12" x14ac:dyDescent="0.3">
      <c r="A2151" t="s">
        <v>2157</v>
      </c>
      <c r="B2151" t="s">
        <v>10011</v>
      </c>
      <c r="C2151">
        <v>5</v>
      </c>
      <c r="D2151">
        <v>5</v>
      </c>
      <c r="E2151">
        <v>25</v>
      </c>
      <c r="F2151" t="s">
        <v>10019</v>
      </c>
      <c r="G2151" t="s">
        <v>10021</v>
      </c>
      <c r="H2151" s="6">
        <v>45083</v>
      </c>
      <c r="I2151">
        <f t="shared" si="66"/>
        <v>0</v>
      </c>
      <c r="J2151" t="str">
        <f t="shared" si="67"/>
        <v>Complete</v>
      </c>
      <c r="K2151">
        <f>COUNTIFS(RawData[Item], B2151,RawData[Quantity],C2151,RawData[Price Per Unit],D2151,RawData[Total Spent],E2151,RawData[Payment Method],F2151,RawData[Location],G2151,RawData[Transaction Date],H2151)</f>
        <v>1</v>
      </c>
      <c r="L2151"/>
    </row>
    <row r="2152" spans="1:12" x14ac:dyDescent="0.3">
      <c r="A2152" t="s">
        <v>2158</v>
      </c>
      <c r="B2152" t="s">
        <v>10069</v>
      </c>
      <c r="C2152">
        <v>3</v>
      </c>
      <c r="D2152">
        <v>4</v>
      </c>
      <c r="E2152">
        <v>12</v>
      </c>
      <c r="F2152" t="s">
        <v>10069</v>
      </c>
      <c r="G2152" t="s">
        <v>10069</v>
      </c>
      <c r="H2152" s="6">
        <v>44960</v>
      </c>
      <c r="I2152">
        <f t="shared" si="66"/>
        <v>0</v>
      </c>
      <c r="J2152" t="str">
        <f t="shared" si="67"/>
        <v>Complete</v>
      </c>
      <c r="K2152">
        <f>COUNTIFS(RawData[Item], B2152,RawData[Quantity],C2152,RawData[Price Per Unit],D2152,RawData[Total Spent],E2152,RawData[Payment Method],F2152,RawData[Location],G2152,RawData[Transaction Date],H2152)</f>
        <v>1</v>
      </c>
      <c r="L2152"/>
    </row>
    <row r="2153" spans="1:12" x14ac:dyDescent="0.3">
      <c r="A2153" t="s">
        <v>2159</v>
      </c>
      <c r="B2153" t="s">
        <v>10016</v>
      </c>
      <c r="C2153">
        <v>5</v>
      </c>
      <c r="D2153">
        <v>3</v>
      </c>
      <c r="E2153">
        <v>15</v>
      </c>
      <c r="F2153" t="s">
        <v>10069</v>
      </c>
      <c r="G2153" t="s">
        <v>10021</v>
      </c>
      <c r="H2153" s="6">
        <v>45263</v>
      </c>
      <c r="I2153">
        <f t="shared" si="66"/>
        <v>0</v>
      </c>
      <c r="J2153" t="str">
        <f t="shared" si="67"/>
        <v>Complete</v>
      </c>
      <c r="K2153">
        <f>COUNTIFS(RawData[Item], B2153,RawData[Quantity],C2153,RawData[Price Per Unit],D2153,RawData[Total Spent],E2153,RawData[Payment Method],F2153,RawData[Location],G2153,RawData[Transaction Date],H2153)</f>
        <v>1</v>
      </c>
      <c r="L2153"/>
    </row>
    <row r="2154" spans="1:12" x14ac:dyDescent="0.3">
      <c r="A2154" t="s">
        <v>2160</v>
      </c>
      <c r="B2154" t="s">
        <v>10014</v>
      </c>
      <c r="C2154">
        <v>3</v>
      </c>
      <c r="D2154">
        <v>4</v>
      </c>
      <c r="E2154">
        <v>12</v>
      </c>
      <c r="F2154" t="s">
        <v>10069</v>
      </c>
      <c r="G2154" t="s">
        <v>10102</v>
      </c>
      <c r="H2154" s="6">
        <v>45119</v>
      </c>
      <c r="I2154">
        <f t="shared" si="66"/>
        <v>0</v>
      </c>
      <c r="J2154" t="str">
        <f t="shared" si="67"/>
        <v>Complete</v>
      </c>
      <c r="K2154">
        <f>COUNTIFS(RawData[Item], B2154,RawData[Quantity],C2154,RawData[Price Per Unit],D2154,RawData[Total Spent],E2154,RawData[Payment Method],F2154,RawData[Location],G2154,RawData[Transaction Date],H2154)</f>
        <v>1</v>
      </c>
      <c r="L2154"/>
    </row>
    <row r="2155" spans="1:12" x14ac:dyDescent="0.3">
      <c r="A2155" t="s">
        <v>2161</v>
      </c>
      <c r="B2155" t="s">
        <v>10008</v>
      </c>
      <c r="C2155">
        <v>4</v>
      </c>
      <c r="D2155">
        <v>2</v>
      </c>
      <c r="E2155">
        <v>8</v>
      </c>
      <c r="F2155" t="s">
        <v>10069</v>
      </c>
      <c r="G2155" t="s">
        <v>10102</v>
      </c>
      <c r="H2155" s="6">
        <v>45247</v>
      </c>
      <c r="I2155">
        <f t="shared" si="66"/>
        <v>0</v>
      </c>
      <c r="J2155" t="str">
        <f t="shared" si="67"/>
        <v>Complete</v>
      </c>
      <c r="K2155">
        <f>COUNTIFS(RawData[Item], B2155,RawData[Quantity],C2155,RawData[Price Per Unit],D2155,RawData[Total Spent],E2155,RawData[Payment Method],F2155,RawData[Location],G2155,RawData[Transaction Date],H2155)</f>
        <v>1</v>
      </c>
      <c r="L2155"/>
    </row>
    <row r="2156" spans="1:12" x14ac:dyDescent="0.3">
      <c r="A2156" t="s">
        <v>2162</v>
      </c>
      <c r="B2156" t="s">
        <v>10008</v>
      </c>
      <c r="C2156">
        <v>3</v>
      </c>
      <c r="D2156" t="s">
        <v>10015</v>
      </c>
      <c r="E2156">
        <v>6</v>
      </c>
      <c r="F2156" t="s">
        <v>10020</v>
      </c>
      <c r="G2156" t="s">
        <v>10102</v>
      </c>
      <c r="H2156" s="6">
        <v>45123</v>
      </c>
      <c r="I2156">
        <f t="shared" si="66"/>
        <v>1</v>
      </c>
      <c r="J2156" t="str">
        <f t="shared" si="67"/>
        <v>Complete</v>
      </c>
      <c r="K2156">
        <f>COUNTIFS(RawData[Item], B2156,RawData[Quantity],C2156,RawData[Price Per Unit],D2156,RawData[Total Spent],E2156,RawData[Payment Method],F2156,RawData[Location],G2156,RawData[Transaction Date],H2156)</f>
        <v>1</v>
      </c>
      <c r="L2156"/>
    </row>
    <row r="2157" spans="1:12" x14ac:dyDescent="0.3">
      <c r="A2157" t="s">
        <v>2163</v>
      </c>
      <c r="B2157" t="s">
        <v>10012</v>
      </c>
      <c r="C2157">
        <v>1</v>
      </c>
      <c r="D2157">
        <v>4</v>
      </c>
      <c r="E2157">
        <v>4</v>
      </c>
      <c r="F2157" t="s">
        <v>10069</v>
      </c>
      <c r="G2157" t="s">
        <v>10102</v>
      </c>
      <c r="H2157" s="6">
        <v>45205</v>
      </c>
      <c r="I2157">
        <f t="shared" si="66"/>
        <v>0</v>
      </c>
      <c r="J2157" t="str">
        <f t="shared" si="67"/>
        <v>Complete</v>
      </c>
      <c r="K2157">
        <f>COUNTIFS(RawData[Item], B2157,RawData[Quantity],C2157,RawData[Price Per Unit],D2157,RawData[Total Spent],E2157,RawData[Payment Method],F2157,RawData[Location],G2157,RawData[Transaction Date],H2157)</f>
        <v>1</v>
      </c>
      <c r="L2157"/>
    </row>
    <row r="2158" spans="1:12" x14ac:dyDescent="0.3">
      <c r="A2158" t="s">
        <v>2164</v>
      </c>
      <c r="B2158" t="s">
        <v>10013</v>
      </c>
      <c r="C2158">
        <v>4</v>
      </c>
      <c r="D2158">
        <v>4</v>
      </c>
      <c r="E2158">
        <v>16</v>
      </c>
      <c r="F2158" t="s">
        <v>10018</v>
      </c>
      <c r="G2158" t="s">
        <v>10102</v>
      </c>
      <c r="H2158" s="6">
        <v>45021</v>
      </c>
      <c r="I2158">
        <f t="shared" si="66"/>
        <v>1</v>
      </c>
      <c r="J2158" t="str">
        <f t="shared" si="67"/>
        <v>Complete</v>
      </c>
      <c r="K2158">
        <f>COUNTIFS(RawData[Item], B2158,RawData[Quantity],C2158,RawData[Price Per Unit],D2158,RawData[Total Spent],E2158,RawData[Payment Method],F2158,RawData[Location],G2158,RawData[Transaction Date],H2158)</f>
        <v>1</v>
      </c>
      <c r="L2158"/>
    </row>
    <row r="2159" spans="1:12" x14ac:dyDescent="0.3">
      <c r="A2159" t="s">
        <v>2165</v>
      </c>
      <c r="B2159" t="s">
        <v>10016</v>
      </c>
      <c r="C2159">
        <v>5</v>
      </c>
      <c r="D2159">
        <v>3</v>
      </c>
      <c r="E2159">
        <v>15</v>
      </c>
      <c r="F2159" t="s">
        <v>10019</v>
      </c>
      <c r="G2159" t="s">
        <v>10021</v>
      </c>
      <c r="H2159" s="6">
        <v>45209</v>
      </c>
      <c r="I2159">
        <f t="shared" si="66"/>
        <v>0</v>
      </c>
      <c r="J2159" t="str">
        <f t="shared" si="67"/>
        <v>Complete</v>
      </c>
      <c r="K2159">
        <f>COUNTIFS(RawData[Item], B2159,RawData[Quantity],C2159,RawData[Price Per Unit],D2159,RawData[Total Spent],E2159,RawData[Payment Method],F2159,RawData[Location],G2159,RawData[Transaction Date],H2159)</f>
        <v>1</v>
      </c>
      <c r="L2159"/>
    </row>
    <row r="2160" spans="1:12" x14ac:dyDescent="0.3">
      <c r="A2160" t="s">
        <v>2166</v>
      </c>
      <c r="B2160" t="s">
        <v>10008</v>
      </c>
      <c r="C2160">
        <v>3</v>
      </c>
      <c r="D2160">
        <v>2</v>
      </c>
      <c r="E2160">
        <v>6</v>
      </c>
      <c r="F2160" t="s">
        <v>10020</v>
      </c>
      <c r="G2160" t="s">
        <v>10021</v>
      </c>
      <c r="H2160" s="6" t="s">
        <v>10112</v>
      </c>
      <c r="I2160">
        <f t="shared" si="66"/>
        <v>1</v>
      </c>
      <c r="J2160" t="str">
        <f t="shared" si="67"/>
        <v>Incomplete</v>
      </c>
      <c r="K2160">
        <f>COUNTIFS(RawData[Item], B2160,RawData[Quantity],C2160,RawData[Price Per Unit],D2160,RawData[Total Spent],E2160,RawData[Payment Method],F2160,RawData[Location],G2160,RawData[Transaction Date],H2160)</f>
        <v>1</v>
      </c>
      <c r="L2160"/>
    </row>
    <row r="2161" spans="1:12" x14ac:dyDescent="0.3">
      <c r="A2161" t="s">
        <v>2167</v>
      </c>
      <c r="B2161" t="s">
        <v>10069</v>
      </c>
      <c r="C2161">
        <v>0</v>
      </c>
      <c r="D2161">
        <v>2</v>
      </c>
      <c r="E2161">
        <v>2</v>
      </c>
      <c r="F2161" t="s">
        <v>10020</v>
      </c>
      <c r="G2161" t="s">
        <v>10021</v>
      </c>
      <c r="H2161" s="6">
        <v>45268</v>
      </c>
      <c r="I2161">
        <f t="shared" si="66"/>
        <v>0</v>
      </c>
      <c r="J2161" t="str">
        <f t="shared" si="67"/>
        <v>Complete</v>
      </c>
      <c r="K2161">
        <f>COUNTIFS(RawData[Item], B2161,RawData[Quantity],C2161,RawData[Price Per Unit],D2161,RawData[Total Spent],E2161,RawData[Payment Method],F2161,RawData[Location],G2161,RawData[Transaction Date],H2161)</f>
        <v>1</v>
      </c>
      <c r="L2161"/>
    </row>
    <row r="2162" spans="1:12" x14ac:dyDescent="0.3">
      <c r="A2162" t="s">
        <v>2168</v>
      </c>
      <c r="B2162" t="s">
        <v>10017</v>
      </c>
      <c r="C2162">
        <v>1</v>
      </c>
      <c r="D2162">
        <v>1.5</v>
      </c>
      <c r="E2162">
        <v>0</v>
      </c>
      <c r="F2162" t="s">
        <v>10069</v>
      </c>
      <c r="G2162" t="s">
        <v>10102</v>
      </c>
      <c r="H2162" s="6">
        <v>45159</v>
      </c>
      <c r="I2162">
        <f t="shared" si="66"/>
        <v>0</v>
      </c>
      <c r="J2162" t="str">
        <f t="shared" si="67"/>
        <v>Complete</v>
      </c>
      <c r="K2162">
        <f>COUNTIFS(RawData[Item], B2162,RawData[Quantity],C2162,RawData[Price Per Unit],D2162,RawData[Total Spent],E2162,RawData[Payment Method],F2162,RawData[Location],G2162,RawData[Transaction Date],H2162)</f>
        <v>1</v>
      </c>
      <c r="L2162"/>
    </row>
    <row r="2163" spans="1:12" x14ac:dyDescent="0.3">
      <c r="A2163" t="s">
        <v>2169</v>
      </c>
      <c r="B2163" t="s">
        <v>10016</v>
      </c>
      <c r="C2163">
        <v>2</v>
      </c>
      <c r="D2163">
        <v>3</v>
      </c>
      <c r="E2163">
        <v>6</v>
      </c>
      <c r="F2163" t="s">
        <v>10018</v>
      </c>
      <c r="G2163" t="s">
        <v>10102</v>
      </c>
      <c r="H2163" s="6">
        <v>44943</v>
      </c>
      <c r="I2163">
        <f t="shared" si="66"/>
        <v>0</v>
      </c>
      <c r="J2163" t="str">
        <f t="shared" si="67"/>
        <v>Complete</v>
      </c>
      <c r="K2163">
        <f>COUNTIFS(RawData[Item], B2163,RawData[Quantity],C2163,RawData[Price Per Unit],D2163,RawData[Total Spent],E2163,RawData[Payment Method],F2163,RawData[Location],G2163,RawData[Transaction Date],H2163)</f>
        <v>1</v>
      </c>
      <c r="L2163"/>
    </row>
    <row r="2164" spans="1:12" x14ac:dyDescent="0.3">
      <c r="A2164" t="s">
        <v>2170</v>
      </c>
      <c r="B2164" t="s">
        <v>10011</v>
      </c>
      <c r="C2164">
        <v>1</v>
      </c>
      <c r="D2164">
        <v>5</v>
      </c>
      <c r="E2164">
        <v>5</v>
      </c>
      <c r="F2164" t="s">
        <v>10069</v>
      </c>
      <c r="G2164" t="s">
        <v>10021</v>
      </c>
      <c r="H2164" s="6">
        <v>44970</v>
      </c>
      <c r="I2164">
        <f t="shared" si="66"/>
        <v>0</v>
      </c>
      <c r="J2164" t="str">
        <f t="shared" si="67"/>
        <v>Complete</v>
      </c>
      <c r="K2164">
        <f>COUNTIFS(RawData[Item], B2164,RawData[Quantity],C2164,RawData[Price Per Unit],D2164,RawData[Total Spent],E2164,RawData[Payment Method],F2164,RawData[Location],G2164,RawData[Transaction Date],H2164)</f>
        <v>1</v>
      </c>
      <c r="L2164"/>
    </row>
    <row r="2165" spans="1:12" x14ac:dyDescent="0.3">
      <c r="A2165" t="s">
        <v>2171</v>
      </c>
      <c r="B2165" t="s">
        <v>10017</v>
      </c>
      <c r="C2165">
        <v>4</v>
      </c>
      <c r="D2165">
        <v>1.5</v>
      </c>
      <c r="E2165">
        <v>6</v>
      </c>
      <c r="F2165" t="s">
        <v>10069</v>
      </c>
      <c r="G2165" t="s">
        <v>10069</v>
      </c>
      <c r="H2165" s="6">
        <v>45075</v>
      </c>
      <c r="I2165">
        <f t="shared" si="66"/>
        <v>0</v>
      </c>
      <c r="J2165" t="str">
        <f t="shared" si="67"/>
        <v>Complete</v>
      </c>
      <c r="K2165">
        <f>COUNTIFS(RawData[Item], B2165,RawData[Quantity],C2165,RawData[Price Per Unit],D2165,RawData[Total Spent],E2165,RawData[Payment Method],F2165,RawData[Location],G2165,RawData[Transaction Date],H2165)</f>
        <v>1</v>
      </c>
      <c r="L2165"/>
    </row>
    <row r="2166" spans="1:12" x14ac:dyDescent="0.3">
      <c r="A2166" t="s">
        <v>2172</v>
      </c>
      <c r="B2166" t="s">
        <v>10011</v>
      </c>
      <c r="C2166">
        <v>5</v>
      </c>
      <c r="D2166">
        <v>5</v>
      </c>
      <c r="E2166">
        <v>25</v>
      </c>
      <c r="F2166" t="s">
        <v>10018</v>
      </c>
      <c r="G2166" t="s">
        <v>10021</v>
      </c>
      <c r="H2166" s="6">
        <v>44946</v>
      </c>
      <c r="I2166">
        <f t="shared" si="66"/>
        <v>0</v>
      </c>
      <c r="J2166" t="str">
        <f t="shared" si="67"/>
        <v>Complete</v>
      </c>
      <c r="K2166">
        <f>COUNTIFS(RawData[Item], B2166,RawData[Quantity],C2166,RawData[Price Per Unit],D2166,RawData[Total Spent],E2166,RawData[Payment Method],F2166,RawData[Location],G2166,RawData[Transaction Date],H2166)</f>
        <v>1</v>
      </c>
      <c r="L2166"/>
    </row>
    <row r="2167" spans="1:12" x14ac:dyDescent="0.3">
      <c r="A2167" t="s">
        <v>2173</v>
      </c>
      <c r="B2167" t="s">
        <v>10010</v>
      </c>
      <c r="C2167">
        <v>1</v>
      </c>
      <c r="D2167">
        <v>1</v>
      </c>
      <c r="E2167">
        <v>1</v>
      </c>
      <c r="F2167" t="s">
        <v>10103</v>
      </c>
      <c r="G2167" t="s">
        <v>10102</v>
      </c>
      <c r="H2167" s="6">
        <v>45067</v>
      </c>
      <c r="I2167">
        <f t="shared" si="66"/>
        <v>1</v>
      </c>
      <c r="J2167" t="str">
        <f t="shared" si="67"/>
        <v>Complete</v>
      </c>
      <c r="K2167">
        <f>COUNTIFS(RawData[Item], B2167,RawData[Quantity],C2167,RawData[Price Per Unit],D2167,RawData[Total Spent],E2167,RawData[Payment Method],F2167,RawData[Location],G2167,RawData[Transaction Date],H2167)</f>
        <v>1</v>
      </c>
      <c r="L2167"/>
    </row>
    <row r="2168" spans="1:12" x14ac:dyDescent="0.3">
      <c r="A2168" t="s">
        <v>2174</v>
      </c>
      <c r="B2168" t="s">
        <v>10016</v>
      </c>
      <c r="C2168">
        <v>5</v>
      </c>
      <c r="D2168">
        <v>3</v>
      </c>
      <c r="E2168">
        <v>15</v>
      </c>
      <c r="F2168" t="s">
        <v>10020</v>
      </c>
      <c r="G2168" t="s">
        <v>10102</v>
      </c>
      <c r="H2168" s="6">
        <v>44936</v>
      </c>
      <c r="I2168">
        <f t="shared" si="66"/>
        <v>0</v>
      </c>
      <c r="J2168" t="str">
        <f t="shared" si="67"/>
        <v>Complete</v>
      </c>
      <c r="K2168">
        <f>COUNTIFS(RawData[Item], B2168,RawData[Quantity],C2168,RawData[Price Per Unit],D2168,RawData[Total Spent],E2168,RawData[Payment Method],F2168,RawData[Location],G2168,RawData[Transaction Date],H2168)</f>
        <v>1</v>
      </c>
      <c r="L2168"/>
    </row>
    <row r="2169" spans="1:12" x14ac:dyDescent="0.3">
      <c r="A2169" t="s">
        <v>2175</v>
      </c>
      <c r="B2169" t="s">
        <v>10014</v>
      </c>
      <c r="C2169">
        <v>5</v>
      </c>
      <c r="D2169" t="s">
        <v>10015</v>
      </c>
      <c r="E2169">
        <v>20</v>
      </c>
      <c r="F2169" t="s">
        <v>10069</v>
      </c>
      <c r="G2169" t="s">
        <v>10021</v>
      </c>
      <c r="H2169" s="6">
        <v>45036</v>
      </c>
      <c r="I2169">
        <f t="shared" si="66"/>
        <v>1</v>
      </c>
      <c r="J2169" t="str">
        <f t="shared" si="67"/>
        <v>Complete</v>
      </c>
      <c r="K2169">
        <f>COUNTIFS(RawData[Item], B2169,RawData[Quantity],C2169,RawData[Price Per Unit],D2169,RawData[Total Spent],E2169,RawData[Payment Method],F2169,RawData[Location],G2169,RawData[Transaction Date],H2169)</f>
        <v>1</v>
      </c>
      <c r="L2169"/>
    </row>
    <row r="2170" spans="1:12" x14ac:dyDescent="0.3">
      <c r="A2170" t="s">
        <v>2176</v>
      </c>
      <c r="B2170" t="s">
        <v>10010</v>
      </c>
      <c r="C2170">
        <v>4</v>
      </c>
      <c r="D2170">
        <v>1</v>
      </c>
      <c r="E2170">
        <v>4</v>
      </c>
      <c r="F2170" t="s">
        <v>10018</v>
      </c>
      <c r="G2170" t="s">
        <v>10102</v>
      </c>
      <c r="H2170" s="6">
        <v>45266</v>
      </c>
      <c r="I2170">
        <f t="shared" si="66"/>
        <v>0</v>
      </c>
      <c r="J2170" t="str">
        <f t="shared" si="67"/>
        <v>Complete</v>
      </c>
      <c r="K2170">
        <f>COUNTIFS(RawData[Item], B2170,RawData[Quantity],C2170,RawData[Price Per Unit],D2170,RawData[Total Spent],E2170,RawData[Payment Method],F2170,RawData[Location],G2170,RawData[Transaction Date],H2170)</f>
        <v>1</v>
      </c>
      <c r="L2170"/>
    </row>
    <row r="2171" spans="1:12" x14ac:dyDescent="0.3">
      <c r="A2171" t="s">
        <v>2177</v>
      </c>
      <c r="B2171" t="s">
        <v>10009</v>
      </c>
      <c r="C2171">
        <v>1</v>
      </c>
      <c r="D2171">
        <v>3</v>
      </c>
      <c r="E2171">
        <v>3</v>
      </c>
      <c r="F2171" t="s">
        <v>10019</v>
      </c>
      <c r="G2171" t="s">
        <v>10069</v>
      </c>
      <c r="H2171" s="6">
        <v>45081</v>
      </c>
      <c r="I2171">
        <f t="shared" si="66"/>
        <v>0</v>
      </c>
      <c r="J2171" t="str">
        <f t="shared" si="67"/>
        <v>Complete</v>
      </c>
      <c r="K2171">
        <f>COUNTIFS(RawData[Item], B2171,RawData[Quantity],C2171,RawData[Price Per Unit],D2171,RawData[Total Spent],E2171,RawData[Payment Method],F2171,RawData[Location],G2171,RawData[Transaction Date],H2171)</f>
        <v>1</v>
      </c>
      <c r="L2171"/>
    </row>
    <row r="2172" spans="1:12" x14ac:dyDescent="0.3">
      <c r="A2172" t="s">
        <v>2178</v>
      </c>
      <c r="B2172" t="s">
        <v>10011</v>
      </c>
      <c r="C2172">
        <v>3</v>
      </c>
      <c r="D2172">
        <v>5</v>
      </c>
      <c r="E2172">
        <v>15</v>
      </c>
      <c r="F2172" t="s">
        <v>10019</v>
      </c>
      <c r="G2172" t="s">
        <v>10102</v>
      </c>
      <c r="H2172" s="6">
        <v>45289</v>
      </c>
      <c r="I2172">
        <f t="shared" si="66"/>
        <v>0</v>
      </c>
      <c r="J2172" t="str">
        <f t="shared" si="67"/>
        <v>Complete</v>
      </c>
      <c r="K2172">
        <f>COUNTIFS(RawData[Item], B2172,RawData[Quantity],C2172,RawData[Price Per Unit],D2172,RawData[Total Spent],E2172,RawData[Payment Method],F2172,RawData[Location],G2172,RawData[Transaction Date],H2172)</f>
        <v>1</v>
      </c>
      <c r="L2172"/>
    </row>
    <row r="2173" spans="1:12" x14ac:dyDescent="0.3">
      <c r="A2173" t="s">
        <v>2179</v>
      </c>
      <c r="B2173" t="s">
        <v>10014</v>
      </c>
      <c r="C2173">
        <v>0</v>
      </c>
      <c r="D2173">
        <v>4</v>
      </c>
      <c r="E2173">
        <v>12</v>
      </c>
      <c r="F2173" t="s">
        <v>10018</v>
      </c>
      <c r="G2173" t="s">
        <v>10069</v>
      </c>
      <c r="H2173" s="6">
        <v>44962</v>
      </c>
      <c r="I2173">
        <f t="shared" si="66"/>
        <v>0</v>
      </c>
      <c r="J2173" t="str">
        <f t="shared" si="67"/>
        <v>Complete</v>
      </c>
      <c r="K2173">
        <f>COUNTIFS(RawData[Item], B2173,RawData[Quantity],C2173,RawData[Price Per Unit],D2173,RawData[Total Spent],E2173,RawData[Payment Method],F2173,RawData[Location],G2173,RawData[Transaction Date],H2173)</f>
        <v>1</v>
      </c>
      <c r="L2173"/>
    </row>
    <row r="2174" spans="1:12" x14ac:dyDescent="0.3">
      <c r="A2174" t="s">
        <v>2180</v>
      </c>
      <c r="B2174" t="s">
        <v>10009</v>
      </c>
      <c r="C2174">
        <v>4</v>
      </c>
      <c r="D2174">
        <v>3</v>
      </c>
      <c r="E2174">
        <v>12</v>
      </c>
      <c r="F2174" t="s">
        <v>10018</v>
      </c>
      <c r="G2174" t="s">
        <v>10069</v>
      </c>
      <c r="H2174" s="6">
        <v>45067</v>
      </c>
      <c r="I2174">
        <f t="shared" si="66"/>
        <v>0</v>
      </c>
      <c r="J2174" t="str">
        <f t="shared" si="67"/>
        <v>Complete</v>
      </c>
      <c r="K2174">
        <f>COUNTIFS(RawData[Item], B2174,RawData[Quantity],C2174,RawData[Price Per Unit],D2174,RawData[Total Spent],E2174,RawData[Payment Method],F2174,RawData[Location],G2174,RawData[Transaction Date],H2174)</f>
        <v>1</v>
      </c>
      <c r="L2174"/>
    </row>
    <row r="2175" spans="1:12" x14ac:dyDescent="0.3">
      <c r="A2175" t="s">
        <v>2181</v>
      </c>
      <c r="B2175" t="s">
        <v>10011</v>
      </c>
      <c r="C2175">
        <v>4</v>
      </c>
      <c r="D2175">
        <v>5</v>
      </c>
      <c r="E2175">
        <v>20</v>
      </c>
      <c r="F2175" t="s">
        <v>10018</v>
      </c>
      <c r="G2175" t="s">
        <v>10021</v>
      </c>
      <c r="H2175" s="6">
        <v>45154</v>
      </c>
      <c r="I2175">
        <f t="shared" si="66"/>
        <v>0</v>
      </c>
      <c r="J2175" t="str">
        <f t="shared" si="67"/>
        <v>Complete</v>
      </c>
      <c r="K2175">
        <f>COUNTIFS(RawData[Item], B2175,RawData[Quantity],C2175,RawData[Price Per Unit],D2175,RawData[Total Spent],E2175,RawData[Payment Method],F2175,RawData[Location],G2175,RawData[Transaction Date],H2175)</f>
        <v>1</v>
      </c>
      <c r="L2175"/>
    </row>
    <row r="2176" spans="1:12" x14ac:dyDescent="0.3">
      <c r="A2176" t="s">
        <v>2182</v>
      </c>
      <c r="B2176" t="s">
        <v>10015</v>
      </c>
      <c r="C2176">
        <v>5</v>
      </c>
      <c r="D2176">
        <v>3</v>
      </c>
      <c r="E2176">
        <v>15</v>
      </c>
      <c r="F2176" t="s">
        <v>10069</v>
      </c>
      <c r="G2176" t="s">
        <v>10069</v>
      </c>
      <c r="H2176" s="6">
        <v>45035</v>
      </c>
      <c r="I2176">
        <f t="shared" si="66"/>
        <v>1</v>
      </c>
      <c r="J2176" t="str">
        <f t="shared" si="67"/>
        <v>Complete</v>
      </c>
      <c r="K2176">
        <f>COUNTIFS(RawData[Item], B2176,RawData[Quantity],C2176,RawData[Price Per Unit],D2176,RawData[Total Spent],E2176,RawData[Payment Method],F2176,RawData[Location],G2176,RawData[Transaction Date],H2176)</f>
        <v>1</v>
      </c>
      <c r="L2176"/>
    </row>
    <row r="2177" spans="1:12" x14ac:dyDescent="0.3">
      <c r="A2177" t="s">
        <v>2183</v>
      </c>
      <c r="B2177" t="s">
        <v>10012</v>
      </c>
      <c r="C2177">
        <v>4</v>
      </c>
      <c r="D2177">
        <v>4</v>
      </c>
      <c r="E2177">
        <v>16</v>
      </c>
      <c r="F2177" t="s">
        <v>10018</v>
      </c>
      <c r="G2177" t="s">
        <v>10102</v>
      </c>
      <c r="H2177" s="6">
        <v>45283</v>
      </c>
      <c r="I2177">
        <f t="shared" si="66"/>
        <v>0</v>
      </c>
      <c r="J2177" t="str">
        <f t="shared" si="67"/>
        <v>Complete</v>
      </c>
      <c r="K2177">
        <f>COUNTIFS(RawData[Item], B2177,RawData[Quantity],C2177,RawData[Price Per Unit],D2177,RawData[Total Spent],E2177,RawData[Payment Method],F2177,RawData[Location],G2177,RawData[Transaction Date],H2177)</f>
        <v>1</v>
      </c>
      <c r="L2177"/>
    </row>
    <row r="2178" spans="1:12" x14ac:dyDescent="0.3">
      <c r="A2178" t="s">
        <v>2184</v>
      </c>
      <c r="B2178" t="s">
        <v>10008</v>
      </c>
      <c r="C2178">
        <v>2</v>
      </c>
      <c r="D2178">
        <v>2</v>
      </c>
      <c r="E2178" t="s">
        <v>10015</v>
      </c>
      <c r="F2178" t="s">
        <v>10069</v>
      </c>
      <c r="G2178" t="s">
        <v>10102</v>
      </c>
      <c r="H2178" s="6">
        <v>45029</v>
      </c>
      <c r="I2178">
        <f t="shared" ref="I2178:I2241" si="68">(B2178="Unknown")+(B2178="Error")+(C2178="Unknown")+(C2178="Error")+(D2178="Unknown")+(D2178="Error")+(E2178="Unknown")+(E2178="Error")+(F2178="Unknown")+(F2178="Error")+(G2178="Unknown")+(G2178="Error")+(H2178="No Date")</f>
        <v>1</v>
      </c>
      <c r="J2178" t="str">
        <f t="shared" ref="J2178:J2241" si="69">IF((H2178="No Date"),"Incomplete","Complete")</f>
        <v>Complete</v>
      </c>
      <c r="K2178">
        <f>COUNTIFS(RawData[Item], B2178,RawData[Quantity],C2178,RawData[Price Per Unit],D2178,RawData[Total Spent],E2178,RawData[Payment Method],F2178,RawData[Location],G2178,RawData[Transaction Date],H2178)</f>
        <v>1</v>
      </c>
      <c r="L2178"/>
    </row>
    <row r="2179" spans="1:12" x14ac:dyDescent="0.3">
      <c r="A2179" t="s">
        <v>2185</v>
      </c>
      <c r="B2179" t="s">
        <v>10010</v>
      </c>
      <c r="C2179">
        <v>4</v>
      </c>
      <c r="D2179">
        <v>1</v>
      </c>
      <c r="E2179">
        <v>4</v>
      </c>
      <c r="F2179" t="s">
        <v>10019</v>
      </c>
      <c r="G2179" t="s">
        <v>10069</v>
      </c>
      <c r="H2179" s="6">
        <v>45098</v>
      </c>
      <c r="I2179">
        <f t="shared" si="68"/>
        <v>0</v>
      </c>
      <c r="J2179" t="str">
        <f t="shared" si="69"/>
        <v>Complete</v>
      </c>
      <c r="K2179">
        <f>COUNTIFS(RawData[Item], B2179,RawData[Quantity],C2179,RawData[Price Per Unit],D2179,RawData[Total Spent],E2179,RawData[Payment Method],F2179,RawData[Location],G2179,RawData[Transaction Date],H2179)</f>
        <v>1</v>
      </c>
      <c r="L2179"/>
    </row>
    <row r="2180" spans="1:12" x14ac:dyDescent="0.3">
      <c r="A2180" t="s">
        <v>2186</v>
      </c>
      <c r="B2180" t="s">
        <v>10017</v>
      </c>
      <c r="C2180">
        <v>2</v>
      </c>
      <c r="D2180">
        <v>1.5</v>
      </c>
      <c r="E2180">
        <v>3</v>
      </c>
      <c r="F2180" t="s">
        <v>10069</v>
      </c>
      <c r="G2180" t="s">
        <v>10021</v>
      </c>
      <c r="H2180" s="6">
        <v>45063</v>
      </c>
      <c r="I2180">
        <f t="shared" si="68"/>
        <v>0</v>
      </c>
      <c r="J2180" t="str">
        <f t="shared" si="69"/>
        <v>Complete</v>
      </c>
      <c r="K2180">
        <f>COUNTIFS(RawData[Item], B2180,RawData[Quantity],C2180,RawData[Price Per Unit],D2180,RawData[Total Spent],E2180,RawData[Payment Method],F2180,RawData[Location],G2180,RawData[Transaction Date],H2180)</f>
        <v>1</v>
      </c>
      <c r="L2180"/>
    </row>
    <row r="2181" spans="1:12" x14ac:dyDescent="0.3">
      <c r="A2181" t="s">
        <v>2187</v>
      </c>
      <c r="B2181" t="s">
        <v>10012</v>
      </c>
      <c r="C2181">
        <v>1</v>
      </c>
      <c r="D2181">
        <v>4</v>
      </c>
      <c r="E2181">
        <v>4</v>
      </c>
      <c r="F2181" t="s">
        <v>10018</v>
      </c>
      <c r="G2181" t="s">
        <v>10021</v>
      </c>
      <c r="H2181" s="6">
        <v>45105</v>
      </c>
      <c r="I2181">
        <f t="shared" si="68"/>
        <v>0</v>
      </c>
      <c r="J2181" t="str">
        <f t="shared" si="69"/>
        <v>Complete</v>
      </c>
      <c r="K2181">
        <f>COUNTIFS(RawData[Item], B2181,RawData[Quantity],C2181,RawData[Price Per Unit],D2181,RawData[Total Spent],E2181,RawData[Payment Method],F2181,RawData[Location],G2181,RawData[Transaction Date],H2181)</f>
        <v>1</v>
      </c>
      <c r="L2181"/>
    </row>
    <row r="2182" spans="1:12" x14ac:dyDescent="0.3">
      <c r="A2182" t="s">
        <v>2188</v>
      </c>
      <c r="B2182" t="s">
        <v>10012</v>
      </c>
      <c r="C2182">
        <v>4</v>
      </c>
      <c r="D2182">
        <v>4</v>
      </c>
      <c r="E2182">
        <v>16</v>
      </c>
      <c r="F2182" t="s">
        <v>10020</v>
      </c>
      <c r="G2182" t="s">
        <v>10069</v>
      </c>
      <c r="H2182" s="6">
        <v>45251</v>
      </c>
      <c r="I2182">
        <f t="shared" si="68"/>
        <v>0</v>
      </c>
      <c r="J2182" t="str">
        <f t="shared" si="69"/>
        <v>Complete</v>
      </c>
      <c r="K2182">
        <f>COUNTIFS(RawData[Item], B2182,RawData[Quantity],C2182,RawData[Price Per Unit],D2182,RawData[Total Spent],E2182,RawData[Payment Method],F2182,RawData[Location],G2182,RawData[Transaction Date],H2182)</f>
        <v>1</v>
      </c>
      <c r="L2182"/>
    </row>
    <row r="2183" spans="1:12" x14ac:dyDescent="0.3">
      <c r="A2183" t="s">
        <v>2189</v>
      </c>
      <c r="B2183" t="s">
        <v>10014</v>
      </c>
      <c r="C2183">
        <v>3</v>
      </c>
      <c r="D2183">
        <v>4</v>
      </c>
      <c r="E2183">
        <v>12</v>
      </c>
      <c r="F2183" t="s">
        <v>10019</v>
      </c>
      <c r="G2183" t="s">
        <v>10069</v>
      </c>
      <c r="H2183" s="6">
        <v>45054</v>
      </c>
      <c r="I2183">
        <f t="shared" si="68"/>
        <v>0</v>
      </c>
      <c r="J2183" t="str">
        <f t="shared" si="69"/>
        <v>Complete</v>
      </c>
      <c r="K2183">
        <f>COUNTIFS(RawData[Item], B2183,RawData[Quantity],C2183,RawData[Price Per Unit],D2183,RawData[Total Spent],E2183,RawData[Payment Method],F2183,RawData[Location],G2183,RawData[Transaction Date],H2183)</f>
        <v>1</v>
      </c>
      <c r="L2183"/>
    </row>
    <row r="2184" spans="1:12" x14ac:dyDescent="0.3">
      <c r="A2184" t="s">
        <v>2190</v>
      </c>
      <c r="B2184" t="s">
        <v>10012</v>
      </c>
      <c r="C2184">
        <v>2</v>
      </c>
      <c r="D2184">
        <v>4</v>
      </c>
      <c r="E2184">
        <v>8</v>
      </c>
      <c r="F2184" t="s">
        <v>10018</v>
      </c>
      <c r="G2184" t="s">
        <v>10021</v>
      </c>
      <c r="H2184" s="6">
        <v>45236</v>
      </c>
      <c r="I2184">
        <f t="shared" si="68"/>
        <v>0</v>
      </c>
      <c r="J2184" t="str">
        <f t="shared" si="69"/>
        <v>Complete</v>
      </c>
      <c r="K2184">
        <f>COUNTIFS(RawData[Item], B2184,RawData[Quantity],C2184,RawData[Price Per Unit],D2184,RawData[Total Spent],E2184,RawData[Payment Method],F2184,RawData[Location],G2184,RawData[Transaction Date],H2184)</f>
        <v>1</v>
      </c>
      <c r="L2184"/>
    </row>
    <row r="2185" spans="1:12" x14ac:dyDescent="0.3">
      <c r="A2185" t="s">
        <v>2191</v>
      </c>
      <c r="B2185" t="s">
        <v>10012</v>
      </c>
      <c r="C2185">
        <v>2</v>
      </c>
      <c r="D2185">
        <v>4</v>
      </c>
      <c r="E2185">
        <v>8</v>
      </c>
      <c r="F2185" t="s">
        <v>10018</v>
      </c>
      <c r="G2185" t="s">
        <v>10069</v>
      </c>
      <c r="H2185" s="6">
        <v>45248</v>
      </c>
      <c r="I2185">
        <f t="shared" si="68"/>
        <v>0</v>
      </c>
      <c r="J2185" t="str">
        <f t="shared" si="69"/>
        <v>Complete</v>
      </c>
      <c r="K2185">
        <f>COUNTIFS(RawData[Item], B2185,RawData[Quantity],C2185,RawData[Price Per Unit],D2185,RawData[Total Spent],E2185,RawData[Payment Method],F2185,RawData[Location],G2185,RawData[Transaction Date],H2185)</f>
        <v>1</v>
      </c>
      <c r="L2185"/>
    </row>
    <row r="2186" spans="1:12" x14ac:dyDescent="0.3">
      <c r="A2186" t="s">
        <v>2192</v>
      </c>
      <c r="B2186" t="s">
        <v>10008</v>
      </c>
      <c r="C2186">
        <v>4</v>
      </c>
      <c r="D2186">
        <v>2</v>
      </c>
      <c r="E2186">
        <v>8</v>
      </c>
      <c r="F2186" t="s">
        <v>10020</v>
      </c>
      <c r="G2186" t="s">
        <v>10103</v>
      </c>
      <c r="H2186" s="6">
        <v>45174</v>
      </c>
      <c r="I2186">
        <f t="shared" si="68"/>
        <v>1</v>
      </c>
      <c r="J2186" t="str">
        <f t="shared" si="69"/>
        <v>Complete</v>
      </c>
      <c r="K2186">
        <f>COUNTIFS(RawData[Item], B2186,RawData[Quantity],C2186,RawData[Price Per Unit],D2186,RawData[Total Spent],E2186,RawData[Payment Method],F2186,RawData[Location],G2186,RawData[Transaction Date],H2186)</f>
        <v>1</v>
      </c>
      <c r="L2186"/>
    </row>
    <row r="2187" spans="1:12" x14ac:dyDescent="0.3">
      <c r="A2187" t="s">
        <v>2193</v>
      </c>
      <c r="B2187" t="s">
        <v>10013</v>
      </c>
      <c r="C2187">
        <v>5</v>
      </c>
      <c r="D2187">
        <v>1.5</v>
      </c>
      <c r="E2187">
        <v>7.5</v>
      </c>
      <c r="F2187" t="s">
        <v>10020</v>
      </c>
      <c r="G2187" t="s">
        <v>10103</v>
      </c>
      <c r="H2187" s="6">
        <v>45254</v>
      </c>
      <c r="I2187">
        <f t="shared" si="68"/>
        <v>2</v>
      </c>
      <c r="J2187" t="str">
        <f t="shared" si="69"/>
        <v>Complete</v>
      </c>
      <c r="K2187">
        <f>COUNTIFS(RawData[Item], B2187,RawData[Quantity],C2187,RawData[Price Per Unit],D2187,RawData[Total Spent],E2187,RawData[Payment Method],F2187,RawData[Location],G2187,RawData[Transaction Date],H2187)</f>
        <v>1</v>
      </c>
      <c r="L2187"/>
    </row>
    <row r="2188" spans="1:12" x14ac:dyDescent="0.3">
      <c r="A2188" t="s">
        <v>2194</v>
      </c>
      <c r="B2188" t="s">
        <v>10009</v>
      </c>
      <c r="C2188">
        <v>4</v>
      </c>
      <c r="D2188">
        <v>3</v>
      </c>
      <c r="E2188">
        <v>12</v>
      </c>
      <c r="F2188" t="s">
        <v>10018</v>
      </c>
      <c r="G2188" t="s">
        <v>10021</v>
      </c>
      <c r="H2188" s="6">
        <v>45152</v>
      </c>
      <c r="I2188">
        <f t="shared" si="68"/>
        <v>0</v>
      </c>
      <c r="J2188" t="str">
        <f t="shared" si="69"/>
        <v>Complete</v>
      </c>
      <c r="K2188">
        <f>COUNTIFS(RawData[Item], B2188,RawData[Quantity],C2188,RawData[Price Per Unit],D2188,RawData[Total Spent],E2188,RawData[Payment Method],F2188,RawData[Location],G2188,RawData[Transaction Date],H2188)</f>
        <v>1</v>
      </c>
      <c r="L2188"/>
    </row>
    <row r="2189" spans="1:12" x14ac:dyDescent="0.3">
      <c r="A2189" t="s">
        <v>2195</v>
      </c>
      <c r="B2189" t="s">
        <v>10013</v>
      </c>
      <c r="C2189">
        <v>3</v>
      </c>
      <c r="D2189">
        <v>2</v>
      </c>
      <c r="E2189">
        <v>6</v>
      </c>
      <c r="F2189" t="s">
        <v>10019</v>
      </c>
      <c r="G2189" t="s">
        <v>10069</v>
      </c>
      <c r="H2189" s="6">
        <v>45077</v>
      </c>
      <c r="I2189">
        <f t="shared" si="68"/>
        <v>1</v>
      </c>
      <c r="J2189" t="str">
        <f t="shared" si="69"/>
        <v>Complete</v>
      </c>
      <c r="K2189">
        <f>COUNTIFS(RawData[Item], B2189,RawData[Quantity],C2189,RawData[Price Per Unit],D2189,RawData[Total Spent],E2189,RawData[Payment Method],F2189,RawData[Location],G2189,RawData[Transaction Date],H2189)</f>
        <v>1</v>
      </c>
      <c r="L2189"/>
    </row>
    <row r="2190" spans="1:12" x14ac:dyDescent="0.3">
      <c r="A2190" t="s">
        <v>2196</v>
      </c>
      <c r="B2190" t="s">
        <v>10009</v>
      </c>
      <c r="C2190">
        <v>5</v>
      </c>
      <c r="D2190">
        <v>3</v>
      </c>
      <c r="E2190">
        <v>15</v>
      </c>
      <c r="F2190" t="s">
        <v>10104</v>
      </c>
      <c r="G2190" t="s">
        <v>10021</v>
      </c>
      <c r="H2190" s="6">
        <v>45122</v>
      </c>
      <c r="I2190">
        <f t="shared" si="68"/>
        <v>1</v>
      </c>
      <c r="J2190" t="str">
        <f t="shared" si="69"/>
        <v>Complete</v>
      </c>
      <c r="K2190">
        <f>COUNTIFS(RawData[Item], B2190,RawData[Quantity],C2190,RawData[Price Per Unit],D2190,RawData[Total Spent],E2190,RawData[Payment Method],F2190,RawData[Location],G2190,RawData[Transaction Date],H2190)</f>
        <v>1</v>
      </c>
      <c r="L2190"/>
    </row>
    <row r="2191" spans="1:12" x14ac:dyDescent="0.3">
      <c r="A2191" t="s">
        <v>2197</v>
      </c>
      <c r="B2191" t="s">
        <v>10011</v>
      </c>
      <c r="C2191">
        <v>5</v>
      </c>
      <c r="D2191" t="s">
        <v>10015</v>
      </c>
      <c r="E2191">
        <v>25</v>
      </c>
      <c r="F2191" t="s">
        <v>10018</v>
      </c>
      <c r="G2191" t="s">
        <v>10104</v>
      </c>
      <c r="H2191" s="6">
        <v>45236</v>
      </c>
      <c r="I2191">
        <f t="shared" si="68"/>
        <v>2</v>
      </c>
      <c r="J2191" t="str">
        <f t="shared" si="69"/>
        <v>Complete</v>
      </c>
      <c r="K2191">
        <f>COUNTIFS(RawData[Item], B2191,RawData[Quantity],C2191,RawData[Price Per Unit],D2191,RawData[Total Spent],E2191,RawData[Payment Method],F2191,RawData[Location],G2191,RawData[Transaction Date],H2191)</f>
        <v>1</v>
      </c>
      <c r="L2191"/>
    </row>
    <row r="2192" spans="1:12" x14ac:dyDescent="0.3">
      <c r="A2192" t="s">
        <v>2198</v>
      </c>
      <c r="B2192" t="s">
        <v>10012</v>
      </c>
      <c r="C2192">
        <v>4</v>
      </c>
      <c r="D2192">
        <v>4</v>
      </c>
      <c r="E2192">
        <v>16</v>
      </c>
      <c r="F2192" t="s">
        <v>10018</v>
      </c>
      <c r="G2192" t="s">
        <v>10069</v>
      </c>
      <c r="H2192" s="6">
        <v>45217</v>
      </c>
      <c r="I2192">
        <f t="shared" si="68"/>
        <v>0</v>
      </c>
      <c r="J2192" t="str">
        <f t="shared" si="69"/>
        <v>Complete</v>
      </c>
      <c r="K2192">
        <f>COUNTIFS(RawData[Item], B2192,RawData[Quantity],C2192,RawData[Price Per Unit],D2192,RawData[Total Spent],E2192,RawData[Payment Method],F2192,RawData[Location],G2192,RawData[Transaction Date],H2192)</f>
        <v>1</v>
      </c>
      <c r="L2192"/>
    </row>
    <row r="2193" spans="1:12" x14ac:dyDescent="0.3">
      <c r="A2193" t="s">
        <v>2199</v>
      </c>
      <c r="B2193" t="s">
        <v>10017</v>
      </c>
      <c r="C2193">
        <v>5</v>
      </c>
      <c r="D2193" t="s">
        <v>10015</v>
      </c>
      <c r="E2193">
        <v>7.5</v>
      </c>
      <c r="F2193" t="s">
        <v>10069</v>
      </c>
      <c r="G2193" t="s">
        <v>10069</v>
      </c>
      <c r="H2193" s="6">
        <v>45245</v>
      </c>
      <c r="I2193">
        <f t="shared" si="68"/>
        <v>1</v>
      </c>
      <c r="J2193" t="str">
        <f t="shared" si="69"/>
        <v>Complete</v>
      </c>
      <c r="K2193">
        <f>COUNTIFS(RawData[Item], B2193,RawData[Quantity],C2193,RawData[Price Per Unit],D2193,RawData[Total Spent],E2193,RawData[Payment Method],F2193,RawData[Location],G2193,RawData[Transaction Date],H2193)</f>
        <v>1</v>
      </c>
      <c r="L2193"/>
    </row>
    <row r="2194" spans="1:12" x14ac:dyDescent="0.3">
      <c r="A2194" t="s">
        <v>2200</v>
      </c>
      <c r="B2194" t="s">
        <v>10012</v>
      </c>
      <c r="C2194">
        <v>5</v>
      </c>
      <c r="D2194">
        <v>4</v>
      </c>
      <c r="E2194">
        <v>20</v>
      </c>
      <c r="F2194" t="s">
        <v>10018</v>
      </c>
      <c r="G2194" t="s">
        <v>10102</v>
      </c>
      <c r="H2194" s="6">
        <v>44967</v>
      </c>
      <c r="I2194">
        <f t="shared" si="68"/>
        <v>0</v>
      </c>
      <c r="J2194" t="str">
        <f t="shared" si="69"/>
        <v>Complete</v>
      </c>
      <c r="K2194">
        <f>COUNTIFS(RawData[Item], B2194,RawData[Quantity],C2194,RawData[Price Per Unit],D2194,RawData[Total Spent],E2194,RawData[Payment Method],F2194,RawData[Location],G2194,RawData[Transaction Date],H2194)</f>
        <v>1</v>
      </c>
      <c r="L2194"/>
    </row>
    <row r="2195" spans="1:12" x14ac:dyDescent="0.3">
      <c r="A2195" t="s">
        <v>2201</v>
      </c>
      <c r="B2195" t="s">
        <v>10010</v>
      </c>
      <c r="C2195">
        <v>3</v>
      </c>
      <c r="D2195">
        <v>1</v>
      </c>
      <c r="E2195">
        <v>3</v>
      </c>
      <c r="F2195" t="s">
        <v>10019</v>
      </c>
      <c r="G2195" t="s">
        <v>10021</v>
      </c>
      <c r="H2195" s="6">
        <v>44952</v>
      </c>
      <c r="I2195">
        <f t="shared" si="68"/>
        <v>0</v>
      </c>
      <c r="J2195" t="str">
        <f t="shared" si="69"/>
        <v>Complete</v>
      </c>
      <c r="K2195">
        <f>COUNTIFS(RawData[Item], B2195,RawData[Quantity],C2195,RawData[Price Per Unit],D2195,RawData[Total Spent],E2195,RawData[Payment Method],F2195,RawData[Location],G2195,RawData[Transaction Date],H2195)</f>
        <v>1</v>
      </c>
      <c r="L2195"/>
    </row>
    <row r="2196" spans="1:12" x14ac:dyDescent="0.3">
      <c r="A2196" t="s">
        <v>2202</v>
      </c>
      <c r="B2196" t="s">
        <v>10014</v>
      </c>
      <c r="C2196">
        <v>2</v>
      </c>
      <c r="D2196">
        <v>4</v>
      </c>
      <c r="E2196">
        <v>8</v>
      </c>
      <c r="F2196" t="s">
        <v>10020</v>
      </c>
      <c r="G2196" t="s">
        <v>10104</v>
      </c>
      <c r="H2196" s="6">
        <v>45192</v>
      </c>
      <c r="I2196">
        <f t="shared" si="68"/>
        <v>1</v>
      </c>
      <c r="J2196" t="str">
        <f t="shared" si="69"/>
        <v>Complete</v>
      </c>
      <c r="K2196">
        <f>COUNTIFS(RawData[Item], B2196,RawData[Quantity],C2196,RawData[Price Per Unit],D2196,RawData[Total Spent],E2196,RawData[Payment Method],F2196,RawData[Location],G2196,RawData[Transaction Date],H2196)</f>
        <v>1</v>
      </c>
      <c r="L2196"/>
    </row>
    <row r="2197" spans="1:12" x14ac:dyDescent="0.3">
      <c r="A2197" t="s">
        <v>2203</v>
      </c>
      <c r="B2197" t="s">
        <v>10014</v>
      </c>
      <c r="C2197">
        <v>2</v>
      </c>
      <c r="D2197">
        <v>4</v>
      </c>
      <c r="E2197">
        <v>8</v>
      </c>
      <c r="F2197" t="s">
        <v>10018</v>
      </c>
      <c r="G2197" t="s">
        <v>10102</v>
      </c>
      <c r="H2197" s="6">
        <v>45075</v>
      </c>
      <c r="I2197">
        <f t="shared" si="68"/>
        <v>0</v>
      </c>
      <c r="J2197" t="str">
        <f t="shared" si="69"/>
        <v>Complete</v>
      </c>
      <c r="K2197">
        <f>COUNTIFS(RawData[Item], B2197,RawData[Quantity],C2197,RawData[Price Per Unit],D2197,RawData[Total Spent],E2197,RawData[Payment Method],F2197,RawData[Location],G2197,RawData[Transaction Date],H2197)</f>
        <v>1</v>
      </c>
      <c r="L2197"/>
    </row>
    <row r="2198" spans="1:12" x14ac:dyDescent="0.3">
      <c r="A2198" t="s">
        <v>2204</v>
      </c>
      <c r="B2198" t="s">
        <v>10014</v>
      </c>
      <c r="C2198">
        <v>3</v>
      </c>
      <c r="D2198">
        <v>4</v>
      </c>
      <c r="E2198">
        <v>12</v>
      </c>
      <c r="F2198" t="s">
        <v>10019</v>
      </c>
      <c r="G2198" t="s">
        <v>10069</v>
      </c>
      <c r="H2198" s="6">
        <v>44951</v>
      </c>
      <c r="I2198">
        <f t="shared" si="68"/>
        <v>0</v>
      </c>
      <c r="J2198" t="str">
        <f t="shared" si="69"/>
        <v>Complete</v>
      </c>
      <c r="K2198">
        <f>COUNTIFS(RawData[Item], B2198,RawData[Quantity],C2198,RawData[Price Per Unit],D2198,RawData[Total Spent],E2198,RawData[Payment Method],F2198,RawData[Location],G2198,RawData[Transaction Date],H2198)</f>
        <v>1</v>
      </c>
      <c r="L2198"/>
    </row>
    <row r="2199" spans="1:12" x14ac:dyDescent="0.3">
      <c r="A2199" t="s">
        <v>2205</v>
      </c>
      <c r="B2199" t="s">
        <v>10014</v>
      </c>
      <c r="C2199">
        <v>3</v>
      </c>
      <c r="D2199">
        <v>4</v>
      </c>
      <c r="E2199">
        <v>12</v>
      </c>
      <c r="F2199" t="s">
        <v>10018</v>
      </c>
      <c r="G2199" t="s">
        <v>10069</v>
      </c>
      <c r="H2199" s="6">
        <v>45231</v>
      </c>
      <c r="I2199">
        <f t="shared" si="68"/>
        <v>0</v>
      </c>
      <c r="J2199" t="str">
        <f t="shared" si="69"/>
        <v>Complete</v>
      </c>
      <c r="K2199">
        <f>COUNTIFS(RawData[Item], B2199,RawData[Quantity],C2199,RawData[Price Per Unit],D2199,RawData[Total Spent],E2199,RawData[Payment Method],F2199,RawData[Location],G2199,RawData[Transaction Date],H2199)</f>
        <v>1</v>
      </c>
      <c r="L2199"/>
    </row>
    <row r="2200" spans="1:12" x14ac:dyDescent="0.3">
      <c r="A2200" t="s">
        <v>2206</v>
      </c>
      <c r="B2200" t="s">
        <v>10015</v>
      </c>
      <c r="C2200">
        <v>5</v>
      </c>
      <c r="D2200">
        <v>5</v>
      </c>
      <c r="E2200">
        <v>25</v>
      </c>
      <c r="F2200" t="s">
        <v>10069</v>
      </c>
      <c r="G2200" t="s">
        <v>10021</v>
      </c>
      <c r="H2200" s="6">
        <v>45113</v>
      </c>
      <c r="I2200">
        <f t="shared" si="68"/>
        <v>1</v>
      </c>
      <c r="J2200" t="str">
        <f t="shared" si="69"/>
        <v>Complete</v>
      </c>
      <c r="K2200">
        <f>COUNTIFS(RawData[Item], B2200,RawData[Quantity],C2200,RawData[Price Per Unit],D2200,RawData[Total Spent],E2200,RawData[Payment Method],F2200,RawData[Location],G2200,RawData[Transaction Date],H2200)</f>
        <v>1</v>
      </c>
      <c r="L2200"/>
    </row>
    <row r="2201" spans="1:12" x14ac:dyDescent="0.3">
      <c r="A2201" t="s">
        <v>2207</v>
      </c>
      <c r="B2201" t="s">
        <v>10008</v>
      </c>
      <c r="C2201">
        <v>4</v>
      </c>
      <c r="D2201">
        <v>2</v>
      </c>
      <c r="E2201">
        <v>0</v>
      </c>
      <c r="F2201" t="s">
        <v>10069</v>
      </c>
      <c r="G2201" t="s">
        <v>10069</v>
      </c>
      <c r="H2201" s="6">
        <v>45007</v>
      </c>
      <c r="I2201">
        <f t="shared" si="68"/>
        <v>0</v>
      </c>
      <c r="J2201" t="str">
        <f t="shared" si="69"/>
        <v>Complete</v>
      </c>
      <c r="K2201">
        <f>COUNTIFS(RawData[Item], B2201,RawData[Quantity],C2201,RawData[Price Per Unit],D2201,RawData[Total Spent],E2201,RawData[Payment Method],F2201,RawData[Location],G2201,RawData[Transaction Date],H2201)</f>
        <v>1</v>
      </c>
      <c r="L2201"/>
    </row>
    <row r="2202" spans="1:12" x14ac:dyDescent="0.3">
      <c r="A2202" t="s">
        <v>2208</v>
      </c>
      <c r="B2202" t="s">
        <v>10014</v>
      </c>
      <c r="C2202">
        <v>3</v>
      </c>
      <c r="D2202">
        <v>4</v>
      </c>
      <c r="E2202">
        <v>12</v>
      </c>
      <c r="F2202" t="s">
        <v>10018</v>
      </c>
      <c r="G2202" t="s">
        <v>10069</v>
      </c>
      <c r="H2202" s="6">
        <v>45103</v>
      </c>
      <c r="I2202">
        <f t="shared" si="68"/>
        <v>0</v>
      </c>
      <c r="J2202" t="str">
        <f t="shared" si="69"/>
        <v>Complete</v>
      </c>
      <c r="K2202">
        <f>COUNTIFS(RawData[Item], B2202,RawData[Quantity],C2202,RawData[Price Per Unit],D2202,RawData[Total Spent],E2202,RawData[Payment Method],F2202,RawData[Location],G2202,RawData[Transaction Date],H2202)</f>
        <v>1</v>
      </c>
      <c r="L2202"/>
    </row>
    <row r="2203" spans="1:12" x14ac:dyDescent="0.3">
      <c r="A2203" t="s">
        <v>2209</v>
      </c>
      <c r="B2203" t="s">
        <v>10017</v>
      </c>
      <c r="C2203">
        <v>2</v>
      </c>
      <c r="D2203">
        <v>1.5</v>
      </c>
      <c r="E2203">
        <v>3</v>
      </c>
      <c r="F2203" t="s">
        <v>10020</v>
      </c>
      <c r="G2203" t="s">
        <v>10069</v>
      </c>
      <c r="H2203" s="6">
        <v>44940</v>
      </c>
      <c r="I2203">
        <f t="shared" si="68"/>
        <v>0</v>
      </c>
      <c r="J2203" t="str">
        <f t="shared" si="69"/>
        <v>Complete</v>
      </c>
      <c r="K2203">
        <f>COUNTIFS(RawData[Item], B2203,RawData[Quantity],C2203,RawData[Price Per Unit],D2203,RawData[Total Spent],E2203,RawData[Payment Method],F2203,RawData[Location],G2203,RawData[Transaction Date],H2203)</f>
        <v>1</v>
      </c>
      <c r="L2203"/>
    </row>
    <row r="2204" spans="1:12" x14ac:dyDescent="0.3">
      <c r="A2204" t="s">
        <v>2210</v>
      </c>
      <c r="B2204" t="s">
        <v>10016</v>
      </c>
      <c r="C2204">
        <v>2</v>
      </c>
      <c r="D2204">
        <v>3</v>
      </c>
      <c r="E2204">
        <v>6</v>
      </c>
      <c r="F2204" t="s">
        <v>10019</v>
      </c>
      <c r="G2204" t="s">
        <v>10069</v>
      </c>
      <c r="H2204" s="6">
        <v>45239</v>
      </c>
      <c r="I2204">
        <f t="shared" si="68"/>
        <v>0</v>
      </c>
      <c r="J2204" t="str">
        <f t="shared" si="69"/>
        <v>Complete</v>
      </c>
      <c r="K2204">
        <f>COUNTIFS(RawData[Item], B2204,RawData[Quantity],C2204,RawData[Price Per Unit],D2204,RawData[Total Spent],E2204,RawData[Payment Method],F2204,RawData[Location],G2204,RawData[Transaction Date],H2204)</f>
        <v>1</v>
      </c>
      <c r="L2204"/>
    </row>
    <row r="2205" spans="1:12" x14ac:dyDescent="0.3">
      <c r="A2205" t="s">
        <v>2211</v>
      </c>
      <c r="B2205" t="s">
        <v>10009</v>
      </c>
      <c r="C2205">
        <v>2</v>
      </c>
      <c r="D2205">
        <v>3</v>
      </c>
      <c r="E2205">
        <v>6</v>
      </c>
      <c r="F2205" t="s">
        <v>10069</v>
      </c>
      <c r="G2205" t="s">
        <v>10069</v>
      </c>
      <c r="H2205" s="6">
        <v>45274</v>
      </c>
      <c r="I2205">
        <f t="shared" si="68"/>
        <v>0</v>
      </c>
      <c r="J2205" t="str">
        <f t="shared" si="69"/>
        <v>Complete</v>
      </c>
      <c r="K2205">
        <f>COUNTIFS(RawData[Item], B2205,RawData[Quantity],C2205,RawData[Price Per Unit],D2205,RawData[Total Spent],E2205,RawData[Payment Method],F2205,RawData[Location],G2205,RawData[Transaction Date],H2205)</f>
        <v>1</v>
      </c>
      <c r="L2205"/>
    </row>
    <row r="2206" spans="1:12" x14ac:dyDescent="0.3">
      <c r="A2206" t="s">
        <v>2212</v>
      </c>
      <c r="B2206" t="s">
        <v>10009</v>
      </c>
      <c r="C2206">
        <v>2</v>
      </c>
      <c r="D2206">
        <v>3</v>
      </c>
      <c r="E2206">
        <v>6</v>
      </c>
      <c r="F2206" t="s">
        <v>10104</v>
      </c>
      <c r="G2206" t="s">
        <v>10069</v>
      </c>
      <c r="H2206" s="6">
        <v>44934</v>
      </c>
      <c r="I2206">
        <f t="shared" si="68"/>
        <v>1</v>
      </c>
      <c r="J2206" t="str">
        <f t="shared" si="69"/>
        <v>Complete</v>
      </c>
      <c r="K2206">
        <f>COUNTIFS(RawData[Item], B2206,RawData[Quantity],C2206,RawData[Price Per Unit],D2206,RawData[Total Spent],E2206,RawData[Payment Method],F2206,RawData[Location],G2206,RawData[Transaction Date],H2206)</f>
        <v>1</v>
      </c>
      <c r="L2206"/>
    </row>
    <row r="2207" spans="1:12" x14ac:dyDescent="0.3">
      <c r="A2207" t="s">
        <v>2213</v>
      </c>
      <c r="B2207" t="s">
        <v>10010</v>
      </c>
      <c r="C2207">
        <v>1</v>
      </c>
      <c r="D2207">
        <v>1</v>
      </c>
      <c r="E2207">
        <v>0</v>
      </c>
      <c r="F2207" t="s">
        <v>10018</v>
      </c>
      <c r="G2207" t="s">
        <v>10069</v>
      </c>
      <c r="H2207" s="6" t="s">
        <v>10112</v>
      </c>
      <c r="I2207">
        <f t="shared" si="68"/>
        <v>1</v>
      </c>
      <c r="J2207" t="str">
        <f t="shared" si="69"/>
        <v>Incomplete</v>
      </c>
      <c r="K2207">
        <f>COUNTIFS(RawData[Item], B2207,RawData[Quantity],C2207,RawData[Price Per Unit],D2207,RawData[Total Spent],E2207,RawData[Payment Method],F2207,RawData[Location],G2207,RawData[Transaction Date],H2207)</f>
        <v>1</v>
      </c>
      <c r="L2207"/>
    </row>
    <row r="2208" spans="1:12" x14ac:dyDescent="0.3">
      <c r="A2208" t="s">
        <v>2214</v>
      </c>
      <c r="B2208" t="s">
        <v>10017</v>
      </c>
      <c r="C2208">
        <v>3</v>
      </c>
      <c r="D2208">
        <v>1.5</v>
      </c>
      <c r="E2208">
        <v>4.5</v>
      </c>
      <c r="F2208" t="s">
        <v>10018</v>
      </c>
      <c r="G2208" t="s">
        <v>10021</v>
      </c>
      <c r="H2208" s="6">
        <v>44977</v>
      </c>
      <c r="I2208">
        <f t="shared" si="68"/>
        <v>0</v>
      </c>
      <c r="J2208" t="str">
        <f t="shared" si="69"/>
        <v>Complete</v>
      </c>
      <c r="K2208">
        <f>COUNTIFS(RawData[Item], B2208,RawData[Quantity],C2208,RawData[Price Per Unit],D2208,RawData[Total Spent],E2208,RawData[Payment Method],F2208,RawData[Location],G2208,RawData[Transaction Date],H2208)</f>
        <v>1</v>
      </c>
      <c r="L2208"/>
    </row>
    <row r="2209" spans="1:12" x14ac:dyDescent="0.3">
      <c r="A2209" t="s">
        <v>2215</v>
      </c>
      <c r="B2209" t="s">
        <v>10013</v>
      </c>
      <c r="C2209">
        <v>3</v>
      </c>
      <c r="D2209">
        <v>2</v>
      </c>
      <c r="E2209">
        <v>6</v>
      </c>
      <c r="F2209" t="s">
        <v>10018</v>
      </c>
      <c r="G2209" t="s">
        <v>10102</v>
      </c>
      <c r="H2209" s="6">
        <v>45026</v>
      </c>
      <c r="I2209">
        <f t="shared" si="68"/>
        <v>1</v>
      </c>
      <c r="J2209" t="str">
        <f t="shared" si="69"/>
        <v>Complete</v>
      </c>
      <c r="K2209">
        <f>COUNTIFS(RawData[Item], B2209,RawData[Quantity],C2209,RawData[Price Per Unit],D2209,RawData[Total Spent],E2209,RawData[Payment Method],F2209,RawData[Location],G2209,RawData[Transaction Date],H2209)</f>
        <v>1</v>
      </c>
      <c r="L2209"/>
    </row>
    <row r="2210" spans="1:12" x14ac:dyDescent="0.3">
      <c r="A2210" t="s">
        <v>2216</v>
      </c>
      <c r="B2210" t="s">
        <v>10008</v>
      </c>
      <c r="C2210">
        <v>3</v>
      </c>
      <c r="D2210">
        <v>2</v>
      </c>
      <c r="E2210">
        <v>6</v>
      </c>
      <c r="F2210" t="s">
        <v>10069</v>
      </c>
      <c r="G2210" t="s">
        <v>10102</v>
      </c>
      <c r="H2210" s="6">
        <v>44966</v>
      </c>
      <c r="I2210">
        <f t="shared" si="68"/>
        <v>0</v>
      </c>
      <c r="J2210" t="str">
        <f t="shared" si="69"/>
        <v>Complete</v>
      </c>
      <c r="K2210">
        <f>COUNTIFS(RawData[Item], B2210,RawData[Quantity],C2210,RawData[Price Per Unit],D2210,RawData[Total Spent],E2210,RawData[Payment Method],F2210,RawData[Location],G2210,RawData[Transaction Date],H2210)</f>
        <v>1</v>
      </c>
      <c r="L2210"/>
    </row>
    <row r="2211" spans="1:12" x14ac:dyDescent="0.3">
      <c r="A2211" t="s">
        <v>2217</v>
      </c>
      <c r="B2211" t="s">
        <v>10012</v>
      </c>
      <c r="C2211">
        <v>2</v>
      </c>
      <c r="D2211">
        <v>4</v>
      </c>
      <c r="E2211">
        <v>8</v>
      </c>
      <c r="F2211" t="s">
        <v>10069</v>
      </c>
      <c r="G2211" t="s">
        <v>10069</v>
      </c>
      <c r="H2211" s="6">
        <v>45177</v>
      </c>
      <c r="I2211">
        <f t="shared" si="68"/>
        <v>0</v>
      </c>
      <c r="J2211" t="str">
        <f t="shared" si="69"/>
        <v>Complete</v>
      </c>
      <c r="K2211">
        <f>COUNTIFS(RawData[Item], B2211,RawData[Quantity],C2211,RawData[Price Per Unit],D2211,RawData[Total Spent],E2211,RawData[Payment Method],F2211,RawData[Location],G2211,RawData[Transaction Date],H2211)</f>
        <v>1</v>
      </c>
      <c r="L2211"/>
    </row>
    <row r="2212" spans="1:12" x14ac:dyDescent="0.3">
      <c r="A2212" t="s">
        <v>2218</v>
      </c>
      <c r="B2212" t="s">
        <v>10010</v>
      </c>
      <c r="C2212">
        <v>2</v>
      </c>
      <c r="D2212">
        <v>1</v>
      </c>
      <c r="E2212">
        <v>2</v>
      </c>
      <c r="F2212" t="s">
        <v>10020</v>
      </c>
      <c r="G2212" t="s">
        <v>10069</v>
      </c>
      <c r="H2212" s="6">
        <v>45115</v>
      </c>
      <c r="I2212">
        <f t="shared" si="68"/>
        <v>0</v>
      </c>
      <c r="J2212" t="str">
        <f t="shared" si="69"/>
        <v>Complete</v>
      </c>
      <c r="K2212">
        <f>COUNTIFS(RawData[Item], B2212,RawData[Quantity],C2212,RawData[Price Per Unit],D2212,RawData[Total Spent],E2212,RawData[Payment Method],F2212,RawData[Location],G2212,RawData[Transaction Date],H2212)</f>
        <v>1</v>
      </c>
      <c r="L2212"/>
    </row>
    <row r="2213" spans="1:12" x14ac:dyDescent="0.3">
      <c r="A2213" t="s">
        <v>2219</v>
      </c>
      <c r="B2213" t="s">
        <v>10009</v>
      </c>
      <c r="C2213">
        <v>5</v>
      </c>
      <c r="D2213">
        <v>3</v>
      </c>
      <c r="E2213" t="s">
        <v>10015</v>
      </c>
      <c r="F2213" t="s">
        <v>10020</v>
      </c>
      <c r="G2213" t="s">
        <v>10069</v>
      </c>
      <c r="H2213" s="6">
        <v>45173</v>
      </c>
      <c r="I2213">
        <f t="shared" si="68"/>
        <v>1</v>
      </c>
      <c r="J2213" t="str">
        <f t="shared" si="69"/>
        <v>Complete</v>
      </c>
      <c r="K2213">
        <f>COUNTIFS(RawData[Item], B2213,RawData[Quantity],C2213,RawData[Price Per Unit],D2213,RawData[Total Spent],E2213,RawData[Payment Method],F2213,RawData[Location],G2213,RawData[Transaction Date],H2213)</f>
        <v>1</v>
      </c>
      <c r="L2213"/>
    </row>
    <row r="2214" spans="1:12" x14ac:dyDescent="0.3">
      <c r="A2214" t="s">
        <v>2220</v>
      </c>
      <c r="B2214" t="s">
        <v>10012</v>
      </c>
      <c r="C2214">
        <v>3</v>
      </c>
      <c r="D2214">
        <v>4</v>
      </c>
      <c r="E2214">
        <v>12</v>
      </c>
      <c r="F2214" t="s">
        <v>10020</v>
      </c>
      <c r="G2214" t="s">
        <v>10069</v>
      </c>
      <c r="H2214" s="6">
        <v>45022</v>
      </c>
      <c r="I2214">
        <f t="shared" si="68"/>
        <v>0</v>
      </c>
      <c r="J2214" t="str">
        <f t="shared" si="69"/>
        <v>Complete</v>
      </c>
      <c r="K2214">
        <f>COUNTIFS(RawData[Item], B2214,RawData[Quantity],C2214,RawData[Price Per Unit],D2214,RawData[Total Spent],E2214,RawData[Payment Method],F2214,RawData[Location],G2214,RawData[Transaction Date],H2214)</f>
        <v>1</v>
      </c>
      <c r="L2214"/>
    </row>
    <row r="2215" spans="1:12" x14ac:dyDescent="0.3">
      <c r="A2215" t="s">
        <v>2221</v>
      </c>
      <c r="B2215" t="s">
        <v>10012</v>
      </c>
      <c r="C2215">
        <v>1</v>
      </c>
      <c r="D2215">
        <v>4</v>
      </c>
      <c r="E2215">
        <v>4</v>
      </c>
      <c r="F2215" t="s">
        <v>10069</v>
      </c>
      <c r="G2215" t="s">
        <v>10069</v>
      </c>
      <c r="H2215" s="6">
        <v>45078</v>
      </c>
      <c r="I2215">
        <f t="shared" si="68"/>
        <v>0</v>
      </c>
      <c r="J2215" t="str">
        <f t="shared" si="69"/>
        <v>Complete</v>
      </c>
      <c r="K2215">
        <f>COUNTIFS(RawData[Item], B2215,RawData[Quantity],C2215,RawData[Price Per Unit],D2215,RawData[Total Spent],E2215,RawData[Payment Method],F2215,RawData[Location],G2215,RawData[Transaction Date],H2215)</f>
        <v>2</v>
      </c>
      <c r="L2215"/>
    </row>
    <row r="2216" spans="1:12" x14ac:dyDescent="0.3">
      <c r="A2216" t="s">
        <v>2222</v>
      </c>
      <c r="B2216" t="s">
        <v>10016</v>
      </c>
      <c r="C2216">
        <v>1</v>
      </c>
      <c r="D2216">
        <v>3</v>
      </c>
      <c r="E2216">
        <v>3</v>
      </c>
      <c r="F2216" t="s">
        <v>10019</v>
      </c>
      <c r="G2216" t="s">
        <v>10069</v>
      </c>
      <c r="H2216" s="6">
        <v>45240</v>
      </c>
      <c r="I2216">
        <f t="shared" si="68"/>
        <v>0</v>
      </c>
      <c r="J2216" t="str">
        <f t="shared" si="69"/>
        <v>Complete</v>
      </c>
      <c r="K2216">
        <f>COUNTIFS(RawData[Item], B2216,RawData[Quantity],C2216,RawData[Price Per Unit],D2216,RawData[Total Spent],E2216,RawData[Payment Method],F2216,RawData[Location],G2216,RawData[Transaction Date],H2216)</f>
        <v>1</v>
      </c>
      <c r="L2216"/>
    </row>
    <row r="2217" spans="1:12" x14ac:dyDescent="0.3">
      <c r="A2217" t="s">
        <v>2223</v>
      </c>
      <c r="B2217" t="s">
        <v>10016</v>
      </c>
      <c r="C2217">
        <v>3</v>
      </c>
      <c r="D2217">
        <v>3</v>
      </c>
      <c r="E2217">
        <v>9</v>
      </c>
      <c r="F2217" t="s">
        <v>10019</v>
      </c>
      <c r="G2217" t="s">
        <v>10021</v>
      </c>
      <c r="H2217" s="6">
        <v>45154</v>
      </c>
      <c r="I2217">
        <f t="shared" si="68"/>
        <v>0</v>
      </c>
      <c r="J2217" t="str">
        <f t="shared" si="69"/>
        <v>Complete</v>
      </c>
      <c r="K2217">
        <f>COUNTIFS(RawData[Item], B2217,RawData[Quantity],C2217,RawData[Price Per Unit],D2217,RawData[Total Spent],E2217,RawData[Payment Method],F2217,RawData[Location],G2217,RawData[Transaction Date],H2217)</f>
        <v>1</v>
      </c>
      <c r="L2217"/>
    </row>
    <row r="2218" spans="1:12" x14ac:dyDescent="0.3">
      <c r="A2218" t="s">
        <v>2224</v>
      </c>
      <c r="B2218" t="s">
        <v>10014</v>
      </c>
      <c r="C2218">
        <v>5</v>
      </c>
      <c r="D2218">
        <v>4</v>
      </c>
      <c r="E2218">
        <v>20</v>
      </c>
      <c r="F2218" t="s">
        <v>10069</v>
      </c>
      <c r="G2218" t="s">
        <v>10102</v>
      </c>
      <c r="H2218" s="6">
        <v>44987</v>
      </c>
      <c r="I2218">
        <f t="shared" si="68"/>
        <v>0</v>
      </c>
      <c r="J2218" t="str">
        <f t="shared" si="69"/>
        <v>Complete</v>
      </c>
      <c r="K2218">
        <f>COUNTIFS(RawData[Item], B2218,RawData[Quantity],C2218,RawData[Price Per Unit],D2218,RawData[Total Spent],E2218,RawData[Payment Method],F2218,RawData[Location],G2218,RawData[Transaction Date],H2218)</f>
        <v>1</v>
      </c>
      <c r="L2218"/>
    </row>
    <row r="2219" spans="1:12" x14ac:dyDescent="0.3">
      <c r="A2219" t="s">
        <v>2225</v>
      </c>
      <c r="B2219" t="s">
        <v>10008</v>
      </c>
      <c r="C2219">
        <v>2</v>
      </c>
      <c r="D2219">
        <v>2</v>
      </c>
      <c r="E2219" t="s">
        <v>10015</v>
      </c>
      <c r="F2219" t="s">
        <v>10019</v>
      </c>
      <c r="G2219" t="s">
        <v>10069</v>
      </c>
      <c r="H2219" s="6">
        <v>45167</v>
      </c>
      <c r="I2219">
        <f t="shared" si="68"/>
        <v>1</v>
      </c>
      <c r="J2219" t="str">
        <f t="shared" si="69"/>
        <v>Complete</v>
      </c>
      <c r="K2219">
        <f>COUNTIFS(RawData[Item], B2219,RawData[Quantity],C2219,RawData[Price Per Unit],D2219,RawData[Total Spent],E2219,RawData[Payment Method],F2219,RawData[Location],G2219,RawData[Transaction Date],H2219)</f>
        <v>1</v>
      </c>
      <c r="L2219"/>
    </row>
    <row r="2220" spans="1:12" x14ac:dyDescent="0.3">
      <c r="A2220" t="s">
        <v>2226</v>
      </c>
      <c r="B2220" t="s">
        <v>10069</v>
      </c>
      <c r="C2220">
        <v>2</v>
      </c>
      <c r="D2220">
        <v>3</v>
      </c>
      <c r="E2220">
        <v>6</v>
      </c>
      <c r="F2220" t="s">
        <v>10018</v>
      </c>
      <c r="G2220" t="s">
        <v>10102</v>
      </c>
      <c r="H2220" s="6">
        <v>45101</v>
      </c>
      <c r="I2220">
        <f t="shared" si="68"/>
        <v>0</v>
      </c>
      <c r="J2220" t="str">
        <f t="shared" si="69"/>
        <v>Complete</v>
      </c>
      <c r="K2220">
        <f>COUNTIFS(RawData[Item], B2220,RawData[Quantity],C2220,RawData[Price Per Unit],D2220,RawData[Total Spent],E2220,RawData[Payment Method],F2220,RawData[Location],G2220,RawData[Transaction Date],H2220)</f>
        <v>1</v>
      </c>
      <c r="L2220"/>
    </row>
    <row r="2221" spans="1:12" x14ac:dyDescent="0.3">
      <c r="A2221" t="s">
        <v>2227</v>
      </c>
      <c r="B2221" t="s">
        <v>10014</v>
      </c>
      <c r="C2221">
        <v>3</v>
      </c>
      <c r="D2221">
        <v>4</v>
      </c>
      <c r="E2221">
        <v>12</v>
      </c>
      <c r="F2221" t="s">
        <v>10069</v>
      </c>
      <c r="G2221" t="s">
        <v>10021</v>
      </c>
      <c r="H2221" s="6">
        <v>45160</v>
      </c>
      <c r="I2221">
        <f t="shared" si="68"/>
        <v>0</v>
      </c>
      <c r="J2221" t="str">
        <f t="shared" si="69"/>
        <v>Complete</v>
      </c>
      <c r="K2221">
        <f>COUNTIFS(RawData[Item], B2221,RawData[Quantity],C2221,RawData[Price Per Unit],D2221,RawData[Total Spent],E2221,RawData[Payment Method],F2221,RawData[Location],G2221,RawData[Transaction Date],H2221)</f>
        <v>1</v>
      </c>
      <c r="L2221"/>
    </row>
    <row r="2222" spans="1:12" x14ac:dyDescent="0.3">
      <c r="A2222" t="s">
        <v>2228</v>
      </c>
      <c r="B2222" t="s">
        <v>10011</v>
      </c>
      <c r="C2222">
        <v>3</v>
      </c>
      <c r="D2222">
        <v>5</v>
      </c>
      <c r="E2222">
        <v>15</v>
      </c>
      <c r="F2222" t="s">
        <v>10020</v>
      </c>
      <c r="G2222" t="s">
        <v>10102</v>
      </c>
      <c r="H2222" s="6">
        <v>45102</v>
      </c>
      <c r="I2222">
        <f t="shared" si="68"/>
        <v>0</v>
      </c>
      <c r="J2222" t="str">
        <f t="shared" si="69"/>
        <v>Complete</v>
      </c>
      <c r="K2222">
        <f>COUNTIFS(RawData[Item], B2222,RawData[Quantity],C2222,RawData[Price Per Unit],D2222,RawData[Total Spent],E2222,RawData[Payment Method],F2222,RawData[Location],G2222,RawData[Transaction Date],H2222)</f>
        <v>1</v>
      </c>
      <c r="L2222"/>
    </row>
    <row r="2223" spans="1:12" x14ac:dyDescent="0.3">
      <c r="A2223" t="s">
        <v>2229</v>
      </c>
      <c r="B2223" t="s">
        <v>10012</v>
      </c>
      <c r="C2223">
        <v>2</v>
      </c>
      <c r="D2223">
        <v>4</v>
      </c>
      <c r="E2223">
        <v>8</v>
      </c>
      <c r="F2223" t="s">
        <v>10104</v>
      </c>
      <c r="G2223" t="s">
        <v>10102</v>
      </c>
      <c r="H2223" s="6">
        <v>45280</v>
      </c>
      <c r="I2223">
        <f t="shared" si="68"/>
        <v>1</v>
      </c>
      <c r="J2223" t="str">
        <f t="shared" si="69"/>
        <v>Complete</v>
      </c>
      <c r="K2223">
        <f>COUNTIFS(RawData[Item], B2223,RawData[Quantity],C2223,RawData[Price Per Unit],D2223,RawData[Total Spent],E2223,RawData[Payment Method],F2223,RawData[Location],G2223,RawData[Transaction Date],H2223)</f>
        <v>1</v>
      </c>
      <c r="L2223"/>
    </row>
    <row r="2224" spans="1:12" x14ac:dyDescent="0.3">
      <c r="A2224" t="s">
        <v>2230</v>
      </c>
      <c r="B2224" t="s">
        <v>10013</v>
      </c>
      <c r="C2224">
        <v>4</v>
      </c>
      <c r="D2224">
        <v>4</v>
      </c>
      <c r="E2224">
        <v>16</v>
      </c>
      <c r="F2224" t="s">
        <v>10018</v>
      </c>
      <c r="G2224" t="s">
        <v>10069</v>
      </c>
      <c r="H2224" s="6" t="s">
        <v>10112</v>
      </c>
      <c r="I2224">
        <f t="shared" si="68"/>
        <v>2</v>
      </c>
      <c r="J2224" t="str">
        <f t="shared" si="69"/>
        <v>Incomplete</v>
      </c>
      <c r="K2224">
        <f>COUNTIFS(RawData[Item], B2224,RawData[Quantity],C2224,RawData[Price Per Unit],D2224,RawData[Total Spent],E2224,RawData[Payment Method],F2224,RawData[Location],G2224,RawData[Transaction Date],H2224)</f>
        <v>1</v>
      </c>
      <c r="L2224"/>
    </row>
    <row r="2225" spans="1:12" x14ac:dyDescent="0.3">
      <c r="A2225" t="s">
        <v>2231</v>
      </c>
      <c r="B2225" t="s">
        <v>10012</v>
      </c>
      <c r="C2225">
        <v>5</v>
      </c>
      <c r="D2225">
        <v>4</v>
      </c>
      <c r="E2225">
        <v>20</v>
      </c>
      <c r="F2225" t="s">
        <v>10020</v>
      </c>
      <c r="G2225" t="s">
        <v>10069</v>
      </c>
      <c r="H2225" s="6">
        <v>45271</v>
      </c>
      <c r="I2225">
        <f t="shared" si="68"/>
        <v>0</v>
      </c>
      <c r="J2225" t="str">
        <f t="shared" si="69"/>
        <v>Complete</v>
      </c>
      <c r="K2225">
        <f>COUNTIFS(RawData[Item], B2225,RawData[Quantity],C2225,RawData[Price Per Unit],D2225,RawData[Total Spent],E2225,RawData[Payment Method],F2225,RawData[Location],G2225,RawData[Transaction Date],H2225)</f>
        <v>1</v>
      </c>
      <c r="L2225"/>
    </row>
    <row r="2226" spans="1:12" x14ac:dyDescent="0.3">
      <c r="A2226" t="s">
        <v>2232</v>
      </c>
      <c r="B2226" t="s">
        <v>10011</v>
      </c>
      <c r="C2226">
        <v>5</v>
      </c>
      <c r="D2226">
        <v>5</v>
      </c>
      <c r="E2226">
        <v>25</v>
      </c>
      <c r="F2226" t="s">
        <v>10018</v>
      </c>
      <c r="G2226" t="s">
        <v>10103</v>
      </c>
      <c r="H2226" s="6">
        <v>44930</v>
      </c>
      <c r="I2226">
        <f t="shared" si="68"/>
        <v>1</v>
      </c>
      <c r="J2226" t="str">
        <f t="shared" si="69"/>
        <v>Complete</v>
      </c>
      <c r="K2226">
        <f>COUNTIFS(RawData[Item], B2226,RawData[Quantity],C2226,RawData[Price Per Unit],D2226,RawData[Total Spent],E2226,RawData[Payment Method],F2226,RawData[Location],G2226,RawData[Transaction Date],H2226)</f>
        <v>1</v>
      </c>
      <c r="L2226"/>
    </row>
    <row r="2227" spans="1:12" x14ac:dyDescent="0.3">
      <c r="A2227" t="s">
        <v>2233</v>
      </c>
      <c r="B2227" t="s">
        <v>10011</v>
      </c>
      <c r="C2227">
        <v>3</v>
      </c>
      <c r="D2227">
        <v>5</v>
      </c>
      <c r="E2227">
        <v>15</v>
      </c>
      <c r="F2227" t="s">
        <v>10018</v>
      </c>
      <c r="G2227" t="s">
        <v>10102</v>
      </c>
      <c r="H2227" s="6">
        <v>45075</v>
      </c>
      <c r="I2227">
        <f t="shared" si="68"/>
        <v>0</v>
      </c>
      <c r="J2227" t="str">
        <f t="shared" si="69"/>
        <v>Complete</v>
      </c>
      <c r="K2227">
        <f>COUNTIFS(RawData[Item], B2227,RawData[Quantity],C2227,RawData[Price Per Unit],D2227,RawData[Total Spent],E2227,RawData[Payment Method],F2227,RawData[Location],G2227,RawData[Transaction Date],H2227)</f>
        <v>1</v>
      </c>
      <c r="L2227"/>
    </row>
    <row r="2228" spans="1:12" x14ac:dyDescent="0.3">
      <c r="A2228" t="s">
        <v>2234</v>
      </c>
      <c r="B2228" t="s">
        <v>10069</v>
      </c>
      <c r="C2228">
        <v>2</v>
      </c>
      <c r="D2228">
        <v>1.5</v>
      </c>
      <c r="E2228">
        <v>3</v>
      </c>
      <c r="F2228" t="s">
        <v>10019</v>
      </c>
      <c r="G2228" t="s">
        <v>10102</v>
      </c>
      <c r="H2228" s="6">
        <v>45181</v>
      </c>
      <c r="I2228">
        <f t="shared" si="68"/>
        <v>0</v>
      </c>
      <c r="J2228" t="str">
        <f t="shared" si="69"/>
        <v>Complete</v>
      </c>
      <c r="K2228">
        <f>COUNTIFS(RawData[Item], B2228,RawData[Quantity],C2228,RawData[Price Per Unit],D2228,RawData[Total Spent],E2228,RawData[Payment Method],F2228,RawData[Location],G2228,RawData[Transaction Date],H2228)</f>
        <v>1</v>
      </c>
      <c r="L2228"/>
    </row>
    <row r="2229" spans="1:12" x14ac:dyDescent="0.3">
      <c r="A2229" t="s">
        <v>2235</v>
      </c>
      <c r="B2229" t="s">
        <v>10015</v>
      </c>
      <c r="C2229">
        <v>2</v>
      </c>
      <c r="D2229" t="s">
        <v>10013</v>
      </c>
      <c r="E2229">
        <v>8</v>
      </c>
      <c r="F2229" t="s">
        <v>10069</v>
      </c>
      <c r="G2229" t="s">
        <v>10103</v>
      </c>
      <c r="H2229" s="6">
        <v>45264</v>
      </c>
      <c r="I2229">
        <f t="shared" si="68"/>
        <v>3</v>
      </c>
      <c r="J2229" t="str">
        <f t="shared" si="69"/>
        <v>Complete</v>
      </c>
      <c r="K2229">
        <f>COUNTIFS(RawData[Item], B2229,RawData[Quantity],C2229,RawData[Price Per Unit],D2229,RawData[Total Spent],E2229,RawData[Payment Method],F2229,RawData[Location],G2229,RawData[Transaction Date],H2229)</f>
        <v>1</v>
      </c>
      <c r="L2229"/>
    </row>
    <row r="2230" spans="1:12" x14ac:dyDescent="0.3">
      <c r="A2230" t="s">
        <v>2236</v>
      </c>
      <c r="B2230" t="s">
        <v>10009</v>
      </c>
      <c r="C2230">
        <v>1</v>
      </c>
      <c r="D2230">
        <v>3</v>
      </c>
      <c r="E2230">
        <v>3</v>
      </c>
      <c r="F2230" t="s">
        <v>10018</v>
      </c>
      <c r="G2230" t="s">
        <v>10102</v>
      </c>
      <c r="H2230" s="6">
        <v>45091</v>
      </c>
      <c r="I2230">
        <f t="shared" si="68"/>
        <v>0</v>
      </c>
      <c r="J2230" t="str">
        <f t="shared" si="69"/>
        <v>Complete</v>
      </c>
      <c r="K2230">
        <f>COUNTIFS(RawData[Item], B2230,RawData[Quantity],C2230,RawData[Price Per Unit],D2230,RawData[Total Spent],E2230,RawData[Payment Method],F2230,RawData[Location],G2230,RawData[Transaction Date],H2230)</f>
        <v>1</v>
      </c>
      <c r="L2230"/>
    </row>
    <row r="2231" spans="1:12" x14ac:dyDescent="0.3">
      <c r="A2231" t="s">
        <v>2237</v>
      </c>
      <c r="B2231" t="s">
        <v>10014</v>
      </c>
      <c r="C2231">
        <v>2</v>
      </c>
      <c r="D2231" t="s">
        <v>10013</v>
      </c>
      <c r="E2231">
        <v>0</v>
      </c>
      <c r="F2231" t="s">
        <v>10069</v>
      </c>
      <c r="G2231" t="s">
        <v>10069</v>
      </c>
      <c r="H2231" s="6">
        <v>45238</v>
      </c>
      <c r="I2231">
        <f t="shared" si="68"/>
        <v>1</v>
      </c>
      <c r="J2231" t="str">
        <f t="shared" si="69"/>
        <v>Complete</v>
      </c>
      <c r="K2231">
        <f>COUNTIFS(RawData[Item], B2231,RawData[Quantity],C2231,RawData[Price Per Unit],D2231,RawData[Total Spent],E2231,RawData[Payment Method],F2231,RawData[Location],G2231,RawData[Transaction Date],H2231)</f>
        <v>1</v>
      </c>
      <c r="L2231"/>
    </row>
    <row r="2232" spans="1:12" x14ac:dyDescent="0.3">
      <c r="A2232" t="s">
        <v>2238</v>
      </c>
      <c r="B2232" t="s">
        <v>10009</v>
      </c>
      <c r="C2232">
        <v>5</v>
      </c>
      <c r="D2232">
        <v>3</v>
      </c>
      <c r="E2232">
        <v>15</v>
      </c>
      <c r="F2232" t="s">
        <v>10018</v>
      </c>
      <c r="G2232" t="s">
        <v>10069</v>
      </c>
      <c r="H2232" s="6">
        <v>44962</v>
      </c>
      <c r="I2232">
        <f t="shared" si="68"/>
        <v>0</v>
      </c>
      <c r="J2232" t="str">
        <f t="shared" si="69"/>
        <v>Complete</v>
      </c>
      <c r="K2232">
        <f>COUNTIFS(RawData[Item], B2232,RawData[Quantity],C2232,RawData[Price Per Unit],D2232,RawData[Total Spent],E2232,RawData[Payment Method],F2232,RawData[Location],G2232,RawData[Transaction Date],H2232)</f>
        <v>1</v>
      </c>
      <c r="L2232"/>
    </row>
    <row r="2233" spans="1:12" x14ac:dyDescent="0.3">
      <c r="A2233" t="s">
        <v>2239</v>
      </c>
      <c r="B2233" t="s">
        <v>10008</v>
      </c>
      <c r="C2233">
        <v>5</v>
      </c>
      <c r="D2233">
        <v>2</v>
      </c>
      <c r="E2233">
        <v>10</v>
      </c>
      <c r="F2233" t="s">
        <v>10020</v>
      </c>
      <c r="G2233" t="s">
        <v>10021</v>
      </c>
      <c r="H2233" s="6">
        <v>45034</v>
      </c>
      <c r="I2233">
        <f t="shared" si="68"/>
        <v>0</v>
      </c>
      <c r="J2233" t="str">
        <f t="shared" si="69"/>
        <v>Complete</v>
      </c>
      <c r="K2233">
        <f>COUNTIFS(RawData[Item], B2233,RawData[Quantity],C2233,RawData[Price Per Unit],D2233,RawData[Total Spent],E2233,RawData[Payment Method],F2233,RawData[Location],G2233,RawData[Transaction Date],H2233)</f>
        <v>1</v>
      </c>
      <c r="L2233"/>
    </row>
    <row r="2234" spans="1:12" x14ac:dyDescent="0.3">
      <c r="A2234" t="s">
        <v>2240</v>
      </c>
      <c r="B2234" t="s">
        <v>10014</v>
      </c>
      <c r="C2234">
        <v>5</v>
      </c>
      <c r="D2234">
        <v>4</v>
      </c>
      <c r="E2234">
        <v>20</v>
      </c>
      <c r="F2234" t="s">
        <v>10018</v>
      </c>
      <c r="G2234" t="s">
        <v>10102</v>
      </c>
      <c r="H2234" s="6">
        <v>45062</v>
      </c>
      <c r="I2234">
        <f t="shared" si="68"/>
        <v>0</v>
      </c>
      <c r="J2234" t="str">
        <f t="shared" si="69"/>
        <v>Complete</v>
      </c>
      <c r="K2234">
        <f>COUNTIFS(RawData[Item], B2234,RawData[Quantity],C2234,RawData[Price Per Unit],D2234,RawData[Total Spent],E2234,RawData[Payment Method],F2234,RawData[Location],G2234,RawData[Transaction Date],H2234)</f>
        <v>1</v>
      </c>
      <c r="L2234"/>
    </row>
    <row r="2235" spans="1:12" x14ac:dyDescent="0.3">
      <c r="A2235" t="s">
        <v>2241</v>
      </c>
      <c r="B2235" t="s">
        <v>10017</v>
      </c>
      <c r="C2235">
        <v>2</v>
      </c>
      <c r="D2235">
        <v>1.5</v>
      </c>
      <c r="E2235">
        <v>3</v>
      </c>
      <c r="F2235" t="s">
        <v>10019</v>
      </c>
      <c r="G2235" t="s">
        <v>10069</v>
      </c>
      <c r="H2235" s="6">
        <v>45155</v>
      </c>
      <c r="I2235">
        <f t="shared" si="68"/>
        <v>0</v>
      </c>
      <c r="J2235" t="str">
        <f t="shared" si="69"/>
        <v>Complete</v>
      </c>
      <c r="K2235">
        <f>COUNTIFS(RawData[Item], B2235,RawData[Quantity],C2235,RawData[Price Per Unit],D2235,RawData[Total Spent],E2235,RawData[Payment Method],F2235,RawData[Location],G2235,RawData[Transaction Date],H2235)</f>
        <v>1</v>
      </c>
      <c r="L2235"/>
    </row>
    <row r="2236" spans="1:12" x14ac:dyDescent="0.3">
      <c r="A2236" t="s">
        <v>2242</v>
      </c>
      <c r="B2236" t="s">
        <v>10010</v>
      </c>
      <c r="C2236">
        <v>5</v>
      </c>
      <c r="D2236">
        <v>1</v>
      </c>
      <c r="E2236">
        <v>5</v>
      </c>
      <c r="F2236" t="s">
        <v>10018</v>
      </c>
      <c r="G2236" t="s">
        <v>10069</v>
      </c>
      <c r="H2236" s="6">
        <v>45205</v>
      </c>
      <c r="I2236">
        <f t="shared" si="68"/>
        <v>0</v>
      </c>
      <c r="J2236" t="str">
        <f t="shared" si="69"/>
        <v>Complete</v>
      </c>
      <c r="K2236">
        <f>COUNTIFS(RawData[Item], B2236,RawData[Quantity],C2236,RawData[Price Per Unit],D2236,RawData[Total Spent],E2236,RawData[Payment Method],F2236,RawData[Location],G2236,RawData[Transaction Date],H2236)</f>
        <v>1</v>
      </c>
      <c r="L2236"/>
    </row>
    <row r="2237" spans="1:12" x14ac:dyDescent="0.3">
      <c r="A2237" t="s">
        <v>2243</v>
      </c>
      <c r="B2237" t="s">
        <v>10011</v>
      </c>
      <c r="C2237">
        <v>5</v>
      </c>
      <c r="D2237">
        <v>5</v>
      </c>
      <c r="E2237">
        <v>25</v>
      </c>
      <c r="F2237" t="s">
        <v>10069</v>
      </c>
      <c r="G2237" t="s">
        <v>10102</v>
      </c>
      <c r="H2237" s="6">
        <v>44949</v>
      </c>
      <c r="I2237">
        <f t="shared" si="68"/>
        <v>0</v>
      </c>
      <c r="J2237" t="str">
        <f t="shared" si="69"/>
        <v>Complete</v>
      </c>
      <c r="K2237">
        <f>COUNTIFS(RawData[Item], B2237,RawData[Quantity],C2237,RawData[Price Per Unit],D2237,RawData[Total Spent],E2237,RawData[Payment Method],F2237,RawData[Location],G2237,RawData[Transaction Date],H2237)</f>
        <v>1</v>
      </c>
      <c r="L2237"/>
    </row>
    <row r="2238" spans="1:12" x14ac:dyDescent="0.3">
      <c r="A2238" t="s">
        <v>2244</v>
      </c>
      <c r="B2238" t="s">
        <v>10008</v>
      </c>
      <c r="C2238">
        <v>2</v>
      </c>
      <c r="D2238">
        <v>2</v>
      </c>
      <c r="E2238">
        <v>4</v>
      </c>
      <c r="F2238" t="s">
        <v>10069</v>
      </c>
      <c r="G2238" t="s">
        <v>10104</v>
      </c>
      <c r="H2238" s="6">
        <v>44948</v>
      </c>
      <c r="I2238">
        <f t="shared" si="68"/>
        <v>1</v>
      </c>
      <c r="J2238" t="str">
        <f t="shared" si="69"/>
        <v>Complete</v>
      </c>
      <c r="K2238">
        <f>COUNTIFS(RawData[Item], B2238,RawData[Quantity],C2238,RawData[Price Per Unit],D2238,RawData[Total Spent],E2238,RawData[Payment Method],F2238,RawData[Location],G2238,RawData[Transaction Date],H2238)</f>
        <v>1</v>
      </c>
      <c r="L2238"/>
    </row>
    <row r="2239" spans="1:12" x14ac:dyDescent="0.3">
      <c r="A2239" t="s">
        <v>2245</v>
      </c>
      <c r="B2239" t="s">
        <v>10012</v>
      </c>
      <c r="C2239">
        <v>4</v>
      </c>
      <c r="D2239">
        <v>4</v>
      </c>
      <c r="E2239">
        <v>16</v>
      </c>
      <c r="F2239" t="s">
        <v>10020</v>
      </c>
      <c r="G2239" t="s">
        <v>10069</v>
      </c>
      <c r="H2239" s="6">
        <v>45139</v>
      </c>
      <c r="I2239">
        <f t="shared" si="68"/>
        <v>0</v>
      </c>
      <c r="J2239" t="str">
        <f t="shared" si="69"/>
        <v>Complete</v>
      </c>
      <c r="K2239">
        <f>COUNTIFS(RawData[Item], B2239,RawData[Quantity],C2239,RawData[Price Per Unit],D2239,RawData[Total Spent],E2239,RawData[Payment Method],F2239,RawData[Location],G2239,RawData[Transaction Date],H2239)</f>
        <v>1</v>
      </c>
      <c r="L2239"/>
    </row>
    <row r="2240" spans="1:12" x14ac:dyDescent="0.3">
      <c r="A2240" t="s">
        <v>2246</v>
      </c>
      <c r="B2240" t="s">
        <v>10014</v>
      </c>
      <c r="C2240" t="s">
        <v>10015</v>
      </c>
      <c r="D2240">
        <v>4</v>
      </c>
      <c r="E2240">
        <v>8</v>
      </c>
      <c r="F2240" t="s">
        <v>10069</v>
      </c>
      <c r="G2240" t="s">
        <v>10069</v>
      </c>
      <c r="H2240" s="6">
        <v>45176</v>
      </c>
      <c r="I2240">
        <f t="shared" si="68"/>
        <v>1</v>
      </c>
      <c r="J2240" t="str">
        <f t="shared" si="69"/>
        <v>Complete</v>
      </c>
      <c r="K2240">
        <f>COUNTIFS(RawData[Item], B2240,RawData[Quantity],C2240,RawData[Price Per Unit],D2240,RawData[Total Spent],E2240,RawData[Payment Method],F2240,RawData[Location],G2240,RawData[Transaction Date],H2240)</f>
        <v>1</v>
      </c>
      <c r="L2240"/>
    </row>
    <row r="2241" spans="1:12" x14ac:dyDescent="0.3">
      <c r="A2241" t="s">
        <v>2247</v>
      </c>
      <c r="B2241" t="s">
        <v>10013</v>
      </c>
      <c r="C2241">
        <v>2</v>
      </c>
      <c r="D2241">
        <v>3</v>
      </c>
      <c r="E2241">
        <v>6</v>
      </c>
      <c r="F2241" t="s">
        <v>10020</v>
      </c>
      <c r="G2241" t="s">
        <v>10069</v>
      </c>
      <c r="H2241" s="6">
        <v>45101</v>
      </c>
      <c r="I2241">
        <f t="shared" si="68"/>
        <v>1</v>
      </c>
      <c r="J2241" t="str">
        <f t="shared" si="69"/>
        <v>Complete</v>
      </c>
      <c r="K2241">
        <f>COUNTIFS(RawData[Item], B2241,RawData[Quantity],C2241,RawData[Price Per Unit],D2241,RawData[Total Spent],E2241,RawData[Payment Method],F2241,RawData[Location],G2241,RawData[Transaction Date],H2241)</f>
        <v>1</v>
      </c>
      <c r="L2241"/>
    </row>
    <row r="2242" spans="1:12" x14ac:dyDescent="0.3">
      <c r="A2242" t="s">
        <v>2248</v>
      </c>
      <c r="B2242" t="s">
        <v>10010</v>
      </c>
      <c r="C2242">
        <v>4</v>
      </c>
      <c r="D2242">
        <v>1</v>
      </c>
      <c r="E2242">
        <v>4</v>
      </c>
      <c r="F2242" t="s">
        <v>10018</v>
      </c>
      <c r="G2242" t="s">
        <v>10069</v>
      </c>
      <c r="H2242" s="6">
        <v>45242</v>
      </c>
      <c r="I2242">
        <f t="shared" ref="I2242:I2305" si="70">(B2242="Unknown")+(B2242="Error")+(C2242="Unknown")+(C2242="Error")+(D2242="Unknown")+(D2242="Error")+(E2242="Unknown")+(E2242="Error")+(F2242="Unknown")+(F2242="Error")+(G2242="Unknown")+(G2242="Error")+(H2242="No Date")</f>
        <v>0</v>
      </c>
      <c r="J2242" t="str">
        <f t="shared" ref="J2242:J2305" si="71">IF((H2242="No Date"),"Incomplete","Complete")</f>
        <v>Complete</v>
      </c>
      <c r="K2242">
        <f>COUNTIFS(RawData[Item], B2242,RawData[Quantity],C2242,RawData[Price Per Unit],D2242,RawData[Total Spent],E2242,RawData[Payment Method],F2242,RawData[Location],G2242,RawData[Transaction Date],H2242)</f>
        <v>1</v>
      </c>
      <c r="L2242"/>
    </row>
    <row r="2243" spans="1:12" x14ac:dyDescent="0.3">
      <c r="A2243" t="s">
        <v>2249</v>
      </c>
      <c r="B2243" t="s">
        <v>10008</v>
      </c>
      <c r="C2243">
        <v>4</v>
      </c>
      <c r="D2243">
        <v>2</v>
      </c>
      <c r="E2243">
        <v>8</v>
      </c>
      <c r="F2243" t="s">
        <v>10018</v>
      </c>
      <c r="G2243" t="s">
        <v>10069</v>
      </c>
      <c r="H2243" s="6">
        <v>45011</v>
      </c>
      <c r="I2243">
        <f t="shared" si="70"/>
        <v>0</v>
      </c>
      <c r="J2243" t="str">
        <f t="shared" si="71"/>
        <v>Complete</v>
      </c>
      <c r="K2243">
        <f>COUNTIFS(RawData[Item], B2243,RawData[Quantity],C2243,RawData[Price Per Unit],D2243,RawData[Total Spent],E2243,RawData[Payment Method],F2243,RawData[Location],G2243,RawData[Transaction Date],H2243)</f>
        <v>1</v>
      </c>
      <c r="L2243"/>
    </row>
    <row r="2244" spans="1:12" x14ac:dyDescent="0.3">
      <c r="A2244" t="s">
        <v>2250</v>
      </c>
      <c r="B2244" t="s">
        <v>10016</v>
      </c>
      <c r="C2244">
        <v>5</v>
      </c>
      <c r="D2244">
        <v>3</v>
      </c>
      <c r="E2244">
        <v>15</v>
      </c>
      <c r="F2244" t="s">
        <v>10018</v>
      </c>
      <c r="G2244" t="s">
        <v>10069</v>
      </c>
      <c r="H2244" s="6">
        <v>45112</v>
      </c>
      <c r="I2244">
        <f t="shared" si="70"/>
        <v>0</v>
      </c>
      <c r="J2244" t="str">
        <f t="shared" si="71"/>
        <v>Complete</v>
      </c>
      <c r="K2244">
        <f>COUNTIFS(RawData[Item], B2244,RawData[Quantity],C2244,RawData[Price Per Unit],D2244,RawData[Total Spent],E2244,RawData[Payment Method],F2244,RawData[Location],G2244,RawData[Transaction Date],H2244)</f>
        <v>1</v>
      </c>
      <c r="L2244"/>
    </row>
    <row r="2245" spans="1:12" x14ac:dyDescent="0.3">
      <c r="A2245" t="s">
        <v>2251</v>
      </c>
      <c r="B2245" t="s">
        <v>10012</v>
      </c>
      <c r="C2245">
        <v>3</v>
      </c>
      <c r="D2245">
        <v>4</v>
      </c>
      <c r="E2245">
        <v>12</v>
      </c>
      <c r="F2245" t="s">
        <v>10104</v>
      </c>
      <c r="G2245" t="s">
        <v>10104</v>
      </c>
      <c r="H2245" s="6">
        <v>44958</v>
      </c>
      <c r="I2245">
        <f t="shared" si="70"/>
        <v>2</v>
      </c>
      <c r="J2245" t="str">
        <f t="shared" si="71"/>
        <v>Complete</v>
      </c>
      <c r="K2245">
        <f>COUNTIFS(RawData[Item], B2245,RawData[Quantity],C2245,RawData[Price Per Unit],D2245,RawData[Total Spent],E2245,RawData[Payment Method],F2245,RawData[Location],G2245,RawData[Transaction Date],H2245)</f>
        <v>1</v>
      </c>
      <c r="L2245"/>
    </row>
    <row r="2246" spans="1:12" x14ac:dyDescent="0.3">
      <c r="A2246" t="s">
        <v>2252</v>
      </c>
      <c r="B2246" t="s">
        <v>10008</v>
      </c>
      <c r="C2246">
        <v>5</v>
      </c>
      <c r="D2246">
        <v>2</v>
      </c>
      <c r="E2246">
        <v>10</v>
      </c>
      <c r="F2246" t="s">
        <v>10020</v>
      </c>
      <c r="G2246" t="s">
        <v>10104</v>
      </c>
      <c r="H2246" s="6">
        <v>44927</v>
      </c>
      <c r="I2246">
        <f t="shared" si="70"/>
        <v>1</v>
      </c>
      <c r="J2246" t="str">
        <f t="shared" si="71"/>
        <v>Complete</v>
      </c>
      <c r="K2246">
        <f>COUNTIFS(RawData[Item], B2246,RawData[Quantity],C2246,RawData[Price Per Unit],D2246,RawData[Total Spent],E2246,RawData[Payment Method],F2246,RawData[Location],G2246,RawData[Transaction Date],H2246)</f>
        <v>1</v>
      </c>
      <c r="L2246"/>
    </row>
    <row r="2247" spans="1:12" x14ac:dyDescent="0.3">
      <c r="A2247" t="s">
        <v>2253</v>
      </c>
      <c r="B2247" t="s">
        <v>10012</v>
      </c>
      <c r="C2247">
        <v>3</v>
      </c>
      <c r="D2247">
        <v>4</v>
      </c>
      <c r="E2247">
        <v>12</v>
      </c>
      <c r="F2247" t="s">
        <v>10019</v>
      </c>
      <c r="G2247" t="s">
        <v>10069</v>
      </c>
      <c r="H2247" s="6">
        <v>45249</v>
      </c>
      <c r="I2247">
        <f t="shared" si="70"/>
        <v>0</v>
      </c>
      <c r="J2247" t="str">
        <f t="shared" si="71"/>
        <v>Complete</v>
      </c>
      <c r="K2247">
        <f>COUNTIFS(RawData[Item], B2247,RawData[Quantity],C2247,RawData[Price Per Unit],D2247,RawData[Total Spent],E2247,RawData[Payment Method],F2247,RawData[Location],G2247,RawData[Transaction Date],H2247)</f>
        <v>1</v>
      </c>
      <c r="L2247"/>
    </row>
    <row r="2248" spans="1:12" x14ac:dyDescent="0.3">
      <c r="A2248" t="s">
        <v>2254</v>
      </c>
      <c r="B2248" t="s">
        <v>10009</v>
      </c>
      <c r="C2248">
        <v>2</v>
      </c>
      <c r="D2248">
        <v>0</v>
      </c>
      <c r="E2248">
        <v>6</v>
      </c>
      <c r="F2248" t="s">
        <v>10069</v>
      </c>
      <c r="G2248" t="s">
        <v>10069</v>
      </c>
      <c r="H2248" s="6">
        <v>45261</v>
      </c>
      <c r="I2248">
        <f t="shared" si="70"/>
        <v>0</v>
      </c>
      <c r="J2248" t="str">
        <f t="shared" si="71"/>
        <v>Complete</v>
      </c>
      <c r="K2248">
        <f>COUNTIFS(RawData[Item], B2248,RawData[Quantity],C2248,RawData[Price Per Unit],D2248,RawData[Total Spent],E2248,RawData[Payment Method],F2248,RawData[Location],G2248,RawData[Transaction Date],H2248)</f>
        <v>1</v>
      </c>
      <c r="L2248"/>
    </row>
    <row r="2249" spans="1:12" x14ac:dyDescent="0.3">
      <c r="A2249" t="s">
        <v>2255</v>
      </c>
      <c r="B2249" t="s">
        <v>10008</v>
      </c>
      <c r="C2249">
        <v>4</v>
      </c>
      <c r="D2249">
        <v>2</v>
      </c>
      <c r="E2249">
        <v>8</v>
      </c>
      <c r="F2249" t="s">
        <v>10018</v>
      </c>
      <c r="G2249" t="s">
        <v>10103</v>
      </c>
      <c r="H2249" s="6">
        <v>45176</v>
      </c>
      <c r="I2249">
        <f t="shared" si="70"/>
        <v>1</v>
      </c>
      <c r="J2249" t="str">
        <f t="shared" si="71"/>
        <v>Complete</v>
      </c>
      <c r="K2249">
        <f>COUNTIFS(RawData[Item], B2249,RawData[Quantity],C2249,RawData[Price Per Unit],D2249,RawData[Total Spent],E2249,RawData[Payment Method],F2249,RawData[Location],G2249,RawData[Transaction Date],H2249)</f>
        <v>1</v>
      </c>
      <c r="L2249"/>
    </row>
    <row r="2250" spans="1:12" x14ac:dyDescent="0.3">
      <c r="A2250" t="s">
        <v>2256</v>
      </c>
      <c r="B2250" t="s">
        <v>10016</v>
      </c>
      <c r="C2250">
        <v>2</v>
      </c>
      <c r="D2250">
        <v>3</v>
      </c>
      <c r="E2250">
        <v>6</v>
      </c>
      <c r="F2250" t="s">
        <v>10019</v>
      </c>
      <c r="G2250" t="s">
        <v>10021</v>
      </c>
      <c r="H2250" s="6">
        <v>45275</v>
      </c>
      <c r="I2250">
        <f t="shared" si="70"/>
        <v>0</v>
      </c>
      <c r="J2250" t="str">
        <f t="shared" si="71"/>
        <v>Complete</v>
      </c>
      <c r="K2250">
        <f>COUNTIFS(RawData[Item], B2250,RawData[Quantity],C2250,RawData[Price Per Unit],D2250,RawData[Total Spent],E2250,RawData[Payment Method],F2250,RawData[Location],G2250,RawData[Transaction Date],H2250)</f>
        <v>1</v>
      </c>
      <c r="L2250"/>
    </row>
    <row r="2251" spans="1:12" x14ac:dyDescent="0.3">
      <c r="A2251" t="s">
        <v>2257</v>
      </c>
      <c r="B2251" t="s">
        <v>10008</v>
      </c>
      <c r="C2251">
        <v>5</v>
      </c>
      <c r="D2251">
        <v>2</v>
      </c>
      <c r="E2251">
        <v>10</v>
      </c>
      <c r="F2251" t="s">
        <v>10103</v>
      </c>
      <c r="G2251" t="s">
        <v>10069</v>
      </c>
      <c r="H2251" s="6">
        <v>45229</v>
      </c>
      <c r="I2251">
        <f t="shared" si="70"/>
        <v>1</v>
      </c>
      <c r="J2251" t="str">
        <f t="shared" si="71"/>
        <v>Complete</v>
      </c>
      <c r="K2251">
        <f>COUNTIFS(RawData[Item], B2251,RawData[Quantity],C2251,RawData[Price Per Unit],D2251,RawData[Total Spent],E2251,RawData[Payment Method],F2251,RawData[Location],G2251,RawData[Transaction Date],H2251)</f>
        <v>1</v>
      </c>
      <c r="L2251"/>
    </row>
    <row r="2252" spans="1:12" x14ac:dyDescent="0.3">
      <c r="A2252" t="s">
        <v>2258</v>
      </c>
      <c r="B2252" t="s">
        <v>10011</v>
      </c>
      <c r="C2252">
        <v>5</v>
      </c>
      <c r="D2252">
        <v>5</v>
      </c>
      <c r="E2252">
        <v>25</v>
      </c>
      <c r="F2252" t="s">
        <v>10069</v>
      </c>
      <c r="G2252" t="s">
        <v>10069</v>
      </c>
      <c r="H2252" s="6">
        <v>45135</v>
      </c>
      <c r="I2252">
        <f t="shared" si="70"/>
        <v>0</v>
      </c>
      <c r="J2252" t="str">
        <f t="shared" si="71"/>
        <v>Complete</v>
      </c>
      <c r="K2252">
        <f>COUNTIFS(RawData[Item], B2252,RawData[Quantity],C2252,RawData[Price Per Unit],D2252,RawData[Total Spent],E2252,RawData[Payment Method],F2252,RawData[Location],G2252,RawData[Transaction Date],H2252)</f>
        <v>1</v>
      </c>
      <c r="L2252"/>
    </row>
    <row r="2253" spans="1:12" x14ac:dyDescent="0.3">
      <c r="A2253" t="s">
        <v>2259</v>
      </c>
      <c r="B2253" t="s">
        <v>10014</v>
      </c>
      <c r="C2253">
        <v>1</v>
      </c>
      <c r="D2253">
        <v>4</v>
      </c>
      <c r="E2253">
        <v>4</v>
      </c>
      <c r="F2253" t="s">
        <v>10018</v>
      </c>
      <c r="G2253" t="s">
        <v>10069</v>
      </c>
      <c r="H2253" s="6">
        <v>45210</v>
      </c>
      <c r="I2253">
        <f t="shared" si="70"/>
        <v>0</v>
      </c>
      <c r="J2253" t="str">
        <f t="shared" si="71"/>
        <v>Complete</v>
      </c>
      <c r="K2253">
        <f>COUNTIFS(RawData[Item], B2253,RawData[Quantity],C2253,RawData[Price Per Unit],D2253,RawData[Total Spent],E2253,RawData[Payment Method],F2253,RawData[Location],G2253,RawData[Transaction Date],H2253)</f>
        <v>1</v>
      </c>
      <c r="L2253"/>
    </row>
    <row r="2254" spans="1:12" x14ac:dyDescent="0.3">
      <c r="A2254" t="s">
        <v>2260</v>
      </c>
      <c r="B2254" t="s">
        <v>10014</v>
      </c>
      <c r="C2254">
        <v>2</v>
      </c>
      <c r="D2254">
        <v>4</v>
      </c>
      <c r="E2254">
        <v>8</v>
      </c>
      <c r="F2254" t="s">
        <v>10020</v>
      </c>
      <c r="G2254" t="s">
        <v>10103</v>
      </c>
      <c r="H2254" s="6">
        <v>45102</v>
      </c>
      <c r="I2254">
        <f t="shared" si="70"/>
        <v>1</v>
      </c>
      <c r="J2254" t="str">
        <f t="shared" si="71"/>
        <v>Complete</v>
      </c>
      <c r="K2254">
        <f>COUNTIFS(RawData[Item], B2254,RawData[Quantity],C2254,RawData[Price Per Unit],D2254,RawData[Total Spent],E2254,RawData[Payment Method],F2254,RawData[Location],G2254,RawData[Transaction Date],H2254)</f>
        <v>1</v>
      </c>
      <c r="L2254"/>
    </row>
    <row r="2255" spans="1:12" x14ac:dyDescent="0.3">
      <c r="A2255" t="s">
        <v>2261</v>
      </c>
      <c r="B2255" t="s">
        <v>10010</v>
      </c>
      <c r="C2255">
        <v>1</v>
      </c>
      <c r="D2255">
        <v>1</v>
      </c>
      <c r="E2255">
        <v>1</v>
      </c>
      <c r="F2255" t="s">
        <v>10020</v>
      </c>
      <c r="G2255" t="s">
        <v>10021</v>
      </c>
      <c r="H2255" s="6">
        <v>45046</v>
      </c>
      <c r="I2255">
        <f t="shared" si="70"/>
        <v>0</v>
      </c>
      <c r="J2255" t="str">
        <f t="shared" si="71"/>
        <v>Complete</v>
      </c>
      <c r="K2255">
        <f>COUNTIFS(RawData[Item], B2255,RawData[Quantity],C2255,RawData[Price Per Unit],D2255,RawData[Total Spent],E2255,RawData[Payment Method],F2255,RawData[Location],G2255,RawData[Transaction Date],H2255)</f>
        <v>1</v>
      </c>
      <c r="L2255"/>
    </row>
    <row r="2256" spans="1:12" x14ac:dyDescent="0.3">
      <c r="A2256" t="s">
        <v>2262</v>
      </c>
      <c r="B2256" t="s">
        <v>10015</v>
      </c>
      <c r="C2256">
        <v>4</v>
      </c>
      <c r="D2256">
        <v>3</v>
      </c>
      <c r="E2256">
        <v>12</v>
      </c>
      <c r="F2256" t="s">
        <v>10069</v>
      </c>
      <c r="G2256" t="s">
        <v>10102</v>
      </c>
      <c r="H2256" s="6">
        <v>45224</v>
      </c>
      <c r="I2256">
        <f t="shared" si="70"/>
        <v>1</v>
      </c>
      <c r="J2256" t="str">
        <f t="shared" si="71"/>
        <v>Complete</v>
      </c>
      <c r="K2256">
        <f>COUNTIFS(RawData[Item], B2256,RawData[Quantity],C2256,RawData[Price Per Unit],D2256,RawData[Total Spent],E2256,RawData[Payment Method],F2256,RawData[Location],G2256,RawData[Transaction Date],H2256)</f>
        <v>1</v>
      </c>
      <c r="L2256"/>
    </row>
    <row r="2257" spans="1:12" x14ac:dyDescent="0.3">
      <c r="A2257" t="s">
        <v>2263</v>
      </c>
      <c r="B2257" t="s">
        <v>10008</v>
      </c>
      <c r="C2257">
        <v>0</v>
      </c>
      <c r="D2257">
        <v>2</v>
      </c>
      <c r="E2257">
        <v>4</v>
      </c>
      <c r="F2257" t="s">
        <v>10018</v>
      </c>
      <c r="G2257" t="s">
        <v>10021</v>
      </c>
      <c r="H2257" s="6">
        <v>45261</v>
      </c>
      <c r="I2257">
        <f t="shared" si="70"/>
        <v>0</v>
      </c>
      <c r="J2257" t="str">
        <f t="shared" si="71"/>
        <v>Complete</v>
      </c>
      <c r="K2257">
        <f>COUNTIFS(RawData[Item], B2257,RawData[Quantity],C2257,RawData[Price Per Unit],D2257,RawData[Total Spent],E2257,RawData[Payment Method],F2257,RawData[Location],G2257,RawData[Transaction Date],H2257)</f>
        <v>1</v>
      </c>
      <c r="L2257"/>
    </row>
    <row r="2258" spans="1:12" x14ac:dyDescent="0.3">
      <c r="A2258" t="s">
        <v>2264</v>
      </c>
      <c r="B2258" t="s">
        <v>10017</v>
      </c>
      <c r="C2258">
        <v>2</v>
      </c>
      <c r="D2258" t="s">
        <v>10013</v>
      </c>
      <c r="E2258">
        <v>3</v>
      </c>
      <c r="F2258" t="s">
        <v>10020</v>
      </c>
      <c r="G2258" t="s">
        <v>10102</v>
      </c>
      <c r="H2258" s="6">
        <v>45212</v>
      </c>
      <c r="I2258">
        <f t="shared" si="70"/>
        <v>1</v>
      </c>
      <c r="J2258" t="str">
        <f t="shared" si="71"/>
        <v>Complete</v>
      </c>
      <c r="K2258">
        <f>COUNTIFS(RawData[Item], B2258,RawData[Quantity],C2258,RawData[Price Per Unit],D2258,RawData[Total Spent],E2258,RawData[Payment Method],F2258,RawData[Location],G2258,RawData[Transaction Date],H2258)</f>
        <v>1</v>
      </c>
      <c r="L2258"/>
    </row>
    <row r="2259" spans="1:12" x14ac:dyDescent="0.3">
      <c r="A2259" t="s">
        <v>2265</v>
      </c>
      <c r="B2259" t="s">
        <v>10011</v>
      </c>
      <c r="C2259">
        <v>1</v>
      </c>
      <c r="D2259">
        <v>5</v>
      </c>
      <c r="E2259">
        <v>5</v>
      </c>
      <c r="F2259" t="s">
        <v>10069</v>
      </c>
      <c r="G2259" t="s">
        <v>10102</v>
      </c>
      <c r="H2259" s="6">
        <v>44937</v>
      </c>
      <c r="I2259">
        <f t="shared" si="70"/>
        <v>0</v>
      </c>
      <c r="J2259" t="str">
        <f t="shared" si="71"/>
        <v>Complete</v>
      </c>
      <c r="K2259">
        <f>COUNTIFS(RawData[Item], B2259,RawData[Quantity],C2259,RawData[Price Per Unit],D2259,RawData[Total Spent],E2259,RawData[Payment Method],F2259,RawData[Location],G2259,RawData[Transaction Date],H2259)</f>
        <v>1</v>
      </c>
      <c r="L2259"/>
    </row>
    <row r="2260" spans="1:12" x14ac:dyDescent="0.3">
      <c r="A2260" t="s">
        <v>2266</v>
      </c>
      <c r="B2260" t="s">
        <v>10009</v>
      </c>
      <c r="C2260">
        <v>1</v>
      </c>
      <c r="D2260">
        <v>3</v>
      </c>
      <c r="E2260">
        <v>3</v>
      </c>
      <c r="F2260" t="s">
        <v>10069</v>
      </c>
      <c r="G2260" t="s">
        <v>10069</v>
      </c>
      <c r="H2260" s="6">
        <v>45183</v>
      </c>
      <c r="I2260">
        <f t="shared" si="70"/>
        <v>0</v>
      </c>
      <c r="J2260" t="str">
        <f t="shared" si="71"/>
        <v>Complete</v>
      </c>
      <c r="K2260">
        <f>COUNTIFS(RawData[Item], B2260,RawData[Quantity],C2260,RawData[Price Per Unit],D2260,RawData[Total Spent],E2260,RawData[Payment Method],F2260,RawData[Location],G2260,RawData[Transaction Date],H2260)</f>
        <v>2</v>
      </c>
      <c r="L2260"/>
    </row>
    <row r="2261" spans="1:12" x14ac:dyDescent="0.3">
      <c r="A2261" t="s">
        <v>2267</v>
      </c>
      <c r="B2261" t="s">
        <v>10008</v>
      </c>
      <c r="C2261">
        <v>3</v>
      </c>
      <c r="D2261">
        <v>2</v>
      </c>
      <c r="E2261">
        <v>6</v>
      </c>
      <c r="F2261" t="s">
        <v>10069</v>
      </c>
      <c r="G2261" t="s">
        <v>10021</v>
      </c>
      <c r="H2261" s="6">
        <v>44954</v>
      </c>
      <c r="I2261">
        <f t="shared" si="70"/>
        <v>0</v>
      </c>
      <c r="J2261" t="str">
        <f t="shared" si="71"/>
        <v>Complete</v>
      </c>
      <c r="K2261">
        <f>COUNTIFS(RawData[Item], B2261,RawData[Quantity],C2261,RawData[Price Per Unit],D2261,RawData[Total Spent],E2261,RawData[Payment Method],F2261,RawData[Location],G2261,RawData[Transaction Date],H2261)</f>
        <v>1</v>
      </c>
      <c r="L2261"/>
    </row>
    <row r="2262" spans="1:12" x14ac:dyDescent="0.3">
      <c r="A2262" t="s">
        <v>2268</v>
      </c>
      <c r="B2262" t="s">
        <v>10012</v>
      </c>
      <c r="C2262">
        <v>5</v>
      </c>
      <c r="D2262">
        <v>4</v>
      </c>
      <c r="E2262">
        <v>20</v>
      </c>
      <c r="F2262" t="s">
        <v>10069</v>
      </c>
      <c r="G2262" t="s">
        <v>10104</v>
      </c>
      <c r="H2262" s="6" t="s">
        <v>10112</v>
      </c>
      <c r="I2262">
        <f t="shared" si="70"/>
        <v>2</v>
      </c>
      <c r="J2262" t="str">
        <f t="shared" si="71"/>
        <v>Incomplete</v>
      </c>
      <c r="K2262">
        <f>COUNTIFS(RawData[Item], B2262,RawData[Quantity],C2262,RawData[Price Per Unit],D2262,RawData[Total Spent],E2262,RawData[Payment Method],F2262,RawData[Location],G2262,RawData[Transaction Date],H2262)</f>
        <v>1</v>
      </c>
      <c r="L2262"/>
    </row>
    <row r="2263" spans="1:12" x14ac:dyDescent="0.3">
      <c r="A2263" t="s">
        <v>2269</v>
      </c>
      <c r="B2263" t="s">
        <v>10008</v>
      </c>
      <c r="C2263">
        <v>4</v>
      </c>
      <c r="D2263">
        <v>2</v>
      </c>
      <c r="E2263">
        <v>8</v>
      </c>
      <c r="F2263" t="s">
        <v>10069</v>
      </c>
      <c r="G2263" t="s">
        <v>10021</v>
      </c>
      <c r="H2263" s="6">
        <v>44975</v>
      </c>
      <c r="I2263">
        <f t="shared" si="70"/>
        <v>0</v>
      </c>
      <c r="J2263" t="str">
        <f t="shared" si="71"/>
        <v>Complete</v>
      </c>
      <c r="K2263">
        <f>COUNTIFS(RawData[Item], B2263,RawData[Quantity],C2263,RawData[Price Per Unit],D2263,RawData[Total Spent],E2263,RawData[Payment Method],F2263,RawData[Location],G2263,RawData[Transaction Date],H2263)</f>
        <v>2</v>
      </c>
      <c r="L2263"/>
    </row>
    <row r="2264" spans="1:12" x14ac:dyDescent="0.3">
      <c r="A2264" t="s">
        <v>2270</v>
      </c>
      <c r="B2264" t="s">
        <v>10016</v>
      </c>
      <c r="C2264">
        <v>3</v>
      </c>
      <c r="D2264" t="s">
        <v>10015</v>
      </c>
      <c r="E2264">
        <v>9</v>
      </c>
      <c r="F2264" t="s">
        <v>10019</v>
      </c>
      <c r="G2264" t="s">
        <v>10069</v>
      </c>
      <c r="H2264" s="6">
        <v>45237</v>
      </c>
      <c r="I2264">
        <f t="shared" si="70"/>
        <v>1</v>
      </c>
      <c r="J2264" t="str">
        <f t="shared" si="71"/>
        <v>Complete</v>
      </c>
      <c r="K2264">
        <f>COUNTIFS(RawData[Item], B2264,RawData[Quantity],C2264,RawData[Price Per Unit],D2264,RawData[Total Spent],E2264,RawData[Payment Method],F2264,RawData[Location],G2264,RawData[Transaction Date],H2264)</f>
        <v>1</v>
      </c>
      <c r="L2264"/>
    </row>
    <row r="2265" spans="1:12" x14ac:dyDescent="0.3">
      <c r="A2265" t="s">
        <v>2271</v>
      </c>
      <c r="B2265" t="s">
        <v>10008</v>
      </c>
      <c r="C2265">
        <v>3</v>
      </c>
      <c r="D2265">
        <v>2</v>
      </c>
      <c r="E2265">
        <v>6</v>
      </c>
      <c r="F2265" t="s">
        <v>10069</v>
      </c>
      <c r="G2265" t="s">
        <v>10021</v>
      </c>
      <c r="H2265" s="6">
        <v>45199</v>
      </c>
      <c r="I2265">
        <f t="shared" si="70"/>
        <v>0</v>
      </c>
      <c r="J2265" t="str">
        <f t="shared" si="71"/>
        <v>Complete</v>
      </c>
      <c r="K2265">
        <f>COUNTIFS(RawData[Item], B2265,RawData[Quantity],C2265,RawData[Price Per Unit],D2265,RawData[Total Spent],E2265,RawData[Payment Method],F2265,RawData[Location],G2265,RawData[Transaction Date],H2265)</f>
        <v>1</v>
      </c>
      <c r="L2265"/>
    </row>
    <row r="2266" spans="1:12" x14ac:dyDescent="0.3">
      <c r="A2266" t="s">
        <v>2272</v>
      </c>
      <c r="B2266" t="s">
        <v>10017</v>
      </c>
      <c r="C2266">
        <v>3</v>
      </c>
      <c r="D2266">
        <v>1.5</v>
      </c>
      <c r="E2266">
        <v>4.5</v>
      </c>
      <c r="F2266" t="s">
        <v>10018</v>
      </c>
      <c r="G2266" t="s">
        <v>10021</v>
      </c>
      <c r="H2266" s="6">
        <v>45109</v>
      </c>
      <c r="I2266">
        <f t="shared" si="70"/>
        <v>0</v>
      </c>
      <c r="J2266" t="str">
        <f t="shared" si="71"/>
        <v>Complete</v>
      </c>
      <c r="K2266">
        <f>COUNTIFS(RawData[Item], B2266,RawData[Quantity],C2266,RawData[Price Per Unit],D2266,RawData[Total Spent],E2266,RawData[Payment Method],F2266,RawData[Location],G2266,RawData[Transaction Date],H2266)</f>
        <v>1</v>
      </c>
      <c r="L2266"/>
    </row>
    <row r="2267" spans="1:12" x14ac:dyDescent="0.3">
      <c r="A2267" t="s">
        <v>2273</v>
      </c>
      <c r="B2267" t="s">
        <v>10011</v>
      </c>
      <c r="C2267">
        <v>5</v>
      </c>
      <c r="D2267">
        <v>0</v>
      </c>
      <c r="E2267">
        <v>25</v>
      </c>
      <c r="F2267" t="s">
        <v>10018</v>
      </c>
      <c r="G2267" t="s">
        <v>10021</v>
      </c>
      <c r="H2267" s="6">
        <v>45241</v>
      </c>
      <c r="I2267">
        <f t="shared" si="70"/>
        <v>0</v>
      </c>
      <c r="J2267" t="str">
        <f t="shared" si="71"/>
        <v>Complete</v>
      </c>
      <c r="K2267">
        <f>COUNTIFS(RawData[Item], B2267,RawData[Quantity],C2267,RawData[Price Per Unit],D2267,RawData[Total Spent],E2267,RawData[Payment Method],F2267,RawData[Location],G2267,RawData[Transaction Date],H2267)</f>
        <v>1</v>
      </c>
      <c r="L2267"/>
    </row>
    <row r="2268" spans="1:12" x14ac:dyDescent="0.3">
      <c r="A2268" t="s">
        <v>2274</v>
      </c>
      <c r="B2268" t="s">
        <v>10012</v>
      </c>
      <c r="C2268">
        <v>5</v>
      </c>
      <c r="D2268">
        <v>4</v>
      </c>
      <c r="E2268">
        <v>20</v>
      </c>
      <c r="F2268" t="s">
        <v>10019</v>
      </c>
      <c r="G2268" t="s">
        <v>10021</v>
      </c>
      <c r="H2268" s="6">
        <v>45158</v>
      </c>
      <c r="I2268">
        <f t="shared" si="70"/>
        <v>0</v>
      </c>
      <c r="J2268" t="str">
        <f t="shared" si="71"/>
        <v>Complete</v>
      </c>
      <c r="K2268">
        <f>COUNTIFS(RawData[Item], B2268,RawData[Quantity],C2268,RawData[Price Per Unit],D2268,RawData[Total Spent],E2268,RawData[Payment Method],F2268,RawData[Location],G2268,RawData[Transaction Date],H2268)</f>
        <v>1</v>
      </c>
      <c r="L2268"/>
    </row>
    <row r="2269" spans="1:12" x14ac:dyDescent="0.3">
      <c r="A2269" t="s">
        <v>2275</v>
      </c>
      <c r="B2269" t="s">
        <v>10017</v>
      </c>
      <c r="C2269">
        <v>2</v>
      </c>
      <c r="D2269">
        <v>1.5</v>
      </c>
      <c r="E2269">
        <v>3</v>
      </c>
      <c r="F2269" t="s">
        <v>10019</v>
      </c>
      <c r="G2269" t="s">
        <v>10021</v>
      </c>
      <c r="H2269" s="6" t="s">
        <v>10112</v>
      </c>
      <c r="I2269">
        <f t="shared" si="70"/>
        <v>1</v>
      </c>
      <c r="J2269" t="str">
        <f t="shared" si="71"/>
        <v>Incomplete</v>
      </c>
      <c r="K2269">
        <f>COUNTIFS(RawData[Item], B2269,RawData[Quantity],C2269,RawData[Price Per Unit],D2269,RawData[Total Spent],E2269,RawData[Payment Method],F2269,RawData[Location],G2269,RawData[Transaction Date],H2269)</f>
        <v>3</v>
      </c>
      <c r="L2269"/>
    </row>
    <row r="2270" spans="1:12" x14ac:dyDescent="0.3">
      <c r="A2270" t="s">
        <v>2276</v>
      </c>
      <c r="B2270" t="s">
        <v>10015</v>
      </c>
      <c r="C2270">
        <v>3</v>
      </c>
      <c r="D2270">
        <v>2</v>
      </c>
      <c r="E2270">
        <v>6</v>
      </c>
      <c r="F2270" t="s">
        <v>10019</v>
      </c>
      <c r="G2270" t="s">
        <v>10069</v>
      </c>
      <c r="H2270" s="6">
        <v>44985</v>
      </c>
      <c r="I2270">
        <f t="shared" si="70"/>
        <v>1</v>
      </c>
      <c r="J2270" t="str">
        <f t="shared" si="71"/>
        <v>Complete</v>
      </c>
      <c r="K2270">
        <f>COUNTIFS(RawData[Item], B2270,RawData[Quantity],C2270,RawData[Price Per Unit],D2270,RawData[Total Spent],E2270,RawData[Payment Method],F2270,RawData[Location],G2270,RawData[Transaction Date],H2270)</f>
        <v>1</v>
      </c>
      <c r="L2270"/>
    </row>
    <row r="2271" spans="1:12" x14ac:dyDescent="0.3">
      <c r="A2271" t="s">
        <v>2277</v>
      </c>
      <c r="B2271" t="s">
        <v>10012</v>
      </c>
      <c r="C2271">
        <v>1</v>
      </c>
      <c r="D2271">
        <v>4</v>
      </c>
      <c r="E2271">
        <v>4</v>
      </c>
      <c r="F2271" t="s">
        <v>10069</v>
      </c>
      <c r="G2271" t="s">
        <v>10102</v>
      </c>
      <c r="H2271" s="6">
        <v>44974</v>
      </c>
      <c r="I2271">
        <f t="shared" si="70"/>
        <v>0</v>
      </c>
      <c r="J2271" t="str">
        <f t="shared" si="71"/>
        <v>Complete</v>
      </c>
      <c r="K2271">
        <f>COUNTIFS(RawData[Item], B2271,RawData[Quantity],C2271,RawData[Price Per Unit],D2271,RawData[Total Spent],E2271,RawData[Payment Method],F2271,RawData[Location],G2271,RawData[Transaction Date],H2271)</f>
        <v>1</v>
      </c>
      <c r="L2271"/>
    </row>
    <row r="2272" spans="1:12" x14ac:dyDescent="0.3">
      <c r="A2272" t="s">
        <v>2278</v>
      </c>
      <c r="B2272" t="s">
        <v>10015</v>
      </c>
      <c r="C2272" t="s">
        <v>10015</v>
      </c>
      <c r="D2272">
        <v>1.5</v>
      </c>
      <c r="E2272">
        <v>3</v>
      </c>
      <c r="F2272" t="s">
        <v>10103</v>
      </c>
      <c r="G2272" t="s">
        <v>10021</v>
      </c>
      <c r="H2272" s="6">
        <v>44950</v>
      </c>
      <c r="I2272">
        <f t="shared" si="70"/>
        <v>3</v>
      </c>
      <c r="J2272" t="str">
        <f t="shared" si="71"/>
        <v>Complete</v>
      </c>
      <c r="K2272">
        <f>COUNTIFS(RawData[Item], B2272,RawData[Quantity],C2272,RawData[Price Per Unit],D2272,RawData[Total Spent],E2272,RawData[Payment Method],F2272,RawData[Location],G2272,RawData[Transaction Date],H2272)</f>
        <v>1</v>
      </c>
      <c r="L2272"/>
    </row>
    <row r="2273" spans="1:12" x14ac:dyDescent="0.3">
      <c r="A2273" t="s">
        <v>2279</v>
      </c>
      <c r="B2273" t="s">
        <v>10008</v>
      </c>
      <c r="C2273">
        <v>2</v>
      </c>
      <c r="D2273">
        <v>2</v>
      </c>
      <c r="E2273">
        <v>4</v>
      </c>
      <c r="F2273" t="s">
        <v>10069</v>
      </c>
      <c r="G2273" t="s">
        <v>10021</v>
      </c>
      <c r="H2273" s="6">
        <v>45094</v>
      </c>
      <c r="I2273">
        <f t="shared" si="70"/>
        <v>0</v>
      </c>
      <c r="J2273" t="str">
        <f t="shared" si="71"/>
        <v>Complete</v>
      </c>
      <c r="K2273">
        <f>COUNTIFS(RawData[Item], B2273,RawData[Quantity],C2273,RawData[Price Per Unit],D2273,RawData[Total Spent],E2273,RawData[Payment Method],F2273,RawData[Location],G2273,RawData[Transaction Date],H2273)</f>
        <v>1</v>
      </c>
      <c r="L2273"/>
    </row>
    <row r="2274" spans="1:12" x14ac:dyDescent="0.3">
      <c r="A2274" t="s">
        <v>2280</v>
      </c>
      <c r="B2274" t="s">
        <v>10016</v>
      </c>
      <c r="C2274">
        <v>3</v>
      </c>
      <c r="D2274">
        <v>3</v>
      </c>
      <c r="E2274">
        <v>9</v>
      </c>
      <c r="F2274" t="s">
        <v>10018</v>
      </c>
      <c r="G2274" t="s">
        <v>10104</v>
      </c>
      <c r="H2274" s="6">
        <v>45039</v>
      </c>
      <c r="I2274">
        <f t="shared" si="70"/>
        <v>1</v>
      </c>
      <c r="J2274" t="str">
        <f t="shared" si="71"/>
        <v>Complete</v>
      </c>
      <c r="K2274">
        <f>COUNTIFS(RawData[Item], B2274,RawData[Quantity],C2274,RawData[Price Per Unit],D2274,RawData[Total Spent],E2274,RawData[Payment Method],F2274,RawData[Location],G2274,RawData[Transaction Date],H2274)</f>
        <v>1</v>
      </c>
      <c r="L2274"/>
    </row>
    <row r="2275" spans="1:12" x14ac:dyDescent="0.3">
      <c r="A2275" t="s">
        <v>2281</v>
      </c>
      <c r="B2275" t="s">
        <v>10010</v>
      </c>
      <c r="C2275">
        <v>1</v>
      </c>
      <c r="D2275">
        <v>1</v>
      </c>
      <c r="E2275">
        <v>1</v>
      </c>
      <c r="F2275" t="s">
        <v>10069</v>
      </c>
      <c r="G2275" t="s">
        <v>10069</v>
      </c>
      <c r="H2275" s="6">
        <v>45044</v>
      </c>
      <c r="I2275">
        <f t="shared" si="70"/>
        <v>0</v>
      </c>
      <c r="J2275" t="str">
        <f t="shared" si="71"/>
        <v>Complete</v>
      </c>
      <c r="K2275">
        <f>COUNTIFS(RawData[Item], B2275,RawData[Quantity],C2275,RawData[Price Per Unit],D2275,RawData[Total Spent],E2275,RawData[Payment Method],F2275,RawData[Location],G2275,RawData[Transaction Date],H2275)</f>
        <v>1</v>
      </c>
      <c r="L2275"/>
    </row>
    <row r="2276" spans="1:12" x14ac:dyDescent="0.3">
      <c r="A2276" t="s">
        <v>2282</v>
      </c>
      <c r="B2276" t="s">
        <v>10016</v>
      </c>
      <c r="C2276">
        <v>2</v>
      </c>
      <c r="D2276">
        <v>3</v>
      </c>
      <c r="E2276">
        <v>6</v>
      </c>
      <c r="F2276" t="s">
        <v>10104</v>
      </c>
      <c r="G2276" t="s">
        <v>10069</v>
      </c>
      <c r="H2276" s="6">
        <v>44941</v>
      </c>
      <c r="I2276">
        <f t="shared" si="70"/>
        <v>1</v>
      </c>
      <c r="J2276" t="str">
        <f t="shared" si="71"/>
        <v>Complete</v>
      </c>
      <c r="K2276">
        <f>COUNTIFS(RawData[Item], B2276,RawData[Quantity],C2276,RawData[Price Per Unit],D2276,RawData[Total Spent],E2276,RawData[Payment Method],F2276,RawData[Location],G2276,RawData[Transaction Date],H2276)</f>
        <v>1</v>
      </c>
      <c r="L2276"/>
    </row>
    <row r="2277" spans="1:12" x14ac:dyDescent="0.3">
      <c r="A2277" t="s">
        <v>2283</v>
      </c>
      <c r="B2277" t="s">
        <v>10011</v>
      </c>
      <c r="C2277">
        <v>2</v>
      </c>
      <c r="D2277">
        <v>5</v>
      </c>
      <c r="E2277">
        <v>10</v>
      </c>
      <c r="F2277" t="s">
        <v>10020</v>
      </c>
      <c r="G2277" t="s">
        <v>10069</v>
      </c>
      <c r="H2277" s="6">
        <v>45051</v>
      </c>
      <c r="I2277">
        <f t="shared" si="70"/>
        <v>0</v>
      </c>
      <c r="J2277" t="str">
        <f t="shared" si="71"/>
        <v>Complete</v>
      </c>
      <c r="K2277">
        <f>COUNTIFS(RawData[Item], B2277,RawData[Quantity],C2277,RawData[Price Per Unit],D2277,RawData[Total Spent],E2277,RawData[Payment Method],F2277,RawData[Location],G2277,RawData[Transaction Date],H2277)</f>
        <v>1</v>
      </c>
      <c r="L2277"/>
    </row>
    <row r="2278" spans="1:12" x14ac:dyDescent="0.3">
      <c r="A2278" t="s">
        <v>2284</v>
      </c>
      <c r="B2278" t="s">
        <v>10010</v>
      </c>
      <c r="C2278">
        <v>3</v>
      </c>
      <c r="D2278">
        <v>1</v>
      </c>
      <c r="E2278">
        <v>3</v>
      </c>
      <c r="F2278" t="s">
        <v>10019</v>
      </c>
      <c r="G2278" t="s">
        <v>10104</v>
      </c>
      <c r="H2278" s="6">
        <v>45064</v>
      </c>
      <c r="I2278">
        <f t="shared" si="70"/>
        <v>1</v>
      </c>
      <c r="J2278" t="str">
        <f t="shared" si="71"/>
        <v>Complete</v>
      </c>
      <c r="K2278">
        <f>COUNTIFS(RawData[Item], B2278,RawData[Quantity],C2278,RawData[Price Per Unit],D2278,RawData[Total Spent],E2278,RawData[Payment Method],F2278,RawData[Location],G2278,RawData[Transaction Date],H2278)</f>
        <v>1</v>
      </c>
      <c r="L2278"/>
    </row>
    <row r="2279" spans="1:12" x14ac:dyDescent="0.3">
      <c r="A2279" t="s">
        <v>2285</v>
      </c>
      <c r="B2279" t="s">
        <v>10010</v>
      </c>
      <c r="C2279">
        <v>1</v>
      </c>
      <c r="D2279">
        <v>1</v>
      </c>
      <c r="E2279">
        <v>1</v>
      </c>
      <c r="F2279" t="s">
        <v>10069</v>
      </c>
      <c r="G2279" t="s">
        <v>10069</v>
      </c>
      <c r="H2279" s="6">
        <v>44998</v>
      </c>
      <c r="I2279">
        <f t="shared" si="70"/>
        <v>0</v>
      </c>
      <c r="J2279" t="str">
        <f t="shared" si="71"/>
        <v>Complete</v>
      </c>
      <c r="K2279">
        <f>COUNTIFS(RawData[Item], B2279,RawData[Quantity],C2279,RawData[Price Per Unit],D2279,RawData[Total Spent],E2279,RawData[Payment Method],F2279,RawData[Location],G2279,RawData[Transaction Date],H2279)</f>
        <v>2</v>
      </c>
      <c r="L2279"/>
    </row>
    <row r="2280" spans="1:12" x14ac:dyDescent="0.3">
      <c r="A2280" t="s">
        <v>2286</v>
      </c>
      <c r="B2280" t="s">
        <v>10012</v>
      </c>
      <c r="C2280">
        <v>4</v>
      </c>
      <c r="D2280">
        <v>4</v>
      </c>
      <c r="E2280">
        <v>16</v>
      </c>
      <c r="F2280" t="s">
        <v>10069</v>
      </c>
      <c r="G2280" t="s">
        <v>10069</v>
      </c>
      <c r="H2280" s="6">
        <v>45267</v>
      </c>
      <c r="I2280">
        <f t="shared" si="70"/>
        <v>0</v>
      </c>
      <c r="J2280" t="str">
        <f t="shared" si="71"/>
        <v>Complete</v>
      </c>
      <c r="K2280">
        <f>COUNTIFS(RawData[Item], B2280,RawData[Quantity],C2280,RawData[Price Per Unit],D2280,RawData[Total Spent],E2280,RawData[Payment Method],F2280,RawData[Location],G2280,RawData[Transaction Date],H2280)</f>
        <v>1</v>
      </c>
      <c r="L2280"/>
    </row>
    <row r="2281" spans="1:12" x14ac:dyDescent="0.3">
      <c r="A2281" t="s">
        <v>2287</v>
      </c>
      <c r="B2281" t="s">
        <v>10016</v>
      </c>
      <c r="C2281">
        <v>4</v>
      </c>
      <c r="D2281">
        <v>3</v>
      </c>
      <c r="E2281">
        <v>12</v>
      </c>
      <c r="F2281" t="s">
        <v>10103</v>
      </c>
      <c r="G2281" t="s">
        <v>10069</v>
      </c>
      <c r="H2281" s="6">
        <v>45051</v>
      </c>
      <c r="I2281">
        <f t="shared" si="70"/>
        <v>1</v>
      </c>
      <c r="J2281" t="str">
        <f t="shared" si="71"/>
        <v>Complete</v>
      </c>
      <c r="K2281">
        <f>COUNTIFS(RawData[Item], B2281,RawData[Quantity],C2281,RawData[Price Per Unit],D2281,RawData[Total Spent],E2281,RawData[Payment Method],F2281,RawData[Location],G2281,RawData[Transaction Date],H2281)</f>
        <v>1</v>
      </c>
      <c r="L2281"/>
    </row>
    <row r="2282" spans="1:12" x14ac:dyDescent="0.3">
      <c r="A2282" t="s">
        <v>2288</v>
      </c>
      <c r="B2282" t="s">
        <v>10015</v>
      </c>
      <c r="C2282">
        <v>2</v>
      </c>
      <c r="D2282">
        <v>4</v>
      </c>
      <c r="E2282">
        <v>8</v>
      </c>
      <c r="F2282" t="s">
        <v>10018</v>
      </c>
      <c r="G2282" t="s">
        <v>10102</v>
      </c>
      <c r="H2282" s="6">
        <v>45245</v>
      </c>
      <c r="I2282">
        <f t="shared" si="70"/>
        <v>1</v>
      </c>
      <c r="J2282" t="str">
        <f t="shared" si="71"/>
        <v>Complete</v>
      </c>
      <c r="K2282">
        <f>COUNTIFS(RawData[Item], B2282,RawData[Quantity],C2282,RawData[Price Per Unit],D2282,RawData[Total Spent],E2282,RawData[Payment Method],F2282,RawData[Location],G2282,RawData[Transaction Date],H2282)</f>
        <v>1</v>
      </c>
      <c r="L2282"/>
    </row>
    <row r="2283" spans="1:12" x14ac:dyDescent="0.3">
      <c r="A2283" t="s">
        <v>2289</v>
      </c>
      <c r="B2283" t="s">
        <v>10013</v>
      </c>
      <c r="C2283">
        <v>3</v>
      </c>
      <c r="D2283">
        <v>1.5</v>
      </c>
      <c r="E2283" t="s">
        <v>10013</v>
      </c>
      <c r="F2283" t="s">
        <v>10020</v>
      </c>
      <c r="G2283" t="s">
        <v>10069</v>
      </c>
      <c r="H2283" s="6">
        <v>45133</v>
      </c>
      <c r="I2283">
        <f t="shared" si="70"/>
        <v>2</v>
      </c>
      <c r="J2283" t="str">
        <f t="shared" si="71"/>
        <v>Complete</v>
      </c>
      <c r="K2283">
        <f>COUNTIFS(RawData[Item], B2283,RawData[Quantity],C2283,RawData[Price Per Unit],D2283,RawData[Total Spent],E2283,RawData[Payment Method],F2283,RawData[Location],G2283,RawData[Transaction Date],H2283)</f>
        <v>1</v>
      </c>
      <c r="L2283"/>
    </row>
    <row r="2284" spans="1:12" x14ac:dyDescent="0.3">
      <c r="A2284" t="s">
        <v>2290</v>
      </c>
      <c r="B2284" t="s">
        <v>10012</v>
      </c>
      <c r="C2284">
        <v>5</v>
      </c>
      <c r="D2284">
        <v>4</v>
      </c>
      <c r="E2284">
        <v>20</v>
      </c>
      <c r="F2284" t="s">
        <v>10019</v>
      </c>
      <c r="G2284" t="s">
        <v>10069</v>
      </c>
      <c r="H2284" s="6">
        <v>45100</v>
      </c>
      <c r="I2284">
        <f t="shared" si="70"/>
        <v>0</v>
      </c>
      <c r="J2284" t="str">
        <f t="shared" si="71"/>
        <v>Complete</v>
      </c>
      <c r="K2284">
        <f>COUNTIFS(RawData[Item], B2284,RawData[Quantity],C2284,RawData[Price Per Unit],D2284,RawData[Total Spent],E2284,RawData[Payment Method],F2284,RawData[Location],G2284,RawData[Transaction Date],H2284)</f>
        <v>1</v>
      </c>
      <c r="L2284"/>
    </row>
    <row r="2285" spans="1:12" x14ac:dyDescent="0.3">
      <c r="A2285" t="s">
        <v>2291</v>
      </c>
      <c r="B2285" t="s">
        <v>10011</v>
      </c>
      <c r="C2285">
        <v>5</v>
      </c>
      <c r="D2285">
        <v>5</v>
      </c>
      <c r="E2285">
        <v>25</v>
      </c>
      <c r="F2285" t="s">
        <v>10069</v>
      </c>
      <c r="G2285" t="s">
        <v>10069</v>
      </c>
      <c r="H2285" s="6">
        <v>45123</v>
      </c>
      <c r="I2285">
        <f t="shared" si="70"/>
        <v>0</v>
      </c>
      <c r="J2285" t="str">
        <f t="shared" si="71"/>
        <v>Complete</v>
      </c>
      <c r="K2285">
        <f>COUNTIFS(RawData[Item], B2285,RawData[Quantity],C2285,RawData[Price Per Unit],D2285,RawData[Total Spent],E2285,RawData[Payment Method],F2285,RawData[Location],G2285,RawData[Transaction Date],H2285)</f>
        <v>1</v>
      </c>
      <c r="L2285"/>
    </row>
    <row r="2286" spans="1:12" x14ac:dyDescent="0.3">
      <c r="A2286" t="s">
        <v>2292</v>
      </c>
      <c r="B2286" t="s">
        <v>10016</v>
      </c>
      <c r="C2286" t="s">
        <v>10013</v>
      </c>
      <c r="D2286">
        <v>3</v>
      </c>
      <c r="E2286">
        <v>9</v>
      </c>
      <c r="F2286" t="s">
        <v>10069</v>
      </c>
      <c r="G2286" t="s">
        <v>10021</v>
      </c>
      <c r="H2286" s="6">
        <v>45070</v>
      </c>
      <c r="I2286">
        <f t="shared" si="70"/>
        <v>1</v>
      </c>
      <c r="J2286" t="str">
        <f t="shared" si="71"/>
        <v>Complete</v>
      </c>
      <c r="K2286">
        <f>COUNTIFS(RawData[Item], B2286,RawData[Quantity],C2286,RawData[Price Per Unit],D2286,RawData[Total Spent],E2286,RawData[Payment Method],F2286,RawData[Location],G2286,RawData[Transaction Date],H2286)</f>
        <v>1</v>
      </c>
      <c r="L2286"/>
    </row>
    <row r="2287" spans="1:12" x14ac:dyDescent="0.3">
      <c r="A2287" t="s">
        <v>2293</v>
      </c>
      <c r="B2287" t="s">
        <v>10011</v>
      </c>
      <c r="C2287">
        <v>2</v>
      </c>
      <c r="D2287">
        <v>5</v>
      </c>
      <c r="E2287">
        <v>10</v>
      </c>
      <c r="F2287" t="s">
        <v>10069</v>
      </c>
      <c r="G2287" t="s">
        <v>10021</v>
      </c>
      <c r="H2287" s="6">
        <v>45143</v>
      </c>
      <c r="I2287">
        <f t="shared" si="70"/>
        <v>0</v>
      </c>
      <c r="J2287" t="str">
        <f t="shared" si="71"/>
        <v>Complete</v>
      </c>
      <c r="K2287">
        <f>COUNTIFS(RawData[Item], B2287,RawData[Quantity],C2287,RawData[Price Per Unit],D2287,RawData[Total Spent],E2287,RawData[Payment Method],F2287,RawData[Location],G2287,RawData[Transaction Date],H2287)</f>
        <v>1</v>
      </c>
      <c r="L2287"/>
    </row>
    <row r="2288" spans="1:12" x14ac:dyDescent="0.3">
      <c r="A2288" t="s">
        <v>2294</v>
      </c>
      <c r="B2288" t="s">
        <v>10016</v>
      </c>
      <c r="C2288">
        <v>2</v>
      </c>
      <c r="D2288">
        <v>3</v>
      </c>
      <c r="E2288">
        <v>6</v>
      </c>
      <c r="F2288" t="s">
        <v>10069</v>
      </c>
      <c r="G2288" t="s">
        <v>10069</v>
      </c>
      <c r="H2288" s="6">
        <v>45092</v>
      </c>
      <c r="I2288">
        <f t="shared" si="70"/>
        <v>0</v>
      </c>
      <c r="J2288" t="str">
        <f t="shared" si="71"/>
        <v>Complete</v>
      </c>
      <c r="K2288">
        <f>COUNTIFS(RawData[Item], B2288,RawData[Quantity],C2288,RawData[Price Per Unit],D2288,RawData[Total Spent],E2288,RawData[Payment Method],F2288,RawData[Location],G2288,RawData[Transaction Date],H2288)</f>
        <v>1</v>
      </c>
      <c r="L2288"/>
    </row>
    <row r="2289" spans="1:12" x14ac:dyDescent="0.3">
      <c r="A2289" t="s">
        <v>2295</v>
      </c>
      <c r="B2289" t="s">
        <v>10015</v>
      </c>
      <c r="C2289">
        <v>5</v>
      </c>
      <c r="D2289">
        <v>4</v>
      </c>
      <c r="E2289">
        <v>20</v>
      </c>
      <c r="F2289" t="s">
        <v>10020</v>
      </c>
      <c r="G2289" t="s">
        <v>10069</v>
      </c>
      <c r="H2289" s="6">
        <v>44951</v>
      </c>
      <c r="I2289">
        <f t="shared" si="70"/>
        <v>1</v>
      </c>
      <c r="J2289" t="str">
        <f t="shared" si="71"/>
        <v>Complete</v>
      </c>
      <c r="K2289">
        <f>COUNTIFS(RawData[Item], B2289,RawData[Quantity],C2289,RawData[Price Per Unit],D2289,RawData[Total Spent],E2289,RawData[Payment Method],F2289,RawData[Location],G2289,RawData[Transaction Date],H2289)</f>
        <v>1</v>
      </c>
      <c r="L2289"/>
    </row>
    <row r="2290" spans="1:12" x14ac:dyDescent="0.3">
      <c r="A2290" t="s">
        <v>2296</v>
      </c>
      <c r="B2290" t="s">
        <v>10008</v>
      </c>
      <c r="C2290">
        <v>4</v>
      </c>
      <c r="D2290">
        <v>2</v>
      </c>
      <c r="E2290">
        <v>8</v>
      </c>
      <c r="F2290" t="s">
        <v>10018</v>
      </c>
      <c r="G2290" t="s">
        <v>10021</v>
      </c>
      <c r="H2290" s="6">
        <v>45210</v>
      </c>
      <c r="I2290">
        <f t="shared" si="70"/>
        <v>0</v>
      </c>
      <c r="J2290" t="str">
        <f t="shared" si="71"/>
        <v>Complete</v>
      </c>
      <c r="K2290">
        <f>COUNTIFS(RawData[Item], B2290,RawData[Quantity],C2290,RawData[Price Per Unit],D2290,RawData[Total Spent],E2290,RawData[Payment Method],F2290,RawData[Location],G2290,RawData[Transaction Date],H2290)</f>
        <v>1</v>
      </c>
      <c r="L2290"/>
    </row>
    <row r="2291" spans="1:12" x14ac:dyDescent="0.3">
      <c r="A2291" t="s">
        <v>2297</v>
      </c>
      <c r="B2291" t="s">
        <v>10013</v>
      </c>
      <c r="C2291">
        <v>4</v>
      </c>
      <c r="D2291" t="s">
        <v>10013</v>
      </c>
      <c r="E2291">
        <v>0</v>
      </c>
      <c r="F2291" t="s">
        <v>10104</v>
      </c>
      <c r="G2291" t="s">
        <v>10069</v>
      </c>
      <c r="H2291" s="6">
        <v>45269</v>
      </c>
      <c r="I2291">
        <f t="shared" si="70"/>
        <v>3</v>
      </c>
      <c r="J2291" t="str">
        <f t="shared" si="71"/>
        <v>Complete</v>
      </c>
      <c r="K2291">
        <f>COUNTIFS(RawData[Item], B2291,RawData[Quantity],C2291,RawData[Price Per Unit],D2291,RawData[Total Spent],E2291,RawData[Payment Method],F2291,RawData[Location],G2291,RawData[Transaction Date],H2291)</f>
        <v>1</v>
      </c>
      <c r="L2291"/>
    </row>
    <row r="2292" spans="1:12" x14ac:dyDescent="0.3">
      <c r="A2292" t="s">
        <v>2298</v>
      </c>
      <c r="B2292" t="s">
        <v>10017</v>
      </c>
      <c r="C2292">
        <v>4</v>
      </c>
      <c r="D2292">
        <v>1.5</v>
      </c>
      <c r="E2292">
        <v>6</v>
      </c>
      <c r="F2292" t="s">
        <v>10069</v>
      </c>
      <c r="G2292" t="s">
        <v>10069</v>
      </c>
      <c r="H2292" s="6">
        <v>45222</v>
      </c>
      <c r="I2292">
        <f t="shared" si="70"/>
        <v>0</v>
      </c>
      <c r="J2292" t="str">
        <f t="shared" si="71"/>
        <v>Complete</v>
      </c>
      <c r="K2292">
        <f>COUNTIFS(RawData[Item], B2292,RawData[Quantity],C2292,RawData[Price Per Unit],D2292,RawData[Total Spent],E2292,RawData[Payment Method],F2292,RawData[Location],G2292,RawData[Transaction Date],H2292)</f>
        <v>1</v>
      </c>
      <c r="L2292"/>
    </row>
    <row r="2293" spans="1:12" x14ac:dyDescent="0.3">
      <c r="A2293" t="s">
        <v>2299</v>
      </c>
      <c r="B2293" t="s">
        <v>10011</v>
      </c>
      <c r="C2293">
        <v>4</v>
      </c>
      <c r="D2293">
        <v>5</v>
      </c>
      <c r="E2293">
        <v>20</v>
      </c>
      <c r="F2293" t="s">
        <v>10018</v>
      </c>
      <c r="G2293" t="s">
        <v>10102</v>
      </c>
      <c r="H2293" s="6">
        <v>45095</v>
      </c>
      <c r="I2293">
        <f t="shared" si="70"/>
        <v>0</v>
      </c>
      <c r="J2293" t="str">
        <f t="shared" si="71"/>
        <v>Complete</v>
      </c>
      <c r="K2293">
        <f>COUNTIFS(RawData[Item], B2293,RawData[Quantity],C2293,RawData[Price Per Unit],D2293,RawData[Total Spent],E2293,RawData[Payment Method],F2293,RawData[Location],G2293,RawData[Transaction Date],H2293)</f>
        <v>1</v>
      </c>
      <c r="L2293"/>
    </row>
    <row r="2294" spans="1:12" x14ac:dyDescent="0.3">
      <c r="A2294" t="s">
        <v>2300</v>
      </c>
      <c r="B2294" t="s">
        <v>10017</v>
      </c>
      <c r="C2294">
        <v>1</v>
      </c>
      <c r="D2294">
        <v>1.5</v>
      </c>
      <c r="E2294">
        <v>1.5</v>
      </c>
      <c r="F2294" t="s">
        <v>10019</v>
      </c>
      <c r="G2294" t="s">
        <v>10021</v>
      </c>
      <c r="H2294" s="6">
        <v>45139</v>
      </c>
      <c r="I2294">
        <f t="shared" si="70"/>
        <v>0</v>
      </c>
      <c r="J2294" t="str">
        <f t="shared" si="71"/>
        <v>Complete</v>
      </c>
      <c r="K2294">
        <f>COUNTIFS(RawData[Item], B2294,RawData[Quantity],C2294,RawData[Price Per Unit],D2294,RawData[Total Spent],E2294,RawData[Payment Method],F2294,RawData[Location],G2294,RawData[Transaction Date],H2294)</f>
        <v>1</v>
      </c>
      <c r="L2294"/>
    </row>
    <row r="2295" spans="1:12" x14ac:dyDescent="0.3">
      <c r="A2295" t="s">
        <v>2301</v>
      </c>
      <c r="B2295" t="s">
        <v>10011</v>
      </c>
      <c r="C2295">
        <v>4</v>
      </c>
      <c r="D2295">
        <v>5</v>
      </c>
      <c r="E2295">
        <v>20</v>
      </c>
      <c r="F2295" t="s">
        <v>10019</v>
      </c>
      <c r="G2295" t="s">
        <v>10102</v>
      </c>
      <c r="H2295" s="6">
        <v>45144</v>
      </c>
      <c r="I2295">
        <f t="shared" si="70"/>
        <v>0</v>
      </c>
      <c r="J2295" t="str">
        <f t="shared" si="71"/>
        <v>Complete</v>
      </c>
      <c r="K2295">
        <f>COUNTIFS(RawData[Item], B2295,RawData[Quantity],C2295,RawData[Price Per Unit],D2295,RawData[Total Spent],E2295,RawData[Payment Method],F2295,RawData[Location],G2295,RawData[Transaction Date],H2295)</f>
        <v>1</v>
      </c>
      <c r="L2295"/>
    </row>
    <row r="2296" spans="1:12" x14ac:dyDescent="0.3">
      <c r="A2296" t="s">
        <v>2302</v>
      </c>
      <c r="B2296" t="s">
        <v>10009</v>
      </c>
      <c r="C2296">
        <v>3</v>
      </c>
      <c r="D2296">
        <v>3</v>
      </c>
      <c r="E2296">
        <v>9</v>
      </c>
      <c r="F2296" t="s">
        <v>10019</v>
      </c>
      <c r="G2296" t="s">
        <v>10104</v>
      </c>
      <c r="H2296" s="6">
        <v>45072</v>
      </c>
      <c r="I2296">
        <f t="shared" si="70"/>
        <v>1</v>
      </c>
      <c r="J2296" t="str">
        <f t="shared" si="71"/>
        <v>Complete</v>
      </c>
      <c r="K2296">
        <f>COUNTIFS(RawData[Item], B2296,RawData[Quantity],C2296,RawData[Price Per Unit],D2296,RawData[Total Spent],E2296,RawData[Payment Method],F2296,RawData[Location],G2296,RawData[Transaction Date],H2296)</f>
        <v>1</v>
      </c>
      <c r="L2296"/>
    </row>
    <row r="2297" spans="1:12" x14ac:dyDescent="0.3">
      <c r="A2297" t="s">
        <v>2303</v>
      </c>
      <c r="B2297" t="s">
        <v>10008</v>
      </c>
      <c r="C2297">
        <v>3</v>
      </c>
      <c r="D2297">
        <v>2</v>
      </c>
      <c r="E2297">
        <v>6</v>
      </c>
      <c r="F2297" t="s">
        <v>10069</v>
      </c>
      <c r="G2297" t="s">
        <v>10069</v>
      </c>
      <c r="H2297" s="6">
        <v>44946</v>
      </c>
      <c r="I2297">
        <f t="shared" si="70"/>
        <v>0</v>
      </c>
      <c r="J2297" t="str">
        <f t="shared" si="71"/>
        <v>Complete</v>
      </c>
      <c r="K2297">
        <f>COUNTIFS(RawData[Item], B2297,RawData[Quantity],C2297,RawData[Price Per Unit],D2297,RawData[Total Spent],E2297,RawData[Payment Method],F2297,RawData[Location],G2297,RawData[Transaction Date],H2297)</f>
        <v>1</v>
      </c>
      <c r="L2297"/>
    </row>
    <row r="2298" spans="1:12" x14ac:dyDescent="0.3">
      <c r="A2298" t="s">
        <v>2304</v>
      </c>
      <c r="B2298" t="s">
        <v>10011</v>
      </c>
      <c r="C2298">
        <v>5</v>
      </c>
      <c r="D2298">
        <v>5</v>
      </c>
      <c r="E2298">
        <v>25</v>
      </c>
      <c r="F2298" t="s">
        <v>10069</v>
      </c>
      <c r="G2298" t="s">
        <v>10021</v>
      </c>
      <c r="H2298" s="6">
        <v>45123</v>
      </c>
      <c r="I2298">
        <f t="shared" si="70"/>
        <v>0</v>
      </c>
      <c r="J2298" t="str">
        <f t="shared" si="71"/>
        <v>Complete</v>
      </c>
      <c r="K2298">
        <f>COUNTIFS(RawData[Item], B2298,RawData[Quantity],C2298,RawData[Price Per Unit],D2298,RawData[Total Spent],E2298,RawData[Payment Method],F2298,RawData[Location],G2298,RawData[Transaction Date],H2298)</f>
        <v>1</v>
      </c>
      <c r="L2298"/>
    </row>
    <row r="2299" spans="1:12" x14ac:dyDescent="0.3">
      <c r="A2299" t="s">
        <v>2305</v>
      </c>
      <c r="B2299" t="s">
        <v>10017</v>
      </c>
      <c r="C2299">
        <v>1</v>
      </c>
      <c r="D2299">
        <v>1.5</v>
      </c>
      <c r="E2299">
        <v>1.5</v>
      </c>
      <c r="F2299" t="s">
        <v>10104</v>
      </c>
      <c r="G2299" t="s">
        <v>10069</v>
      </c>
      <c r="H2299" s="6">
        <v>44935</v>
      </c>
      <c r="I2299">
        <f t="shared" si="70"/>
        <v>1</v>
      </c>
      <c r="J2299" t="str">
        <f t="shared" si="71"/>
        <v>Complete</v>
      </c>
      <c r="K2299">
        <f>COUNTIFS(RawData[Item], B2299,RawData[Quantity],C2299,RawData[Price Per Unit],D2299,RawData[Total Spent],E2299,RawData[Payment Method],F2299,RawData[Location],G2299,RawData[Transaction Date],H2299)</f>
        <v>1</v>
      </c>
      <c r="L2299"/>
    </row>
    <row r="2300" spans="1:12" x14ac:dyDescent="0.3">
      <c r="A2300" t="s">
        <v>2306</v>
      </c>
      <c r="B2300" t="s">
        <v>10012</v>
      </c>
      <c r="C2300">
        <v>5</v>
      </c>
      <c r="D2300">
        <v>4</v>
      </c>
      <c r="E2300">
        <v>20</v>
      </c>
      <c r="F2300" t="s">
        <v>10018</v>
      </c>
      <c r="G2300" t="s">
        <v>10104</v>
      </c>
      <c r="H2300" s="6">
        <v>45050</v>
      </c>
      <c r="I2300">
        <f t="shared" si="70"/>
        <v>1</v>
      </c>
      <c r="J2300" t="str">
        <f t="shared" si="71"/>
        <v>Complete</v>
      </c>
      <c r="K2300">
        <f>COUNTIFS(RawData[Item], B2300,RawData[Quantity],C2300,RawData[Price Per Unit],D2300,RawData[Total Spent],E2300,RawData[Payment Method],F2300,RawData[Location],G2300,RawData[Transaction Date],H2300)</f>
        <v>1</v>
      </c>
      <c r="L2300"/>
    </row>
    <row r="2301" spans="1:12" x14ac:dyDescent="0.3">
      <c r="A2301" t="s">
        <v>2307</v>
      </c>
      <c r="B2301" t="s">
        <v>10010</v>
      </c>
      <c r="C2301">
        <v>2</v>
      </c>
      <c r="D2301">
        <v>1</v>
      </c>
      <c r="E2301">
        <v>2</v>
      </c>
      <c r="F2301" t="s">
        <v>10020</v>
      </c>
      <c r="G2301" t="s">
        <v>10069</v>
      </c>
      <c r="H2301" s="6">
        <v>44980</v>
      </c>
      <c r="I2301">
        <f t="shared" si="70"/>
        <v>0</v>
      </c>
      <c r="J2301" t="str">
        <f t="shared" si="71"/>
        <v>Complete</v>
      </c>
      <c r="K2301">
        <f>COUNTIFS(RawData[Item], B2301,RawData[Quantity],C2301,RawData[Price Per Unit],D2301,RawData[Total Spent],E2301,RawData[Payment Method],F2301,RawData[Location],G2301,RawData[Transaction Date],H2301)</f>
        <v>1</v>
      </c>
      <c r="L2301"/>
    </row>
    <row r="2302" spans="1:12" x14ac:dyDescent="0.3">
      <c r="A2302" t="s">
        <v>2308</v>
      </c>
      <c r="B2302" t="s">
        <v>10012</v>
      </c>
      <c r="C2302">
        <v>3</v>
      </c>
      <c r="D2302">
        <v>4</v>
      </c>
      <c r="E2302">
        <v>12</v>
      </c>
      <c r="F2302" t="s">
        <v>10104</v>
      </c>
      <c r="G2302" t="s">
        <v>10021</v>
      </c>
      <c r="H2302" s="6">
        <v>45153</v>
      </c>
      <c r="I2302">
        <f t="shared" si="70"/>
        <v>1</v>
      </c>
      <c r="J2302" t="str">
        <f t="shared" si="71"/>
        <v>Complete</v>
      </c>
      <c r="K2302">
        <f>COUNTIFS(RawData[Item], B2302,RawData[Quantity],C2302,RawData[Price Per Unit],D2302,RawData[Total Spent],E2302,RawData[Payment Method],F2302,RawData[Location],G2302,RawData[Transaction Date],H2302)</f>
        <v>1</v>
      </c>
      <c r="L2302"/>
    </row>
    <row r="2303" spans="1:12" x14ac:dyDescent="0.3">
      <c r="A2303" t="s">
        <v>2309</v>
      </c>
      <c r="B2303" t="s">
        <v>10016</v>
      </c>
      <c r="C2303">
        <v>1</v>
      </c>
      <c r="D2303">
        <v>3</v>
      </c>
      <c r="E2303">
        <v>3</v>
      </c>
      <c r="F2303" t="s">
        <v>10018</v>
      </c>
      <c r="G2303" t="s">
        <v>10103</v>
      </c>
      <c r="H2303" s="6">
        <v>45180</v>
      </c>
      <c r="I2303">
        <f t="shared" si="70"/>
        <v>1</v>
      </c>
      <c r="J2303" t="str">
        <f t="shared" si="71"/>
        <v>Complete</v>
      </c>
      <c r="K2303">
        <f>COUNTIFS(RawData[Item], B2303,RawData[Quantity],C2303,RawData[Price Per Unit],D2303,RawData[Total Spent],E2303,RawData[Payment Method],F2303,RawData[Location],G2303,RawData[Transaction Date],H2303)</f>
        <v>1</v>
      </c>
      <c r="L2303"/>
    </row>
    <row r="2304" spans="1:12" x14ac:dyDescent="0.3">
      <c r="A2304" t="s">
        <v>2310</v>
      </c>
      <c r="B2304" t="s">
        <v>10013</v>
      </c>
      <c r="C2304">
        <v>1</v>
      </c>
      <c r="D2304">
        <v>4</v>
      </c>
      <c r="E2304">
        <v>4</v>
      </c>
      <c r="F2304" t="s">
        <v>10018</v>
      </c>
      <c r="G2304" t="s">
        <v>10102</v>
      </c>
      <c r="H2304" s="6">
        <v>44933</v>
      </c>
      <c r="I2304">
        <f t="shared" si="70"/>
        <v>1</v>
      </c>
      <c r="J2304" t="str">
        <f t="shared" si="71"/>
        <v>Complete</v>
      </c>
      <c r="K2304">
        <f>COUNTIFS(RawData[Item], B2304,RawData[Quantity],C2304,RawData[Price Per Unit],D2304,RawData[Total Spent],E2304,RawData[Payment Method],F2304,RawData[Location],G2304,RawData[Transaction Date],H2304)</f>
        <v>1</v>
      </c>
      <c r="L2304"/>
    </row>
    <row r="2305" spans="1:12" x14ac:dyDescent="0.3">
      <c r="A2305" t="s">
        <v>2311</v>
      </c>
      <c r="B2305" t="s">
        <v>10008</v>
      </c>
      <c r="C2305">
        <v>5</v>
      </c>
      <c r="D2305">
        <v>2</v>
      </c>
      <c r="E2305">
        <v>10</v>
      </c>
      <c r="F2305" t="s">
        <v>10103</v>
      </c>
      <c r="G2305" t="s">
        <v>10021</v>
      </c>
      <c r="H2305" s="6">
        <v>45209</v>
      </c>
      <c r="I2305">
        <f t="shared" si="70"/>
        <v>1</v>
      </c>
      <c r="J2305" t="str">
        <f t="shared" si="71"/>
        <v>Complete</v>
      </c>
      <c r="K2305">
        <f>COUNTIFS(RawData[Item], B2305,RawData[Quantity],C2305,RawData[Price Per Unit],D2305,RawData[Total Spent],E2305,RawData[Payment Method],F2305,RawData[Location],G2305,RawData[Transaction Date],H2305)</f>
        <v>1</v>
      </c>
      <c r="L2305"/>
    </row>
    <row r="2306" spans="1:12" x14ac:dyDescent="0.3">
      <c r="A2306" t="s">
        <v>2312</v>
      </c>
      <c r="B2306" t="s">
        <v>10011</v>
      </c>
      <c r="C2306">
        <v>2</v>
      </c>
      <c r="D2306">
        <v>5</v>
      </c>
      <c r="E2306">
        <v>10</v>
      </c>
      <c r="F2306" t="s">
        <v>10069</v>
      </c>
      <c r="G2306" t="s">
        <v>10102</v>
      </c>
      <c r="H2306" s="6">
        <v>45104</v>
      </c>
      <c r="I2306">
        <f t="shared" ref="I2306:I2369" si="72">(B2306="Unknown")+(B2306="Error")+(C2306="Unknown")+(C2306="Error")+(D2306="Unknown")+(D2306="Error")+(E2306="Unknown")+(E2306="Error")+(F2306="Unknown")+(F2306="Error")+(G2306="Unknown")+(G2306="Error")+(H2306="No Date")</f>
        <v>0</v>
      </c>
      <c r="J2306" t="str">
        <f t="shared" ref="J2306:J2369" si="73">IF((H2306="No Date"),"Incomplete","Complete")</f>
        <v>Complete</v>
      </c>
      <c r="K2306">
        <f>COUNTIFS(RawData[Item], B2306,RawData[Quantity],C2306,RawData[Price Per Unit],D2306,RawData[Total Spent],E2306,RawData[Payment Method],F2306,RawData[Location],G2306,RawData[Transaction Date],H2306)</f>
        <v>1</v>
      </c>
      <c r="L2306"/>
    </row>
    <row r="2307" spans="1:12" x14ac:dyDescent="0.3">
      <c r="A2307" t="s">
        <v>2313</v>
      </c>
      <c r="B2307" t="s">
        <v>10012</v>
      </c>
      <c r="C2307">
        <v>2</v>
      </c>
      <c r="D2307">
        <v>4</v>
      </c>
      <c r="E2307">
        <v>8</v>
      </c>
      <c r="F2307" t="s">
        <v>10069</v>
      </c>
      <c r="G2307" t="s">
        <v>10069</v>
      </c>
      <c r="H2307" s="6">
        <v>45009</v>
      </c>
      <c r="I2307">
        <f t="shared" si="72"/>
        <v>0</v>
      </c>
      <c r="J2307" t="str">
        <f t="shared" si="73"/>
        <v>Complete</v>
      </c>
      <c r="K2307">
        <f>COUNTIFS(RawData[Item], B2307,RawData[Quantity],C2307,RawData[Price Per Unit],D2307,RawData[Total Spent],E2307,RawData[Payment Method],F2307,RawData[Location],G2307,RawData[Transaction Date],H2307)</f>
        <v>1</v>
      </c>
      <c r="L2307"/>
    </row>
    <row r="2308" spans="1:12" x14ac:dyDescent="0.3">
      <c r="A2308" t="s">
        <v>2314</v>
      </c>
      <c r="B2308" t="s">
        <v>10017</v>
      </c>
      <c r="C2308">
        <v>2</v>
      </c>
      <c r="D2308">
        <v>1.5</v>
      </c>
      <c r="E2308">
        <v>3</v>
      </c>
      <c r="F2308" t="s">
        <v>10018</v>
      </c>
      <c r="G2308" t="s">
        <v>10021</v>
      </c>
      <c r="H2308" s="6">
        <v>44978</v>
      </c>
      <c r="I2308">
        <f t="shared" si="72"/>
        <v>0</v>
      </c>
      <c r="J2308" t="str">
        <f t="shared" si="73"/>
        <v>Complete</v>
      </c>
      <c r="K2308">
        <f>COUNTIFS(RawData[Item], B2308,RawData[Quantity],C2308,RawData[Price Per Unit],D2308,RawData[Total Spent],E2308,RawData[Payment Method],F2308,RawData[Location],G2308,RawData[Transaction Date],H2308)</f>
        <v>1</v>
      </c>
      <c r="L2308"/>
    </row>
    <row r="2309" spans="1:12" x14ac:dyDescent="0.3">
      <c r="A2309" t="s">
        <v>2315</v>
      </c>
      <c r="B2309" t="s">
        <v>10014</v>
      </c>
      <c r="C2309">
        <v>1</v>
      </c>
      <c r="D2309">
        <v>4</v>
      </c>
      <c r="E2309">
        <v>4</v>
      </c>
      <c r="F2309" t="s">
        <v>10018</v>
      </c>
      <c r="G2309" t="s">
        <v>10069</v>
      </c>
      <c r="H2309" s="6">
        <v>44944</v>
      </c>
      <c r="I2309">
        <f t="shared" si="72"/>
        <v>0</v>
      </c>
      <c r="J2309" t="str">
        <f t="shared" si="73"/>
        <v>Complete</v>
      </c>
      <c r="K2309">
        <f>COUNTIFS(RawData[Item], B2309,RawData[Quantity],C2309,RawData[Price Per Unit],D2309,RawData[Total Spent],E2309,RawData[Payment Method],F2309,RawData[Location],G2309,RawData[Transaction Date],H2309)</f>
        <v>1</v>
      </c>
      <c r="L2309"/>
    </row>
    <row r="2310" spans="1:12" x14ac:dyDescent="0.3">
      <c r="A2310" t="s">
        <v>2316</v>
      </c>
      <c r="B2310" t="s">
        <v>10011</v>
      </c>
      <c r="C2310">
        <v>0</v>
      </c>
      <c r="D2310">
        <v>5</v>
      </c>
      <c r="E2310">
        <v>15</v>
      </c>
      <c r="F2310" t="s">
        <v>10018</v>
      </c>
      <c r="G2310" t="s">
        <v>10102</v>
      </c>
      <c r="H2310" s="6">
        <v>45148</v>
      </c>
      <c r="I2310">
        <f t="shared" si="72"/>
        <v>0</v>
      </c>
      <c r="J2310" t="str">
        <f t="shared" si="73"/>
        <v>Complete</v>
      </c>
      <c r="K2310">
        <f>COUNTIFS(RawData[Item], B2310,RawData[Quantity],C2310,RawData[Price Per Unit],D2310,RawData[Total Spent],E2310,RawData[Payment Method],F2310,RawData[Location],G2310,RawData[Transaction Date],H2310)</f>
        <v>1</v>
      </c>
      <c r="L2310"/>
    </row>
    <row r="2311" spans="1:12" x14ac:dyDescent="0.3">
      <c r="A2311" t="s">
        <v>2317</v>
      </c>
      <c r="B2311" t="s">
        <v>10017</v>
      </c>
      <c r="C2311">
        <v>4</v>
      </c>
      <c r="D2311">
        <v>1.5</v>
      </c>
      <c r="E2311">
        <v>6</v>
      </c>
      <c r="F2311" t="s">
        <v>10018</v>
      </c>
      <c r="G2311" t="s">
        <v>10021</v>
      </c>
      <c r="H2311" s="6">
        <v>44978</v>
      </c>
      <c r="I2311">
        <f t="shared" si="72"/>
        <v>0</v>
      </c>
      <c r="J2311" t="str">
        <f t="shared" si="73"/>
        <v>Complete</v>
      </c>
      <c r="K2311">
        <f>COUNTIFS(RawData[Item], B2311,RawData[Quantity],C2311,RawData[Price Per Unit],D2311,RawData[Total Spent],E2311,RawData[Payment Method],F2311,RawData[Location],G2311,RawData[Transaction Date],H2311)</f>
        <v>1</v>
      </c>
      <c r="L2311"/>
    </row>
    <row r="2312" spans="1:12" x14ac:dyDescent="0.3">
      <c r="A2312" t="s">
        <v>2318</v>
      </c>
      <c r="B2312" t="s">
        <v>10011</v>
      </c>
      <c r="C2312">
        <v>4</v>
      </c>
      <c r="D2312">
        <v>5</v>
      </c>
      <c r="E2312">
        <v>20</v>
      </c>
      <c r="F2312" t="s">
        <v>10018</v>
      </c>
      <c r="G2312" t="s">
        <v>10069</v>
      </c>
      <c r="H2312" s="6">
        <v>45007</v>
      </c>
      <c r="I2312">
        <f t="shared" si="72"/>
        <v>0</v>
      </c>
      <c r="J2312" t="str">
        <f t="shared" si="73"/>
        <v>Complete</v>
      </c>
      <c r="K2312">
        <f>COUNTIFS(RawData[Item], B2312,RawData[Quantity],C2312,RawData[Price Per Unit],D2312,RawData[Total Spent],E2312,RawData[Payment Method],F2312,RawData[Location],G2312,RawData[Transaction Date],H2312)</f>
        <v>1</v>
      </c>
      <c r="L2312"/>
    </row>
    <row r="2313" spans="1:12" x14ac:dyDescent="0.3">
      <c r="A2313" t="s">
        <v>2319</v>
      </c>
      <c r="B2313" t="s">
        <v>10008</v>
      </c>
      <c r="C2313">
        <v>5</v>
      </c>
      <c r="D2313">
        <v>2</v>
      </c>
      <c r="E2313">
        <v>10</v>
      </c>
      <c r="F2313" t="s">
        <v>10019</v>
      </c>
      <c r="G2313" t="s">
        <v>10069</v>
      </c>
      <c r="H2313" s="6">
        <v>45243</v>
      </c>
      <c r="I2313">
        <f t="shared" si="72"/>
        <v>0</v>
      </c>
      <c r="J2313" t="str">
        <f t="shared" si="73"/>
        <v>Complete</v>
      </c>
      <c r="K2313">
        <f>COUNTIFS(RawData[Item], B2313,RawData[Quantity],C2313,RawData[Price Per Unit],D2313,RawData[Total Spent],E2313,RawData[Payment Method],F2313,RawData[Location],G2313,RawData[Transaction Date],H2313)</f>
        <v>1</v>
      </c>
      <c r="L2313"/>
    </row>
    <row r="2314" spans="1:12" x14ac:dyDescent="0.3">
      <c r="A2314" t="s">
        <v>2320</v>
      </c>
      <c r="B2314" t="s">
        <v>10012</v>
      </c>
      <c r="C2314">
        <v>4</v>
      </c>
      <c r="D2314">
        <v>4</v>
      </c>
      <c r="E2314">
        <v>16</v>
      </c>
      <c r="F2314" t="s">
        <v>10019</v>
      </c>
      <c r="G2314" t="s">
        <v>10069</v>
      </c>
      <c r="H2314" s="6">
        <v>45070</v>
      </c>
      <c r="I2314">
        <f t="shared" si="72"/>
        <v>0</v>
      </c>
      <c r="J2314" t="str">
        <f t="shared" si="73"/>
        <v>Complete</v>
      </c>
      <c r="K2314">
        <f>COUNTIFS(RawData[Item], B2314,RawData[Quantity],C2314,RawData[Price Per Unit],D2314,RawData[Total Spent],E2314,RawData[Payment Method],F2314,RawData[Location],G2314,RawData[Transaction Date],H2314)</f>
        <v>1</v>
      </c>
      <c r="L2314"/>
    </row>
    <row r="2315" spans="1:12" x14ac:dyDescent="0.3">
      <c r="A2315" t="s">
        <v>2321</v>
      </c>
      <c r="B2315" t="s">
        <v>10011</v>
      </c>
      <c r="C2315">
        <v>3</v>
      </c>
      <c r="D2315" t="s">
        <v>10013</v>
      </c>
      <c r="E2315">
        <v>15</v>
      </c>
      <c r="F2315" t="s">
        <v>10069</v>
      </c>
      <c r="G2315" t="s">
        <v>10102</v>
      </c>
      <c r="H2315" s="6">
        <v>45172</v>
      </c>
      <c r="I2315">
        <f t="shared" si="72"/>
        <v>1</v>
      </c>
      <c r="J2315" t="str">
        <f t="shared" si="73"/>
        <v>Complete</v>
      </c>
      <c r="K2315">
        <f>COUNTIFS(RawData[Item], B2315,RawData[Quantity],C2315,RawData[Price Per Unit],D2315,RawData[Total Spent],E2315,RawData[Payment Method],F2315,RawData[Location],G2315,RawData[Transaction Date],H2315)</f>
        <v>1</v>
      </c>
      <c r="L2315"/>
    </row>
    <row r="2316" spans="1:12" x14ac:dyDescent="0.3">
      <c r="A2316" t="s">
        <v>2322</v>
      </c>
      <c r="B2316" t="s">
        <v>10008</v>
      </c>
      <c r="C2316">
        <v>2</v>
      </c>
      <c r="D2316">
        <v>2</v>
      </c>
      <c r="E2316">
        <v>4</v>
      </c>
      <c r="F2316" t="s">
        <v>10020</v>
      </c>
      <c r="G2316" t="s">
        <v>10021</v>
      </c>
      <c r="H2316" s="6">
        <v>45235</v>
      </c>
      <c r="I2316">
        <f t="shared" si="72"/>
        <v>0</v>
      </c>
      <c r="J2316" t="str">
        <f t="shared" si="73"/>
        <v>Complete</v>
      </c>
      <c r="K2316">
        <f>COUNTIFS(RawData[Item], B2316,RawData[Quantity],C2316,RawData[Price Per Unit],D2316,RawData[Total Spent],E2316,RawData[Payment Method],F2316,RawData[Location],G2316,RawData[Transaction Date],H2316)</f>
        <v>1</v>
      </c>
      <c r="L2316"/>
    </row>
    <row r="2317" spans="1:12" x14ac:dyDescent="0.3">
      <c r="A2317" t="s">
        <v>2323</v>
      </c>
      <c r="B2317" t="s">
        <v>10014</v>
      </c>
      <c r="C2317">
        <v>5</v>
      </c>
      <c r="D2317">
        <v>0</v>
      </c>
      <c r="E2317">
        <v>20</v>
      </c>
      <c r="F2317" t="s">
        <v>10019</v>
      </c>
      <c r="G2317" t="s">
        <v>10021</v>
      </c>
      <c r="H2317" s="6">
        <v>45063</v>
      </c>
      <c r="I2317">
        <f t="shared" si="72"/>
        <v>0</v>
      </c>
      <c r="J2317" t="str">
        <f t="shared" si="73"/>
        <v>Complete</v>
      </c>
      <c r="K2317">
        <f>COUNTIFS(RawData[Item], B2317,RawData[Quantity],C2317,RawData[Price Per Unit],D2317,RawData[Total Spent],E2317,RawData[Payment Method],F2317,RawData[Location],G2317,RawData[Transaction Date],H2317)</f>
        <v>1</v>
      </c>
      <c r="L2317"/>
    </row>
    <row r="2318" spans="1:12" x14ac:dyDescent="0.3">
      <c r="A2318" t="s">
        <v>2324</v>
      </c>
      <c r="B2318" t="s">
        <v>10009</v>
      </c>
      <c r="C2318">
        <v>2</v>
      </c>
      <c r="D2318">
        <v>3</v>
      </c>
      <c r="E2318">
        <v>6</v>
      </c>
      <c r="F2318" t="s">
        <v>10069</v>
      </c>
      <c r="G2318" t="s">
        <v>10021</v>
      </c>
      <c r="H2318" s="6">
        <v>44964</v>
      </c>
      <c r="I2318">
        <f t="shared" si="72"/>
        <v>0</v>
      </c>
      <c r="J2318" t="str">
        <f t="shared" si="73"/>
        <v>Complete</v>
      </c>
      <c r="K2318">
        <f>COUNTIFS(RawData[Item], B2318,RawData[Quantity],C2318,RawData[Price Per Unit],D2318,RawData[Total Spent],E2318,RawData[Payment Method],F2318,RawData[Location],G2318,RawData[Transaction Date],H2318)</f>
        <v>1</v>
      </c>
      <c r="L2318"/>
    </row>
    <row r="2319" spans="1:12" x14ac:dyDescent="0.3">
      <c r="A2319" t="s">
        <v>2325</v>
      </c>
      <c r="B2319" t="s">
        <v>10008</v>
      </c>
      <c r="C2319">
        <v>1</v>
      </c>
      <c r="D2319">
        <v>2</v>
      </c>
      <c r="E2319">
        <v>2</v>
      </c>
      <c r="F2319" t="s">
        <v>10019</v>
      </c>
      <c r="G2319" t="s">
        <v>10102</v>
      </c>
      <c r="H2319" s="6">
        <v>45094</v>
      </c>
      <c r="I2319">
        <f t="shared" si="72"/>
        <v>0</v>
      </c>
      <c r="J2319" t="str">
        <f t="shared" si="73"/>
        <v>Complete</v>
      </c>
      <c r="K2319">
        <f>COUNTIFS(RawData[Item], B2319,RawData[Quantity],C2319,RawData[Price Per Unit],D2319,RawData[Total Spent],E2319,RawData[Payment Method],F2319,RawData[Location],G2319,RawData[Transaction Date],H2319)</f>
        <v>1</v>
      </c>
      <c r="L2319"/>
    </row>
    <row r="2320" spans="1:12" x14ac:dyDescent="0.3">
      <c r="A2320" t="s">
        <v>2326</v>
      </c>
      <c r="B2320" t="s">
        <v>10011</v>
      </c>
      <c r="C2320">
        <v>2</v>
      </c>
      <c r="D2320">
        <v>5</v>
      </c>
      <c r="E2320">
        <v>10</v>
      </c>
      <c r="F2320" t="s">
        <v>10018</v>
      </c>
      <c r="G2320" t="s">
        <v>10102</v>
      </c>
      <c r="H2320" s="6">
        <v>44933</v>
      </c>
      <c r="I2320">
        <f t="shared" si="72"/>
        <v>0</v>
      </c>
      <c r="J2320" t="str">
        <f t="shared" si="73"/>
        <v>Complete</v>
      </c>
      <c r="K2320">
        <f>COUNTIFS(RawData[Item], B2320,RawData[Quantity],C2320,RawData[Price Per Unit],D2320,RawData[Total Spent],E2320,RawData[Payment Method],F2320,RawData[Location],G2320,RawData[Transaction Date],H2320)</f>
        <v>2</v>
      </c>
      <c r="L2320"/>
    </row>
    <row r="2321" spans="1:12" x14ac:dyDescent="0.3">
      <c r="A2321" t="s">
        <v>2327</v>
      </c>
      <c r="B2321" t="s">
        <v>10016</v>
      </c>
      <c r="C2321">
        <v>4</v>
      </c>
      <c r="D2321" t="s">
        <v>10013</v>
      </c>
      <c r="E2321">
        <v>12</v>
      </c>
      <c r="F2321" t="s">
        <v>10104</v>
      </c>
      <c r="G2321" t="s">
        <v>10021</v>
      </c>
      <c r="H2321" s="6">
        <v>45061</v>
      </c>
      <c r="I2321">
        <f t="shared" si="72"/>
        <v>2</v>
      </c>
      <c r="J2321" t="str">
        <f t="shared" si="73"/>
        <v>Complete</v>
      </c>
      <c r="K2321">
        <f>COUNTIFS(RawData[Item], B2321,RawData[Quantity],C2321,RawData[Price Per Unit],D2321,RawData[Total Spent],E2321,RawData[Payment Method],F2321,RawData[Location],G2321,RawData[Transaction Date],H2321)</f>
        <v>1</v>
      </c>
      <c r="L2321"/>
    </row>
    <row r="2322" spans="1:12" x14ac:dyDescent="0.3">
      <c r="A2322" t="s">
        <v>2328</v>
      </c>
      <c r="B2322" t="s">
        <v>10010</v>
      </c>
      <c r="C2322">
        <v>3</v>
      </c>
      <c r="D2322">
        <v>1</v>
      </c>
      <c r="E2322">
        <v>3</v>
      </c>
      <c r="F2322" t="s">
        <v>10018</v>
      </c>
      <c r="G2322" t="s">
        <v>10069</v>
      </c>
      <c r="H2322" s="6">
        <v>44972</v>
      </c>
      <c r="I2322">
        <f t="shared" si="72"/>
        <v>0</v>
      </c>
      <c r="J2322" t="str">
        <f t="shared" si="73"/>
        <v>Complete</v>
      </c>
      <c r="K2322">
        <f>COUNTIFS(RawData[Item], B2322,RawData[Quantity],C2322,RawData[Price Per Unit],D2322,RawData[Total Spent],E2322,RawData[Payment Method],F2322,RawData[Location],G2322,RawData[Transaction Date],H2322)</f>
        <v>1</v>
      </c>
      <c r="L2322"/>
    </row>
    <row r="2323" spans="1:12" x14ac:dyDescent="0.3">
      <c r="A2323" t="s">
        <v>2329</v>
      </c>
      <c r="B2323" t="s">
        <v>10012</v>
      </c>
      <c r="C2323">
        <v>1</v>
      </c>
      <c r="D2323">
        <v>4</v>
      </c>
      <c r="E2323">
        <v>4</v>
      </c>
      <c r="F2323" t="s">
        <v>10018</v>
      </c>
      <c r="G2323" t="s">
        <v>10021</v>
      </c>
      <c r="H2323" s="6">
        <v>45220</v>
      </c>
      <c r="I2323">
        <f t="shared" si="72"/>
        <v>0</v>
      </c>
      <c r="J2323" t="str">
        <f t="shared" si="73"/>
        <v>Complete</v>
      </c>
      <c r="K2323">
        <f>COUNTIFS(RawData[Item], B2323,RawData[Quantity],C2323,RawData[Price Per Unit],D2323,RawData[Total Spent],E2323,RawData[Payment Method],F2323,RawData[Location],G2323,RawData[Transaction Date],H2323)</f>
        <v>1</v>
      </c>
      <c r="L2323"/>
    </row>
    <row r="2324" spans="1:12" x14ac:dyDescent="0.3">
      <c r="A2324" t="s">
        <v>2330</v>
      </c>
      <c r="B2324" t="s">
        <v>10017</v>
      </c>
      <c r="C2324">
        <v>3</v>
      </c>
      <c r="D2324">
        <v>1.5</v>
      </c>
      <c r="E2324">
        <v>4.5</v>
      </c>
      <c r="F2324" t="s">
        <v>10018</v>
      </c>
      <c r="G2324" t="s">
        <v>10102</v>
      </c>
      <c r="H2324" s="6">
        <v>45236</v>
      </c>
      <c r="I2324">
        <f t="shared" si="72"/>
        <v>0</v>
      </c>
      <c r="J2324" t="str">
        <f t="shared" si="73"/>
        <v>Complete</v>
      </c>
      <c r="K2324">
        <f>COUNTIFS(RawData[Item], B2324,RawData[Quantity],C2324,RawData[Price Per Unit],D2324,RawData[Total Spent],E2324,RawData[Payment Method],F2324,RawData[Location],G2324,RawData[Transaction Date],H2324)</f>
        <v>1</v>
      </c>
      <c r="L2324"/>
    </row>
    <row r="2325" spans="1:12" x14ac:dyDescent="0.3">
      <c r="A2325" t="s">
        <v>2331</v>
      </c>
      <c r="B2325" t="s">
        <v>10011</v>
      </c>
      <c r="C2325">
        <v>3</v>
      </c>
      <c r="D2325">
        <v>5</v>
      </c>
      <c r="E2325">
        <v>15</v>
      </c>
      <c r="F2325" t="s">
        <v>10019</v>
      </c>
      <c r="G2325" t="s">
        <v>10069</v>
      </c>
      <c r="H2325" s="6">
        <v>45102</v>
      </c>
      <c r="I2325">
        <f t="shared" si="72"/>
        <v>0</v>
      </c>
      <c r="J2325" t="str">
        <f t="shared" si="73"/>
        <v>Complete</v>
      </c>
      <c r="K2325">
        <f>COUNTIFS(RawData[Item], B2325,RawData[Quantity],C2325,RawData[Price Per Unit],D2325,RawData[Total Spent],E2325,RawData[Payment Method],F2325,RawData[Location],G2325,RawData[Transaction Date],H2325)</f>
        <v>1</v>
      </c>
      <c r="L2325"/>
    </row>
    <row r="2326" spans="1:12" x14ac:dyDescent="0.3">
      <c r="A2326" t="s">
        <v>2332</v>
      </c>
      <c r="B2326" t="s">
        <v>10012</v>
      </c>
      <c r="C2326">
        <v>4</v>
      </c>
      <c r="D2326">
        <v>0</v>
      </c>
      <c r="E2326">
        <v>16</v>
      </c>
      <c r="F2326" t="s">
        <v>10018</v>
      </c>
      <c r="G2326" t="s">
        <v>10069</v>
      </c>
      <c r="H2326" s="6">
        <v>45009</v>
      </c>
      <c r="I2326">
        <f t="shared" si="72"/>
        <v>0</v>
      </c>
      <c r="J2326" t="str">
        <f t="shared" si="73"/>
        <v>Complete</v>
      </c>
      <c r="K2326">
        <f>COUNTIFS(RawData[Item], B2326,RawData[Quantity],C2326,RawData[Price Per Unit],D2326,RawData[Total Spent],E2326,RawData[Payment Method],F2326,RawData[Location],G2326,RawData[Transaction Date],H2326)</f>
        <v>1</v>
      </c>
      <c r="L2326"/>
    </row>
    <row r="2327" spans="1:12" x14ac:dyDescent="0.3">
      <c r="A2327" t="s">
        <v>2333</v>
      </c>
      <c r="B2327" t="s">
        <v>10014</v>
      </c>
      <c r="C2327">
        <v>4</v>
      </c>
      <c r="D2327">
        <v>4</v>
      </c>
      <c r="E2327">
        <v>16</v>
      </c>
      <c r="F2327" t="s">
        <v>10018</v>
      </c>
      <c r="G2327" t="s">
        <v>10021</v>
      </c>
      <c r="H2327" s="6">
        <v>45212</v>
      </c>
      <c r="I2327">
        <f t="shared" si="72"/>
        <v>0</v>
      </c>
      <c r="J2327" t="str">
        <f t="shared" si="73"/>
        <v>Complete</v>
      </c>
      <c r="K2327">
        <f>COUNTIFS(RawData[Item], B2327,RawData[Quantity],C2327,RawData[Price Per Unit],D2327,RawData[Total Spent],E2327,RawData[Payment Method],F2327,RawData[Location],G2327,RawData[Transaction Date],H2327)</f>
        <v>1</v>
      </c>
      <c r="L2327"/>
    </row>
    <row r="2328" spans="1:12" x14ac:dyDescent="0.3">
      <c r="A2328" t="s">
        <v>2334</v>
      </c>
      <c r="B2328" t="s">
        <v>10013</v>
      </c>
      <c r="C2328">
        <v>1</v>
      </c>
      <c r="D2328">
        <v>1</v>
      </c>
      <c r="E2328">
        <v>1</v>
      </c>
      <c r="F2328" t="s">
        <v>10104</v>
      </c>
      <c r="G2328" t="s">
        <v>10069</v>
      </c>
      <c r="H2328" s="6">
        <v>45035</v>
      </c>
      <c r="I2328">
        <f t="shared" si="72"/>
        <v>2</v>
      </c>
      <c r="J2328" t="str">
        <f t="shared" si="73"/>
        <v>Complete</v>
      </c>
      <c r="K2328">
        <f>COUNTIFS(RawData[Item], B2328,RawData[Quantity],C2328,RawData[Price Per Unit],D2328,RawData[Total Spent],E2328,RawData[Payment Method],F2328,RawData[Location],G2328,RawData[Transaction Date],H2328)</f>
        <v>1</v>
      </c>
      <c r="L2328"/>
    </row>
    <row r="2329" spans="1:12" x14ac:dyDescent="0.3">
      <c r="A2329" t="s">
        <v>2335</v>
      </c>
      <c r="B2329" t="s">
        <v>10015</v>
      </c>
      <c r="C2329">
        <v>1</v>
      </c>
      <c r="D2329">
        <v>4</v>
      </c>
      <c r="E2329">
        <v>4</v>
      </c>
      <c r="F2329" t="s">
        <v>10069</v>
      </c>
      <c r="G2329" t="s">
        <v>10104</v>
      </c>
      <c r="H2329" s="6">
        <v>45203</v>
      </c>
      <c r="I2329">
        <f t="shared" si="72"/>
        <v>2</v>
      </c>
      <c r="J2329" t="str">
        <f t="shared" si="73"/>
        <v>Complete</v>
      </c>
      <c r="K2329">
        <f>COUNTIFS(RawData[Item], B2329,RawData[Quantity],C2329,RawData[Price Per Unit],D2329,RawData[Total Spent],E2329,RawData[Payment Method],F2329,RawData[Location],G2329,RawData[Transaction Date],H2329)</f>
        <v>1</v>
      </c>
      <c r="L2329"/>
    </row>
    <row r="2330" spans="1:12" x14ac:dyDescent="0.3">
      <c r="A2330" t="s">
        <v>2336</v>
      </c>
      <c r="B2330" t="s">
        <v>10069</v>
      </c>
      <c r="C2330">
        <v>2</v>
      </c>
      <c r="D2330">
        <v>2</v>
      </c>
      <c r="E2330">
        <v>4</v>
      </c>
      <c r="F2330" t="s">
        <v>10069</v>
      </c>
      <c r="G2330" t="s">
        <v>10069</v>
      </c>
      <c r="H2330" s="6">
        <v>45164</v>
      </c>
      <c r="I2330">
        <f t="shared" si="72"/>
        <v>0</v>
      </c>
      <c r="J2330" t="str">
        <f t="shared" si="73"/>
        <v>Complete</v>
      </c>
      <c r="K2330">
        <f>COUNTIFS(RawData[Item], B2330,RawData[Quantity],C2330,RawData[Price Per Unit],D2330,RawData[Total Spent],E2330,RawData[Payment Method],F2330,RawData[Location],G2330,RawData[Transaction Date],H2330)</f>
        <v>1</v>
      </c>
      <c r="L2330"/>
    </row>
    <row r="2331" spans="1:12" x14ac:dyDescent="0.3">
      <c r="A2331" t="s">
        <v>2337</v>
      </c>
      <c r="B2331" t="s">
        <v>10008</v>
      </c>
      <c r="C2331">
        <v>4</v>
      </c>
      <c r="D2331">
        <v>2</v>
      </c>
      <c r="E2331">
        <v>8</v>
      </c>
      <c r="F2331" t="s">
        <v>10019</v>
      </c>
      <c r="G2331" t="s">
        <v>10021</v>
      </c>
      <c r="H2331" s="6">
        <v>45182</v>
      </c>
      <c r="I2331">
        <f t="shared" si="72"/>
        <v>0</v>
      </c>
      <c r="J2331" t="str">
        <f t="shared" si="73"/>
        <v>Complete</v>
      </c>
      <c r="K2331">
        <f>COUNTIFS(RawData[Item], B2331,RawData[Quantity],C2331,RawData[Price Per Unit],D2331,RawData[Total Spent],E2331,RawData[Payment Method],F2331,RawData[Location],G2331,RawData[Transaction Date],H2331)</f>
        <v>1</v>
      </c>
      <c r="L2331"/>
    </row>
    <row r="2332" spans="1:12" x14ac:dyDescent="0.3">
      <c r="A2332" t="s">
        <v>2338</v>
      </c>
      <c r="B2332" t="s">
        <v>10011</v>
      </c>
      <c r="C2332" t="s">
        <v>10013</v>
      </c>
      <c r="D2332" t="s">
        <v>10013</v>
      </c>
      <c r="E2332">
        <v>5</v>
      </c>
      <c r="F2332" t="s">
        <v>10069</v>
      </c>
      <c r="G2332" t="s">
        <v>10102</v>
      </c>
      <c r="H2332" s="6">
        <v>44986</v>
      </c>
      <c r="I2332">
        <f t="shared" si="72"/>
        <v>2</v>
      </c>
      <c r="J2332" t="str">
        <f t="shared" si="73"/>
        <v>Complete</v>
      </c>
      <c r="K2332">
        <f>COUNTIFS(RawData[Item], B2332,RawData[Quantity],C2332,RawData[Price Per Unit],D2332,RawData[Total Spent],E2332,RawData[Payment Method],F2332,RawData[Location],G2332,RawData[Transaction Date],H2332)</f>
        <v>1</v>
      </c>
      <c r="L2332"/>
    </row>
    <row r="2333" spans="1:12" x14ac:dyDescent="0.3">
      <c r="A2333" t="s">
        <v>2339</v>
      </c>
      <c r="B2333" t="s">
        <v>10010</v>
      </c>
      <c r="C2333">
        <v>2</v>
      </c>
      <c r="D2333">
        <v>1</v>
      </c>
      <c r="E2333">
        <v>2</v>
      </c>
      <c r="F2333" t="s">
        <v>10018</v>
      </c>
      <c r="G2333" t="s">
        <v>10021</v>
      </c>
      <c r="H2333" s="6">
        <v>45215</v>
      </c>
      <c r="I2333">
        <f t="shared" si="72"/>
        <v>0</v>
      </c>
      <c r="J2333" t="str">
        <f t="shared" si="73"/>
        <v>Complete</v>
      </c>
      <c r="K2333">
        <f>COUNTIFS(RawData[Item], B2333,RawData[Quantity],C2333,RawData[Price Per Unit],D2333,RawData[Total Spent],E2333,RawData[Payment Method],F2333,RawData[Location],G2333,RawData[Transaction Date],H2333)</f>
        <v>1</v>
      </c>
      <c r="L2333"/>
    </row>
    <row r="2334" spans="1:12" x14ac:dyDescent="0.3">
      <c r="A2334" t="s">
        <v>2340</v>
      </c>
      <c r="B2334" t="s">
        <v>10012</v>
      </c>
      <c r="C2334">
        <v>1</v>
      </c>
      <c r="D2334">
        <v>4</v>
      </c>
      <c r="E2334">
        <v>4</v>
      </c>
      <c r="F2334" t="s">
        <v>10019</v>
      </c>
      <c r="G2334" t="s">
        <v>10021</v>
      </c>
      <c r="H2334" s="6">
        <v>45054</v>
      </c>
      <c r="I2334">
        <f t="shared" si="72"/>
        <v>0</v>
      </c>
      <c r="J2334" t="str">
        <f t="shared" si="73"/>
        <v>Complete</v>
      </c>
      <c r="K2334">
        <f>COUNTIFS(RawData[Item], B2334,RawData[Quantity],C2334,RawData[Price Per Unit],D2334,RawData[Total Spent],E2334,RawData[Payment Method],F2334,RawData[Location],G2334,RawData[Transaction Date],H2334)</f>
        <v>1</v>
      </c>
      <c r="L2334"/>
    </row>
    <row r="2335" spans="1:12" x14ac:dyDescent="0.3">
      <c r="A2335" t="s">
        <v>2341</v>
      </c>
      <c r="B2335" t="s">
        <v>10010</v>
      </c>
      <c r="C2335">
        <v>3</v>
      </c>
      <c r="D2335">
        <v>1</v>
      </c>
      <c r="E2335">
        <v>3</v>
      </c>
      <c r="F2335" t="s">
        <v>10019</v>
      </c>
      <c r="G2335" t="s">
        <v>10102</v>
      </c>
      <c r="H2335" s="6">
        <v>45075</v>
      </c>
      <c r="I2335">
        <f t="shared" si="72"/>
        <v>0</v>
      </c>
      <c r="J2335" t="str">
        <f t="shared" si="73"/>
        <v>Complete</v>
      </c>
      <c r="K2335">
        <f>COUNTIFS(RawData[Item], B2335,RawData[Quantity],C2335,RawData[Price Per Unit],D2335,RawData[Total Spent],E2335,RawData[Payment Method],F2335,RawData[Location],G2335,RawData[Transaction Date],H2335)</f>
        <v>1</v>
      </c>
      <c r="L2335"/>
    </row>
    <row r="2336" spans="1:12" x14ac:dyDescent="0.3">
      <c r="A2336" t="s">
        <v>2342</v>
      </c>
      <c r="B2336" t="s">
        <v>10014</v>
      </c>
      <c r="C2336">
        <v>1</v>
      </c>
      <c r="D2336">
        <v>4</v>
      </c>
      <c r="E2336">
        <v>4</v>
      </c>
      <c r="F2336" t="s">
        <v>10020</v>
      </c>
      <c r="G2336" t="s">
        <v>10021</v>
      </c>
      <c r="H2336" s="6">
        <v>44958</v>
      </c>
      <c r="I2336">
        <f t="shared" si="72"/>
        <v>0</v>
      </c>
      <c r="J2336" t="str">
        <f t="shared" si="73"/>
        <v>Complete</v>
      </c>
      <c r="K2336">
        <f>COUNTIFS(RawData[Item], B2336,RawData[Quantity],C2336,RawData[Price Per Unit],D2336,RawData[Total Spent],E2336,RawData[Payment Method],F2336,RawData[Location],G2336,RawData[Transaction Date],H2336)</f>
        <v>1</v>
      </c>
      <c r="L2336"/>
    </row>
    <row r="2337" spans="1:12" x14ac:dyDescent="0.3">
      <c r="A2337" t="s">
        <v>2343</v>
      </c>
      <c r="B2337" t="s">
        <v>10010</v>
      </c>
      <c r="C2337">
        <v>5</v>
      </c>
      <c r="D2337">
        <v>1</v>
      </c>
      <c r="E2337">
        <v>5</v>
      </c>
      <c r="F2337" t="s">
        <v>10018</v>
      </c>
      <c r="G2337" t="s">
        <v>10021</v>
      </c>
      <c r="H2337" s="6">
        <v>45135</v>
      </c>
      <c r="I2337">
        <f t="shared" si="72"/>
        <v>0</v>
      </c>
      <c r="J2337" t="str">
        <f t="shared" si="73"/>
        <v>Complete</v>
      </c>
      <c r="K2337">
        <f>COUNTIFS(RawData[Item], B2337,RawData[Quantity],C2337,RawData[Price Per Unit],D2337,RawData[Total Spent],E2337,RawData[Payment Method],F2337,RawData[Location],G2337,RawData[Transaction Date],H2337)</f>
        <v>1</v>
      </c>
      <c r="L2337"/>
    </row>
    <row r="2338" spans="1:12" x14ac:dyDescent="0.3">
      <c r="A2338" t="s">
        <v>2344</v>
      </c>
      <c r="B2338" t="s">
        <v>10012</v>
      </c>
      <c r="C2338">
        <v>1</v>
      </c>
      <c r="D2338">
        <v>4</v>
      </c>
      <c r="E2338">
        <v>4</v>
      </c>
      <c r="F2338" t="s">
        <v>10020</v>
      </c>
      <c r="G2338" t="s">
        <v>10021</v>
      </c>
      <c r="H2338" s="6">
        <v>45102</v>
      </c>
      <c r="I2338">
        <f t="shared" si="72"/>
        <v>0</v>
      </c>
      <c r="J2338" t="str">
        <f t="shared" si="73"/>
        <v>Complete</v>
      </c>
      <c r="K2338">
        <f>COUNTIFS(RawData[Item], B2338,RawData[Quantity],C2338,RawData[Price Per Unit],D2338,RawData[Total Spent],E2338,RawData[Payment Method],F2338,RawData[Location],G2338,RawData[Transaction Date],H2338)</f>
        <v>1</v>
      </c>
      <c r="L2338"/>
    </row>
    <row r="2339" spans="1:12" x14ac:dyDescent="0.3">
      <c r="A2339" t="s">
        <v>2345</v>
      </c>
      <c r="B2339" t="s">
        <v>10010</v>
      </c>
      <c r="C2339">
        <v>3</v>
      </c>
      <c r="D2339">
        <v>1</v>
      </c>
      <c r="E2339">
        <v>3</v>
      </c>
      <c r="F2339" t="s">
        <v>10020</v>
      </c>
      <c r="G2339" t="s">
        <v>10069</v>
      </c>
      <c r="H2339" s="6">
        <v>45076</v>
      </c>
      <c r="I2339">
        <f t="shared" si="72"/>
        <v>0</v>
      </c>
      <c r="J2339" t="str">
        <f t="shared" si="73"/>
        <v>Complete</v>
      </c>
      <c r="K2339">
        <f>COUNTIFS(RawData[Item], B2339,RawData[Quantity],C2339,RawData[Price Per Unit],D2339,RawData[Total Spent],E2339,RawData[Payment Method],F2339,RawData[Location],G2339,RawData[Transaction Date],H2339)</f>
        <v>1</v>
      </c>
      <c r="L2339"/>
    </row>
    <row r="2340" spans="1:12" x14ac:dyDescent="0.3">
      <c r="A2340" t="s">
        <v>2346</v>
      </c>
      <c r="B2340" t="s">
        <v>10010</v>
      </c>
      <c r="C2340">
        <v>1</v>
      </c>
      <c r="D2340">
        <v>1</v>
      </c>
      <c r="E2340">
        <v>1</v>
      </c>
      <c r="F2340" t="s">
        <v>10069</v>
      </c>
      <c r="G2340" t="s">
        <v>10102</v>
      </c>
      <c r="H2340" s="6">
        <v>45104</v>
      </c>
      <c r="I2340">
        <f t="shared" si="72"/>
        <v>0</v>
      </c>
      <c r="J2340" t="str">
        <f t="shared" si="73"/>
        <v>Complete</v>
      </c>
      <c r="K2340">
        <f>COUNTIFS(RawData[Item], B2340,RawData[Quantity],C2340,RawData[Price Per Unit],D2340,RawData[Total Spent],E2340,RawData[Payment Method],F2340,RawData[Location],G2340,RawData[Transaction Date],H2340)</f>
        <v>1</v>
      </c>
      <c r="L2340"/>
    </row>
    <row r="2341" spans="1:12" x14ac:dyDescent="0.3">
      <c r="A2341" t="s">
        <v>2347</v>
      </c>
      <c r="B2341" t="s">
        <v>10017</v>
      </c>
      <c r="C2341">
        <v>2</v>
      </c>
      <c r="D2341">
        <v>1.5</v>
      </c>
      <c r="E2341">
        <v>3</v>
      </c>
      <c r="F2341" t="s">
        <v>10018</v>
      </c>
      <c r="G2341" t="s">
        <v>10104</v>
      </c>
      <c r="H2341" s="6">
        <v>45168</v>
      </c>
      <c r="I2341">
        <f t="shared" si="72"/>
        <v>1</v>
      </c>
      <c r="J2341" t="str">
        <f t="shared" si="73"/>
        <v>Complete</v>
      </c>
      <c r="K2341">
        <f>COUNTIFS(RawData[Item], B2341,RawData[Quantity],C2341,RawData[Price Per Unit],D2341,RawData[Total Spent],E2341,RawData[Payment Method],F2341,RawData[Location],G2341,RawData[Transaction Date],H2341)</f>
        <v>1</v>
      </c>
      <c r="L2341"/>
    </row>
    <row r="2342" spans="1:12" x14ac:dyDescent="0.3">
      <c r="A2342" t="s">
        <v>2348</v>
      </c>
      <c r="B2342" t="s">
        <v>10008</v>
      </c>
      <c r="C2342">
        <v>0</v>
      </c>
      <c r="D2342">
        <v>2</v>
      </c>
      <c r="E2342">
        <v>10</v>
      </c>
      <c r="F2342" t="s">
        <v>10020</v>
      </c>
      <c r="G2342" t="s">
        <v>10021</v>
      </c>
      <c r="H2342" s="6">
        <v>45155</v>
      </c>
      <c r="I2342">
        <f t="shared" si="72"/>
        <v>0</v>
      </c>
      <c r="J2342" t="str">
        <f t="shared" si="73"/>
        <v>Complete</v>
      </c>
      <c r="K2342">
        <f>COUNTIFS(RawData[Item], B2342,RawData[Quantity],C2342,RawData[Price Per Unit],D2342,RawData[Total Spent],E2342,RawData[Payment Method],F2342,RawData[Location],G2342,RawData[Transaction Date],H2342)</f>
        <v>1</v>
      </c>
      <c r="L2342"/>
    </row>
    <row r="2343" spans="1:12" x14ac:dyDescent="0.3">
      <c r="A2343" t="s">
        <v>2349</v>
      </c>
      <c r="B2343" t="s">
        <v>10017</v>
      </c>
      <c r="C2343">
        <v>5</v>
      </c>
      <c r="D2343">
        <v>1.5</v>
      </c>
      <c r="E2343">
        <v>7.5</v>
      </c>
      <c r="F2343" t="s">
        <v>10020</v>
      </c>
      <c r="G2343" t="s">
        <v>10102</v>
      </c>
      <c r="H2343" s="6">
        <v>45123</v>
      </c>
      <c r="I2343">
        <f t="shared" si="72"/>
        <v>0</v>
      </c>
      <c r="J2343" t="str">
        <f t="shared" si="73"/>
        <v>Complete</v>
      </c>
      <c r="K2343">
        <f>COUNTIFS(RawData[Item], B2343,RawData[Quantity],C2343,RawData[Price Per Unit],D2343,RawData[Total Spent],E2343,RawData[Payment Method],F2343,RawData[Location],G2343,RawData[Transaction Date],H2343)</f>
        <v>1</v>
      </c>
      <c r="L2343"/>
    </row>
    <row r="2344" spans="1:12" x14ac:dyDescent="0.3">
      <c r="A2344" t="s">
        <v>2350</v>
      </c>
      <c r="B2344" t="s">
        <v>10008</v>
      </c>
      <c r="C2344">
        <v>1</v>
      </c>
      <c r="D2344">
        <v>2</v>
      </c>
      <c r="E2344">
        <v>2</v>
      </c>
      <c r="F2344" t="s">
        <v>10019</v>
      </c>
      <c r="G2344" t="s">
        <v>10021</v>
      </c>
      <c r="H2344" s="6" t="s">
        <v>10112</v>
      </c>
      <c r="I2344">
        <f t="shared" si="72"/>
        <v>1</v>
      </c>
      <c r="J2344" t="str">
        <f t="shared" si="73"/>
        <v>Incomplete</v>
      </c>
      <c r="K2344">
        <f>COUNTIFS(RawData[Item], B2344,RawData[Quantity],C2344,RawData[Price Per Unit],D2344,RawData[Total Spent],E2344,RawData[Payment Method],F2344,RawData[Location],G2344,RawData[Transaction Date],H2344)</f>
        <v>1</v>
      </c>
      <c r="L2344"/>
    </row>
    <row r="2345" spans="1:12" x14ac:dyDescent="0.3">
      <c r="A2345" t="s">
        <v>2351</v>
      </c>
      <c r="B2345" t="s">
        <v>10011</v>
      </c>
      <c r="C2345">
        <v>4</v>
      </c>
      <c r="D2345">
        <v>5</v>
      </c>
      <c r="E2345">
        <v>20</v>
      </c>
      <c r="F2345" t="s">
        <v>10069</v>
      </c>
      <c r="G2345" t="s">
        <v>10069</v>
      </c>
      <c r="H2345" s="6">
        <v>45066</v>
      </c>
      <c r="I2345">
        <f t="shared" si="72"/>
        <v>0</v>
      </c>
      <c r="J2345" t="str">
        <f t="shared" si="73"/>
        <v>Complete</v>
      </c>
      <c r="K2345">
        <f>COUNTIFS(RawData[Item], B2345,RawData[Quantity],C2345,RawData[Price Per Unit],D2345,RawData[Total Spent],E2345,RawData[Payment Method],F2345,RawData[Location],G2345,RawData[Transaction Date],H2345)</f>
        <v>1</v>
      </c>
      <c r="L2345"/>
    </row>
    <row r="2346" spans="1:12" x14ac:dyDescent="0.3">
      <c r="A2346" t="s">
        <v>2352</v>
      </c>
      <c r="B2346" t="s">
        <v>10017</v>
      </c>
      <c r="C2346">
        <v>5</v>
      </c>
      <c r="D2346">
        <v>0</v>
      </c>
      <c r="E2346">
        <v>7.5</v>
      </c>
      <c r="F2346" t="s">
        <v>10018</v>
      </c>
      <c r="G2346" t="s">
        <v>10103</v>
      </c>
      <c r="H2346" s="6" t="s">
        <v>10112</v>
      </c>
      <c r="I2346">
        <f t="shared" si="72"/>
        <v>2</v>
      </c>
      <c r="J2346" t="str">
        <f t="shared" si="73"/>
        <v>Incomplete</v>
      </c>
      <c r="K2346">
        <f>COUNTIFS(RawData[Item], B2346,RawData[Quantity],C2346,RawData[Price Per Unit],D2346,RawData[Total Spent],E2346,RawData[Payment Method],F2346,RawData[Location],G2346,RawData[Transaction Date],H2346)</f>
        <v>1</v>
      </c>
      <c r="L2346"/>
    </row>
    <row r="2347" spans="1:12" x14ac:dyDescent="0.3">
      <c r="A2347" t="s">
        <v>2353</v>
      </c>
      <c r="B2347" t="s">
        <v>10012</v>
      </c>
      <c r="C2347">
        <v>5</v>
      </c>
      <c r="D2347">
        <v>4</v>
      </c>
      <c r="E2347">
        <v>20</v>
      </c>
      <c r="F2347" t="s">
        <v>10069</v>
      </c>
      <c r="G2347" t="s">
        <v>10102</v>
      </c>
      <c r="H2347" s="6">
        <v>45081</v>
      </c>
      <c r="I2347">
        <f t="shared" si="72"/>
        <v>0</v>
      </c>
      <c r="J2347" t="str">
        <f t="shared" si="73"/>
        <v>Complete</v>
      </c>
      <c r="K2347">
        <f>COUNTIFS(RawData[Item], B2347,RawData[Quantity],C2347,RawData[Price Per Unit],D2347,RawData[Total Spent],E2347,RawData[Payment Method],F2347,RawData[Location],G2347,RawData[Transaction Date],H2347)</f>
        <v>1</v>
      </c>
      <c r="L2347"/>
    </row>
    <row r="2348" spans="1:12" x14ac:dyDescent="0.3">
      <c r="A2348" t="s">
        <v>2354</v>
      </c>
      <c r="B2348" t="s">
        <v>10012</v>
      </c>
      <c r="C2348">
        <v>4</v>
      </c>
      <c r="D2348">
        <v>4</v>
      </c>
      <c r="E2348">
        <v>16</v>
      </c>
      <c r="F2348" t="s">
        <v>10019</v>
      </c>
      <c r="G2348" t="s">
        <v>10069</v>
      </c>
      <c r="H2348" s="6">
        <v>45116</v>
      </c>
      <c r="I2348">
        <f t="shared" si="72"/>
        <v>0</v>
      </c>
      <c r="J2348" t="str">
        <f t="shared" si="73"/>
        <v>Complete</v>
      </c>
      <c r="K2348">
        <f>COUNTIFS(RawData[Item], B2348,RawData[Quantity],C2348,RawData[Price Per Unit],D2348,RawData[Total Spent],E2348,RawData[Payment Method],F2348,RawData[Location],G2348,RawData[Transaction Date],H2348)</f>
        <v>1</v>
      </c>
      <c r="L2348"/>
    </row>
    <row r="2349" spans="1:12" x14ac:dyDescent="0.3">
      <c r="A2349" t="s">
        <v>2355</v>
      </c>
      <c r="B2349" t="s">
        <v>10009</v>
      </c>
      <c r="C2349">
        <v>2</v>
      </c>
      <c r="D2349">
        <v>3</v>
      </c>
      <c r="E2349">
        <v>6</v>
      </c>
      <c r="F2349" t="s">
        <v>10069</v>
      </c>
      <c r="G2349" t="s">
        <v>10069</v>
      </c>
      <c r="H2349" s="6">
        <v>44971</v>
      </c>
      <c r="I2349">
        <f t="shared" si="72"/>
        <v>0</v>
      </c>
      <c r="J2349" t="str">
        <f t="shared" si="73"/>
        <v>Complete</v>
      </c>
      <c r="K2349">
        <f>COUNTIFS(RawData[Item], B2349,RawData[Quantity],C2349,RawData[Price Per Unit],D2349,RawData[Total Spent],E2349,RawData[Payment Method],F2349,RawData[Location],G2349,RawData[Transaction Date],H2349)</f>
        <v>1</v>
      </c>
      <c r="L2349"/>
    </row>
    <row r="2350" spans="1:12" x14ac:dyDescent="0.3">
      <c r="A2350" t="s">
        <v>2356</v>
      </c>
      <c r="B2350" t="s">
        <v>10011</v>
      </c>
      <c r="C2350">
        <v>3</v>
      </c>
      <c r="D2350">
        <v>5</v>
      </c>
      <c r="E2350">
        <v>15</v>
      </c>
      <c r="F2350" t="s">
        <v>10020</v>
      </c>
      <c r="G2350" t="s">
        <v>10103</v>
      </c>
      <c r="H2350" s="6">
        <v>45126</v>
      </c>
      <c r="I2350">
        <f t="shared" si="72"/>
        <v>1</v>
      </c>
      <c r="J2350" t="str">
        <f t="shared" si="73"/>
        <v>Complete</v>
      </c>
      <c r="K2350">
        <f>COUNTIFS(RawData[Item], B2350,RawData[Quantity],C2350,RawData[Price Per Unit],D2350,RawData[Total Spent],E2350,RawData[Payment Method],F2350,RawData[Location],G2350,RawData[Transaction Date],H2350)</f>
        <v>1</v>
      </c>
      <c r="L2350"/>
    </row>
    <row r="2351" spans="1:12" x14ac:dyDescent="0.3">
      <c r="A2351" t="s">
        <v>2357</v>
      </c>
      <c r="B2351" t="s">
        <v>10008</v>
      </c>
      <c r="C2351">
        <v>1</v>
      </c>
      <c r="D2351" t="s">
        <v>10015</v>
      </c>
      <c r="E2351">
        <v>2</v>
      </c>
      <c r="F2351" t="s">
        <v>10069</v>
      </c>
      <c r="G2351" t="s">
        <v>10021</v>
      </c>
      <c r="H2351" s="6">
        <v>45042</v>
      </c>
      <c r="I2351">
        <f t="shared" si="72"/>
        <v>1</v>
      </c>
      <c r="J2351" t="str">
        <f t="shared" si="73"/>
        <v>Complete</v>
      </c>
      <c r="K2351">
        <f>COUNTIFS(RawData[Item], B2351,RawData[Quantity],C2351,RawData[Price Per Unit],D2351,RawData[Total Spent],E2351,RawData[Payment Method],F2351,RawData[Location],G2351,RawData[Transaction Date],H2351)</f>
        <v>1</v>
      </c>
      <c r="L2351"/>
    </row>
    <row r="2352" spans="1:12" x14ac:dyDescent="0.3">
      <c r="A2352" t="s">
        <v>2358</v>
      </c>
      <c r="B2352" t="s">
        <v>10012</v>
      </c>
      <c r="C2352">
        <v>5</v>
      </c>
      <c r="D2352">
        <v>4</v>
      </c>
      <c r="E2352">
        <v>20</v>
      </c>
      <c r="F2352" t="s">
        <v>10019</v>
      </c>
      <c r="G2352" t="s">
        <v>10021</v>
      </c>
      <c r="H2352" s="6">
        <v>45196</v>
      </c>
      <c r="I2352">
        <f t="shared" si="72"/>
        <v>0</v>
      </c>
      <c r="J2352" t="str">
        <f t="shared" si="73"/>
        <v>Complete</v>
      </c>
      <c r="K2352">
        <f>COUNTIFS(RawData[Item], B2352,RawData[Quantity],C2352,RawData[Price Per Unit],D2352,RawData[Total Spent],E2352,RawData[Payment Method],F2352,RawData[Location],G2352,RawData[Transaction Date],H2352)</f>
        <v>1</v>
      </c>
      <c r="L2352"/>
    </row>
    <row r="2353" spans="1:12" x14ac:dyDescent="0.3">
      <c r="A2353" t="s">
        <v>2359</v>
      </c>
      <c r="B2353" t="s">
        <v>10014</v>
      </c>
      <c r="C2353">
        <v>5</v>
      </c>
      <c r="D2353">
        <v>4</v>
      </c>
      <c r="E2353">
        <v>20</v>
      </c>
      <c r="F2353" t="s">
        <v>10018</v>
      </c>
      <c r="G2353" t="s">
        <v>10102</v>
      </c>
      <c r="H2353" s="6">
        <v>44991</v>
      </c>
      <c r="I2353">
        <f t="shared" si="72"/>
        <v>0</v>
      </c>
      <c r="J2353" t="str">
        <f t="shared" si="73"/>
        <v>Complete</v>
      </c>
      <c r="K2353">
        <f>COUNTIFS(RawData[Item], B2353,RawData[Quantity],C2353,RawData[Price Per Unit],D2353,RawData[Total Spent],E2353,RawData[Payment Method],F2353,RawData[Location],G2353,RawData[Transaction Date],H2353)</f>
        <v>1</v>
      </c>
      <c r="L2353"/>
    </row>
    <row r="2354" spans="1:12" x14ac:dyDescent="0.3">
      <c r="A2354" t="s">
        <v>2360</v>
      </c>
      <c r="B2354" t="s">
        <v>10012</v>
      </c>
      <c r="C2354">
        <v>4</v>
      </c>
      <c r="D2354">
        <v>4</v>
      </c>
      <c r="E2354">
        <v>16</v>
      </c>
      <c r="F2354" t="s">
        <v>10069</v>
      </c>
      <c r="G2354" t="s">
        <v>10069</v>
      </c>
      <c r="H2354" s="6">
        <v>45219</v>
      </c>
      <c r="I2354">
        <f t="shared" si="72"/>
        <v>0</v>
      </c>
      <c r="J2354" t="str">
        <f t="shared" si="73"/>
        <v>Complete</v>
      </c>
      <c r="K2354">
        <f>COUNTIFS(RawData[Item], B2354,RawData[Quantity],C2354,RawData[Price Per Unit],D2354,RawData[Total Spent],E2354,RawData[Payment Method],F2354,RawData[Location],G2354,RawData[Transaction Date],H2354)</f>
        <v>1</v>
      </c>
      <c r="L2354"/>
    </row>
    <row r="2355" spans="1:12" x14ac:dyDescent="0.3">
      <c r="A2355" t="s">
        <v>2361</v>
      </c>
      <c r="B2355" t="s">
        <v>10017</v>
      </c>
      <c r="C2355">
        <v>5</v>
      </c>
      <c r="D2355">
        <v>1.5</v>
      </c>
      <c r="E2355">
        <v>7.5</v>
      </c>
      <c r="F2355" t="s">
        <v>10018</v>
      </c>
      <c r="G2355" t="s">
        <v>10069</v>
      </c>
      <c r="H2355" s="6">
        <v>45006</v>
      </c>
      <c r="I2355">
        <f t="shared" si="72"/>
        <v>0</v>
      </c>
      <c r="J2355" t="str">
        <f t="shared" si="73"/>
        <v>Complete</v>
      </c>
      <c r="K2355">
        <f>COUNTIFS(RawData[Item], B2355,RawData[Quantity],C2355,RawData[Price Per Unit],D2355,RawData[Total Spent],E2355,RawData[Payment Method],F2355,RawData[Location],G2355,RawData[Transaction Date],H2355)</f>
        <v>1</v>
      </c>
      <c r="L2355"/>
    </row>
    <row r="2356" spans="1:12" x14ac:dyDescent="0.3">
      <c r="A2356" t="s">
        <v>2362</v>
      </c>
      <c r="B2356" t="s">
        <v>10017</v>
      </c>
      <c r="C2356">
        <v>4</v>
      </c>
      <c r="D2356">
        <v>1.5</v>
      </c>
      <c r="E2356">
        <v>6</v>
      </c>
      <c r="F2356" t="s">
        <v>10019</v>
      </c>
      <c r="G2356" t="s">
        <v>10021</v>
      </c>
      <c r="H2356" s="6" t="s">
        <v>10112</v>
      </c>
      <c r="I2356">
        <f t="shared" si="72"/>
        <v>1</v>
      </c>
      <c r="J2356" t="str">
        <f t="shared" si="73"/>
        <v>Incomplete</v>
      </c>
      <c r="K2356">
        <f>COUNTIFS(RawData[Item], B2356,RawData[Quantity],C2356,RawData[Price Per Unit],D2356,RawData[Total Spent],E2356,RawData[Payment Method],F2356,RawData[Location],G2356,RawData[Transaction Date],H2356)</f>
        <v>1</v>
      </c>
      <c r="L2356"/>
    </row>
    <row r="2357" spans="1:12" x14ac:dyDescent="0.3">
      <c r="A2357" t="s">
        <v>2363</v>
      </c>
      <c r="B2357" t="s">
        <v>10014</v>
      </c>
      <c r="C2357">
        <v>5</v>
      </c>
      <c r="D2357">
        <v>4</v>
      </c>
      <c r="E2357">
        <v>20</v>
      </c>
      <c r="F2357" t="s">
        <v>10020</v>
      </c>
      <c r="G2357" t="s">
        <v>10021</v>
      </c>
      <c r="H2357" s="6">
        <v>44937</v>
      </c>
      <c r="I2357">
        <f t="shared" si="72"/>
        <v>0</v>
      </c>
      <c r="J2357" t="str">
        <f t="shared" si="73"/>
        <v>Complete</v>
      </c>
      <c r="K2357">
        <f>COUNTIFS(RawData[Item], B2357,RawData[Quantity],C2357,RawData[Price Per Unit],D2357,RawData[Total Spent],E2357,RawData[Payment Method],F2357,RawData[Location],G2357,RawData[Transaction Date],H2357)</f>
        <v>1</v>
      </c>
      <c r="L2357"/>
    </row>
    <row r="2358" spans="1:12" x14ac:dyDescent="0.3">
      <c r="A2358" t="s">
        <v>2364</v>
      </c>
      <c r="B2358" t="s">
        <v>10017</v>
      </c>
      <c r="C2358">
        <v>4</v>
      </c>
      <c r="D2358">
        <v>1.5</v>
      </c>
      <c r="E2358">
        <v>0</v>
      </c>
      <c r="F2358" t="s">
        <v>10020</v>
      </c>
      <c r="G2358" t="s">
        <v>10102</v>
      </c>
      <c r="H2358" s="6">
        <v>44956</v>
      </c>
      <c r="I2358">
        <f t="shared" si="72"/>
        <v>0</v>
      </c>
      <c r="J2358" t="str">
        <f t="shared" si="73"/>
        <v>Complete</v>
      </c>
      <c r="K2358">
        <f>COUNTIFS(RawData[Item], B2358,RawData[Quantity],C2358,RawData[Price Per Unit],D2358,RawData[Total Spent],E2358,RawData[Payment Method],F2358,RawData[Location],G2358,RawData[Transaction Date],H2358)</f>
        <v>1</v>
      </c>
      <c r="L2358"/>
    </row>
    <row r="2359" spans="1:12" x14ac:dyDescent="0.3">
      <c r="A2359" t="s">
        <v>2365</v>
      </c>
      <c r="B2359" t="s">
        <v>10008</v>
      </c>
      <c r="C2359">
        <v>2</v>
      </c>
      <c r="D2359">
        <v>2</v>
      </c>
      <c r="E2359">
        <v>4</v>
      </c>
      <c r="F2359" t="s">
        <v>10019</v>
      </c>
      <c r="G2359" t="s">
        <v>10102</v>
      </c>
      <c r="H2359" s="6">
        <v>45196</v>
      </c>
      <c r="I2359">
        <f t="shared" si="72"/>
        <v>0</v>
      </c>
      <c r="J2359" t="str">
        <f t="shared" si="73"/>
        <v>Complete</v>
      </c>
      <c r="K2359">
        <f>COUNTIFS(RawData[Item], B2359,RawData[Quantity],C2359,RawData[Price Per Unit],D2359,RawData[Total Spent],E2359,RawData[Payment Method],F2359,RawData[Location],G2359,RawData[Transaction Date],H2359)</f>
        <v>1</v>
      </c>
      <c r="L2359"/>
    </row>
    <row r="2360" spans="1:12" x14ac:dyDescent="0.3">
      <c r="A2360" t="s">
        <v>2366</v>
      </c>
      <c r="B2360" t="s">
        <v>10009</v>
      </c>
      <c r="C2360">
        <v>2</v>
      </c>
      <c r="D2360">
        <v>3</v>
      </c>
      <c r="E2360">
        <v>6</v>
      </c>
      <c r="F2360" t="s">
        <v>10019</v>
      </c>
      <c r="G2360" t="s">
        <v>10102</v>
      </c>
      <c r="H2360" s="6">
        <v>44968</v>
      </c>
      <c r="I2360">
        <f t="shared" si="72"/>
        <v>0</v>
      </c>
      <c r="J2360" t="str">
        <f t="shared" si="73"/>
        <v>Complete</v>
      </c>
      <c r="K2360">
        <f>COUNTIFS(RawData[Item], B2360,RawData[Quantity],C2360,RawData[Price Per Unit],D2360,RawData[Total Spent],E2360,RawData[Payment Method],F2360,RawData[Location],G2360,RawData[Transaction Date],H2360)</f>
        <v>2</v>
      </c>
      <c r="L2360"/>
    </row>
    <row r="2361" spans="1:12" x14ac:dyDescent="0.3">
      <c r="A2361" t="s">
        <v>2367</v>
      </c>
      <c r="B2361" t="s">
        <v>10016</v>
      </c>
      <c r="C2361">
        <v>3</v>
      </c>
      <c r="D2361">
        <v>3</v>
      </c>
      <c r="E2361">
        <v>9</v>
      </c>
      <c r="F2361" t="s">
        <v>10019</v>
      </c>
      <c r="G2361" t="s">
        <v>10102</v>
      </c>
      <c r="H2361" s="6">
        <v>44951</v>
      </c>
      <c r="I2361">
        <f t="shared" si="72"/>
        <v>0</v>
      </c>
      <c r="J2361" t="str">
        <f t="shared" si="73"/>
        <v>Complete</v>
      </c>
      <c r="K2361">
        <f>COUNTIFS(RawData[Item], B2361,RawData[Quantity],C2361,RawData[Price Per Unit],D2361,RawData[Total Spent],E2361,RawData[Payment Method],F2361,RawData[Location],G2361,RawData[Transaction Date],H2361)</f>
        <v>1</v>
      </c>
      <c r="L2361"/>
    </row>
    <row r="2362" spans="1:12" x14ac:dyDescent="0.3">
      <c r="A2362" t="s">
        <v>2368</v>
      </c>
      <c r="B2362" t="s">
        <v>10017</v>
      </c>
      <c r="C2362">
        <v>5</v>
      </c>
      <c r="D2362">
        <v>1.5</v>
      </c>
      <c r="E2362">
        <v>7.5</v>
      </c>
      <c r="F2362" t="s">
        <v>10020</v>
      </c>
      <c r="G2362" t="s">
        <v>10103</v>
      </c>
      <c r="H2362" s="6">
        <v>45218</v>
      </c>
      <c r="I2362">
        <f t="shared" si="72"/>
        <v>1</v>
      </c>
      <c r="J2362" t="str">
        <f t="shared" si="73"/>
        <v>Complete</v>
      </c>
      <c r="K2362">
        <f>COUNTIFS(RawData[Item], B2362,RawData[Quantity],C2362,RawData[Price Per Unit],D2362,RawData[Total Spent],E2362,RawData[Payment Method],F2362,RawData[Location],G2362,RawData[Transaction Date],H2362)</f>
        <v>1</v>
      </c>
      <c r="L2362"/>
    </row>
    <row r="2363" spans="1:12" x14ac:dyDescent="0.3">
      <c r="A2363" t="s">
        <v>2369</v>
      </c>
      <c r="B2363" t="s">
        <v>10014</v>
      </c>
      <c r="C2363">
        <v>2</v>
      </c>
      <c r="D2363" t="s">
        <v>10015</v>
      </c>
      <c r="E2363">
        <v>8</v>
      </c>
      <c r="F2363" t="s">
        <v>10020</v>
      </c>
      <c r="G2363" t="s">
        <v>10069</v>
      </c>
      <c r="H2363" s="6" t="s">
        <v>10112</v>
      </c>
      <c r="I2363">
        <f t="shared" si="72"/>
        <v>2</v>
      </c>
      <c r="J2363" t="str">
        <f t="shared" si="73"/>
        <v>Incomplete</v>
      </c>
      <c r="K2363">
        <f>COUNTIFS(RawData[Item], B2363,RawData[Quantity],C2363,RawData[Price Per Unit],D2363,RawData[Total Spent],E2363,RawData[Payment Method],F2363,RawData[Location],G2363,RawData[Transaction Date],H2363)</f>
        <v>1</v>
      </c>
      <c r="L2363"/>
    </row>
    <row r="2364" spans="1:12" x14ac:dyDescent="0.3">
      <c r="A2364" t="s">
        <v>2370</v>
      </c>
      <c r="B2364" t="s">
        <v>10012</v>
      </c>
      <c r="C2364">
        <v>1</v>
      </c>
      <c r="D2364" t="s">
        <v>10015</v>
      </c>
      <c r="E2364">
        <v>4</v>
      </c>
      <c r="F2364" t="s">
        <v>10018</v>
      </c>
      <c r="G2364" t="s">
        <v>10102</v>
      </c>
      <c r="H2364" s="6">
        <v>45122</v>
      </c>
      <c r="I2364">
        <f t="shared" si="72"/>
        <v>1</v>
      </c>
      <c r="J2364" t="str">
        <f t="shared" si="73"/>
        <v>Complete</v>
      </c>
      <c r="K2364">
        <f>COUNTIFS(RawData[Item], B2364,RawData[Quantity],C2364,RawData[Price Per Unit],D2364,RawData[Total Spent],E2364,RawData[Payment Method],F2364,RawData[Location],G2364,RawData[Transaction Date],H2364)</f>
        <v>1</v>
      </c>
      <c r="L2364"/>
    </row>
    <row r="2365" spans="1:12" x14ac:dyDescent="0.3">
      <c r="A2365" t="s">
        <v>2371</v>
      </c>
      <c r="B2365" t="s">
        <v>10012</v>
      </c>
      <c r="C2365">
        <v>3</v>
      </c>
      <c r="D2365">
        <v>4</v>
      </c>
      <c r="E2365">
        <v>12</v>
      </c>
      <c r="F2365" t="s">
        <v>10069</v>
      </c>
      <c r="G2365" t="s">
        <v>10103</v>
      </c>
      <c r="H2365" s="6">
        <v>45041</v>
      </c>
      <c r="I2365">
        <f t="shared" si="72"/>
        <v>1</v>
      </c>
      <c r="J2365" t="str">
        <f t="shared" si="73"/>
        <v>Complete</v>
      </c>
      <c r="K2365">
        <f>COUNTIFS(RawData[Item], B2365,RawData[Quantity],C2365,RawData[Price Per Unit],D2365,RawData[Total Spent],E2365,RawData[Payment Method],F2365,RawData[Location],G2365,RawData[Transaction Date],H2365)</f>
        <v>1</v>
      </c>
      <c r="L2365"/>
    </row>
    <row r="2366" spans="1:12" x14ac:dyDescent="0.3">
      <c r="A2366" t="s">
        <v>2372</v>
      </c>
      <c r="B2366" t="s">
        <v>10009</v>
      </c>
      <c r="C2366">
        <v>3</v>
      </c>
      <c r="D2366">
        <v>3</v>
      </c>
      <c r="E2366">
        <v>9</v>
      </c>
      <c r="F2366" t="s">
        <v>10018</v>
      </c>
      <c r="G2366" t="s">
        <v>10069</v>
      </c>
      <c r="H2366" s="6">
        <v>45057</v>
      </c>
      <c r="I2366">
        <f t="shared" si="72"/>
        <v>0</v>
      </c>
      <c r="J2366" t="str">
        <f t="shared" si="73"/>
        <v>Complete</v>
      </c>
      <c r="K2366">
        <f>COUNTIFS(RawData[Item], B2366,RawData[Quantity],C2366,RawData[Price Per Unit],D2366,RawData[Total Spent],E2366,RawData[Payment Method],F2366,RawData[Location],G2366,RawData[Transaction Date],H2366)</f>
        <v>1</v>
      </c>
      <c r="L2366"/>
    </row>
    <row r="2367" spans="1:12" x14ac:dyDescent="0.3">
      <c r="A2367" t="s">
        <v>2373</v>
      </c>
      <c r="B2367" t="s">
        <v>10017</v>
      </c>
      <c r="C2367" t="s">
        <v>10015</v>
      </c>
      <c r="D2367">
        <v>1.5</v>
      </c>
      <c r="E2367">
        <v>7.5</v>
      </c>
      <c r="F2367" t="s">
        <v>10018</v>
      </c>
      <c r="G2367" t="s">
        <v>10102</v>
      </c>
      <c r="H2367" s="6">
        <v>45223</v>
      </c>
      <c r="I2367">
        <f t="shared" si="72"/>
        <v>1</v>
      </c>
      <c r="J2367" t="str">
        <f t="shared" si="73"/>
        <v>Complete</v>
      </c>
      <c r="K2367">
        <f>COUNTIFS(RawData[Item], B2367,RawData[Quantity],C2367,RawData[Price Per Unit],D2367,RawData[Total Spent],E2367,RawData[Payment Method],F2367,RawData[Location],G2367,RawData[Transaction Date],H2367)</f>
        <v>1</v>
      </c>
      <c r="L2367"/>
    </row>
    <row r="2368" spans="1:12" x14ac:dyDescent="0.3">
      <c r="A2368" t="s">
        <v>2374</v>
      </c>
      <c r="B2368" t="s">
        <v>10009</v>
      </c>
      <c r="C2368">
        <v>3</v>
      </c>
      <c r="D2368">
        <v>3</v>
      </c>
      <c r="E2368">
        <v>9</v>
      </c>
      <c r="F2368" t="s">
        <v>10069</v>
      </c>
      <c r="G2368" t="s">
        <v>10102</v>
      </c>
      <c r="H2368" s="6">
        <v>45229</v>
      </c>
      <c r="I2368">
        <f t="shared" si="72"/>
        <v>0</v>
      </c>
      <c r="J2368" t="str">
        <f t="shared" si="73"/>
        <v>Complete</v>
      </c>
      <c r="K2368">
        <f>COUNTIFS(RawData[Item], B2368,RawData[Quantity],C2368,RawData[Price Per Unit],D2368,RawData[Total Spent],E2368,RawData[Payment Method],F2368,RawData[Location],G2368,RawData[Transaction Date],H2368)</f>
        <v>1</v>
      </c>
      <c r="L2368"/>
    </row>
    <row r="2369" spans="1:12" x14ac:dyDescent="0.3">
      <c r="A2369" t="s">
        <v>2375</v>
      </c>
      <c r="B2369" t="s">
        <v>10017</v>
      </c>
      <c r="C2369">
        <v>3</v>
      </c>
      <c r="D2369">
        <v>1.5</v>
      </c>
      <c r="E2369">
        <v>4.5</v>
      </c>
      <c r="F2369" t="s">
        <v>10019</v>
      </c>
      <c r="G2369" t="s">
        <v>10102</v>
      </c>
      <c r="H2369" s="6">
        <v>45148</v>
      </c>
      <c r="I2369">
        <f t="shared" si="72"/>
        <v>0</v>
      </c>
      <c r="J2369" t="str">
        <f t="shared" si="73"/>
        <v>Complete</v>
      </c>
      <c r="K2369">
        <f>COUNTIFS(RawData[Item], B2369,RawData[Quantity],C2369,RawData[Price Per Unit],D2369,RawData[Total Spent],E2369,RawData[Payment Method],F2369,RawData[Location],G2369,RawData[Transaction Date],H2369)</f>
        <v>1</v>
      </c>
      <c r="L2369"/>
    </row>
    <row r="2370" spans="1:12" x14ac:dyDescent="0.3">
      <c r="A2370" t="s">
        <v>2376</v>
      </c>
      <c r="B2370" t="s">
        <v>10014</v>
      </c>
      <c r="C2370">
        <v>1</v>
      </c>
      <c r="D2370">
        <v>4</v>
      </c>
      <c r="E2370">
        <v>4</v>
      </c>
      <c r="F2370" t="s">
        <v>10018</v>
      </c>
      <c r="G2370" t="s">
        <v>10104</v>
      </c>
      <c r="H2370" s="6">
        <v>45237</v>
      </c>
      <c r="I2370">
        <f t="shared" ref="I2370:I2433" si="74">(B2370="Unknown")+(B2370="Error")+(C2370="Unknown")+(C2370="Error")+(D2370="Unknown")+(D2370="Error")+(E2370="Unknown")+(E2370="Error")+(F2370="Unknown")+(F2370="Error")+(G2370="Unknown")+(G2370="Error")+(H2370="No Date")</f>
        <v>1</v>
      </c>
      <c r="J2370" t="str">
        <f t="shared" ref="J2370:J2433" si="75">IF((H2370="No Date"),"Incomplete","Complete")</f>
        <v>Complete</v>
      </c>
      <c r="K2370">
        <f>COUNTIFS(RawData[Item], B2370,RawData[Quantity],C2370,RawData[Price Per Unit],D2370,RawData[Total Spent],E2370,RawData[Payment Method],F2370,RawData[Location],G2370,RawData[Transaction Date],H2370)</f>
        <v>1</v>
      </c>
      <c r="L2370"/>
    </row>
    <row r="2371" spans="1:12" x14ac:dyDescent="0.3">
      <c r="A2371" t="s">
        <v>2377</v>
      </c>
      <c r="B2371" t="s">
        <v>10008</v>
      </c>
      <c r="C2371">
        <v>1</v>
      </c>
      <c r="D2371">
        <v>2</v>
      </c>
      <c r="E2371">
        <v>2</v>
      </c>
      <c r="F2371" t="s">
        <v>10069</v>
      </c>
      <c r="G2371" t="s">
        <v>10102</v>
      </c>
      <c r="H2371" s="6">
        <v>45205</v>
      </c>
      <c r="I2371">
        <f t="shared" si="74"/>
        <v>0</v>
      </c>
      <c r="J2371" t="str">
        <f t="shared" si="75"/>
        <v>Complete</v>
      </c>
      <c r="K2371">
        <f>COUNTIFS(RawData[Item], B2371,RawData[Quantity],C2371,RawData[Price Per Unit],D2371,RawData[Total Spent],E2371,RawData[Payment Method],F2371,RawData[Location],G2371,RawData[Transaction Date],H2371)</f>
        <v>1</v>
      </c>
      <c r="L2371"/>
    </row>
    <row r="2372" spans="1:12" x14ac:dyDescent="0.3">
      <c r="A2372" t="s">
        <v>2378</v>
      </c>
      <c r="B2372" t="s">
        <v>10011</v>
      </c>
      <c r="C2372">
        <v>1</v>
      </c>
      <c r="D2372">
        <v>5</v>
      </c>
      <c r="E2372">
        <v>5</v>
      </c>
      <c r="F2372" t="s">
        <v>10018</v>
      </c>
      <c r="G2372" t="s">
        <v>10021</v>
      </c>
      <c r="H2372" s="6">
        <v>45022</v>
      </c>
      <c r="I2372">
        <f t="shared" si="74"/>
        <v>0</v>
      </c>
      <c r="J2372" t="str">
        <f t="shared" si="75"/>
        <v>Complete</v>
      </c>
      <c r="K2372">
        <f>COUNTIFS(RawData[Item], B2372,RawData[Quantity],C2372,RawData[Price Per Unit],D2372,RawData[Total Spent],E2372,RawData[Payment Method],F2372,RawData[Location],G2372,RawData[Transaction Date],H2372)</f>
        <v>1</v>
      </c>
      <c r="L2372"/>
    </row>
    <row r="2373" spans="1:12" x14ac:dyDescent="0.3">
      <c r="A2373" t="s">
        <v>2379</v>
      </c>
      <c r="B2373" t="s">
        <v>10069</v>
      </c>
      <c r="C2373">
        <v>3</v>
      </c>
      <c r="D2373">
        <v>3</v>
      </c>
      <c r="E2373" t="s">
        <v>10013</v>
      </c>
      <c r="F2373" t="s">
        <v>10069</v>
      </c>
      <c r="G2373" t="s">
        <v>10021</v>
      </c>
      <c r="H2373" s="6">
        <v>45224</v>
      </c>
      <c r="I2373">
        <f t="shared" si="74"/>
        <v>1</v>
      </c>
      <c r="J2373" t="str">
        <f t="shared" si="75"/>
        <v>Complete</v>
      </c>
      <c r="K2373">
        <f>COUNTIFS(RawData[Item], B2373,RawData[Quantity],C2373,RawData[Price Per Unit],D2373,RawData[Total Spent],E2373,RawData[Payment Method],F2373,RawData[Location],G2373,RawData[Transaction Date],H2373)</f>
        <v>1</v>
      </c>
      <c r="L2373"/>
    </row>
    <row r="2374" spans="1:12" x14ac:dyDescent="0.3">
      <c r="A2374" t="s">
        <v>2380</v>
      </c>
      <c r="B2374" t="s">
        <v>10011</v>
      </c>
      <c r="C2374">
        <v>4</v>
      </c>
      <c r="D2374">
        <v>5</v>
      </c>
      <c r="E2374" t="s">
        <v>10013</v>
      </c>
      <c r="F2374" t="s">
        <v>10069</v>
      </c>
      <c r="G2374" t="s">
        <v>10102</v>
      </c>
      <c r="H2374" s="6">
        <v>44988</v>
      </c>
      <c r="I2374">
        <f t="shared" si="74"/>
        <v>1</v>
      </c>
      <c r="J2374" t="str">
        <f t="shared" si="75"/>
        <v>Complete</v>
      </c>
      <c r="K2374">
        <f>COUNTIFS(RawData[Item], B2374,RawData[Quantity],C2374,RawData[Price Per Unit],D2374,RawData[Total Spent],E2374,RawData[Payment Method],F2374,RawData[Location],G2374,RawData[Transaction Date],H2374)</f>
        <v>1</v>
      </c>
      <c r="L2374"/>
    </row>
    <row r="2375" spans="1:12" x14ac:dyDescent="0.3">
      <c r="A2375" t="s">
        <v>2381</v>
      </c>
      <c r="B2375" t="s">
        <v>10012</v>
      </c>
      <c r="C2375">
        <v>4</v>
      </c>
      <c r="D2375">
        <v>4</v>
      </c>
      <c r="E2375">
        <v>16</v>
      </c>
      <c r="F2375" t="s">
        <v>10069</v>
      </c>
      <c r="G2375" t="s">
        <v>10102</v>
      </c>
      <c r="H2375" s="6">
        <v>44988</v>
      </c>
      <c r="I2375">
        <f t="shared" si="74"/>
        <v>0</v>
      </c>
      <c r="J2375" t="str">
        <f t="shared" si="75"/>
        <v>Complete</v>
      </c>
      <c r="K2375">
        <f>COUNTIFS(RawData[Item], B2375,RawData[Quantity],C2375,RawData[Price Per Unit],D2375,RawData[Total Spent],E2375,RawData[Payment Method],F2375,RawData[Location],G2375,RawData[Transaction Date],H2375)</f>
        <v>1</v>
      </c>
      <c r="L2375"/>
    </row>
    <row r="2376" spans="1:12" x14ac:dyDescent="0.3">
      <c r="A2376" t="s">
        <v>2382</v>
      </c>
      <c r="B2376" t="s">
        <v>10010</v>
      </c>
      <c r="C2376">
        <v>4</v>
      </c>
      <c r="D2376">
        <v>1</v>
      </c>
      <c r="E2376">
        <v>4</v>
      </c>
      <c r="F2376" t="s">
        <v>10019</v>
      </c>
      <c r="G2376" t="s">
        <v>10069</v>
      </c>
      <c r="H2376" s="6">
        <v>45059</v>
      </c>
      <c r="I2376">
        <f t="shared" si="74"/>
        <v>0</v>
      </c>
      <c r="J2376" t="str">
        <f t="shared" si="75"/>
        <v>Complete</v>
      </c>
      <c r="K2376">
        <f>COUNTIFS(RawData[Item], B2376,RawData[Quantity],C2376,RawData[Price Per Unit],D2376,RawData[Total Spent],E2376,RawData[Payment Method],F2376,RawData[Location],G2376,RawData[Transaction Date],H2376)</f>
        <v>1</v>
      </c>
      <c r="L2376"/>
    </row>
    <row r="2377" spans="1:12" x14ac:dyDescent="0.3">
      <c r="A2377" t="s">
        <v>2383</v>
      </c>
      <c r="B2377" t="s">
        <v>10014</v>
      </c>
      <c r="C2377">
        <v>3</v>
      </c>
      <c r="D2377">
        <v>4</v>
      </c>
      <c r="E2377">
        <v>0</v>
      </c>
      <c r="F2377" t="s">
        <v>10018</v>
      </c>
      <c r="G2377" t="s">
        <v>10069</v>
      </c>
      <c r="H2377" s="6">
        <v>45150</v>
      </c>
      <c r="I2377">
        <f t="shared" si="74"/>
        <v>0</v>
      </c>
      <c r="J2377" t="str">
        <f t="shared" si="75"/>
        <v>Complete</v>
      </c>
      <c r="K2377">
        <f>COUNTIFS(RawData[Item], B2377,RawData[Quantity],C2377,RawData[Price Per Unit],D2377,RawData[Total Spent],E2377,RawData[Payment Method],F2377,RawData[Location],G2377,RawData[Transaction Date],H2377)</f>
        <v>1</v>
      </c>
      <c r="L2377"/>
    </row>
    <row r="2378" spans="1:12" x14ac:dyDescent="0.3">
      <c r="A2378" t="s">
        <v>2384</v>
      </c>
      <c r="B2378" t="s">
        <v>10009</v>
      </c>
      <c r="C2378">
        <v>4</v>
      </c>
      <c r="D2378">
        <v>3</v>
      </c>
      <c r="E2378">
        <v>12</v>
      </c>
      <c r="F2378" t="s">
        <v>10020</v>
      </c>
      <c r="G2378" t="s">
        <v>10069</v>
      </c>
      <c r="H2378" s="6">
        <v>45098</v>
      </c>
      <c r="I2378">
        <f t="shared" si="74"/>
        <v>0</v>
      </c>
      <c r="J2378" t="str">
        <f t="shared" si="75"/>
        <v>Complete</v>
      </c>
      <c r="K2378">
        <f>COUNTIFS(RawData[Item], B2378,RawData[Quantity],C2378,RawData[Price Per Unit],D2378,RawData[Total Spent],E2378,RawData[Payment Method],F2378,RawData[Location],G2378,RawData[Transaction Date],H2378)</f>
        <v>1</v>
      </c>
      <c r="L2378"/>
    </row>
    <row r="2379" spans="1:12" x14ac:dyDescent="0.3">
      <c r="A2379" t="s">
        <v>2385</v>
      </c>
      <c r="B2379" t="s">
        <v>10009</v>
      </c>
      <c r="C2379">
        <v>5</v>
      </c>
      <c r="D2379">
        <v>3</v>
      </c>
      <c r="E2379">
        <v>15</v>
      </c>
      <c r="F2379" t="s">
        <v>10020</v>
      </c>
      <c r="G2379" t="s">
        <v>10102</v>
      </c>
      <c r="H2379" s="6">
        <v>45083</v>
      </c>
      <c r="I2379">
        <f t="shared" si="74"/>
        <v>0</v>
      </c>
      <c r="J2379" t="str">
        <f t="shared" si="75"/>
        <v>Complete</v>
      </c>
      <c r="K2379">
        <f>COUNTIFS(RawData[Item], B2379,RawData[Quantity],C2379,RawData[Price Per Unit],D2379,RawData[Total Spent],E2379,RawData[Payment Method],F2379,RawData[Location],G2379,RawData[Transaction Date],H2379)</f>
        <v>1</v>
      </c>
      <c r="L2379"/>
    </row>
    <row r="2380" spans="1:12" x14ac:dyDescent="0.3">
      <c r="A2380" t="s">
        <v>2386</v>
      </c>
      <c r="B2380" t="s">
        <v>10017</v>
      </c>
      <c r="C2380">
        <v>1</v>
      </c>
      <c r="D2380">
        <v>1.5</v>
      </c>
      <c r="E2380">
        <v>1.5</v>
      </c>
      <c r="F2380" t="s">
        <v>10018</v>
      </c>
      <c r="G2380" t="s">
        <v>10069</v>
      </c>
      <c r="H2380" s="6">
        <v>45049</v>
      </c>
      <c r="I2380">
        <f t="shared" si="74"/>
        <v>0</v>
      </c>
      <c r="J2380" t="str">
        <f t="shared" si="75"/>
        <v>Complete</v>
      </c>
      <c r="K2380">
        <f>COUNTIFS(RawData[Item], B2380,RawData[Quantity],C2380,RawData[Price Per Unit],D2380,RawData[Total Spent],E2380,RawData[Payment Method],F2380,RawData[Location],G2380,RawData[Transaction Date],H2380)</f>
        <v>1</v>
      </c>
      <c r="L2380"/>
    </row>
    <row r="2381" spans="1:12" x14ac:dyDescent="0.3">
      <c r="A2381" t="s">
        <v>2387</v>
      </c>
      <c r="B2381" t="s">
        <v>10008</v>
      </c>
      <c r="C2381">
        <v>2</v>
      </c>
      <c r="D2381">
        <v>2</v>
      </c>
      <c r="E2381">
        <v>4</v>
      </c>
      <c r="F2381" t="s">
        <v>10020</v>
      </c>
      <c r="G2381" t="s">
        <v>10021</v>
      </c>
      <c r="H2381" s="6">
        <v>45205</v>
      </c>
      <c r="I2381">
        <f t="shared" si="74"/>
        <v>0</v>
      </c>
      <c r="J2381" t="str">
        <f t="shared" si="75"/>
        <v>Complete</v>
      </c>
      <c r="K2381">
        <f>COUNTIFS(RawData[Item], B2381,RawData[Quantity],C2381,RawData[Price Per Unit],D2381,RawData[Total Spent],E2381,RawData[Payment Method],F2381,RawData[Location],G2381,RawData[Transaction Date],H2381)</f>
        <v>1</v>
      </c>
      <c r="L2381"/>
    </row>
    <row r="2382" spans="1:12" x14ac:dyDescent="0.3">
      <c r="A2382" t="s">
        <v>2388</v>
      </c>
      <c r="B2382" t="s">
        <v>10013</v>
      </c>
      <c r="C2382">
        <v>1</v>
      </c>
      <c r="D2382">
        <v>4</v>
      </c>
      <c r="E2382">
        <v>4</v>
      </c>
      <c r="F2382" t="s">
        <v>10019</v>
      </c>
      <c r="G2382" t="s">
        <v>10069</v>
      </c>
      <c r="H2382" s="6">
        <v>44990</v>
      </c>
      <c r="I2382">
        <f t="shared" si="74"/>
        <v>1</v>
      </c>
      <c r="J2382" t="str">
        <f t="shared" si="75"/>
        <v>Complete</v>
      </c>
      <c r="K2382">
        <f>COUNTIFS(RawData[Item], B2382,RawData[Quantity],C2382,RawData[Price Per Unit],D2382,RawData[Total Spent],E2382,RawData[Payment Method],F2382,RawData[Location],G2382,RawData[Transaction Date],H2382)</f>
        <v>1</v>
      </c>
      <c r="L2382"/>
    </row>
    <row r="2383" spans="1:12" x14ac:dyDescent="0.3">
      <c r="A2383" t="s">
        <v>2389</v>
      </c>
      <c r="B2383" t="s">
        <v>10010</v>
      </c>
      <c r="C2383">
        <v>2</v>
      </c>
      <c r="D2383">
        <v>1</v>
      </c>
      <c r="E2383">
        <v>2</v>
      </c>
      <c r="F2383" t="s">
        <v>10020</v>
      </c>
      <c r="G2383" t="s">
        <v>10021</v>
      </c>
      <c r="H2383" s="6">
        <v>45056</v>
      </c>
      <c r="I2383">
        <f t="shared" si="74"/>
        <v>0</v>
      </c>
      <c r="J2383" t="str">
        <f t="shared" si="75"/>
        <v>Complete</v>
      </c>
      <c r="K2383">
        <f>COUNTIFS(RawData[Item], B2383,RawData[Quantity],C2383,RawData[Price Per Unit],D2383,RawData[Total Spent],E2383,RawData[Payment Method],F2383,RawData[Location],G2383,RawData[Transaction Date],H2383)</f>
        <v>1</v>
      </c>
      <c r="L2383"/>
    </row>
    <row r="2384" spans="1:12" x14ac:dyDescent="0.3">
      <c r="A2384" t="s">
        <v>2390</v>
      </c>
      <c r="B2384" t="s">
        <v>10069</v>
      </c>
      <c r="C2384">
        <v>4</v>
      </c>
      <c r="D2384">
        <v>1</v>
      </c>
      <c r="E2384">
        <v>4</v>
      </c>
      <c r="F2384" t="s">
        <v>10018</v>
      </c>
      <c r="G2384" t="s">
        <v>10104</v>
      </c>
      <c r="H2384" s="6">
        <v>45043</v>
      </c>
      <c r="I2384">
        <f t="shared" si="74"/>
        <v>1</v>
      </c>
      <c r="J2384" t="str">
        <f t="shared" si="75"/>
        <v>Complete</v>
      </c>
      <c r="K2384">
        <f>COUNTIFS(RawData[Item], B2384,RawData[Quantity],C2384,RawData[Price Per Unit],D2384,RawData[Total Spent],E2384,RawData[Payment Method],F2384,RawData[Location],G2384,RawData[Transaction Date],H2384)</f>
        <v>1</v>
      </c>
      <c r="L2384"/>
    </row>
    <row r="2385" spans="1:12" x14ac:dyDescent="0.3">
      <c r="A2385" t="s">
        <v>2391</v>
      </c>
      <c r="B2385" t="s">
        <v>10069</v>
      </c>
      <c r="C2385">
        <v>5</v>
      </c>
      <c r="D2385">
        <v>4</v>
      </c>
      <c r="E2385">
        <v>20</v>
      </c>
      <c r="F2385" t="s">
        <v>10018</v>
      </c>
      <c r="G2385" t="s">
        <v>10102</v>
      </c>
      <c r="H2385" s="6">
        <v>45087</v>
      </c>
      <c r="I2385">
        <f t="shared" si="74"/>
        <v>0</v>
      </c>
      <c r="J2385" t="str">
        <f t="shared" si="75"/>
        <v>Complete</v>
      </c>
      <c r="K2385">
        <f>COUNTIFS(RawData[Item], B2385,RawData[Quantity],C2385,RawData[Price Per Unit],D2385,RawData[Total Spent],E2385,RawData[Payment Method],F2385,RawData[Location],G2385,RawData[Transaction Date],H2385)</f>
        <v>1</v>
      </c>
      <c r="L2385"/>
    </row>
    <row r="2386" spans="1:12" x14ac:dyDescent="0.3">
      <c r="A2386" t="s">
        <v>2392</v>
      </c>
      <c r="B2386" t="s">
        <v>10014</v>
      </c>
      <c r="C2386">
        <v>4</v>
      </c>
      <c r="D2386">
        <v>4</v>
      </c>
      <c r="E2386">
        <v>16</v>
      </c>
      <c r="F2386" t="s">
        <v>10069</v>
      </c>
      <c r="G2386" t="s">
        <v>10104</v>
      </c>
      <c r="H2386" s="6">
        <v>45123</v>
      </c>
      <c r="I2386">
        <f t="shared" si="74"/>
        <v>1</v>
      </c>
      <c r="J2386" t="str">
        <f t="shared" si="75"/>
        <v>Complete</v>
      </c>
      <c r="K2386">
        <f>COUNTIFS(RawData[Item], B2386,RawData[Quantity],C2386,RawData[Price Per Unit],D2386,RawData[Total Spent],E2386,RawData[Payment Method],F2386,RawData[Location],G2386,RawData[Transaction Date],H2386)</f>
        <v>1</v>
      </c>
      <c r="L2386"/>
    </row>
    <row r="2387" spans="1:12" x14ac:dyDescent="0.3">
      <c r="A2387" t="s">
        <v>2393</v>
      </c>
      <c r="B2387" t="s">
        <v>10014</v>
      </c>
      <c r="C2387">
        <v>2</v>
      </c>
      <c r="D2387">
        <v>4</v>
      </c>
      <c r="E2387">
        <v>8</v>
      </c>
      <c r="F2387" t="s">
        <v>10069</v>
      </c>
      <c r="G2387" t="s">
        <v>10069</v>
      </c>
      <c r="H2387" s="6">
        <v>45131</v>
      </c>
      <c r="I2387">
        <f t="shared" si="74"/>
        <v>0</v>
      </c>
      <c r="J2387" t="str">
        <f t="shared" si="75"/>
        <v>Complete</v>
      </c>
      <c r="K2387">
        <f>COUNTIFS(RawData[Item], B2387,RawData[Quantity],C2387,RawData[Price Per Unit],D2387,RawData[Total Spent],E2387,RawData[Payment Method],F2387,RawData[Location],G2387,RawData[Transaction Date],H2387)</f>
        <v>1</v>
      </c>
      <c r="L2387"/>
    </row>
    <row r="2388" spans="1:12" x14ac:dyDescent="0.3">
      <c r="A2388" t="s">
        <v>2394</v>
      </c>
      <c r="B2388" t="s">
        <v>10010</v>
      </c>
      <c r="C2388">
        <v>5</v>
      </c>
      <c r="D2388">
        <v>1</v>
      </c>
      <c r="E2388">
        <v>5</v>
      </c>
      <c r="F2388" t="s">
        <v>10018</v>
      </c>
      <c r="G2388" t="s">
        <v>10021</v>
      </c>
      <c r="H2388" s="6">
        <v>45264</v>
      </c>
      <c r="I2388">
        <f t="shared" si="74"/>
        <v>0</v>
      </c>
      <c r="J2388" t="str">
        <f t="shared" si="75"/>
        <v>Complete</v>
      </c>
      <c r="K2388">
        <f>COUNTIFS(RawData[Item], B2388,RawData[Quantity],C2388,RawData[Price Per Unit],D2388,RawData[Total Spent],E2388,RawData[Payment Method],F2388,RawData[Location],G2388,RawData[Transaction Date],H2388)</f>
        <v>1</v>
      </c>
      <c r="L2388"/>
    </row>
    <row r="2389" spans="1:12" x14ac:dyDescent="0.3">
      <c r="A2389" t="s">
        <v>2395</v>
      </c>
      <c r="B2389" t="s">
        <v>10017</v>
      </c>
      <c r="C2389">
        <v>3</v>
      </c>
      <c r="D2389">
        <v>1.5</v>
      </c>
      <c r="E2389">
        <v>4.5</v>
      </c>
      <c r="F2389" t="s">
        <v>10020</v>
      </c>
      <c r="G2389" t="s">
        <v>10069</v>
      </c>
      <c r="H2389" s="6">
        <v>45256</v>
      </c>
      <c r="I2389">
        <f t="shared" si="74"/>
        <v>0</v>
      </c>
      <c r="J2389" t="str">
        <f t="shared" si="75"/>
        <v>Complete</v>
      </c>
      <c r="K2389">
        <f>COUNTIFS(RawData[Item], B2389,RawData[Quantity],C2389,RawData[Price Per Unit],D2389,RawData[Total Spent],E2389,RawData[Payment Method],F2389,RawData[Location],G2389,RawData[Transaction Date],H2389)</f>
        <v>1</v>
      </c>
      <c r="L2389"/>
    </row>
    <row r="2390" spans="1:12" x14ac:dyDescent="0.3">
      <c r="A2390" t="s">
        <v>2396</v>
      </c>
      <c r="B2390" t="s">
        <v>10069</v>
      </c>
      <c r="C2390">
        <v>2</v>
      </c>
      <c r="D2390">
        <v>3</v>
      </c>
      <c r="E2390">
        <v>6</v>
      </c>
      <c r="F2390" t="s">
        <v>10018</v>
      </c>
      <c r="G2390" t="s">
        <v>10021</v>
      </c>
      <c r="H2390" s="6">
        <v>45084</v>
      </c>
      <c r="I2390">
        <f t="shared" si="74"/>
        <v>0</v>
      </c>
      <c r="J2390" t="str">
        <f t="shared" si="75"/>
        <v>Complete</v>
      </c>
      <c r="K2390">
        <f>COUNTIFS(RawData[Item], B2390,RawData[Quantity],C2390,RawData[Price Per Unit],D2390,RawData[Total Spent],E2390,RawData[Payment Method],F2390,RawData[Location],G2390,RawData[Transaction Date],H2390)</f>
        <v>1</v>
      </c>
      <c r="L2390"/>
    </row>
    <row r="2391" spans="1:12" x14ac:dyDescent="0.3">
      <c r="A2391" t="s">
        <v>2397</v>
      </c>
      <c r="B2391" t="s">
        <v>10008</v>
      </c>
      <c r="C2391">
        <v>3</v>
      </c>
      <c r="D2391">
        <v>2</v>
      </c>
      <c r="E2391">
        <v>6</v>
      </c>
      <c r="F2391" t="s">
        <v>10104</v>
      </c>
      <c r="G2391" t="s">
        <v>10102</v>
      </c>
      <c r="H2391" s="6">
        <v>44955</v>
      </c>
      <c r="I2391">
        <f t="shared" si="74"/>
        <v>1</v>
      </c>
      <c r="J2391" t="str">
        <f t="shared" si="75"/>
        <v>Complete</v>
      </c>
      <c r="K2391">
        <f>COUNTIFS(RawData[Item], B2391,RawData[Quantity],C2391,RawData[Price Per Unit],D2391,RawData[Total Spent],E2391,RawData[Payment Method],F2391,RawData[Location],G2391,RawData[Transaction Date],H2391)</f>
        <v>1</v>
      </c>
      <c r="L2391"/>
    </row>
    <row r="2392" spans="1:12" x14ac:dyDescent="0.3">
      <c r="A2392" t="s">
        <v>2398</v>
      </c>
      <c r="B2392" t="s">
        <v>10010</v>
      </c>
      <c r="C2392">
        <v>4</v>
      </c>
      <c r="D2392">
        <v>1</v>
      </c>
      <c r="E2392">
        <v>4</v>
      </c>
      <c r="F2392" t="s">
        <v>10069</v>
      </c>
      <c r="G2392" t="s">
        <v>10069</v>
      </c>
      <c r="H2392" s="6">
        <v>45118</v>
      </c>
      <c r="I2392">
        <f t="shared" si="74"/>
        <v>0</v>
      </c>
      <c r="J2392" t="str">
        <f t="shared" si="75"/>
        <v>Complete</v>
      </c>
      <c r="K2392">
        <f>COUNTIFS(RawData[Item], B2392,RawData[Quantity],C2392,RawData[Price Per Unit],D2392,RawData[Total Spent],E2392,RawData[Payment Method],F2392,RawData[Location],G2392,RawData[Transaction Date],H2392)</f>
        <v>1</v>
      </c>
      <c r="L2392"/>
    </row>
    <row r="2393" spans="1:12" x14ac:dyDescent="0.3">
      <c r="A2393" t="s">
        <v>2399</v>
      </c>
      <c r="B2393" t="s">
        <v>10069</v>
      </c>
      <c r="C2393">
        <v>1</v>
      </c>
      <c r="D2393">
        <v>5</v>
      </c>
      <c r="E2393">
        <v>5</v>
      </c>
      <c r="F2393" t="s">
        <v>10019</v>
      </c>
      <c r="G2393" t="s">
        <v>10021</v>
      </c>
      <c r="H2393" s="6">
        <v>45177</v>
      </c>
      <c r="I2393">
        <f t="shared" si="74"/>
        <v>0</v>
      </c>
      <c r="J2393" t="str">
        <f t="shared" si="75"/>
        <v>Complete</v>
      </c>
      <c r="K2393">
        <f>COUNTIFS(RawData[Item], B2393,RawData[Quantity],C2393,RawData[Price Per Unit],D2393,RawData[Total Spent],E2393,RawData[Payment Method],F2393,RawData[Location],G2393,RawData[Transaction Date],H2393)</f>
        <v>1</v>
      </c>
      <c r="L2393"/>
    </row>
    <row r="2394" spans="1:12" x14ac:dyDescent="0.3">
      <c r="A2394" t="s">
        <v>2400</v>
      </c>
      <c r="B2394" t="s">
        <v>10008</v>
      </c>
      <c r="C2394">
        <v>4</v>
      </c>
      <c r="D2394">
        <v>2</v>
      </c>
      <c r="E2394">
        <v>8</v>
      </c>
      <c r="F2394" t="s">
        <v>10020</v>
      </c>
      <c r="G2394" t="s">
        <v>10021</v>
      </c>
      <c r="H2394" s="6">
        <v>45006</v>
      </c>
      <c r="I2394">
        <f t="shared" si="74"/>
        <v>0</v>
      </c>
      <c r="J2394" t="str">
        <f t="shared" si="75"/>
        <v>Complete</v>
      </c>
      <c r="K2394">
        <f>COUNTIFS(RawData[Item], B2394,RawData[Quantity],C2394,RawData[Price Per Unit],D2394,RawData[Total Spent],E2394,RawData[Payment Method],F2394,RawData[Location],G2394,RawData[Transaction Date],H2394)</f>
        <v>1</v>
      </c>
      <c r="L2394"/>
    </row>
    <row r="2395" spans="1:12" x14ac:dyDescent="0.3">
      <c r="A2395" t="s">
        <v>2401</v>
      </c>
      <c r="B2395" t="s">
        <v>10010</v>
      </c>
      <c r="C2395">
        <v>5</v>
      </c>
      <c r="D2395">
        <v>1</v>
      </c>
      <c r="E2395">
        <v>5</v>
      </c>
      <c r="F2395" t="s">
        <v>10020</v>
      </c>
      <c r="G2395" t="s">
        <v>10102</v>
      </c>
      <c r="H2395" s="6">
        <v>45048</v>
      </c>
      <c r="I2395">
        <f t="shared" si="74"/>
        <v>0</v>
      </c>
      <c r="J2395" t="str">
        <f t="shared" si="75"/>
        <v>Complete</v>
      </c>
      <c r="K2395">
        <f>COUNTIFS(RawData[Item], B2395,RawData[Quantity],C2395,RawData[Price Per Unit],D2395,RawData[Total Spent],E2395,RawData[Payment Method],F2395,RawData[Location],G2395,RawData[Transaction Date],H2395)</f>
        <v>1</v>
      </c>
      <c r="L2395"/>
    </row>
    <row r="2396" spans="1:12" x14ac:dyDescent="0.3">
      <c r="A2396" t="s">
        <v>2402</v>
      </c>
      <c r="B2396" t="s">
        <v>10008</v>
      </c>
      <c r="C2396">
        <v>5</v>
      </c>
      <c r="D2396">
        <v>2</v>
      </c>
      <c r="E2396" t="s">
        <v>10013</v>
      </c>
      <c r="F2396" t="s">
        <v>10018</v>
      </c>
      <c r="G2396" t="s">
        <v>10021</v>
      </c>
      <c r="H2396" s="6">
        <v>45256</v>
      </c>
      <c r="I2396">
        <f t="shared" si="74"/>
        <v>1</v>
      </c>
      <c r="J2396" t="str">
        <f t="shared" si="75"/>
        <v>Complete</v>
      </c>
      <c r="K2396">
        <f>COUNTIFS(RawData[Item], B2396,RawData[Quantity],C2396,RawData[Price Per Unit],D2396,RawData[Total Spent],E2396,RawData[Payment Method],F2396,RawData[Location],G2396,RawData[Transaction Date],H2396)</f>
        <v>1</v>
      </c>
      <c r="L2396"/>
    </row>
    <row r="2397" spans="1:12" x14ac:dyDescent="0.3">
      <c r="A2397" t="s">
        <v>2403</v>
      </c>
      <c r="B2397" t="s">
        <v>10016</v>
      </c>
      <c r="C2397">
        <v>5</v>
      </c>
      <c r="D2397">
        <v>3</v>
      </c>
      <c r="E2397">
        <v>15</v>
      </c>
      <c r="F2397" t="s">
        <v>10020</v>
      </c>
      <c r="G2397" t="s">
        <v>10069</v>
      </c>
      <c r="H2397" s="6">
        <v>45057</v>
      </c>
      <c r="I2397">
        <f t="shared" si="74"/>
        <v>0</v>
      </c>
      <c r="J2397" t="str">
        <f t="shared" si="75"/>
        <v>Complete</v>
      </c>
      <c r="K2397">
        <f>COUNTIFS(RawData[Item], B2397,RawData[Quantity],C2397,RawData[Price Per Unit],D2397,RawData[Total Spent],E2397,RawData[Payment Method],F2397,RawData[Location],G2397,RawData[Transaction Date],H2397)</f>
        <v>1</v>
      </c>
      <c r="L2397"/>
    </row>
    <row r="2398" spans="1:12" x14ac:dyDescent="0.3">
      <c r="A2398" t="s">
        <v>2404</v>
      </c>
      <c r="B2398" t="s">
        <v>10014</v>
      </c>
      <c r="C2398">
        <v>4</v>
      </c>
      <c r="D2398" t="s">
        <v>10013</v>
      </c>
      <c r="E2398">
        <v>16</v>
      </c>
      <c r="F2398" t="s">
        <v>10019</v>
      </c>
      <c r="G2398" t="s">
        <v>10021</v>
      </c>
      <c r="H2398" s="6">
        <v>44972</v>
      </c>
      <c r="I2398">
        <f t="shared" si="74"/>
        <v>1</v>
      </c>
      <c r="J2398" t="str">
        <f t="shared" si="75"/>
        <v>Complete</v>
      </c>
      <c r="K2398">
        <f>COUNTIFS(RawData[Item], B2398,RawData[Quantity],C2398,RawData[Price Per Unit],D2398,RawData[Total Spent],E2398,RawData[Payment Method],F2398,RawData[Location],G2398,RawData[Transaction Date],H2398)</f>
        <v>1</v>
      </c>
      <c r="L2398"/>
    </row>
    <row r="2399" spans="1:12" x14ac:dyDescent="0.3">
      <c r="A2399" t="s">
        <v>2405</v>
      </c>
      <c r="B2399" t="s">
        <v>10016</v>
      </c>
      <c r="C2399">
        <v>1</v>
      </c>
      <c r="D2399">
        <v>3</v>
      </c>
      <c r="E2399">
        <v>3</v>
      </c>
      <c r="F2399" t="s">
        <v>10018</v>
      </c>
      <c r="G2399" t="s">
        <v>10069</v>
      </c>
      <c r="H2399" s="6">
        <v>45149</v>
      </c>
      <c r="I2399">
        <f t="shared" si="74"/>
        <v>0</v>
      </c>
      <c r="J2399" t="str">
        <f t="shared" si="75"/>
        <v>Complete</v>
      </c>
      <c r="K2399">
        <f>COUNTIFS(RawData[Item], B2399,RawData[Quantity],C2399,RawData[Price Per Unit],D2399,RawData[Total Spent],E2399,RawData[Payment Method],F2399,RawData[Location],G2399,RawData[Transaction Date],H2399)</f>
        <v>1</v>
      </c>
      <c r="L2399"/>
    </row>
    <row r="2400" spans="1:12" x14ac:dyDescent="0.3">
      <c r="A2400" t="s">
        <v>2406</v>
      </c>
      <c r="B2400" t="s">
        <v>10011</v>
      </c>
      <c r="C2400">
        <v>2</v>
      </c>
      <c r="D2400">
        <v>5</v>
      </c>
      <c r="E2400">
        <v>10</v>
      </c>
      <c r="F2400" t="s">
        <v>10019</v>
      </c>
      <c r="G2400" t="s">
        <v>10069</v>
      </c>
      <c r="H2400" s="6">
        <v>45209</v>
      </c>
      <c r="I2400">
        <f t="shared" si="74"/>
        <v>0</v>
      </c>
      <c r="J2400" t="str">
        <f t="shared" si="75"/>
        <v>Complete</v>
      </c>
      <c r="K2400">
        <f>COUNTIFS(RawData[Item], B2400,RawData[Quantity],C2400,RawData[Price Per Unit],D2400,RawData[Total Spent],E2400,RawData[Payment Method],F2400,RawData[Location],G2400,RawData[Transaction Date],H2400)</f>
        <v>1</v>
      </c>
      <c r="L2400"/>
    </row>
    <row r="2401" spans="1:12" x14ac:dyDescent="0.3">
      <c r="A2401" t="s">
        <v>2407</v>
      </c>
      <c r="B2401" t="s">
        <v>10011</v>
      </c>
      <c r="C2401">
        <v>5</v>
      </c>
      <c r="D2401">
        <v>5</v>
      </c>
      <c r="E2401">
        <v>25</v>
      </c>
      <c r="F2401" t="s">
        <v>10069</v>
      </c>
      <c r="G2401" t="s">
        <v>10069</v>
      </c>
      <c r="H2401" s="6">
        <v>45036</v>
      </c>
      <c r="I2401">
        <f t="shared" si="74"/>
        <v>0</v>
      </c>
      <c r="J2401" t="str">
        <f t="shared" si="75"/>
        <v>Complete</v>
      </c>
      <c r="K2401">
        <f>COUNTIFS(RawData[Item], B2401,RawData[Quantity],C2401,RawData[Price Per Unit],D2401,RawData[Total Spent],E2401,RawData[Payment Method],F2401,RawData[Location],G2401,RawData[Transaction Date],H2401)</f>
        <v>1</v>
      </c>
      <c r="L2401"/>
    </row>
    <row r="2402" spans="1:12" x14ac:dyDescent="0.3">
      <c r="A2402" t="s">
        <v>2408</v>
      </c>
      <c r="B2402" t="s">
        <v>10014</v>
      </c>
      <c r="C2402">
        <v>1</v>
      </c>
      <c r="D2402">
        <v>4</v>
      </c>
      <c r="E2402">
        <v>4</v>
      </c>
      <c r="F2402" t="s">
        <v>10018</v>
      </c>
      <c r="G2402" t="s">
        <v>10102</v>
      </c>
      <c r="H2402" s="6">
        <v>44951</v>
      </c>
      <c r="I2402">
        <f t="shared" si="74"/>
        <v>0</v>
      </c>
      <c r="J2402" t="str">
        <f t="shared" si="75"/>
        <v>Complete</v>
      </c>
      <c r="K2402">
        <f>COUNTIFS(RawData[Item], B2402,RawData[Quantity],C2402,RawData[Price Per Unit],D2402,RawData[Total Spent],E2402,RawData[Payment Method],F2402,RawData[Location],G2402,RawData[Transaction Date],H2402)</f>
        <v>1</v>
      </c>
      <c r="L2402"/>
    </row>
    <row r="2403" spans="1:12" x14ac:dyDescent="0.3">
      <c r="A2403" t="s">
        <v>2409</v>
      </c>
      <c r="B2403" t="s">
        <v>10008</v>
      </c>
      <c r="C2403">
        <v>3</v>
      </c>
      <c r="D2403">
        <v>2</v>
      </c>
      <c r="E2403">
        <v>6</v>
      </c>
      <c r="F2403" t="s">
        <v>10018</v>
      </c>
      <c r="G2403" t="s">
        <v>10021</v>
      </c>
      <c r="H2403" s="6">
        <v>45002</v>
      </c>
      <c r="I2403">
        <f t="shared" si="74"/>
        <v>0</v>
      </c>
      <c r="J2403" t="str">
        <f t="shared" si="75"/>
        <v>Complete</v>
      </c>
      <c r="K2403">
        <f>COUNTIFS(RawData[Item], B2403,RawData[Quantity],C2403,RawData[Price Per Unit],D2403,RawData[Total Spent],E2403,RawData[Payment Method],F2403,RawData[Location],G2403,RawData[Transaction Date],H2403)</f>
        <v>1</v>
      </c>
      <c r="L2403"/>
    </row>
    <row r="2404" spans="1:12" x14ac:dyDescent="0.3">
      <c r="A2404" t="s">
        <v>2410</v>
      </c>
      <c r="B2404" t="s">
        <v>10011</v>
      </c>
      <c r="C2404">
        <v>2</v>
      </c>
      <c r="D2404">
        <v>5</v>
      </c>
      <c r="E2404">
        <v>10</v>
      </c>
      <c r="F2404" t="s">
        <v>10020</v>
      </c>
      <c r="G2404" t="s">
        <v>10069</v>
      </c>
      <c r="H2404" s="6">
        <v>44978</v>
      </c>
      <c r="I2404">
        <f t="shared" si="74"/>
        <v>0</v>
      </c>
      <c r="J2404" t="str">
        <f t="shared" si="75"/>
        <v>Complete</v>
      </c>
      <c r="K2404">
        <f>COUNTIFS(RawData[Item], B2404,RawData[Quantity],C2404,RawData[Price Per Unit],D2404,RawData[Total Spent],E2404,RawData[Payment Method],F2404,RawData[Location],G2404,RawData[Transaction Date],H2404)</f>
        <v>1</v>
      </c>
      <c r="L2404"/>
    </row>
    <row r="2405" spans="1:12" x14ac:dyDescent="0.3">
      <c r="A2405" t="s">
        <v>2411</v>
      </c>
      <c r="B2405" t="s">
        <v>10011</v>
      </c>
      <c r="C2405">
        <v>1</v>
      </c>
      <c r="D2405">
        <v>5</v>
      </c>
      <c r="E2405">
        <v>5</v>
      </c>
      <c r="F2405" t="s">
        <v>10020</v>
      </c>
      <c r="G2405" t="s">
        <v>10021</v>
      </c>
      <c r="H2405" s="6">
        <v>44951</v>
      </c>
      <c r="I2405">
        <f t="shared" si="74"/>
        <v>0</v>
      </c>
      <c r="J2405" t="str">
        <f t="shared" si="75"/>
        <v>Complete</v>
      </c>
      <c r="K2405">
        <f>COUNTIFS(RawData[Item], B2405,RawData[Quantity],C2405,RawData[Price Per Unit],D2405,RawData[Total Spent],E2405,RawData[Payment Method],F2405,RawData[Location],G2405,RawData[Transaction Date],H2405)</f>
        <v>1</v>
      </c>
      <c r="L2405"/>
    </row>
    <row r="2406" spans="1:12" x14ac:dyDescent="0.3">
      <c r="A2406" t="s">
        <v>2412</v>
      </c>
      <c r="B2406" t="s">
        <v>10008</v>
      </c>
      <c r="C2406">
        <v>4</v>
      </c>
      <c r="D2406">
        <v>2</v>
      </c>
      <c r="E2406">
        <v>8</v>
      </c>
      <c r="F2406" t="s">
        <v>10069</v>
      </c>
      <c r="G2406" t="s">
        <v>10069</v>
      </c>
      <c r="H2406" s="6">
        <v>45205</v>
      </c>
      <c r="I2406">
        <f t="shared" si="74"/>
        <v>0</v>
      </c>
      <c r="J2406" t="str">
        <f t="shared" si="75"/>
        <v>Complete</v>
      </c>
      <c r="K2406">
        <f>COUNTIFS(RawData[Item], B2406,RawData[Quantity],C2406,RawData[Price Per Unit],D2406,RawData[Total Spent],E2406,RawData[Payment Method],F2406,RawData[Location],G2406,RawData[Transaction Date],H2406)</f>
        <v>1</v>
      </c>
      <c r="L2406"/>
    </row>
    <row r="2407" spans="1:12" x14ac:dyDescent="0.3">
      <c r="A2407" t="s">
        <v>2413</v>
      </c>
      <c r="B2407" t="s">
        <v>10016</v>
      </c>
      <c r="C2407">
        <v>4</v>
      </c>
      <c r="D2407">
        <v>3</v>
      </c>
      <c r="E2407" t="s">
        <v>10015</v>
      </c>
      <c r="F2407" t="s">
        <v>10104</v>
      </c>
      <c r="G2407" t="s">
        <v>10102</v>
      </c>
      <c r="H2407" s="6">
        <v>45017</v>
      </c>
      <c r="I2407">
        <f t="shared" si="74"/>
        <v>2</v>
      </c>
      <c r="J2407" t="str">
        <f t="shared" si="75"/>
        <v>Complete</v>
      </c>
      <c r="K2407">
        <f>COUNTIFS(RawData[Item], B2407,RawData[Quantity],C2407,RawData[Price Per Unit],D2407,RawData[Total Spent],E2407,RawData[Payment Method],F2407,RawData[Location],G2407,RawData[Transaction Date],H2407)</f>
        <v>1</v>
      </c>
      <c r="L2407"/>
    </row>
    <row r="2408" spans="1:12" x14ac:dyDescent="0.3">
      <c r="A2408" t="s">
        <v>2414</v>
      </c>
      <c r="B2408" t="s">
        <v>10012</v>
      </c>
      <c r="C2408">
        <v>4</v>
      </c>
      <c r="D2408">
        <v>4</v>
      </c>
      <c r="E2408">
        <v>16</v>
      </c>
      <c r="F2408" t="s">
        <v>10020</v>
      </c>
      <c r="G2408" t="s">
        <v>10104</v>
      </c>
      <c r="H2408" s="6">
        <v>44977</v>
      </c>
      <c r="I2408">
        <f t="shared" si="74"/>
        <v>1</v>
      </c>
      <c r="J2408" t="str">
        <f t="shared" si="75"/>
        <v>Complete</v>
      </c>
      <c r="K2408">
        <f>COUNTIFS(RawData[Item], B2408,RawData[Quantity],C2408,RawData[Price Per Unit],D2408,RawData[Total Spent],E2408,RawData[Payment Method],F2408,RawData[Location],G2408,RawData[Transaction Date],H2408)</f>
        <v>1</v>
      </c>
      <c r="L2408"/>
    </row>
    <row r="2409" spans="1:12" x14ac:dyDescent="0.3">
      <c r="A2409" t="s">
        <v>2415</v>
      </c>
      <c r="B2409" t="s">
        <v>10016</v>
      </c>
      <c r="C2409">
        <v>5</v>
      </c>
      <c r="D2409">
        <v>3</v>
      </c>
      <c r="E2409">
        <v>15</v>
      </c>
      <c r="F2409" t="s">
        <v>10018</v>
      </c>
      <c r="G2409" t="s">
        <v>10069</v>
      </c>
      <c r="H2409" s="6">
        <v>45222</v>
      </c>
      <c r="I2409">
        <f t="shared" si="74"/>
        <v>0</v>
      </c>
      <c r="J2409" t="str">
        <f t="shared" si="75"/>
        <v>Complete</v>
      </c>
      <c r="K2409">
        <f>COUNTIFS(RawData[Item], B2409,RawData[Quantity],C2409,RawData[Price Per Unit],D2409,RawData[Total Spent],E2409,RawData[Payment Method],F2409,RawData[Location],G2409,RawData[Transaction Date],H2409)</f>
        <v>1</v>
      </c>
      <c r="L2409"/>
    </row>
    <row r="2410" spans="1:12" x14ac:dyDescent="0.3">
      <c r="A2410" t="s">
        <v>2416</v>
      </c>
      <c r="B2410" t="s">
        <v>10011</v>
      </c>
      <c r="C2410">
        <v>1</v>
      </c>
      <c r="D2410">
        <v>5</v>
      </c>
      <c r="E2410">
        <v>5</v>
      </c>
      <c r="F2410" t="s">
        <v>10019</v>
      </c>
      <c r="G2410" t="s">
        <v>10102</v>
      </c>
      <c r="H2410" s="6">
        <v>45195</v>
      </c>
      <c r="I2410">
        <f t="shared" si="74"/>
        <v>0</v>
      </c>
      <c r="J2410" t="str">
        <f t="shared" si="75"/>
        <v>Complete</v>
      </c>
      <c r="K2410">
        <f>COUNTIFS(RawData[Item], B2410,RawData[Quantity],C2410,RawData[Price Per Unit],D2410,RawData[Total Spent],E2410,RawData[Payment Method],F2410,RawData[Location],G2410,RawData[Transaction Date],H2410)</f>
        <v>1</v>
      </c>
      <c r="L2410"/>
    </row>
    <row r="2411" spans="1:12" x14ac:dyDescent="0.3">
      <c r="A2411" t="s">
        <v>2417</v>
      </c>
      <c r="B2411" t="s">
        <v>10012</v>
      </c>
      <c r="C2411">
        <v>4</v>
      </c>
      <c r="D2411">
        <v>4</v>
      </c>
      <c r="E2411" t="s">
        <v>10015</v>
      </c>
      <c r="F2411" t="s">
        <v>10018</v>
      </c>
      <c r="G2411" t="s">
        <v>10021</v>
      </c>
      <c r="H2411" s="6">
        <v>45238</v>
      </c>
      <c r="I2411">
        <f t="shared" si="74"/>
        <v>1</v>
      </c>
      <c r="J2411" t="str">
        <f t="shared" si="75"/>
        <v>Complete</v>
      </c>
      <c r="K2411">
        <f>COUNTIFS(RawData[Item], B2411,RawData[Quantity],C2411,RawData[Price Per Unit],D2411,RawData[Total Spent],E2411,RawData[Payment Method],F2411,RawData[Location],G2411,RawData[Transaction Date],H2411)</f>
        <v>1</v>
      </c>
      <c r="L2411"/>
    </row>
    <row r="2412" spans="1:12" x14ac:dyDescent="0.3">
      <c r="A2412" t="s">
        <v>2418</v>
      </c>
      <c r="B2412" t="s">
        <v>10009</v>
      </c>
      <c r="C2412">
        <v>4</v>
      </c>
      <c r="D2412">
        <v>3</v>
      </c>
      <c r="E2412">
        <v>12</v>
      </c>
      <c r="F2412" t="s">
        <v>10019</v>
      </c>
      <c r="G2412" t="s">
        <v>10021</v>
      </c>
      <c r="H2412" s="6">
        <v>45221</v>
      </c>
      <c r="I2412">
        <f t="shared" si="74"/>
        <v>0</v>
      </c>
      <c r="J2412" t="str">
        <f t="shared" si="75"/>
        <v>Complete</v>
      </c>
      <c r="K2412">
        <f>COUNTIFS(RawData[Item], B2412,RawData[Quantity],C2412,RawData[Price Per Unit],D2412,RawData[Total Spent],E2412,RawData[Payment Method],F2412,RawData[Location],G2412,RawData[Transaction Date],H2412)</f>
        <v>1</v>
      </c>
      <c r="L2412"/>
    </row>
    <row r="2413" spans="1:12" x14ac:dyDescent="0.3">
      <c r="A2413" t="s">
        <v>2419</v>
      </c>
      <c r="B2413" t="s">
        <v>10009</v>
      </c>
      <c r="C2413">
        <v>3</v>
      </c>
      <c r="D2413">
        <v>3</v>
      </c>
      <c r="E2413">
        <v>9</v>
      </c>
      <c r="F2413" t="s">
        <v>10020</v>
      </c>
      <c r="G2413" t="s">
        <v>10069</v>
      </c>
      <c r="H2413" s="6">
        <v>45037</v>
      </c>
      <c r="I2413">
        <f t="shared" si="74"/>
        <v>0</v>
      </c>
      <c r="J2413" t="str">
        <f t="shared" si="75"/>
        <v>Complete</v>
      </c>
      <c r="K2413">
        <f>COUNTIFS(RawData[Item], B2413,RawData[Quantity],C2413,RawData[Price Per Unit],D2413,RawData[Total Spent],E2413,RawData[Payment Method],F2413,RawData[Location],G2413,RawData[Transaction Date],H2413)</f>
        <v>1</v>
      </c>
      <c r="L2413"/>
    </row>
    <row r="2414" spans="1:12" x14ac:dyDescent="0.3">
      <c r="A2414" t="s">
        <v>2420</v>
      </c>
      <c r="B2414" t="s">
        <v>10014</v>
      </c>
      <c r="C2414">
        <v>1</v>
      </c>
      <c r="D2414">
        <v>4</v>
      </c>
      <c r="E2414">
        <v>4</v>
      </c>
      <c r="F2414" t="s">
        <v>10069</v>
      </c>
      <c r="G2414" t="s">
        <v>10102</v>
      </c>
      <c r="H2414" s="6">
        <v>45137</v>
      </c>
      <c r="I2414">
        <f t="shared" si="74"/>
        <v>0</v>
      </c>
      <c r="J2414" t="str">
        <f t="shared" si="75"/>
        <v>Complete</v>
      </c>
      <c r="K2414">
        <f>COUNTIFS(RawData[Item], B2414,RawData[Quantity],C2414,RawData[Price Per Unit],D2414,RawData[Total Spent],E2414,RawData[Payment Method],F2414,RawData[Location],G2414,RawData[Transaction Date],H2414)</f>
        <v>1</v>
      </c>
      <c r="L2414"/>
    </row>
    <row r="2415" spans="1:12" x14ac:dyDescent="0.3">
      <c r="A2415" t="s">
        <v>2421</v>
      </c>
      <c r="B2415" t="s">
        <v>10017</v>
      </c>
      <c r="C2415">
        <v>5</v>
      </c>
      <c r="D2415">
        <v>1.5</v>
      </c>
      <c r="E2415">
        <v>7.5</v>
      </c>
      <c r="F2415" t="s">
        <v>10018</v>
      </c>
      <c r="G2415" t="s">
        <v>10103</v>
      </c>
      <c r="H2415" s="6">
        <v>44952</v>
      </c>
      <c r="I2415">
        <f t="shared" si="74"/>
        <v>1</v>
      </c>
      <c r="J2415" t="str">
        <f t="shared" si="75"/>
        <v>Complete</v>
      </c>
      <c r="K2415">
        <f>COUNTIFS(RawData[Item], B2415,RawData[Quantity],C2415,RawData[Price Per Unit],D2415,RawData[Total Spent],E2415,RawData[Payment Method],F2415,RawData[Location],G2415,RawData[Transaction Date],H2415)</f>
        <v>1</v>
      </c>
      <c r="L2415"/>
    </row>
    <row r="2416" spans="1:12" x14ac:dyDescent="0.3">
      <c r="A2416" t="s">
        <v>2422</v>
      </c>
      <c r="B2416" t="s">
        <v>10008</v>
      </c>
      <c r="C2416">
        <v>3</v>
      </c>
      <c r="D2416">
        <v>2</v>
      </c>
      <c r="E2416">
        <v>6</v>
      </c>
      <c r="F2416" t="s">
        <v>10020</v>
      </c>
      <c r="G2416" t="s">
        <v>10102</v>
      </c>
      <c r="H2416" s="6">
        <v>45148</v>
      </c>
      <c r="I2416">
        <f t="shared" si="74"/>
        <v>0</v>
      </c>
      <c r="J2416" t="str">
        <f t="shared" si="75"/>
        <v>Complete</v>
      </c>
      <c r="K2416">
        <f>COUNTIFS(RawData[Item], B2416,RawData[Quantity],C2416,RawData[Price Per Unit],D2416,RawData[Total Spent],E2416,RawData[Payment Method],F2416,RawData[Location],G2416,RawData[Transaction Date],H2416)</f>
        <v>1</v>
      </c>
      <c r="L2416"/>
    </row>
    <row r="2417" spans="1:12" x14ac:dyDescent="0.3">
      <c r="A2417" t="s">
        <v>2423</v>
      </c>
      <c r="B2417" t="s">
        <v>10069</v>
      </c>
      <c r="C2417">
        <v>1</v>
      </c>
      <c r="D2417">
        <v>2</v>
      </c>
      <c r="E2417">
        <v>2</v>
      </c>
      <c r="F2417" t="s">
        <v>10018</v>
      </c>
      <c r="G2417" t="s">
        <v>10102</v>
      </c>
      <c r="H2417" s="6">
        <v>45171</v>
      </c>
      <c r="I2417">
        <f t="shared" si="74"/>
        <v>0</v>
      </c>
      <c r="J2417" t="str">
        <f t="shared" si="75"/>
        <v>Complete</v>
      </c>
      <c r="K2417">
        <f>COUNTIFS(RawData[Item], B2417,RawData[Quantity],C2417,RawData[Price Per Unit],D2417,RawData[Total Spent],E2417,RawData[Payment Method],F2417,RawData[Location],G2417,RawData[Transaction Date],H2417)</f>
        <v>1</v>
      </c>
      <c r="L2417"/>
    </row>
    <row r="2418" spans="1:12" x14ac:dyDescent="0.3">
      <c r="A2418" t="s">
        <v>2424</v>
      </c>
      <c r="B2418" t="s">
        <v>10017</v>
      </c>
      <c r="C2418">
        <v>2</v>
      </c>
      <c r="D2418">
        <v>1.5</v>
      </c>
      <c r="E2418">
        <v>3</v>
      </c>
      <c r="F2418" t="s">
        <v>10018</v>
      </c>
      <c r="G2418" t="s">
        <v>10069</v>
      </c>
      <c r="H2418" s="6">
        <v>45280</v>
      </c>
      <c r="I2418">
        <f t="shared" si="74"/>
        <v>0</v>
      </c>
      <c r="J2418" t="str">
        <f t="shared" si="75"/>
        <v>Complete</v>
      </c>
      <c r="K2418">
        <f>COUNTIFS(RawData[Item], B2418,RawData[Quantity],C2418,RawData[Price Per Unit],D2418,RawData[Total Spent],E2418,RawData[Payment Method],F2418,RawData[Location],G2418,RawData[Transaction Date],H2418)</f>
        <v>1</v>
      </c>
      <c r="L2418"/>
    </row>
    <row r="2419" spans="1:12" x14ac:dyDescent="0.3">
      <c r="A2419" t="s">
        <v>2425</v>
      </c>
      <c r="B2419" t="s">
        <v>10012</v>
      </c>
      <c r="C2419">
        <v>1</v>
      </c>
      <c r="D2419">
        <v>4</v>
      </c>
      <c r="E2419">
        <v>4</v>
      </c>
      <c r="F2419" t="s">
        <v>10019</v>
      </c>
      <c r="G2419" t="s">
        <v>10102</v>
      </c>
      <c r="H2419" s="6">
        <v>45076</v>
      </c>
      <c r="I2419">
        <f t="shared" si="74"/>
        <v>0</v>
      </c>
      <c r="J2419" t="str">
        <f t="shared" si="75"/>
        <v>Complete</v>
      </c>
      <c r="K2419">
        <f>COUNTIFS(RawData[Item], B2419,RawData[Quantity],C2419,RawData[Price Per Unit],D2419,RawData[Total Spent],E2419,RawData[Payment Method],F2419,RawData[Location],G2419,RawData[Transaction Date],H2419)</f>
        <v>1</v>
      </c>
      <c r="L2419"/>
    </row>
    <row r="2420" spans="1:12" x14ac:dyDescent="0.3">
      <c r="A2420" t="s">
        <v>2426</v>
      </c>
      <c r="B2420" t="s">
        <v>10014</v>
      </c>
      <c r="C2420">
        <v>4</v>
      </c>
      <c r="D2420">
        <v>4</v>
      </c>
      <c r="E2420">
        <v>16</v>
      </c>
      <c r="F2420" t="s">
        <v>10069</v>
      </c>
      <c r="G2420" t="s">
        <v>10069</v>
      </c>
      <c r="H2420" s="6">
        <v>45181</v>
      </c>
      <c r="I2420">
        <f t="shared" si="74"/>
        <v>0</v>
      </c>
      <c r="J2420" t="str">
        <f t="shared" si="75"/>
        <v>Complete</v>
      </c>
      <c r="K2420">
        <f>COUNTIFS(RawData[Item], B2420,RawData[Quantity],C2420,RawData[Price Per Unit],D2420,RawData[Total Spent],E2420,RawData[Payment Method],F2420,RawData[Location],G2420,RawData[Transaction Date],H2420)</f>
        <v>1</v>
      </c>
      <c r="L2420"/>
    </row>
    <row r="2421" spans="1:12" x14ac:dyDescent="0.3">
      <c r="A2421" t="s">
        <v>2427</v>
      </c>
      <c r="B2421" t="s">
        <v>10010</v>
      </c>
      <c r="C2421">
        <v>2</v>
      </c>
      <c r="D2421" t="s">
        <v>10015</v>
      </c>
      <c r="E2421">
        <v>2</v>
      </c>
      <c r="F2421" t="s">
        <v>10019</v>
      </c>
      <c r="G2421" t="s">
        <v>10069</v>
      </c>
      <c r="H2421" s="6">
        <v>44943</v>
      </c>
      <c r="I2421">
        <f t="shared" si="74"/>
        <v>1</v>
      </c>
      <c r="J2421" t="str">
        <f t="shared" si="75"/>
        <v>Complete</v>
      </c>
      <c r="K2421">
        <f>COUNTIFS(RawData[Item], B2421,RawData[Quantity],C2421,RawData[Price Per Unit],D2421,RawData[Total Spent],E2421,RawData[Payment Method],F2421,RawData[Location],G2421,RawData[Transaction Date],H2421)</f>
        <v>1</v>
      </c>
      <c r="L2421"/>
    </row>
    <row r="2422" spans="1:12" x14ac:dyDescent="0.3">
      <c r="A2422" t="s">
        <v>2428</v>
      </c>
      <c r="B2422" t="s">
        <v>10012</v>
      </c>
      <c r="C2422">
        <v>5</v>
      </c>
      <c r="D2422">
        <v>4</v>
      </c>
      <c r="E2422">
        <v>20</v>
      </c>
      <c r="F2422" t="s">
        <v>10019</v>
      </c>
      <c r="G2422" t="s">
        <v>10104</v>
      </c>
      <c r="H2422" s="6">
        <v>45239</v>
      </c>
      <c r="I2422">
        <f t="shared" si="74"/>
        <v>1</v>
      </c>
      <c r="J2422" t="str">
        <f t="shared" si="75"/>
        <v>Complete</v>
      </c>
      <c r="K2422">
        <f>COUNTIFS(RawData[Item], B2422,RawData[Quantity],C2422,RawData[Price Per Unit],D2422,RawData[Total Spent],E2422,RawData[Payment Method],F2422,RawData[Location],G2422,RawData[Transaction Date],H2422)</f>
        <v>1</v>
      </c>
      <c r="L2422"/>
    </row>
    <row r="2423" spans="1:12" x14ac:dyDescent="0.3">
      <c r="A2423" t="s">
        <v>2429</v>
      </c>
      <c r="B2423" t="s">
        <v>10009</v>
      </c>
      <c r="C2423">
        <v>3</v>
      </c>
      <c r="D2423">
        <v>3</v>
      </c>
      <c r="E2423">
        <v>9</v>
      </c>
      <c r="F2423" t="s">
        <v>10019</v>
      </c>
      <c r="G2423" t="s">
        <v>10069</v>
      </c>
      <c r="H2423" s="6">
        <v>44982</v>
      </c>
      <c r="I2423">
        <f t="shared" si="74"/>
        <v>0</v>
      </c>
      <c r="J2423" t="str">
        <f t="shared" si="75"/>
        <v>Complete</v>
      </c>
      <c r="K2423">
        <f>COUNTIFS(RawData[Item], B2423,RawData[Quantity],C2423,RawData[Price Per Unit],D2423,RawData[Total Spent],E2423,RawData[Payment Method],F2423,RawData[Location],G2423,RawData[Transaction Date],H2423)</f>
        <v>1</v>
      </c>
      <c r="L2423"/>
    </row>
    <row r="2424" spans="1:12" x14ac:dyDescent="0.3">
      <c r="A2424" t="s">
        <v>2430</v>
      </c>
      <c r="B2424" t="s">
        <v>10009</v>
      </c>
      <c r="C2424">
        <v>1</v>
      </c>
      <c r="D2424">
        <v>3</v>
      </c>
      <c r="E2424">
        <v>3</v>
      </c>
      <c r="F2424" t="s">
        <v>10020</v>
      </c>
      <c r="G2424" t="s">
        <v>10104</v>
      </c>
      <c r="H2424" s="6">
        <v>44937</v>
      </c>
      <c r="I2424">
        <f t="shared" si="74"/>
        <v>1</v>
      </c>
      <c r="J2424" t="str">
        <f t="shared" si="75"/>
        <v>Complete</v>
      </c>
      <c r="K2424">
        <f>COUNTIFS(RawData[Item], B2424,RawData[Quantity],C2424,RawData[Price Per Unit],D2424,RawData[Total Spent],E2424,RawData[Payment Method],F2424,RawData[Location],G2424,RawData[Transaction Date],H2424)</f>
        <v>1</v>
      </c>
      <c r="L2424"/>
    </row>
    <row r="2425" spans="1:12" x14ac:dyDescent="0.3">
      <c r="A2425" t="s">
        <v>2431</v>
      </c>
      <c r="B2425" t="s">
        <v>10009</v>
      </c>
      <c r="C2425">
        <v>5</v>
      </c>
      <c r="D2425">
        <v>3</v>
      </c>
      <c r="E2425">
        <v>15</v>
      </c>
      <c r="F2425" t="s">
        <v>10069</v>
      </c>
      <c r="G2425" t="s">
        <v>10021</v>
      </c>
      <c r="H2425" s="6">
        <v>44972</v>
      </c>
      <c r="I2425">
        <f t="shared" si="74"/>
        <v>0</v>
      </c>
      <c r="J2425" t="str">
        <f t="shared" si="75"/>
        <v>Complete</v>
      </c>
      <c r="K2425">
        <f>COUNTIFS(RawData[Item], B2425,RawData[Quantity],C2425,RawData[Price Per Unit],D2425,RawData[Total Spent],E2425,RawData[Payment Method],F2425,RawData[Location],G2425,RawData[Transaction Date],H2425)</f>
        <v>1</v>
      </c>
      <c r="L2425"/>
    </row>
    <row r="2426" spans="1:12" x14ac:dyDescent="0.3">
      <c r="A2426" t="s">
        <v>2432</v>
      </c>
      <c r="B2426" t="s">
        <v>10017</v>
      </c>
      <c r="C2426">
        <v>4</v>
      </c>
      <c r="D2426">
        <v>1.5</v>
      </c>
      <c r="E2426">
        <v>6</v>
      </c>
      <c r="F2426" t="s">
        <v>10019</v>
      </c>
      <c r="G2426" t="s">
        <v>10069</v>
      </c>
      <c r="H2426" s="6" t="s">
        <v>10112</v>
      </c>
      <c r="I2426">
        <f t="shared" si="74"/>
        <v>1</v>
      </c>
      <c r="J2426" t="str">
        <f t="shared" si="75"/>
        <v>Incomplete</v>
      </c>
      <c r="K2426">
        <f>COUNTIFS(RawData[Item], B2426,RawData[Quantity],C2426,RawData[Price Per Unit],D2426,RawData[Total Spent],E2426,RawData[Payment Method],F2426,RawData[Location],G2426,RawData[Transaction Date],H2426)</f>
        <v>1</v>
      </c>
      <c r="L2426"/>
    </row>
    <row r="2427" spans="1:12" x14ac:dyDescent="0.3">
      <c r="A2427" t="s">
        <v>2433</v>
      </c>
      <c r="B2427" t="s">
        <v>10014</v>
      </c>
      <c r="C2427">
        <v>2</v>
      </c>
      <c r="D2427">
        <v>4</v>
      </c>
      <c r="E2427">
        <v>8</v>
      </c>
      <c r="F2427" t="s">
        <v>10018</v>
      </c>
      <c r="G2427" t="s">
        <v>10069</v>
      </c>
      <c r="H2427" s="6">
        <v>45002</v>
      </c>
      <c r="I2427">
        <f t="shared" si="74"/>
        <v>0</v>
      </c>
      <c r="J2427" t="str">
        <f t="shared" si="75"/>
        <v>Complete</v>
      </c>
      <c r="K2427">
        <f>COUNTIFS(RawData[Item], B2427,RawData[Quantity],C2427,RawData[Price Per Unit],D2427,RawData[Total Spent],E2427,RawData[Payment Method],F2427,RawData[Location],G2427,RawData[Transaction Date],H2427)</f>
        <v>1</v>
      </c>
      <c r="L2427"/>
    </row>
    <row r="2428" spans="1:12" x14ac:dyDescent="0.3">
      <c r="A2428" t="s">
        <v>2434</v>
      </c>
      <c r="B2428" t="s">
        <v>10011</v>
      </c>
      <c r="C2428">
        <v>4</v>
      </c>
      <c r="D2428">
        <v>5</v>
      </c>
      <c r="E2428">
        <v>20</v>
      </c>
      <c r="F2428" t="s">
        <v>10069</v>
      </c>
      <c r="G2428" t="s">
        <v>10102</v>
      </c>
      <c r="H2428" s="6">
        <v>45183</v>
      </c>
      <c r="I2428">
        <f t="shared" si="74"/>
        <v>0</v>
      </c>
      <c r="J2428" t="str">
        <f t="shared" si="75"/>
        <v>Complete</v>
      </c>
      <c r="K2428">
        <f>COUNTIFS(RawData[Item], B2428,RawData[Quantity],C2428,RawData[Price Per Unit],D2428,RawData[Total Spent],E2428,RawData[Payment Method],F2428,RawData[Location],G2428,RawData[Transaction Date],H2428)</f>
        <v>1</v>
      </c>
      <c r="L2428"/>
    </row>
    <row r="2429" spans="1:12" x14ac:dyDescent="0.3">
      <c r="A2429" t="s">
        <v>2435</v>
      </c>
      <c r="B2429" t="s">
        <v>10008</v>
      </c>
      <c r="C2429">
        <v>3</v>
      </c>
      <c r="D2429">
        <v>2</v>
      </c>
      <c r="E2429">
        <v>6</v>
      </c>
      <c r="F2429" t="s">
        <v>10069</v>
      </c>
      <c r="G2429" t="s">
        <v>10102</v>
      </c>
      <c r="H2429" s="6">
        <v>45067</v>
      </c>
      <c r="I2429">
        <f t="shared" si="74"/>
        <v>0</v>
      </c>
      <c r="J2429" t="str">
        <f t="shared" si="75"/>
        <v>Complete</v>
      </c>
      <c r="K2429">
        <f>COUNTIFS(RawData[Item], B2429,RawData[Quantity],C2429,RawData[Price Per Unit],D2429,RawData[Total Spent],E2429,RawData[Payment Method],F2429,RawData[Location],G2429,RawData[Transaction Date],H2429)</f>
        <v>1</v>
      </c>
      <c r="L2429"/>
    </row>
    <row r="2430" spans="1:12" x14ac:dyDescent="0.3">
      <c r="A2430" t="s">
        <v>2436</v>
      </c>
      <c r="B2430" t="s">
        <v>10017</v>
      </c>
      <c r="C2430">
        <v>5</v>
      </c>
      <c r="D2430">
        <v>1.5</v>
      </c>
      <c r="E2430">
        <v>7.5</v>
      </c>
      <c r="F2430" t="s">
        <v>10019</v>
      </c>
      <c r="G2430" t="s">
        <v>10021</v>
      </c>
      <c r="H2430" s="6">
        <v>45215</v>
      </c>
      <c r="I2430">
        <f t="shared" si="74"/>
        <v>0</v>
      </c>
      <c r="J2430" t="str">
        <f t="shared" si="75"/>
        <v>Complete</v>
      </c>
      <c r="K2430">
        <f>COUNTIFS(RawData[Item], B2430,RawData[Quantity],C2430,RawData[Price Per Unit],D2430,RawData[Total Spent],E2430,RawData[Payment Method],F2430,RawData[Location],G2430,RawData[Transaction Date],H2430)</f>
        <v>1</v>
      </c>
      <c r="L2430"/>
    </row>
    <row r="2431" spans="1:12" x14ac:dyDescent="0.3">
      <c r="A2431" t="s">
        <v>2437</v>
      </c>
      <c r="B2431" t="s">
        <v>10010</v>
      </c>
      <c r="C2431">
        <v>2</v>
      </c>
      <c r="D2431">
        <v>1</v>
      </c>
      <c r="E2431">
        <v>2</v>
      </c>
      <c r="F2431" t="s">
        <v>10018</v>
      </c>
      <c r="G2431" t="s">
        <v>10103</v>
      </c>
      <c r="H2431" s="6">
        <v>45006</v>
      </c>
      <c r="I2431">
        <f t="shared" si="74"/>
        <v>1</v>
      </c>
      <c r="J2431" t="str">
        <f t="shared" si="75"/>
        <v>Complete</v>
      </c>
      <c r="K2431">
        <f>COUNTIFS(RawData[Item], B2431,RawData[Quantity],C2431,RawData[Price Per Unit],D2431,RawData[Total Spent],E2431,RawData[Payment Method],F2431,RawData[Location],G2431,RawData[Transaction Date],H2431)</f>
        <v>1</v>
      </c>
      <c r="L2431"/>
    </row>
    <row r="2432" spans="1:12" x14ac:dyDescent="0.3">
      <c r="A2432" t="s">
        <v>2438</v>
      </c>
      <c r="B2432" t="s">
        <v>10011</v>
      </c>
      <c r="C2432">
        <v>5</v>
      </c>
      <c r="D2432">
        <v>5</v>
      </c>
      <c r="E2432">
        <v>25</v>
      </c>
      <c r="F2432" t="s">
        <v>10018</v>
      </c>
      <c r="G2432" t="s">
        <v>10069</v>
      </c>
      <c r="H2432" s="6">
        <v>45064</v>
      </c>
      <c r="I2432">
        <f t="shared" si="74"/>
        <v>0</v>
      </c>
      <c r="J2432" t="str">
        <f t="shared" si="75"/>
        <v>Complete</v>
      </c>
      <c r="K2432">
        <f>COUNTIFS(RawData[Item], B2432,RawData[Quantity],C2432,RawData[Price Per Unit],D2432,RawData[Total Spent],E2432,RawData[Payment Method],F2432,RawData[Location],G2432,RawData[Transaction Date],H2432)</f>
        <v>1</v>
      </c>
      <c r="L2432"/>
    </row>
    <row r="2433" spans="1:12" x14ac:dyDescent="0.3">
      <c r="A2433" t="s">
        <v>2439</v>
      </c>
      <c r="B2433" t="s">
        <v>10008</v>
      </c>
      <c r="C2433">
        <v>4</v>
      </c>
      <c r="D2433">
        <v>2</v>
      </c>
      <c r="E2433">
        <v>8</v>
      </c>
      <c r="F2433" t="s">
        <v>10069</v>
      </c>
      <c r="G2433" t="s">
        <v>10102</v>
      </c>
      <c r="H2433" s="6">
        <v>44972</v>
      </c>
      <c r="I2433">
        <f t="shared" si="74"/>
        <v>0</v>
      </c>
      <c r="J2433" t="str">
        <f t="shared" si="75"/>
        <v>Complete</v>
      </c>
      <c r="K2433">
        <f>COUNTIFS(RawData[Item], B2433,RawData[Quantity],C2433,RawData[Price Per Unit],D2433,RawData[Total Spent],E2433,RawData[Payment Method],F2433,RawData[Location],G2433,RawData[Transaction Date],H2433)</f>
        <v>1</v>
      </c>
      <c r="L2433"/>
    </row>
    <row r="2434" spans="1:12" x14ac:dyDescent="0.3">
      <c r="A2434" t="s">
        <v>2440</v>
      </c>
      <c r="B2434" t="s">
        <v>10010</v>
      </c>
      <c r="C2434">
        <v>5</v>
      </c>
      <c r="D2434">
        <v>1</v>
      </c>
      <c r="E2434">
        <v>5</v>
      </c>
      <c r="F2434" t="s">
        <v>10069</v>
      </c>
      <c r="G2434" t="s">
        <v>10069</v>
      </c>
      <c r="H2434" s="6">
        <v>45224</v>
      </c>
      <c r="I2434">
        <f t="shared" ref="I2434:I2497" si="76">(B2434="Unknown")+(B2434="Error")+(C2434="Unknown")+(C2434="Error")+(D2434="Unknown")+(D2434="Error")+(E2434="Unknown")+(E2434="Error")+(F2434="Unknown")+(F2434="Error")+(G2434="Unknown")+(G2434="Error")+(H2434="No Date")</f>
        <v>0</v>
      </c>
      <c r="J2434" t="str">
        <f t="shared" ref="J2434:J2497" si="77">IF((H2434="No Date"),"Incomplete","Complete")</f>
        <v>Complete</v>
      </c>
      <c r="K2434">
        <f>COUNTIFS(RawData[Item], B2434,RawData[Quantity],C2434,RawData[Price Per Unit],D2434,RawData[Total Spent],E2434,RawData[Payment Method],F2434,RawData[Location],G2434,RawData[Transaction Date],H2434)</f>
        <v>1</v>
      </c>
      <c r="L2434"/>
    </row>
    <row r="2435" spans="1:12" x14ac:dyDescent="0.3">
      <c r="A2435" t="s">
        <v>2441</v>
      </c>
      <c r="B2435" t="s">
        <v>10069</v>
      </c>
      <c r="C2435">
        <v>3</v>
      </c>
      <c r="D2435">
        <v>1</v>
      </c>
      <c r="E2435">
        <v>0</v>
      </c>
      <c r="F2435" t="s">
        <v>10020</v>
      </c>
      <c r="G2435" t="s">
        <v>10021</v>
      </c>
      <c r="H2435" s="6">
        <v>45036</v>
      </c>
      <c r="I2435">
        <f t="shared" si="76"/>
        <v>0</v>
      </c>
      <c r="J2435" t="str">
        <f t="shared" si="77"/>
        <v>Complete</v>
      </c>
      <c r="K2435">
        <f>COUNTIFS(RawData[Item], B2435,RawData[Quantity],C2435,RawData[Price Per Unit],D2435,RawData[Total Spent],E2435,RawData[Payment Method],F2435,RawData[Location],G2435,RawData[Transaction Date],H2435)</f>
        <v>1</v>
      </c>
      <c r="L2435"/>
    </row>
    <row r="2436" spans="1:12" x14ac:dyDescent="0.3">
      <c r="A2436" t="s">
        <v>2442</v>
      </c>
      <c r="B2436" t="s">
        <v>10009</v>
      </c>
      <c r="C2436">
        <v>5</v>
      </c>
      <c r="D2436">
        <v>3</v>
      </c>
      <c r="E2436">
        <v>15</v>
      </c>
      <c r="F2436" t="s">
        <v>10018</v>
      </c>
      <c r="G2436" t="s">
        <v>10104</v>
      </c>
      <c r="H2436" s="6">
        <v>45040</v>
      </c>
      <c r="I2436">
        <f t="shared" si="76"/>
        <v>1</v>
      </c>
      <c r="J2436" t="str">
        <f t="shared" si="77"/>
        <v>Complete</v>
      </c>
      <c r="K2436">
        <f>COUNTIFS(RawData[Item], B2436,RawData[Quantity],C2436,RawData[Price Per Unit],D2436,RawData[Total Spent],E2436,RawData[Payment Method],F2436,RawData[Location],G2436,RawData[Transaction Date],H2436)</f>
        <v>1</v>
      </c>
      <c r="L2436"/>
    </row>
    <row r="2437" spans="1:12" x14ac:dyDescent="0.3">
      <c r="A2437" t="s">
        <v>2443</v>
      </c>
      <c r="B2437" t="s">
        <v>10010</v>
      </c>
      <c r="C2437">
        <v>2</v>
      </c>
      <c r="D2437">
        <v>1</v>
      </c>
      <c r="E2437">
        <v>2</v>
      </c>
      <c r="F2437" t="s">
        <v>10069</v>
      </c>
      <c r="G2437" t="s">
        <v>10069</v>
      </c>
      <c r="H2437" s="6">
        <v>45123</v>
      </c>
      <c r="I2437">
        <f t="shared" si="76"/>
        <v>0</v>
      </c>
      <c r="J2437" t="str">
        <f t="shared" si="77"/>
        <v>Complete</v>
      </c>
      <c r="K2437">
        <f>COUNTIFS(RawData[Item], B2437,RawData[Quantity],C2437,RawData[Price Per Unit],D2437,RawData[Total Spent],E2437,RawData[Payment Method],F2437,RawData[Location],G2437,RawData[Transaction Date],H2437)</f>
        <v>1</v>
      </c>
      <c r="L2437"/>
    </row>
    <row r="2438" spans="1:12" x14ac:dyDescent="0.3">
      <c r="A2438" t="s">
        <v>2444</v>
      </c>
      <c r="B2438" t="s">
        <v>10012</v>
      </c>
      <c r="C2438" t="s">
        <v>10015</v>
      </c>
      <c r="D2438">
        <v>4</v>
      </c>
      <c r="E2438">
        <v>20</v>
      </c>
      <c r="F2438" t="s">
        <v>10019</v>
      </c>
      <c r="G2438" t="s">
        <v>10069</v>
      </c>
      <c r="H2438" s="6">
        <v>44928</v>
      </c>
      <c r="I2438">
        <f t="shared" si="76"/>
        <v>1</v>
      </c>
      <c r="J2438" t="str">
        <f t="shared" si="77"/>
        <v>Complete</v>
      </c>
      <c r="K2438">
        <f>COUNTIFS(RawData[Item], B2438,RawData[Quantity],C2438,RawData[Price Per Unit],D2438,RawData[Total Spent],E2438,RawData[Payment Method],F2438,RawData[Location],G2438,RawData[Transaction Date],H2438)</f>
        <v>1</v>
      </c>
      <c r="L2438"/>
    </row>
    <row r="2439" spans="1:12" x14ac:dyDescent="0.3">
      <c r="A2439" t="s">
        <v>2445</v>
      </c>
      <c r="B2439" t="s">
        <v>10017</v>
      </c>
      <c r="C2439" t="s">
        <v>10013</v>
      </c>
      <c r="D2439">
        <v>1.5</v>
      </c>
      <c r="E2439">
        <v>1.5</v>
      </c>
      <c r="F2439" t="s">
        <v>10103</v>
      </c>
      <c r="G2439" t="s">
        <v>10021</v>
      </c>
      <c r="H2439" s="6">
        <v>45160</v>
      </c>
      <c r="I2439">
        <f t="shared" si="76"/>
        <v>2</v>
      </c>
      <c r="J2439" t="str">
        <f t="shared" si="77"/>
        <v>Complete</v>
      </c>
      <c r="K2439">
        <f>COUNTIFS(RawData[Item], B2439,RawData[Quantity],C2439,RawData[Price Per Unit],D2439,RawData[Total Spent],E2439,RawData[Payment Method],F2439,RawData[Location],G2439,RawData[Transaction Date],H2439)</f>
        <v>1</v>
      </c>
      <c r="L2439"/>
    </row>
    <row r="2440" spans="1:12" x14ac:dyDescent="0.3">
      <c r="A2440" t="s">
        <v>2446</v>
      </c>
      <c r="B2440" t="s">
        <v>10016</v>
      </c>
      <c r="C2440">
        <v>1</v>
      </c>
      <c r="D2440">
        <v>3</v>
      </c>
      <c r="E2440">
        <v>3</v>
      </c>
      <c r="F2440" t="s">
        <v>10069</v>
      </c>
      <c r="G2440" t="s">
        <v>10069</v>
      </c>
      <c r="H2440" s="6">
        <v>45040</v>
      </c>
      <c r="I2440">
        <f t="shared" si="76"/>
        <v>0</v>
      </c>
      <c r="J2440" t="str">
        <f t="shared" si="77"/>
        <v>Complete</v>
      </c>
      <c r="K2440">
        <f>COUNTIFS(RawData[Item], B2440,RawData[Quantity],C2440,RawData[Price Per Unit],D2440,RawData[Total Spent],E2440,RawData[Payment Method],F2440,RawData[Location],G2440,RawData[Transaction Date],H2440)</f>
        <v>1</v>
      </c>
      <c r="L2440"/>
    </row>
    <row r="2441" spans="1:12" x14ac:dyDescent="0.3">
      <c r="A2441" t="s">
        <v>2447</v>
      </c>
      <c r="B2441" t="s">
        <v>10012</v>
      </c>
      <c r="C2441" t="s">
        <v>10013</v>
      </c>
      <c r="D2441">
        <v>4</v>
      </c>
      <c r="E2441">
        <v>8</v>
      </c>
      <c r="F2441" t="s">
        <v>10069</v>
      </c>
      <c r="G2441" t="s">
        <v>10069</v>
      </c>
      <c r="H2441" s="6">
        <v>45257</v>
      </c>
      <c r="I2441">
        <f t="shared" si="76"/>
        <v>1</v>
      </c>
      <c r="J2441" t="str">
        <f t="shared" si="77"/>
        <v>Complete</v>
      </c>
      <c r="K2441">
        <f>COUNTIFS(RawData[Item], B2441,RawData[Quantity],C2441,RawData[Price Per Unit],D2441,RawData[Total Spent],E2441,RawData[Payment Method],F2441,RawData[Location],G2441,RawData[Transaction Date],H2441)</f>
        <v>1</v>
      </c>
      <c r="L2441"/>
    </row>
    <row r="2442" spans="1:12" x14ac:dyDescent="0.3">
      <c r="A2442" t="s">
        <v>2448</v>
      </c>
      <c r="B2442" t="s">
        <v>10017</v>
      </c>
      <c r="C2442">
        <v>3</v>
      </c>
      <c r="D2442">
        <v>1.5</v>
      </c>
      <c r="E2442">
        <v>4.5</v>
      </c>
      <c r="F2442" t="s">
        <v>10019</v>
      </c>
      <c r="G2442" t="s">
        <v>10069</v>
      </c>
      <c r="H2442" s="6">
        <v>45120</v>
      </c>
      <c r="I2442">
        <f t="shared" si="76"/>
        <v>0</v>
      </c>
      <c r="J2442" t="str">
        <f t="shared" si="77"/>
        <v>Complete</v>
      </c>
      <c r="K2442">
        <f>COUNTIFS(RawData[Item], B2442,RawData[Quantity],C2442,RawData[Price Per Unit],D2442,RawData[Total Spent],E2442,RawData[Payment Method],F2442,RawData[Location],G2442,RawData[Transaction Date],H2442)</f>
        <v>1</v>
      </c>
      <c r="L2442"/>
    </row>
    <row r="2443" spans="1:12" x14ac:dyDescent="0.3">
      <c r="A2443" t="s">
        <v>2449</v>
      </c>
      <c r="B2443" t="s">
        <v>10010</v>
      </c>
      <c r="C2443">
        <v>4</v>
      </c>
      <c r="D2443">
        <v>1</v>
      </c>
      <c r="E2443">
        <v>4</v>
      </c>
      <c r="F2443" t="s">
        <v>10019</v>
      </c>
      <c r="G2443" t="s">
        <v>10021</v>
      </c>
      <c r="H2443" s="6">
        <v>45114</v>
      </c>
      <c r="I2443">
        <f t="shared" si="76"/>
        <v>0</v>
      </c>
      <c r="J2443" t="str">
        <f t="shared" si="77"/>
        <v>Complete</v>
      </c>
      <c r="K2443">
        <f>COUNTIFS(RawData[Item], B2443,RawData[Quantity],C2443,RawData[Price Per Unit],D2443,RawData[Total Spent],E2443,RawData[Payment Method],F2443,RawData[Location],G2443,RawData[Transaction Date],H2443)</f>
        <v>1</v>
      </c>
      <c r="L2443"/>
    </row>
    <row r="2444" spans="1:12" x14ac:dyDescent="0.3">
      <c r="A2444" t="s">
        <v>2450</v>
      </c>
      <c r="B2444" t="s">
        <v>10009</v>
      </c>
      <c r="C2444">
        <v>1</v>
      </c>
      <c r="D2444">
        <v>3</v>
      </c>
      <c r="E2444">
        <v>3</v>
      </c>
      <c r="F2444" t="s">
        <v>10069</v>
      </c>
      <c r="G2444" t="s">
        <v>10021</v>
      </c>
      <c r="H2444" s="6">
        <v>44976</v>
      </c>
      <c r="I2444">
        <f t="shared" si="76"/>
        <v>0</v>
      </c>
      <c r="J2444" t="str">
        <f t="shared" si="77"/>
        <v>Complete</v>
      </c>
      <c r="K2444">
        <f>COUNTIFS(RawData[Item], B2444,RawData[Quantity],C2444,RawData[Price Per Unit],D2444,RawData[Total Spent],E2444,RawData[Payment Method],F2444,RawData[Location],G2444,RawData[Transaction Date],H2444)</f>
        <v>1</v>
      </c>
      <c r="L2444"/>
    </row>
    <row r="2445" spans="1:12" x14ac:dyDescent="0.3">
      <c r="A2445" t="s">
        <v>2451</v>
      </c>
      <c r="B2445" t="s">
        <v>10011</v>
      </c>
      <c r="C2445">
        <v>2</v>
      </c>
      <c r="D2445" t="s">
        <v>10015</v>
      </c>
      <c r="E2445">
        <v>10</v>
      </c>
      <c r="F2445" t="s">
        <v>10069</v>
      </c>
      <c r="G2445" t="s">
        <v>10021</v>
      </c>
      <c r="H2445" s="6">
        <v>45092</v>
      </c>
      <c r="I2445">
        <f t="shared" si="76"/>
        <v>1</v>
      </c>
      <c r="J2445" t="str">
        <f t="shared" si="77"/>
        <v>Complete</v>
      </c>
      <c r="K2445">
        <f>COUNTIFS(RawData[Item], B2445,RawData[Quantity],C2445,RawData[Price Per Unit],D2445,RawData[Total Spent],E2445,RawData[Payment Method],F2445,RawData[Location],G2445,RawData[Transaction Date],H2445)</f>
        <v>1</v>
      </c>
      <c r="L2445"/>
    </row>
    <row r="2446" spans="1:12" x14ac:dyDescent="0.3">
      <c r="A2446" t="s">
        <v>2452</v>
      </c>
      <c r="B2446" t="s">
        <v>10014</v>
      </c>
      <c r="C2446">
        <v>5</v>
      </c>
      <c r="D2446" t="s">
        <v>10013</v>
      </c>
      <c r="E2446">
        <v>20</v>
      </c>
      <c r="F2446" t="s">
        <v>10018</v>
      </c>
      <c r="G2446" t="s">
        <v>10103</v>
      </c>
      <c r="H2446" s="6">
        <v>45184</v>
      </c>
      <c r="I2446">
        <f t="shared" si="76"/>
        <v>2</v>
      </c>
      <c r="J2446" t="str">
        <f t="shared" si="77"/>
        <v>Complete</v>
      </c>
      <c r="K2446">
        <f>COUNTIFS(RawData[Item], B2446,RawData[Quantity],C2446,RawData[Price Per Unit],D2446,RawData[Total Spent],E2446,RawData[Payment Method],F2446,RawData[Location],G2446,RawData[Transaction Date],H2446)</f>
        <v>1</v>
      </c>
      <c r="L2446"/>
    </row>
    <row r="2447" spans="1:12" x14ac:dyDescent="0.3">
      <c r="A2447" t="s">
        <v>2453</v>
      </c>
      <c r="B2447" t="s">
        <v>10012</v>
      </c>
      <c r="C2447">
        <v>1</v>
      </c>
      <c r="D2447">
        <v>4</v>
      </c>
      <c r="E2447">
        <v>4</v>
      </c>
      <c r="F2447" t="s">
        <v>10019</v>
      </c>
      <c r="G2447" t="s">
        <v>10069</v>
      </c>
      <c r="H2447" s="6">
        <v>45202</v>
      </c>
      <c r="I2447">
        <f t="shared" si="76"/>
        <v>0</v>
      </c>
      <c r="J2447" t="str">
        <f t="shared" si="77"/>
        <v>Complete</v>
      </c>
      <c r="K2447">
        <f>COUNTIFS(RawData[Item], B2447,RawData[Quantity],C2447,RawData[Price Per Unit],D2447,RawData[Total Spent],E2447,RawData[Payment Method],F2447,RawData[Location],G2447,RawData[Transaction Date],H2447)</f>
        <v>1</v>
      </c>
      <c r="L2447"/>
    </row>
    <row r="2448" spans="1:12" x14ac:dyDescent="0.3">
      <c r="A2448" t="s">
        <v>2454</v>
      </c>
      <c r="B2448" t="s">
        <v>10017</v>
      </c>
      <c r="C2448">
        <v>1</v>
      </c>
      <c r="D2448">
        <v>1.5</v>
      </c>
      <c r="E2448">
        <v>1.5</v>
      </c>
      <c r="F2448" t="s">
        <v>10020</v>
      </c>
      <c r="G2448" t="s">
        <v>10069</v>
      </c>
      <c r="H2448" s="6">
        <v>44967</v>
      </c>
      <c r="I2448">
        <f t="shared" si="76"/>
        <v>0</v>
      </c>
      <c r="J2448" t="str">
        <f t="shared" si="77"/>
        <v>Complete</v>
      </c>
      <c r="K2448">
        <f>COUNTIFS(RawData[Item], B2448,RawData[Quantity],C2448,RawData[Price Per Unit],D2448,RawData[Total Spent],E2448,RawData[Payment Method],F2448,RawData[Location],G2448,RawData[Transaction Date],H2448)</f>
        <v>1</v>
      </c>
      <c r="L2448"/>
    </row>
    <row r="2449" spans="1:12" x14ac:dyDescent="0.3">
      <c r="A2449" t="s">
        <v>2455</v>
      </c>
      <c r="B2449" t="s">
        <v>10017</v>
      </c>
      <c r="C2449">
        <v>3</v>
      </c>
      <c r="D2449">
        <v>1.5</v>
      </c>
      <c r="E2449">
        <v>4.5</v>
      </c>
      <c r="F2449" t="s">
        <v>10103</v>
      </c>
      <c r="G2449" t="s">
        <v>10103</v>
      </c>
      <c r="H2449" s="6">
        <v>45184</v>
      </c>
      <c r="I2449">
        <f t="shared" si="76"/>
        <v>2</v>
      </c>
      <c r="J2449" t="str">
        <f t="shared" si="77"/>
        <v>Complete</v>
      </c>
      <c r="K2449">
        <f>COUNTIFS(RawData[Item], B2449,RawData[Quantity],C2449,RawData[Price Per Unit],D2449,RawData[Total Spent],E2449,RawData[Payment Method],F2449,RawData[Location],G2449,RawData[Transaction Date],H2449)</f>
        <v>1</v>
      </c>
      <c r="L2449"/>
    </row>
    <row r="2450" spans="1:12" x14ac:dyDescent="0.3">
      <c r="A2450" t="s">
        <v>2456</v>
      </c>
      <c r="B2450" t="s">
        <v>10012</v>
      </c>
      <c r="C2450">
        <v>1</v>
      </c>
      <c r="D2450">
        <v>4</v>
      </c>
      <c r="E2450">
        <v>4</v>
      </c>
      <c r="F2450" t="s">
        <v>10069</v>
      </c>
      <c r="G2450" t="s">
        <v>10069</v>
      </c>
      <c r="H2450" s="6">
        <v>45263</v>
      </c>
      <c r="I2450">
        <f t="shared" si="76"/>
        <v>0</v>
      </c>
      <c r="J2450" t="str">
        <f t="shared" si="77"/>
        <v>Complete</v>
      </c>
      <c r="K2450">
        <f>COUNTIFS(RawData[Item], B2450,RawData[Quantity],C2450,RawData[Price Per Unit],D2450,RawData[Total Spent],E2450,RawData[Payment Method],F2450,RawData[Location],G2450,RawData[Transaction Date],H2450)</f>
        <v>1</v>
      </c>
      <c r="L2450"/>
    </row>
    <row r="2451" spans="1:12" x14ac:dyDescent="0.3">
      <c r="A2451" t="s">
        <v>2457</v>
      </c>
      <c r="B2451" t="s">
        <v>10012</v>
      </c>
      <c r="C2451">
        <v>1</v>
      </c>
      <c r="D2451">
        <v>4</v>
      </c>
      <c r="E2451">
        <v>4</v>
      </c>
      <c r="F2451" t="s">
        <v>10019</v>
      </c>
      <c r="G2451" t="s">
        <v>10102</v>
      </c>
      <c r="H2451" s="6">
        <v>45126</v>
      </c>
      <c r="I2451">
        <f t="shared" si="76"/>
        <v>0</v>
      </c>
      <c r="J2451" t="str">
        <f t="shared" si="77"/>
        <v>Complete</v>
      </c>
      <c r="K2451">
        <f>COUNTIFS(RawData[Item], B2451,RawData[Quantity],C2451,RawData[Price Per Unit],D2451,RawData[Total Spent],E2451,RawData[Payment Method],F2451,RawData[Location],G2451,RawData[Transaction Date],H2451)</f>
        <v>1</v>
      </c>
      <c r="L2451"/>
    </row>
    <row r="2452" spans="1:12" x14ac:dyDescent="0.3">
      <c r="A2452" t="s">
        <v>2458</v>
      </c>
      <c r="B2452" t="s">
        <v>10011</v>
      </c>
      <c r="C2452">
        <v>2</v>
      </c>
      <c r="D2452">
        <v>5</v>
      </c>
      <c r="E2452">
        <v>10</v>
      </c>
      <c r="F2452" t="s">
        <v>10019</v>
      </c>
      <c r="G2452" t="s">
        <v>10069</v>
      </c>
      <c r="H2452" s="6">
        <v>45162</v>
      </c>
      <c r="I2452">
        <f t="shared" si="76"/>
        <v>0</v>
      </c>
      <c r="J2452" t="str">
        <f t="shared" si="77"/>
        <v>Complete</v>
      </c>
      <c r="K2452">
        <f>COUNTIFS(RawData[Item], B2452,RawData[Quantity],C2452,RawData[Price Per Unit],D2452,RawData[Total Spent],E2452,RawData[Payment Method],F2452,RawData[Location],G2452,RawData[Transaction Date],H2452)</f>
        <v>1</v>
      </c>
      <c r="L2452"/>
    </row>
    <row r="2453" spans="1:12" x14ac:dyDescent="0.3">
      <c r="A2453" t="s">
        <v>2459</v>
      </c>
      <c r="B2453" t="s">
        <v>10008</v>
      </c>
      <c r="C2453">
        <v>5</v>
      </c>
      <c r="D2453">
        <v>2</v>
      </c>
      <c r="E2453">
        <v>10</v>
      </c>
      <c r="F2453" t="s">
        <v>10020</v>
      </c>
      <c r="G2453" t="s">
        <v>10021</v>
      </c>
      <c r="H2453" s="6">
        <v>44935</v>
      </c>
      <c r="I2453">
        <f t="shared" si="76"/>
        <v>0</v>
      </c>
      <c r="J2453" t="str">
        <f t="shared" si="77"/>
        <v>Complete</v>
      </c>
      <c r="K2453">
        <f>COUNTIFS(RawData[Item], B2453,RawData[Quantity],C2453,RawData[Price Per Unit],D2453,RawData[Total Spent],E2453,RawData[Payment Method],F2453,RawData[Location],G2453,RawData[Transaction Date],H2453)</f>
        <v>1</v>
      </c>
      <c r="L2453"/>
    </row>
    <row r="2454" spans="1:12" x14ac:dyDescent="0.3">
      <c r="A2454" t="s">
        <v>2460</v>
      </c>
      <c r="B2454" t="s">
        <v>10010</v>
      </c>
      <c r="C2454">
        <v>4</v>
      </c>
      <c r="D2454">
        <v>1</v>
      </c>
      <c r="E2454">
        <v>4</v>
      </c>
      <c r="F2454" t="s">
        <v>10018</v>
      </c>
      <c r="G2454" t="s">
        <v>10021</v>
      </c>
      <c r="H2454" s="6">
        <v>45097</v>
      </c>
      <c r="I2454">
        <f t="shared" si="76"/>
        <v>0</v>
      </c>
      <c r="J2454" t="str">
        <f t="shared" si="77"/>
        <v>Complete</v>
      </c>
      <c r="K2454">
        <f>COUNTIFS(RawData[Item], B2454,RawData[Quantity],C2454,RawData[Price Per Unit],D2454,RawData[Total Spent],E2454,RawData[Payment Method],F2454,RawData[Location],G2454,RawData[Transaction Date],H2454)</f>
        <v>1</v>
      </c>
      <c r="L2454"/>
    </row>
    <row r="2455" spans="1:12" x14ac:dyDescent="0.3">
      <c r="A2455" t="s">
        <v>2461</v>
      </c>
      <c r="B2455" t="s">
        <v>10014</v>
      </c>
      <c r="C2455" t="s">
        <v>10013</v>
      </c>
      <c r="D2455">
        <v>4</v>
      </c>
      <c r="E2455">
        <v>8</v>
      </c>
      <c r="F2455" t="s">
        <v>10019</v>
      </c>
      <c r="G2455" t="s">
        <v>10103</v>
      </c>
      <c r="H2455" s="6">
        <v>44969</v>
      </c>
      <c r="I2455">
        <f t="shared" si="76"/>
        <v>2</v>
      </c>
      <c r="J2455" t="str">
        <f t="shared" si="77"/>
        <v>Complete</v>
      </c>
      <c r="K2455">
        <f>COUNTIFS(RawData[Item], B2455,RawData[Quantity],C2455,RawData[Price Per Unit],D2455,RawData[Total Spent],E2455,RawData[Payment Method],F2455,RawData[Location],G2455,RawData[Transaction Date],H2455)</f>
        <v>1</v>
      </c>
      <c r="L2455"/>
    </row>
    <row r="2456" spans="1:12" x14ac:dyDescent="0.3">
      <c r="A2456" t="s">
        <v>2462</v>
      </c>
      <c r="B2456" t="s">
        <v>10011</v>
      </c>
      <c r="C2456">
        <v>4</v>
      </c>
      <c r="D2456">
        <v>5</v>
      </c>
      <c r="E2456">
        <v>20</v>
      </c>
      <c r="F2456" t="s">
        <v>10018</v>
      </c>
      <c r="G2456" t="s">
        <v>10102</v>
      </c>
      <c r="H2456" s="6">
        <v>45278</v>
      </c>
      <c r="I2456">
        <f t="shared" si="76"/>
        <v>0</v>
      </c>
      <c r="J2456" t="str">
        <f t="shared" si="77"/>
        <v>Complete</v>
      </c>
      <c r="K2456">
        <f>COUNTIFS(RawData[Item], B2456,RawData[Quantity],C2456,RawData[Price Per Unit],D2456,RawData[Total Spent],E2456,RawData[Payment Method],F2456,RawData[Location],G2456,RawData[Transaction Date],H2456)</f>
        <v>2</v>
      </c>
      <c r="L2456"/>
    </row>
    <row r="2457" spans="1:12" x14ac:dyDescent="0.3">
      <c r="A2457" t="s">
        <v>2463</v>
      </c>
      <c r="B2457" t="s">
        <v>10016</v>
      </c>
      <c r="C2457">
        <v>1</v>
      </c>
      <c r="D2457">
        <v>3</v>
      </c>
      <c r="E2457">
        <v>3</v>
      </c>
      <c r="F2457" t="s">
        <v>10020</v>
      </c>
      <c r="G2457" t="s">
        <v>10021</v>
      </c>
      <c r="H2457" s="6">
        <v>45196</v>
      </c>
      <c r="I2457">
        <f t="shared" si="76"/>
        <v>0</v>
      </c>
      <c r="J2457" t="str">
        <f t="shared" si="77"/>
        <v>Complete</v>
      </c>
      <c r="K2457">
        <f>COUNTIFS(RawData[Item], B2457,RawData[Quantity],C2457,RawData[Price Per Unit],D2457,RawData[Total Spent],E2457,RawData[Payment Method],F2457,RawData[Location],G2457,RawData[Transaction Date],H2457)</f>
        <v>1</v>
      </c>
      <c r="L2457"/>
    </row>
    <row r="2458" spans="1:12" x14ac:dyDescent="0.3">
      <c r="A2458" t="s">
        <v>2464</v>
      </c>
      <c r="B2458" t="s">
        <v>10009</v>
      </c>
      <c r="C2458">
        <v>4</v>
      </c>
      <c r="D2458">
        <v>3</v>
      </c>
      <c r="E2458">
        <v>12</v>
      </c>
      <c r="F2458" t="s">
        <v>10018</v>
      </c>
      <c r="G2458" t="s">
        <v>10021</v>
      </c>
      <c r="H2458" s="6">
        <v>45133</v>
      </c>
      <c r="I2458">
        <f t="shared" si="76"/>
        <v>0</v>
      </c>
      <c r="J2458" t="str">
        <f t="shared" si="77"/>
        <v>Complete</v>
      </c>
      <c r="K2458">
        <f>COUNTIFS(RawData[Item], B2458,RawData[Quantity],C2458,RawData[Price Per Unit],D2458,RawData[Total Spent],E2458,RawData[Payment Method],F2458,RawData[Location],G2458,RawData[Transaction Date],H2458)</f>
        <v>1</v>
      </c>
      <c r="L2458"/>
    </row>
    <row r="2459" spans="1:12" x14ac:dyDescent="0.3">
      <c r="A2459" t="s">
        <v>2465</v>
      </c>
      <c r="B2459" t="s">
        <v>10010</v>
      </c>
      <c r="C2459">
        <v>2</v>
      </c>
      <c r="D2459">
        <v>1</v>
      </c>
      <c r="E2459">
        <v>2</v>
      </c>
      <c r="F2459" t="s">
        <v>10020</v>
      </c>
      <c r="G2459" t="s">
        <v>10069</v>
      </c>
      <c r="H2459" s="6">
        <v>45063</v>
      </c>
      <c r="I2459">
        <f t="shared" si="76"/>
        <v>0</v>
      </c>
      <c r="J2459" t="str">
        <f t="shared" si="77"/>
        <v>Complete</v>
      </c>
      <c r="K2459">
        <f>COUNTIFS(RawData[Item], B2459,RawData[Quantity],C2459,RawData[Price Per Unit],D2459,RawData[Total Spent],E2459,RawData[Payment Method],F2459,RawData[Location],G2459,RawData[Transaction Date],H2459)</f>
        <v>1</v>
      </c>
      <c r="L2459"/>
    </row>
    <row r="2460" spans="1:12" x14ac:dyDescent="0.3">
      <c r="A2460" t="s">
        <v>2466</v>
      </c>
      <c r="B2460" t="s">
        <v>10016</v>
      </c>
      <c r="C2460">
        <v>1</v>
      </c>
      <c r="D2460">
        <v>3</v>
      </c>
      <c r="E2460">
        <v>3</v>
      </c>
      <c r="F2460" t="s">
        <v>10018</v>
      </c>
      <c r="G2460" t="s">
        <v>10021</v>
      </c>
      <c r="H2460" s="6">
        <v>44979</v>
      </c>
      <c r="I2460">
        <f t="shared" si="76"/>
        <v>0</v>
      </c>
      <c r="J2460" t="str">
        <f t="shared" si="77"/>
        <v>Complete</v>
      </c>
      <c r="K2460">
        <f>COUNTIFS(RawData[Item], B2460,RawData[Quantity],C2460,RawData[Price Per Unit],D2460,RawData[Total Spent],E2460,RawData[Payment Method],F2460,RawData[Location],G2460,RawData[Transaction Date],H2460)</f>
        <v>1</v>
      </c>
      <c r="L2460"/>
    </row>
    <row r="2461" spans="1:12" x14ac:dyDescent="0.3">
      <c r="A2461" t="s">
        <v>2467</v>
      </c>
      <c r="B2461" t="s">
        <v>10010</v>
      </c>
      <c r="C2461">
        <v>4</v>
      </c>
      <c r="D2461">
        <v>1</v>
      </c>
      <c r="E2461">
        <v>4</v>
      </c>
      <c r="F2461" t="s">
        <v>10020</v>
      </c>
      <c r="G2461" t="s">
        <v>10021</v>
      </c>
      <c r="H2461" s="6">
        <v>44972</v>
      </c>
      <c r="I2461">
        <f t="shared" si="76"/>
        <v>0</v>
      </c>
      <c r="J2461" t="str">
        <f t="shared" si="77"/>
        <v>Complete</v>
      </c>
      <c r="K2461">
        <f>COUNTIFS(RawData[Item], B2461,RawData[Quantity],C2461,RawData[Price Per Unit],D2461,RawData[Total Spent],E2461,RawData[Payment Method],F2461,RawData[Location],G2461,RawData[Transaction Date],H2461)</f>
        <v>1</v>
      </c>
      <c r="L2461"/>
    </row>
    <row r="2462" spans="1:12" x14ac:dyDescent="0.3">
      <c r="A2462" t="s">
        <v>2468</v>
      </c>
      <c r="B2462" t="s">
        <v>10014</v>
      </c>
      <c r="C2462">
        <v>5</v>
      </c>
      <c r="D2462">
        <v>4</v>
      </c>
      <c r="E2462">
        <v>20</v>
      </c>
      <c r="F2462" t="s">
        <v>10019</v>
      </c>
      <c r="G2462" t="s">
        <v>10021</v>
      </c>
      <c r="H2462" s="6">
        <v>44931</v>
      </c>
      <c r="I2462">
        <f t="shared" si="76"/>
        <v>0</v>
      </c>
      <c r="J2462" t="str">
        <f t="shared" si="77"/>
        <v>Complete</v>
      </c>
      <c r="K2462">
        <f>COUNTIFS(RawData[Item], B2462,RawData[Quantity],C2462,RawData[Price Per Unit],D2462,RawData[Total Spent],E2462,RawData[Payment Method],F2462,RawData[Location],G2462,RawData[Transaction Date],H2462)</f>
        <v>1</v>
      </c>
      <c r="L2462"/>
    </row>
    <row r="2463" spans="1:12" x14ac:dyDescent="0.3">
      <c r="A2463" t="s">
        <v>2469</v>
      </c>
      <c r="B2463" t="s">
        <v>10008</v>
      </c>
      <c r="C2463">
        <v>4</v>
      </c>
      <c r="D2463">
        <v>2</v>
      </c>
      <c r="E2463">
        <v>8</v>
      </c>
      <c r="F2463" t="s">
        <v>10018</v>
      </c>
      <c r="G2463" t="s">
        <v>10069</v>
      </c>
      <c r="H2463" s="6">
        <v>45108</v>
      </c>
      <c r="I2463">
        <f t="shared" si="76"/>
        <v>0</v>
      </c>
      <c r="J2463" t="str">
        <f t="shared" si="77"/>
        <v>Complete</v>
      </c>
      <c r="K2463">
        <f>COUNTIFS(RawData[Item], B2463,RawData[Quantity],C2463,RawData[Price Per Unit],D2463,RawData[Total Spent],E2463,RawData[Payment Method],F2463,RawData[Location],G2463,RawData[Transaction Date],H2463)</f>
        <v>1</v>
      </c>
      <c r="L2463"/>
    </row>
    <row r="2464" spans="1:12" x14ac:dyDescent="0.3">
      <c r="A2464" t="s">
        <v>2470</v>
      </c>
      <c r="B2464" t="s">
        <v>10069</v>
      </c>
      <c r="C2464">
        <v>2</v>
      </c>
      <c r="D2464">
        <v>1</v>
      </c>
      <c r="E2464">
        <v>2</v>
      </c>
      <c r="F2464" t="s">
        <v>10019</v>
      </c>
      <c r="G2464" t="s">
        <v>10102</v>
      </c>
      <c r="H2464" s="6">
        <v>45010</v>
      </c>
      <c r="I2464">
        <f t="shared" si="76"/>
        <v>0</v>
      </c>
      <c r="J2464" t="str">
        <f t="shared" si="77"/>
        <v>Complete</v>
      </c>
      <c r="K2464">
        <f>COUNTIFS(RawData[Item], B2464,RawData[Quantity],C2464,RawData[Price Per Unit],D2464,RawData[Total Spent],E2464,RawData[Payment Method],F2464,RawData[Location],G2464,RawData[Transaction Date],H2464)</f>
        <v>1</v>
      </c>
      <c r="L2464"/>
    </row>
    <row r="2465" spans="1:12" x14ac:dyDescent="0.3">
      <c r="A2465" t="s">
        <v>2471</v>
      </c>
      <c r="B2465" t="s">
        <v>10012</v>
      </c>
      <c r="C2465">
        <v>2</v>
      </c>
      <c r="D2465">
        <v>4</v>
      </c>
      <c r="E2465">
        <v>8</v>
      </c>
      <c r="F2465" t="s">
        <v>10020</v>
      </c>
      <c r="G2465" t="s">
        <v>10069</v>
      </c>
      <c r="H2465" s="6">
        <v>45244</v>
      </c>
      <c r="I2465">
        <f t="shared" si="76"/>
        <v>0</v>
      </c>
      <c r="J2465" t="str">
        <f t="shared" si="77"/>
        <v>Complete</v>
      </c>
      <c r="K2465">
        <f>COUNTIFS(RawData[Item], B2465,RawData[Quantity],C2465,RawData[Price Per Unit],D2465,RawData[Total Spent],E2465,RawData[Payment Method],F2465,RawData[Location],G2465,RawData[Transaction Date],H2465)</f>
        <v>1</v>
      </c>
      <c r="L2465"/>
    </row>
    <row r="2466" spans="1:12" x14ac:dyDescent="0.3">
      <c r="A2466" t="s">
        <v>2472</v>
      </c>
      <c r="B2466" t="s">
        <v>10017</v>
      </c>
      <c r="C2466">
        <v>3</v>
      </c>
      <c r="D2466">
        <v>1.5</v>
      </c>
      <c r="E2466">
        <v>4.5</v>
      </c>
      <c r="F2466" t="s">
        <v>10069</v>
      </c>
      <c r="G2466" t="s">
        <v>10021</v>
      </c>
      <c r="H2466" s="6">
        <v>44986</v>
      </c>
      <c r="I2466">
        <f t="shared" si="76"/>
        <v>0</v>
      </c>
      <c r="J2466" t="str">
        <f t="shared" si="77"/>
        <v>Complete</v>
      </c>
      <c r="K2466">
        <f>COUNTIFS(RawData[Item], B2466,RawData[Quantity],C2466,RawData[Price Per Unit],D2466,RawData[Total Spent],E2466,RawData[Payment Method],F2466,RawData[Location],G2466,RawData[Transaction Date],H2466)</f>
        <v>1</v>
      </c>
      <c r="L2466"/>
    </row>
    <row r="2467" spans="1:12" x14ac:dyDescent="0.3">
      <c r="A2467" t="s">
        <v>2473</v>
      </c>
      <c r="B2467" t="s">
        <v>10014</v>
      </c>
      <c r="C2467">
        <v>4</v>
      </c>
      <c r="D2467">
        <v>4</v>
      </c>
      <c r="E2467">
        <v>16</v>
      </c>
      <c r="F2467" t="s">
        <v>10020</v>
      </c>
      <c r="G2467" t="s">
        <v>10069</v>
      </c>
      <c r="H2467" s="6">
        <v>45140</v>
      </c>
      <c r="I2467">
        <f t="shared" si="76"/>
        <v>0</v>
      </c>
      <c r="J2467" t="str">
        <f t="shared" si="77"/>
        <v>Complete</v>
      </c>
      <c r="K2467">
        <f>COUNTIFS(RawData[Item], B2467,RawData[Quantity],C2467,RawData[Price Per Unit],D2467,RawData[Total Spent],E2467,RawData[Payment Method],F2467,RawData[Location],G2467,RawData[Transaction Date],H2467)</f>
        <v>1</v>
      </c>
      <c r="L2467"/>
    </row>
    <row r="2468" spans="1:12" x14ac:dyDescent="0.3">
      <c r="A2468" t="s">
        <v>2474</v>
      </c>
      <c r="B2468" t="s">
        <v>10014</v>
      </c>
      <c r="C2468">
        <v>4</v>
      </c>
      <c r="D2468">
        <v>4</v>
      </c>
      <c r="E2468">
        <v>16</v>
      </c>
      <c r="F2468" t="s">
        <v>10018</v>
      </c>
      <c r="G2468" t="s">
        <v>10102</v>
      </c>
      <c r="H2468" s="6">
        <v>45122</v>
      </c>
      <c r="I2468">
        <f t="shared" si="76"/>
        <v>0</v>
      </c>
      <c r="J2468" t="str">
        <f t="shared" si="77"/>
        <v>Complete</v>
      </c>
      <c r="K2468">
        <f>COUNTIFS(RawData[Item], B2468,RawData[Quantity],C2468,RawData[Price Per Unit],D2468,RawData[Total Spent],E2468,RawData[Payment Method],F2468,RawData[Location],G2468,RawData[Transaction Date],H2468)</f>
        <v>1</v>
      </c>
      <c r="L2468"/>
    </row>
    <row r="2469" spans="1:12" x14ac:dyDescent="0.3">
      <c r="A2469" t="s">
        <v>2475</v>
      </c>
      <c r="B2469" t="s">
        <v>10012</v>
      </c>
      <c r="C2469">
        <v>2</v>
      </c>
      <c r="D2469">
        <v>4</v>
      </c>
      <c r="E2469">
        <v>8</v>
      </c>
      <c r="F2469" t="s">
        <v>10069</v>
      </c>
      <c r="G2469" t="s">
        <v>10102</v>
      </c>
      <c r="H2469" s="6">
        <v>45230</v>
      </c>
      <c r="I2469">
        <f t="shared" si="76"/>
        <v>0</v>
      </c>
      <c r="J2469" t="str">
        <f t="shared" si="77"/>
        <v>Complete</v>
      </c>
      <c r="K2469">
        <f>COUNTIFS(RawData[Item], B2469,RawData[Quantity],C2469,RawData[Price Per Unit],D2469,RawData[Total Spent],E2469,RawData[Payment Method],F2469,RawData[Location],G2469,RawData[Transaction Date],H2469)</f>
        <v>1</v>
      </c>
      <c r="L2469"/>
    </row>
    <row r="2470" spans="1:12" x14ac:dyDescent="0.3">
      <c r="A2470" t="s">
        <v>2476</v>
      </c>
      <c r="B2470" t="s">
        <v>10009</v>
      </c>
      <c r="C2470">
        <v>5</v>
      </c>
      <c r="D2470">
        <v>3</v>
      </c>
      <c r="E2470">
        <v>0</v>
      </c>
      <c r="F2470" t="s">
        <v>10019</v>
      </c>
      <c r="G2470" t="s">
        <v>10021</v>
      </c>
      <c r="H2470" s="6">
        <v>45175</v>
      </c>
      <c r="I2470">
        <f t="shared" si="76"/>
        <v>0</v>
      </c>
      <c r="J2470" t="str">
        <f t="shared" si="77"/>
        <v>Complete</v>
      </c>
      <c r="K2470">
        <f>COUNTIFS(RawData[Item], B2470,RawData[Quantity],C2470,RawData[Price Per Unit],D2470,RawData[Total Spent],E2470,RawData[Payment Method],F2470,RawData[Location],G2470,RawData[Transaction Date],H2470)</f>
        <v>1</v>
      </c>
      <c r="L2470"/>
    </row>
    <row r="2471" spans="1:12" x14ac:dyDescent="0.3">
      <c r="A2471" t="s">
        <v>2477</v>
      </c>
      <c r="B2471" t="s">
        <v>10008</v>
      </c>
      <c r="C2471">
        <v>2</v>
      </c>
      <c r="D2471">
        <v>2</v>
      </c>
      <c r="E2471">
        <v>4</v>
      </c>
      <c r="F2471" t="s">
        <v>10018</v>
      </c>
      <c r="G2471" t="s">
        <v>10021</v>
      </c>
      <c r="H2471" s="6">
        <v>45128</v>
      </c>
      <c r="I2471">
        <f t="shared" si="76"/>
        <v>0</v>
      </c>
      <c r="J2471" t="str">
        <f t="shared" si="77"/>
        <v>Complete</v>
      </c>
      <c r="K2471">
        <f>COUNTIFS(RawData[Item], B2471,RawData[Quantity],C2471,RawData[Price Per Unit],D2471,RawData[Total Spent],E2471,RawData[Payment Method],F2471,RawData[Location],G2471,RawData[Transaction Date],H2471)</f>
        <v>1</v>
      </c>
      <c r="L2471"/>
    </row>
    <row r="2472" spans="1:12" x14ac:dyDescent="0.3">
      <c r="A2472" t="s">
        <v>2478</v>
      </c>
      <c r="B2472" t="s">
        <v>10012</v>
      </c>
      <c r="C2472">
        <v>3</v>
      </c>
      <c r="D2472">
        <v>4</v>
      </c>
      <c r="E2472">
        <v>12</v>
      </c>
      <c r="F2472" t="s">
        <v>10069</v>
      </c>
      <c r="G2472" t="s">
        <v>10102</v>
      </c>
      <c r="H2472" s="6">
        <v>45155</v>
      </c>
      <c r="I2472">
        <f t="shared" si="76"/>
        <v>0</v>
      </c>
      <c r="J2472" t="str">
        <f t="shared" si="77"/>
        <v>Complete</v>
      </c>
      <c r="K2472">
        <f>COUNTIFS(RawData[Item], B2472,RawData[Quantity],C2472,RawData[Price Per Unit],D2472,RawData[Total Spent],E2472,RawData[Payment Method],F2472,RawData[Location],G2472,RawData[Transaction Date],H2472)</f>
        <v>1</v>
      </c>
      <c r="L2472"/>
    </row>
    <row r="2473" spans="1:12" x14ac:dyDescent="0.3">
      <c r="A2473" t="s">
        <v>2479</v>
      </c>
      <c r="B2473" t="s">
        <v>10014</v>
      </c>
      <c r="C2473">
        <v>3</v>
      </c>
      <c r="D2473">
        <v>4</v>
      </c>
      <c r="E2473">
        <v>12</v>
      </c>
      <c r="F2473" t="s">
        <v>10069</v>
      </c>
      <c r="G2473" t="s">
        <v>10102</v>
      </c>
      <c r="H2473" s="6">
        <v>45078</v>
      </c>
      <c r="I2473">
        <f t="shared" si="76"/>
        <v>0</v>
      </c>
      <c r="J2473" t="str">
        <f t="shared" si="77"/>
        <v>Complete</v>
      </c>
      <c r="K2473">
        <f>COUNTIFS(RawData[Item], B2473,RawData[Quantity],C2473,RawData[Price Per Unit],D2473,RawData[Total Spent],E2473,RawData[Payment Method],F2473,RawData[Location],G2473,RawData[Transaction Date],H2473)</f>
        <v>2</v>
      </c>
      <c r="L2473"/>
    </row>
    <row r="2474" spans="1:12" x14ac:dyDescent="0.3">
      <c r="A2474" t="s">
        <v>2480</v>
      </c>
      <c r="B2474" t="s">
        <v>10008</v>
      </c>
      <c r="C2474">
        <v>1</v>
      </c>
      <c r="D2474">
        <v>2</v>
      </c>
      <c r="E2474">
        <v>2</v>
      </c>
      <c r="F2474" t="s">
        <v>10019</v>
      </c>
      <c r="G2474" t="s">
        <v>10102</v>
      </c>
      <c r="H2474" s="6">
        <v>44976</v>
      </c>
      <c r="I2474">
        <f t="shared" si="76"/>
        <v>0</v>
      </c>
      <c r="J2474" t="str">
        <f t="shared" si="77"/>
        <v>Complete</v>
      </c>
      <c r="K2474">
        <f>COUNTIFS(RawData[Item], B2474,RawData[Quantity],C2474,RawData[Price Per Unit],D2474,RawData[Total Spent],E2474,RawData[Payment Method],F2474,RawData[Location],G2474,RawData[Transaction Date],H2474)</f>
        <v>1</v>
      </c>
      <c r="L2474"/>
    </row>
    <row r="2475" spans="1:12" x14ac:dyDescent="0.3">
      <c r="A2475" t="s">
        <v>2481</v>
      </c>
      <c r="B2475" t="s">
        <v>10017</v>
      </c>
      <c r="C2475">
        <v>3</v>
      </c>
      <c r="D2475">
        <v>1.5</v>
      </c>
      <c r="E2475">
        <v>4.5</v>
      </c>
      <c r="F2475" t="s">
        <v>10019</v>
      </c>
      <c r="G2475" t="s">
        <v>10102</v>
      </c>
      <c r="H2475" s="6">
        <v>45042</v>
      </c>
      <c r="I2475">
        <f t="shared" si="76"/>
        <v>0</v>
      </c>
      <c r="J2475" t="str">
        <f t="shared" si="77"/>
        <v>Complete</v>
      </c>
      <c r="K2475">
        <f>COUNTIFS(RawData[Item], B2475,RawData[Quantity],C2475,RawData[Price Per Unit],D2475,RawData[Total Spent],E2475,RawData[Payment Method],F2475,RawData[Location],G2475,RawData[Transaction Date],H2475)</f>
        <v>1</v>
      </c>
      <c r="L2475"/>
    </row>
    <row r="2476" spans="1:12" x14ac:dyDescent="0.3">
      <c r="A2476" t="s">
        <v>2482</v>
      </c>
      <c r="B2476" t="s">
        <v>10014</v>
      </c>
      <c r="C2476">
        <v>4</v>
      </c>
      <c r="D2476">
        <v>4</v>
      </c>
      <c r="E2476">
        <v>16</v>
      </c>
      <c r="F2476" t="s">
        <v>10018</v>
      </c>
      <c r="G2476" t="s">
        <v>10102</v>
      </c>
      <c r="H2476" s="6">
        <v>45285</v>
      </c>
      <c r="I2476">
        <f t="shared" si="76"/>
        <v>0</v>
      </c>
      <c r="J2476" t="str">
        <f t="shared" si="77"/>
        <v>Complete</v>
      </c>
      <c r="K2476">
        <f>COUNTIFS(RawData[Item], B2476,RawData[Quantity],C2476,RawData[Price Per Unit],D2476,RawData[Total Spent],E2476,RawData[Payment Method],F2476,RawData[Location],G2476,RawData[Transaction Date],H2476)</f>
        <v>2</v>
      </c>
      <c r="L2476"/>
    </row>
    <row r="2477" spans="1:12" x14ac:dyDescent="0.3">
      <c r="A2477" t="s">
        <v>2483</v>
      </c>
      <c r="B2477" t="s">
        <v>10017</v>
      </c>
      <c r="C2477">
        <v>5</v>
      </c>
      <c r="D2477">
        <v>1.5</v>
      </c>
      <c r="E2477">
        <v>7.5</v>
      </c>
      <c r="F2477" t="s">
        <v>10020</v>
      </c>
      <c r="G2477" t="s">
        <v>10069</v>
      </c>
      <c r="H2477" s="6">
        <v>45119</v>
      </c>
      <c r="I2477">
        <f t="shared" si="76"/>
        <v>0</v>
      </c>
      <c r="J2477" t="str">
        <f t="shared" si="77"/>
        <v>Complete</v>
      </c>
      <c r="K2477">
        <f>COUNTIFS(RawData[Item], B2477,RawData[Quantity],C2477,RawData[Price Per Unit],D2477,RawData[Total Spent],E2477,RawData[Payment Method],F2477,RawData[Location],G2477,RawData[Transaction Date],H2477)</f>
        <v>1</v>
      </c>
      <c r="L2477"/>
    </row>
    <row r="2478" spans="1:12" x14ac:dyDescent="0.3">
      <c r="A2478" t="s">
        <v>2484</v>
      </c>
      <c r="B2478" t="s">
        <v>10011</v>
      </c>
      <c r="C2478">
        <v>1</v>
      </c>
      <c r="D2478">
        <v>5</v>
      </c>
      <c r="E2478">
        <v>5</v>
      </c>
      <c r="F2478" t="s">
        <v>10018</v>
      </c>
      <c r="G2478" t="s">
        <v>10102</v>
      </c>
      <c r="H2478" s="6">
        <v>45215</v>
      </c>
      <c r="I2478">
        <f t="shared" si="76"/>
        <v>0</v>
      </c>
      <c r="J2478" t="str">
        <f t="shared" si="77"/>
        <v>Complete</v>
      </c>
      <c r="K2478">
        <f>COUNTIFS(RawData[Item], B2478,RawData[Quantity],C2478,RawData[Price Per Unit],D2478,RawData[Total Spent],E2478,RawData[Payment Method],F2478,RawData[Location],G2478,RawData[Transaction Date],H2478)</f>
        <v>1</v>
      </c>
      <c r="L2478"/>
    </row>
    <row r="2479" spans="1:12" x14ac:dyDescent="0.3">
      <c r="A2479" t="s">
        <v>2485</v>
      </c>
      <c r="B2479" t="s">
        <v>10009</v>
      </c>
      <c r="C2479">
        <v>4</v>
      </c>
      <c r="D2479">
        <v>3</v>
      </c>
      <c r="E2479">
        <v>12</v>
      </c>
      <c r="F2479" t="s">
        <v>10069</v>
      </c>
      <c r="G2479" t="s">
        <v>10069</v>
      </c>
      <c r="H2479" s="6">
        <v>45236</v>
      </c>
      <c r="I2479">
        <f t="shared" si="76"/>
        <v>0</v>
      </c>
      <c r="J2479" t="str">
        <f t="shared" si="77"/>
        <v>Complete</v>
      </c>
      <c r="K2479">
        <f>COUNTIFS(RawData[Item], B2479,RawData[Quantity],C2479,RawData[Price Per Unit],D2479,RawData[Total Spent],E2479,RawData[Payment Method],F2479,RawData[Location],G2479,RawData[Transaction Date],H2479)</f>
        <v>1</v>
      </c>
      <c r="L2479"/>
    </row>
    <row r="2480" spans="1:12" x14ac:dyDescent="0.3">
      <c r="A2480" t="s">
        <v>2486</v>
      </c>
      <c r="B2480" t="s">
        <v>10011</v>
      </c>
      <c r="C2480">
        <v>4</v>
      </c>
      <c r="D2480">
        <v>5</v>
      </c>
      <c r="E2480">
        <v>20</v>
      </c>
      <c r="F2480" t="s">
        <v>10018</v>
      </c>
      <c r="G2480" t="s">
        <v>10102</v>
      </c>
      <c r="H2480" s="6">
        <v>44965</v>
      </c>
      <c r="I2480">
        <f t="shared" si="76"/>
        <v>0</v>
      </c>
      <c r="J2480" t="str">
        <f t="shared" si="77"/>
        <v>Complete</v>
      </c>
      <c r="K2480">
        <f>COUNTIFS(RawData[Item], B2480,RawData[Quantity],C2480,RawData[Price Per Unit],D2480,RawData[Total Spent],E2480,RawData[Payment Method],F2480,RawData[Location],G2480,RawData[Transaction Date],H2480)</f>
        <v>1</v>
      </c>
      <c r="L2480"/>
    </row>
    <row r="2481" spans="1:12" x14ac:dyDescent="0.3">
      <c r="A2481" t="s">
        <v>2487</v>
      </c>
      <c r="B2481" t="s">
        <v>10009</v>
      </c>
      <c r="C2481">
        <v>3</v>
      </c>
      <c r="D2481">
        <v>3</v>
      </c>
      <c r="E2481">
        <v>9</v>
      </c>
      <c r="F2481" t="s">
        <v>10069</v>
      </c>
      <c r="G2481" t="s">
        <v>10103</v>
      </c>
      <c r="H2481" s="6">
        <v>45223</v>
      </c>
      <c r="I2481">
        <f t="shared" si="76"/>
        <v>1</v>
      </c>
      <c r="J2481" t="str">
        <f t="shared" si="77"/>
        <v>Complete</v>
      </c>
      <c r="K2481">
        <f>COUNTIFS(RawData[Item], B2481,RawData[Quantity],C2481,RawData[Price Per Unit],D2481,RawData[Total Spent],E2481,RawData[Payment Method],F2481,RawData[Location],G2481,RawData[Transaction Date],H2481)</f>
        <v>1</v>
      </c>
      <c r="L2481"/>
    </row>
    <row r="2482" spans="1:12" x14ac:dyDescent="0.3">
      <c r="A2482" t="s">
        <v>2488</v>
      </c>
      <c r="B2482" t="s">
        <v>10011</v>
      </c>
      <c r="C2482">
        <v>5</v>
      </c>
      <c r="D2482">
        <v>5</v>
      </c>
      <c r="E2482">
        <v>25</v>
      </c>
      <c r="F2482" t="s">
        <v>10019</v>
      </c>
      <c r="G2482" t="s">
        <v>10069</v>
      </c>
      <c r="H2482" s="6">
        <v>45217</v>
      </c>
      <c r="I2482">
        <f t="shared" si="76"/>
        <v>0</v>
      </c>
      <c r="J2482" t="str">
        <f t="shared" si="77"/>
        <v>Complete</v>
      </c>
      <c r="K2482">
        <f>COUNTIFS(RawData[Item], B2482,RawData[Quantity],C2482,RawData[Price Per Unit],D2482,RawData[Total Spent],E2482,RawData[Payment Method],F2482,RawData[Location],G2482,RawData[Transaction Date],H2482)</f>
        <v>1</v>
      </c>
      <c r="L2482"/>
    </row>
    <row r="2483" spans="1:12" x14ac:dyDescent="0.3">
      <c r="A2483" t="s">
        <v>2489</v>
      </c>
      <c r="B2483" t="s">
        <v>10008</v>
      </c>
      <c r="C2483">
        <v>1</v>
      </c>
      <c r="D2483">
        <v>2</v>
      </c>
      <c r="E2483">
        <v>2</v>
      </c>
      <c r="F2483" t="s">
        <v>10019</v>
      </c>
      <c r="G2483" t="s">
        <v>10102</v>
      </c>
      <c r="H2483" s="6">
        <v>45212</v>
      </c>
      <c r="I2483">
        <f t="shared" si="76"/>
        <v>0</v>
      </c>
      <c r="J2483" t="str">
        <f t="shared" si="77"/>
        <v>Complete</v>
      </c>
      <c r="K2483">
        <f>COUNTIFS(RawData[Item], B2483,RawData[Quantity],C2483,RawData[Price Per Unit],D2483,RawData[Total Spent],E2483,RawData[Payment Method],F2483,RawData[Location],G2483,RawData[Transaction Date],H2483)</f>
        <v>1</v>
      </c>
      <c r="L2483"/>
    </row>
    <row r="2484" spans="1:12" x14ac:dyDescent="0.3">
      <c r="A2484" t="s">
        <v>2490</v>
      </c>
      <c r="B2484" t="s">
        <v>10009</v>
      </c>
      <c r="C2484">
        <v>4</v>
      </c>
      <c r="D2484">
        <v>3</v>
      </c>
      <c r="E2484">
        <v>12</v>
      </c>
      <c r="F2484" t="s">
        <v>10020</v>
      </c>
      <c r="G2484" t="s">
        <v>10102</v>
      </c>
      <c r="H2484" s="6">
        <v>45191</v>
      </c>
      <c r="I2484">
        <f t="shared" si="76"/>
        <v>0</v>
      </c>
      <c r="J2484" t="str">
        <f t="shared" si="77"/>
        <v>Complete</v>
      </c>
      <c r="K2484">
        <f>COUNTIFS(RawData[Item], B2484,RawData[Quantity],C2484,RawData[Price Per Unit],D2484,RawData[Total Spent],E2484,RawData[Payment Method],F2484,RawData[Location],G2484,RawData[Transaction Date],H2484)</f>
        <v>1</v>
      </c>
      <c r="L2484"/>
    </row>
    <row r="2485" spans="1:12" x14ac:dyDescent="0.3">
      <c r="A2485" t="s">
        <v>2491</v>
      </c>
      <c r="B2485" t="s">
        <v>10069</v>
      </c>
      <c r="C2485" t="s">
        <v>10015</v>
      </c>
      <c r="D2485">
        <v>5</v>
      </c>
      <c r="E2485">
        <v>20</v>
      </c>
      <c r="F2485" t="s">
        <v>10020</v>
      </c>
      <c r="G2485" t="s">
        <v>10069</v>
      </c>
      <c r="H2485" s="6">
        <v>45038</v>
      </c>
      <c r="I2485">
        <f t="shared" si="76"/>
        <v>1</v>
      </c>
      <c r="J2485" t="str">
        <f t="shared" si="77"/>
        <v>Complete</v>
      </c>
      <c r="K2485">
        <f>COUNTIFS(RawData[Item], B2485,RawData[Quantity],C2485,RawData[Price Per Unit],D2485,RawData[Total Spent],E2485,RawData[Payment Method],F2485,RawData[Location],G2485,RawData[Transaction Date],H2485)</f>
        <v>1</v>
      </c>
      <c r="L2485"/>
    </row>
    <row r="2486" spans="1:12" x14ac:dyDescent="0.3">
      <c r="A2486" t="s">
        <v>2492</v>
      </c>
      <c r="B2486" t="s">
        <v>10014</v>
      </c>
      <c r="C2486">
        <v>5</v>
      </c>
      <c r="D2486">
        <v>4</v>
      </c>
      <c r="E2486">
        <v>20</v>
      </c>
      <c r="F2486" t="s">
        <v>10020</v>
      </c>
      <c r="G2486" t="s">
        <v>10102</v>
      </c>
      <c r="H2486" s="6" t="s">
        <v>10112</v>
      </c>
      <c r="I2486">
        <f t="shared" si="76"/>
        <v>1</v>
      </c>
      <c r="J2486" t="str">
        <f t="shared" si="77"/>
        <v>Incomplete</v>
      </c>
      <c r="K2486">
        <f>COUNTIFS(RawData[Item], B2486,RawData[Quantity],C2486,RawData[Price Per Unit],D2486,RawData[Total Spent],E2486,RawData[Payment Method],F2486,RawData[Location],G2486,RawData[Transaction Date],H2486)</f>
        <v>2</v>
      </c>
      <c r="L2486"/>
    </row>
    <row r="2487" spans="1:12" x14ac:dyDescent="0.3">
      <c r="A2487" t="s">
        <v>2493</v>
      </c>
      <c r="B2487" t="s">
        <v>10012</v>
      </c>
      <c r="C2487">
        <v>3</v>
      </c>
      <c r="D2487">
        <v>4</v>
      </c>
      <c r="E2487">
        <v>12</v>
      </c>
      <c r="F2487" t="s">
        <v>10019</v>
      </c>
      <c r="G2487" t="s">
        <v>10102</v>
      </c>
      <c r="H2487" s="6">
        <v>45005</v>
      </c>
      <c r="I2487">
        <f t="shared" si="76"/>
        <v>0</v>
      </c>
      <c r="J2487" t="str">
        <f t="shared" si="77"/>
        <v>Complete</v>
      </c>
      <c r="K2487">
        <f>COUNTIFS(RawData[Item], B2487,RawData[Quantity],C2487,RawData[Price Per Unit],D2487,RawData[Total Spent],E2487,RawData[Payment Method],F2487,RawData[Location],G2487,RawData[Transaction Date],H2487)</f>
        <v>1</v>
      </c>
      <c r="L2487"/>
    </row>
    <row r="2488" spans="1:12" x14ac:dyDescent="0.3">
      <c r="A2488" t="s">
        <v>2494</v>
      </c>
      <c r="B2488" t="s">
        <v>10016</v>
      </c>
      <c r="C2488">
        <v>2</v>
      </c>
      <c r="D2488">
        <v>3</v>
      </c>
      <c r="E2488">
        <v>6</v>
      </c>
      <c r="F2488" t="s">
        <v>10020</v>
      </c>
      <c r="G2488" t="s">
        <v>10102</v>
      </c>
      <c r="H2488" s="6">
        <v>45107</v>
      </c>
      <c r="I2488">
        <f t="shared" si="76"/>
        <v>0</v>
      </c>
      <c r="J2488" t="str">
        <f t="shared" si="77"/>
        <v>Complete</v>
      </c>
      <c r="K2488">
        <f>COUNTIFS(RawData[Item], B2488,RawData[Quantity],C2488,RawData[Price Per Unit],D2488,RawData[Total Spent],E2488,RawData[Payment Method],F2488,RawData[Location],G2488,RawData[Transaction Date],H2488)</f>
        <v>1</v>
      </c>
      <c r="L2488"/>
    </row>
    <row r="2489" spans="1:12" x14ac:dyDescent="0.3">
      <c r="A2489" t="s">
        <v>2495</v>
      </c>
      <c r="B2489" t="s">
        <v>10069</v>
      </c>
      <c r="C2489">
        <v>3</v>
      </c>
      <c r="D2489">
        <v>5</v>
      </c>
      <c r="E2489">
        <v>15</v>
      </c>
      <c r="F2489" t="s">
        <v>10018</v>
      </c>
      <c r="G2489" t="s">
        <v>10102</v>
      </c>
      <c r="H2489" s="6">
        <v>44991</v>
      </c>
      <c r="I2489">
        <f t="shared" si="76"/>
        <v>0</v>
      </c>
      <c r="J2489" t="str">
        <f t="shared" si="77"/>
        <v>Complete</v>
      </c>
      <c r="K2489">
        <f>COUNTIFS(RawData[Item], B2489,RawData[Quantity],C2489,RawData[Price Per Unit],D2489,RawData[Total Spent],E2489,RawData[Payment Method],F2489,RawData[Location],G2489,RawData[Transaction Date],H2489)</f>
        <v>1</v>
      </c>
      <c r="L2489"/>
    </row>
    <row r="2490" spans="1:12" x14ac:dyDescent="0.3">
      <c r="A2490" t="s">
        <v>2496</v>
      </c>
      <c r="B2490" t="s">
        <v>10017</v>
      </c>
      <c r="C2490">
        <v>5</v>
      </c>
      <c r="D2490">
        <v>0</v>
      </c>
      <c r="E2490">
        <v>7.5</v>
      </c>
      <c r="F2490" t="s">
        <v>10103</v>
      </c>
      <c r="G2490" t="s">
        <v>10021</v>
      </c>
      <c r="H2490" s="6">
        <v>45089</v>
      </c>
      <c r="I2490">
        <f t="shared" si="76"/>
        <v>1</v>
      </c>
      <c r="J2490" t="str">
        <f t="shared" si="77"/>
        <v>Complete</v>
      </c>
      <c r="K2490">
        <f>COUNTIFS(RawData[Item], B2490,RawData[Quantity],C2490,RawData[Price Per Unit],D2490,RawData[Total Spent],E2490,RawData[Payment Method],F2490,RawData[Location],G2490,RawData[Transaction Date],H2490)</f>
        <v>1</v>
      </c>
      <c r="L2490"/>
    </row>
    <row r="2491" spans="1:12" x14ac:dyDescent="0.3">
      <c r="A2491" t="s">
        <v>2497</v>
      </c>
      <c r="B2491" t="s">
        <v>10016</v>
      </c>
      <c r="C2491">
        <v>2</v>
      </c>
      <c r="D2491">
        <v>3</v>
      </c>
      <c r="E2491">
        <v>6</v>
      </c>
      <c r="F2491" t="s">
        <v>10018</v>
      </c>
      <c r="G2491" t="s">
        <v>10021</v>
      </c>
      <c r="H2491" s="6">
        <v>44948</v>
      </c>
      <c r="I2491">
        <f t="shared" si="76"/>
        <v>0</v>
      </c>
      <c r="J2491" t="str">
        <f t="shared" si="77"/>
        <v>Complete</v>
      </c>
      <c r="K2491">
        <f>COUNTIFS(RawData[Item], B2491,RawData[Quantity],C2491,RawData[Price Per Unit],D2491,RawData[Total Spent],E2491,RawData[Payment Method],F2491,RawData[Location],G2491,RawData[Transaction Date],H2491)</f>
        <v>1</v>
      </c>
      <c r="L2491"/>
    </row>
    <row r="2492" spans="1:12" x14ac:dyDescent="0.3">
      <c r="A2492" t="s">
        <v>2498</v>
      </c>
      <c r="B2492" t="s">
        <v>10016</v>
      </c>
      <c r="C2492">
        <v>2</v>
      </c>
      <c r="D2492">
        <v>3</v>
      </c>
      <c r="E2492">
        <v>6</v>
      </c>
      <c r="F2492" t="s">
        <v>10020</v>
      </c>
      <c r="G2492" t="s">
        <v>10069</v>
      </c>
      <c r="H2492" s="6">
        <v>45102</v>
      </c>
      <c r="I2492">
        <f t="shared" si="76"/>
        <v>0</v>
      </c>
      <c r="J2492" t="str">
        <f t="shared" si="77"/>
        <v>Complete</v>
      </c>
      <c r="K2492">
        <f>COUNTIFS(RawData[Item], B2492,RawData[Quantity],C2492,RawData[Price Per Unit],D2492,RawData[Total Spent],E2492,RawData[Payment Method],F2492,RawData[Location],G2492,RawData[Transaction Date],H2492)</f>
        <v>1</v>
      </c>
      <c r="L2492"/>
    </row>
    <row r="2493" spans="1:12" x14ac:dyDescent="0.3">
      <c r="A2493" t="s">
        <v>2499</v>
      </c>
      <c r="B2493" t="s">
        <v>10010</v>
      </c>
      <c r="C2493">
        <v>1</v>
      </c>
      <c r="D2493">
        <v>1</v>
      </c>
      <c r="E2493">
        <v>1</v>
      </c>
      <c r="F2493" t="s">
        <v>10069</v>
      </c>
      <c r="G2493" t="s">
        <v>10069</v>
      </c>
      <c r="H2493" s="6">
        <v>45244</v>
      </c>
      <c r="I2493">
        <f t="shared" si="76"/>
        <v>0</v>
      </c>
      <c r="J2493" t="str">
        <f t="shared" si="77"/>
        <v>Complete</v>
      </c>
      <c r="K2493">
        <f>COUNTIFS(RawData[Item], B2493,RawData[Quantity],C2493,RawData[Price Per Unit],D2493,RawData[Total Spent],E2493,RawData[Payment Method],F2493,RawData[Location],G2493,RawData[Transaction Date],H2493)</f>
        <v>1</v>
      </c>
      <c r="L2493"/>
    </row>
    <row r="2494" spans="1:12" x14ac:dyDescent="0.3">
      <c r="A2494" t="s">
        <v>2500</v>
      </c>
      <c r="B2494" t="s">
        <v>10009</v>
      </c>
      <c r="C2494">
        <v>2</v>
      </c>
      <c r="D2494">
        <v>3</v>
      </c>
      <c r="E2494">
        <v>6</v>
      </c>
      <c r="F2494" t="s">
        <v>10018</v>
      </c>
      <c r="G2494" t="s">
        <v>10069</v>
      </c>
      <c r="H2494" s="6">
        <v>45181</v>
      </c>
      <c r="I2494">
        <f t="shared" si="76"/>
        <v>0</v>
      </c>
      <c r="J2494" t="str">
        <f t="shared" si="77"/>
        <v>Complete</v>
      </c>
      <c r="K2494">
        <f>COUNTIFS(RawData[Item], B2494,RawData[Quantity],C2494,RawData[Price Per Unit],D2494,RawData[Total Spent],E2494,RawData[Payment Method],F2494,RawData[Location],G2494,RawData[Transaction Date],H2494)</f>
        <v>1</v>
      </c>
      <c r="L2494"/>
    </row>
    <row r="2495" spans="1:12" x14ac:dyDescent="0.3">
      <c r="A2495" t="s">
        <v>2501</v>
      </c>
      <c r="B2495" t="s">
        <v>10011</v>
      </c>
      <c r="C2495">
        <v>1</v>
      </c>
      <c r="D2495">
        <v>5</v>
      </c>
      <c r="E2495">
        <v>5</v>
      </c>
      <c r="F2495" t="s">
        <v>10018</v>
      </c>
      <c r="G2495" t="s">
        <v>10021</v>
      </c>
      <c r="H2495" s="6">
        <v>45033</v>
      </c>
      <c r="I2495">
        <f t="shared" si="76"/>
        <v>0</v>
      </c>
      <c r="J2495" t="str">
        <f t="shared" si="77"/>
        <v>Complete</v>
      </c>
      <c r="K2495">
        <f>COUNTIFS(RawData[Item], B2495,RawData[Quantity],C2495,RawData[Price Per Unit],D2495,RawData[Total Spent],E2495,RawData[Payment Method],F2495,RawData[Location],G2495,RawData[Transaction Date],H2495)</f>
        <v>1</v>
      </c>
      <c r="L2495"/>
    </row>
    <row r="2496" spans="1:12" x14ac:dyDescent="0.3">
      <c r="A2496" t="s">
        <v>2502</v>
      </c>
      <c r="B2496" t="s">
        <v>10011</v>
      </c>
      <c r="C2496">
        <v>3</v>
      </c>
      <c r="D2496">
        <v>5</v>
      </c>
      <c r="E2496" t="s">
        <v>10013</v>
      </c>
      <c r="F2496" t="s">
        <v>10020</v>
      </c>
      <c r="G2496" t="s">
        <v>10021</v>
      </c>
      <c r="H2496" s="6">
        <v>45252</v>
      </c>
      <c r="I2496">
        <f t="shared" si="76"/>
        <v>1</v>
      </c>
      <c r="J2496" t="str">
        <f t="shared" si="77"/>
        <v>Complete</v>
      </c>
      <c r="K2496">
        <f>COUNTIFS(RawData[Item], B2496,RawData[Quantity],C2496,RawData[Price Per Unit],D2496,RawData[Total Spent],E2496,RawData[Payment Method],F2496,RawData[Location],G2496,RawData[Transaction Date],H2496)</f>
        <v>1</v>
      </c>
      <c r="L2496"/>
    </row>
    <row r="2497" spans="1:12" x14ac:dyDescent="0.3">
      <c r="A2497" t="s">
        <v>2503</v>
      </c>
      <c r="B2497" t="s">
        <v>10017</v>
      </c>
      <c r="C2497">
        <v>2</v>
      </c>
      <c r="D2497">
        <v>1.5</v>
      </c>
      <c r="E2497">
        <v>3</v>
      </c>
      <c r="F2497" t="s">
        <v>10019</v>
      </c>
      <c r="G2497" t="s">
        <v>10102</v>
      </c>
      <c r="H2497" s="6">
        <v>45179</v>
      </c>
      <c r="I2497">
        <f t="shared" si="76"/>
        <v>0</v>
      </c>
      <c r="J2497" t="str">
        <f t="shared" si="77"/>
        <v>Complete</v>
      </c>
      <c r="K2497">
        <f>COUNTIFS(RawData[Item], B2497,RawData[Quantity],C2497,RawData[Price Per Unit],D2497,RawData[Total Spent],E2497,RawData[Payment Method],F2497,RawData[Location],G2497,RawData[Transaction Date],H2497)</f>
        <v>1</v>
      </c>
      <c r="L2497"/>
    </row>
    <row r="2498" spans="1:12" x14ac:dyDescent="0.3">
      <c r="A2498" t="s">
        <v>2504</v>
      </c>
      <c r="B2498" t="s">
        <v>10016</v>
      </c>
      <c r="C2498">
        <v>5</v>
      </c>
      <c r="D2498">
        <v>3</v>
      </c>
      <c r="E2498">
        <v>15</v>
      </c>
      <c r="F2498" t="s">
        <v>10020</v>
      </c>
      <c r="G2498" t="s">
        <v>10102</v>
      </c>
      <c r="H2498" s="6">
        <v>45001</v>
      </c>
      <c r="I2498">
        <f t="shared" ref="I2498:I2561" si="78">(B2498="Unknown")+(B2498="Error")+(C2498="Unknown")+(C2498="Error")+(D2498="Unknown")+(D2498="Error")+(E2498="Unknown")+(E2498="Error")+(F2498="Unknown")+(F2498="Error")+(G2498="Unknown")+(G2498="Error")+(H2498="No Date")</f>
        <v>0</v>
      </c>
      <c r="J2498" t="str">
        <f t="shared" ref="J2498:J2561" si="79">IF((H2498="No Date"),"Incomplete","Complete")</f>
        <v>Complete</v>
      </c>
      <c r="K2498">
        <f>COUNTIFS(RawData[Item], B2498,RawData[Quantity],C2498,RawData[Price Per Unit],D2498,RawData[Total Spent],E2498,RawData[Payment Method],F2498,RawData[Location],G2498,RawData[Transaction Date],H2498)</f>
        <v>1</v>
      </c>
      <c r="L2498"/>
    </row>
    <row r="2499" spans="1:12" x14ac:dyDescent="0.3">
      <c r="A2499" t="s">
        <v>2505</v>
      </c>
      <c r="B2499" t="s">
        <v>10009</v>
      </c>
      <c r="C2499">
        <v>5</v>
      </c>
      <c r="D2499">
        <v>3</v>
      </c>
      <c r="E2499">
        <v>15</v>
      </c>
      <c r="F2499" t="s">
        <v>10069</v>
      </c>
      <c r="G2499" t="s">
        <v>10069</v>
      </c>
      <c r="H2499" s="6">
        <v>45198</v>
      </c>
      <c r="I2499">
        <f t="shared" si="78"/>
        <v>0</v>
      </c>
      <c r="J2499" t="str">
        <f t="shared" si="79"/>
        <v>Complete</v>
      </c>
      <c r="K2499">
        <f>COUNTIFS(RawData[Item], B2499,RawData[Quantity],C2499,RawData[Price Per Unit],D2499,RawData[Total Spent],E2499,RawData[Payment Method],F2499,RawData[Location],G2499,RawData[Transaction Date],H2499)</f>
        <v>2</v>
      </c>
      <c r="L2499"/>
    </row>
    <row r="2500" spans="1:12" x14ac:dyDescent="0.3">
      <c r="A2500" t="s">
        <v>2506</v>
      </c>
      <c r="B2500" t="s">
        <v>10009</v>
      </c>
      <c r="C2500">
        <v>4</v>
      </c>
      <c r="D2500">
        <v>3</v>
      </c>
      <c r="E2500">
        <v>12</v>
      </c>
      <c r="F2500" t="s">
        <v>10018</v>
      </c>
      <c r="G2500" t="s">
        <v>10102</v>
      </c>
      <c r="H2500" s="6">
        <v>45210</v>
      </c>
      <c r="I2500">
        <f t="shared" si="78"/>
        <v>0</v>
      </c>
      <c r="J2500" t="str">
        <f t="shared" si="79"/>
        <v>Complete</v>
      </c>
      <c r="K2500">
        <f>COUNTIFS(RawData[Item], B2500,RawData[Quantity],C2500,RawData[Price Per Unit],D2500,RawData[Total Spent],E2500,RawData[Payment Method],F2500,RawData[Location],G2500,RawData[Transaction Date],H2500)</f>
        <v>1</v>
      </c>
      <c r="L2500"/>
    </row>
    <row r="2501" spans="1:12" x14ac:dyDescent="0.3">
      <c r="A2501" t="s">
        <v>2507</v>
      </c>
      <c r="B2501" t="s">
        <v>10010</v>
      </c>
      <c r="C2501">
        <v>5</v>
      </c>
      <c r="D2501">
        <v>1</v>
      </c>
      <c r="E2501">
        <v>5</v>
      </c>
      <c r="F2501" t="s">
        <v>10018</v>
      </c>
      <c r="G2501" t="s">
        <v>10021</v>
      </c>
      <c r="H2501" s="6">
        <v>45110</v>
      </c>
      <c r="I2501">
        <f t="shared" si="78"/>
        <v>0</v>
      </c>
      <c r="J2501" t="str">
        <f t="shared" si="79"/>
        <v>Complete</v>
      </c>
      <c r="K2501">
        <f>COUNTIFS(RawData[Item], B2501,RawData[Quantity],C2501,RawData[Price Per Unit],D2501,RawData[Total Spent],E2501,RawData[Payment Method],F2501,RawData[Location],G2501,RawData[Transaction Date],H2501)</f>
        <v>1</v>
      </c>
      <c r="L2501"/>
    </row>
    <row r="2502" spans="1:12" x14ac:dyDescent="0.3">
      <c r="A2502" t="s">
        <v>2508</v>
      </c>
      <c r="B2502" t="s">
        <v>10010</v>
      </c>
      <c r="C2502">
        <v>5</v>
      </c>
      <c r="D2502">
        <v>1</v>
      </c>
      <c r="E2502">
        <v>5</v>
      </c>
      <c r="F2502" t="s">
        <v>10020</v>
      </c>
      <c r="G2502" t="s">
        <v>10021</v>
      </c>
      <c r="H2502" s="6">
        <v>44958</v>
      </c>
      <c r="I2502">
        <f t="shared" si="78"/>
        <v>0</v>
      </c>
      <c r="J2502" t="str">
        <f t="shared" si="79"/>
        <v>Complete</v>
      </c>
      <c r="K2502">
        <f>COUNTIFS(RawData[Item], B2502,RawData[Quantity],C2502,RawData[Price Per Unit],D2502,RawData[Total Spent],E2502,RawData[Payment Method],F2502,RawData[Location],G2502,RawData[Transaction Date],H2502)</f>
        <v>1</v>
      </c>
      <c r="L2502"/>
    </row>
    <row r="2503" spans="1:12" x14ac:dyDescent="0.3">
      <c r="A2503" t="s">
        <v>2509</v>
      </c>
      <c r="B2503" t="s">
        <v>10012</v>
      </c>
      <c r="C2503">
        <v>5</v>
      </c>
      <c r="D2503">
        <v>4</v>
      </c>
      <c r="E2503">
        <v>20</v>
      </c>
      <c r="F2503" t="s">
        <v>10020</v>
      </c>
      <c r="G2503" t="s">
        <v>10102</v>
      </c>
      <c r="H2503" s="6">
        <v>44958</v>
      </c>
      <c r="I2503">
        <f t="shared" si="78"/>
        <v>0</v>
      </c>
      <c r="J2503" t="str">
        <f t="shared" si="79"/>
        <v>Complete</v>
      </c>
      <c r="K2503">
        <f>COUNTIFS(RawData[Item], B2503,RawData[Quantity],C2503,RawData[Price Per Unit],D2503,RawData[Total Spent],E2503,RawData[Payment Method],F2503,RawData[Location],G2503,RawData[Transaction Date],H2503)</f>
        <v>1</v>
      </c>
      <c r="L2503"/>
    </row>
    <row r="2504" spans="1:12" x14ac:dyDescent="0.3">
      <c r="A2504" t="s">
        <v>2510</v>
      </c>
      <c r="B2504" t="s">
        <v>10011</v>
      </c>
      <c r="C2504">
        <v>5</v>
      </c>
      <c r="D2504">
        <v>5</v>
      </c>
      <c r="E2504">
        <v>25</v>
      </c>
      <c r="F2504" t="s">
        <v>10069</v>
      </c>
      <c r="G2504" t="s">
        <v>10069</v>
      </c>
      <c r="H2504" s="6">
        <v>45225</v>
      </c>
      <c r="I2504">
        <f t="shared" si="78"/>
        <v>0</v>
      </c>
      <c r="J2504" t="str">
        <f t="shared" si="79"/>
        <v>Complete</v>
      </c>
      <c r="K2504">
        <f>COUNTIFS(RawData[Item], B2504,RawData[Quantity],C2504,RawData[Price Per Unit],D2504,RawData[Total Spent],E2504,RawData[Payment Method],F2504,RawData[Location],G2504,RawData[Transaction Date],H2504)</f>
        <v>1</v>
      </c>
      <c r="L2504"/>
    </row>
    <row r="2505" spans="1:12" x14ac:dyDescent="0.3">
      <c r="A2505" t="s">
        <v>2511</v>
      </c>
      <c r="B2505" t="s">
        <v>10017</v>
      </c>
      <c r="C2505">
        <v>2</v>
      </c>
      <c r="D2505">
        <v>1.5</v>
      </c>
      <c r="E2505">
        <v>3</v>
      </c>
      <c r="F2505" t="s">
        <v>10020</v>
      </c>
      <c r="G2505" t="s">
        <v>10103</v>
      </c>
      <c r="H2505" s="6" t="s">
        <v>10112</v>
      </c>
      <c r="I2505">
        <f t="shared" si="78"/>
        <v>2</v>
      </c>
      <c r="J2505" t="str">
        <f t="shared" si="79"/>
        <v>Incomplete</v>
      </c>
      <c r="K2505">
        <f>COUNTIFS(RawData[Item], B2505,RawData[Quantity],C2505,RawData[Price Per Unit],D2505,RawData[Total Spent],E2505,RawData[Payment Method],F2505,RawData[Location],G2505,RawData[Transaction Date],H2505)</f>
        <v>1</v>
      </c>
      <c r="L2505"/>
    </row>
    <row r="2506" spans="1:12" x14ac:dyDescent="0.3">
      <c r="A2506" t="s">
        <v>2512</v>
      </c>
      <c r="B2506" t="s">
        <v>10010</v>
      </c>
      <c r="C2506">
        <v>5</v>
      </c>
      <c r="D2506">
        <v>1</v>
      </c>
      <c r="E2506">
        <v>5</v>
      </c>
      <c r="F2506" t="s">
        <v>10069</v>
      </c>
      <c r="G2506" t="s">
        <v>10102</v>
      </c>
      <c r="H2506" s="6">
        <v>45007</v>
      </c>
      <c r="I2506">
        <f t="shared" si="78"/>
        <v>0</v>
      </c>
      <c r="J2506" t="str">
        <f t="shared" si="79"/>
        <v>Complete</v>
      </c>
      <c r="K2506">
        <f>COUNTIFS(RawData[Item], B2506,RawData[Quantity],C2506,RawData[Price Per Unit],D2506,RawData[Total Spent],E2506,RawData[Payment Method],F2506,RawData[Location],G2506,RawData[Transaction Date],H2506)</f>
        <v>1</v>
      </c>
      <c r="L2506"/>
    </row>
    <row r="2507" spans="1:12" x14ac:dyDescent="0.3">
      <c r="A2507" t="s">
        <v>2513</v>
      </c>
      <c r="B2507" t="s">
        <v>10017</v>
      </c>
      <c r="C2507">
        <v>4</v>
      </c>
      <c r="D2507">
        <v>1.5</v>
      </c>
      <c r="E2507">
        <v>6</v>
      </c>
      <c r="F2507" t="s">
        <v>10020</v>
      </c>
      <c r="G2507" t="s">
        <v>10102</v>
      </c>
      <c r="H2507" s="6">
        <v>44983</v>
      </c>
      <c r="I2507">
        <f t="shared" si="78"/>
        <v>0</v>
      </c>
      <c r="J2507" t="str">
        <f t="shared" si="79"/>
        <v>Complete</v>
      </c>
      <c r="K2507">
        <f>COUNTIFS(RawData[Item], B2507,RawData[Quantity],C2507,RawData[Price Per Unit],D2507,RawData[Total Spent],E2507,RawData[Payment Method],F2507,RawData[Location],G2507,RawData[Transaction Date],H2507)</f>
        <v>1</v>
      </c>
      <c r="L2507"/>
    </row>
    <row r="2508" spans="1:12" x14ac:dyDescent="0.3">
      <c r="A2508" t="s">
        <v>2514</v>
      </c>
      <c r="B2508" t="s">
        <v>10017</v>
      </c>
      <c r="C2508">
        <v>4</v>
      </c>
      <c r="D2508">
        <v>0</v>
      </c>
      <c r="E2508">
        <v>6</v>
      </c>
      <c r="F2508" t="s">
        <v>10019</v>
      </c>
      <c r="G2508" t="s">
        <v>10069</v>
      </c>
      <c r="H2508" s="6">
        <v>45063</v>
      </c>
      <c r="I2508">
        <f t="shared" si="78"/>
        <v>0</v>
      </c>
      <c r="J2508" t="str">
        <f t="shared" si="79"/>
        <v>Complete</v>
      </c>
      <c r="K2508">
        <f>COUNTIFS(RawData[Item], B2508,RawData[Quantity],C2508,RawData[Price Per Unit],D2508,RawData[Total Spent],E2508,RawData[Payment Method],F2508,RawData[Location],G2508,RawData[Transaction Date],H2508)</f>
        <v>1</v>
      </c>
      <c r="L2508"/>
    </row>
    <row r="2509" spans="1:12" x14ac:dyDescent="0.3">
      <c r="A2509" t="s">
        <v>2515</v>
      </c>
      <c r="B2509" t="s">
        <v>10008</v>
      </c>
      <c r="C2509">
        <v>4</v>
      </c>
      <c r="D2509">
        <v>2</v>
      </c>
      <c r="E2509">
        <v>8</v>
      </c>
      <c r="F2509" t="s">
        <v>10019</v>
      </c>
      <c r="G2509" t="s">
        <v>10021</v>
      </c>
      <c r="H2509" s="6">
        <v>44932</v>
      </c>
      <c r="I2509">
        <f t="shared" si="78"/>
        <v>0</v>
      </c>
      <c r="J2509" t="str">
        <f t="shared" si="79"/>
        <v>Complete</v>
      </c>
      <c r="K2509">
        <f>COUNTIFS(RawData[Item], B2509,RawData[Quantity],C2509,RawData[Price Per Unit],D2509,RawData[Total Spent],E2509,RawData[Payment Method],F2509,RawData[Location],G2509,RawData[Transaction Date],H2509)</f>
        <v>1</v>
      </c>
      <c r="L2509"/>
    </row>
    <row r="2510" spans="1:12" x14ac:dyDescent="0.3">
      <c r="A2510" t="s">
        <v>2516</v>
      </c>
      <c r="B2510" t="s">
        <v>10010</v>
      </c>
      <c r="C2510">
        <v>1</v>
      </c>
      <c r="D2510">
        <v>1</v>
      </c>
      <c r="E2510">
        <v>1</v>
      </c>
      <c r="F2510" t="s">
        <v>10069</v>
      </c>
      <c r="G2510" t="s">
        <v>10069</v>
      </c>
      <c r="H2510" s="6">
        <v>45016</v>
      </c>
      <c r="I2510">
        <f t="shared" si="78"/>
        <v>0</v>
      </c>
      <c r="J2510" t="str">
        <f t="shared" si="79"/>
        <v>Complete</v>
      </c>
      <c r="K2510">
        <f>COUNTIFS(RawData[Item], B2510,RawData[Quantity],C2510,RawData[Price Per Unit],D2510,RawData[Total Spent],E2510,RawData[Payment Method],F2510,RawData[Location],G2510,RawData[Transaction Date],H2510)</f>
        <v>1</v>
      </c>
      <c r="L2510"/>
    </row>
    <row r="2511" spans="1:12" x14ac:dyDescent="0.3">
      <c r="A2511" t="s">
        <v>2517</v>
      </c>
      <c r="B2511" t="s">
        <v>10010</v>
      </c>
      <c r="C2511">
        <v>4</v>
      </c>
      <c r="D2511">
        <v>1</v>
      </c>
      <c r="E2511">
        <v>4</v>
      </c>
      <c r="F2511" t="s">
        <v>10019</v>
      </c>
      <c r="G2511" t="s">
        <v>10021</v>
      </c>
      <c r="H2511" s="6" t="s">
        <v>10112</v>
      </c>
      <c r="I2511">
        <f t="shared" si="78"/>
        <v>1</v>
      </c>
      <c r="J2511" t="str">
        <f t="shared" si="79"/>
        <v>Incomplete</v>
      </c>
      <c r="K2511">
        <f>COUNTIFS(RawData[Item], B2511,RawData[Quantity],C2511,RawData[Price Per Unit],D2511,RawData[Total Spent],E2511,RawData[Payment Method],F2511,RawData[Location],G2511,RawData[Transaction Date],H2511)</f>
        <v>1</v>
      </c>
      <c r="L2511"/>
    </row>
    <row r="2512" spans="1:12" x14ac:dyDescent="0.3">
      <c r="A2512" t="s">
        <v>2518</v>
      </c>
      <c r="B2512" t="s">
        <v>10010</v>
      </c>
      <c r="C2512">
        <v>5</v>
      </c>
      <c r="D2512">
        <v>1</v>
      </c>
      <c r="E2512">
        <v>5</v>
      </c>
      <c r="F2512" t="s">
        <v>10020</v>
      </c>
      <c r="G2512" t="s">
        <v>10021</v>
      </c>
      <c r="H2512" s="6">
        <v>45035</v>
      </c>
      <c r="I2512">
        <f t="shared" si="78"/>
        <v>0</v>
      </c>
      <c r="J2512" t="str">
        <f t="shared" si="79"/>
        <v>Complete</v>
      </c>
      <c r="K2512">
        <f>COUNTIFS(RawData[Item], B2512,RawData[Quantity],C2512,RawData[Price Per Unit],D2512,RawData[Total Spent],E2512,RawData[Payment Method],F2512,RawData[Location],G2512,RawData[Transaction Date],H2512)</f>
        <v>1</v>
      </c>
      <c r="L2512"/>
    </row>
    <row r="2513" spans="1:12" x14ac:dyDescent="0.3">
      <c r="A2513" t="s">
        <v>2519</v>
      </c>
      <c r="B2513" t="s">
        <v>10010</v>
      </c>
      <c r="C2513">
        <v>3</v>
      </c>
      <c r="D2513">
        <v>1</v>
      </c>
      <c r="E2513">
        <v>3</v>
      </c>
      <c r="F2513" t="s">
        <v>10020</v>
      </c>
      <c r="G2513" t="s">
        <v>10069</v>
      </c>
      <c r="H2513" s="6">
        <v>45102</v>
      </c>
      <c r="I2513">
        <f t="shared" si="78"/>
        <v>0</v>
      </c>
      <c r="J2513" t="str">
        <f t="shared" si="79"/>
        <v>Complete</v>
      </c>
      <c r="K2513">
        <f>COUNTIFS(RawData[Item], B2513,RawData[Quantity],C2513,RawData[Price Per Unit],D2513,RawData[Total Spent],E2513,RawData[Payment Method],F2513,RawData[Location],G2513,RawData[Transaction Date],H2513)</f>
        <v>1</v>
      </c>
      <c r="L2513"/>
    </row>
    <row r="2514" spans="1:12" x14ac:dyDescent="0.3">
      <c r="A2514" t="s">
        <v>2520</v>
      </c>
      <c r="B2514" t="s">
        <v>10011</v>
      </c>
      <c r="C2514">
        <v>5</v>
      </c>
      <c r="D2514">
        <v>5</v>
      </c>
      <c r="E2514">
        <v>25</v>
      </c>
      <c r="F2514" t="s">
        <v>10019</v>
      </c>
      <c r="G2514" t="s">
        <v>10069</v>
      </c>
      <c r="H2514" s="6">
        <v>45247</v>
      </c>
      <c r="I2514">
        <f t="shared" si="78"/>
        <v>0</v>
      </c>
      <c r="J2514" t="str">
        <f t="shared" si="79"/>
        <v>Complete</v>
      </c>
      <c r="K2514">
        <f>COUNTIFS(RawData[Item], B2514,RawData[Quantity],C2514,RawData[Price Per Unit],D2514,RawData[Total Spent],E2514,RawData[Payment Method],F2514,RawData[Location],G2514,RawData[Transaction Date],H2514)</f>
        <v>1</v>
      </c>
      <c r="L2514"/>
    </row>
    <row r="2515" spans="1:12" x14ac:dyDescent="0.3">
      <c r="A2515" t="s">
        <v>2521</v>
      </c>
      <c r="B2515" t="s">
        <v>10009</v>
      </c>
      <c r="C2515">
        <v>2</v>
      </c>
      <c r="D2515">
        <v>3</v>
      </c>
      <c r="E2515">
        <v>6</v>
      </c>
      <c r="F2515" t="s">
        <v>10019</v>
      </c>
      <c r="G2515" t="s">
        <v>10102</v>
      </c>
      <c r="H2515" s="6">
        <v>44998</v>
      </c>
      <c r="I2515">
        <f t="shared" si="78"/>
        <v>0</v>
      </c>
      <c r="J2515" t="str">
        <f t="shared" si="79"/>
        <v>Complete</v>
      </c>
      <c r="K2515">
        <f>COUNTIFS(RawData[Item], B2515,RawData[Quantity],C2515,RawData[Price Per Unit],D2515,RawData[Total Spent],E2515,RawData[Payment Method],F2515,RawData[Location],G2515,RawData[Transaction Date],H2515)</f>
        <v>1</v>
      </c>
      <c r="L2515"/>
    </row>
    <row r="2516" spans="1:12" x14ac:dyDescent="0.3">
      <c r="A2516" t="s">
        <v>2522</v>
      </c>
      <c r="B2516" t="s">
        <v>10012</v>
      </c>
      <c r="C2516">
        <v>4</v>
      </c>
      <c r="D2516">
        <v>4</v>
      </c>
      <c r="E2516">
        <v>16</v>
      </c>
      <c r="F2516" t="s">
        <v>10019</v>
      </c>
      <c r="G2516" t="s">
        <v>10069</v>
      </c>
      <c r="H2516" s="6">
        <v>45139</v>
      </c>
      <c r="I2516">
        <f t="shared" si="78"/>
        <v>0</v>
      </c>
      <c r="J2516" t="str">
        <f t="shared" si="79"/>
        <v>Complete</v>
      </c>
      <c r="K2516">
        <f>COUNTIFS(RawData[Item], B2516,RawData[Quantity],C2516,RawData[Price Per Unit],D2516,RawData[Total Spent],E2516,RawData[Payment Method],F2516,RawData[Location],G2516,RawData[Transaction Date],H2516)</f>
        <v>1</v>
      </c>
      <c r="L2516"/>
    </row>
    <row r="2517" spans="1:12" x14ac:dyDescent="0.3">
      <c r="A2517" t="s">
        <v>2523</v>
      </c>
      <c r="B2517" t="s">
        <v>10010</v>
      </c>
      <c r="C2517" t="s">
        <v>10013</v>
      </c>
      <c r="D2517">
        <v>1</v>
      </c>
      <c r="E2517">
        <v>1</v>
      </c>
      <c r="F2517" t="s">
        <v>10069</v>
      </c>
      <c r="G2517" t="s">
        <v>10069</v>
      </c>
      <c r="H2517" s="6">
        <v>45124</v>
      </c>
      <c r="I2517">
        <f t="shared" si="78"/>
        <v>1</v>
      </c>
      <c r="J2517" t="str">
        <f t="shared" si="79"/>
        <v>Complete</v>
      </c>
      <c r="K2517">
        <f>COUNTIFS(RawData[Item], B2517,RawData[Quantity],C2517,RawData[Price Per Unit],D2517,RawData[Total Spent],E2517,RawData[Payment Method],F2517,RawData[Location],G2517,RawData[Transaction Date],H2517)</f>
        <v>1</v>
      </c>
      <c r="L2517"/>
    </row>
    <row r="2518" spans="1:12" x14ac:dyDescent="0.3">
      <c r="A2518" t="s">
        <v>2524</v>
      </c>
      <c r="B2518" t="s">
        <v>10015</v>
      </c>
      <c r="C2518">
        <v>5</v>
      </c>
      <c r="D2518">
        <v>4</v>
      </c>
      <c r="E2518">
        <v>20</v>
      </c>
      <c r="F2518" t="s">
        <v>10069</v>
      </c>
      <c r="G2518" t="s">
        <v>10069</v>
      </c>
      <c r="H2518" s="6">
        <v>45187</v>
      </c>
      <c r="I2518">
        <f t="shared" si="78"/>
        <v>1</v>
      </c>
      <c r="J2518" t="str">
        <f t="shared" si="79"/>
        <v>Complete</v>
      </c>
      <c r="K2518">
        <f>COUNTIFS(RawData[Item], B2518,RawData[Quantity],C2518,RawData[Price Per Unit],D2518,RawData[Total Spent],E2518,RawData[Payment Method],F2518,RawData[Location],G2518,RawData[Transaction Date],H2518)</f>
        <v>1</v>
      </c>
      <c r="L2518"/>
    </row>
    <row r="2519" spans="1:12" x14ac:dyDescent="0.3">
      <c r="A2519" t="s">
        <v>2525</v>
      </c>
      <c r="B2519" t="s">
        <v>10011</v>
      </c>
      <c r="C2519">
        <v>4</v>
      </c>
      <c r="D2519">
        <v>5</v>
      </c>
      <c r="E2519">
        <v>20</v>
      </c>
      <c r="F2519" t="s">
        <v>10019</v>
      </c>
      <c r="G2519" t="s">
        <v>10102</v>
      </c>
      <c r="H2519" s="6">
        <v>45089</v>
      </c>
      <c r="I2519">
        <f t="shared" si="78"/>
        <v>0</v>
      </c>
      <c r="J2519" t="str">
        <f t="shared" si="79"/>
        <v>Complete</v>
      </c>
      <c r="K2519">
        <f>COUNTIFS(RawData[Item], B2519,RawData[Quantity],C2519,RawData[Price Per Unit],D2519,RawData[Total Spent],E2519,RawData[Payment Method],F2519,RawData[Location],G2519,RawData[Transaction Date],H2519)</f>
        <v>1</v>
      </c>
      <c r="L2519"/>
    </row>
    <row r="2520" spans="1:12" x14ac:dyDescent="0.3">
      <c r="A2520" t="s">
        <v>2526</v>
      </c>
      <c r="B2520" t="s">
        <v>10016</v>
      </c>
      <c r="C2520">
        <v>3</v>
      </c>
      <c r="D2520">
        <v>3</v>
      </c>
      <c r="E2520">
        <v>9</v>
      </c>
      <c r="F2520" t="s">
        <v>10103</v>
      </c>
      <c r="G2520" t="s">
        <v>10102</v>
      </c>
      <c r="H2520" s="6">
        <v>45111</v>
      </c>
      <c r="I2520">
        <f t="shared" si="78"/>
        <v>1</v>
      </c>
      <c r="J2520" t="str">
        <f t="shared" si="79"/>
        <v>Complete</v>
      </c>
      <c r="K2520">
        <f>COUNTIFS(RawData[Item], B2520,RawData[Quantity],C2520,RawData[Price Per Unit],D2520,RawData[Total Spent],E2520,RawData[Payment Method],F2520,RawData[Location],G2520,RawData[Transaction Date],H2520)</f>
        <v>1</v>
      </c>
      <c r="L2520"/>
    </row>
    <row r="2521" spans="1:12" x14ac:dyDescent="0.3">
      <c r="A2521" t="s">
        <v>2527</v>
      </c>
      <c r="B2521" t="s">
        <v>10015</v>
      </c>
      <c r="C2521">
        <v>4</v>
      </c>
      <c r="D2521">
        <v>1</v>
      </c>
      <c r="E2521" t="s">
        <v>10013</v>
      </c>
      <c r="F2521" t="s">
        <v>10018</v>
      </c>
      <c r="G2521" t="s">
        <v>10021</v>
      </c>
      <c r="H2521" s="6">
        <v>45003</v>
      </c>
      <c r="I2521">
        <f t="shared" si="78"/>
        <v>2</v>
      </c>
      <c r="J2521" t="str">
        <f t="shared" si="79"/>
        <v>Complete</v>
      </c>
      <c r="K2521">
        <f>COUNTIFS(RawData[Item], B2521,RawData[Quantity],C2521,RawData[Price Per Unit],D2521,RawData[Total Spent],E2521,RawData[Payment Method],F2521,RawData[Location],G2521,RawData[Transaction Date],H2521)</f>
        <v>1</v>
      </c>
      <c r="L2521"/>
    </row>
    <row r="2522" spans="1:12" x14ac:dyDescent="0.3">
      <c r="A2522" t="s">
        <v>2528</v>
      </c>
      <c r="B2522" t="s">
        <v>10011</v>
      </c>
      <c r="C2522">
        <v>1</v>
      </c>
      <c r="D2522">
        <v>5</v>
      </c>
      <c r="E2522">
        <v>5</v>
      </c>
      <c r="F2522" t="s">
        <v>10069</v>
      </c>
      <c r="G2522" t="s">
        <v>10069</v>
      </c>
      <c r="H2522" s="6">
        <v>45120</v>
      </c>
      <c r="I2522">
        <f t="shared" si="78"/>
        <v>0</v>
      </c>
      <c r="J2522" t="str">
        <f t="shared" si="79"/>
        <v>Complete</v>
      </c>
      <c r="K2522">
        <f>COUNTIFS(RawData[Item], B2522,RawData[Quantity],C2522,RawData[Price Per Unit],D2522,RawData[Total Spent],E2522,RawData[Payment Method],F2522,RawData[Location],G2522,RawData[Transaction Date],H2522)</f>
        <v>1</v>
      </c>
      <c r="L2522"/>
    </row>
    <row r="2523" spans="1:12" x14ac:dyDescent="0.3">
      <c r="A2523" t="s">
        <v>2529</v>
      </c>
      <c r="B2523" t="s">
        <v>10009</v>
      </c>
      <c r="C2523">
        <v>4</v>
      </c>
      <c r="D2523">
        <v>3</v>
      </c>
      <c r="E2523">
        <v>12</v>
      </c>
      <c r="F2523" t="s">
        <v>10019</v>
      </c>
      <c r="G2523" t="s">
        <v>10104</v>
      </c>
      <c r="H2523" s="6">
        <v>44998</v>
      </c>
      <c r="I2523">
        <f t="shared" si="78"/>
        <v>1</v>
      </c>
      <c r="J2523" t="str">
        <f t="shared" si="79"/>
        <v>Complete</v>
      </c>
      <c r="K2523">
        <f>COUNTIFS(RawData[Item], B2523,RawData[Quantity],C2523,RawData[Price Per Unit],D2523,RawData[Total Spent],E2523,RawData[Payment Method],F2523,RawData[Location],G2523,RawData[Transaction Date],H2523)</f>
        <v>1</v>
      </c>
      <c r="L2523"/>
    </row>
    <row r="2524" spans="1:12" x14ac:dyDescent="0.3">
      <c r="A2524" t="s">
        <v>2530</v>
      </c>
      <c r="B2524" t="s">
        <v>10010</v>
      </c>
      <c r="C2524">
        <v>3</v>
      </c>
      <c r="D2524">
        <v>1</v>
      </c>
      <c r="E2524">
        <v>3</v>
      </c>
      <c r="F2524" t="s">
        <v>10020</v>
      </c>
      <c r="G2524" t="s">
        <v>10069</v>
      </c>
      <c r="H2524" s="6">
        <v>45100</v>
      </c>
      <c r="I2524">
        <f t="shared" si="78"/>
        <v>0</v>
      </c>
      <c r="J2524" t="str">
        <f t="shared" si="79"/>
        <v>Complete</v>
      </c>
      <c r="K2524">
        <f>COUNTIFS(RawData[Item], B2524,RawData[Quantity],C2524,RawData[Price Per Unit],D2524,RawData[Total Spent],E2524,RawData[Payment Method],F2524,RawData[Location],G2524,RawData[Transaction Date],H2524)</f>
        <v>1</v>
      </c>
      <c r="L2524"/>
    </row>
    <row r="2525" spans="1:12" x14ac:dyDescent="0.3">
      <c r="A2525" t="s">
        <v>2531</v>
      </c>
      <c r="B2525" t="s">
        <v>10014</v>
      </c>
      <c r="C2525">
        <v>2</v>
      </c>
      <c r="D2525">
        <v>4</v>
      </c>
      <c r="E2525">
        <v>8</v>
      </c>
      <c r="F2525" t="s">
        <v>10103</v>
      </c>
      <c r="G2525" t="s">
        <v>10104</v>
      </c>
      <c r="H2525" s="6">
        <v>45110</v>
      </c>
      <c r="I2525">
        <f t="shared" si="78"/>
        <v>2</v>
      </c>
      <c r="J2525" t="str">
        <f t="shared" si="79"/>
        <v>Complete</v>
      </c>
      <c r="K2525">
        <f>COUNTIFS(RawData[Item], B2525,RawData[Quantity],C2525,RawData[Price Per Unit],D2525,RawData[Total Spent],E2525,RawData[Payment Method],F2525,RawData[Location],G2525,RawData[Transaction Date],H2525)</f>
        <v>1</v>
      </c>
      <c r="L2525"/>
    </row>
    <row r="2526" spans="1:12" x14ac:dyDescent="0.3">
      <c r="A2526" t="s">
        <v>2532</v>
      </c>
      <c r="B2526" t="s">
        <v>10008</v>
      </c>
      <c r="C2526">
        <v>5</v>
      </c>
      <c r="D2526">
        <v>2</v>
      </c>
      <c r="E2526">
        <v>10</v>
      </c>
      <c r="F2526" t="s">
        <v>10069</v>
      </c>
      <c r="G2526" t="s">
        <v>10021</v>
      </c>
      <c r="H2526" s="6">
        <v>44966</v>
      </c>
      <c r="I2526">
        <f t="shared" si="78"/>
        <v>0</v>
      </c>
      <c r="J2526" t="str">
        <f t="shared" si="79"/>
        <v>Complete</v>
      </c>
      <c r="K2526">
        <f>COUNTIFS(RawData[Item], B2526,RawData[Quantity],C2526,RawData[Price Per Unit],D2526,RawData[Total Spent],E2526,RawData[Payment Method],F2526,RawData[Location],G2526,RawData[Transaction Date],H2526)</f>
        <v>1</v>
      </c>
      <c r="L2526"/>
    </row>
    <row r="2527" spans="1:12" x14ac:dyDescent="0.3">
      <c r="A2527" t="s">
        <v>2533</v>
      </c>
      <c r="B2527" t="s">
        <v>10011</v>
      </c>
      <c r="C2527">
        <v>3</v>
      </c>
      <c r="D2527">
        <v>5</v>
      </c>
      <c r="E2527">
        <v>15</v>
      </c>
      <c r="F2527" t="s">
        <v>10069</v>
      </c>
      <c r="G2527" t="s">
        <v>10021</v>
      </c>
      <c r="H2527" s="6">
        <v>45081</v>
      </c>
      <c r="I2527">
        <f t="shared" si="78"/>
        <v>0</v>
      </c>
      <c r="J2527" t="str">
        <f t="shared" si="79"/>
        <v>Complete</v>
      </c>
      <c r="K2527">
        <f>COUNTIFS(RawData[Item], B2527,RawData[Quantity],C2527,RawData[Price Per Unit],D2527,RawData[Total Spent],E2527,RawData[Payment Method],F2527,RawData[Location],G2527,RawData[Transaction Date],H2527)</f>
        <v>1</v>
      </c>
      <c r="L2527"/>
    </row>
    <row r="2528" spans="1:12" x14ac:dyDescent="0.3">
      <c r="A2528" t="s">
        <v>2534</v>
      </c>
      <c r="B2528" t="s">
        <v>10016</v>
      </c>
      <c r="C2528">
        <v>5</v>
      </c>
      <c r="D2528">
        <v>3</v>
      </c>
      <c r="E2528">
        <v>15</v>
      </c>
      <c r="F2528" t="s">
        <v>10019</v>
      </c>
      <c r="G2528" t="s">
        <v>10021</v>
      </c>
      <c r="H2528" s="6">
        <v>44963</v>
      </c>
      <c r="I2528">
        <f t="shared" si="78"/>
        <v>0</v>
      </c>
      <c r="J2528" t="str">
        <f t="shared" si="79"/>
        <v>Complete</v>
      </c>
      <c r="K2528">
        <f>COUNTIFS(RawData[Item], B2528,RawData[Quantity],C2528,RawData[Price Per Unit],D2528,RawData[Total Spent],E2528,RawData[Payment Method],F2528,RawData[Location],G2528,RawData[Transaction Date],H2528)</f>
        <v>1</v>
      </c>
      <c r="L2528"/>
    </row>
    <row r="2529" spans="1:12" x14ac:dyDescent="0.3">
      <c r="A2529" t="s">
        <v>2535</v>
      </c>
      <c r="B2529" t="s">
        <v>10017</v>
      </c>
      <c r="C2529">
        <v>3</v>
      </c>
      <c r="D2529">
        <v>1.5</v>
      </c>
      <c r="E2529">
        <v>4.5</v>
      </c>
      <c r="F2529" t="s">
        <v>10069</v>
      </c>
      <c r="G2529" t="s">
        <v>10069</v>
      </c>
      <c r="H2529" s="6">
        <v>44964</v>
      </c>
      <c r="I2529">
        <f t="shared" si="78"/>
        <v>0</v>
      </c>
      <c r="J2529" t="str">
        <f t="shared" si="79"/>
        <v>Complete</v>
      </c>
      <c r="K2529">
        <f>COUNTIFS(RawData[Item], B2529,RawData[Quantity],C2529,RawData[Price Per Unit],D2529,RawData[Total Spent],E2529,RawData[Payment Method],F2529,RawData[Location],G2529,RawData[Transaction Date],H2529)</f>
        <v>1</v>
      </c>
      <c r="L2529"/>
    </row>
    <row r="2530" spans="1:12" x14ac:dyDescent="0.3">
      <c r="A2530" t="s">
        <v>2536</v>
      </c>
      <c r="B2530" t="s">
        <v>10010</v>
      </c>
      <c r="C2530">
        <v>3</v>
      </c>
      <c r="D2530">
        <v>1</v>
      </c>
      <c r="E2530">
        <v>3</v>
      </c>
      <c r="F2530" t="s">
        <v>10018</v>
      </c>
      <c r="G2530" t="s">
        <v>10102</v>
      </c>
      <c r="H2530" s="6">
        <v>45290</v>
      </c>
      <c r="I2530">
        <f t="shared" si="78"/>
        <v>0</v>
      </c>
      <c r="J2530" t="str">
        <f t="shared" si="79"/>
        <v>Complete</v>
      </c>
      <c r="K2530">
        <f>COUNTIFS(RawData[Item], B2530,RawData[Quantity],C2530,RawData[Price Per Unit],D2530,RawData[Total Spent],E2530,RawData[Payment Method],F2530,RawData[Location],G2530,RawData[Transaction Date],H2530)</f>
        <v>1</v>
      </c>
      <c r="L2530"/>
    </row>
    <row r="2531" spans="1:12" x14ac:dyDescent="0.3">
      <c r="A2531" t="s">
        <v>2537</v>
      </c>
      <c r="B2531" t="s">
        <v>10010</v>
      </c>
      <c r="C2531">
        <v>2</v>
      </c>
      <c r="D2531">
        <v>1</v>
      </c>
      <c r="E2531">
        <v>2</v>
      </c>
      <c r="F2531" t="s">
        <v>10018</v>
      </c>
      <c r="G2531" t="s">
        <v>10102</v>
      </c>
      <c r="H2531" s="6">
        <v>45062</v>
      </c>
      <c r="I2531">
        <f t="shared" si="78"/>
        <v>0</v>
      </c>
      <c r="J2531" t="str">
        <f t="shared" si="79"/>
        <v>Complete</v>
      </c>
      <c r="K2531">
        <f>COUNTIFS(RawData[Item], B2531,RawData[Quantity],C2531,RawData[Price Per Unit],D2531,RawData[Total Spent],E2531,RawData[Payment Method],F2531,RawData[Location],G2531,RawData[Transaction Date],H2531)</f>
        <v>1</v>
      </c>
      <c r="L2531"/>
    </row>
    <row r="2532" spans="1:12" x14ac:dyDescent="0.3">
      <c r="A2532" t="s">
        <v>2538</v>
      </c>
      <c r="B2532" t="s">
        <v>10017</v>
      </c>
      <c r="C2532">
        <v>2</v>
      </c>
      <c r="D2532">
        <v>0</v>
      </c>
      <c r="E2532">
        <v>3</v>
      </c>
      <c r="F2532" t="s">
        <v>10018</v>
      </c>
      <c r="G2532" t="s">
        <v>10102</v>
      </c>
      <c r="H2532" s="6">
        <v>45019</v>
      </c>
      <c r="I2532">
        <f t="shared" si="78"/>
        <v>0</v>
      </c>
      <c r="J2532" t="str">
        <f t="shared" si="79"/>
        <v>Complete</v>
      </c>
      <c r="K2532">
        <f>COUNTIFS(RawData[Item], B2532,RawData[Quantity],C2532,RawData[Price Per Unit],D2532,RawData[Total Spent],E2532,RawData[Payment Method],F2532,RawData[Location],G2532,RawData[Transaction Date],H2532)</f>
        <v>1</v>
      </c>
      <c r="L2532"/>
    </row>
    <row r="2533" spans="1:12" x14ac:dyDescent="0.3">
      <c r="A2533" t="s">
        <v>2539</v>
      </c>
      <c r="B2533" t="s">
        <v>10009</v>
      </c>
      <c r="C2533">
        <v>2</v>
      </c>
      <c r="D2533">
        <v>3</v>
      </c>
      <c r="E2533">
        <v>6</v>
      </c>
      <c r="F2533" t="s">
        <v>10018</v>
      </c>
      <c r="G2533" t="s">
        <v>10102</v>
      </c>
      <c r="H2533" s="6">
        <v>45090</v>
      </c>
      <c r="I2533">
        <f t="shared" si="78"/>
        <v>0</v>
      </c>
      <c r="J2533" t="str">
        <f t="shared" si="79"/>
        <v>Complete</v>
      </c>
      <c r="K2533">
        <f>COUNTIFS(RawData[Item], B2533,RawData[Quantity],C2533,RawData[Price Per Unit],D2533,RawData[Total Spent],E2533,RawData[Payment Method],F2533,RawData[Location],G2533,RawData[Transaction Date],H2533)</f>
        <v>1</v>
      </c>
      <c r="L2533"/>
    </row>
    <row r="2534" spans="1:12" x14ac:dyDescent="0.3">
      <c r="A2534" t="s">
        <v>2540</v>
      </c>
      <c r="B2534" t="s">
        <v>10011</v>
      </c>
      <c r="C2534">
        <v>5</v>
      </c>
      <c r="D2534">
        <v>0</v>
      </c>
      <c r="E2534">
        <v>25</v>
      </c>
      <c r="F2534" t="s">
        <v>10018</v>
      </c>
      <c r="G2534" t="s">
        <v>10102</v>
      </c>
      <c r="H2534" s="6">
        <v>45094</v>
      </c>
      <c r="I2534">
        <f t="shared" si="78"/>
        <v>0</v>
      </c>
      <c r="J2534" t="str">
        <f t="shared" si="79"/>
        <v>Complete</v>
      </c>
      <c r="K2534">
        <f>COUNTIFS(RawData[Item], B2534,RawData[Quantity],C2534,RawData[Price Per Unit],D2534,RawData[Total Spent],E2534,RawData[Payment Method],F2534,RawData[Location],G2534,RawData[Transaction Date],H2534)</f>
        <v>1</v>
      </c>
      <c r="L2534"/>
    </row>
    <row r="2535" spans="1:12" x14ac:dyDescent="0.3">
      <c r="A2535" t="s">
        <v>2541</v>
      </c>
      <c r="B2535" t="s">
        <v>10009</v>
      </c>
      <c r="C2535">
        <v>2</v>
      </c>
      <c r="D2535">
        <v>3</v>
      </c>
      <c r="E2535" t="s">
        <v>10015</v>
      </c>
      <c r="F2535" t="s">
        <v>10020</v>
      </c>
      <c r="G2535" t="s">
        <v>10069</v>
      </c>
      <c r="H2535" s="6">
        <v>45197</v>
      </c>
      <c r="I2535">
        <f t="shared" si="78"/>
        <v>1</v>
      </c>
      <c r="J2535" t="str">
        <f t="shared" si="79"/>
        <v>Complete</v>
      </c>
      <c r="K2535">
        <f>COUNTIFS(RawData[Item], B2535,RawData[Quantity],C2535,RawData[Price Per Unit],D2535,RawData[Total Spent],E2535,RawData[Payment Method],F2535,RawData[Location],G2535,RawData[Transaction Date],H2535)</f>
        <v>1</v>
      </c>
      <c r="L2535"/>
    </row>
    <row r="2536" spans="1:12" x14ac:dyDescent="0.3">
      <c r="A2536" t="s">
        <v>2542</v>
      </c>
      <c r="B2536" t="s">
        <v>10017</v>
      </c>
      <c r="C2536">
        <v>5</v>
      </c>
      <c r="D2536">
        <v>1.5</v>
      </c>
      <c r="E2536">
        <v>7.5</v>
      </c>
      <c r="F2536" t="s">
        <v>10069</v>
      </c>
      <c r="G2536" t="s">
        <v>10021</v>
      </c>
      <c r="H2536" s="6">
        <v>45105</v>
      </c>
      <c r="I2536">
        <f t="shared" si="78"/>
        <v>0</v>
      </c>
      <c r="J2536" t="str">
        <f t="shared" si="79"/>
        <v>Complete</v>
      </c>
      <c r="K2536">
        <f>COUNTIFS(RawData[Item], B2536,RawData[Quantity],C2536,RawData[Price Per Unit],D2536,RawData[Total Spent],E2536,RawData[Payment Method],F2536,RawData[Location],G2536,RawData[Transaction Date],H2536)</f>
        <v>1</v>
      </c>
      <c r="L2536"/>
    </row>
    <row r="2537" spans="1:12" x14ac:dyDescent="0.3">
      <c r="A2537" t="s">
        <v>2543</v>
      </c>
      <c r="B2537" t="s">
        <v>10016</v>
      </c>
      <c r="C2537">
        <v>1</v>
      </c>
      <c r="D2537">
        <v>3</v>
      </c>
      <c r="E2537">
        <v>3</v>
      </c>
      <c r="F2537" t="s">
        <v>10018</v>
      </c>
      <c r="G2537" t="s">
        <v>10021</v>
      </c>
      <c r="H2537" s="6">
        <v>45180</v>
      </c>
      <c r="I2537">
        <f t="shared" si="78"/>
        <v>0</v>
      </c>
      <c r="J2537" t="str">
        <f t="shared" si="79"/>
        <v>Complete</v>
      </c>
      <c r="K2537">
        <f>COUNTIFS(RawData[Item], B2537,RawData[Quantity],C2537,RawData[Price Per Unit],D2537,RawData[Total Spent],E2537,RawData[Payment Method],F2537,RawData[Location],G2537,RawData[Transaction Date],H2537)</f>
        <v>1</v>
      </c>
      <c r="L2537"/>
    </row>
    <row r="2538" spans="1:12" x14ac:dyDescent="0.3">
      <c r="A2538" t="s">
        <v>2544</v>
      </c>
      <c r="B2538" t="s">
        <v>10008</v>
      </c>
      <c r="C2538">
        <v>3</v>
      </c>
      <c r="D2538">
        <v>2</v>
      </c>
      <c r="E2538">
        <v>6</v>
      </c>
      <c r="F2538" t="s">
        <v>10020</v>
      </c>
      <c r="G2538" t="s">
        <v>10069</v>
      </c>
      <c r="H2538" s="6">
        <v>45219</v>
      </c>
      <c r="I2538">
        <f t="shared" si="78"/>
        <v>0</v>
      </c>
      <c r="J2538" t="str">
        <f t="shared" si="79"/>
        <v>Complete</v>
      </c>
      <c r="K2538">
        <f>COUNTIFS(RawData[Item], B2538,RawData[Quantity],C2538,RawData[Price Per Unit],D2538,RawData[Total Spent],E2538,RawData[Payment Method],F2538,RawData[Location],G2538,RawData[Transaction Date],H2538)</f>
        <v>1</v>
      </c>
      <c r="L2538"/>
    </row>
    <row r="2539" spans="1:12" x14ac:dyDescent="0.3">
      <c r="A2539" t="s">
        <v>2545</v>
      </c>
      <c r="B2539" t="s">
        <v>10010</v>
      </c>
      <c r="C2539">
        <v>2</v>
      </c>
      <c r="D2539">
        <v>1</v>
      </c>
      <c r="E2539">
        <v>2</v>
      </c>
      <c r="F2539" t="s">
        <v>10019</v>
      </c>
      <c r="G2539" t="s">
        <v>10021</v>
      </c>
      <c r="H2539" s="6">
        <v>45231</v>
      </c>
      <c r="I2539">
        <f t="shared" si="78"/>
        <v>0</v>
      </c>
      <c r="J2539" t="str">
        <f t="shared" si="79"/>
        <v>Complete</v>
      </c>
      <c r="K2539">
        <f>COUNTIFS(RawData[Item], B2539,RawData[Quantity],C2539,RawData[Price Per Unit],D2539,RawData[Total Spent],E2539,RawData[Payment Method],F2539,RawData[Location],G2539,RawData[Transaction Date],H2539)</f>
        <v>1</v>
      </c>
      <c r="L2539"/>
    </row>
    <row r="2540" spans="1:12" x14ac:dyDescent="0.3">
      <c r="A2540" t="s">
        <v>2546</v>
      </c>
      <c r="B2540" t="s">
        <v>10016</v>
      </c>
      <c r="C2540">
        <v>4</v>
      </c>
      <c r="D2540">
        <v>3</v>
      </c>
      <c r="E2540">
        <v>12</v>
      </c>
      <c r="F2540" t="s">
        <v>10019</v>
      </c>
      <c r="G2540" t="s">
        <v>10102</v>
      </c>
      <c r="H2540" s="6">
        <v>45208</v>
      </c>
      <c r="I2540">
        <f t="shared" si="78"/>
        <v>0</v>
      </c>
      <c r="J2540" t="str">
        <f t="shared" si="79"/>
        <v>Complete</v>
      </c>
      <c r="K2540">
        <f>COUNTIFS(RawData[Item], B2540,RawData[Quantity],C2540,RawData[Price Per Unit],D2540,RawData[Total Spent],E2540,RawData[Payment Method],F2540,RawData[Location],G2540,RawData[Transaction Date],H2540)</f>
        <v>1</v>
      </c>
      <c r="L2540"/>
    </row>
    <row r="2541" spans="1:12" x14ac:dyDescent="0.3">
      <c r="A2541" t="s">
        <v>2547</v>
      </c>
      <c r="B2541" t="s">
        <v>10017</v>
      </c>
      <c r="C2541">
        <v>2</v>
      </c>
      <c r="D2541">
        <v>1.5</v>
      </c>
      <c r="E2541">
        <v>3</v>
      </c>
      <c r="F2541" t="s">
        <v>10020</v>
      </c>
      <c r="G2541" t="s">
        <v>10102</v>
      </c>
      <c r="H2541" s="6">
        <v>44986</v>
      </c>
      <c r="I2541">
        <f t="shared" si="78"/>
        <v>0</v>
      </c>
      <c r="J2541" t="str">
        <f t="shared" si="79"/>
        <v>Complete</v>
      </c>
      <c r="K2541">
        <f>COUNTIFS(RawData[Item], B2541,RawData[Quantity],C2541,RawData[Price Per Unit],D2541,RawData[Total Spent],E2541,RawData[Payment Method],F2541,RawData[Location],G2541,RawData[Transaction Date],H2541)</f>
        <v>1</v>
      </c>
      <c r="L2541"/>
    </row>
    <row r="2542" spans="1:12" x14ac:dyDescent="0.3">
      <c r="A2542" t="s">
        <v>2548</v>
      </c>
      <c r="B2542" t="s">
        <v>10016</v>
      </c>
      <c r="C2542">
        <v>2</v>
      </c>
      <c r="D2542">
        <v>3</v>
      </c>
      <c r="E2542">
        <v>6</v>
      </c>
      <c r="F2542" t="s">
        <v>10069</v>
      </c>
      <c r="G2542" t="s">
        <v>10021</v>
      </c>
      <c r="H2542" s="6" t="s">
        <v>10112</v>
      </c>
      <c r="I2542">
        <f t="shared" si="78"/>
        <v>1</v>
      </c>
      <c r="J2542" t="str">
        <f t="shared" si="79"/>
        <v>Incomplete</v>
      </c>
      <c r="K2542">
        <f>COUNTIFS(RawData[Item], B2542,RawData[Quantity],C2542,RawData[Price Per Unit],D2542,RawData[Total Spent],E2542,RawData[Payment Method],F2542,RawData[Location],G2542,RawData[Transaction Date],H2542)</f>
        <v>1</v>
      </c>
      <c r="L2542"/>
    </row>
    <row r="2543" spans="1:12" x14ac:dyDescent="0.3">
      <c r="A2543" t="s">
        <v>2549</v>
      </c>
      <c r="B2543" t="s">
        <v>10008</v>
      </c>
      <c r="C2543">
        <v>5</v>
      </c>
      <c r="D2543">
        <v>2</v>
      </c>
      <c r="E2543">
        <v>10</v>
      </c>
      <c r="F2543" t="s">
        <v>10019</v>
      </c>
      <c r="G2543" t="s">
        <v>10102</v>
      </c>
      <c r="H2543" s="6">
        <v>45256</v>
      </c>
      <c r="I2543">
        <f t="shared" si="78"/>
        <v>0</v>
      </c>
      <c r="J2543" t="str">
        <f t="shared" si="79"/>
        <v>Complete</v>
      </c>
      <c r="K2543">
        <f>COUNTIFS(RawData[Item], B2543,RawData[Quantity],C2543,RawData[Price Per Unit],D2543,RawData[Total Spent],E2543,RawData[Payment Method],F2543,RawData[Location],G2543,RawData[Transaction Date],H2543)</f>
        <v>1</v>
      </c>
      <c r="L2543"/>
    </row>
    <row r="2544" spans="1:12" x14ac:dyDescent="0.3">
      <c r="A2544" t="s">
        <v>2550</v>
      </c>
      <c r="B2544" t="s">
        <v>10010</v>
      </c>
      <c r="C2544">
        <v>1</v>
      </c>
      <c r="D2544">
        <v>1</v>
      </c>
      <c r="E2544">
        <v>1</v>
      </c>
      <c r="F2544" t="s">
        <v>10020</v>
      </c>
      <c r="G2544" t="s">
        <v>10069</v>
      </c>
      <c r="H2544" s="6">
        <v>45231</v>
      </c>
      <c r="I2544">
        <f t="shared" si="78"/>
        <v>0</v>
      </c>
      <c r="J2544" t="str">
        <f t="shared" si="79"/>
        <v>Complete</v>
      </c>
      <c r="K2544">
        <f>COUNTIFS(RawData[Item], B2544,RawData[Quantity],C2544,RawData[Price Per Unit],D2544,RawData[Total Spent],E2544,RawData[Payment Method],F2544,RawData[Location],G2544,RawData[Transaction Date],H2544)</f>
        <v>1</v>
      </c>
      <c r="L2544"/>
    </row>
    <row r="2545" spans="1:12" x14ac:dyDescent="0.3">
      <c r="A2545" t="s">
        <v>2551</v>
      </c>
      <c r="B2545" t="s">
        <v>10016</v>
      </c>
      <c r="C2545">
        <v>2</v>
      </c>
      <c r="D2545">
        <v>3</v>
      </c>
      <c r="E2545">
        <v>6</v>
      </c>
      <c r="F2545" t="s">
        <v>10069</v>
      </c>
      <c r="G2545" t="s">
        <v>10102</v>
      </c>
      <c r="H2545" s="6">
        <v>45024</v>
      </c>
      <c r="I2545">
        <f t="shared" si="78"/>
        <v>0</v>
      </c>
      <c r="J2545" t="str">
        <f t="shared" si="79"/>
        <v>Complete</v>
      </c>
      <c r="K2545">
        <f>COUNTIFS(RawData[Item], B2545,RawData[Quantity],C2545,RawData[Price Per Unit],D2545,RawData[Total Spent],E2545,RawData[Payment Method],F2545,RawData[Location],G2545,RawData[Transaction Date],H2545)</f>
        <v>1</v>
      </c>
      <c r="L2545"/>
    </row>
    <row r="2546" spans="1:12" x14ac:dyDescent="0.3">
      <c r="A2546" t="s">
        <v>2552</v>
      </c>
      <c r="B2546" t="s">
        <v>10014</v>
      </c>
      <c r="C2546">
        <v>4</v>
      </c>
      <c r="D2546">
        <v>4</v>
      </c>
      <c r="E2546">
        <v>16</v>
      </c>
      <c r="F2546" t="s">
        <v>10020</v>
      </c>
      <c r="G2546" t="s">
        <v>10069</v>
      </c>
      <c r="H2546" s="6">
        <v>44944</v>
      </c>
      <c r="I2546">
        <f t="shared" si="78"/>
        <v>0</v>
      </c>
      <c r="J2546" t="str">
        <f t="shared" si="79"/>
        <v>Complete</v>
      </c>
      <c r="K2546">
        <f>COUNTIFS(RawData[Item], B2546,RawData[Quantity],C2546,RawData[Price Per Unit],D2546,RawData[Total Spent],E2546,RawData[Payment Method],F2546,RawData[Location],G2546,RawData[Transaction Date],H2546)</f>
        <v>1</v>
      </c>
      <c r="L2546"/>
    </row>
    <row r="2547" spans="1:12" x14ac:dyDescent="0.3">
      <c r="A2547" t="s">
        <v>2553</v>
      </c>
      <c r="B2547" t="s">
        <v>10008</v>
      </c>
      <c r="C2547">
        <v>5</v>
      </c>
      <c r="D2547">
        <v>2</v>
      </c>
      <c r="E2547">
        <v>10</v>
      </c>
      <c r="F2547" t="s">
        <v>10018</v>
      </c>
      <c r="G2547" t="s">
        <v>10104</v>
      </c>
      <c r="H2547" s="6">
        <v>44942</v>
      </c>
      <c r="I2547">
        <f t="shared" si="78"/>
        <v>1</v>
      </c>
      <c r="J2547" t="str">
        <f t="shared" si="79"/>
        <v>Complete</v>
      </c>
      <c r="K2547">
        <f>COUNTIFS(RawData[Item], B2547,RawData[Quantity],C2547,RawData[Price Per Unit],D2547,RawData[Total Spent],E2547,RawData[Payment Method],F2547,RawData[Location],G2547,RawData[Transaction Date],H2547)</f>
        <v>1</v>
      </c>
      <c r="L2547"/>
    </row>
    <row r="2548" spans="1:12" x14ac:dyDescent="0.3">
      <c r="A2548" t="s">
        <v>2554</v>
      </c>
      <c r="B2548" t="s">
        <v>10009</v>
      </c>
      <c r="C2548">
        <v>1</v>
      </c>
      <c r="D2548">
        <v>3</v>
      </c>
      <c r="E2548">
        <v>3</v>
      </c>
      <c r="F2548" t="s">
        <v>10019</v>
      </c>
      <c r="G2548" t="s">
        <v>10069</v>
      </c>
      <c r="H2548" s="6">
        <v>45004</v>
      </c>
      <c r="I2548">
        <f t="shared" si="78"/>
        <v>0</v>
      </c>
      <c r="J2548" t="str">
        <f t="shared" si="79"/>
        <v>Complete</v>
      </c>
      <c r="K2548">
        <f>COUNTIFS(RawData[Item], B2548,RawData[Quantity],C2548,RawData[Price Per Unit],D2548,RawData[Total Spent],E2548,RawData[Payment Method],F2548,RawData[Location],G2548,RawData[Transaction Date],H2548)</f>
        <v>2</v>
      </c>
      <c r="L2548"/>
    </row>
    <row r="2549" spans="1:12" x14ac:dyDescent="0.3">
      <c r="A2549" t="s">
        <v>2555</v>
      </c>
      <c r="B2549" t="s">
        <v>10008</v>
      </c>
      <c r="C2549">
        <v>4</v>
      </c>
      <c r="D2549">
        <v>2</v>
      </c>
      <c r="E2549">
        <v>0</v>
      </c>
      <c r="F2549" t="s">
        <v>10018</v>
      </c>
      <c r="G2549" t="s">
        <v>10069</v>
      </c>
      <c r="H2549" s="6">
        <v>45086</v>
      </c>
      <c r="I2549">
        <f t="shared" si="78"/>
        <v>0</v>
      </c>
      <c r="J2549" t="str">
        <f t="shared" si="79"/>
        <v>Complete</v>
      </c>
      <c r="K2549">
        <f>COUNTIFS(RawData[Item], B2549,RawData[Quantity],C2549,RawData[Price Per Unit],D2549,RawData[Total Spent],E2549,RawData[Payment Method],F2549,RawData[Location],G2549,RawData[Transaction Date],H2549)</f>
        <v>1</v>
      </c>
      <c r="L2549"/>
    </row>
    <row r="2550" spans="1:12" x14ac:dyDescent="0.3">
      <c r="A2550" t="s">
        <v>2556</v>
      </c>
      <c r="B2550" t="s">
        <v>10008</v>
      </c>
      <c r="C2550">
        <v>4</v>
      </c>
      <c r="D2550">
        <v>2</v>
      </c>
      <c r="E2550">
        <v>8</v>
      </c>
      <c r="F2550" t="s">
        <v>10019</v>
      </c>
      <c r="G2550" t="s">
        <v>10102</v>
      </c>
      <c r="H2550" s="6">
        <v>45012</v>
      </c>
      <c r="I2550">
        <f t="shared" si="78"/>
        <v>0</v>
      </c>
      <c r="J2550" t="str">
        <f t="shared" si="79"/>
        <v>Complete</v>
      </c>
      <c r="K2550">
        <f>COUNTIFS(RawData[Item], B2550,RawData[Quantity],C2550,RawData[Price Per Unit],D2550,RawData[Total Spent],E2550,RawData[Payment Method],F2550,RawData[Location],G2550,RawData[Transaction Date],H2550)</f>
        <v>1</v>
      </c>
      <c r="L2550"/>
    </row>
    <row r="2551" spans="1:12" x14ac:dyDescent="0.3">
      <c r="A2551" t="s">
        <v>2557</v>
      </c>
      <c r="B2551" t="s">
        <v>10011</v>
      </c>
      <c r="C2551">
        <v>2</v>
      </c>
      <c r="D2551">
        <v>5</v>
      </c>
      <c r="E2551">
        <v>10</v>
      </c>
      <c r="F2551" t="s">
        <v>10018</v>
      </c>
      <c r="G2551" t="s">
        <v>10103</v>
      </c>
      <c r="H2551" s="6" t="s">
        <v>10112</v>
      </c>
      <c r="I2551">
        <f t="shared" si="78"/>
        <v>2</v>
      </c>
      <c r="J2551" t="str">
        <f t="shared" si="79"/>
        <v>Incomplete</v>
      </c>
      <c r="K2551">
        <f>COUNTIFS(RawData[Item], B2551,RawData[Quantity],C2551,RawData[Price Per Unit],D2551,RawData[Total Spent],E2551,RawData[Payment Method],F2551,RawData[Location],G2551,RawData[Transaction Date],H2551)</f>
        <v>1</v>
      </c>
      <c r="L2551"/>
    </row>
    <row r="2552" spans="1:12" x14ac:dyDescent="0.3">
      <c r="A2552" t="s">
        <v>2558</v>
      </c>
      <c r="B2552" t="s">
        <v>10014</v>
      </c>
      <c r="C2552">
        <v>5</v>
      </c>
      <c r="D2552">
        <v>4</v>
      </c>
      <c r="E2552">
        <v>20</v>
      </c>
      <c r="F2552" t="s">
        <v>10020</v>
      </c>
      <c r="G2552" t="s">
        <v>10069</v>
      </c>
      <c r="H2552" s="6">
        <v>45111</v>
      </c>
      <c r="I2552">
        <f t="shared" si="78"/>
        <v>0</v>
      </c>
      <c r="J2552" t="str">
        <f t="shared" si="79"/>
        <v>Complete</v>
      </c>
      <c r="K2552">
        <f>COUNTIFS(RawData[Item], B2552,RawData[Quantity],C2552,RawData[Price Per Unit],D2552,RawData[Total Spent],E2552,RawData[Payment Method],F2552,RawData[Location],G2552,RawData[Transaction Date],H2552)</f>
        <v>1</v>
      </c>
      <c r="L2552"/>
    </row>
    <row r="2553" spans="1:12" x14ac:dyDescent="0.3">
      <c r="A2553" t="s">
        <v>2559</v>
      </c>
      <c r="B2553" t="s">
        <v>10011</v>
      </c>
      <c r="C2553">
        <v>3</v>
      </c>
      <c r="D2553">
        <v>5</v>
      </c>
      <c r="E2553">
        <v>15</v>
      </c>
      <c r="F2553" t="s">
        <v>10018</v>
      </c>
      <c r="G2553" t="s">
        <v>10069</v>
      </c>
      <c r="H2553" s="6">
        <v>45172</v>
      </c>
      <c r="I2553">
        <f t="shared" si="78"/>
        <v>0</v>
      </c>
      <c r="J2553" t="str">
        <f t="shared" si="79"/>
        <v>Complete</v>
      </c>
      <c r="K2553">
        <f>COUNTIFS(RawData[Item], B2553,RawData[Quantity],C2553,RawData[Price Per Unit],D2553,RawData[Total Spent],E2553,RawData[Payment Method],F2553,RawData[Location],G2553,RawData[Transaction Date],H2553)</f>
        <v>1</v>
      </c>
      <c r="L2553"/>
    </row>
    <row r="2554" spans="1:12" x14ac:dyDescent="0.3">
      <c r="A2554" t="s">
        <v>2560</v>
      </c>
      <c r="B2554" t="s">
        <v>10012</v>
      </c>
      <c r="C2554">
        <v>2</v>
      </c>
      <c r="D2554">
        <v>4</v>
      </c>
      <c r="E2554">
        <v>8</v>
      </c>
      <c r="F2554" t="s">
        <v>10020</v>
      </c>
      <c r="G2554" t="s">
        <v>10103</v>
      </c>
      <c r="H2554" s="6">
        <v>45103</v>
      </c>
      <c r="I2554">
        <f t="shared" si="78"/>
        <v>1</v>
      </c>
      <c r="J2554" t="str">
        <f t="shared" si="79"/>
        <v>Complete</v>
      </c>
      <c r="K2554">
        <f>COUNTIFS(RawData[Item], B2554,RawData[Quantity],C2554,RawData[Price Per Unit],D2554,RawData[Total Spent],E2554,RawData[Payment Method],F2554,RawData[Location],G2554,RawData[Transaction Date],H2554)</f>
        <v>1</v>
      </c>
      <c r="L2554"/>
    </row>
    <row r="2555" spans="1:12" x14ac:dyDescent="0.3">
      <c r="A2555" t="s">
        <v>2561</v>
      </c>
      <c r="B2555" t="s">
        <v>10008</v>
      </c>
      <c r="C2555">
        <v>3</v>
      </c>
      <c r="D2555">
        <v>2</v>
      </c>
      <c r="E2555">
        <v>6</v>
      </c>
      <c r="F2555" t="s">
        <v>10020</v>
      </c>
      <c r="G2555" t="s">
        <v>10021</v>
      </c>
      <c r="H2555" s="6">
        <v>45034</v>
      </c>
      <c r="I2555">
        <f t="shared" si="78"/>
        <v>0</v>
      </c>
      <c r="J2555" t="str">
        <f t="shared" si="79"/>
        <v>Complete</v>
      </c>
      <c r="K2555">
        <f>COUNTIFS(RawData[Item], B2555,RawData[Quantity],C2555,RawData[Price Per Unit],D2555,RawData[Total Spent],E2555,RawData[Payment Method],F2555,RawData[Location],G2555,RawData[Transaction Date],H2555)</f>
        <v>1</v>
      </c>
      <c r="L2555"/>
    </row>
    <row r="2556" spans="1:12" x14ac:dyDescent="0.3">
      <c r="A2556" t="s">
        <v>2562</v>
      </c>
      <c r="B2556" t="s">
        <v>10016</v>
      </c>
      <c r="C2556">
        <v>4</v>
      </c>
      <c r="D2556" t="s">
        <v>10015</v>
      </c>
      <c r="E2556">
        <v>12</v>
      </c>
      <c r="F2556" t="s">
        <v>10018</v>
      </c>
      <c r="G2556" t="s">
        <v>10102</v>
      </c>
      <c r="H2556" s="6">
        <v>45252</v>
      </c>
      <c r="I2556">
        <f t="shared" si="78"/>
        <v>1</v>
      </c>
      <c r="J2556" t="str">
        <f t="shared" si="79"/>
        <v>Complete</v>
      </c>
      <c r="K2556">
        <f>COUNTIFS(RawData[Item], B2556,RawData[Quantity],C2556,RawData[Price Per Unit],D2556,RawData[Total Spent],E2556,RawData[Payment Method],F2556,RawData[Location],G2556,RawData[Transaction Date],H2556)</f>
        <v>1</v>
      </c>
      <c r="L2556"/>
    </row>
    <row r="2557" spans="1:12" x14ac:dyDescent="0.3">
      <c r="A2557" t="s">
        <v>2563</v>
      </c>
      <c r="B2557" t="s">
        <v>10014</v>
      </c>
      <c r="C2557">
        <v>4</v>
      </c>
      <c r="D2557">
        <v>4</v>
      </c>
      <c r="E2557">
        <v>16</v>
      </c>
      <c r="F2557" t="s">
        <v>10018</v>
      </c>
      <c r="G2557" t="s">
        <v>10102</v>
      </c>
      <c r="H2557" s="6">
        <v>45285</v>
      </c>
      <c r="I2557">
        <f t="shared" si="78"/>
        <v>0</v>
      </c>
      <c r="J2557" t="str">
        <f t="shared" si="79"/>
        <v>Complete</v>
      </c>
      <c r="K2557">
        <f>COUNTIFS(RawData[Item], B2557,RawData[Quantity],C2557,RawData[Price Per Unit],D2557,RawData[Total Spent],E2557,RawData[Payment Method],F2557,RawData[Location],G2557,RawData[Transaction Date],H2557)</f>
        <v>2</v>
      </c>
      <c r="L2557"/>
    </row>
    <row r="2558" spans="1:12" x14ac:dyDescent="0.3">
      <c r="A2558" t="s">
        <v>2564</v>
      </c>
      <c r="B2558" t="s">
        <v>10014</v>
      </c>
      <c r="C2558">
        <v>1</v>
      </c>
      <c r="D2558">
        <v>4</v>
      </c>
      <c r="E2558">
        <v>4</v>
      </c>
      <c r="F2558" t="s">
        <v>10018</v>
      </c>
      <c r="G2558" t="s">
        <v>10102</v>
      </c>
      <c r="H2558" s="6">
        <v>45094</v>
      </c>
      <c r="I2558">
        <f t="shared" si="78"/>
        <v>0</v>
      </c>
      <c r="J2558" t="str">
        <f t="shared" si="79"/>
        <v>Complete</v>
      </c>
      <c r="K2558">
        <f>COUNTIFS(RawData[Item], B2558,RawData[Quantity],C2558,RawData[Price Per Unit],D2558,RawData[Total Spent],E2558,RawData[Payment Method],F2558,RawData[Location],G2558,RawData[Transaction Date],H2558)</f>
        <v>1</v>
      </c>
      <c r="L2558"/>
    </row>
    <row r="2559" spans="1:12" x14ac:dyDescent="0.3">
      <c r="A2559" t="s">
        <v>2565</v>
      </c>
      <c r="B2559" t="s">
        <v>10015</v>
      </c>
      <c r="C2559">
        <v>4</v>
      </c>
      <c r="D2559">
        <v>3</v>
      </c>
      <c r="E2559">
        <v>12</v>
      </c>
      <c r="F2559" t="s">
        <v>10069</v>
      </c>
      <c r="G2559" t="s">
        <v>10069</v>
      </c>
      <c r="H2559" s="6">
        <v>44927</v>
      </c>
      <c r="I2559">
        <f t="shared" si="78"/>
        <v>1</v>
      </c>
      <c r="J2559" t="str">
        <f t="shared" si="79"/>
        <v>Complete</v>
      </c>
      <c r="K2559">
        <f>COUNTIFS(RawData[Item], B2559,RawData[Quantity],C2559,RawData[Price Per Unit],D2559,RawData[Total Spent],E2559,RawData[Payment Method],F2559,RawData[Location],G2559,RawData[Transaction Date],H2559)</f>
        <v>1</v>
      </c>
      <c r="L2559"/>
    </row>
    <row r="2560" spans="1:12" x14ac:dyDescent="0.3">
      <c r="A2560" t="s">
        <v>2566</v>
      </c>
      <c r="B2560" t="s">
        <v>10009</v>
      </c>
      <c r="C2560">
        <v>2</v>
      </c>
      <c r="D2560">
        <v>3</v>
      </c>
      <c r="E2560">
        <v>6</v>
      </c>
      <c r="F2560" t="s">
        <v>10103</v>
      </c>
      <c r="G2560" t="s">
        <v>10103</v>
      </c>
      <c r="H2560" s="6">
        <v>45004</v>
      </c>
      <c r="I2560">
        <f t="shared" si="78"/>
        <v>2</v>
      </c>
      <c r="J2560" t="str">
        <f t="shared" si="79"/>
        <v>Complete</v>
      </c>
      <c r="K2560">
        <f>COUNTIFS(RawData[Item], B2560,RawData[Quantity],C2560,RawData[Price Per Unit],D2560,RawData[Total Spent],E2560,RawData[Payment Method],F2560,RawData[Location],G2560,RawData[Transaction Date],H2560)</f>
        <v>1</v>
      </c>
      <c r="L2560"/>
    </row>
    <row r="2561" spans="1:12" x14ac:dyDescent="0.3">
      <c r="A2561" t="s">
        <v>2567</v>
      </c>
      <c r="B2561" t="s">
        <v>10009</v>
      </c>
      <c r="C2561" t="s">
        <v>10015</v>
      </c>
      <c r="D2561">
        <v>3</v>
      </c>
      <c r="E2561">
        <v>15</v>
      </c>
      <c r="F2561" t="s">
        <v>10019</v>
      </c>
      <c r="G2561" t="s">
        <v>10102</v>
      </c>
      <c r="H2561" s="6">
        <v>45177</v>
      </c>
      <c r="I2561">
        <f t="shared" si="78"/>
        <v>1</v>
      </c>
      <c r="J2561" t="str">
        <f t="shared" si="79"/>
        <v>Complete</v>
      </c>
      <c r="K2561">
        <f>COUNTIFS(RawData[Item], B2561,RawData[Quantity],C2561,RawData[Price Per Unit],D2561,RawData[Total Spent],E2561,RawData[Payment Method],F2561,RawData[Location],G2561,RawData[Transaction Date],H2561)</f>
        <v>1</v>
      </c>
      <c r="L2561"/>
    </row>
    <row r="2562" spans="1:12" x14ac:dyDescent="0.3">
      <c r="A2562" t="s">
        <v>2568</v>
      </c>
      <c r="B2562" t="s">
        <v>10011</v>
      </c>
      <c r="C2562">
        <v>2</v>
      </c>
      <c r="D2562">
        <v>5</v>
      </c>
      <c r="E2562">
        <v>10</v>
      </c>
      <c r="F2562" t="s">
        <v>10018</v>
      </c>
      <c r="G2562" t="s">
        <v>10069</v>
      </c>
      <c r="H2562" s="6">
        <v>45049</v>
      </c>
      <c r="I2562">
        <f t="shared" ref="I2562:I2625" si="80">(B2562="Unknown")+(B2562="Error")+(C2562="Unknown")+(C2562="Error")+(D2562="Unknown")+(D2562="Error")+(E2562="Unknown")+(E2562="Error")+(F2562="Unknown")+(F2562="Error")+(G2562="Unknown")+(G2562="Error")+(H2562="No Date")</f>
        <v>0</v>
      </c>
      <c r="J2562" t="str">
        <f t="shared" ref="J2562:J2625" si="81">IF((H2562="No Date"),"Incomplete","Complete")</f>
        <v>Complete</v>
      </c>
      <c r="K2562">
        <f>COUNTIFS(RawData[Item], B2562,RawData[Quantity],C2562,RawData[Price Per Unit],D2562,RawData[Total Spent],E2562,RawData[Payment Method],F2562,RawData[Location],G2562,RawData[Transaction Date],H2562)</f>
        <v>1</v>
      </c>
      <c r="L2562"/>
    </row>
    <row r="2563" spans="1:12" x14ac:dyDescent="0.3">
      <c r="A2563" t="s">
        <v>2569</v>
      </c>
      <c r="B2563" t="s">
        <v>10010</v>
      </c>
      <c r="C2563">
        <v>4</v>
      </c>
      <c r="D2563">
        <v>1</v>
      </c>
      <c r="E2563">
        <v>4</v>
      </c>
      <c r="F2563" t="s">
        <v>10019</v>
      </c>
      <c r="G2563" t="s">
        <v>10021</v>
      </c>
      <c r="H2563" s="6">
        <v>44978</v>
      </c>
      <c r="I2563">
        <f t="shared" si="80"/>
        <v>0</v>
      </c>
      <c r="J2563" t="str">
        <f t="shared" si="81"/>
        <v>Complete</v>
      </c>
      <c r="K2563">
        <f>COUNTIFS(RawData[Item], B2563,RawData[Quantity],C2563,RawData[Price Per Unit],D2563,RawData[Total Spent],E2563,RawData[Payment Method],F2563,RawData[Location],G2563,RawData[Transaction Date],H2563)</f>
        <v>1</v>
      </c>
      <c r="L2563"/>
    </row>
    <row r="2564" spans="1:12" x14ac:dyDescent="0.3">
      <c r="A2564" t="s">
        <v>2570</v>
      </c>
      <c r="B2564" t="s">
        <v>10012</v>
      </c>
      <c r="C2564">
        <v>4</v>
      </c>
      <c r="D2564">
        <v>4</v>
      </c>
      <c r="E2564">
        <v>16</v>
      </c>
      <c r="F2564" t="s">
        <v>10019</v>
      </c>
      <c r="G2564" t="s">
        <v>10021</v>
      </c>
      <c r="H2564" s="6">
        <v>45246</v>
      </c>
      <c r="I2564">
        <f t="shared" si="80"/>
        <v>0</v>
      </c>
      <c r="J2564" t="str">
        <f t="shared" si="81"/>
        <v>Complete</v>
      </c>
      <c r="K2564">
        <f>COUNTIFS(RawData[Item], B2564,RawData[Quantity],C2564,RawData[Price Per Unit],D2564,RawData[Total Spent],E2564,RawData[Payment Method],F2564,RawData[Location],G2564,RawData[Transaction Date],H2564)</f>
        <v>1</v>
      </c>
      <c r="L2564"/>
    </row>
    <row r="2565" spans="1:12" x14ac:dyDescent="0.3">
      <c r="A2565" t="s">
        <v>2571</v>
      </c>
      <c r="B2565" t="s">
        <v>10069</v>
      </c>
      <c r="C2565">
        <v>1</v>
      </c>
      <c r="D2565">
        <v>3</v>
      </c>
      <c r="E2565">
        <v>3</v>
      </c>
      <c r="F2565" t="s">
        <v>10069</v>
      </c>
      <c r="G2565" t="s">
        <v>10102</v>
      </c>
      <c r="H2565" s="6">
        <v>45281</v>
      </c>
      <c r="I2565">
        <f t="shared" si="80"/>
        <v>0</v>
      </c>
      <c r="J2565" t="str">
        <f t="shared" si="81"/>
        <v>Complete</v>
      </c>
      <c r="K2565">
        <f>COUNTIFS(RawData[Item], B2565,RawData[Quantity],C2565,RawData[Price Per Unit],D2565,RawData[Total Spent],E2565,RawData[Payment Method],F2565,RawData[Location],G2565,RawData[Transaction Date],H2565)</f>
        <v>1</v>
      </c>
      <c r="L2565"/>
    </row>
    <row r="2566" spans="1:12" x14ac:dyDescent="0.3">
      <c r="A2566" t="s">
        <v>2572</v>
      </c>
      <c r="B2566" t="s">
        <v>10014</v>
      </c>
      <c r="C2566" t="s">
        <v>10013</v>
      </c>
      <c r="D2566">
        <v>4</v>
      </c>
      <c r="E2566">
        <v>20</v>
      </c>
      <c r="F2566" t="s">
        <v>10019</v>
      </c>
      <c r="G2566" t="s">
        <v>10021</v>
      </c>
      <c r="H2566" s="6">
        <v>45063</v>
      </c>
      <c r="I2566">
        <f t="shared" si="80"/>
        <v>1</v>
      </c>
      <c r="J2566" t="str">
        <f t="shared" si="81"/>
        <v>Complete</v>
      </c>
      <c r="K2566">
        <f>COUNTIFS(RawData[Item], B2566,RawData[Quantity],C2566,RawData[Price Per Unit],D2566,RawData[Total Spent],E2566,RawData[Payment Method],F2566,RawData[Location],G2566,RawData[Transaction Date],H2566)</f>
        <v>1</v>
      </c>
      <c r="L2566"/>
    </row>
    <row r="2567" spans="1:12" x14ac:dyDescent="0.3">
      <c r="A2567" t="s">
        <v>2573</v>
      </c>
      <c r="B2567" t="s">
        <v>10017</v>
      </c>
      <c r="C2567" t="s">
        <v>10015</v>
      </c>
      <c r="D2567">
        <v>1.5</v>
      </c>
      <c r="E2567">
        <v>4.5</v>
      </c>
      <c r="F2567" t="s">
        <v>10019</v>
      </c>
      <c r="G2567" t="s">
        <v>10069</v>
      </c>
      <c r="H2567" s="6">
        <v>45249</v>
      </c>
      <c r="I2567">
        <f t="shared" si="80"/>
        <v>1</v>
      </c>
      <c r="J2567" t="str">
        <f t="shared" si="81"/>
        <v>Complete</v>
      </c>
      <c r="K2567">
        <f>COUNTIFS(RawData[Item], B2567,RawData[Quantity],C2567,RawData[Price Per Unit],D2567,RawData[Total Spent],E2567,RawData[Payment Method],F2567,RawData[Location],G2567,RawData[Transaction Date],H2567)</f>
        <v>1</v>
      </c>
      <c r="L2567"/>
    </row>
    <row r="2568" spans="1:12" x14ac:dyDescent="0.3">
      <c r="A2568" t="s">
        <v>2574</v>
      </c>
      <c r="B2568" t="s">
        <v>10015</v>
      </c>
      <c r="C2568">
        <v>1</v>
      </c>
      <c r="D2568">
        <v>2</v>
      </c>
      <c r="E2568">
        <v>2</v>
      </c>
      <c r="F2568" t="s">
        <v>10020</v>
      </c>
      <c r="G2568" t="s">
        <v>10069</v>
      </c>
      <c r="H2568" s="6">
        <v>45165</v>
      </c>
      <c r="I2568">
        <f t="shared" si="80"/>
        <v>1</v>
      </c>
      <c r="J2568" t="str">
        <f t="shared" si="81"/>
        <v>Complete</v>
      </c>
      <c r="K2568">
        <f>COUNTIFS(RawData[Item], B2568,RawData[Quantity],C2568,RawData[Price Per Unit],D2568,RawData[Total Spent],E2568,RawData[Payment Method],F2568,RawData[Location],G2568,RawData[Transaction Date],H2568)</f>
        <v>1</v>
      </c>
      <c r="L2568"/>
    </row>
    <row r="2569" spans="1:12" x14ac:dyDescent="0.3">
      <c r="A2569" t="s">
        <v>2575</v>
      </c>
      <c r="B2569" t="s">
        <v>10014</v>
      </c>
      <c r="C2569">
        <v>5</v>
      </c>
      <c r="D2569">
        <v>4</v>
      </c>
      <c r="E2569">
        <v>20</v>
      </c>
      <c r="F2569" t="s">
        <v>10104</v>
      </c>
      <c r="G2569" t="s">
        <v>10069</v>
      </c>
      <c r="H2569" s="6">
        <v>45282</v>
      </c>
      <c r="I2569">
        <f t="shared" si="80"/>
        <v>1</v>
      </c>
      <c r="J2569" t="str">
        <f t="shared" si="81"/>
        <v>Complete</v>
      </c>
      <c r="K2569">
        <f>COUNTIFS(RawData[Item], B2569,RawData[Quantity],C2569,RawData[Price Per Unit],D2569,RawData[Total Spent],E2569,RawData[Payment Method],F2569,RawData[Location],G2569,RawData[Transaction Date],H2569)</f>
        <v>1</v>
      </c>
      <c r="L2569"/>
    </row>
    <row r="2570" spans="1:12" x14ac:dyDescent="0.3">
      <c r="A2570" t="s">
        <v>2576</v>
      </c>
      <c r="B2570" t="s">
        <v>10012</v>
      </c>
      <c r="C2570">
        <v>3</v>
      </c>
      <c r="D2570">
        <v>4</v>
      </c>
      <c r="E2570">
        <v>12</v>
      </c>
      <c r="F2570" t="s">
        <v>10069</v>
      </c>
      <c r="G2570" t="s">
        <v>10021</v>
      </c>
      <c r="H2570" s="6">
        <v>45234</v>
      </c>
      <c r="I2570">
        <f t="shared" si="80"/>
        <v>0</v>
      </c>
      <c r="J2570" t="str">
        <f t="shared" si="81"/>
        <v>Complete</v>
      </c>
      <c r="K2570">
        <f>COUNTIFS(RawData[Item], B2570,RawData[Quantity],C2570,RawData[Price Per Unit],D2570,RawData[Total Spent],E2570,RawData[Payment Method],F2570,RawData[Location],G2570,RawData[Transaction Date],H2570)</f>
        <v>1</v>
      </c>
      <c r="L2570"/>
    </row>
    <row r="2571" spans="1:12" x14ac:dyDescent="0.3">
      <c r="A2571" t="s">
        <v>2577</v>
      </c>
      <c r="B2571" t="s">
        <v>10008</v>
      </c>
      <c r="C2571">
        <v>1</v>
      </c>
      <c r="D2571">
        <v>2</v>
      </c>
      <c r="E2571">
        <v>2</v>
      </c>
      <c r="F2571" t="s">
        <v>10020</v>
      </c>
      <c r="G2571" t="s">
        <v>10069</v>
      </c>
      <c r="H2571" s="6">
        <v>45031</v>
      </c>
      <c r="I2571">
        <f t="shared" si="80"/>
        <v>0</v>
      </c>
      <c r="J2571" t="str">
        <f t="shared" si="81"/>
        <v>Complete</v>
      </c>
      <c r="K2571">
        <f>COUNTIFS(RawData[Item], B2571,RawData[Quantity],C2571,RawData[Price Per Unit],D2571,RawData[Total Spent],E2571,RawData[Payment Method],F2571,RawData[Location],G2571,RawData[Transaction Date],H2571)</f>
        <v>1</v>
      </c>
      <c r="L2571"/>
    </row>
    <row r="2572" spans="1:12" x14ac:dyDescent="0.3">
      <c r="A2572" t="s">
        <v>2578</v>
      </c>
      <c r="B2572" t="s">
        <v>10008</v>
      </c>
      <c r="C2572">
        <v>1</v>
      </c>
      <c r="D2572" t="s">
        <v>10013</v>
      </c>
      <c r="E2572">
        <v>2</v>
      </c>
      <c r="F2572" t="s">
        <v>10019</v>
      </c>
      <c r="G2572" t="s">
        <v>10069</v>
      </c>
      <c r="H2572" s="6">
        <v>45147</v>
      </c>
      <c r="I2572">
        <f t="shared" si="80"/>
        <v>1</v>
      </c>
      <c r="J2572" t="str">
        <f t="shared" si="81"/>
        <v>Complete</v>
      </c>
      <c r="K2572">
        <f>COUNTIFS(RawData[Item], B2572,RawData[Quantity],C2572,RawData[Price Per Unit],D2572,RawData[Total Spent],E2572,RawData[Payment Method],F2572,RawData[Location],G2572,RawData[Transaction Date],H2572)</f>
        <v>1</v>
      </c>
      <c r="L2572"/>
    </row>
    <row r="2573" spans="1:12" x14ac:dyDescent="0.3">
      <c r="A2573" t="s">
        <v>2579</v>
      </c>
      <c r="B2573" t="s">
        <v>10014</v>
      </c>
      <c r="C2573">
        <v>4</v>
      </c>
      <c r="D2573">
        <v>0</v>
      </c>
      <c r="E2573">
        <v>16</v>
      </c>
      <c r="F2573" t="s">
        <v>10069</v>
      </c>
      <c r="G2573" t="s">
        <v>10102</v>
      </c>
      <c r="H2573" s="6">
        <v>45267</v>
      </c>
      <c r="I2573">
        <f t="shared" si="80"/>
        <v>0</v>
      </c>
      <c r="J2573" t="str">
        <f t="shared" si="81"/>
        <v>Complete</v>
      </c>
      <c r="K2573">
        <f>COUNTIFS(RawData[Item], B2573,RawData[Quantity],C2573,RawData[Price Per Unit],D2573,RawData[Total Spent],E2573,RawData[Payment Method],F2573,RawData[Location],G2573,RawData[Transaction Date],H2573)</f>
        <v>1</v>
      </c>
      <c r="L2573"/>
    </row>
    <row r="2574" spans="1:12" x14ac:dyDescent="0.3">
      <c r="A2574" t="s">
        <v>2580</v>
      </c>
      <c r="B2574" t="s">
        <v>10008</v>
      </c>
      <c r="C2574">
        <v>3</v>
      </c>
      <c r="D2574">
        <v>2</v>
      </c>
      <c r="E2574">
        <v>6</v>
      </c>
      <c r="F2574" t="s">
        <v>10069</v>
      </c>
      <c r="G2574" t="s">
        <v>10069</v>
      </c>
      <c r="H2574" s="6">
        <v>45076</v>
      </c>
      <c r="I2574">
        <f t="shared" si="80"/>
        <v>0</v>
      </c>
      <c r="J2574" t="str">
        <f t="shared" si="81"/>
        <v>Complete</v>
      </c>
      <c r="K2574">
        <f>COUNTIFS(RawData[Item], B2574,RawData[Quantity],C2574,RawData[Price Per Unit],D2574,RawData[Total Spent],E2574,RawData[Payment Method],F2574,RawData[Location],G2574,RawData[Transaction Date],H2574)</f>
        <v>1</v>
      </c>
      <c r="L2574"/>
    </row>
    <row r="2575" spans="1:12" x14ac:dyDescent="0.3">
      <c r="A2575" t="s">
        <v>2581</v>
      </c>
      <c r="B2575" t="s">
        <v>10014</v>
      </c>
      <c r="C2575">
        <v>3</v>
      </c>
      <c r="D2575">
        <v>4</v>
      </c>
      <c r="E2575">
        <v>12</v>
      </c>
      <c r="F2575" t="s">
        <v>10069</v>
      </c>
      <c r="G2575" t="s">
        <v>10069</v>
      </c>
      <c r="H2575" s="6">
        <v>45278</v>
      </c>
      <c r="I2575">
        <f t="shared" si="80"/>
        <v>0</v>
      </c>
      <c r="J2575" t="str">
        <f t="shared" si="81"/>
        <v>Complete</v>
      </c>
      <c r="K2575">
        <f>COUNTIFS(RawData[Item], B2575,RawData[Quantity],C2575,RawData[Price Per Unit],D2575,RawData[Total Spent],E2575,RawData[Payment Method],F2575,RawData[Location],G2575,RawData[Transaction Date],H2575)</f>
        <v>1</v>
      </c>
      <c r="L2575"/>
    </row>
    <row r="2576" spans="1:12" x14ac:dyDescent="0.3">
      <c r="A2576" t="s">
        <v>2582</v>
      </c>
      <c r="B2576" t="s">
        <v>10009</v>
      </c>
      <c r="C2576">
        <v>3</v>
      </c>
      <c r="D2576">
        <v>3</v>
      </c>
      <c r="E2576">
        <v>9</v>
      </c>
      <c r="F2576" t="s">
        <v>10018</v>
      </c>
      <c r="G2576" t="s">
        <v>10102</v>
      </c>
      <c r="H2576" s="6">
        <v>45158</v>
      </c>
      <c r="I2576">
        <f t="shared" si="80"/>
        <v>0</v>
      </c>
      <c r="J2576" t="str">
        <f t="shared" si="81"/>
        <v>Complete</v>
      </c>
      <c r="K2576">
        <f>COUNTIFS(RawData[Item], B2576,RawData[Quantity],C2576,RawData[Price Per Unit],D2576,RawData[Total Spent],E2576,RawData[Payment Method],F2576,RawData[Location],G2576,RawData[Transaction Date],H2576)</f>
        <v>1</v>
      </c>
      <c r="L2576"/>
    </row>
    <row r="2577" spans="1:12" x14ac:dyDescent="0.3">
      <c r="A2577" t="s">
        <v>2583</v>
      </c>
      <c r="B2577" t="s">
        <v>10008</v>
      </c>
      <c r="C2577">
        <v>5</v>
      </c>
      <c r="D2577">
        <v>2</v>
      </c>
      <c r="E2577">
        <v>10</v>
      </c>
      <c r="F2577" t="s">
        <v>10019</v>
      </c>
      <c r="G2577" t="s">
        <v>10021</v>
      </c>
      <c r="H2577" s="6">
        <v>45216</v>
      </c>
      <c r="I2577">
        <f t="shared" si="80"/>
        <v>0</v>
      </c>
      <c r="J2577" t="str">
        <f t="shared" si="81"/>
        <v>Complete</v>
      </c>
      <c r="K2577">
        <f>COUNTIFS(RawData[Item], B2577,RawData[Quantity],C2577,RawData[Price Per Unit],D2577,RawData[Total Spent],E2577,RawData[Payment Method],F2577,RawData[Location],G2577,RawData[Transaction Date],H2577)</f>
        <v>1</v>
      </c>
      <c r="L2577"/>
    </row>
    <row r="2578" spans="1:12" x14ac:dyDescent="0.3">
      <c r="A2578" t="s">
        <v>2584</v>
      </c>
      <c r="B2578" t="s">
        <v>10010</v>
      </c>
      <c r="C2578">
        <v>2</v>
      </c>
      <c r="D2578">
        <v>1</v>
      </c>
      <c r="E2578">
        <v>2</v>
      </c>
      <c r="F2578" t="s">
        <v>10020</v>
      </c>
      <c r="G2578" t="s">
        <v>10021</v>
      </c>
      <c r="H2578" s="6">
        <v>45145</v>
      </c>
      <c r="I2578">
        <f t="shared" si="80"/>
        <v>0</v>
      </c>
      <c r="J2578" t="str">
        <f t="shared" si="81"/>
        <v>Complete</v>
      </c>
      <c r="K2578">
        <f>COUNTIFS(RawData[Item], B2578,RawData[Quantity],C2578,RawData[Price Per Unit],D2578,RawData[Total Spent],E2578,RawData[Payment Method],F2578,RawData[Location],G2578,RawData[Transaction Date],H2578)</f>
        <v>1</v>
      </c>
      <c r="L2578"/>
    </row>
    <row r="2579" spans="1:12" x14ac:dyDescent="0.3">
      <c r="A2579" t="s">
        <v>2585</v>
      </c>
      <c r="B2579" t="s">
        <v>10016</v>
      </c>
      <c r="C2579">
        <v>5</v>
      </c>
      <c r="D2579">
        <v>3</v>
      </c>
      <c r="E2579">
        <v>15</v>
      </c>
      <c r="F2579" t="s">
        <v>10020</v>
      </c>
      <c r="G2579" t="s">
        <v>10102</v>
      </c>
      <c r="H2579" s="6">
        <v>45250</v>
      </c>
      <c r="I2579">
        <f t="shared" si="80"/>
        <v>0</v>
      </c>
      <c r="J2579" t="str">
        <f t="shared" si="81"/>
        <v>Complete</v>
      </c>
      <c r="K2579">
        <f>COUNTIFS(RawData[Item], B2579,RawData[Quantity],C2579,RawData[Price Per Unit],D2579,RawData[Total Spent],E2579,RawData[Payment Method],F2579,RawData[Location],G2579,RawData[Transaction Date],H2579)</f>
        <v>1</v>
      </c>
      <c r="L2579"/>
    </row>
    <row r="2580" spans="1:12" x14ac:dyDescent="0.3">
      <c r="A2580" t="s">
        <v>2586</v>
      </c>
      <c r="B2580" t="s">
        <v>10015</v>
      </c>
      <c r="C2580">
        <v>5</v>
      </c>
      <c r="D2580">
        <v>5</v>
      </c>
      <c r="E2580">
        <v>25</v>
      </c>
      <c r="F2580" t="s">
        <v>10019</v>
      </c>
      <c r="G2580" t="s">
        <v>10069</v>
      </c>
      <c r="H2580" s="6">
        <v>45142</v>
      </c>
      <c r="I2580">
        <f t="shared" si="80"/>
        <v>1</v>
      </c>
      <c r="J2580" t="str">
        <f t="shared" si="81"/>
        <v>Complete</v>
      </c>
      <c r="K2580">
        <f>COUNTIFS(RawData[Item], B2580,RawData[Quantity],C2580,RawData[Price Per Unit],D2580,RawData[Total Spent],E2580,RawData[Payment Method],F2580,RawData[Location],G2580,RawData[Transaction Date],H2580)</f>
        <v>1</v>
      </c>
      <c r="L2580"/>
    </row>
    <row r="2581" spans="1:12" x14ac:dyDescent="0.3">
      <c r="A2581" t="s">
        <v>2587</v>
      </c>
      <c r="B2581" t="s">
        <v>10009</v>
      </c>
      <c r="C2581">
        <v>5</v>
      </c>
      <c r="D2581">
        <v>3</v>
      </c>
      <c r="E2581">
        <v>15</v>
      </c>
      <c r="F2581" t="s">
        <v>10019</v>
      </c>
      <c r="G2581" t="s">
        <v>10104</v>
      </c>
      <c r="H2581" s="6">
        <v>45261</v>
      </c>
      <c r="I2581">
        <f t="shared" si="80"/>
        <v>1</v>
      </c>
      <c r="J2581" t="str">
        <f t="shared" si="81"/>
        <v>Complete</v>
      </c>
      <c r="K2581">
        <f>COUNTIFS(RawData[Item], B2581,RawData[Quantity],C2581,RawData[Price Per Unit],D2581,RawData[Total Spent],E2581,RawData[Payment Method],F2581,RawData[Location],G2581,RawData[Transaction Date],H2581)</f>
        <v>1</v>
      </c>
      <c r="L2581"/>
    </row>
    <row r="2582" spans="1:12" x14ac:dyDescent="0.3">
      <c r="A2582" t="s">
        <v>2588</v>
      </c>
      <c r="B2582" t="s">
        <v>10016</v>
      </c>
      <c r="C2582">
        <v>3</v>
      </c>
      <c r="D2582">
        <v>3</v>
      </c>
      <c r="E2582">
        <v>9</v>
      </c>
      <c r="F2582" t="s">
        <v>10018</v>
      </c>
      <c r="G2582" t="s">
        <v>10103</v>
      </c>
      <c r="H2582" s="6">
        <v>44956</v>
      </c>
      <c r="I2582">
        <f t="shared" si="80"/>
        <v>1</v>
      </c>
      <c r="J2582" t="str">
        <f t="shared" si="81"/>
        <v>Complete</v>
      </c>
      <c r="K2582">
        <f>COUNTIFS(RawData[Item], B2582,RawData[Quantity],C2582,RawData[Price Per Unit],D2582,RawData[Total Spent],E2582,RawData[Payment Method],F2582,RawData[Location],G2582,RawData[Transaction Date],H2582)</f>
        <v>1</v>
      </c>
      <c r="L2582"/>
    </row>
    <row r="2583" spans="1:12" x14ac:dyDescent="0.3">
      <c r="A2583" t="s">
        <v>2589</v>
      </c>
      <c r="B2583" t="s">
        <v>10008</v>
      </c>
      <c r="C2583">
        <v>3</v>
      </c>
      <c r="D2583">
        <v>2</v>
      </c>
      <c r="E2583">
        <v>6</v>
      </c>
      <c r="F2583" t="s">
        <v>10069</v>
      </c>
      <c r="G2583" t="s">
        <v>10069</v>
      </c>
      <c r="H2583" s="6">
        <v>44951</v>
      </c>
      <c r="I2583">
        <f t="shared" si="80"/>
        <v>0</v>
      </c>
      <c r="J2583" t="str">
        <f t="shared" si="81"/>
        <v>Complete</v>
      </c>
      <c r="K2583">
        <f>COUNTIFS(RawData[Item], B2583,RawData[Quantity],C2583,RawData[Price Per Unit],D2583,RawData[Total Spent],E2583,RawData[Payment Method],F2583,RawData[Location],G2583,RawData[Transaction Date],H2583)</f>
        <v>1</v>
      </c>
      <c r="L2583"/>
    </row>
    <row r="2584" spans="1:12" x14ac:dyDescent="0.3">
      <c r="A2584" t="s">
        <v>2590</v>
      </c>
      <c r="B2584" t="s">
        <v>10012</v>
      </c>
      <c r="C2584">
        <v>1</v>
      </c>
      <c r="D2584">
        <v>4</v>
      </c>
      <c r="E2584">
        <v>4</v>
      </c>
      <c r="F2584" t="s">
        <v>10018</v>
      </c>
      <c r="G2584" t="s">
        <v>10069</v>
      </c>
      <c r="H2584" s="6">
        <v>44952</v>
      </c>
      <c r="I2584">
        <f t="shared" si="80"/>
        <v>0</v>
      </c>
      <c r="J2584" t="str">
        <f t="shared" si="81"/>
        <v>Complete</v>
      </c>
      <c r="K2584">
        <f>COUNTIFS(RawData[Item], B2584,RawData[Quantity],C2584,RawData[Price Per Unit],D2584,RawData[Total Spent],E2584,RawData[Payment Method],F2584,RawData[Location],G2584,RawData[Transaction Date],H2584)</f>
        <v>1</v>
      </c>
      <c r="L2584"/>
    </row>
    <row r="2585" spans="1:12" x14ac:dyDescent="0.3">
      <c r="A2585" t="s">
        <v>2591</v>
      </c>
      <c r="B2585" t="s">
        <v>10069</v>
      </c>
      <c r="C2585" t="s">
        <v>10015</v>
      </c>
      <c r="D2585">
        <v>4</v>
      </c>
      <c r="E2585">
        <v>4</v>
      </c>
      <c r="F2585" t="s">
        <v>10020</v>
      </c>
      <c r="G2585" t="s">
        <v>10102</v>
      </c>
      <c r="H2585" s="6">
        <v>45034</v>
      </c>
      <c r="I2585">
        <f t="shared" si="80"/>
        <v>1</v>
      </c>
      <c r="J2585" t="str">
        <f t="shared" si="81"/>
        <v>Complete</v>
      </c>
      <c r="K2585">
        <f>COUNTIFS(RawData[Item], B2585,RawData[Quantity],C2585,RawData[Price Per Unit],D2585,RawData[Total Spent],E2585,RawData[Payment Method],F2585,RawData[Location],G2585,RawData[Transaction Date],H2585)</f>
        <v>1</v>
      </c>
      <c r="L2585"/>
    </row>
    <row r="2586" spans="1:12" x14ac:dyDescent="0.3">
      <c r="A2586" t="s">
        <v>2592</v>
      </c>
      <c r="B2586" t="s">
        <v>10016</v>
      </c>
      <c r="C2586">
        <v>1</v>
      </c>
      <c r="D2586">
        <v>3</v>
      </c>
      <c r="E2586">
        <v>3</v>
      </c>
      <c r="F2586" t="s">
        <v>10018</v>
      </c>
      <c r="G2586" t="s">
        <v>10021</v>
      </c>
      <c r="H2586" s="6">
        <v>45177</v>
      </c>
      <c r="I2586">
        <f t="shared" si="80"/>
        <v>0</v>
      </c>
      <c r="J2586" t="str">
        <f t="shared" si="81"/>
        <v>Complete</v>
      </c>
      <c r="K2586">
        <f>COUNTIFS(RawData[Item], B2586,RawData[Quantity],C2586,RawData[Price Per Unit],D2586,RawData[Total Spent],E2586,RawData[Payment Method],F2586,RawData[Location],G2586,RawData[Transaction Date],H2586)</f>
        <v>1</v>
      </c>
      <c r="L2586"/>
    </row>
    <row r="2587" spans="1:12" x14ac:dyDescent="0.3">
      <c r="A2587" t="s">
        <v>2593</v>
      </c>
      <c r="B2587" t="s">
        <v>10017</v>
      </c>
      <c r="C2587">
        <v>3</v>
      </c>
      <c r="D2587" t="s">
        <v>10015</v>
      </c>
      <c r="E2587" t="s">
        <v>10013</v>
      </c>
      <c r="F2587" t="s">
        <v>10020</v>
      </c>
      <c r="G2587" t="s">
        <v>10069</v>
      </c>
      <c r="H2587" s="6">
        <v>44981</v>
      </c>
      <c r="I2587">
        <f t="shared" si="80"/>
        <v>2</v>
      </c>
      <c r="J2587" t="str">
        <f t="shared" si="81"/>
        <v>Complete</v>
      </c>
      <c r="K2587">
        <f>COUNTIFS(RawData[Item], B2587,RawData[Quantity],C2587,RawData[Price Per Unit],D2587,RawData[Total Spent],E2587,RawData[Payment Method],F2587,RawData[Location],G2587,RawData[Transaction Date],H2587)</f>
        <v>1</v>
      </c>
      <c r="L2587"/>
    </row>
    <row r="2588" spans="1:12" x14ac:dyDescent="0.3">
      <c r="A2588" t="s">
        <v>2594</v>
      </c>
      <c r="B2588" t="s">
        <v>10010</v>
      </c>
      <c r="C2588">
        <v>3</v>
      </c>
      <c r="D2588">
        <v>1</v>
      </c>
      <c r="E2588">
        <v>3</v>
      </c>
      <c r="F2588" t="s">
        <v>10069</v>
      </c>
      <c r="G2588" t="s">
        <v>10069</v>
      </c>
      <c r="H2588" s="6">
        <v>45284</v>
      </c>
      <c r="I2588">
        <f t="shared" si="80"/>
        <v>0</v>
      </c>
      <c r="J2588" t="str">
        <f t="shared" si="81"/>
        <v>Complete</v>
      </c>
      <c r="K2588">
        <f>COUNTIFS(RawData[Item], B2588,RawData[Quantity],C2588,RawData[Price Per Unit],D2588,RawData[Total Spent],E2588,RawData[Payment Method],F2588,RawData[Location],G2588,RawData[Transaction Date],H2588)</f>
        <v>1</v>
      </c>
      <c r="L2588"/>
    </row>
    <row r="2589" spans="1:12" x14ac:dyDescent="0.3">
      <c r="A2589" t="s">
        <v>2595</v>
      </c>
      <c r="B2589" t="s">
        <v>10013</v>
      </c>
      <c r="C2589">
        <v>2</v>
      </c>
      <c r="D2589">
        <v>4</v>
      </c>
      <c r="E2589">
        <v>8</v>
      </c>
      <c r="F2589" t="s">
        <v>10020</v>
      </c>
      <c r="G2589" t="s">
        <v>10104</v>
      </c>
      <c r="H2589" s="6">
        <v>45141</v>
      </c>
      <c r="I2589">
        <f t="shared" si="80"/>
        <v>2</v>
      </c>
      <c r="J2589" t="str">
        <f t="shared" si="81"/>
        <v>Complete</v>
      </c>
      <c r="K2589">
        <f>COUNTIFS(RawData[Item], B2589,RawData[Quantity],C2589,RawData[Price Per Unit],D2589,RawData[Total Spent],E2589,RawData[Payment Method],F2589,RawData[Location],G2589,RawData[Transaction Date],H2589)</f>
        <v>1</v>
      </c>
      <c r="L2589"/>
    </row>
    <row r="2590" spans="1:12" x14ac:dyDescent="0.3">
      <c r="A2590" t="s">
        <v>2596</v>
      </c>
      <c r="B2590" t="s">
        <v>10009</v>
      </c>
      <c r="C2590">
        <v>4</v>
      </c>
      <c r="D2590">
        <v>3</v>
      </c>
      <c r="E2590">
        <v>12</v>
      </c>
      <c r="F2590" t="s">
        <v>10069</v>
      </c>
      <c r="G2590" t="s">
        <v>10021</v>
      </c>
      <c r="H2590" s="6">
        <v>45021</v>
      </c>
      <c r="I2590">
        <f t="shared" si="80"/>
        <v>0</v>
      </c>
      <c r="J2590" t="str">
        <f t="shared" si="81"/>
        <v>Complete</v>
      </c>
      <c r="K2590">
        <f>COUNTIFS(RawData[Item], B2590,RawData[Quantity],C2590,RawData[Price Per Unit],D2590,RawData[Total Spent],E2590,RawData[Payment Method],F2590,RawData[Location],G2590,RawData[Transaction Date],H2590)</f>
        <v>1</v>
      </c>
      <c r="L2590"/>
    </row>
    <row r="2591" spans="1:12" x14ac:dyDescent="0.3">
      <c r="A2591" t="s">
        <v>2597</v>
      </c>
      <c r="B2591" t="s">
        <v>10017</v>
      </c>
      <c r="C2591">
        <v>4</v>
      </c>
      <c r="D2591">
        <v>1.5</v>
      </c>
      <c r="E2591">
        <v>6</v>
      </c>
      <c r="F2591" t="s">
        <v>10019</v>
      </c>
      <c r="G2591" t="s">
        <v>10102</v>
      </c>
      <c r="H2591" s="6">
        <v>44944</v>
      </c>
      <c r="I2591">
        <f t="shared" si="80"/>
        <v>0</v>
      </c>
      <c r="J2591" t="str">
        <f t="shared" si="81"/>
        <v>Complete</v>
      </c>
      <c r="K2591">
        <f>COUNTIFS(RawData[Item], B2591,RawData[Quantity],C2591,RawData[Price Per Unit],D2591,RawData[Total Spent],E2591,RawData[Payment Method],F2591,RawData[Location],G2591,RawData[Transaction Date],H2591)</f>
        <v>1</v>
      </c>
      <c r="L2591"/>
    </row>
    <row r="2592" spans="1:12" x14ac:dyDescent="0.3">
      <c r="A2592" t="s">
        <v>2598</v>
      </c>
      <c r="B2592" t="s">
        <v>10011</v>
      </c>
      <c r="C2592">
        <v>1</v>
      </c>
      <c r="D2592">
        <v>5</v>
      </c>
      <c r="E2592">
        <v>5</v>
      </c>
      <c r="F2592" t="s">
        <v>10019</v>
      </c>
      <c r="G2592" t="s">
        <v>10021</v>
      </c>
      <c r="H2592" s="6">
        <v>45184</v>
      </c>
      <c r="I2592">
        <f t="shared" si="80"/>
        <v>0</v>
      </c>
      <c r="J2592" t="str">
        <f t="shared" si="81"/>
        <v>Complete</v>
      </c>
      <c r="K2592">
        <f>COUNTIFS(RawData[Item], B2592,RawData[Quantity],C2592,RawData[Price Per Unit],D2592,RawData[Total Spent],E2592,RawData[Payment Method],F2592,RawData[Location],G2592,RawData[Transaction Date],H2592)</f>
        <v>1</v>
      </c>
      <c r="L2592"/>
    </row>
    <row r="2593" spans="1:12" x14ac:dyDescent="0.3">
      <c r="A2593" t="s">
        <v>2599</v>
      </c>
      <c r="B2593" t="s">
        <v>10008</v>
      </c>
      <c r="C2593">
        <v>3</v>
      </c>
      <c r="D2593">
        <v>2</v>
      </c>
      <c r="E2593">
        <v>6</v>
      </c>
      <c r="F2593" t="s">
        <v>10069</v>
      </c>
      <c r="G2593" t="s">
        <v>10069</v>
      </c>
      <c r="H2593" s="6">
        <v>45232</v>
      </c>
      <c r="I2593">
        <f t="shared" si="80"/>
        <v>0</v>
      </c>
      <c r="J2593" t="str">
        <f t="shared" si="81"/>
        <v>Complete</v>
      </c>
      <c r="K2593">
        <f>COUNTIFS(RawData[Item], B2593,RawData[Quantity],C2593,RawData[Price Per Unit],D2593,RawData[Total Spent],E2593,RawData[Payment Method],F2593,RawData[Location],G2593,RawData[Transaction Date],H2593)</f>
        <v>1</v>
      </c>
      <c r="L2593"/>
    </row>
    <row r="2594" spans="1:12" x14ac:dyDescent="0.3">
      <c r="A2594" t="s">
        <v>2600</v>
      </c>
      <c r="B2594" t="s">
        <v>10008</v>
      </c>
      <c r="C2594">
        <v>1</v>
      </c>
      <c r="D2594" t="s">
        <v>10013</v>
      </c>
      <c r="E2594">
        <v>2</v>
      </c>
      <c r="F2594" t="s">
        <v>10069</v>
      </c>
      <c r="G2594" t="s">
        <v>10069</v>
      </c>
      <c r="H2594" s="6">
        <v>45221</v>
      </c>
      <c r="I2594">
        <f t="shared" si="80"/>
        <v>1</v>
      </c>
      <c r="J2594" t="str">
        <f t="shared" si="81"/>
        <v>Complete</v>
      </c>
      <c r="K2594">
        <f>COUNTIFS(RawData[Item], B2594,RawData[Quantity],C2594,RawData[Price Per Unit],D2594,RawData[Total Spent],E2594,RawData[Payment Method],F2594,RawData[Location],G2594,RawData[Transaction Date],H2594)</f>
        <v>1</v>
      </c>
      <c r="L2594"/>
    </row>
    <row r="2595" spans="1:12" x14ac:dyDescent="0.3">
      <c r="A2595" t="s">
        <v>2601</v>
      </c>
      <c r="B2595" t="s">
        <v>10011</v>
      </c>
      <c r="C2595">
        <v>5</v>
      </c>
      <c r="D2595">
        <v>5</v>
      </c>
      <c r="E2595">
        <v>25</v>
      </c>
      <c r="F2595" t="s">
        <v>10018</v>
      </c>
      <c r="G2595" t="s">
        <v>10102</v>
      </c>
      <c r="H2595" s="6">
        <v>45163</v>
      </c>
      <c r="I2595">
        <f t="shared" si="80"/>
        <v>0</v>
      </c>
      <c r="J2595" t="str">
        <f t="shared" si="81"/>
        <v>Complete</v>
      </c>
      <c r="K2595">
        <f>COUNTIFS(RawData[Item], B2595,RawData[Quantity],C2595,RawData[Price Per Unit],D2595,RawData[Total Spent],E2595,RawData[Payment Method],F2595,RawData[Location],G2595,RawData[Transaction Date],H2595)</f>
        <v>1</v>
      </c>
      <c r="L2595"/>
    </row>
    <row r="2596" spans="1:12" x14ac:dyDescent="0.3">
      <c r="A2596" t="s">
        <v>2602</v>
      </c>
      <c r="B2596" t="s">
        <v>10010</v>
      </c>
      <c r="C2596">
        <v>2</v>
      </c>
      <c r="D2596">
        <v>1</v>
      </c>
      <c r="E2596">
        <v>2</v>
      </c>
      <c r="F2596" t="s">
        <v>10103</v>
      </c>
      <c r="G2596" t="s">
        <v>10102</v>
      </c>
      <c r="H2596" s="6">
        <v>45077</v>
      </c>
      <c r="I2596">
        <f t="shared" si="80"/>
        <v>1</v>
      </c>
      <c r="J2596" t="str">
        <f t="shared" si="81"/>
        <v>Complete</v>
      </c>
      <c r="K2596">
        <f>COUNTIFS(RawData[Item], B2596,RawData[Quantity],C2596,RawData[Price Per Unit],D2596,RawData[Total Spent],E2596,RawData[Payment Method],F2596,RawData[Location],G2596,RawData[Transaction Date],H2596)</f>
        <v>1</v>
      </c>
      <c r="L2596"/>
    </row>
    <row r="2597" spans="1:12" x14ac:dyDescent="0.3">
      <c r="A2597" t="s">
        <v>2603</v>
      </c>
      <c r="B2597" t="s">
        <v>10009</v>
      </c>
      <c r="C2597">
        <v>5</v>
      </c>
      <c r="D2597">
        <v>3</v>
      </c>
      <c r="E2597">
        <v>15</v>
      </c>
      <c r="F2597" t="s">
        <v>10018</v>
      </c>
      <c r="G2597" t="s">
        <v>10021</v>
      </c>
      <c r="H2597" s="6">
        <v>44931</v>
      </c>
      <c r="I2597">
        <f t="shared" si="80"/>
        <v>0</v>
      </c>
      <c r="J2597" t="str">
        <f t="shared" si="81"/>
        <v>Complete</v>
      </c>
      <c r="K2597">
        <f>COUNTIFS(RawData[Item], B2597,RawData[Quantity],C2597,RawData[Price Per Unit],D2597,RawData[Total Spent],E2597,RawData[Payment Method],F2597,RawData[Location],G2597,RawData[Transaction Date],H2597)</f>
        <v>1</v>
      </c>
      <c r="L2597"/>
    </row>
    <row r="2598" spans="1:12" x14ac:dyDescent="0.3">
      <c r="A2598" t="s">
        <v>2604</v>
      </c>
      <c r="B2598" t="s">
        <v>10069</v>
      </c>
      <c r="C2598">
        <v>5</v>
      </c>
      <c r="D2598" t="s">
        <v>10013</v>
      </c>
      <c r="E2598">
        <v>15</v>
      </c>
      <c r="F2598" t="s">
        <v>10018</v>
      </c>
      <c r="G2598" t="s">
        <v>10102</v>
      </c>
      <c r="H2598" s="6">
        <v>45227</v>
      </c>
      <c r="I2598">
        <f t="shared" si="80"/>
        <v>1</v>
      </c>
      <c r="J2598" t="str">
        <f t="shared" si="81"/>
        <v>Complete</v>
      </c>
      <c r="K2598">
        <f>COUNTIFS(RawData[Item], B2598,RawData[Quantity],C2598,RawData[Price Per Unit],D2598,RawData[Total Spent],E2598,RawData[Payment Method],F2598,RawData[Location],G2598,RawData[Transaction Date],H2598)</f>
        <v>1</v>
      </c>
      <c r="L2598"/>
    </row>
    <row r="2599" spans="1:12" x14ac:dyDescent="0.3">
      <c r="A2599" t="s">
        <v>2605</v>
      </c>
      <c r="B2599" t="s">
        <v>10008</v>
      </c>
      <c r="C2599">
        <v>3</v>
      </c>
      <c r="D2599">
        <v>2</v>
      </c>
      <c r="E2599">
        <v>6</v>
      </c>
      <c r="F2599" t="s">
        <v>10020</v>
      </c>
      <c r="G2599" t="s">
        <v>10102</v>
      </c>
      <c r="H2599" s="6">
        <v>45088</v>
      </c>
      <c r="I2599">
        <f t="shared" si="80"/>
        <v>0</v>
      </c>
      <c r="J2599" t="str">
        <f t="shared" si="81"/>
        <v>Complete</v>
      </c>
      <c r="K2599">
        <f>COUNTIFS(RawData[Item], B2599,RawData[Quantity],C2599,RawData[Price Per Unit],D2599,RawData[Total Spent],E2599,RawData[Payment Method],F2599,RawData[Location],G2599,RawData[Transaction Date],H2599)</f>
        <v>1</v>
      </c>
      <c r="L2599"/>
    </row>
    <row r="2600" spans="1:12" x14ac:dyDescent="0.3">
      <c r="A2600" t="s">
        <v>2606</v>
      </c>
      <c r="B2600" t="s">
        <v>10017</v>
      </c>
      <c r="C2600">
        <v>3</v>
      </c>
      <c r="D2600">
        <v>1.5</v>
      </c>
      <c r="E2600">
        <v>4.5</v>
      </c>
      <c r="F2600" t="s">
        <v>10020</v>
      </c>
      <c r="G2600" t="s">
        <v>10021</v>
      </c>
      <c r="H2600" s="6">
        <v>45131</v>
      </c>
      <c r="I2600">
        <f t="shared" si="80"/>
        <v>0</v>
      </c>
      <c r="J2600" t="str">
        <f t="shared" si="81"/>
        <v>Complete</v>
      </c>
      <c r="K2600">
        <f>COUNTIFS(RawData[Item], B2600,RawData[Quantity],C2600,RawData[Price Per Unit],D2600,RawData[Total Spent],E2600,RawData[Payment Method],F2600,RawData[Location],G2600,RawData[Transaction Date],H2600)</f>
        <v>1</v>
      </c>
      <c r="L2600"/>
    </row>
    <row r="2601" spans="1:12" x14ac:dyDescent="0.3">
      <c r="A2601" t="s">
        <v>2607</v>
      </c>
      <c r="B2601" t="s">
        <v>10015</v>
      </c>
      <c r="C2601">
        <v>1</v>
      </c>
      <c r="D2601">
        <v>5</v>
      </c>
      <c r="E2601">
        <v>5</v>
      </c>
      <c r="F2601" t="s">
        <v>10104</v>
      </c>
      <c r="G2601" t="s">
        <v>10069</v>
      </c>
      <c r="H2601" s="6">
        <v>44943</v>
      </c>
      <c r="I2601">
        <f t="shared" si="80"/>
        <v>2</v>
      </c>
      <c r="J2601" t="str">
        <f t="shared" si="81"/>
        <v>Complete</v>
      </c>
      <c r="K2601">
        <f>COUNTIFS(RawData[Item], B2601,RawData[Quantity],C2601,RawData[Price Per Unit],D2601,RawData[Total Spent],E2601,RawData[Payment Method],F2601,RawData[Location],G2601,RawData[Transaction Date],H2601)</f>
        <v>1</v>
      </c>
      <c r="L2601"/>
    </row>
    <row r="2602" spans="1:12" x14ac:dyDescent="0.3">
      <c r="A2602" t="s">
        <v>2608</v>
      </c>
      <c r="B2602" t="s">
        <v>10016</v>
      </c>
      <c r="C2602">
        <v>5</v>
      </c>
      <c r="D2602">
        <v>3</v>
      </c>
      <c r="E2602">
        <v>15</v>
      </c>
      <c r="F2602" t="s">
        <v>10020</v>
      </c>
      <c r="G2602" t="s">
        <v>10102</v>
      </c>
      <c r="H2602" s="6">
        <v>44938</v>
      </c>
      <c r="I2602">
        <f t="shared" si="80"/>
        <v>0</v>
      </c>
      <c r="J2602" t="str">
        <f t="shared" si="81"/>
        <v>Complete</v>
      </c>
      <c r="K2602">
        <f>COUNTIFS(RawData[Item], B2602,RawData[Quantity],C2602,RawData[Price Per Unit],D2602,RawData[Total Spent],E2602,RawData[Payment Method],F2602,RawData[Location],G2602,RawData[Transaction Date],H2602)</f>
        <v>1</v>
      </c>
      <c r="L2602"/>
    </row>
    <row r="2603" spans="1:12" x14ac:dyDescent="0.3">
      <c r="A2603" t="s">
        <v>2609</v>
      </c>
      <c r="B2603" t="s">
        <v>10016</v>
      </c>
      <c r="C2603">
        <v>5</v>
      </c>
      <c r="D2603">
        <v>3</v>
      </c>
      <c r="E2603">
        <v>15</v>
      </c>
      <c r="F2603" t="s">
        <v>10019</v>
      </c>
      <c r="G2603" t="s">
        <v>10021</v>
      </c>
      <c r="H2603" s="6">
        <v>45150</v>
      </c>
      <c r="I2603">
        <f t="shared" si="80"/>
        <v>0</v>
      </c>
      <c r="J2603" t="str">
        <f t="shared" si="81"/>
        <v>Complete</v>
      </c>
      <c r="K2603">
        <f>COUNTIFS(RawData[Item], B2603,RawData[Quantity],C2603,RawData[Price Per Unit],D2603,RawData[Total Spent],E2603,RawData[Payment Method],F2603,RawData[Location],G2603,RawData[Transaction Date],H2603)</f>
        <v>1</v>
      </c>
      <c r="L2603"/>
    </row>
    <row r="2604" spans="1:12" x14ac:dyDescent="0.3">
      <c r="A2604" t="s">
        <v>2610</v>
      </c>
      <c r="B2604" t="s">
        <v>10010</v>
      </c>
      <c r="C2604">
        <v>4</v>
      </c>
      <c r="D2604">
        <v>1</v>
      </c>
      <c r="E2604">
        <v>4</v>
      </c>
      <c r="F2604" t="s">
        <v>10020</v>
      </c>
      <c r="G2604" t="s">
        <v>10069</v>
      </c>
      <c r="H2604" s="6">
        <v>45044</v>
      </c>
      <c r="I2604">
        <f t="shared" si="80"/>
        <v>0</v>
      </c>
      <c r="J2604" t="str">
        <f t="shared" si="81"/>
        <v>Complete</v>
      </c>
      <c r="K2604">
        <f>COUNTIFS(RawData[Item], B2604,RawData[Quantity],C2604,RawData[Price Per Unit],D2604,RawData[Total Spent],E2604,RawData[Payment Method],F2604,RawData[Location],G2604,RawData[Transaction Date],H2604)</f>
        <v>1</v>
      </c>
      <c r="L2604"/>
    </row>
    <row r="2605" spans="1:12" x14ac:dyDescent="0.3">
      <c r="A2605" t="s">
        <v>2611</v>
      </c>
      <c r="B2605" t="s">
        <v>10010</v>
      </c>
      <c r="C2605">
        <v>5</v>
      </c>
      <c r="D2605">
        <v>1</v>
      </c>
      <c r="E2605" t="s">
        <v>10013</v>
      </c>
      <c r="F2605" t="s">
        <v>10020</v>
      </c>
      <c r="G2605" t="s">
        <v>10069</v>
      </c>
      <c r="H2605" s="6">
        <v>45237</v>
      </c>
      <c r="I2605">
        <f t="shared" si="80"/>
        <v>1</v>
      </c>
      <c r="J2605" t="str">
        <f t="shared" si="81"/>
        <v>Complete</v>
      </c>
      <c r="K2605">
        <f>COUNTIFS(RawData[Item], B2605,RawData[Quantity],C2605,RawData[Price Per Unit],D2605,RawData[Total Spent],E2605,RawData[Payment Method],F2605,RawData[Location],G2605,RawData[Transaction Date],H2605)</f>
        <v>1</v>
      </c>
      <c r="L2605"/>
    </row>
    <row r="2606" spans="1:12" x14ac:dyDescent="0.3">
      <c r="A2606" t="s">
        <v>2612</v>
      </c>
      <c r="B2606" t="s">
        <v>10011</v>
      </c>
      <c r="C2606">
        <v>4</v>
      </c>
      <c r="D2606">
        <v>5</v>
      </c>
      <c r="E2606">
        <v>20</v>
      </c>
      <c r="F2606" t="s">
        <v>10019</v>
      </c>
      <c r="G2606" t="s">
        <v>10102</v>
      </c>
      <c r="H2606" s="6">
        <v>45010</v>
      </c>
      <c r="I2606">
        <f t="shared" si="80"/>
        <v>0</v>
      </c>
      <c r="J2606" t="str">
        <f t="shared" si="81"/>
        <v>Complete</v>
      </c>
      <c r="K2606">
        <f>COUNTIFS(RawData[Item], B2606,RawData[Quantity],C2606,RawData[Price Per Unit],D2606,RawData[Total Spent],E2606,RawData[Payment Method],F2606,RawData[Location],G2606,RawData[Transaction Date],H2606)</f>
        <v>1</v>
      </c>
      <c r="L2606"/>
    </row>
    <row r="2607" spans="1:12" x14ac:dyDescent="0.3">
      <c r="A2607" t="s">
        <v>2613</v>
      </c>
      <c r="B2607" t="s">
        <v>10014</v>
      </c>
      <c r="C2607">
        <v>3</v>
      </c>
      <c r="D2607">
        <v>4</v>
      </c>
      <c r="E2607">
        <v>12</v>
      </c>
      <c r="F2607" t="s">
        <v>10020</v>
      </c>
      <c r="G2607" t="s">
        <v>10069</v>
      </c>
      <c r="H2607" s="6">
        <v>44997</v>
      </c>
      <c r="I2607">
        <f t="shared" si="80"/>
        <v>0</v>
      </c>
      <c r="J2607" t="str">
        <f t="shared" si="81"/>
        <v>Complete</v>
      </c>
      <c r="K2607">
        <f>COUNTIFS(RawData[Item], B2607,RawData[Quantity],C2607,RawData[Price Per Unit],D2607,RawData[Total Spent],E2607,RawData[Payment Method],F2607,RawData[Location],G2607,RawData[Transaction Date],H2607)</f>
        <v>1</v>
      </c>
      <c r="L2607"/>
    </row>
    <row r="2608" spans="1:12" x14ac:dyDescent="0.3">
      <c r="A2608" t="s">
        <v>2614</v>
      </c>
      <c r="B2608" t="s">
        <v>10010</v>
      </c>
      <c r="C2608">
        <v>4</v>
      </c>
      <c r="D2608">
        <v>1</v>
      </c>
      <c r="E2608">
        <v>4</v>
      </c>
      <c r="F2608" t="s">
        <v>10104</v>
      </c>
      <c r="G2608" t="s">
        <v>10069</v>
      </c>
      <c r="H2608" s="6">
        <v>45284</v>
      </c>
      <c r="I2608">
        <f t="shared" si="80"/>
        <v>1</v>
      </c>
      <c r="J2608" t="str">
        <f t="shared" si="81"/>
        <v>Complete</v>
      </c>
      <c r="K2608">
        <f>COUNTIFS(RawData[Item], B2608,RawData[Quantity],C2608,RawData[Price Per Unit],D2608,RawData[Total Spent],E2608,RawData[Payment Method],F2608,RawData[Location],G2608,RawData[Transaction Date],H2608)</f>
        <v>1</v>
      </c>
      <c r="L2608"/>
    </row>
    <row r="2609" spans="1:12" x14ac:dyDescent="0.3">
      <c r="A2609" t="s">
        <v>2615</v>
      </c>
      <c r="B2609" t="s">
        <v>10016</v>
      </c>
      <c r="C2609">
        <v>4</v>
      </c>
      <c r="D2609">
        <v>0</v>
      </c>
      <c r="E2609">
        <v>12</v>
      </c>
      <c r="F2609" t="s">
        <v>10019</v>
      </c>
      <c r="G2609" t="s">
        <v>10102</v>
      </c>
      <c r="H2609" s="6">
        <v>45137</v>
      </c>
      <c r="I2609">
        <f t="shared" si="80"/>
        <v>0</v>
      </c>
      <c r="J2609" t="str">
        <f t="shared" si="81"/>
        <v>Complete</v>
      </c>
      <c r="K2609">
        <f>COUNTIFS(RawData[Item], B2609,RawData[Quantity],C2609,RawData[Price Per Unit],D2609,RawData[Total Spent],E2609,RawData[Payment Method],F2609,RawData[Location],G2609,RawData[Transaction Date],H2609)</f>
        <v>1</v>
      </c>
      <c r="L2609"/>
    </row>
    <row r="2610" spans="1:12" x14ac:dyDescent="0.3">
      <c r="A2610" t="s">
        <v>2616</v>
      </c>
      <c r="B2610" t="s">
        <v>10012</v>
      </c>
      <c r="C2610">
        <v>4</v>
      </c>
      <c r="D2610">
        <v>4</v>
      </c>
      <c r="E2610">
        <v>16</v>
      </c>
      <c r="F2610" t="s">
        <v>10019</v>
      </c>
      <c r="G2610" t="s">
        <v>10102</v>
      </c>
      <c r="H2610" s="6">
        <v>44962</v>
      </c>
      <c r="I2610">
        <f t="shared" si="80"/>
        <v>0</v>
      </c>
      <c r="J2610" t="str">
        <f t="shared" si="81"/>
        <v>Complete</v>
      </c>
      <c r="K2610">
        <f>COUNTIFS(RawData[Item], B2610,RawData[Quantity],C2610,RawData[Price Per Unit],D2610,RawData[Total Spent],E2610,RawData[Payment Method],F2610,RawData[Location],G2610,RawData[Transaction Date],H2610)</f>
        <v>1</v>
      </c>
      <c r="L2610"/>
    </row>
    <row r="2611" spans="1:12" x14ac:dyDescent="0.3">
      <c r="A2611" t="s">
        <v>2617</v>
      </c>
      <c r="B2611" t="s">
        <v>10012</v>
      </c>
      <c r="C2611">
        <v>3</v>
      </c>
      <c r="D2611">
        <v>4</v>
      </c>
      <c r="E2611">
        <v>12</v>
      </c>
      <c r="F2611" t="s">
        <v>10019</v>
      </c>
      <c r="G2611" t="s">
        <v>10104</v>
      </c>
      <c r="H2611" s="6">
        <v>45034</v>
      </c>
      <c r="I2611">
        <f t="shared" si="80"/>
        <v>1</v>
      </c>
      <c r="J2611" t="str">
        <f t="shared" si="81"/>
        <v>Complete</v>
      </c>
      <c r="K2611">
        <f>COUNTIFS(RawData[Item], B2611,RawData[Quantity],C2611,RawData[Price Per Unit],D2611,RawData[Total Spent],E2611,RawData[Payment Method],F2611,RawData[Location],G2611,RawData[Transaction Date],H2611)</f>
        <v>1</v>
      </c>
      <c r="L2611"/>
    </row>
    <row r="2612" spans="1:12" x14ac:dyDescent="0.3">
      <c r="A2612" t="s">
        <v>2618</v>
      </c>
      <c r="B2612" t="s">
        <v>10069</v>
      </c>
      <c r="C2612">
        <v>5</v>
      </c>
      <c r="D2612" t="s">
        <v>10015</v>
      </c>
      <c r="E2612">
        <v>15</v>
      </c>
      <c r="F2612" t="s">
        <v>10019</v>
      </c>
      <c r="G2612" t="s">
        <v>10102</v>
      </c>
      <c r="H2612" s="6">
        <v>45263</v>
      </c>
      <c r="I2612">
        <f t="shared" si="80"/>
        <v>1</v>
      </c>
      <c r="J2612" t="str">
        <f t="shared" si="81"/>
        <v>Complete</v>
      </c>
      <c r="K2612">
        <f>COUNTIFS(RawData[Item], B2612,RawData[Quantity],C2612,RawData[Price Per Unit],D2612,RawData[Total Spent],E2612,RawData[Payment Method],F2612,RawData[Location],G2612,RawData[Transaction Date],H2612)</f>
        <v>1</v>
      </c>
      <c r="L2612"/>
    </row>
    <row r="2613" spans="1:12" x14ac:dyDescent="0.3">
      <c r="A2613" t="s">
        <v>2619</v>
      </c>
      <c r="B2613" t="s">
        <v>10017</v>
      </c>
      <c r="C2613">
        <v>1</v>
      </c>
      <c r="D2613">
        <v>1.5</v>
      </c>
      <c r="E2613">
        <v>1.5</v>
      </c>
      <c r="F2613" t="s">
        <v>10069</v>
      </c>
      <c r="G2613" t="s">
        <v>10069</v>
      </c>
      <c r="H2613" s="6">
        <v>44959</v>
      </c>
      <c r="I2613">
        <f t="shared" si="80"/>
        <v>0</v>
      </c>
      <c r="J2613" t="str">
        <f t="shared" si="81"/>
        <v>Complete</v>
      </c>
      <c r="K2613">
        <f>COUNTIFS(RawData[Item], B2613,RawData[Quantity],C2613,RawData[Price Per Unit],D2613,RawData[Total Spent],E2613,RawData[Payment Method],F2613,RawData[Location],G2613,RawData[Transaction Date],H2613)</f>
        <v>1</v>
      </c>
      <c r="L2613"/>
    </row>
    <row r="2614" spans="1:12" x14ac:dyDescent="0.3">
      <c r="A2614" t="s">
        <v>2620</v>
      </c>
      <c r="B2614" t="s">
        <v>10014</v>
      </c>
      <c r="C2614">
        <v>4</v>
      </c>
      <c r="D2614">
        <v>4</v>
      </c>
      <c r="E2614">
        <v>16</v>
      </c>
      <c r="F2614" t="s">
        <v>10018</v>
      </c>
      <c r="G2614" t="s">
        <v>10069</v>
      </c>
      <c r="H2614" s="6">
        <v>45220</v>
      </c>
      <c r="I2614">
        <f t="shared" si="80"/>
        <v>0</v>
      </c>
      <c r="J2614" t="str">
        <f t="shared" si="81"/>
        <v>Complete</v>
      </c>
      <c r="K2614">
        <f>COUNTIFS(RawData[Item], B2614,RawData[Quantity],C2614,RawData[Price Per Unit],D2614,RawData[Total Spent],E2614,RawData[Payment Method],F2614,RawData[Location],G2614,RawData[Transaction Date],H2614)</f>
        <v>1</v>
      </c>
      <c r="L2614"/>
    </row>
    <row r="2615" spans="1:12" x14ac:dyDescent="0.3">
      <c r="A2615" t="s">
        <v>2621</v>
      </c>
      <c r="B2615" t="s">
        <v>10012</v>
      </c>
      <c r="C2615">
        <v>2</v>
      </c>
      <c r="D2615">
        <v>4</v>
      </c>
      <c r="E2615">
        <v>8</v>
      </c>
      <c r="F2615" t="s">
        <v>10069</v>
      </c>
      <c r="G2615" t="s">
        <v>10102</v>
      </c>
      <c r="H2615" s="6">
        <v>45146</v>
      </c>
      <c r="I2615">
        <f t="shared" si="80"/>
        <v>0</v>
      </c>
      <c r="J2615" t="str">
        <f t="shared" si="81"/>
        <v>Complete</v>
      </c>
      <c r="K2615">
        <f>COUNTIFS(RawData[Item], B2615,RawData[Quantity],C2615,RawData[Price Per Unit],D2615,RawData[Total Spent],E2615,RawData[Payment Method],F2615,RawData[Location],G2615,RawData[Transaction Date],H2615)</f>
        <v>1</v>
      </c>
      <c r="L2615"/>
    </row>
    <row r="2616" spans="1:12" x14ac:dyDescent="0.3">
      <c r="A2616" t="s">
        <v>2622</v>
      </c>
      <c r="B2616" t="s">
        <v>10012</v>
      </c>
      <c r="C2616">
        <v>2</v>
      </c>
      <c r="D2616">
        <v>4</v>
      </c>
      <c r="E2616">
        <v>8</v>
      </c>
      <c r="F2616" t="s">
        <v>10069</v>
      </c>
      <c r="G2616" t="s">
        <v>10021</v>
      </c>
      <c r="H2616" s="6">
        <v>45013</v>
      </c>
      <c r="I2616">
        <f t="shared" si="80"/>
        <v>0</v>
      </c>
      <c r="J2616" t="str">
        <f t="shared" si="81"/>
        <v>Complete</v>
      </c>
      <c r="K2616">
        <f>COUNTIFS(RawData[Item], B2616,RawData[Quantity],C2616,RawData[Price Per Unit],D2616,RawData[Total Spent],E2616,RawData[Payment Method],F2616,RawData[Location],G2616,RawData[Transaction Date],H2616)</f>
        <v>1</v>
      </c>
      <c r="L2616"/>
    </row>
    <row r="2617" spans="1:12" x14ac:dyDescent="0.3">
      <c r="A2617" t="s">
        <v>2623</v>
      </c>
      <c r="B2617" t="s">
        <v>10017</v>
      </c>
      <c r="C2617">
        <v>2</v>
      </c>
      <c r="D2617">
        <v>1.5</v>
      </c>
      <c r="E2617">
        <v>3</v>
      </c>
      <c r="F2617" t="s">
        <v>10069</v>
      </c>
      <c r="G2617" t="s">
        <v>10021</v>
      </c>
      <c r="H2617" s="6">
        <v>45153</v>
      </c>
      <c r="I2617">
        <f t="shared" si="80"/>
        <v>0</v>
      </c>
      <c r="J2617" t="str">
        <f t="shared" si="81"/>
        <v>Complete</v>
      </c>
      <c r="K2617">
        <f>COUNTIFS(RawData[Item], B2617,RawData[Quantity],C2617,RawData[Price Per Unit],D2617,RawData[Total Spent],E2617,RawData[Payment Method],F2617,RawData[Location],G2617,RawData[Transaction Date],H2617)</f>
        <v>1</v>
      </c>
      <c r="L2617"/>
    </row>
    <row r="2618" spans="1:12" x14ac:dyDescent="0.3">
      <c r="A2618" t="s">
        <v>2624</v>
      </c>
      <c r="B2618" t="s">
        <v>10008</v>
      </c>
      <c r="C2618">
        <v>2</v>
      </c>
      <c r="D2618">
        <v>2</v>
      </c>
      <c r="E2618">
        <v>4</v>
      </c>
      <c r="F2618" t="s">
        <v>10018</v>
      </c>
      <c r="G2618" t="s">
        <v>10021</v>
      </c>
      <c r="H2618" s="6">
        <v>45204</v>
      </c>
      <c r="I2618">
        <f t="shared" si="80"/>
        <v>0</v>
      </c>
      <c r="J2618" t="str">
        <f t="shared" si="81"/>
        <v>Complete</v>
      </c>
      <c r="K2618">
        <f>COUNTIFS(RawData[Item], B2618,RawData[Quantity],C2618,RawData[Price Per Unit],D2618,RawData[Total Spent],E2618,RawData[Payment Method],F2618,RawData[Location],G2618,RawData[Transaction Date],H2618)</f>
        <v>1</v>
      </c>
      <c r="L2618"/>
    </row>
    <row r="2619" spans="1:12" x14ac:dyDescent="0.3">
      <c r="A2619" t="s">
        <v>2625</v>
      </c>
      <c r="B2619" t="s">
        <v>10013</v>
      </c>
      <c r="C2619">
        <v>2</v>
      </c>
      <c r="D2619">
        <v>2</v>
      </c>
      <c r="E2619">
        <v>4</v>
      </c>
      <c r="F2619" t="s">
        <v>10069</v>
      </c>
      <c r="G2619" t="s">
        <v>10021</v>
      </c>
      <c r="H2619" s="6">
        <v>45091</v>
      </c>
      <c r="I2619">
        <f t="shared" si="80"/>
        <v>1</v>
      </c>
      <c r="J2619" t="str">
        <f t="shared" si="81"/>
        <v>Complete</v>
      </c>
      <c r="K2619">
        <f>COUNTIFS(RawData[Item], B2619,RawData[Quantity],C2619,RawData[Price Per Unit],D2619,RawData[Total Spent],E2619,RawData[Payment Method],F2619,RawData[Location],G2619,RawData[Transaction Date],H2619)</f>
        <v>1</v>
      </c>
      <c r="L2619"/>
    </row>
    <row r="2620" spans="1:12" x14ac:dyDescent="0.3">
      <c r="A2620" t="s">
        <v>2626</v>
      </c>
      <c r="B2620" t="s">
        <v>10009</v>
      </c>
      <c r="C2620">
        <v>1</v>
      </c>
      <c r="D2620">
        <v>3</v>
      </c>
      <c r="E2620">
        <v>3</v>
      </c>
      <c r="F2620" t="s">
        <v>10104</v>
      </c>
      <c r="G2620" t="s">
        <v>10102</v>
      </c>
      <c r="H2620" s="6">
        <v>45291</v>
      </c>
      <c r="I2620">
        <f t="shared" si="80"/>
        <v>1</v>
      </c>
      <c r="J2620" t="str">
        <f t="shared" si="81"/>
        <v>Complete</v>
      </c>
      <c r="K2620">
        <f>COUNTIFS(RawData[Item], B2620,RawData[Quantity],C2620,RawData[Price Per Unit],D2620,RawData[Total Spent],E2620,RawData[Payment Method],F2620,RawData[Location],G2620,RawData[Transaction Date],H2620)</f>
        <v>1</v>
      </c>
      <c r="L2620"/>
    </row>
    <row r="2621" spans="1:12" x14ac:dyDescent="0.3">
      <c r="A2621" t="s">
        <v>2627</v>
      </c>
      <c r="B2621" t="s">
        <v>10010</v>
      </c>
      <c r="C2621">
        <v>2</v>
      </c>
      <c r="D2621">
        <v>1</v>
      </c>
      <c r="E2621">
        <v>2</v>
      </c>
      <c r="F2621" t="s">
        <v>10020</v>
      </c>
      <c r="G2621" t="s">
        <v>10021</v>
      </c>
      <c r="H2621" s="6">
        <v>45094</v>
      </c>
      <c r="I2621">
        <f t="shared" si="80"/>
        <v>0</v>
      </c>
      <c r="J2621" t="str">
        <f t="shared" si="81"/>
        <v>Complete</v>
      </c>
      <c r="K2621">
        <f>COUNTIFS(RawData[Item], B2621,RawData[Quantity],C2621,RawData[Price Per Unit],D2621,RawData[Total Spent],E2621,RawData[Payment Method],F2621,RawData[Location],G2621,RawData[Transaction Date],H2621)</f>
        <v>1</v>
      </c>
      <c r="L2621"/>
    </row>
    <row r="2622" spans="1:12" x14ac:dyDescent="0.3">
      <c r="A2622" t="s">
        <v>2628</v>
      </c>
      <c r="B2622" t="s">
        <v>10016</v>
      </c>
      <c r="C2622">
        <v>5</v>
      </c>
      <c r="D2622">
        <v>3</v>
      </c>
      <c r="E2622">
        <v>15</v>
      </c>
      <c r="F2622" t="s">
        <v>10019</v>
      </c>
      <c r="G2622" t="s">
        <v>10102</v>
      </c>
      <c r="H2622" s="6">
        <v>44941</v>
      </c>
      <c r="I2622">
        <f t="shared" si="80"/>
        <v>0</v>
      </c>
      <c r="J2622" t="str">
        <f t="shared" si="81"/>
        <v>Complete</v>
      </c>
      <c r="K2622">
        <f>COUNTIFS(RawData[Item], B2622,RawData[Quantity],C2622,RawData[Price Per Unit],D2622,RawData[Total Spent],E2622,RawData[Payment Method],F2622,RawData[Location],G2622,RawData[Transaction Date],H2622)</f>
        <v>1</v>
      </c>
      <c r="L2622"/>
    </row>
    <row r="2623" spans="1:12" x14ac:dyDescent="0.3">
      <c r="A2623" t="s">
        <v>2629</v>
      </c>
      <c r="B2623" t="s">
        <v>10017</v>
      </c>
      <c r="C2623">
        <v>1</v>
      </c>
      <c r="D2623">
        <v>1.5</v>
      </c>
      <c r="E2623">
        <v>1.5</v>
      </c>
      <c r="F2623" t="s">
        <v>10019</v>
      </c>
      <c r="G2623" t="s">
        <v>10069</v>
      </c>
      <c r="H2623" s="6">
        <v>45164</v>
      </c>
      <c r="I2623">
        <f t="shared" si="80"/>
        <v>0</v>
      </c>
      <c r="J2623" t="str">
        <f t="shared" si="81"/>
        <v>Complete</v>
      </c>
      <c r="K2623">
        <f>COUNTIFS(RawData[Item], B2623,RawData[Quantity],C2623,RawData[Price Per Unit],D2623,RawData[Total Spent],E2623,RawData[Payment Method],F2623,RawData[Location],G2623,RawData[Transaction Date],H2623)</f>
        <v>1</v>
      </c>
      <c r="L2623"/>
    </row>
    <row r="2624" spans="1:12" x14ac:dyDescent="0.3">
      <c r="A2624" t="s">
        <v>2630</v>
      </c>
      <c r="B2624" t="s">
        <v>10012</v>
      </c>
      <c r="C2624">
        <v>3</v>
      </c>
      <c r="D2624">
        <v>4</v>
      </c>
      <c r="E2624">
        <v>12</v>
      </c>
      <c r="F2624" t="s">
        <v>10069</v>
      </c>
      <c r="G2624" t="s">
        <v>10021</v>
      </c>
      <c r="H2624" s="6">
        <v>44944</v>
      </c>
      <c r="I2624">
        <f t="shared" si="80"/>
        <v>0</v>
      </c>
      <c r="J2624" t="str">
        <f t="shared" si="81"/>
        <v>Complete</v>
      </c>
      <c r="K2624">
        <f>COUNTIFS(RawData[Item], B2624,RawData[Quantity],C2624,RawData[Price Per Unit],D2624,RawData[Total Spent],E2624,RawData[Payment Method],F2624,RawData[Location],G2624,RawData[Transaction Date],H2624)</f>
        <v>1</v>
      </c>
      <c r="L2624"/>
    </row>
    <row r="2625" spans="1:12" x14ac:dyDescent="0.3">
      <c r="A2625" t="s">
        <v>2631</v>
      </c>
      <c r="B2625" t="s">
        <v>10008</v>
      </c>
      <c r="C2625">
        <v>1</v>
      </c>
      <c r="D2625">
        <v>2</v>
      </c>
      <c r="E2625">
        <v>2</v>
      </c>
      <c r="F2625" t="s">
        <v>10018</v>
      </c>
      <c r="G2625" t="s">
        <v>10102</v>
      </c>
      <c r="H2625" s="6">
        <v>45223</v>
      </c>
      <c r="I2625">
        <f t="shared" si="80"/>
        <v>0</v>
      </c>
      <c r="J2625" t="str">
        <f t="shared" si="81"/>
        <v>Complete</v>
      </c>
      <c r="K2625">
        <f>COUNTIFS(RawData[Item], B2625,RawData[Quantity],C2625,RawData[Price Per Unit],D2625,RawData[Total Spent],E2625,RawData[Payment Method],F2625,RawData[Location],G2625,RawData[Transaction Date],H2625)</f>
        <v>1</v>
      </c>
      <c r="L2625"/>
    </row>
    <row r="2626" spans="1:12" x14ac:dyDescent="0.3">
      <c r="A2626" t="s">
        <v>2632</v>
      </c>
      <c r="B2626" t="s">
        <v>10013</v>
      </c>
      <c r="C2626">
        <v>5</v>
      </c>
      <c r="D2626">
        <v>2</v>
      </c>
      <c r="E2626">
        <v>10</v>
      </c>
      <c r="F2626" t="s">
        <v>10020</v>
      </c>
      <c r="G2626" t="s">
        <v>10021</v>
      </c>
      <c r="H2626" s="6">
        <v>45170</v>
      </c>
      <c r="I2626">
        <f t="shared" ref="I2626:I2689" si="82">(B2626="Unknown")+(B2626="Error")+(C2626="Unknown")+(C2626="Error")+(D2626="Unknown")+(D2626="Error")+(E2626="Unknown")+(E2626="Error")+(F2626="Unknown")+(F2626="Error")+(G2626="Unknown")+(G2626="Error")+(H2626="No Date")</f>
        <v>1</v>
      </c>
      <c r="J2626" t="str">
        <f t="shared" ref="J2626:J2689" si="83">IF((H2626="No Date"),"Incomplete","Complete")</f>
        <v>Complete</v>
      </c>
      <c r="K2626">
        <f>COUNTIFS(RawData[Item], B2626,RawData[Quantity],C2626,RawData[Price Per Unit],D2626,RawData[Total Spent],E2626,RawData[Payment Method],F2626,RawData[Location],G2626,RawData[Transaction Date],H2626)</f>
        <v>1</v>
      </c>
      <c r="L2626"/>
    </row>
    <row r="2627" spans="1:12" x14ac:dyDescent="0.3">
      <c r="A2627" t="s">
        <v>2633</v>
      </c>
      <c r="B2627" t="s">
        <v>10012</v>
      </c>
      <c r="C2627" t="s">
        <v>10013</v>
      </c>
      <c r="D2627">
        <v>4</v>
      </c>
      <c r="E2627">
        <v>12</v>
      </c>
      <c r="F2627" t="s">
        <v>10020</v>
      </c>
      <c r="G2627" t="s">
        <v>10102</v>
      </c>
      <c r="H2627" s="6">
        <v>45235</v>
      </c>
      <c r="I2627">
        <f t="shared" si="82"/>
        <v>1</v>
      </c>
      <c r="J2627" t="str">
        <f t="shared" si="83"/>
        <v>Complete</v>
      </c>
      <c r="K2627">
        <f>COUNTIFS(RawData[Item], B2627,RawData[Quantity],C2627,RawData[Price Per Unit],D2627,RawData[Total Spent],E2627,RawData[Payment Method],F2627,RawData[Location],G2627,RawData[Transaction Date],H2627)</f>
        <v>1</v>
      </c>
      <c r="L2627"/>
    </row>
    <row r="2628" spans="1:12" x14ac:dyDescent="0.3">
      <c r="A2628" t="s">
        <v>2634</v>
      </c>
      <c r="B2628" t="s">
        <v>10014</v>
      </c>
      <c r="C2628">
        <v>2</v>
      </c>
      <c r="D2628">
        <v>4</v>
      </c>
      <c r="E2628">
        <v>8</v>
      </c>
      <c r="F2628" t="s">
        <v>10018</v>
      </c>
      <c r="G2628" t="s">
        <v>10069</v>
      </c>
      <c r="H2628" s="6">
        <v>45058</v>
      </c>
      <c r="I2628">
        <f t="shared" si="82"/>
        <v>0</v>
      </c>
      <c r="J2628" t="str">
        <f t="shared" si="83"/>
        <v>Complete</v>
      </c>
      <c r="K2628">
        <f>COUNTIFS(RawData[Item], B2628,RawData[Quantity],C2628,RawData[Price Per Unit],D2628,RawData[Total Spent],E2628,RawData[Payment Method],F2628,RawData[Location],G2628,RawData[Transaction Date],H2628)</f>
        <v>1</v>
      </c>
      <c r="L2628"/>
    </row>
    <row r="2629" spans="1:12" x14ac:dyDescent="0.3">
      <c r="A2629" t="s">
        <v>2635</v>
      </c>
      <c r="B2629" t="s">
        <v>10008</v>
      </c>
      <c r="C2629">
        <v>2</v>
      </c>
      <c r="D2629">
        <v>2</v>
      </c>
      <c r="E2629">
        <v>4</v>
      </c>
      <c r="F2629" t="s">
        <v>10069</v>
      </c>
      <c r="G2629" t="s">
        <v>10069</v>
      </c>
      <c r="H2629" s="6">
        <v>45071</v>
      </c>
      <c r="I2629">
        <f t="shared" si="82"/>
        <v>0</v>
      </c>
      <c r="J2629" t="str">
        <f t="shared" si="83"/>
        <v>Complete</v>
      </c>
      <c r="K2629">
        <f>COUNTIFS(RawData[Item], B2629,RawData[Quantity],C2629,RawData[Price Per Unit],D2629,RawData[Total Spent],E2629,RawData[Payment Method],F2629,RawData[Location],G2629,RawData[Transaction Date],H2629)</f>
        <v>1</v>
      </c>
      <c r="L2629"/>
    </row>
    <row r="2630" spans="1:12" x14ac:dyDescent="0.3">
      <c r="A2630" t="s">
        <v>2636</v>
      </c>
      <c r="B2630" t="s">
        <v>10016</v>
      </c>
      <c r="C2630">
        <v>2</v>
      </c>
      <c r="D2630">
        <v>3</v>
      </c>
      <c r="E2630">
        <v>6</v>
      </c>
      <c r="F2630" t="s">
        <v>10020</v>
      </c>
      <c r="G2630" t="s">
        <v>10102</v>
      </c>
      <c r="H2630" s="6">
        <v>45119</v>
      </c>
      <c r="I2630">
        <f t="shared" si="82"/>
        <v>0</v>
      </c>
      <c r="J2630" t="str">
        <f t="shared" si="83"/>
        <v>Complete</v>
      </c>
      <c r="K2630">
        <f>COUNTIFS(RawData[Item], B2630,RawData[Quantity],C2630,RawData[Price Per Unit],D2630,RawData[Total Spent],E2630,RawData[Payment Method],F2630,RawData[Location],G2630,RawData[Transaction Date],H2630)</f>
        <v>1</v>
      </c>
      <c r="L2630"/>
    </row>
    <row r="2631" spans="1:12" x14ac:dyDescent="0.3">
      <c r="A2631" t="s">
        <v>2637</v>
      </c>
      <c r="B2631" t="s">
        <v>10013</v>
      </c>
      <c r="C2631">
        <v>4</v>
      </c>
      <c r="D2631">
        <v>5</v>
      </c>
      <c r="E2631">
        <v>20</v>
      </c>
      <c r="F2631" t="s">
        <v>10019</v>
      </c>
      <c r="G2631" t="s">
        <v>10021</v>
      </c>
      <c r="H2631" s="6">
        <v>45074</v>
      </c>
      <c r="I2631">
        <f t="shared" si="82"/>
        <v>1</v>
      </c>
      <c r="J2631" t="str">
        <f t="shared" si="83"/>
        <v>Complete</v>
      </c>
      <c r="K2631">
        <f>COUNTIFS(RawData[Item], B2631,RawData[Quantity],C2631,RawData[Price Per Unit],D2631,RawData[Total Spent],E2631,RawData[Payment Method],F2631,RawData[Location],G2631,RawData[Transaction Date],H2631)</f>
        <v>1</v>
      </c>
      <c r="L2631"/>
    </row>
    <row r="2632" spans="1:12" x14ac:dyDescent="0.3">
      <c r="A2632" t="s">
        <v>2638</v>
      </c>
      <c r="B2632" t="s">
        <v>10008</v>
      </c>
      <c r="C2632">
        <v>4</v>
      </c>
      <c r="D2632">
        <v>2</v>
      </c>
      <c r="E2632">
        <v>8</v>
      </c>
      <c r="F2632" t="s">
        <v>10069</v>
      </c>
      <c r="G2632" t="s">
        <v>10021</v>
      </c>
      <c r="H2632" s="6">
        <v>45046</v>
      </c>
      <c r="I2632">
        <f t="shared" si="82"/>
        <v>0</v>
      </c>
      <c r="J2632" t="str">
        <f t="shared" si="83"/>
        <v>Complete</v>
      </c>
      <c r="K2632">
        <f>COUNTIFS(RawData[Item], B2632,RawData[Quantity],C2632,RawData[Price Per Unit],D2632,RawData[Total Spent],E2632,RawData[Payment Method],F2632,RawData[Location],G2632,RawData[Transaction Date],H2632)</f>
        <v>1</v>
      </c>
      <c r="L2632"/>
    </row>
    <row r="2633" spans="1:12" x14ac:dyDescent="0.3">
      <c r="A2633" t="s">
        <v>2639</v>
      </c>
      <c r="B2633" t="s">
        <v>10016</v>
      </c>
      <c r="C2633">
        <v>3</v>
      </c>
      <c r="D2633">
        <v>3</v>
      </c>
      <c r="E2633">
        <v>9</v>
      </c>
      <c r="F2633" t="s">
        <v>10069</v>
      </c>
      <c r="G2633" t="s">
        <v>10102</v>
      </c>
      <c r="H2633" s="6">
        <v>45261</v>
      </c>
      <c r="I2633">
        <f t="shared" si="82"/>
        <v>0</v>
      </c>
      <c r="J2633" t="str">
        <f t="shared" si="83"/>
        <v>Complete</v>
      </c>
      <c r="K2633">
        <f>COUNTIFS(RawData[Item], B2633,RawData[Quantity],C2633,RawData[Price Per Unit],D2633,RawData[Total Spent],E2633,RawData[Payment Method],F2633,RawData[Location],G2633,RawData[Transaction Date],H2633)</f>
        <v>1</v>
      </c>
      <c r="L2633"/>
    </row>
    <row r="2634" spans="1:12" x14ac:dyDescent="0.3">
      <c r="A2634" t="s">
        <v>2640</v>
      </c>
      <c r="B2634" t="s">
        <v>10011</v>
      </c>
      <c r="C2634">
        <v>1</v>
      </c>
      <c r="D2634">
        <v>5</v>
      </c>
      <c r="E2634">
        <v>0</v>
      </c>
      <c r="F2634" t="s">
        <v>10018</v>
      </c>
      <c r="G2634" t="s">
        <v>10102</v>
      </c>
      <c r="H2634" s="6">
        <v>44951</v>
      </c>
      <c r="I2634">
        <f t="shared" si="82"/>
        <v>0</v>
      </c>
      <c r="J2634" t="str">
        <f t="shared" si="83"/>
        <v>Complete</v>
      </c>
      <c r="K2634">
        <f>COUNTIFS(RawData[Item], B2634,RawData[Quantity],C2634,RawData[Price Per Unit],D2634,RawData[Total Spent],E2634,RawData[Payment Method],F2634,RawData[Location],G2634,RawData[Transaction Date],H2634)</f>
        <v>1</v>
      </c>
      <c r="L2634"/>
    </row>
    <row r="2635" spans="1:12" x14ac:dyDescent="0.3">
      <c r="A2635" t="s">
        <v>2641</v>
      </c>
      <c r="B2635" t="s">
        <v>10017</v>
      </c>
      <c r="C2635">
        <v>1</v>
      </c>
      <c r="D2635">
        <v>1.5</v>
      </c>
      <c r="E2635">
        <v>1.5</v>
      </c>
      <c r="F2635" t="s">
        <v>10019</v>
      </c>
      <c r="G2635" t="s">
        <v>10069</v>
      </c>
      <c r="H2635" s="6">
        <v>45282</v>
      </c>
      <c r="I2635">
        <f t="shared" si="82"/>
        <v>0</v>
      </c>
      <c r="J2635" t="str">
        <f t="shared" si="83"/>
        <v>Complete</v>
      </c>
      <c r="K2635">
        <f>COUNTIFS(RawData[Item], B2635,RawData[Quantity],C2635,RawData[Price Per Unit],D2635,RawData[Total Spent],E2635,RawData[Payment Method],F2635,RawData[Location],G2635,RawData[Transaction Date],H2635)</f>
        <v>1</v>
      </c>
      <c r="L2635"/>
    </row>
    <row r="2636" spans="1:12" x14ac:dyDescent="0.3">
      <c r="A2636" t="s">
        <v>2642</v>
      </c>
      <c r="B2636" t="s">
        <v>10009</v>
      </c>
      <c r="C2636">
        <v>5</v>
      </c>
      <c r="D2636">
        <v>3</v>
      </c>
      <c r="E2636">
        <v>15</v>
      </c>
      <c r="F2636" t="s">
        <v>10020</v>
      </c>
      <c r="G2636" t="s">
        <v>10021</v>
      </c>
      <c r="H2636" s="6">
        <v>45288</v>
      </c>
      <c r="I2636">
        <f t="shared" si="82"/>
        <v>0</v>
      </c>
      <c r="J2636" t="str">
        <f t="shared" si="83"/>
        <v>Complete</v>
      </c>
      <c r="K2636">
        <f>COUNTIFS(RawData[Item], B2636,RawData[Quantity],C2636,RawData[Price Per Unit],D2636,RawData[Total Spent],E2636,RawData[Payment Method],F2636,RawData[Location],G2636,RawData[Transaction Date],H2636)</f>
        <v>1</v>
      </c>
      <c r="L2636"/>
    </row>
    <row r="2637" spans="1:12" x14ac:dyDescent="0.3">
      <c r="A2637" t="s">
        <v>2643</v>
      </c>
      <c r="B2637" t="s">
        <v>10012</v>
      </c>
      <c r="C2637">
        <v>2</v>
      </c>
      <c r="D2637">
        <v>4</v>
      </c>
      <c r="E2637">
        <v>8</v>
      </c>
      <c r="F2637" t="s">
        <v>10020</v>
      </c>
      <c r="G2637" t="s">
        <v>10021</v>
      </c>
      <c r="H2637" s="6">
        <v>45015</v>
      </c>
      <c r="I2637">
        <f t="shared" si="82"/>
        <v>0</v>
      </c>
      <c r="J2637" t="str">
        <f t="shared" si="83"/>
        <v>Complete</v>
      </c>
      <c r="K2637">
        <f>COUNTIFS(RawData[Item], B2637,RawData[Quantity],C2637,RawData[Price Per Unit],D2637,RawData[Total Spent],E2637,RawData[Payment Method],F2637,RawData[Location],G2637,RawData[Transaction Date],H2637)</f>
        <v>1</v>
      </c>
      <c r="L2637"/>
    </row>
    <row r="2638" spans="1:12" x14ac:dyDescent="0.3">
      <c r="A2638" t="s">
        <v>2644</v>
      </c>
      <c r="B2638" t="s">
        <v>10016</v>
      </c>
      <c r="C2638">
        <v>1</v>
      </c>
      <c r="D2638">
        <v>3</v>
      </c>
      <c r="E2638">
        <v>3</v>
      </c>
      <c r="F2638" t="s">
        <v>10019</v>
      </c>
      <c r="G2638" t="s">
        <v>10069</v>
      </c>
      <c r="H2638" s="6">
        <v>44997</v>
      </c>
      <c r="I2638">
        <f t="shared" si="82"/>
        <v>0</v>
      </c>
      <c r="J2638" t="str">
        <f t="shared" si="83"/>
        <v>Complete</v>
      </c>
      <c r="K2638">
        <f>COUNTIFS(RawData[Item], B2638,RawData[Quantity],C2638,RawData[Price Per Unit],D2638,RawData[Total Spent],E2638,RawData[Payment Method],F2638,RawData[Location],G2638,RawData[Transaction Date],H2638)</f>
        <v>1</v>
      </c>
      <c r="L2638"/>
    </row>
    <row r="2639" spans="1:12" x14ac:dyDescent="0.3">
      <c r="A2639" t="s">
        <v>2645</v>
      </c>
      <c r="B2639" t="s">
        <v>10016</v>
      </c>
      <c r="C2639">
        <v>1</v>
      </c>
      <c r="D2639">
        <v>3</v>
      </c>
      <c r="E2639">
        <v>3</v>
      </c>
      <c r="F2639" t="s">
        <v>10103</v>
      </c>
      <c r="G2639" t="s">
        <v>10069</v>
      </c>
      <c r="H2639" s="6">
        <v>45029</v>
      </c>
      <c r="I2639">
        <f t="shared" si="82"/>
        <v>1</v>
      </c>
      <c r="J2639" t="str">
        <f t="shared" si="83"/>
        <v>Complete</v>
      </c>
      <c r="K2639">
        <f>COUNTIFS(RawData[Item], B2639,RawData[Quantity],C2639,RawData[Price Per Unit],D2639,RawData[Total Spent],E2639,RawData[Payment Method],F2639,RawData[Location],G2639,RawData[Transaction Date],H2639)</f>
        <v>1</v>
      </c>
      <c r="L2639"/>
    </row>
    <row r="2640" spans="1:12" x14ac:dyDescent="0.3">
      <c r="A2640" t="s">
        <v>2646</v>
      </c>
      <c r="B2640" t="s">
        <v>10008</v>
      </c>
      <c r="C2640">
        <v>1</v>
      </c>
      <c r="D2640">
        <v>2</v>
      </c>
      <c r="E2640">
        <v>2</v>
      </c>
      <c r="F2640" t="s">
        <v>10018</v>
      </c>
      <c r="G2640" t="s">
        <v>10102</v>
      </c>
      <c r="H2640" s="6">
        <v>45261</v>
      </c>
      <c r="I2640">
        <f t="shared" si="82"/>
        <v>0</v>
      </c>
      <c r="J2640" t="str">
        <f t="shared" si="83"/>
        <v>Complete</v>
      </c>
      <c r="K2640">
        <f>COUNTIFS(RawData[Item], B2640,RawData[Quantity],C2640,RawData[Price Per Unit],D2640,RawData[Total Spent],E2640,RawData[Payment Method],F2640,RawData[Location],G2640,RawData[Transaction Date],H2640)</f>
        <v>1</v>
      </c>
      <c r="L2640"/>
    </row>
    <row r="2641" spans="1:12" x14ac:dyDescent="0.3">
      <c r="A2641" t="s">
        <v>2647</v>
      </c>
      <c r="B2641" t="s">
        <v>10010</v>
      </c>
      <c r="C2641">
        <v>2</v>
      </c>
      <c r="D2641">
        <v>1</v>
      </c>
      <c r="E2641">
        <v>2</v>
      </c>
      <c r="F2641" t="s">
        <v>10020</v>
      </c>
      <c r="G2641" t="s">
        <v>10021</v>
      </c>
      <c r="H2641" s="6">
        <v>45270</v>
      </c>
      <c r="I2641">
        <f t="shared" si="82"/>
        <v>0</v>
      </c>
      <c r="J2641" t="str">
        <f t="shared" si="83"/>
        <v>Complete</v>
      </c>
      <c r="K2641">
        <f>COUNTIFS(RawData[Item], B2641,RawData[Quantity],C2641,RawData[Price Per Unit],D2641,RawData[Total Spent],E2641,RawData[Payment Method],F2641,RawData[Location],G2641,RawData[Transaction Date],H2641)</f>
        <v>1</v>
      </c>
      <c r="L2641"/>
    </row>
    <row r="2642" spans="1:12" x14ac:dyDescent="0.3">
      <c r="A2642" t="s">
        <v>2648</v>
      </c>
      <c r="B2642" t="s">
        <v>10011</v>
      </c>
      <c r="C2642">
        <v>4</v>
      </c>
      <c r="D2642">
        <v>5</v>
      </c>
      <c r="E2642">
        <v>20</v>
      </c>
      <c r="F2642" t="s">
        <v>10019</v>
      </c>
      <c r="G2642" t="s">
        <v>10069</v>
      </c>
      <c r="H2642" s="6">
        <v>45202</v>
      </c>
      <c r="I2642">
        <f t="shared" si="82"/>
        <v>0</v>
      </c>
      <c r="J2642" t="str">
        <f t="shared" si="83"/>
        <v>Complete</v>
      </c>
      <c r="K2642">
        <f>COUNTIFS(RawData[Item], B2642,RawData[Quantity],C2642,RawData[Price Per Unit],D2642,RawData[Total Spent],E2642,RawData[Payment Method],F2642,RawData[Location],G2642,RawData[Transaction Date],H2642)</f>
        <v>1</v>
      </c>
      <c r="L2642"/>
    </row>
    <row r="2643" spans="1:12" x14ac:dyDescent="0.3">
      <c r="A2643" t="s">
        <v>2649</v>
      </c>
      <c r="B2643" t="s">
        <v>10014</v>
      </c>
      <c r="C2643" t="s">
        <v>10015</v>
      </c>
      <c r="D2643">
        <v>4</v>
      </c>
      <c r="E2643">
        <v>16</v>
      </c>
      <c r="F2643" t="s">
        <v>10069</v>
      </c>
      <c r="G2643" t="s">
        <v>10069</v>
      </c>
      <c r="H2643" s="6">
        <v>44983</v>
      </c>
      <c r="I2643">
        <f t="shared" si="82"/>
        <v>1</v>
      </c>
      <c r="J2643" t="str">
        <f t="shared" si="83"/>
        <v>Complete</v>
      </c>
      <c r="K2643">
        <f>COUNTIFS(RawData[Item], B2643,RawData[Quantity],C2643,RawData[Price Per Unit],D2643,RawData[Total Spent],E2643,RawData[Payment Method],F2643,RawData[Location],G2643,RawData[Transaction Date],H2643)</f>
        <v>1</v>
      </c>
      <c r="L2643"/>
    </row>
    <row r="2644" spans="1:12" x14ac:dyDescent="0.3">
      <c r="A2644" t="s">
        <v>2650</v>
      </c>
      <c r="B2644" t="s">
        <v>10016</v>
      </c>
      <c r="C2644">
        <v>1</v>
      </c>
      <c r="D2644">
        <v>3</v>
      </c>
      <c r="E2644">
        <v>3</v>
      </c>
      <c r="F2644" t="s">
        <v>10069</v>
      </c>
      <c r="G2644" t="s">
        <v>10021</v>
      </c>
      <c r="H2644" s="6">
        <v>45035</v>
      </c>
      <c r="I2644">
        <f t="shared" si="82"/>
        <v>0</v>
      </c>
      <c r="J2644" t="str">
        <f t="shared" si="83"/>
        <v>Complete</v>
      </c>
      <c r="K2644">
        <f>COUNTIFS(RawData[Item], B2644,RawData[Quantity],C2644,RawData[Price Per Unit],D2644,RawData[Total Spent],E2644,RawData[Payment Method],F2644,RawData[Location],G2644,RawData[Transaction Date],H2644)</f>
        <v>1</v>
      </c>
      <c r="L2644"/>
    </row>
    <row r="2645" spans="1:12" x14ac:dyDescent="0.3">
      <c r="A2645" t="s">
        <v>2651</v>
      </c>
      <c r="B2645" t="s">
        <v>10014</v>
      </c>
      <c r="C2645">
        <v>4</v>
      </c>
      <c r="D2645">
        <v>4</v>
      </c>
      <c r="E2645">
        <v>16</v>
      </c>
      <c r="F2645" t="s">
        <v>10019</v>
      </c>
      <c r="G2645" t="s">
        <v>10069</v>
      </c>
      <c r="H2645" s="6">
        <v>44941</v>
      </c>
      <c r="I2645">
        <f t="shared" si="82"/>
        <v>0</v>
      </c>
      <c r="J2645" t="str">
        <f t="shared" si="83"/>
        <v>Complete</v>
      </c>
      <c r="K2645">
        <f>COUNTIFS(RawData[Item], B2645,RawData[Quantity],C2645,RawData[Price Per Unit],D2645,RawData[Total Spent],E2645,RawData[Payment Method],F2645,RawData[Location],G2645,RawData[Transaction Date],H2645)</f>
        <v>1</v>
      </c>
      <c r="L2645"/>
    </row>
    <row r="2646" spans="1:12" x14ac:dyDescent="0.3">
      <c r="A2646" t="s">
        <v>2652</v>
      </c>
      <c r="B2646" t="s">
        <v>10011</v>
      </c>
      <c r="C2646">
        <v>1</v>
      </c>
      <c r="D2646">
        <v>5</v>
      </c>
      <c r="E2646">
        <v>5</v>
      </c>
      <c r="F2646" t="s">
        <v>10104</v>
      </c>
      <c r="G2646" t="s">
        <v>10021</v>
      </c>
      <c r="H2646" s="6">
        <v>44973</v>
      </c>
      <c r="I2646">
        <f t="shared" si="82"/>
        <v>1</v>
      </c>
      <c r="J2646" t="str">
        <f t="shared" si="83"/>
        <v>Complete</v>
      </c>
      <c r="K2646">
        <f>COUNTIFS(RawData[Item], B2646,RawData[Quantity],C2646,RawData[Price Per Unit],D2646,RawData[Total Spent],E2646,RawData[Payment Method],F2646,RawData[Location],G2646,RawData[Transaction Date],H2646)</f>
        <v>1</v>
      </c>
      <c r="L2646"/>
    </row>
    <row r="2647" spans="1:12" x14ac:dyDescent="0.3">
      <c r="A2647" t="s">
        <v>2653</v>
      </c>
      <c r="B2647" t="s">
        <v>10017</v>
      </c>
      <c r="C2647">
        <v>4</v>
      </c>
      <c r="D2647">
        <v>1.5</v>
      </c>
      <c r="E2647">
        <v>6</v>
      </c>
      <c r="F2647" t="s">
        <v>10069</v>
      </c>
      <c r="G2647" t="s">
        <v>10104</v>
      </c>
      <c r="H2647" s="6">
        <v>45162</v>
      </c>
      <c r="I2647">
        <f t="shared" si="82"/>
        <v>1</v>
      </c>
      <c r="J2647" t="str">
        <f t="shared" si="83"/>
        <v>Complete</v>
      </c>
      <c r="K2647">
        <f>COUNTIFS(RawData[Item], B2647,RawData[Quantity],C2647,RawData[Price Per Unit],D2647,RawData[Total Spent],E2647,RawData[Payment Method],F2647,RawData[Location],G2647,RawData[Transaction Date],H2647)</f>
        <v>1</v>
      </c>
      <c r="L2647"/>
    </row>
    <row r="2648" spans="1:12" x14ac:dyDescent="0.3">
      <c r="A2648" t="s">
        <v>2654</v>
      </c>
      <c r="B2648" t="s">
        <v>10009</v>
      </c>
      <c r="C2648">
        <v>1</v>
      </c>
      <c r="D2648">
        <v>3</v>
      </c>
      <c r="E2648">
        <v>3</v>
      </c>
      <c r="F2648" t="s">
        <v>10018</v>
      </c>
      <c r="G2648" t="s">
        <v>10069</v>
      </c>
      <c r="H2648" s="6">
        <v>44938</v>
      </c>
      <c r="I2648">
        <f t="shared" si="82"/>
        <v>0</v>
      </c>
      <c r="J2648" t="str">
        <f t="shared" si="83"/>
        <v>Complete</v>
      </c>
      <c r="K2648">
        <f>COUNTIFS(RawData[Item], B2648,RawData[Quantity],C2648,RawData[Price Per Unit],D2648,RawData[Total Spent],E2648,RawData[Payment Method],F2648,RawData[Location],G2648,RawData[Transaction Date],H2648)</f>
        <v>1</v>
      </c>
      <c r="L2648"/>
    </row>
    <row r="2649" spans="1:12" x14ac:dyDescent="0.3">
      <c r="A2649" t="s">
        <v>2655</v>
      </c>
      <c r="B2649" t="s">
        <v>10008</v>
      </c>
      <c r="C2649" t="s">
        <v>10015</v>
      </c>
      <c r="D2649">
        <v>2</v>
      </c>
      <c r="E2649">
        <v>4</v>
      </c>
      <c r="F2649" t="s">
        <v>10020</v>
      </c>
      <c r="G2649" t="s">
        <v>10069</v>
      </c>
      <c r="H2649" s="6">
        <v>45184</v>
      </c>
      <c r="I2649">
        <f t="shared" si="82"/>
        <v>1</v>
      </c>
      <c r="J2649" t="str">
        <f t="shared" si="83"/>
        <v>Complete</v>
      </c>
      <c r="K2649">
        <f>COUNTIFS(RawData[Item], B2649,RawData[Quantity],C2649,RawData[Price Per Unit],D2649,RawData[Total Spent],E2649,RawData[Payment Method],F2649,RawData[Location],G2649,RawData[Transaction Date],H2649)</f>
        <v>1</v>
      </c>
      <c r="L2649"/>
    </row>
    <row r="2650" spans="1:12" x14ac:dyDescent="0.3">
      <c r="A2650" t="s">
        <v>2656</v>
      </c>
      <c r="B2650" t="s">
        <v>10010</v>
      </c>
      <c r="C2650">
        <v>4</v>
      </c>
      <c r="D2650">
        <v>1</v>
      </c>
      <c r="E2650">
        <v>4</v>
      </c>
      <c r="F2650" t="s">
        <v>10018</v>
      </c>
      <c r="G2650" t="s">
        <v>10069</v>
      </c>
      <c r="H2650" s="6">
        <v>45111</v>
      </c>
      <c r="I2650">
        <f t="shared" si="82"/>
        <v>0</v>
      </c>
      <c r="J2650" t="str">
        <f t="shared" si="83"/>
        <v>Complete</v>
      </c>
      <c r="K2650">
        <f>COUNTIFS(RawData[Item], B2650,RawData[Quantity],C2650,RawData[Price Per Unit],D2650,RawData[Total Spent],E2650,RawData[Payment Method],F2650,RawData[Location],G2650,RawData[Transaction Date],H2650)</f>
        <v>1</v>
      </c>
      <c r="L2650"/>
    </row>
    <row r="2651" spans="1:12" x14ac:dyDescent="0.3">
      <c r="A2651" t="s">
        <v>2657</v>
      </c>
      <c r="B2651" t="s">
        <v>10014</v>
      </c>
      <c r="C2651">
        <v>4</v>
      </c>
      <c r="D2651">
        <v>4</v>
      </c>
      <c r="E2651">
        <v>16</v>
      </c>
      <c r="F2651" t="s">
        <v>10019</v>
      </c>
      <c r="G2651" t="s">
        <v>10102</v>
      </c>
      <c r="H2651" s="6">
        <v>44976</v>
      </c>
      <c r="I2651">
        <f t="shared" si="82"/>
        <v>0</v>
      </c>
      <c r="J2651" t="str">
        <f t="shared" si="83"/>
        <v>Complete</v>
      </c>
      <c r="K2651">
        <f>COUNTIFS(RawData[Item], B2651,RawData[Quantity],C2651,RawData[Price Per Unit],D2651,RawData[Total Spent],E2651,RawData[Payment Method],F2651,RawData[Location],G2651,RawData[Transaction Date],H2651)</f>
        <v>1</v>
      </c>
      <c r="L2651"/>
    </row>
    <row r="2652" spans="1:12" x14ac:dyDescent="0.3">
      <c r="A2652" t="s">
        <v>2658</v>
      </c>
      <c r="B2652" t="s">
        <v>10008</v>
      </c>
      <c r="C2652">
        <v>4</v>
      </c>
      <c r="D2652">
        <v>2</v>
      </c>
      <c r="E2652">
        <v>8</v>
      </c>
      <c r="F2652" t="s">
        <v>10069</v>
      </c>
      <c r="G2652" t="s">
        <v>10069</v>
      </c>
      <c r="H2652" s="6">
        <v>45012</v>
      </c>
      <c r="I2652">
        <f t="shared" si="82"/>
        <v>0</v>
      </c>
      <c r="J2652" t="str">
        <f t="shared" si="83"/>
        <v>Complete</v>
      </c>
      <c r="K2652">
        <f>COUNTIFS(RawData[Item], B2652,RawData[Quantity],C2652,RawData[Price Per Unit],D2652,RawData[Total Spent],E2652,RawData[Payment Method],F2652,RawData[Location],G2652,RawData[Transaction Date],H2652)</f>
        <v>1</v>
      </c>
      <c r="L2652"/>
    </row>
    <row r="2653" spans="1:12" x14ac:dyDescent="0.3">
      <c r="A2653" t="s">
        <v>2659</v>
      </c>
      <c r="B2653" t="s">
        <v>10008</v>
      </c>
      <c r="C2653">
        <v>1</v>
      </c>
      <c r="D2653">
        <v>2</v>
      </c>
      <c r="E2653">
        <v>2</v>
      </c>
      <c r="F2653" t="s">
        <v>10020</v>
      </c>
      <c r="G2653" t="s">
        <v>10103</v>
      </c>
      <c r="H2653" s="6">
        <v>45122</v>
      </c>
      <c r="I2653">
        <f t="shared" si="82"/>
        <v>1</v>
      </c>
      <c r="J2653" t="str">
        <f t="shared" si="83"/>
        <v>Complete</v>
      </c>
      <c r="K2653">
        <f>COUNTIFS(RawData[Item], B2653,RawData[Quantity],C2653,RawData[Price Per Unit],D2653,RawData[Total Spent],E2653,RawData[Payment Method],F2653,RawData[Location],G2653,RawData[Transaction Date],H2653)</f>
        <v>1</v>
      </c>
      <c r="L2653"/>
    </row>
    <row r="2654" spans="1:12" x14ac:dyDescent="0.3">
      <c r="A2654" t="s">
        <v>2660</v>
      </c>
      <c r="B2654" t="s">
        <v>10016</v>
      </c>
      <c r="C2654">
        <v>1</v>
      </c>
      <c r="D2654">
        <v>3</v>
      </c>
      <c r="E2654">
        <v>3</v>
      </c>
      <c r="F2654" t="s">
        <v>10020</v>
      </c>
      <c r="G2654" t="s">
        <v>10021</v>
      </c>
      <c r="H2654" s="6">
        <v>45116</v>
      </c>
      <c r="I2654">
        <f t="shared" si="82"/>
        <v>0</v>
      </c>
      <c r="J2654" t="str">
        <f t="shared" si="83"/>
        <v>Complete</v>
      </c>
      <c r="K2654">
        <f>COUNTIFS(RawData[Item], B2654,RawData[Quantity],C2654,RawData[Price Per Unit],D2654,RawData[Total Spent],E2654,RawData[Payment Method],F2654,RawData[Location],G2654,RawData[Transaction Date],H2654)</f>
        <v>1</v>
      </c>
      <c r="L2654"/>
    </row>
    <row r="2655" spans="1:12" x14ac:dyDescent="0.3">
      <c r="A2655" t="s">
        <v>2661</v>
      </c>
      <c r="B2655" t="s">
        <v>10009</v>
      </c>
      <c r="C2655">
        <v>2</v>
      </c>
      <c r="D2655">
        <v>0</v>
      </c>
      <c r="E2655">
        <v>6</v>
      </c>
      <c r="F2655" t="s">
        <v>10018</v>
      </c>
      <c r="G2655" t="s">
        <v>10103</v>
      </c>
      <c r="H2655" s="6">
        <v>45216</v>
      </c>
      <c r="I2655">
        <f t="shared" si="82"/>
        <v>1</v>
      </c>
      <c r="J2655" t="str">
        <f t="shared" si="83"/>
        <v>Complete</v>
      </c>
      <c r="K2655">
        <f>COUNTIFS(RawData[Item], B2655,RawData[Quantity],C2655,RawData[Price Per Unit],D2655,RawData[Total Spent],E2655,RawData[Payment Method],F2655,RawData[Location],G2655,RawData[Transaction Date],H2655)</f>
        <v>1</v>
      </c>
      <c r="L2655"/>
    </row>
    <row r="2656" spans="1:12" x14ac:dyDescent="0.3">
      <c r="A2656" t="s">
        <v>2662</v>
      </c>
      <c r="B2656" t="s">
        <v>10016</v>
      </c>
      <c r="C2656">
        <v>1</v>
      </c>
      <c r="D2656">
        <v>3</v>
      </c>
      <c r="E2656">
        <v>3</v>
      </c>
      <c r="F2656" t="s">
        <v>10018</v>
      </c>
      <c r="G2656" t="s">
        <v>10102</v>
      </c>
      <c r="H2656" s="6">
        <v>45004</v>
      </c>
      <c r="I2656">
        <f t="shared" si="82"/>
        <v>0</v>
      </c>
      <c r="J2656" t="str">
        <f t="shared" si="83"/>
        <v>Complete</v>
      </c>
      <c r="K2656">
        <f>COUNTIFS(RawData[Item], B2656,RawData[Quantity],C2656,RawData[Price Per Unit],D2656,RawData[Total Spent],E2656,RawData[Payment Method],F2656,RawData[Location],G2656,RawData[Transaction Date],H2656)</f>
        <v>1</v>
      </c>
      <c r="L2656"/>
    </row>
    <row r="2657" spans="1:12" x14ac:dyDescent="0.3">
      <c r="A2657" t="s">
        <v>2663</v>
      </c>
      <c r="B2657" t="s">
        <v>10014</v>
      </c>
      <c r="C2657">
        <v>5</v>
      </c>
      <c r="D2657">
        <v>4</v>
      </c>
      <c r="E2657">
        <v>20</v>
      </c>
      <c r="F2657" t="s">
        <v>10020</v>
      </c>
      <c r="G2657" t="s">
        <v>10102</v>
      </c>
      <c r="H2657" s="6">
        <v>44969</v>
      </c>
      <c r="I2657">
        <f t="shared" si="82"/>
        <v>0</v>
      </c>
      <c r="J2657" t="str">
        <f t="shared" si="83"/>
        <v>Complete</v>
      </c>
      <c r="K2657">
        <f>COUNTIFS(RawData[Item], B2657,RawData[Quantity],C2657,RawData[Price Per Unit],D2657,RawData[Total Spent],E2657,RawData[Payment Method],F2657,RawData[Location],G2657,RawData[Transaction Date],H2657)</f>
        <v>2</v>
      </c>
      <c r="L2657"/>
    </row>
    <row r="2658" spans="1:12" x14ac:dyDescent="0.3">
      <c r="A2658" t="s">
        <v>2664</v>
      </c>
      <c r="B2658" t="s">
        <v>10015</v>
      </c>
      <c r="C2658">
        <v>4</v>
      </c>
      <c r="D2658">
        <v>3</v>
      </c>
      <c r="E2658">
        <v>12</v>
      </c>
      <c r="F2658" t="s">
        <v>10069</v>
      </c>
      <c r="G2658" t="s">
        <v>10069</v>
      </c>
      <c r="H2658" s="6">
        <v>44950</v>
      </c>
      <c r="I2658">
        <f t="shared" si="82"/>
        <v>1</v>
      </c>
      <c r="J2658" t="str">
        <f t="shared" si="83"/>
        <v>Complete</v>
      </c>
      <c r="K2658">
        <f>COUNTIFS(RawData[Item], B2658,RawData[Quantity],C2658,RawData[Price Per Unit],D2658,RawData[Total Spent],E2658,RawData[Payment Method],F2658,RawData[Location],G2658,RawData[Transaction Date],H2658)</f>
        <v>1</v>
      </c>
      <c r="L2658"/>
    </row>
    <row r="2659" spans="1:12" x14ac:dyDescent="0.3">
      <c r="A2659" t="s">
        <v>2665</v>
      </c>
      <c r="B2659" t="s">
        <v>10009</v>
      </c>
      <c r="C2659">
        <v>2</v>
      </c>
      <c r="D2659">
        <v>3</v>
      </c>
      <c r="E2659">
        <v>6</v>
      </c>
      <c r="F2659" t="s">
        <v>10018</v>
      </c>
      <c r="G2659" t="s">
        <v>10069</v>
      </c>
      <c r="H2659" s="6">
        <v>44989</v>
      </c>
      <c r="I2659">
        <f t="shared" si="82"/>
        <v>0</v>
      </c>
      <c r="J2659" t="str">
        <f t="shared" si="83"/>
        <v>Complete</v>
      </c>
      <c r="K2659">
        <f>COUNTIFS(RawData[Item], B2659,RawData[Quantity],C2659,RawData[Price Per Unit],D2659,RawData[Total Spent],E2659,RawData[Payment Method],F2659,RawData[Location],G2659,RawData[Transaction Date],H2659)</f>
        <v>1</v>
      </c>
      <c r="L2659"/>
    </row>
    <row r="2660" spans="1:12" x14ac:dyDescent="0.3">
      <c r="A2660" t="s">
        <v>2666</v>
      </c>
      <c r="B2660" t="s">
        <v>10010</v>
      </c>
      <c r="C2660">
        <v>4</v>
      </c>
      <c r="D2660">
        <v>1</v>
      </c>
      <c r="E2660">
        <v>4</v>
      </c>
      <c r="F2660" t="s">
        <v>10069</v>
      </c>
      <c r="G2660" t="s">
        <v>10021</v>
      </c>
      <c r="H2660" s="6">
        <v>45048</v>
      </c>
      <c r="I2660">
        <f t="shared" si="82"/>
        <v>0</v>
      </c>
      <c r="J2660" t="str">
        <f t="shared" si="83"/>
        <v>Complete</v>
      </c>
      <c r="K2660">
        <f>COUNTIFS(RawData[Item], B2660,RawData[Quantity],C2660,RawData[Price Per Unit],D2660,RawData[Total Spent],E2660,RawData[Payment Method],F2660,RawData[Location],G2660,RawData[Transaction Date],H2660)</f>
        <v>1</v>
      </c>
      <c r="L2660"/>
    </row>
    <row r="2661" spans="1:12" x14ac:dyDescent="0.3">
      <c r="A2661" t="s">
        <v>2667</v>
      </c>
      <c r="B2661" t="s">
        <v>10016</v>
      </c>
      <c r="C2661">
        <v>2</v>
      </c>
      <c r="D2661">
        <v>3</v>
      </c>
      <c r="E2661">
        <v>6</v>
      </c>
      <c r="F2661" t="s">
        <v>10018</v>
      </c>
      <c r="G2661" t="s">
        <v>10021</v>
      </c>
      <c r="H2661" s="6">
        <v>45091</v>
      </c>
      <c r="I2661">
        <f t="shared" si="82"/>
        <v>0</v>
      </c>
      <c r="J2661" t="str">
        <f t="shared" si="83"/>
        <v>Complete</v>
      </c>
      <c r="K2661">
        <f>COUNTIFS(RawData[Item], B2661,RawData[Quantity],C2661,RawData[Price Per Unit],D2661,RawData[Total Spent],E2661,RawData[Payment Method],F2661,RawData[Location],G2661,RawData[Transaction Date],H2661)</f>
        <v>1</v>
      </c>
      <c r="L2661"/>
    </row>
    <row r="2662" spans="1:12" x14ac:dyDescent="0.3">
      <c r="A2662" t="s">
        <v>2668</v>
      </c>
      <c r="B2662" t="s">
        <v>10012</v>
      </c>
      <c r="C2662">
        <v>1</v>
      </c>
      <c r="D2662">
        <v>4</v>
      </c>
      <c r="E2662">
        <v>4</v>
      </c>
      <c r="F2662" t="s">
        <v>10018</v>
      </c>
      <c r="G2662" t="s">
        <v>10021</v>
      </c>
      <c r="H2662" s="6">
        <v>44966</v>
      </c>
      <c r="I2662">
        <f t="shared" si="82"/>
        <v>0</v>
      </c>
      <c r="J2662" t="str">
        <f t="shared" si="83"/>
        <v>Complete</v>
      </c>
      <c r="K2662">
        <f>COUNTIFS(RawData[Item], B2662,RawData[Quantity],C2662,RawData[Price Per Unit],D2662,RawData[Total Spent],E2662,RawData[Payment Method],F2662,RawData[Location],G2662,RawData[Transaction Date],H2662)</f>
        <v>1</v>
      </c>
      <c r="L2662"/>
    </row>
    <row r="2663" spans="1:12" x14ac:dyDescent="0.3">
      <c r="A2663" t="s">
        <v>2669</v>
      </c>
      <c r="B2663" t="s">
        <v>10014</v>
      </c>
      <c r="C2663">
        <v>1</v>
      </c>
      <c r="D2663">
        <v>4</v>
      </c>
      <c r="E2663">
        <v>4</v>
      </c>
      <c r="F2663" t="s">
        <v>10020</v>
      </c>
      <c r="G2663" t="s">
        <v>10021</v>
      </c>
      <c r="H2663" s="6">
        <v>45149</v>
      </c>
      <c r="I2663">
        <f t="shared" si="82"/>
        <v>0</v>
      </c>
      <c r="J2663" t="str">
        <f t="shared" si="83"/>
        <v>Complete</v>
      </c>
      <c r="K2663">
        <f>COUNTIFS(RawData[Item], B2663,RawData[Quantity],C2663,RawData[Price Per Unit],D2663,RawData[Total Spent],E2663,RawData[Payment Method],F2663,RawData[Location],G2663,RawData[Transaction Date],H2663)</f>
        <v>1</v>
      </c>
      <c r="L2663"/>
    </row>
    <row r="2664" spans="1:12" x14ac:dyDescent="0.3">
      <c r="A2664" t="s">
        <v>2670</v>
      </c>
      <c r="B2664" t="s">
        <v>10010</v>
      </c>
      <c r="C2664">
        <v>1</v>
      </c>
      <c r="D2664">
        <v>1</v>
      </c>
      <c r="E2664">
        <v>1</v>
      </c>
      <c r="F2664" t="s">
        <v>10018</v>
      </c>
      <c r="G2664" t="s">
        <v>10021</v>
      </c>
      <c r="H2664" s="6">
        <v>45022</v>
      </c>
      <c r="I2664">
        <f t="shared" si="82"/>
        <v>0</v>
      </c>
      <c r="J2664" t="str">
        <f t="shared" si="83"/>
        <v>Complete</v>
      </c>
      <c r="K2664">
        <f>COUNTIFS(RawData[Item], B2664,RawData[Quantity],C2664,RawData[Price Per Unit],D2664,RawData[Total Spent],E2664,RawData[Payment Method],F2664,RawData[Location],G2664,RawData[Transaction Date],H2664)</f>
        <v>1</v>
      </c>
      <c r="L2664"/>
    </row>
    <row r="2665" spans="1:12" x14ac:dyDescent="0.3">
      <c r="A2665" t="s">
        <v>2671</v>
      </c>
      <c r="B2665" t="s">
        <v>10012</v>
      </c>
      <c r="C2665">
        <v>4</v>
      </c>
      <c r="D2665">
        <v>4</v>
      </c>
      <c r="E2665">
        <v>16</v>
      </c>
      <c r="F2665" t="s">
        <v>10069</v>
      </c>
      <c r="G2665" t="s">
        <v>10069</v>
      </c>
      <c r="H2665" s="6">
        <v>45004</v>
      </c>
      <c r="I2665">
        <f t="shared" si="82"/>
        <v>0</v>
      </c>
      <c r="J2665" t="str">
        <f t="shared" si="83"/>
        <v>Complete</v>
      </c>
      <c r="K2665">
        <f>COUNTIFS(RawData[Item], B2665,RawData[Quantity],C2665,RawData[Price Per Unit],D2665,RawData[Total Spent],E2665,RawData[Payment Method],F2665,RawData[Location],G2665,RawData[Transaction Date],H2665)</f>
        <v>1</v>
      </c>
      <c r="L2665"/>
    </row>
    <row r="2666" spans="1:12" x14ac:dyDescent="0.3">
      <c r="A2666" t="s">
        <v>2672</v>
      </c>
      <c r="B2666" t="s">
        <v>10011</v>
      </c>
      <c r="C2666">
        <v>1</v>
      </c>
      <c r="D2666">
        <v>5</v>
      </c>
      <c r="E2666">
        <v>5</v>
      </c>
      <c r="F2666" t="s">
        <v>10069</v>
      </c>
      <c r="G2666" t="s">
        <v>10102</v>
      </c>
      <c r="H2666" s="6">
        <v>45250</v>
      </c>
      <c r="I2666">
        <f t="shared" si="82"/>
        <v>0</v>
      </c>
      <c r="J2666" t="str">
        <f t="shared" si="83"/>
        <v>Complete</v>
      </c>
      <c r="K2666">
        <f>COUNTIFS(RawData[Item], B2666,RawData[Quantity],C2666,RawData[Price Per Unit],D2666,RawData[Total Spent],E2666,RawData[Payment Method],F2666,RawData[Location],G2666,RawData[Transaction Date],H2666)</f>
        <v>1</v>
      </c>
      <c r="L2666"/>
    </row>
    <row r="2667" spans="1:12" x14ac:dyDescent="0.3">
      <c r="A2667" t="s">
        <v>2673</v>
      </c>
      <c r="B2667" t="s">
        <v>10012</v>
      </c>
      <c r="C2667">
        <v>4</v>
      </c>
      <c r="D2667">
        <v>4</v>
      </c>
      <c r="E2667">
        <v>16</v>
      </c>
      <c r="F2667" t="s">
        <v>10104</v>
      </c>
      <c r="G2667" t="s">
        <v>10102</v>
      </c>
      <c r="H2667" s="6">
        <v>45226</v>
      </c>
      <c r="I2667">
        <f t="shared" si="82"/>
        <v>1</v>
      </c>
      <c r="J2667" t="str">
        <f t="shared" si="83"/>
        <v>Complete</v>
      </c>
      <c r="K2667">
        <f>COUNTIFS(RawData[Item], B2667,RawData[Quantity],C2667,RawData[Price Per Unit],D2667,RawData[Total Spent],E2667,RawData[Payment Method],F2667,RawData[Location],G2667,RawData[Transaction Date],H2667)</f>
        <v>1</v>
      </c>
      <c r="L2667"/>
    </row>
    <row r="2668" spans="1:12" x14ac:dyDescent="0.3">
      <c r="A2668" t="s">
        <v>2674</v>
      </c>
      <c r="B2668" t="s">
        <v>10011</v>
      </c>
      <c r="C2668">
        <v>5</v>
      </c>
      <c r="D2668">
        <v>5</v>
      </c>
      <c r="E2668">
        <v>25</v>
      </c>
      <c r="F2668" t="s">
        <v>10069</v>
      </c>
      <c r="G2668" t="s">
        <v>10102</v>
      </c>
      <c r="H2668" s="6">
        <v>45027</v>
      </c>
      <c r="I2668">
        <f t="shared" si="82"/>
        <v>0</v>
      </c>
      <c r="J2668" t="str">
        <f t="shared" si="83"/>
        <v>Complete</v>
      </c>
      <c r="K2668">
        <f>COUNTIFS(RawData[Item], B2668,RawData[Quantity],C2668,RawData[Price Per Unit],D2668,RawData[Total Spent],E2668,RawData[Payment Method],F2668,RawData[Location],G2668,RawData[Transaction Date],H2668)</f>
        <v>1</v>
      </c>
      <c r="L2668"/>
    </row>
    <row r="2669" spans="1:12" x14ac:dyDescent="0.3">
      <c r="A2669" t="s">
        <v>2675</v>
      </c>
      <c r="B2669" t="s">
        <v>10009</v>
      </c>
      <c r="C2669">
        <v>1</v>
      </c>
      <c r="D2669">
        <v>3</v>
      </c>
      <c r="E2669">
        <v>3</v>
      </c>
      <c r="F2669" t="s">
        <v>10018</v>
      </c>
      <c r="G2669" t="s">
        <v>10102</v>
      </c>
      <c r="H2669" s="6">
        <v>45176</v>
      </c>
      <c r="I2669">
        <f t="shared" si="82"/>
        <v>0</v>
      </c>
      <c r="J2669" t="str">
        <f t="shared" si="83"/>
        <v>Complete</v>
      </c>
      <c r="K2669">
        <f>COUNTIFS(RawData[Item], B2669,RawData[Quantity],C2669,RawData[Price Per Unit],D2669,RawData[Total Spent],E2669,RawData[Payment Method],F2669,RawData[Location],G2669,RawData[Transaction Date],H2669)</f>
        <v>1</v>
      </c>
      <c r="L2669"/>
    </row>
    <row r="2670" spans="1:12" x14ac:dyDescent="0.3">
      <c r="A2670" t="s">
        <v>2676</v>
      </c>
      <c r="B2670" t="s">
        <v>10010</v>
      </c>
      <c r="C2670">
        <v>3</v>
      </c>
      <c r="D2670">
        <v>1</v>
      </c>
      <c r="E2670">
        <v>3</v>
      </c>
      <c r="F2670" t="s">
        <v>10018</v>
      </c>
      <c r="G2670" t="s">
        <v>10069</v>
      </c>
      <c r="H2670" s="6">
        <v>45079</v>
      </c>
      <c r="I2670">
        <f t="shared" si="82"/>
        <v>0</v>
      </c>
      <c r="J2670" t="str">
        <f t="shared" si="83"/>
        <v>Complete</v>
      </c>
      <c r="K2670">
        <f>COUNTIFS(RawData[Item], B2670,RawData[Quantity],C2670,RawData[Price Per Unit],D2670,RawData[Total Spent],E2670,RawData[Payment Method],F2670,RawData[Location],G2670,RawData[Transaction Date],H2670)</f>
        <v>1</v>
      </c>
      <c r="L2670"/>
    </row>
    <row r="2671" spans="1:12" x14ac:dyDescent="0.3">
      <c r="A2671" t="s">
        <v>2677</v>
      </c>
      <c r="B2671" t="s">
        <v>10017</v>
      </c>
      <c r="C2671">
        <v>4</v>
      </c>
      <c r="D2671">
        <v>1.5</v>
      </c>
      <c r="E2671">
        <v>6</v>
      </c>
      <c r="F2671" t="s">
        <v>10018</v>
      </c>
      <c r="G2671" t="s">
        <v>10021</v>
      </c>
      <c r="H2671" s="6" t="s">
        <v>10112</v>
      </c>
      <c r="I2671">
        <f t="shared" si="82"/>
        <v>1</v>
      </c>
      <c r="J2671" t="str">
        <f t="shared" si="83"/>
        <v>Incomplete</v>
      </c>
      <c r="K2671">
        <f>COUNTIFS(RawData[Item], B2671,RawData[Quantity],C2671,RawData[Price Per Unit],D2671,RawData[Total Spent],E2671,RawData[Payment Method],F2671,RawData[Location],G2671,RawData[Transaction Date],H2671)</f>
        <v>2</v>
      </c>
      <c r="L2671"/>
    </row>
    <row r="2672" spans="1:12" x14ac:dyDescent="0.3">
      <c r="A2672" t="s">
        <v>2678</v>
      </c>
      <c r="B2672" t="s">
        <v>10014</v>
      </c>
      <c r="C2672">
        <v>2</v>
      </c>
      <c r="D2672">
        <v>4</v>
      </c>
      <c r="E2672">
        <v>8</v>
      </c>
      <c r="F2672" t="s">
        <v>10018</v>
      </c>
      <c r="G2672" t="s">
        <v>10021</v>
      </c>
      <c r="H2672" s="6">
        <v>45192</v>
      </c>
      <c r="I2672">
        <f t="shared" si="82"/>
        <v>0</v>
      </c>
      <c r="J2672" t="str">
        <f t="shared" si="83"/>
        <v>Complete</v>
      </c>
      <c r="K2672">
        <f>COUNTIFS(RawData[Item], B2672,RawData[Quantity],C2672,RawData[Price Per Unit],D2672,RawData[Total Spent],E2672,RawData[Payment Method],F2672,RawData[Location],G2672,RawData[Transaction Date],H2672)</f>
        <v>1</v>
      </c>
      <c r="L2672"/>
    </row>
    <row r="2673" spans="1:12" x14ac:dyDescent="0.3">
      <c r="A2673" t="s">
        <v>2679</v>
      </c>
      <c r="B2673" t="s">
        <v>10012</v>
      </c>
      <c r="C2673">
        <v>2</v>
      </c>
      <c r="D2673">
        <v>4</v>
      </c>
      <c r="E2673">
        <v>8</v>
      </c>
      <c r="F2673" t="s">
        <v>10020</v>
      </c>
      <c r="G2673" t="s">
        <v>10069</v>
      </c>
      <c r="H2673" s="6">
        <v>45221</v>
      </c>
      <c r="I2673">
        <f t="shared" si="82"/>
        <v>0</v>
      </c>
      <c r="J2673" t="str">
        <f t="shared" si="83"/>
        <v>Complete</v>
      </c>
      <c r="K2673">
        <f>COUNTIFS(RawData[Item], B2673,RawData[Quantity],C2673,RawData[Price Per Unit],D2673,RawData[Total Spent],E2673,RawData[Payment Method],F2673,RawData[Location],G2673,RawData[Transaction Date],H2673)</f>
        <v>1</v>
      </c>
      <c r="L2673"/>
    </row>
    <row r="2674" spans="1:12" x14ac:dyDescent="0.3">
      <c r="A2674" t="s">
        <v>2680</v>
      </c>
      <c r="B2674" t="s">
        <v>10010</v>
      </c>
      <c r="C2674">
        <v>4</v>
      </c>
      <c r="D2674">
        <v>1</v>
      </c>
      <c r="E2674">
        <v>4</v>
      </c>
      <c r="F2674" t="s">
        <v>10069</v>
      </c>
      <c r="G2674" t="s">
        <v>10069</v>
      </c>
      <c r="H2674" s="6">
        <v>45157</v>
      </c>
      <c r="I2674">
        <f t="shared" si="82"/>
        <v>0</v>
      </c>
      <c r="J2674" t="str">
        <f t="shared" si="83"/>
        <v>Complete</v>
      </c>
      <c r="K2674">
        <f>COUNTIFS(RawData[Item], B2674,RawData[Quantity],C2674,RawData[Price Per Unit],D2674,RawData[Total Spent],E2674,RawData[Payment Method],F2674,RawData[Location],G2674,RawData[Transaction Date],H2674)</f>
        <v>1</v>
      </c>
      <c r="L2674"/>
    </row>
    <row r="2675" spans="1:12" x14ac:dyDescent="0.3">
      <c r="A2675" t="s">
        <v>2681</v>
      </c>
      <c r="B2675" t="s">
        <v>10012</v>
      </c>
      <c r="C2675">
        <v>3</v>
      </c>
      <c r="D2675">
        <v>4</v>
      </c>
      <c r="E2675" t="s">
        <v>10015</v>
      </c>
      <c r="F2675" t="s">
        <v>10020</v>
      </c>
      <c r="G2675" t="s">
        <v>10102</v>
      </c>
      <c r="H2675" s="6">
        <v>45040</v>
      </c>
      <c r="I2675">
        <f t="shared" si="82"/>
        <v>1</v>
      </c>
      <c r="J2675" t="str">
        <f t="shared" si="83"/>
        <v>Complete</v>
      </c>
      <c r="K2675">
        <f>COUNTIFS(RawData[Item], B2675,RawData[Quantity],C2675,RawData[Price Per Unit],D2675,RawData[Total Spent],E2675,RawData[Payment Method],F2675,RawData[Location],G2675,RawData[Transaction Date],H2675)</f>
        <v>1</v>
      </c>
      <c r="L2675"/>
    </row>
    <row r="2676" spans="1:12" x14ac:dyDescent="0.3">
      <c r="A2676" t="s">
        <v>2682</v>
      </c>
      <c r="B2676" t="s">
        <v>10013</v>
      </c>
      <c r="C2676">
        <v>5</v>
      </c>
      <c r="D2676">
        <v>3</v>
      </c>
      <c r="E2676">
        <v>15</v>
      </c>
      <c r="F2676" t="s">
        <v>10018</v>
      </c>
      <c r="G2676" t="s">
        <v>10102</v>
      </c>
      <c r="H2676" s="6">
        <v>45238</v>
      </c>
      <c r="I2676">
        <f t="shared" si="82"/>
        <v>1</v>
      </c>
      <c r="J2676" t="str">
        <f t="shared" si="83"/>
        <v>Complete</v>
      </c>
      <c r="K2676">
        <f>COUNTIFS(RawData[Item], B2676,RawData[Quantity],C2676,RawData[Price Per Unit],D2676,RawData[Total Spent],E2676,RawData[Payment Method],F2676,RawData[Location],G2676,RawData[Transaction Date],H2676)</f>
        <v>1</v>
      </c>
      <c r="L2676"/>
    </row>
    <row r="2677" spans="1:12" x14ac:dyDescent="0.3">
      <c r="A2677" t="s">
        <v>2683</v>
      </c>
      <c r="B2677" t="s">
        <v>10011</v>
      </c>
      <c r="C2677">
        <v>3</v>
      </c>
      <c r="D2677">
        <v>5</v>
      </c>
      <c r="E2677">
        <v>15</v>
      </c>
      <c r="F2677" t="s">
        <v>10020</v>
      </c>
      <c r="G2677" t="s">
        <v>10069</v>
      </c>
      <c r="H2677" s="6">
        <v>45260</v>
      </c>
      <c r="I2677">
        <f t="shared" si="82"/>
        <v>0</v>
      </c>
      <c r="J2677" t="str">
        <f t="shared" si="83"/>
        <v>Complete</v>
      </c>
      <c r="K2677">
        <f>COUNTIFS(RawData[Item], B2677,RawData[Quantity],C2677,RawData[Price Per Unit],D2677,RawData[Total Spent],E2677,RawData[Payment Method],F2677,RawData[Location],G2677,RawData[Transaction Date],H2677)</f>
        <v>1</v>
      </c>
      <c r="L2677"/>
    </row>
    <row r="2678" spans="1:12" x14ac:dyDescent="0.3">
      <c r="A2678" t="s">
        <v>2684</v>
      </c>
      <c r="B2678" t="s">
        <v>10016</v>
      </c>
      <c r="C2678">
        <v>5</v>
      </c>
      <c r="D2678">
        <v>3</v>
      </c>
      <c r="E2678">
        <v>15</v>
      </c>
      <c r="F2678" t="s">
        <v>10020</v>
      </c>
      <c r="G2678" t="s">
        <v>10069</v>
      </c>
      <c r="H2678" s="6">
        <v>45023</v>
      </c>
      <c r="I2678">
        <f t="shared" si="82"/>
        <v>0</v>
      </c>
      <c r="J2678" t="str">
        <f t="shared" si="83"/>
        <v>Complete</v>
      </c>
      <c r="K2678">
        <f>COUNTIFS(RawData[Item], B2678,RawData[Quantity],C2678,RawData[Price Per Unit],D2678,RawData[Total Spent],E2678,RawData[Payment Method],F2678,RawData[Location],G2678,RawData[Transaction Date],H2678)</f>
        <v>1</v>
      </c>
      <c r="L2678"/>
    </row>
    <row r="2679" spans="1:12" x14ac:dyDescent="0.3">
      <c r="A2679" t="s">
        <v>2685</v>
      </c>
      <c r="B2679" t="s">
        <v>10009</v>
      </c>
      <c r="C2679">
        <v>5</v>
      </c>
      <c r="D2679">
        <v>3</v>
      </c>
      <c r="E2679">
        <v>15</v>
      </c>
      <c r="F2679" t="s">
        <v>10019</v>
      </c>
      <c r="G2679" t="s">
        <v>10069</v>
      </c>
      <c r="H2679" s="6">
        <v>45187</v>
      </c>
      <c r="I2679">
        <f t="shared" si="82"/>
        <v>0</v>
      </c>
      <c r="J2679" t="str">
        <f t="shared" si="83"/>
        <v>Complete</v>
      </c>
      <c r="K2679">
        <f>COUNTIFS(RawData[Item], B2679,RawData[Quantity],C2679,RawData[Price Per Unit],D2679,RawData[Total Spent],E2679,RawData[Payment Method],F2679,RawData[Location],G2679,RawData[Transaction Date],H2679)</f>
        <v>1</v>
      </c>
      <c r="L2679"/>
    </row>
    <row r="2680" spans="1:12" x14ac:dyDescent="0.3">
      <c r="A2680" t="s">
        <v>2686</v>
      </c>
      <c r="B2680" t="s">
        <v>10009</v>
      </c>
      <c r="C2680">
        <v>5</v>
      </c>
      <c r="D2680">
        <v>3</v>
      </c>
      <c r="E2680">
        <v>15</v>
      </c>
      <c r="F2680" t="s">
        <v>10018</v>
      </c>
      <c r="G2680" t="s">
        <v>10102</v>
      </c>
      <c r="H2680" s="6">
        <v>45126</v>
      </c>
      <c r="I2680">
        <f t="shared" si="82"/>
        <v>0</v>
      </c>
      <c r="J2680" t="str">
        <f t="shared" si="83"/>
        <v>Complete</v>
      </c>
      <c r="K2680">
        <f>COUNTIFS(RawData[Item], B2680,RawData[Quantity],C2680,RawData[Price Per Unit],D2680,RawData[Total Spent],E2680,RawData[Payment Method],F2680,RawData[Location],G2680,RawData[Transaction Date],H2680)</f>
        <v>2</v>
      </c>
      <c r="L2680"/>
    </row>
    <row r="2681" spans="1:12" x14ac:dyDescent="0.3">
      <c r="A2681" t="s">
        <v>2687</v>
      </c>
      <c r="B2681" t="s">
        <v>10009</v>
      </c>
      <c r="C2681">
        <v>2</v>
      </c>
      <c r="D2681">
        <v>3</v>
      </c>
      <c r="E2681">
        <v>6</v>
      </c>
      <c r="F2681" t="s">
        <v>10019</v>
      </c>
      <c r="G2681" t="s">
        <v>10102</v>
      </c>
      <c r="H2681" s="6">
        <v>45132</v>
      </c>
      <c r="I2681">
        <f t="shared" si="82"/>
        <v>0</v>
      </c>
      <c r="J2681" t="str">
        <f t="shared" si="83"/>
        <v>Complete</v>
      </c>
      <c r="K2681">
        <f>COUNTIFS(RawData[Item], B2681,RawData[Quantity],C2681,RawData[Price Per Unit],D2681,RawData[Total Spent],E2681,RawData[Payment Method],F2681,RawData[Location],G2681,RawData[Transaction Date],H2681)</f>
        <v>1</v>
      </c>
      <c r="L2681"/>
    </row>
    <row r="2682" spans="1:12" x14ac:dyDescent="0.3">
      <c r="A2682" t="s">
        <v>2688</v>
      </c>
      <c r="B2682" t="s">
        <v>10009</v>
      </c>
      <c r="C2682">
        <v>3</v>
      </c>
      <c r="D2682">
        <v>3</v>
      </c>
      <c r="E2682">
        <v>9</v>
      </c>
      <c r="F2682" t="s">
        <v>10104</v>
      </c>
      <c r="G2682" t="s">
        <v>10102</v>
      </c>
      <c r="H2682" s="6">
        <v>45149</v>
      </c>
      <c r="I2682">
        <f t="shared" si="82"/>
        <v>1</v>
      </c>
      <c r="J2682" t="str">
        <f t="shared" si="83"/>
        <v>Complete</v>
      </c>
      <c r="K2682">
        <f>COUNTIFS(RawData[Item], B2682,RawData[Quantity],C2682,RawData[Price Per Unit],D2682,RawData[Total Spent],E2682,RawData[Payment Method],F2682,RawData[Location],G2682,RawData[Transaction Date],H2682)</f>
        <v>1</v>
      </c>
      <c r="L2682"/>
    </row>
    <row r="2683" spans="1:12" x14ac:dyDescent="0.3">
      <c r="A2683" t="s">
        <v>2689</v>
      </c>
      <c r="B2683" t="s">
        <v>10009</v>
      </c>
      <c r="C2683">
        <v>4</v>
      </c>
      <c r="D2683">
        <v>3</v>
      </c>
      <c r="E2683">
        <v>12</v>
      </c>
      <c r="F2683" t="s">
        <v>10020</v>
      </c>
      <c r="G2683" t="s">
        <v>10021</v>
      </c>
      <c r="H2683" s="6">
        <v>45227</v>
      </c>
      <c r="I2683">
        <f t="shared" si="82"/>
        <v>0</v>
      </c>
      <c r="J2683" t="str">
        <f t="shared" si="83"/>
        <v>Complete</v>
      </c>
      <c r="K2683">
        <f>COUNTIFS(RawData[Item], B2683,RawData[Quantity],C2683,RawData[Price Per Unit],D2683,RawData[Total Spent],E2683,RawData[Payment Method],F2683,RawData[Location],G2683,RawData[Transaction Date],H2683)</f>
        <v>1</v>
      </c>
      <c r="L2683"/>
    </row>
    <row r="2684" spans="1:12" x14ac:dyDescent="0.3">
      <c r="A2684" t="s">
        <v>2690</v>
      </c>
      <c r="B2684" t="s">
        <v>10016</v>
      </c>
      <c r="C2684">
        <v>1</v>
      </c>
      <c r="D2684">
        <v>3</v>
      </c>
      <c r="E2684">
        <v>3</v>
      </c>
      <c r="F2684" t="s">
        <v>10069</v>
      </c>
      <c r="G2684" t="s">
        <v>10069</v>
      </c>
      <c r="H2684" s="6">
        <v>45066</v>
      </c>
      <c r="I2684">
        <f t="shared" si="82"/>
        <v>0</v>
      </c>
      <c r="J2684" t="str">
        <f t="shared" si="83"/>
        <v>Complete</v>
      </c>
      <c r="K2684">
        <f>COUNTIFS(RawData[Item], B2684,RawData[Quantity],C2684,RawData[Price Per Unit],D2684,RawData[Total Spent],E2684,RawData[Payment Method],F2684,RawData[Location],G2684,RawData[Transaction Date],H2684)</f>
        <v>1</v>
      </c>
      <c r="L2684"/>
    </row>
    <row r="2685" spans="1:12" x14ac:dyDescent="0.3">
      <c r="A2685" t="s">
        <v>2691</v>
      </c>
      <c r="B2685" t="s">
        <v>10010</v>
      </c>
      <c r="C2685">
        <v>5</v>
      </c>
      <c r="D2685">
        <v>1</v>
      </c>
      <c r="E2685">
        <v>0</v>
      </c>
      <c r="F2685" t="s">
        <v>10020</v>
      </c>
      <c r="G2685" t="s">
        <v>10102</v>
      </c>
      <c r="H2685" s="6">
        <v>45065</v>
      </c>
      <c r="I2685">
        <f t="shared" si="82"/>
        <v>0</v>
      </c>
      <c r="J2685" t="str">
        <f t="shared" si="83"/>
        <v>Complete</v>
      </c>
      <c r="K2685">
        <f>COUNTIFS(RawData[Item], B2685,RawData[Quantity],C2685,RawData[Price Per Unit],D2685,RawData[Total Spent],E2685,RawData[Payment Method],F2685,RawData[Location],G2685,RawData[Transaction Date],H2685)</f>
        <v>1</v>
      </c>
      <c r="L2685"/>
    </row>
    <row r="2686" spans="1:12" x14ac:dyDescent="0.3">
      <c r="A2686" t="s">
        <v>2692</v>
      </c>
      <c r="B2686" t="s">
        <v>10012</v>
      </c>
      <c r="C2686">
        <v>1</v>
      </c>
      <c r="D2686">
        <v>4</v>
      </c>
      <c r="E2686" t="s">
        <v>10013</v>
      </c>
      <c r="F2686" t="s">
        <v>10019</v>
      </c>
      <c r="G2686" t="s">
        <v>10102</v>
      </c>
      <c r="H2686" s="6">
        <v>45174</v>
      </c>
      <c r="I2686">
        <f t="shared" si="82"/>
        <v>1</v>
      </c>
      <c r="J2686" t="str">
        <f t="shared" si="83"/>
        <v>Complete</v>
      </c>
      <c r="K2686">
        <f>COUNTIFS(RawData[Item], B2686,RawData[Quantity],C2686,RawData[Price Per Unit],D2686,RawData[Total Spent],E2686,RawData[Payment Method],F2686,RawData[Location],G2686,RawData[Transaction Date],H2686)</f>
        <v>1</v>
      </c>
      <c r="L2686"/>
    </row>
    <row r="2687" spans="1:12" x14ac:dyDescent="0.3">
      <c r="A2687" t="s">
        <v>2693</v>
      </c>
      <c r="B2687" t="s">
        <v>10010</v>
      </c>
      <c r="C2687">
        <v>4</v>
      </c>
      <c r="D2687">
        <v>1</v>
      </c>
      <c r="E2687">
        <v>4</v>
      </c>
      <c r="F2687" t="s">
        <v>10103</v>
      </c>
      <c r="G2687" t="s">
        <v>10102</v>
      </c>
      <c r="H2687" s="6">
        <v>45028</v>
      </c>
      <c r="I2687">
        <f t="shared" si="82"/>
        <v>1</v>
      </c>
      <c r="J2687" t="str">
        <f t="shared" si="83"/>
        <v>Complete</v>
      </c>
      <c r="K2687">
        <f>COUNTIFS(RawData[Item], B2687,RawData[Quantity],C2687,RawData[Price Per Unit],D2687,RawData[Total Spent],E2687,RawData[Payment Method],F2687,RawData[Location],G2687,RawData[Transaction Date],H2687)</f>
        <v>1</v>
      </c>
      <c r="L2687"/>
    </row>
    <row r="2688" spans="1:12" x14ac:dyDescent="0.3">
      <c r="A2688" t="s">
        <v>2694</v>
      </c>
      <c r="B2688" t="s">
        <v>10008</v>
      </c>
      <c r="C2688">
        <v>5</v>
      </c>
      <c r="D2688">
        <v>2</v>
      </c>
      <c r="E2688">
        <v>10</v>
      </c>
      <c r="F2688" t="s">
        <v>10020</v>
      </c>
      <c r="G2688" t="s">
        <v>10021</v>
      </c>
      <c r="H2688" s="6">
        <v>45099</v>
      </c>
      <c r="I2688">
        <f t="shared" si="82"/>
        <v>0</v>
      </c>
      <c r="J2688" t="str">
        <f t="shared" si="83"/>
        <v>Complete</v>
      </c>
      <c r="K2688">
        <f>COUNTIFS(RawData[Item], B2688,RawData[Quantity],C2688,RawData[Price Per Unit],D2688,RawData[Total Spent],E2688,RawData[Payment Method],F2688,RawData[Location],G2688,RawData[Transaction Date],H2688)</f>
        <v>1</v>
      </c>
      <c r="L2688"/>
    </row>
    <row r="2689" spans="1:12" x14ac:dyDescent="0.3">
      <c r="A2689" t="s">
        <v>2695</v>
      </c>
      <c r="B2689" t="s">
        <v>10010</v>
      </c>
      <c r="C2689">
        <v>3</v>
      </c>
      <c r="D2689">
        <v>1</v>
      </c>
      <c r="E2689">
        <v>3</v>
      </c>
      <c r="F2689" t="s">
        <v>10104</v>
      </c>
      <c r="G2689" t="s">
        <v>10102</v>
      </c>
      <c r="H2689" s="6">
        <v>45041</v>
      </c>
      <c r="I2689">
        <f t="shared" si="82"/>
        <v>1</v>
      </c>
      <c r="J2689" t="str">
        <f t="shared" si="83"/>
        <v>Complete</v>
      </c>
      <c r="K2689">
        <f>COUNTIFS(RawData[Item], B2689,RawData[Quantity],C2689,RawData[Price Per Unit],D2689,RawData[Total Spent],E2689,RawData[Payment Method],F2689,RawData[Location],G2689,RawData[Transaction Date],H2689)</f>
        <v>1</v>
      </c>
      <c r="L2689"/>
    </row>
    <row r="2690" spans="1:12" x14ac:dyDescent="0.3">
      <c r="A2690" t="s">
        <v>2696</v>
      </c>
      <c r="B2690" t="s">
        <v>10017</v>
      </c>
      <c r="C2690">
        <v>2</v>
      </c>
      <c r="D2690">
        <v>1.5</v>
      </c>
      <c r="E2690">
        <v>3</v>
      </c>
      <c r="F2690" t="s">
        <v>10020</v>
      </c>
      <c r="G2690" t="s">
        <v>10069</v>
      </c>
      <c r="H2690" s="6">
        <v>45091</v>
      </c>
      <c r="I2690">
        <f t="shared" ref="I2690:I2753" si="84">(B2690="Unknown")+(B2690="Error")+(C2690="Unknown")+(C2690="Error")+(D2690="Unknown")+(D2690="Error")+(E2690="Unknown")+(E2690="Error")+(F2690="Unknown")+(F2690="Error")+(G2690="Unknown")+(G2690="Error")+(H2690="No Date")</f>
        <v>0</v>
      </c>
      <c r="J2690" t="str">
        <f t="shared" ref="J2690:J2753" si="85">IF((H2690="No Date"),"Incomplete","Complete")</f>
        <v>Complete</v>
      </c>
      <c r="K2690">
        <f>COUNTIFS(RawData[Item], B2690,RawData[Quantity],C2690,RawData[Price Per Unit],D2690,RawData[Total Spent],E2690,RawData[Payment Method],F2690,RawData[Location],G2690,RawData[Transaction Date],H2690)</f>
        <v>1</v>
      </c>
      <c r="L2690"/>
    </row>
    <row r="2691" spans="1:12" x14ac:dyDescent="0.3">
      <c r="A2691" t="s">
        <v>2697</v>
      </c>
      <c r="B2691" t="s">
        <v>10010</v>
      </c>
      <c r="C2691">
        <v>3</v>
      </c>
      <c r="D2691">
        <v>1</v>
      </c>
      <c r="E2691">
        <v>3</v>
      </c>
      <c r="F2691" t="s">
        <v>10018</v>
      </c>
      <c r="G2691" t="s">
        <v>10102</v>
      </c>
      <c r="H2691" s="6">
        <v>44931</v>
      </c>
      <c r="I2691">
        <f t="shared" si="84"/>
        <v>0</v>
      </c>
      <c r="J2691" t="str">
        <f t="shared" si="85"/>
        <v>Complete</v>
      </c>
      <c r="K2691">
        <f>COUNTIFS(RawData[Item], B2691,RawData[Quantity],C2691,RawData[Price Per Unit],D2691,RawData[Total Spent],E2691,RawData[Payment Method],F2691,RawData[Location],G2691,RawData[Transaction Date],H2691)</f>
        <v>1</v>
      </c>
      <c r="L2691"/>
    </row>
    <row r="2692" spans="1:12" x14ac:dyDescent="0.3">
      <c r="A2692" t="s">
        <v>2698</v>
      </c>
      <c r="B2692" t="s">
        <v>10012</v>
      </c>
      <c r="C2692">
        <v>2</v>
      </c>
      <c r="D2692">
        <v>0</v>
      </c>
      <c r="E2692">
        <v>8</v>
      </c>
      <c r="F2692" t="s">
        <v>10069</v>
      </c>
      <c r="G2692" t="s">
        <v>10021</v>
      </c>
      <c r="H2692" s="6">
        <v>45220</v>
      </c>
      <c r="I2692">
        <f t="shared" si="84"/>
        <v>0</v>
      </c>
      <c r="J2692" t="str">
        <f t="shared" si="85"/>
        <v>Complete</v>
      </c>
      <c r="K2692">
        <f>COUNTIFS(RawData[Item], B2692,RawData[Quantity],C2692,RawData[Price Per Unit],D2692,RawData[Total Spent],E2692,RawData[Payment Method],F2692,RawData[Location],G2692,RawData[Transaction Date],H2692)</f>
        <v>1</v>
      </c>
      <c r="L2692"/>
    </row>
    <row r="2693" spans="1:12" x14ac:dyDescent="0.3">
      <c r="A2693" t="s">
        <v>2699</v>
      </c>
      <c r="B2693" t="s">
        <v>10011</v>
      </c>
      <c r="C2693">
        <v>5</v>
      </c>
      <c r="D2693">
        <v>5</v>
      </c>
      <c r="E2693">
        <v>25</v>
      </c>
      <c r="F2693" t="s">
        <v>10020</v>
      </c>
      <c r="G2693" t="s">
        <v>10102</v>
      </c>
      <c r="H2693" s="6">
        <v>45014</v>
      </c>
      <c r="I2693">
        <f t="shared" si="84"/>
        <v>0</v>
      </c>
      <c r="J2693" t="str">
        <f t="shared" si="85"/>
        <v>Complete</v>
      </c>
      <c r="K2693">
        <f>COUNTIFS(RawData[Item], B2693,RawData[Quantity],C2693,RawData[Price Per Unit],D2693,RawData[Total Spent],E2693,RawData[Payment Method],F2693,RawData[Location],G2693,RawData[Transaction Date],H2693)</f>
        <v>1</v>
      </c>
      <c r="L2693"/>
    </row>
    <row r="2694" spans="1:12" x14ac:dyDescent="0.3">
      <c r="A2694" t="s">
        <v>2700</v>
      </c>
      <c r="B2694" t="s">
        <v>10014</v>
      </c>
      <c r="C2694">
        <v>4</v>
      </c>
      <c r="D2694">
        <v>4</v>
      </c>
      <c r="E2694">
        <v>16</v>
      </c>
      <c r="F2694" t="s">
        <v>10019</v>
      </c>
      <c r="G2694" t="s">
        <v>10102</v>
      </c>
      <c r="H2694" s="6">
        <v>45080</v>
      </c>
      <c r="I2694">
        <f t="shared" si="84"/>
        <v>0</v>
      </c>
      <c r="J2694" t="str">
        <f t="shared" si="85"/>
        <v>Complete</v>
      </c>
      <c r="K2694">
        <f>COUNTIFS(RawData[Item], B2694,RawData[Quantity],C2694,RawData[Price Per Unit],D2694,RawData[Total Spent],E2694,RawData[Payment Method],F2694,RawData[Location],G2694,RawData[Transaction Date],H2694)</f>
        <v>1</v>
      </c>
      <c r="L2694"/>
    </row>
    <row r="2695" spans="1:12" x14ac:dyDescent="0.3">
      <c r="A2695" t="s">
        <v>2701</v>
      </c>
      <c r="B2695" t="s">
        <v>10012</v>
      </c>
      <c r="C2695">
        <v>4</v>
      </c>
      <c r="D2695">
        <v>4</v>
      </c>
      <c r="E2695">
        <v>16</v>
      </c>
      <c r="F2695" t="s">
        <v>10019</v>
      </c>
      <c r="G2695" t="s">
        <v>10069</v>
      </c>
      <c r="H2695" s="6">
        <v>45140</v>
      </c>
      <c r="I2695">
        <f t="shared" si="84"/>
        <v>0</v>
      </c>
      <c r="J2695" t="str">
        <f t="shared" si="85"/>
        <v>Complete</v>
      </c>
      <c r="K2695">
        <f>COUNTIFS(RawData[Item], B2695,RawData[Quantity],C2695,RawData[Price Per Unit],D2695,RawData[Total Spent],E2695,RawData[Payment Method],F2695,RawData[Location],G2695,RawData[Transaction Date],H2695)</f>
        <v>1</v>
      </c>
      <c r="L2695"/>
    </row>
    <row r="2696" spans="1:12" x14ac:dyDescent="0.3">
      <c r="A2696" t="s">
        <v>2702</v>
      </c>
      <c r="B2696" t="s">
        <v>10017</v>
      </c>
      <c r="C2696">
        <v>3</v>
      </c>
      <c r="D2696">
        <v>1.5</v>
      </c>
      <c r="E2696">
        <v>4.5</v>
      </c>
      <c r="F2696" t="s">
        <v>10069</v>
      </c>
      <c r="G2696" t="s">
        <v>10103</v>
      </c>
      <c r="H2696" s="6">
        <v>45133</v>
      </c>
      <c r="I2696">
        <f t="shared" si="84"/>
        <v>1</v>
      </c>
      <c r="J2696" t="str">
        <f t="shared" si="85"/>
        <v>Complete</v>
      </c>
      <c r="K2696">
        <f>COUNTIFS(RawData[Item], B2696,RawData[Quantity],C2696,RawData[Price Per Unit],D2696,RawData[Total Spent],E2696,RawData[Payment Method],F2696,RawData[Location],G2696,RawData[Transaction Date],H2696)</f>
        <v>1</v>
      </c>
      <c r="L2696"/>
    </row>
    <row r="2697" spans="1:12" x14ac:dyDescent="0.3">
      <c r="A2697" t="s">
        <v>2703</v>
      </c>
      <c r="B2697" t="s">
        <v>10014</v>
      </c>
      <c r="C2697">
        <v>4</v>
      </c>
      <c r="D2697">
        <v>4</v>
      </c>
      <c r="E2697">
        <v>16</v>
      </c>
      <c r="F2697" t="s">
        <v>10020</v>
      </c>
      <c r="G2697" t="s">
        <v>10102</v>
      </c>
      <c r="H2697" s="6">
        <v>45286</v>
      </c>
      <c r="I2697">
        <f t="shared" si="84"/>
        <v>0</v>
      </c>
      <c r="J2697" t="str">
        <f t="shared" si="85"/>
        <v>Complete</v>
      </c>
      <c r="K2697">
        <f>COUNTIFS(RawData[Item], B2697,RawData[Quantity],C2697,RawData[Price Per Unit],D2697,RawData[Total Spent],E2697,RawData[Payment Method],F2697,RawData[Location],G2697,RawData[Transaction Date],H2697)</f>
        <v>1</v>
      </c>
      <c r="L2697"/>
    </row>
    <row r="2698" spans="1:12" x14ac:dyDescent="0.3">
      <c r="A2698" t="s">
        <v>2704</v>
      </c>
      <c r="B2698" t="s">
        <v>10011</v>
      </c>
      <c r="C2698">
        <v>1</v>
      </c>
      <c r="D2698">
        <v>5</v>
      </c>
      <c r="E2698">
        <v>5</v>
      </c>
      <c r="F2698" t="s">
        <v>10020</v>
      </c>
      <c r="G2698" t="s">
        <v>10021</v>
      </c>
      <c r="H2698" s="6">
        <v>45215</v>
      </c>
      <c r="I2698">
        <f t="shared" si="84"/>
        <v>0</v>
      </c>
      <c r="J2698" t="str">
        <f t="shared" si="85"/>
        <v>Complete</v>
      </c>
      <c r="K2698">
        <f>COUNTIFS(RawData[Item], B2698,RawData[Quantity],C2698,RawData[Price Per Unit],D2698,RawData[Total Spent],E2698,RawData[Payment Method],F2698,RawData[Location],G2698,RawData[Transaction Date],H2698)</f>
        <v>1</v>
      </c>
      <c r="L2698"/>
    </row>
    <row r="2699" spans="1:12" x14ac:dyDescent="0.3">
      <c r="A2699" t="s">
        <v>2705</v>
      </c>
      <c r="B2699" t="s">
        <v>10008</v>
      </c>
      <c r="C2699">
        <v>4</v>
      </c>
      <c r="D2699">
        <v>2</v>
      </c>
      <c r="E2699">
        <v>8</v>
      </c>
      <c r="F2699" t="s">
        <v>10069</v>
      </c>
      <c r="G2699" t="s">
        <v>10069</v>
      </c>
      <c r="H2699" s="6">
        <v>44952</v>
      </c>
      <c r="I2699">
        <f t="shared" si="84"/>
        <v>0</v>
      </c>
      <c r="J2699" t="str">
        <f t="shared" si="85"/>
        <v>Complete</v>
      </c>
      <c r="K2699">
        <f>COUNTIFS(RawData[Item], B2699,RawData[Quantity],C2699,RawData[Price Per Unit],D2699,RawData[Total Spent],E2699,RawData[Payment Method],F2699,RawData[Location],G2699,RawData[Transaction Date],H2699)</f>
        <v>1</v>
      </c>
      <c r="L2699"/>
    </row>
    <row r="2700" spans="1:12" x14ac:dyDescent="0.3">
      <c r="A2700" t="s">
        <v>2706</v>
      </c>
      <c r="B2700" t="s">
        <v>10017</v>
      </c>
      <c r="C2700">
        <v>4</v>
      </c>
      <c r="D2700">
        <v>1.5</v>
      </c>
      <c r="E2700">
        <v>6</v>
      </c>
      <c r="F2700" t="s">
        <v>10069</v>
      </c>
      <c r="G2700" t="s">
        <v>10021</v>
      </c>
      <c r="H2700" s="6">
        <v>45255</v>
      </c>
      <c r="I2700">
        <f t="shared" si="84"/>
        <v>0</v>
      </c>
      <c r="J2700" t="str">
        <f t="shared" si="85"/>
        <v>Complete</v>
      </c>
      <c r="K2700">
        <f>COUNTIFS(RawData[Item], B2700,RawData[Quantity],C2700,RawData[Price Per Unit],D2700,RawData[Total Spent],E2700,RawData[Payment Method],F2700,RawData[Location],G2700,RawData[Transaction Date],H2700)</f>
        <v>1</v>
      </c>
      <c r="L2700"/>
    </row>
    <row r="2701" spans="1:12" x14ac:dyDescent="0.3">
      <c r="A2701" t="s">
        <v>2707</v>
      </c>
      <c r="B2701" t="s">
        <v>10017</v>
      </c>
      <c r="C2701">
        <v>2</v>
      </c>
      <c r="D2701">
        <v>1.5</v>
      </c>
      <c r="E2701">
        <v>3</v>
      </c>
      <c r="F2701" t="s">
        <v>10020</v>
      </c>
      <c r="G2701" t="s">
        <v>10102</v>
      </c>
      <c r="H2701" s="6">
        <v>45233</v>
      </c>
      <c r="I2701">
        <f t="shared" si="84"/>
        <v>0</v>
      </c>
      <c r="J2701" t="str">
        <f t="shared" si="85"/>
        <v>Complete</v>
      </c>
      <c r="K2701">
        <f>COUNTIFS(RawData[Item], B2701,RawData[Quantity],C2701,RawData[Price Per Unit],D2701,RawData[Total Spent],E2701,RawData[Payment Method],F2701,RawData[Location],G2701,RawData[Transaction Date],H2701)</f>
        <v>1</v>
      </c>
      <c r="L2701"/>
    </row>
    <row r="2702" spans="1:12" x14ac:dyDescent="0.3">
      <c r="A2702" t="s">
        <v>2708</v>
      </c>
      <c r="B2702" t="s">
        <v>10010</v>
      </c>
      <c r="C2702">
        <v>1</v>
      </c>
      <c r="D2702">
        <v>1</v>
      </c>
      <c r="E2702">
        <v>1</v>
      </c>
      <c r="F2702" t="s">
        <v>10018</v>
      </c>
      <c r="G2702" t="s">
        <v>10021</v>
      </c>
      <c r="H2702" s="6">
        <v>45216</v>
      </c>
      <c r="I2702">
        <f t="shared" si="84"/>
        <v>0</v>
      </c>
      <c r="J2702" t="str">
        <f t="shared" si="85"/>
        <v>Complete</v>
      </c>
      <c r="K2702">
        <f>COUNTIFS(RawData[Item], B2702,RawData[Quantity],C2702,RawData[Price Per Unit],D2702,RawData[Total Spent],E2702,RawData[Payment Method],F2702,RawData[Location],G2702,RawData[Transaction Date],H2702)</f>
        <v>1</v>
      </c>
      <c r="L2702"/>
    </row>
    <row r="2703" spans="1:12" x14ac:dyDescent="0.3">
      <c r="A2703" t="s">
        <v>2709</v>
      </c>
      <c r="B2703" t="s">
        <v>10011</v>
      </c>
      <c r="C2703">
        <v>4</v>
      </c>
      <c r="D2703">
        <v>5</v>
      </c>
      <c r="E2703">
        <v>20</v>
      </c>
      <c r="F2703" t="s">
        <v>10069</v>
      </c>
      <c r="G2703" t="s">
        <v>10069</v>
      </c>
      <c r="H2703" s="6">
        <v>45020</v>
      </c>
      <c r="I2703">
        <f t="shared" si="84"/>
        <v>0</v>
      </c>
      <c r="J2703" t="str">
        <f t="shared" si="85"/>
        <v>Complete</v>
      </c>
      <c r="K2703">
        <f>COUNTIFS(RawData[Item], B2703,RawData[Quantity],C2703,RawData[Price Per Unit],D2703,RawData[Total Spent],E2703,RawData[Payment Method],F2703,RawData[Location],G2703,RawData[Transaction Date],H2703)</f>
        <v>1</v>
      </c>
      <c r="L2703"/>
    </row>
    <row r="2704" spans="1:12" x14ac:dyDescent="0.3">
      <c r="A2704" t="s">
        <v>2710</v>
      </c>
      <c r="B2704" t="s">
        <v>10017</v>
      </c>
      <c r="C2704">
        <v>3</v>
      </c>
      <c r="D2704">
        <v>1.5</v>
      </c>
      <c r="E2704">
        <v>4.5</v>
      </c>
      <c r="F2704" t="s">
        <v>10019</v>
      </c>
      <c r="G2704" t="s">
        <v>10102</v>
      </c>
      <c r="H2704" s="6">
        <v>45231</v>
      </c>
      <c r="I2704">
        <f t="shared" si="84"/>
        <v>0</v>
      </c>
      <c r="J2704" t="str">
        <f t="shared" si="85"/>
        <v>Complete</v>
      </c>
      <c r="K2704">
        <f>COUNTIFS(RawData[Item], B2704,RawData[Quantity],C2704,RawData[Price Per Unit],D2704,RawData[Total Spent],E2704,RawData[Payment Method],F2704,RawData[Location],G2704,RawData[Transaction Date],H2704)</f>
        <v>1</v>
      </c>
      <c r="L2704"/>
    </row>
    <row r="2705" spans="1:12" x14ac:dyDescent="0.3">
      <c r="A2705" t="s">
        <v>2711</v>
      </c>
      <c r="B2705" t="s">
        <v>10011</v>
      </c>
      <c r="C2705">
        <v>2</v>
      </c>
      <c r="D2705">
        <v>5</v>
      </c>
      <c r="E2705">
        <v>10</v>
      </c>
      <c r="F2705" t="s">
        <v>10020</v>
      </c>
      <c r="G2705" t="s">
        <v>10021</v>
      </c>
      <c r="H2705" s="6">
        <v>45182</v>
      </c>
      <c r="I2705">
        <f t="shared" si="84"/>
        <v>0</v>
      </c>
      <c r="J2705" t="str">
        <f t="shared" si="85"/>
        <v>Complete</v>
      </c>
      <c r="K2705">
        <f>COUNTIFS(RawData[Item], B2705,RawData[Quantity],C2705,RawData[Price Per Unit],D2705,RawData[Total Spent],E2705,RawData[Payment Method],F2705,RawData[Location],G2705,RawData[Transaction Date],H2705)</f>
        <v>1</v>
      </c>
      <c r="L2705"/>
    </row>
    <row r="2706" spans="1:12" x14ac:dyDescent="0.3">
      <c r="A2706" t="s">
        <v>2712</v>
      </c>
      <c r="B2706" t="s">
        <v>10016</v>
      </c>
      <c r="C2706">
        <v>2</v>
      </c>
      <c r="D2706">
        <v>3</v>
      </c>
      <c r="E2706">
        <v>6</v>
      </c>
      <c r="F2706" t="s">
        <v>10018</v>
      </c>
      <c r="G2706" t="s">
        <v>10021</v>
      </c>
      <c r="H2706" s="6">
        <v>45222</v>
      </c>
      <c r="I2706">
        <f t="shared" si="84"/>
        <v>0</v>
      </c>
      <c r="J2706" t="str">
        <f t="shared" si="85"/>
        <v>Complete</v>
      </c>
      <c r="K2706">
        <f>COUNTIFS(RawData[Item], B2706,RawData[Quantity],C2706,RawData[Price Per Unit],D2706,RawData[Total Spent],E2706,RawData[Payment Method],F2706,RawData[Location],G2706,RawData[Transaction Date],H2706)</f>
        <v>1</v>
      </c>
      <c r="L2706"/>
    </row>
    <row r="2707" spans="1:12" x14ac:dyDescent="0.3">
      <c r="A2707" t="s">
        <v>2713</v>
      </c>
      <c r="B2707" t="s">
        <v>10010</v>
      </c>
      <c r="C2707">
        <v>1</v>
      </c>
      <c r="D2707" t="s">
        <v>10013</v>
      </c>
      <c r="E2707">
        <v>1</v>
      </c>
      <c r="F2707" t="s">
        <v>10019</v>
      </c>
      <c r="G2707" t="s">
        <v>10069</v>
      </c>
      <c r="H2707" s="6">
        <v>45089</v>
      </c>
      <c r="I2707">
        <f t="shared" si="84"/>
        <v>1</v>
      </c>
      <c r="J2707" t="str">
        <f t="shared" si="85"/>
        <v>Complete</v>
      </c>
      <c r="K2707">
        <f>COUNTIFS(RawData[Item], B2707,RawData[Quantity],C2707,RawData[Price Per Unit],D2707,RawData[Total Spent],E2707,RawData[Payment Method],F2707,RawData[Location],G2707,RawData[Transaction Date],H2707)</f>
        <v>1</v>
      </c>
      <c r="L2707"/>
    </row>
    <row r="2708" spans="1:12" x14ac:dyDescent="0.3">
      <c r="A2708" t="s">
        <v>2714</v>
      </c>
      <c r="B2708" t="s">
        <v>10008</v>
      </c>
      <c r="C2708">
        <v>0</v>
      </c>
      <c r="D2708">
        <v>2</v>
      </c>
      <c r="E2708">
        <v>6</v>
      </c>
      <c r="F2708" t="s">
        <v>10020</v>
      </c>
      <c r="G2708" t="s">
        <v>10021</v>
      </c>
      <c r="H2708" s="6">
        <v>45065</v>
      </c>
      <c r="I2708">
        <f t="shared" si="84"/>
        <v>0</v>
      </c>
      <c r="J2708" t="str">
        <f t="shared" si="85"/>
        <v>Complete</v>
      </c>
      <c r="K2708">
        <f>COUNTIFS(RawData[Item], B2708,RawData[Quantity],C2708,RawData[Price Per Unit],D2708,RawData[Total Spent],E2708,RawData[Payment Method],F2708,RawData[Location],G2708,RawData[Transaction Date],H2708)</f>
        <v>1</v>
      </c>
      <c r="L2708"/>
    </row>
    <row r="2709" spans="1:12" x14ac:dyDescent="0.3">
      <c r="A2709" t="s">
        <v>2715</v>
      </c>
      <c r="B2709" t="s">
        <v>10008</v>
      </c>
      <c r="C2709">
        <v>3</v>
      </c>
      <c r="D2709">
        <v>2</v>
      </c>
      <c r="E2709">
        <v>6</v>
      </c>
      <c r="F2709" t="s">
        <v>10069</v>
      </c>
      <c r="G2709" t="s">
        <v>10069</v>
      </c>
      <c r="H2709" s="6">
        <v>45285</v>
      </c>
      <c r="I2709">
        <f t="shared" si="84"/>
        <v>0</v>
      </c>
      <c r="J2709" t="str">
        <f t="shared" si="85"/>
        <v>Complete</v>
      </c>
      <c r="K2709">
        <f>COUNTIFS(RawData[Item], B2709,RawData[Quantity],C2709,RawData[Price Per Unit],D2709,RawData[Total Spent],E2709,RawData[Payment Method],F2709,RawData[Location],G2709,RawData[Transaction Date],H2709)</f>
        <v>1</v>
      </c>
      <c r="L2709"/>
    </row>
    <row r="2710" spans="1:12" x14ac:dyDescent="0.3">
      <c r="A2710" t="s">
        <v>2716</v>
      </c>
      <c r="B2710" t="s">
        <v>10016</v>
      </c>
      <c r="C2710" t="s">
        <v>10013</v>
      </c>
      <c r="D2710">
        <v>3</v>
      </c>
      <c r="E2710">
        <v>9</v>
      </c>
      <c r="F2710" t="s">
        <v>10069</v>
      </c>
      <c r="G2710" t="s">
        <v>10021</v>
      </c>
      <c r="H2710" s="6" t="s">
        <v>10112</v>
      </c>
      <c r="I2710">
        <f t="shared" si="84"/>
        <v>2</v>
      </c>
      <c r="J2710" t="str">
        <f t="shared" si="85"/>
        <v>Incomplete</v>
      </c>
      <c r="K2710">
        <f>COUNTIFS(RawData[Item], B2710,RawData[Quantity],C2710,RawData[Price Per Unit],D2710,RawData[Total Spent],E2710,RawData[Payment Method],F2710,RawData[Location],G2710,RawData[Transaction Date],H2710)</f>
        <v>1</v>
      </c>
      <c r="L2710"/>
    </row>
    <row r="2711" spans="1:12" x14ac:dyDescent="0.3">
      <c r="A2711" t="s">
        <v>2717</v>
      </c>
      <c r="B2711" t="s">
        <v>10009</v>
      </c>
      <c r="C2711">
        <v>3</v>
      </c>
      <c r="D2711">
        <v>3</v>
      </c>
      <c r="E2711">
        <v>9</v>
      </c>
      <c r="F2711" t="s">
        <v>10019</v>
      </c>
      <c r="G2711" t="s">
        <v>10069</v>
      </c>
      <c r="H2711" s="6">
        <v>45288</v>
      </c>
      <c r="I2711">
        <f t="shared" si="84"/>
        <v>0</v>
      </c>
      <c r="J2711" t="str">
        <f t="shared" si="85"/>
        <v>Complete</v>
      </c>
      <c r="K2711">
        <f>COUNTIFS(RawData[Item], B2711,RawData[Quantity],C2711,RawData[Price Per Unit],D2711,RawData[Total Spent],E2711,RawData[Payment Method],F2711,RawData[Location],G2711,RawData[Transaction Date],H2711)</f>
        <v>1</v>
      </c>
      <c r="L2711"/>
    </row>
    <row r="2712" spans="1:12" x14ac:dyDescent="0.3">
      <c r="A2712" t="s">
        <v>2718</v>
      </c>
      <c r="B2712" t="s">
        <v>10017</v>
      </c>
      <c r="C2712">
        <v>3</v>
      </c>
      <c r="D2712">
        <v>1.5</v>
      </c>
      <c r="E2712">
        <v>4.5</v>
      </c>
      <c r="F2712" t="s">
        <v>10018</v>
      </c>
      <c r="G2712" t="s">
        <v>10069</v>
      </c>
      <c r="H2712" s="6">
        <v>44993</v>
      </c>
      <c r="I2712">
        <f t="shared" si="84"/>
        <v>0</v>
      </c>
      <c r="J2712" t="str">
        <f t="shared" si="85"/>
        <v>Complete</v>
      </c>
      <c r="K2712">
        <f>COUNTIFS(RawData[Item], B2712,RawData[Quantity],C2712,RawData[Price Per Unit],D2712,RawData[Total Spent],E2712,RawData[Payment Method],F2712,RawData[Location],G2712,RawData[Transaction Date],H2712)</f>
        <v>1</v>
      </c>
      <c r="L2712"/>
    </row>
    <row r="2713" spans="1:12" x14ac:dyDescent="0.3">
      <c r="A2713" t="s">
        <v>2719</v>
      </c>
      <c r="B2713" t="s">
        <v>10015</v>
      </c>
      <c r="C2713">
        <v>1</v>
      </c>
      <c r="D2713">
        <v>1.5</v>
      </c>
      <c r="E2713">
        <v>1.5</v>
      </c>
      <c r="F2713" t="s">
        <v>10018</v>
      </c>
      <c r="G2713" t="s">
        <v>10102</v>
      </c>
      <c r="H2713" s="6">
        <v>44979</v>
      </c>
      <c r="I2713">
        <f t="shared" si="84"/>
        <v>1</v>
      </c>
      <c r="J2713" t="str">
        <f t="shared" si="85"/>
        <v>Complete</v>
      </c>
      <c r="K2713">
        <f>COUNTIFS(RawData[Item], B2713,RawData[Quantity],C2713,RawData[Price Per Unit],D2713,RawData[Total Spent],E2713,RawData[Payment Method],F2713,RawData[Location],G2713,RawData[Transaction Date],H2713)</f>
        <v>1</v>
      </c>
      <c r="L2713"/>
    </row>
    <row r="2714" spans="1:12" x14ac:dyDescent="0.3">
      <c r="A2714" t="s">
        <v>2720</v>
      </c>
      <c r="B2714" t="s">
        <v>10069</v>
      </c>
      <c r="C2714">
        <v>3</v>
      </c>
      <c r="D2714">
        <v>4</v>
      </c>
      <c r="E2714">
        <v>12</v>
      </c>
      <c r="F2714" t="s">
        <v>10018</v>
      </c>
      <c r="G2714" t="s">
        <v>10021</v>
      </c>
      <c r="H2714" s="6">
        <v>45284</v>
      </c>
      <c r="I2714">
        <f t="shared" si="84"/>
        <v>0</v>
      </c>
      <c r="J2714" t="str">
        <f t="shared" si="85"/>
        <v>Complete</v>
      </c>
      <c r="K2714">
        <f>COUNTIFS(RawData[Item], B2714,RawData[Quantity],C2714,RawData[Price Per Unit],D2714,RawData[Total Spent],E2714,RawData[Payment Method],F2714,RawData[Location],G2714,RawData[Transaction Date],H2714)</f>
        <v>1</v>
      </c>
      <c r="L2714"/>
    </row>
    <row r="2715" spans="1:12" x14ac:dyDescent="0.3">
      <c r="A2715" t="s">
        <v>2721</v>
      </c>
      <c r="B2715" t="s">
        <v>10016</v>
      </c>
      <c r="C2715">
        <v>3</v>
      </c>
      <c r="D2715">
        <v>3</v>
      </c>
      <c r="E2715">
        <v>9</v>
      </c>
      <c r="F2715" t="s">
        <v>10019</v>
      </c>
      <c r="G2715" t="s">
        <v>10021</v>
      </c>
      <c r="H2715" s="6">
        <v>45196</v>
      </c>
      <c r="I2715">
        <f t="shared" si="84"/>
        <v>0</v>
      </c>
      <c r="J2715" t="str">
        <f t="shared" si="85"/>
        <v>Complete</v>
      </c>
      <c r="K2715">
        <f>COUNTIFS(RawData[Item], B2715,RawData[Quantity],C2715,RawData[Price Per Unit],D2715,RawData[Total Spent],E2715,RawData[Payment Method],F2715,RawData[Location],G2715,RawData[Transaction Date],H2715)</f>
        <v>2</v>
      </c>
      <c r="L2715"/>
    </row>
    <row r="2716" spans="1:12" x14ac:dyDescent="0.3">
      <c r="A2716" t="s">
        <v>2722</v>
      </c>
      <c r="B2716" t="s">
        <v>10016</v>
      </c>
      <c r="C2716">
        <v>3</v>
      </c>
      <c r="D2716">
        <v>3</v>
      </c>
      <c r="E2716">
        <v>9</v>
      </c>
      <c r="F2716" t="s">
        <v>10069</v>
      </c>
      <c r="G2716" t="s">
        <v>10102</v>
      </c>
      <c r="H2716" s="6">
        <v>45040</v>
      </c>
      <c r="I2716">
        <f t="shared" si="84"/>
        <v>0</v>
      </c>
      <c r="J2716" t="str">
        <f t="shared" si="85"/>
        <v>Complete</v>
      </c>
      <c r="K2716">
        <f>COUNTIFS(RawData[Item], B2716,RawData[Quantity],C2716,RawData[Price Per Unit],D2716,RawData[Total Spent],E2716,RawData[Payment Method],F2716,RawData[Location],G2716,RawData[Transaction Date],H2716)</f>
        <v>1</v>
      </c>
      <c r="L2716"/>
    </row>
    <row r="2717" spans="1:12" x14ac:dyDescent="0.3">
      <c r="A2717" t="s">
        <v>2723</v>
      </c>
      <c r="B2717" t="s">
        <v>10008</v>
      </c>
      <c r="C2717">
        <v>2</v>
      </c>
      <c r="D2717">
        <v>2</v>
      </c>
      <c r="E2717">
        <v>4</v>
      </c>
      <c r="F2717" t="s">
        <v>10069</v>
      </c>
      <c r="G2717" t="s">
        <v>10069</v>
      </c>
      <c r="H2717" s="6">
        <v>45064</v>
      </c>
      <c r="I2717">
        <f t="shared" si="84"/>
        <v>0</v>
      </c>
      <c r="J2717" t="str">
        <f t="shared" si="85"/>
        <v>Complete</v>
      </c>
      <c r="K2717">
        <f>COUNTIFS(RawData[Item], B2717,RawData[Quantity],C2717,RawData[Price Per Unit],D2717,RawData[Total Spent],E2717,RawData[Payment Method],F2717,RawData[Location],G2717,RawData[Transaction Date],H2717)</f>
        <v>1</v>
      </c>
      <c r="L2717"/>
    </row>
    <row r="2718" spans="1:12" x14ac:dyDescent="0.3">
      <c r="A2718" t="s">
        <v>2724</v>
      </c>
      <c r="B2718" t="s">
        <v>10009</v>
      </c>
      <c r="C2718">
        <v>5</v>
      </c>
      <c r="D2718">
        <v>3</v>
      </c>
      <c r="E2718">
        <v>15</v>
      </c>
      <c r="F2718" t="s">
        <v>10020</v>
      </c>
      <c r="G2718" t="s">
        <v>10021</v>
      </c>
      <c r="H2718" s="6">
        <v>45091</v>
      </c>
      <c r="I2718">
        <f t="shared" si="84"/>
        <v>0</v>
      </c>
      <c r="J2718" t="str">
        <f t="shared" si="85"/>
        <v>Complete</v>
      </c>
      <c r="K2718">
        <f>COUNTIFS(RawData[Item], B2718,RawData[Quantity],C2718,RawData[Price Per Unit],D2718,RawData[Total Spent],E2718,RawData[Payment Method],F2718,RawData[Location],G2718,RawData[Transaction Date],H2718)</f>
        <v>1</v>
      </c>
      <c r="L2718"/>
    </row>
    <row r="2719" spans="1:12" x14ac:dyDescent="0.3">
      <c r="A2719" t="s">
        <v>2725</v>
      </c>
      <c r="B2719" t="s">
        <v>10008</v>
      </c>
      <c r="C2719">
        <v>0</v>
      </c>
      <c r="D2719">
        <v>2</v>
      </c>
      <c r="E2719">
        <v>4</v>
      </c>
      <c r="F2719" t="s">
        <v>10069</v>
      </c>
      <c r="G2719" t="s">
        <v>10069</v>
      </c>
      <c r="H2719" s="6">
        <v>45189</v>
      </c>
      <c r="I2719">
        <f t="shared" si="84"/>
        <v>0</v>
      </c>
      <c r="J2719" t="str">
        <f t="shared" si="85"/>
        <v>Complete</v>
      </c>
      <c r="K2719">
        <f>COUNTIFS(RawData[Item], B2719,RawData[Quantity],C2719,RawData[Price Per Unit],D2719,RawData[Total Spent],E2719,RawData[Payment Method],F2719,RawData[Location],G2719,RawData[Transaction Date],H2719)</f>
        <v>1</v>
      </c>
      <c r="L2719"/>
    </row>
    <row r="2720" spans="1:12" x14ac:dyDescent="0.3">
      <c r="A2720" t="s">
        <v>2726</v>
      </c>
      <c r="B2720" t="s">
        <v>10016</v>
      </c>
      <c r="C2720">
        <v>2</v>
      </c>
      <c r="D2720">
        <v>3</v>
      </c>
      <c r="E2720">
        <v>6</v>
      </c>
      <c r="F2720" t="s">
        <v>10018</v>
      </c>
      <c r="G2720" t="s">
        <v>10069</v>
      </c>
      <c r="H2720" s="6">
        <v>45107</v>
      </c>
      <c r="I2720">
        <f t="shared" si="84"/>
        <v>0</v>
      </c>
      <c r="J2720" t="str">
        <f t="shared" si="85"/>
        <v>Complete</v>
      </c>
      <c r="K2720">
        <f>COUNTIFS(RawData[Item], B2720,RawData[Quantity],C2720,RawData[Price Per Unit],D2720,RawData[Total Spent],E2720,RawData[Payment Method],F2720,RawData[Location],G2720,RawData[Transaction Date],H2720)</f>
        <v>1</v>
      </c>
      <c r="L2720"/>
    </row>
    <row r="2721" spans="1:12" x14ac:dyDescent="0.3">
      <c r="A2721" t="s">
        <v>2727</v>
      </c>
      <c r="B2721" t="s">
        <v>10016</v>
      </c>
      <c r="C2721">
        <v>3</v>
      </c>
      <c r="D2721" t="s">
        <v>10015</v>
      </c>
      <c r="E2721">
        <v>9</v>
      </c>
      <c r="F2721" t="s">
        <v>10019</v>
      </c>
      <c r="G2721" t="s">
        <v>10021</v>
      </c>
      <c r="H2721" s="6">
        <v>44980</v>
      </c>
      <c r="I2721">
        <f t="shared" si="84"/>
        <v>1</v>
      </c>
      <c r="J2721" t="str">
        <f t="shared" si="85"/>
        <v>Complete</v>
      </c>
      <c r="K2721">
        <f>COUNTIFS(RawData[Item], B2721,RawData[Quantity],C2721,RawData[Price Per Unit],D2721,RawData[Total Spent],E2721,RawData[Payment Method],F2721,RawData[Location],G2721,RawData[Transaction Date],H2721)</f>
        <v>1</v>
      </c>
      <c r="L2721"/>
    </row>
    <row r="2722" spans="1:12" x14ac:dyDescent="0.3">
      <c r="A2722" t="s">
        <v>2728</v>
      </c>
      <c r="B2722" t="s">
        <v>10017</v>
      </c>
      <c r="C2722">
        <v>5</v>
      </c>
      <c r="D2722" t="s">
        <v>10013</v>
      </c>
      <c r="E2722">
        <v>7.5</v>
      </c>
      <c r="F2722" t="s">
        <v>10018</v>
      </c>
      <c r="G2722" t="s">
        <v>10069</v>
      </c>
      <c r="H2722" s="6">
        <v>45153</v>
      </c>
      <c r="I2722">
        <f t="shared" si="84"/>
        <v>1</v>
      </c>
      <c r="J2722" t="str">
        <f t="shared" si="85"/>
        <v>Complete</v>
      </c>
      <c r="K2722">
        <f>COUNTIFS(RawData[Item], B2722,RawData[Quantity],C2722,RawData[Price Per Unit],D2722,RawData[Total Spent],E2722,RawData[Payment Method],F2722,RawData[Location],G2722,RawData[Transaction Date],H2722)</f>
        <v>1</v>
      </c>
      <c r="L2722"/>
    </row>
    <row r="2723" spans="1:12" x14ac:dyDescent="0.3">
      <c r="A2723" t="s">
        <v>2729</v>
      </c>
      <c r="B2723" t="s">
        <v>10014</v>
      </c>
      <c r="C2723">
        <v>2</v>
      </c>
      <c r="D2723">
        <v>0</v>
      </c>
      <c r="E2723">
        <v>8</v>
      </c>
      <c r="F2723" t="s">
        <v>10018</v>
      </c>
      <c r="G2723" t="s">
        <v>10069</v>
      </c>
      <c r="H2723" s="6">
        <v>45197</v>
      </c>
      <c r="I2723">
        <f t="shared" si="84"/>
        <v>0</v>
      </c>
      <c r="J2723" t="str">
        <f t="shared" si="85"/>
        <v>Complete</v>
      </c>
      <c r="K2723">
        <f>COUNTIFS(RawData[Item], B2723,RawData[Quantity],C2723,RawData[Price Per Unit],D2723,RawData[Total Spent],E2723,RawData[Payment Method],F2723,RawData[Location],G2723,RawData[Transaction Date],H2723)</f>
        <v>1</v>
      </c>
      <c r="L2723"/>
    </row>
    <row r="2724" spans="1:12" x14ac:dyDescent="0.3">
      <c r="A2724" t="s">
        <v>2730</v>
      </c>
      <c r="B2724" t="s">
        <v>10010</v>
      </c>
      <c r="C2724">
        <v>5</v>
      </c>
      <c r="D2724">
        <v>1</v>
      </c>
      <c r="E2724">
        <v>5</v>
      </c>
      <c r="F2724" t="s">
        <v>10020</v>
      </c>
      <c r="G2724" t="s">
        <v>10102</v>
      </c>
      <c r="H2724" s="6">
        <v>45128</v>
      </c>
      <c r="I2724">
        <f t="shared" si="84"/>
        <v>0</v>
      </c>
      <c r="J2724" t="str">
        <f t="shared" si="85"/>
        <v>Complete</v>
      </c>
      <c r="K2724">
        <f>COUNTIFS(RawData[Item], B2724,RawData[Quantity],C2724,RawData[Price Per Unit],D2724,RawData[Total Spent],E2724,RawData[Payment Method],F2724,RawData[Location],G2724,RawData[Transaction Date],H2724)</f>
        <v>1</v>
      </c>
      <c r="L2724"/>
    </row>
    <row r="2725" spans="1:12" x14ac:dyDescent="0.3">
      <c r="A2725" t="s">
        <v>2731</v>
      </c>
      <c r="B2725" t="s">
        <v>10017</v>
      </c>
      <c r="C2725">
        <v>1</v>
      </c>
      <c r="D2725">
        <v>1.5</v>
      </c>
      <c r="E2725">
        <v>1.5</v>
      </c>
      <c r="F2725" t="s">
        <v>10069</v>
      </c>
      <c r="G2725" t="s">
        <v>10021</v>
      </c>
      <c r="H2725" s="6">
        <v>44987</v>
      </c>
      <c r="I2725">
        <f t="shared" si="84"/>
        <v>0</v>
      </c>
      <c r="J2725" t="str">
        <f t="shared" si="85"/>
        <v>Complete</v>
      </c>
      <c r="K2725">
        <f>COUNTIFS(RawData[Item], B2725,RawData[Quantity],C2725,RawData[Price Per Unit],D2725,RawData[Total Spent],E2725,RawData[Payment Method],F2725,RawData[Location],G2725,RawData[Transaction Date],H2725)</f>
        <v>1</v>
      </c>
      <c r="L2725"/>
    </row>
    <row r="2726" spans="1:12" x14ac:dyDescent="0.3">
      <c r="A2726" t="s">
        <v>2732</v>
      </c>
      <c r="B2726" t="s">
        <v>10017</v>
      </c>
      <c r="C2726">
        <v>5</v>
      </c>
      <c r="D2726">
        <v>1.5</v>
      </c>
      <c r="E2726">
        <v>7.5</v>
      </c>
      <c r="F2726" t="s">
        <v>10069</v>
      </c>
      <c r="G2726" t="s">
        <v>10102</v>
      </c>
      <c r="H2726" s="6">
        <v>45176</v>
      </c>
      <c r="I2726">
        <f t="shared" si="84"/>
        <v>0</v>
      </c>
      <c r="J2726" t="str">
        <f t="shared" si="85"/>
        <v>Complete</v>
      </c>
      <c r="K2726">
        <f>COUNTIFS(RawData[Item], B2726,RawData[Quantity],C2726,RawData[Price Per Unit],D2726,RawData[Total Spent],E2726,RawData[Payment Method],F2726,RawData[Location],G2726,RawData[Transaction Date],H2726)</f>
        <v>1</v>
      </c>
      <c r="L2726"/>
    </row>
    <row r="2727" spans="1:12" x14ac:dyDescent="0.3">
      <c r="A2727" t="s">
        <v>2733</v>
      </c>
      <c r="B2727" t="s">
        <v>10009</v>
      </c>
      <c r="C2727">
        <v>2</v>
      </c>
      <c r="D2727">
        <v>3</v>
      </c>
      <c r="E2727">
        <v>6</v>
      </c>
      <c r="F2727" t="s">
        <v>10018</v>
      </c>
      <c r="G2727" t="s">
        <v>10021</v>
      </c>
      <c r="H2727" s="6">
        <v>45084</v>
      </c>
      <c r="I2727">
        <f t="shared" si="84"/>
        <v>0</v>
      </c>
      <c r="J2727" t="str">
        <f t="shared" si="85"/>
        <v>Complete</v>
      </c>
      <c r="K2727">
        <f>COUNTIFS(RawData[Item], B2727,RawData[Quantity],C2727,RawData[Price Per Unit],D2727,RawData[Total Spent],E2727,RawData[Payment Method],F2727,RawData[Location],G2727,RawData[Transaction Date],H2727)</f>
        <v>1</v>
      </c>
      <c r="L2727"/>
    </row>
    <row r="2728" spans="1:12" x14ac:dyDescent="0.3">
      <c r="A2728" t="s">
        <v>2734</v>
      </c>
      <c r="B2728" t="s">
        <v>10014</v>
      </c>
      <c r="C2728">
        <v>1</v>
      </c>
      <c r="D2728">
        <v>4</v>
      </c>
      <c r="E2728">
        <v>4</v>
      </c>
      <c r="F2728" t="s">
        <v>10020</v>
      </c>
      <c r="G2728" t="s">
        <v>10102</v>
      </c>
      <c r="H2728" s="6">
        <v>44927</v>
      </c>
      <c r="I2728">
        <f t="shared" si="84"/>
        <v>0</v>
      </c>
      <c r="J2728" t="str">
        <f t="shared" si="85"/>
        <v>Complete</v>
      </c>
      <c r="K2728">
        <f>COUNTIFS(RawData[Item], B2728,RawData[Quantity],C2728,RawData[Price Per Unit],D2728,RawData[Total Spent],E2728,RawData[Payment Method],F2728,RawData[Location],G2728,RawData[Transaction Date],H2728)</f>
        <v>1</v>
      </c>
      <c r="L2728"/>
    </row>
    <row r="2729" spans="1:12" x14ac:dyDescent="0.3">
      <c r="A2729" t="s">
        <v>2735</v>
      </c>
      <c r="B2729" t="s">
        <v>10011</v>
      </c>
      <c r="C2729">
        <v>5</v>
      </c>
      <c r="D2729">
        <v>5</v>
      </c>
      <c r="E2729">
        <v>25</v>
      </c>
      <c r="F2729" t="s">
        <v>10020</v>
      </c>
      <c r="G2729" t="s">
        <v>10021</v>
      </c>
      <c r="H2729" s="6">
        <v>45031</v>
      </c>
      <c r="I2729">
        <f t="shared" si="84"/>
        <v>0</v>
      </c>
      <c r="J2729" t="str">
        <f t="shared" si="85"/>
        <v>Complete</v>
      </c>
      <c r="K2729">
        <f>COUNTIFS(RawData[Item], B2729,RawData[Quantity],C2729,RawData[Price Per Unit],D2729,RawData[Total Spent],E2729,RawData[Payment Method],F2729,RawData[Location],G2729,RawData[Transaction Date],H2729)</f>
        <v>1</v>
      </c>
      <c r="L2729"/>
    </row>
    <row r="2730" spans="1:12" x14ac:dyDescent="0.3">
      <c r="A2730" t="s">
        <v>2736</v>
      </c>
      <c r="B2730" t="s">
        <v>10009</v>
      </c>
      <c r="C2730">
        <v>5</v>
      </c>
      <c r="D2730">
        <v>3</v>
      </c>
      <c r="E2730">
        <v>15</v>
      </c>
      <c r="F2730" t="s">
        <v>10104</v>
      </c>
      <c r="G2730" t="s">
        <v>10021</v>
      </c>
      <c r="H2730" s="6">
        <v>45106</v>
      </c>
      <c r="I2730">
        <f t="shared" si="84"/>
        <v>1</v>
      </c>
      <c r="J2730" t="str">
        <f t="shared" si="85"/>
        <v>Complete</v>
      </c>
      <c r="K2730">
        <f>COUNTIFS(RawData[Item], B2730,RawData[Quantity],C2730,RawData[Price Per Unit],D2730,RawData[Total Spent],E2730,RawData[Payment Method],F2730,RawData[Location],G2730,RawData[Transaction Date],H2730)</f>
        <v>1</v>
      </c>
      <c r="L2730"/>
    </row>
    <row r="2731" spans="1:12" x14ac:dyDescent="0.3">
      <c r="A2731" t="s">
        <v>2737</v>
      </c>
      <c r="B2731" t="s">
        <v>10010</v>
      </c>
      <c r="C2731">
        <v>5</v>
      </c>
      <c r="D2731">
        <v>1</v>
      </c>
      <c r="E2731">
        <v>5</v>
      </c>
      <c r="F2731" t="s">
        <v>10069</v>
      </c>
      <c r="G2731" t="s">
        <v>10069</v>
      </c>
      <c r="H2731" s="6">
        <v>44994</v>
      </c>
      <c r="I2731">
        <f t="shared" si="84"/>
        <v>0</v>
      </c>
      <c r="J2731" t="str">
        <f t="shared" si="85"/>
        <v>Complete</v>
      </c>
      <c r="K2731">
        <f>COUNTIFS(RawData[Item], B2731,RawData[Quantity],C2731,RawData[Price Per Unit],D2731,RawData[Total Spent],E2731,RawData[Payment Method],F2731,RawData[Location],G2731,RawData[Transaction Date],H2731)</f>
        <v>1</v>
      </c>
      <c r="L2731"/>
    </row>
    <row r="2732" spans="1:12" x14ac:dyDescent="0.3">
      <c r="A2732" t="s">
        <v>2738</v>
      </c>
      <c r="B2732" t="s">
        <v>10008</v>
      </c>
      <c r="C2732">
        <v>4</v>
      </c>
      <c r="D2732">
        <v>2</v>
      </c>
      <c r="E2732">
        <v>8</v>
      </c>
      <c r="F2732" t="s">
        <v>10018</v>
      </c>
      <c r="G2732" t="s">
        <v>10102</v>
      </c>
      <c r="H2732" s="6">
        <v>45072</v>
      </c>
      <c r="I2732">
        <f t="shared" si="84"/>
        <v>0</v>
      </c>
      <c r="J2732" t="str">
        <f t="shared" si="85"/>
        <v>Complete</v>
      </c>
      <c r="K2732">
        <f>COUNTIFS(RawData[Item], B2732,RawData[Quantity],C2732,RawData[Price Per Unit],D2732,RawData[Total Spent],E2732,RawData[Payment Method],F2732,RawData[Location],G2732,RawData[Transaction Date],H2732)</f>
        <v>1</v>
      </c>
      <c r="L2732"/>
    </row>
    <row r="2733" spans="1:12" x14ac:dyDescent="0.3">
      <c r="A2733" t="s">
        <v>2739</v>
      </c>
      <c r="B2733" t="s">
        <v>10013</v>
      </c>
      <c r="C2733">
        <v>1</v>
      </c>
      <c r="D2733">
        <v>4</v>
      </c>
      <c r="E2733">
        <v>4</v>
      </c>
      <c r="F2733" t="s">
        <v>10020</v>
      </c>
      <c r="G2733" t="s">
        <v>10021</v>
      </c>
      <c r="H2733" s="6">
        <v>45178</v>
      </c>
      <c r="I2733">
        <f t="shared" si="84"/>
        <v>1</v>
      </c>
      <c r="J2733" t="str">
        <f t="shared" si="85"/>
        <v>Complete</v>
      </c>
      <c r="K2733">
        <f>COUNTIFS(RawData[Item], B2733,RawData[Quantity],C2733,RawData[Price Per Unit],D2733,RawData[Total Spent],E2733,RawData[Payment Method],F2733,RawData[Location],G2733,RawData[Transaction Date],H2733)</f>
        <v>1</v>
      </c>
      <c r="L2733"/>
    </row>
    <row r="2734" spans="1:12" x14ac:dyDescent="0.3">
      <c r="A2734" t="s">
        <v>2740</v>
      </c>
      <c r="B2734" t="s">
        <v>10011</v>
      </c>
      <c r="C2734">
        <v>4</v>
      </c>
      <c r="D2734">
        <v>5</v>
      </c>
      <c r="E2734">
        <v>20</v>
      </c>
      <c r="F2734" t="s">
        <v>10103</v>
      </c>
      <c r="G2734" t="s">
        <v>10069</v>
      </c>
      <c r="H2734" s="6">
        <v>45057</v>
      </c>
      <c r="I2734">
        <f t="shared" si="84"/>
        <v>1</v>
      </c>
      <c r="J2734" t="str">
        <f t="shared" si="85"/>
        <v>Complete</v>
      </c>
      <c r="K2734">
        <f>COUNTIFS(RawData[Item], B2734,RawData[Quantity],C2734,RawData[Price Per Unit],D2734,RawData[Total Spent],E2734,RawData[Payment Method],F2734,RawData[Location],G2734,RawData[Transaction Date],H2734)</f>
        <v>1</v>
      </c>
      <c r="L2734"/>
    </row>
    <row r="2735" spans="1:12" x14ac:dyDescent="0.3">
      <c r="A2735" t="s">
        <v>2741</v>
      </c>
      <c r="B2735" t="s">
        <v>10009</v>
      </c>
      <c r="C2735">
        <v>2</v>
      </c>
      <c r="D2735">
        <v>3</v>
      </c>
      <c r="E2735">
        <v>6</v>
      </c>
      <c r="F2735" t="s">
        <v>10020</v>
      </c>
      <c r="G2735" t="s">
        <v>10021</v>
      </c>
      <c r="H2735" s="6">
        <v>45182</v>
      </c>
      <c r="I2735">
        <f t="shared" si="84"/>
        <v>0</v>
      </c>
      <c r="J2735" t="str">
        <f t="shared" si="85"/>
        <v>Complete</v>
      </c>
      <c r="K2735">
        <f>COUNTIFS(RawData[Item], B2735,RawData[Quantity],C2735,RawData[Price Per Unit],D2735,RawData[Total Spent],E2735,RawData[Payment Method],F2735,RawData[Location],G2735,RawData[Transaction Date],H2735)</f>
        <v>2</v>
      </c>
      <c r="L2735"/>
    </row>
    <row r="2736" spans="1:12" x14ac:dyDescent="0.3">
      <c r="A2736" t="s">
        <v>2742</v>
      </c>
      <c r="B2736" t="s">
        <v>10008</v>
      </c>
      <c r="C2736">
        <v>5</v>
      </c>
      <c r="D2736">
        <v>2</v>
      </c>
      <c r="E2736">
        <v>10</v>
      </c>
      <c r="F2736" t="s">
        <v>10020</v>
      </c>
      <c r="G2736" t="s">
        <v>10069</v>
      </c>
      <c r="H2736" s="6">
        <v>45163</v>
      </c>
      <c r="I2736">
        <f t="shared" si="84"/>
        <v>0</v>
      </c>
      <c r="J2736" t="str">
        <f t="shared" si="85"/>
        <v>Complete</v>
      </c>
      <c r="K2736">
        <f>COUNTIFS(RawData[Item], B2736,RawData[Quantity],C2736,RawData[Price Per Unit],D2736,RawData[Total Spent],E2736,RawData[Payment Method],F2736,RawData[Location],G2736,RawData[Transaction Date],H2736)</f>
        <v>1</v>
      </c>
      <c r="L2736"/>
    </row>
    <row r="2737" spans="1:12" x14ac:dyDescent="0.3">
      <c r="A2737" t="s">
        <v>2743</v>
      </c>
      <c r="B2737" t="s">
        <v>10014</v>
      </c>
      <c r="C2737">
        <v>5</v>
      </c>
      <c r="D2737">
        <v>4</v>
      </c>
      <c r="E2737">
        <v>20</v>
      </c>
      <c r="F2737" t="s">
        <v>10019</v>
      </c>
      <c r="G2737" t="s">
        <v>10102</v>
      </c>
      <c r="H2737" s="6">
        <v>45196</v>
      </c>
      <c r="I2737">
        <f t="shared" si="84"/>
        <v>0</v>
      </c>
      <c r="J2737" t="str">
        <f t="shared" si="85"/>
        <v>Complete</v>
      </c>
      <c r="K2737">
        <f>COUNTIFS(RawData[Item], B2737,RawData[Quantity],C2737,RawData[Price Per Unit],D2737,RawData[Total Spent],E2737,RawData[Payment Method],F2737,RawData[Location],G2737,RawData[Transaction Date],H2737)</f>
        <v>2</v>
      </c>
      <c r="L2737"/>
    </row>
    <row r="2738" spans="1:12" x14ac:dyDescent="0.3">
      <c r="A2738" t="s">
        <v>2744</v>
      </c>
      <c r="B2738" t="s">
        <v>10008</v>
      </c>
      <c r="C2738">
        <v>1</v>
      </c>
      <c r="D2738">
        <v>2</v>
      </c>
      <c r="E2738">
        <v>2</v>
      </c>
      <c r="F2738" t="s">
        <v>10069</v>
      </c>
      <c r="G2738" t="s">
        <v>10069</v>
      </c>
      <c r="H2738" s="6">
        <v>45285</v>
      </c>
      <c r="I2738">
        <f t="shared" si="84"/>
        <v>0</v>
      </c>
      <c r="J2738" t="str">
        <f t="shared" si="85"/>
        <v>Complete</v>
      </c>
      <c r="K2738">
        <f>COUNTIFS(RawData[Item], B2738,RawData[Quantity],C2738,RawData[Price Per Unit],D2738,RawData[Total Spent],E2738,RawData[Payment Method],F2738,RawData[Location],G2738,RawData[Transaction Date],H2738)</f>
        <v>1</v>
      </c>
      <c r="L2738"/>
    </row>
    <row r="2739" spans="1:12" x14ac:dyDescent="0.3">
      <c r="A2739" t="s">
        <v>2745</v>
      </c>
      <c r="B2739" t="s">
        <v>10012</v>
      </c>
      <c r="C2739">
        <v>5</v>
      </c>
      <c r="D2739">
        <v>4</v>
      </c>
      <c r="E2739">
        <v>20</v>
      </c>
      <c r="F2739" t="s">
        <v>10018</v>
      </c>
      <c r="G2739" t="s">
        <v>10069</v>
      </c>
      <c r="H2739" s="6">
        <v>45196</v>
      </c>
      <c r="I2739">
        <f t="shared" si="84"/>
        <v>0</v>
      </c>
      <c r="J2739" t="str">
        <f t="shared" si="85"/>
        <v>Complete</v>
      </c>
      <c r="K2739">
        <f>COUNTIFS(RawData[Item], B2739,RawData[Quantity],C2739,RawData[Price Per Unit],D2739,RawData[Total Spent],E2739,RawData[Payment Method],F2739,RawData[Location],G2739,RawData[Transaction Date],H2739)</f>
        <v>1</v>
      </c>
      <c r="L2739"/>
    </row>
    <row r="2740" spans="1:12" x14ac:dyDescent="0.3">
      <c r="A2740" t="s">
        <v>2746</v>
      </c>
      <c r="B2740" t="s">
        <v>10017</v>
      </c>
      <c r="C2740">
        <v>3</v>
      </c>
      <c r="D2740">
        <v>1.5</v>
      </c>
      <c r="E2740">
        <v>4.5</v>
      </c>
      <c r="F2740" t="s">
        <v>10069</v>
      </c>
      <c r="G2740" t="s">
        <v>10021</v>
      </c>
      <c r="H2740" s="6">
        <v>45155</v>
      </c>
      <c r="I2740">
        <f t="shared" si="84"/>
        <v>0</v>
      </c>
      <c r="J2740" t="str">
        <f t="shared" si="85"/>
        <v>Complete</v>
      </c>
      <c r="K2740">
        <f>COUNTIFS(RawData[Item], B2740,RawData[Quantity],C2740,RawData[Price Per Unit],D2740,RawData[Total Spent],E2740,RawData[Payment Method],F2740,RawData[Location],G2740,RawData[Transaction Date],H2740)</f>
        <v>1</v>
      </c>
      <c r="L2740"/>
    </row>
    <row r="2741" spans="1:12" x14ac:dyDescent="0.3">
      <c r="A2741" t="s">
        <v>2747</v>
      </c>
      <c r="B2741" t="s">
        <v>10011</v>
      </c>
      <c r="C2741">
        <v>5</v>
      </c>
      <c r="D2741">
        <v>5</v>
      </c>
      <c r="E2741">
        <v>25</v>
      </c>
      <c r="F2741" t="s">
        <v>10103</v>
      </c>
      <c r="G2741" t="s">
        <v>10069</v>
      </c>
      <c r="H2741" s="6">
        <v>45174</v>
      </c>
      <c r="I2741">
        <f t="shared" si="84"/>
        <v>1</v>
      </c>
      <c r="J2741" t="str">
        <f t="shared" si="85"/>
        <v>Complete</v>
      </c>
      <c r="K2741">
        <f>COUNTIFS(RawData[Item], B2741,RawData[Quantity],C2741,RawData[Price Per Unit],D2741,RawData[Total Spent],E2741,RawData[Payment Method],F2741,RawData[Location],G2741,RawData[Transaction Date],H2741)</f>
        <v>1</v>
      </c>
      <c r="L2741"/>
    </row>
    <row r="2742" spans="1:12" x14ac:dyDescent="0.3">
      <c r="A2742" t="s">
        <v>2748</v>
      </c>
      <c r="B2742" t="s">
        <v>10008</v>
      </c>
      <c r="C2742">
        <v>4</v>
      </c>
      <c r="D2742">
        <v>2</v>
      </c>
      <c r="E2742">
        <v>8</v>
      </c>
      <c r="F2742" t="s">
        <v>10069</v>
      </c>
      <c r="G2742" t="s">
        <v>10021</v>
      </c>
      <c r="H2742" s="6">
        <v>44975</v>
      </c>
      <c r="I2742">
        <f t="shared" si="84"/>
        <v>0</v>
      </c>
      <c r="J2742" t="str">
        <f t="shared" si="85"/>
        <v>Complete</v>
      </c>
      <c r="K2742">
        <f>COUNTIFS(RawData[Item], B2742,RawData[Quantity],C2742,RawData[Price Per Unit],D2742,RawData[Total Spent],E2742,RawData[Payment Method],F2742,RawData[Location],G2742,RawData[Transaction Date],H2742)</f>
        <v>2</v>
      </c>
      <c r="L2742"/>
    </row>
    <row r="2743" spans="1:12" x14ac:dyDescent="0.3">
      <c r="A2743" t="s">
        <v>2749</v>
      </c>
      <c r="B2743" t="s">
        <v>10017</v>
      </c>
      <c r="C2743">
        <v>3</v>
      </c>
      <c r="D2743">
        <v>1.5</v>
      </c>
      <c r="E2743">
        <v>4.5</v>
      </c>
      <c r="F2743" t="s">
        <v>10104</v>
      </c>
      <c r="G2743" t="s">
        <v>10021</v>
      </c>
      <c r="H2743" s="6">
        <v>45257</v>
      </c>
      <c r="I2743">
        <f t="shared" si="84"/>
        <v>1</v>
      </c>
      <c r="J2743" t="str">
        <f t="shared" si="85"/>
        <v>Complete</v>
      </c>
      <c r="K2743">
        <f>COUNTIFS(RawData[Item], B2743,RawData[Quantity],C2743,RawData[Price Per Unit],D2743,RawData[Total Spent],E2743,RawData[Payment Method],F2743,RawData[Location],G2743,RawData[Transaction Date],H2743)</f>
        <v>1</v>
      </c>
      <c r="L2743"/>
    </row>
    <row r="2744" spans="1:12" x14ac:dyDescent="0.3">
      <c r="A2744" t="s">
        <v>2750</v>
      </c>
      <c r="B2744" t="s">
        <v>10009</v>
      </c>
      <c r="C2744">
        <v>3</v>
      </c>
      <c r="D2744">
        <v>3</v>
      </c>
      <c r="E2744">
        <v>9</v>
      </c>
      <c r="F2744" t="s">
        <v>10020</v>
      </c>
      <c r="G2744" t="s">
        <v>10069</v>
      </c>
      <c r="H2744" s="6">
        <v>44997</v>
      </c>
      <c r="I2744">
        <f t="shared" si="84"/>
        <v>0</v>
      </c>
      <c r="J2744" t="str">
        <f t="shared" si="85"/>
        <v>Complete</v>
      </c>
      <c r="K2744">
        <f>COUNTIFS(RawData[Item], B2744,RawData[Quantity],C2744,RawData[Price Per Unit],D2744,RawData[Total Spent],E2744,RawData[Payment Method],F2744,RawData[Location],G2744,RawData[Transaction Date],H2744)</f>
        <v>1</v>
      </c>
      <c r="L2744"/>
    </row>
    <row r="2745" spans="1:12" x14ac:dyDescent="0.3">
      <c r="A2745" t="s">
        <v>2751</v>
      </c>
      <c r="B2745" t="s">
        <v>10016</v>
      </c>
      <c r="C2745">
        <v>5</v>
      </c>
      <c r="D2745">
        <v>3</v>
      </c>
      <c r="E2745" t="s">
        <v>10013</v>
      </c>
      <c r="F2745" t="s">
        <v>10069</v>
      </c>
      <c r="G2745" t="s">
        <v>10021</v>
      </c>
      <c r="H2745" s="6">
        <v>44932</v>
      </c>
      <c r="I2745">
        <f t="shared" si="84"/>
        <v>1</v>
      </c>
      <c r="J2745" t="str">
        <f t="shared" si="85"/>
        <v>Complete</v>
      </c>
      <c r="K2745">
        <f>COUNTIFS(RawData[Item], B2745,RawData[Quantity],C2745,RawData[Price Per Unit],D2745,RawData[Total Spent],E2745,RawData[Payment Method],F2745,RawData[Location],G2745,RawData[Transaction Date],H2745)</f>
        <v>1</v>
      </c>
      <c r="L2745"/>
    </row>
    <row r="2746" spans="1:12" x14ac:dyDescent="0.3">
      <c r="A2746" t="s">
        <v>2752</v>
      </c>
      <c r="B2746" t="s">
        <v>10017</v>
      </c>
      <c r="C2746">
        <v>2</v>
      </c>
      <c r="D2746">
        <v>1.5</v>
      </c>
      <c r="E2746">
        <v>3</v>
      </c>
      <c r="F2746" t="s">
        <v>10019</v>
      </c>
      <c r="G2746" t="s">
        <v>10021</v>
      </c>
      <c r="H2746" s="6">
        <v>45264</v>
      </c>
      <c r="I2746">
        <f t="shared" si="84"/>
        <v>0</v>
      </c>
      <c r="J2746" t="str">
        <f t="shared" si="85"/>
        <v>Complete</v>
      </c>
      <c r="K2746">
        <f>COUNTIFS(RawData[Item], B2746,RawData[Quantity],C2746,RawData[Price Per Unit],D2746,RawData[Total Spent],E2746,RawData[Payment Method],F2746,RawData[Location],G2746,RawData[Transaction Date],H2746)</f>
        <v>1</v>
      </c>
      <c r="L2746"/>
    </row>
    <row r="2747" spans="1:12" x14ac:dyDescent="0.3">
      <c r="A2747" t="s">
        <v>2753</v>
      </c>
      <c r="B2747" t="s">
        <v>10012</v>
      </c>
      <c r="C2747">
        <v>1</v>
      </c>
      <c r="D2747">
        <v>4</v>
      </c>
      <c r="E2747">
        <v>4</v>
      </c>
      <c r="F2747" t="s">
        <v>10019</v>
      </c>
      <c r="G2747" t="s">
        <v>10021</v>
      </c>
      <c r="H2747" s="6">
        <v>45159</v>
      </c>
      <c r="I2747">
        <f t="shared" si="84"/>
        <v>0</v>
      </c>
      <c r="J2747" t="str">
        <f t="shared" si="85"/>
        <v>Complete</v>
      </c>
      <c r="K2747">
        <f>COUNTIFS(RawData[Item], B2747,RawData[Quantity],C2747,RawData[Price Per Unit],D2747,RawData[Total Spent],E2747,RawData[Payment Method],F2747,RawData[Location],G2747,RawData[Transaction Date],H2747)</f>
        <v>1</v>
      </c>
      <c r="L2747"/>
    </row>
    <row r="2748" spans="1:12" x14ac:dyDescent="0.3">
      <c r="A2748" t="s">
        <v>2754</v>
      </c>
      <c r="B2748" t="s">
        <v>10014</v>
      </c>
      <c r="C2748">
        <v>1</v>
      </c>
      <c r="D2748">
        <v>4</v>
      </c>
      <c r="E2748">
        <v>4</v>
      </c>
      <c r="F2748" t="s">
        <v>10019</v>
      </c>
      <c r="G2748" t="s">
        <v>10069</v>
      </c>
      <c r="H2748" s="6">
        <v>45115</v>
      </c>
      <c r="I2748">
        <f t="shared" si="84"/>
        <v>0</v>
      </c>
      <c r="J2748" t="str">
        <f t="shared" si="85"/>
        <v>Complete</v>
      </c>
      <c r="K2748">
        <f>COUNTIFS(RawData[Item], B2748,RawData[Quantity],C2748,RawData[Price Per Unit],D2748,RawData[Total Spent],E2748,RawData[Payment Method],F2748,RawData[Location],G2748,RawData[Transaction Date],H2748)</f>
        <v>1</v>
      </c>
      <c r="L2748"/>
    </row>
    <row r="2749" spans="1:12" x14ac:dyDescent="0.3">
      <c r="A2749" t="s">
        <v>2755</v>
      </c>
      <c r="B2749" t="s">
        <v>10016</v>
      </c>
      <c r="C2749">
        <v>4</v>
      </c>
      <c r="D2749">
        <v>0</v>
      </c>
      <c r="E2749">
        <v>12</v>
      </c>
      <c r="F2749" t="s">
        <v>10069</v>
      </c>
      <c r="G2749" t="s">
        <v>10069</v>
      </c>
      <c r="H2749" s="6">
        <v>45028</v>
      </c>
      <c r="I2749">
        <f t="shared" si="84"/>
        <v>0</v>
      </c>
      <c r="J2749" t="str">
        <f t="shared" si="85"/>
        <v>Complete</v>
      </c>
      <c r="K2749">
        <f>COUNTIFS(RawData[Item], B2749,RawData[Quantity],C2749,RawData[Price Per Unit],D2749,RawData[Total Spent],E2749,RawData[Payment Method],F2749,RawData[Location],G2749,RawData[Transaction Date],H2749)</f>
        <v>1</v>
      </c>
      <c r="L2749"/>
    </row>
    <row r="2750" spans="1:12" x14ac:dyDescent="0.3">
      <c r="A2750" t="s">
        <v>2756</v>
      </c>
      <c r="B2750" t="s">
        <v>10012</v>
      </c>
      <c r="C2750">
        <v>5</v>
      </c>
      <c r="D2750">
        <v>4</v>
      </c>
      <c r="E2750">
        <v>20</v>
      </c>
      <c r="F2750" t="s">
        <v>10020</v>
      </c>
      <c r="G2750" t="s">
        <v>10104</v>
      </c>
      <c r="H2750" s="6">
        <v>45106</v>
      </c>
      <c r="I2750">
        <f t="shared" si="84"/>
        <v>1</v>
      </c>
      <c r="J2750" t="str">
        <f t="shared" si="85"/>
        <v>Complete</v>
      </c>
      <c r="K2750">
        <f>COUNTIFS(RawData[Item], B2750,RawData[Quantity],C2750,RawData[Price Per Unit],D2750,RawData[Total Spent],E2750,RawData[Payment Method],F2750,RawData[Location],G2750,RawData[Transaction Date],H2750)</f>
        <v>1</v>
      </c>
      <c r="L2750"/>
    </row>
    <row r="2751" spans="1:12" x14ac:dyDescent="0.3">
      <c r="A2751" t="s">
        <v>2757</v>
      </c>
      <c r="B2751" t="s">
        <v>10009</v>
      </c>
      <c r="C2751">
        <v>1</v>
      </c>
      <c r="D2751">
        <v>3</v>
      </c>
      <c r="E2751">
        <v>3</v>
      </c>
      <c r="F2751" t="s">
        <v>10019</v>
      </c>
      <c r="G2751" t="s">
        <v>10021</v>
      </c>
      <c r="H2751" s="6">
        <v>45115</v>
      </c>
      <c r="I2751">
        <f t="shared" si="84"/>
        <v>0</v>
      </c>
      <c r="J2751" t="str">
        <f t="shared" si="85"/>
        <v>Complete</v>
      </c>
      <c r="K2751">
        <f>COUNTIFS(RawData[Item], B2751,RawData[Quantity],C2751,RawData[Price Per Unit],D2751,RawData[Total Spent],E2751,RawData[Payment Method],F2751,RawData[Location],G2751,RawData[Transaction Date],H2751)</f>
        <v>1</v>
      </c>
      <c r="L2751"/>
    </row>
    <row r="2752" spans="1:12" x14ac:dyDescent="0.3">
      <c r="A2752" t="s">
        <v>2758</v>
      </c>
      <c r="B2752" t="s">
        <v>10008</v>
      </c>
      <c r="C2752">
        <v>5</v>
      </c>
      <c r="D2752">
        <v>2</v>
      </c>
      <c r="E2752">
        <v>10</v>
      </c>
      <c r="F2752" t="s">
        <v>10018</v>
      </c>
      <c r="G2752" t="s">
        <v>10102</v>
      </c>
      <c r="H2752" s="6">
        <v>45008</v>
      </c>
      <c r="I2752">
        <f t="shared" si="84"/>
        <v>0</v>
      </c>
      <c r="J2752" t="str">
        <f t="shared" si="85"/>
        <v>Complete</v>
      </c>
      <c r="K2752">
        <f>COUNTIFS(RawData[Item], B2752,RawData[Quantity],C2752,RawData[Price Per Unit],D2752,RawData[Total Spent],E2752,RawData[Payment Method],F2752,RawData[Location],G2752,RawData[Transaction Date],H2752)</f>
        <v>1</v>
      </c>
      <c r="L2752"/>
    </row>
    <row r="2753" spans="1:12" x14ac:dyDescent="0.3">
      <c r="A2753" t="s">
        <v>2759</v>
      </c>
      <c r="B2753" t="s">
        <v>10016</v>
      </c>
      <c r="C2753">
        <v>2</v>
      </c>
      <c r="D2753">
        <v>3</v>
      </c>
      <c r="E2753">
        <v>6</v>
      </c>
      <c r="F2753" t="s">
        <v>10020</v>
      </c>
      <c r="G2753" t="s">
        <v>10102</v>
      </c>
      <c r="H2753" s="6">
        <v>45162</v>
      </c>
      <c r="I2753">
        <f t="shared" si="84"/>
        <v>0</v>
      </c>
      <c r="J2753" t="str">
        <f t="shared" si="85"/>
        <v>Complete</v>
      </c>
      <c r="K2753">
        <f>COUNTIFS(RawData[Item], B2753,RawData[Quantity],C2753,RawData[Price Per Unit],D2753,RawData[Total Spent],E2753,RawData[Payment Method],F2753,RawData[Location],G2753,RawData[Transaction Date],H2753)</f>
        <v>2</v>
      </c>
      <c r="L2753"/>
    </row>
    <row r="2754" spans="1:12" x14ac:dyDescent="0.3">
      <c r="A2754" t="s">
        <v>2760</v>
      </c>
      <c r="B2754" t="s">
        <v>10011</v>
      </c>
      <c r="C2754">
        <v>5</v>
      </c>
      <c r="D2754">
        <v>5</v>
      </c>
      <c r="E2754">
        <v>25</v>
      </c>
      <c r="F2754" t="s">
        <v>10019</v>
      </c>
      <c r="G2754" t="s">
        <v>10069</v>
      </c>
      <c r="H2754" s="6">
        <v>45037</v>
      </c>
      <c r="I2754">
        <f t="shared" ref="I2754:I2817" si="86">(B2754="Unknown")+(B2754="Error")+(C2754="Unknown")+(C2754="Error")+(D2754="Unknown")+(D2754="Error")+(E2754="Unknown")+(E2754="Error")+(F2754="Unknown")+(F2754="Error")+(G2754="Unknown")+(G2754="Error")+(H2754="No Date")</f>
        <v>0</v>
      </c>
      <c r="J2754" t="str">
        <f t="shared" ref="J2754:J2817" si="87">IF((H2754="No Date"),"Incomplete","Complete")</f>
        <v>Complete</v>
      </c>
      <c r="K2754">
        <f>COUNTIFS(RawData[Item], B2754,RawData[Quantity],C2754,RawData[Price Per Unit],D2754,RawData[Total Spent],E2754,RawData[Payment Method],F2754,RawData[Location],G2754,RawData[Transaction Date],H2754)</f>
        <v>1</v>
      </c>
      <c r="L2754"/>
    </row>
    <row r="2755" spans="1:12" x14ac:dyDescent="0.3">
      <c r="A2755" t="s">
        <v>2761</v>
      </c>
      <c r="B2755" t="s">
        <v>10014</v>
      </c>
      <c r="C2755">
        <v>1</v>
      </c>
      <c r="D2755">
        <v>4</v>
      </c>
      <c r="E2755">
        <v>4</v>
      </c>
      <c r="F2755" t="s">
        <v>10069</v>
      </c>
      <c r="G2755" t="s">
        <v>10069</v>
      </c>
      <c r="H2755" s="6">
        <v>45068</v>
      </c>
      <c r="I2755">
        <f t="shared" si="86"/>
        <v>0</v>
      </c>
      <c r="J2755" t="str">
        <f t="shared" si="87"/>
        <v>Complete</v>
      </c>
      <c r="K2755">
        <f>COUNTIFS(RawData[Item], B2755,RawData[Quantity],C2755,RawData[Price Per Unit],D2755,RawData[Total Spent],E2755,RawData[Payment Method],F2755,RawData[Location],G2755,RawData[Transaction Date],H2755)</f>
        <v>1</v>
      </c>
      <c r="L2755"/>
    </row>
    <row r="2756" spans="1:12" x14ac:dyDescent="0.3">
      <c r="A2756" t="s">
        <v>2762</v>
      </c>
      <c r="B2756" t="s">
        <v>10010</v>
      </c>
      <c r="C2756">
        <v>1</v>
      </c>
      <c r="D2756">
        <v>1</v>
      </c>
      <c r="E2756">
        <v>1</v>
      </c>
      <c r="F2756" t="s">
        <v>10020</v>
      </c>
      <c r="G2756" t="s">
        <v>10069</v>
      </c>
      <c r="H2756" s="6">
        <v>45257</v>
      </c>
      <c r="I2756">
        <f t="shared" si="86"/>
        <v>0</v>
      </c>
      <c r="J2756" t="str">
        <f t="shared" si="87"/>
        <v>Complete</v>
      </c>
      <c r="K2756">
        <f>COUNTIFS(RawData[Item], B2756,RawData[Quantity],C2756,RawData[Price Per Unit],D2756,RawData[Total Spent],E2756,RawData[Payment Method],F2756,RawData[Location],G2756,RawData[Transaction Date],H2756)</f>
        <v>1</v>
      </c>
      <c r="L2756"/>
    </row>
    <row r="2757" spans="1:12" x14ac:dyDescent="0.3">
      <c r="A2757" t="s">
        <v>2763</v>
      </c>
      <c r="B2757" t="s">
        <v>10010</v>
      </c>
      <c r="C2757">
        <v>2</v>
      </c>
      <c r="D2757">
        <v>1</v>
      </c>
      <c r="E2757">
        <v>2</v>
      </c>
      <c r="F2757" t="s">
        <v>10069</v>
      </c>
      <c r="G2757" t="s">
        <v>10102</v>
      </c>
      <c r="H2757" s="6">
        <v>45196</v>
      </c>
      <c r="I2757">
        <f t="shared" si="86"/>
        <v>0</v>
      </c>
      <c r="J2757" t="str">
        <f t="shared" si="87"/>
        <v>Complete</v>
      </c>
      <c r="K2757">
        <f>COUNTIFS(RawData[Item], B2757,RawData[Quantity],C2757,RawData[Price Per Unit],D2757,RawData[Total Spent],E2757,RawData[Payment Method],F2757,RawData[Location],G2757,RawData[Transaction Date],H2757)</f>
        <v>1</v>
      </c>
      <c r="L2757"/>
    </row>
    <row r="2758" spans="1:12" x14ac:dyDescent="0.3">
      <c r="A2758" t="s">
        <v>2764</v>
      </c>
      <c r="B2758" t="s">
        <v>10012</v>
      </c>
      <c r="C2758">
        <v>3</v>
      </c>
      <c r="D2758">
        <v>4</v>
      </c>
      <c r="E2758">
        <v>12</v>
      </c>
      <c r="F2758" t="s">
        <v>10019</v>
      </c>
      <c r="G2758" t="s">
        <v>10021</v>
      </c>
      <c r="H2758" s="6">
        <v>45105</v>
      </c>
      <c r="I2758">
        <f t="shared" si="86"/>
        <v>0</v>
      </c>
      <c r="J2758" t="str">
        <f t="shared" si="87"/>
        <v>Complete</v>
      </c>
      <c r="K2758">
        <f>COUNTIFS(RawData[Item], B2758,RawData[Quantity],C2758,RawData[Price Per Unit],D2758,RawData[Total Spent],E2758,RawData[Payment Method],F2758,RawData[Location],G2758,RawData[Transaction Date],H2758)</f>
        <v>1</v>
      </c>
      <c r="L2758"/>
    </row>
    <row r="2759" spans="1:12" x14ac:dyDescent="0.3">
      <c r="A2759" t="s">
        <v>2765</v>
      </c>
      <c r="B2759" t="s">
        <v>10009</v>
      </c>
      <c r="C2759">
        <v>3</v>
      </c>
      <c r="D2759">
        <v>3</v>
      </c>
      <c r="E2759">
        <v>9</v>
      </c>
      <c r="F2759" t="s">
        <v>10069</v>
      </c>
      <c r="G2759" t="s">
        <v>10069</v>
      </c>
      <c r="H2759" s="6">
        <v>45290</v>
      </c>
      <c r="I2759">
        <f t="shared" si="86"/>
        <v>0</v>
      </c>
      <c r="J2759" t="str">
        <f t="shared" si="87"/>
        <v>Complete</v>
      </c>
      <c r="K2759">
        <f>COUNTIFS(RawData[Item], B2759,RawData[Quantity],C2759,RawData[Price Per Unit],D2759,RawData[Total Spent],E2759,RawData[Payment Method],F2759,RawData[Location],G2759,RawData[Transaction Date],H2759)</f>
        <v>1</v>
      </c>
      <c r="L2759"/>
    </row>
    <row r="2760" spans="1:12" x14ac:dyDescent="0.3">
      <c r="A2760" t="s">
        <v>2766</v>
      </c>
      <c r="B2760" t="s">
        <v>10011</v>
      </c>
      <c r="C2760">
        <v>1</v>
      </c>
      <c r="D2760">
        <v>5</v>
      </c>
      <c r="E2760">
        <v>5</v>
      </c>
      <c r="F2760" t="s">
        <v>10069</v>
      </c>
      <c r="G2760" t="s">
        <v>10021</v>
      </c>
      <c r="H2760" s="6">
        <v>45104</v>
      </c>
      <c r="I2760">
        <f t="shared" si="86"/>
        <v>0</v>
      </c>
      <c r="J2760" t="str">
        <f t="shared" si="87"/>
        <v>Complete</v>
      </c>
      <c r="K2760">
        <f>COUNTIFS(RawData[Item], B2760,RawData[Quantity],C2760,RawData[Price Per Unit],D2760,RawData[Total Spent],E2760,RawData[Payment Method],F2760,RawData[Location],G2760,RawData[Transaction Date],H2760)</f>
        <v>1</v>
      </c>
      <c r="L2760"/>
    </row>
    <row r="2761" spans="1:12" x14ac:dyDescent="0.3">
      <c r="A2761" t="s">
        <v>2767</v>
      </c>
      <c r="B2761" t="s">
        <v>10016</v>
      </c>
      <c r="C2761">
        <v>4</v>
      </c>
      <c r="D2761">
        <v>3</v>
      </c>
      <c r="E2761">
        <v>12</v>
      </c>
      <c r="F2761" t="s">
        <v>10019</v>
      </c>
      <c r="G2761" t="s">
        <v>10069</v>
      </c>
      <c r="H2761" s="6">
        <v>45148</v>
      </c>
      <c r="I2761">
        <f t="shared" si="86"/>
        <v>0</v>
      </c>
      <c r="J2761" t="str">
        <f t="shared" si="87"/>
        <v>Complete</v>
      </c>
      <c r="K2761">
        <f>COUNTIFS(RawData[Item], B2761,RawData[Quantity],C2761,RawData[Price Per Unit],D2761,RawData[Total Spent],E2761,RawData[Payment Method],F2761,RawData[Location],G2761,RawData[Transaction Date],H2761)</f>
        <v>1</v>
      </c>
      <c r="L2761"/>
    </row>
    <row r="2762" spans="1:12" x14ac:dyDescent="0.3">
      <c r="A2762" t="s">
        <v>2768</v>
      </c>
      <c r="B2762" t="s">
        <v>10008</v>
      </c>
      <c r="C2762">
        <v>5</v>
      </c>
      <c r="D2762">
        <v>2</v>
      </c>
      <c r="E2762">
        <v>10</v>
      </c>
      <c r="F2762" t="s">
        <v>10069</v>
      </c>
      <c r="G2762" t="s">
        <v>10021</v>
      </c>
      <c r="H2762" s="6">
        <v>45169</v>
      </c>
      <c r="I2762">
        <f t="shared" si="86"/>
        <v>0</v>
      </c>
      <c r="J2762" t="str">
        <f t="shared" si="87"/>
        <v>Complete</v>
      </c>
      <c r="K2762">
        <f>COUNTIFS(RawData[Item], B2762,RawData[Quantity],C2762,RawData[Price Per Unit],D2762,RawData[Total Spent],E2762,RawData[Payment Method],F2762,RawData[Location],G2762,RawData[Transaction Date],H2762)</f>
        <v>1</v>
      </c>
      <c r="L2762"/>
    </row>
    <row r="2763" spans="1:12" x14ac:dyDescent="0.3">
      <c r="A2763" t="s">
        <v>2769</v>
      </c>
      <c r="B2763" t="s">
        <v>10009</v>
      </c>
      <c r="C2763">
        <v>0</v>
      </c>
      <c r="D2763">
        <v>3</v>
      </c>
      <c r="E2763">
        <v>12</v>
      </c>
      <c r="F2763" t="s">
        <v>10020</v>
      </c>
      <c r="G2763" t="s">
        <v>10021</v>
      </c>
      <c r="H2763" s="6">
        <v>45128</v>
      </c>
      <c r="I2763">
        <f t="shared" si="86"/>
        <v>0</v>
      </c>
      <c r="J2763" t="str">
        <f t="shared" si="87"/>
        <v>Complete</v>
      </c>
      <c r="K2763">
        <f>COUNTIFS(RawData[Item], B2763,RawData[Quantity],C2763,RawData[Price Per Unit],D2763,RawData[Total Spent],E2763,RawData[Payment Method],F2763,RawData[Location],G2763,RawData[Transaction Date],H2763)</f>
        <v>1</v>
      </c>
      <c r="L2763"/>
    </row>
    <row r="2764" spans="1:12" x14ac:dyDescent="0.3">
      <c r="A2764" t="s">
        <v>2770</v>
      </c>
      <c r="B2764" t="s">
        <v>10014</v>
      </c>
      <c r="C2764">
        <v>5</v>
      </c>
      <c r="D2764">
        <v>4</v>
      </c>
      <c r="E2764">
        <v>20</v>
      </c>
      <c r="F2764" t="s">
        <v>10020</v>
      </c>
      <c r="G2764" t="s">
        <v>10102</v>
      </c>
      <c r="H2764" s="6">
        <v>45168</v>
      </c>
      <c r="I2764">
        <f t="shared" si="86"/>
        <v>0</v>
      </c>
      <c r="J2764" t="str">
        <f t="shared" si="87"/>
        <v>Complete</v>
      </c>
      <c r="K2764">
        <f>COUNTIFS(RawData[Item], B2764,RawData[Quantity],C2764,RawData[Price Per Unit],D2764,RawData[Total Spent],E2764,RawData[Payment Method],F2764,RawData[Location],G2764,RawData[Transaction Date],H2764)</f>
        <v>1</v>
      </c>
      <c r="L2764"/>
    </row>
    <row r="2765" spans="1:12" x14ac:dyDescent="0.3">
      <c r="A2765" t="s">
        <v>2771</v>
      </c>
      <c r="B2765" t="s">
        <v>10010</v>
      </c>
      <c r="C2765">
        <v>3</v>
      </c>
      <c r="D2765">
        <v>1</v>
      </c>
      <c r="E2765">
        <v>3</v>
      </c>
      <c r="F2765" t="s">
        <v>10020</v>
      </c>
      <c r="G2765" t="s">
        <v>10102</v>
      </c>
      <c r="H2765" s="6">
        <v>45170</v>
      </c>
      <c r="I2765">
        <f t="shared" si="86"/>
        <v>0</v>
      </c>
      <c r="J2765" t="str">
        <f t="shared" si="87"/>
        <v>Complete</v>
      </c>
      <c r="K2765">
        <f>COUNTIFS(RawData[Item], B2765,RawData[Quantity],C2765,RawData[Price Per Unit],D2765,RawData[Total Spent],E2765,RawData[Payment Method],F2765,RawData[Location],G2765,RawData[Transaction Date],H2765)</f>
        <v>1</v>
      </c>
      <c r="L2765"/>
    </row>
    <row r="2766" spans="1:12" x14ac:dyDescent="0.3">
      <c r="A2766" t="s">
        <v>2772</v>
      </c>
      <c r="B2766" t="s">
        <v>10009</v>
      </c>
      <c r="C2766">
        <v>5</v>
      </c>
      <c r="D2766">
        <v>3</v>
      </c>
      <c r="E2766" t="s">
        <v>10013</v>
      </c>
      <c r="F2766" t="s">
        <v>10104</v>
      </c>
      <c r="G2766" t="s">
        <v>10069</v>
      </c>
      <c r="H2766" s="6">
        <v>44995</v>
      </c>
      <c r="I2766">
        <f t="shared" si="86"/>
        <v>2</v>
      </c>
      <c r="J2766" t="str">
        <f t="shared" si="87"/>
        <v>Complete</v>
      </c>
      <c r="K2766">
        <f>COUNTIFS(RawData[Item], B2766,RawData[Quantity],C2766,RawData[Price Per Unit],D2766,RawData[Total Spent],E2766,RawData[Payment Method],F2766,RawData[Location],G2766,RawData[Transaction Date],H2766)</f>
        <v>1</v>
      </c>
      <c r="L2766"/>
    </row>
    <row r="2767" spans="1:12" x14ac:dyDescent="0.3">
      <c r="A2767" t="s">
        <v>2773</v>
      </c>
      <c r="B2767" t="s">
        <v>10008</v>
      </c>
      <c r="C2767">
        <v>3</v>
      </c>
      <c r="D2767">
        <v>2</v>
      </c>
      <c r="E2767">
        <v>6</v>
      </c>
      <c r="F2767" t="s">
        <v>10018</v>
      </c>
      <c r="G2767" t="s">
        <v>10069</v>
      </c>
      <c r="H2767" s="6">
        <v>45098</v>
      </c>
      <c r="I2767">
        <f t="shared" si="86"/>
        <v>0</v>
      </c>
      <c r="J2767" t="str">
        <f t="shared" si="87"/>
        <v>Complete</v>
      </c>
      <c r="K2767">
        <f>COUNTIFS(RawData[Item], B2767,RawData[Quantity],C2767,RawData[Price Per Unit],D2767,RawData[Total Spent],E2767,RawData[Payment Method],F2767,RawData[Location],G2767,RawData[Transaction Date],H2767)</f>
        <v>1</v>
      </c>
      <c r="L2767"/>
    </row>
    <row r="2768" spans="1:12" x14ac:dyDescent="0.3">
      <c r="A2768" t="s">
        <v>2774</v>
      </c>
      <c r="B2768" t="s">
        <v>10016</v>
      </c>
      <c r="C2768">
        <v>4</v>
      </c>
      <c r="D2768">
        <v>3</v>
      </c>
      <c r="E2768" t="s">
        <v>10013</v>
      </c>
      <c r="F2768" t="s">
        <v>10104</v>
      </c>
      <c r="G2768" t="s">
        <v>10102</v>
      </c>
      <c r="H2768" s="6">
        <v>45109</v>
      </c>
      <c r="I2768">
        <f t="shared" si="86"/>
        <v>2</v>
      </c>
      <c r="J2768" t="str">
        <f t="shared" si="87"/>
        <v>Complete</v>
      </c>
      <c r="K2768">
        <f>COUNTIFS(RawData[Item], B2768,RawData[Quantity],C2768,RawData[Price Per Unit],D2768,RawData[Total Spent],E2768,RawData[Payment Method],F2768,RawData[Location],G2768,RawData[Transaction Date],H2768)</f>
        <v>1</v>
      </c>
      <c r="L2768"/>
    </row>
    <row r="2769" spans="1:12" x14ac:dyDescent="0.3">
      <c r="A2769" t="s">
        <v>2775</v>
      </c>
      <c r="B2769" t="s">
        <v>10014</v>
      </c>
      <c r="C2769">
        <v>3</v>
      </c>
      <c r="D2769">
        <v>4</v>
      </c>
      <c r="E2769">
        <v>12</v>
      </c>
      <c r="F2769" t="s">
        <v>10069</v>
      </c>
      <c r="G2769" t="s">
        <v>10021</v>
      </c>
      <c r="H2769" s="6">
        <v>44995</v>
      </c>
      <c r="I2769">
        <f t="shared" si="86"/>
        <v>0</v>
      </c>
      <c r="J2769" t="str">
        <f t="shared" si="87"/>
        <v>Complete</v>
      </c>
      <c r="K2769">
        <f>COUNTIFS(RawData[Item], B2769,RawData[Quantity],C2769,RawData[Price Per Unit],D2769,RawData[Total Spent],E2769,RawData[Payment Method],F2769,RawData[Location],G2769,RawData[Transaction Date],H2769)</f>
        <v>1</v>
      </c>
      <c r="L2769"/>
    </row>
    <row r="2770" spans="1:12" x14ac:dyDescent="0.3">
      <c r="A2770" t="s">
        <v>2776</v>
      </c>
      <c r="B2770" t="s">
        <v>10014</v>
      </c>
      <c r="C2770">
        <v>2</v>
      </c>
      <c r="D2770">
        <v>4</v>
      </c>
      <c r="E2770">
        <v>8</v>
      </c>
      <c r="F2770" t="s">
        <v>10069</v>
      </c>
      <c r="G2770" t="s">
        <v>10069</v>
      </c>
      <c r="H2770" s="6">
        <v>45057</v>
      </c>
      <c r="I2770">
        <f t="shared" si="86"/>
        <v>0</v>
      </c>
      <c r="J2770" t="str">
        <f t="shared" si="87"/>
        <v>Complete</v>
      </c>
      <c r="K2770">
        <f>COUNTIFS(RawData[Item], B2770,RawData[Quantity],C2770,RawData[Price Per Unit],D2770,RawData[Total Spent],E2770,RawData[Payment Method],F2770,RawData[Location],G2770,RawData[Transaction Date],H2770)</f>
        <v>1</v>
      </c>
      <c r="L2770"/>
    </row>
    <row r="2771" spans="1:12" x14ac:dyDescent="0.3">
      <c r="A2771" t="s">
        <v>2777</v>
      </c>
      <c r="B2771" t="s">
        <v>10008</v>
      </c>
      <c r="C2771">
        <v>5</v>
      </c>
      <c r="D2771">
        <v>2</v>
      </c>
      <c r="E2771">
        <v>10</v>
      </c>
      <c r="F2771" t="s">
        <v>10020</v>
      </c>
      <c r="G2771" t="s">
        <v>10021</v>
      </c>
      <c r="H2771" s="6">
        <v>45100</v>
      </c>
      <c r="I2771">
        <f t="shared" si="86"/>
        <v>0</v>
      </c>
      <c r="J2771" t="str">
        <f t="shared" si="87"/>
        <v>Complete</v>
      </c>
      <c r="K2771">
        <f>COUNTIFS(RawData[Item], B2771,RawData[Quantity],C2771,RawData[Price Per Unit],D2771,RawData[Total Spent],E2771,RawData[Payment Method],F2771,RawData[Location],G2771,RawData[Transaction Date],H2771)</f>
        <v>1</v>
      </c>
      <c r="L2771"/>
    </row>
    <row r="2772" spans="1:12" x14ac:dyDescent="0.3">
      <c r="A2772" t="s">
        <v>2778</v>
      </c>
      <c r="B2772" t="s">
        <v>10014</v>
      </c>
      <c r="C2772">
        <v>3</v>
      </c>
      <c r="D2772">
        <v>4</v>
      </c>
      <c r="E2772">
        <v>12</v>
      </c>
      <c r="F2772" t="s">
        <v>10020</v>
      </c>
      <c r="G2772" t="s">
        <v>10102</v>
      </c>
      <c r="H2772" s="6">
        <v>44943</v>
      </c>
      <c r="I2772">
        <f t="shared" si="86"/>
        <v>0</v>
      </c>
      <c r="J2772" t="str">
        <f t="shared" si="87"/>
        <v>Complete</v>
      </c>
      <c r="K2772">
        <f>COUNTIFS(RawData[Item], B2772,RawData[Quantity],C2772,RawData[Price Per Unit],D2772,RawData[Total Spent],E2772,RawData[Payment Method],F2772,RawData[Location],G2772,RawData[Transaction Date],H2772)</f>
        <v>1</v>
      </c>
      <c r="L2772"/>
    </row>
    <row r="2773" spans="1:12" x14ac:dyDescent="0.3">
      <c r="A2773" t="s">
        <v>2779</v>
      </c>
      <c r="B2773" t="s">
        <v>10011</v>
      </c>
      <c r="C2773">
        <v>3</v>
      </c>
      <c r="D2773">
        <v>5</v>
      </c>
      <c r="E2773">
        <v>15</v>
      </c>
      <c r="F2773" t="s">
        <v>10020</v>
      </c>
      <c r="G2773" t="s">
        <v>10102</v>
      </c>
      <c r="H2773" s="6">
        <v>45130</v>
      </c>
      <c r="I2773">
        <f t="shared" si="86"/>
        <v>0</v>
      </c>
      <c r="J2773" t="str">
        <f t="shared" si="87"/>
        <v>Complete</v>
      </c>
      <c r="K2773">
        <f>COUNTIFS(RawData[Item], B2773,RawData[Quantity],C2773,RawData[Price Per Unit],D2773,RawData[Total Spent],E2773,RawData[Payment Method],F2773,RawData[Location],G2773,RawData[Transaction Date],H2773)</f>
        <v>1</v>
      </c>
      <c r="L2773"/>
    </row>
    <row r="2774" spans="1:12" x14ac:dyDescent="0.3">
      <c r="A2774" t="s">
        <v>2780</v>
      </c>
      <c r="B2774" t="s">
        <v>10012</v>
      </c>
      <c r="C2774">
        <v>4</v>
      </c>
      <c r="D2774">
        <v>4</v>
      </c>
      <c r="E2774">
        <v>16</v>
      </c>
      <c r="F2774" t="s">
        <v>10018</v>
      </c>
      <c r="G2774" t="s">
        <v>10069</v>
      </c>
      <c r="H2774" s="6">
        <v>45083</v>
      </c>
      <c r="I2774">
        <f t="shared" si="86"/>
        <v>0</v>
      </c>
      <c r="J2774" t="str">
        <f t="shared" si="87"/>
        <v>Complete</v>
      </c>
      <c r="K2774">
        <f>COUNTIFS(RawData[Item], B2774,RawData[Quantity],C2774,RawData[Price Per Unit],D2774,RawData[Total Spent],E2774,RawData[Payment Method],F2774,RawData[Location],G2774,RawData[Transaction Date],H2774)</f>
        <v>1</v>
      </c>
      <c r="L2774"/>
    </row>
    <row r="2775" spans="1:12" x14ac:dyDescent="0.3">
      <c r="A2775" t="s">
        <v>2781</v>
      </c>
      <c r="B2775" t="s">
        <v>10014</v>
      </c>
      <c r="C2775">
        <v>2</v>
      </c>
      <c r="D2775">
        <v>4</v>
      </c>
      <c r="E2775">
        <v>8</v>
      </c>
      <c r="F2775" t="s">
        <v>10020</v>
      </c>
      <c r="G2775" t="s">
        <v>10102</v>
      </c>
      <c r="H2775" s="6">
        <v>45057</v>
      </c>
      <c r="I2775">
        <f t="shared" si="86"/>
        <v>0</v>
      </c>
      <c r="J2775" t="str">
        <f t="shared" si="87"/>
        <v>Complete</v>
      </c>
      <c r="K2775">
        <f>COUNTIFS(RawData[Item], B2775,RawData[Quantity],C2775,RawData[Price Per Unit],D2775,RawData[Total Spent],E2775,RawData[Payment Method],F2775,RawData[Location],G2775,RawData[Transaction Date],H2775)</f>
        <v>1</v>
      </c>
      <c r="L2775"/>
    </row>
    <row r="2776" spans="1:12" x14ac:dyDescent="0.3">
      <c r="A2776" t="s">
        <v>2782</v>
      </c>
      <c r="B2776" t="s">
        <v>10010</v>
      </c>
      <c r="C2776">
        <v>3</v>
      </c>
      <c r="D2776">
        <v>1</v>
      </c>
      <c r="E2776">
        <v>3</v>
      </c>
      <c r="F2776" t="s">
        <v>10069</v>
      </c>
      <c r="G2776" t="s">
        <v>10021</v>
      </c>
      <c r="H2776" s="6">
        <v>45016</v>
      </c>
      <c r="I2776">
        <f t="shared" si="86"/>
        <v>0</v>
      </c>
      <c r="J2776" t="str">
        <f t="shared" si="87"/>
        <v>Complete</v>
      </c>
      <c r="K2776">
        <f>COUNTIFS(RawData[Item], B2776,RawData[Quantity],C2776,RawData[Price Per Unit],D2776,RawData[Total Spent],E2776,RawData[Payment Method],F2776,RawData[Location],G2776,RawData[Transaction Date],H2776)</f>
        <v>1</v>
      </c>
      <c r="L2776"/>
    </row>
    <row r="2777" spans="1:12" x14ac:dyDescent="0.3">
      <c r="A2777" t="s">
        <v>2783</v>
      </c>
      <c r="B2777" t="s">
        <v>10011</v>
      </c>
      <c r="C2777">
        <v>3</v>
      </c>
      <c r="D2777">
        <v>5</v>
      </c>
      <c r="E2777">
        <v>15</v>
      </c>
      <c r="F2777" t="s">
        <v>10018</v>
      </c>
      <c r="G2777" t="s">
        <v>10102</v>
      </c>
      <c r="H2777" s="6">
        <v>45219</v>
      </c>
      <c r="I2777">
        <f t="shared" si="86"/>
        <v>0</v>
      </c>
      <c r="J2777" t="str">
        <f t="shared" si="87"/>
        <v>Complete</v>
      </c>
      <c r="K2777">
        <f>COUNTIFS(RawData[Item], B2777,RawData[Quantity],C2777,RawData[Price Per Unit],D2777,RawData[Total Spent],E2777,RawData[Payment Method],F2777,RawData[Location],G2777,RawData[Transaction Date],H2777)</f>
        <v>1</v>
      </c>
      <c r="L2777"/>
    </row>
    <row r="2778" spans="1:12" x14ac:dyDescent="0.3">
      <c r="A2778" t="s">
        <v>2784</v>
      </c>
      <c r="B2778" t="s">
        <v>10011</v>
      </c>
      <c r="C2778">
        <v>1</v>
      </c>
      <c r="D2778">
        <v>5</v>
      </c>
      <c r="E2778">
        <v>5</v>
      </c>
      <c r="F2778" t="s">
        <v>10020</v>
      </c>
      <c r="G2778" t="s">
        <v>10069</v>
      </c>
      <c r="H2778" s="6">
        <v>45156</v>
      </c>
      <c r="I2778">
        <f t="shared" si="86"/>
        <v>0</v>
      </c>
      <c r="J2778" t="str">
        <f t="shared" si="87"/>
        <v>Complete</v>
      </c>
      <c r="K2778">
        <f>COUNTIFS(RawData[Item], B2778,RawData[Quantity],C2778,RawData[Price Per Unit],D2778,RawData[Total Spent],E2778,RawData[Payment Method],F2778,RawData[Location],G2778,RawData[Transaction Date],H2778)</f>
        <v>1</v>
      </c>
      <c r="L2778"/>
    </row>
    <row r="2779" spans="1:12" x14ac:dyDescent="0.3">
      <c r="A2779" t="s">
        <v>2785</v>
      </c>
      <c r="B2779" t="s">
        <v>10012</v>
      </c>
      <c r="C2779">
        <v>2</v>
      </c>
      <c r="D2779">
        <v>4</v>
      </c>
      <c r="E2779">
        <v>8</v>
      </c>
      <c r="F2779" t="s">
        <v>10019</v>
      </c>
      <c r="G2779" t="s">
        <v>10102</v>
      </c>
      <c r="H2779" s="6">
        <v>44942</v>
      </c>
      <c r="I2779">
        <f t="shared" si="86"/>
        <v>0</v>
      </c>
      <c r="J2779" t="str">
        <f t="shared" si="87"/>
        <v>Complete</v>
      </c>
      <c r="K2779">
        <f>COUNTIFS(RawData[Item], B2779,RawData[Quantity],C2779,RawData[Price Per Unit],D2779,RawData[Total Spent],E2779,RawData[Payment Method],F2779,RawData[Location],G2779,RawData[Transaction Date],H2779)</f>
        <v>1</v>
      </c>
      <c r="L2779"/>
    </row>
    <row r="2780" spans="1:12" x14ac:dyDescent="0.3">
      <c r="A2780" t="s">
        <v>2786</v>
      </c>
      <c r="B2780" t="s">
        <v>10017</v>
      </c>
      <c r="C2780">
        <v>5</v>
      </c>
      <c r="D2780">
        <v>1.5</v>
      </c>
      <c r="E2780">
        <v>7.5</v>
      </c>
      <c r="F2780" t="s">
        <v>10020</v>
      </c>
      <c r="G2780" t="s">
        <v>10021</v>
      </c>
      <c r="H2780" s="6">
        <v>45248</v>
      </c>
      <c r="I2780">
        <f t="shared" si="86"/>
        <v>0</v>
      </c>
      <c r="J2780" t="str">
        <f t="shared" si="87"/>
        <v>Complete</v>
      </c>
      <c r="K2780">
        <f>COUNTIFS(RawData[Item], B2780,RawData[Quantity],C2780,RawData[Price Per Unit],D2780,RawData[Total Spent],E2780,RawData[Payment Method],F2780,RawData[Location],G2780,RawData[Transaction Date],H2780)</f>
        <v>1</v>
      </c>
      <c r="L2780"/>
    </row>
    <row r="2781" spans="1:12" x14ac:dyDescent="0.3">
      <c r="A2781" t="s">
        <v>2787</v>
      </c>
      <c r="B2781" t="s">
        <v>10017</v>
      </c>
      <c r="C2781">
        <v>5</v>
      </c>
      <c r="D2781">
        <v>1.5</v>
      </c>
      <c r="E2781">
        <v>7.5</v>
      </c>
      <c r="F2781" t="s">
        <v>10019</v>
      </c>
      <c r="G2781" t="s">
        <v>10102</v>
      </c>
      <c r="H2781" s="6">
        <v>45241</v>
      </c>
      <c r="I2781">
        <f t="shared" si="86"/>
        <v>0</v>
      </c>
      <c r="J2781" t="str">
        <f t="shared" si="87"/>
        <v>Complete</v>
      </c>
      <c r="K2781">
        <f>COUNTIFS(RawData[Item], B2781,RawData[Quantity],C2781,RawData[Price Per Unit],D2781,RawData[Total Spent],E2781,RawData[Payment Method],F2781,RawData[Location],G2781,RawData[Transaction Date],H2781)</f>
        <v>1</v>
      </c>
      <c r="L2781"/>
    </row>
    <row r="2782" spans="1:12" x14ac:dyDescent="0.3">
      <c r="A2782" t="s">
        <v>2788</v>
      </c>
      <c r="B2782" t="s">
        <v>10012</v>
      </c>
      <c r="C2782">
        <v>2</v>
      </c>
      <c r="D2782">
        <v>4</v>
      </c>
      <c r="E2782">
        <v>8</v>
      </c>
      <c r="F2782" t="s">
        <v>10104</v>
      </c>
      <c r="G2782" t="s">
        <v>10102</v>
      </c>
      <c r="H2782" s="6">
        <v>45218</v>
      </c>
      <c r="I2782">
        <f t="shared" si="86"/>
        <v>1</v>
      </c>
      <c r="J2782" t="str">
        <f t="shared" si="87"/>
        <v>Complete</v>
      </c>
      <c r="K2782">
        <f>COUNTIFS(RawData[Item], B2782,RawData[Quantity],C2782,RawData[Price Per Unit],D2782,RawData[Total Spent],E2782,RawData[Payment Method],F2782,RawData[Location],G2782,RawData[Transaction Date],H2782)</f>
        <v>1</v>
      </c>
      <c r="L2782"/>
    </row>
    <row r="2783" spans="1:12" x14ac:dyDescent="0.3">
      <c r="A2783" t="s">
        <v>2789</v>
      </c>
      <c r="B2783" t="s">
        <v>10008</v>
      </c>
      <c r="C2783">
        <v>2</v>
      </c>
      <c r="D2783">
        <v>2</v>
      </c>
      <c r="E2783">
        <v>4</v>
      </c>
      <c r="F2783" t="s">
        <v>10069</v>
      </c>
      <c r="G2783" t="s">
        <v>10021</v>
      </c>
      <c r="H2783" s="6">
        <v>45067</v>
      </c>
      <c r="I2783">
        <f t="shared" si="86"/>
        <v>0</v>
      </c>
      <c r="J2783" t="str">
        <f t="shared" si="87"/>
        <v>Complete</v>
      </c>
      <c r="K2783">
        <f>COUNTIFS(RawData[Item], B2783,RawData[Quantity],C2783,RawData[Price Per Unit],D2783,RawData[Total Spent],E2783,RawData[Payment Method],F2783,RawData[Location],G2783,RawData[Transaction Date],H2783)</f>
        <v>1</v>
      </c>
      <c r="L2783"/>
    </row>
    <row r="2784" spans="1:12" x14ac:dyDescent="0.3">
      <c r="A2784" t="s">
        <v>2790</v>
      </c>
      <c r="B2784" t="s">
        <v>10014</v>
      </c>
      <c r="C2784">
        <v>4</v>
      </c>
      <c r="D2784">
        <v>4</v>
      </c>
      <c r="E2784">
        <v>16</v>
      </c>
      <c r="F2784" t="s">
        <v>10019</v>
      </c>
      <c r="G2784" t="s">
        <v>10102</v>
      </c>
      <c r="H2784" s="6">
        <v>45189</v>
      </c>
      <c r="I2784">
        <f t="shared" si="86"/>
        <v>0</v>
      </c>
      <c r="J2784" t="str">
        <f t="shared" si="87"/>
        <v>Complete</v>
      </c>
      <c r="K2784">
        <f>COUNTIFS(RawData[Item], B2784,RawData[Quantity],C2784,RawData[Price Per Unit],D2784,RawData[Total Spent],E2784,RawData[Payment Method],F2784,RawData[Location],G2784,RawData[Transaction Date],H2784)</f>
        <v>1</v>
      </c>
      <c r="L2784"/>
    </row>
    <row r="2785" spans="1:12" x14ac:dyDescent="0.3">
      <c r="A2785" t="s">
        <v>2791</v>
      </c>
      <c r="B2785" t="s">
        <v>10011</v>
      </c>
      <c r="C2785">
        <v>3</v>
      </c>
      <c r="D2785">
        <v>5</v>
      </c>
      <c r="E2785">
        <v>15</v>
      </c>
      <c r="F2785" t="s">
        <v>10018</v>
      </c>
      <c r="G2785" t="s">
        <v>10102</v>
      </c>
      <c r="H2785" s="6">
        <v>45200</v>
      </c>
      <c r="I2785">
        <f t="shared" si="86"/>
        <v>0</v>
      </c>
      <c r="J2785" t="str">
        <f t="shared" si="87"/>
        <v>Complete</v>
      </c>
      <c r="K2785">
        <f>COUNTIFS(RawData[Item], B2785,RawData[Quantity],C2785,RawData[Price Per Unit],D2785,RawData[Total Spent],E2785,RawData[Payment Method],F2785,RawData[Location],G2785,RawData[Transaction Date],H2785)</f>
        <v>1</v>
      </c>
      <c r="L2785"/>
    </row>
    <row r="2786" spans="1:12" x14ac:dyDescent="0.3">
      <c r="A2786" t="s">
        <v>2792</v>
      </c>
      <c r="B2786" t="s">
        <v>10014</v>
      </c>
      <c r="C2786">
        <v>2</v>
      </c>
      <c r="D2786">
        <v>4</v>
      </c>
      <c r="E2786">
        <v>8</v>
      </c>
      <c r="F2786" t="s">
        <v>10069</v>
      </c>
      <c r="G2786" t="s">
        <v>10102</v>
      </c>
      <c r="H2786" s="6">
        <v>45041</v>
      </c>
      <c r="I2786">
        <f t="shared" si="86"/>
        <v>0</v>
      </c>
      <c r="J2786" t="str">
        <f t="shared" si="87"/>
        <v>Complete</v>
      </c>
      <c r="K2786">
        <f>COUNTIFS(RawData[Item], B2786,RawData[Quantity],C2786,RawData[Price Per Unit],D2786,RawData[Total Spent],E2786,RawData[Payment Method],F2786,RawData[Location],G2786,RawData[Transaction Date],H2786)</f>
        <v>1</v>
      </c>
      <c r="L2786"/>
    </row>
    <row r="2787" spans="1:12" x14ac:dyDescent="0.3">
      <c r="A2787" t="s">
        <v>2793</v>
      </c>
      <c r="B2787" t="s">
        <v>10012</v>
      </c>
      <c r="C2787">
        <v>2</v>
      </c>
      <c r="D2787">
        <v>4</v>
      </c>
      <c r="E2787">
        <v>8</v>
      </c>
      <c r="F2787" t="s">
        <v>10020</v>
      </c>
      <c r="G2787" t="s">
        <v>10021</v>
      </c>
      <c r="H2787" s="6">
        <v>45201</v>
      </c>
      <c r="I2787">
        <f t="shared" si="86"/>
        <v>0</v>
      </c>
      <c r="J2787" t="str">
        <f t="shared" si="87"/>
        <v>Complete</v>
      </c>
      <c r="K2787">
        <f>COUNTIFS(RawData[Item], B2787,RawData[Quantity],C2787,RawData[Price Per Unit],D2787,RawData[Total Spent],E2787,RawData[Payment Method],F2787,RawData[Location],G2787,RawData[Transaction Date],H2787)</f>
        <v>1</v>
      </c>
      <c r="L2787"/>
    </row>
    <row r="2788" spans="1:12" x14ac:dyDescent="0.3">
      <c r="A2788" t="s">
        <v>2794</v>
      </c>
      <c r="B2788" t="s">
        <v>10016</v>
      </c>
      <c r="C2788">
        <v>4</v>
      </c>
      <c r="D2788">
        <v>3</v>
      </c>
      <c r="E2788">
        <v>12</v>
      </c>
      <c r="F2788" t="s">
        <v>10018</v>
      </c>
      <c r="G2788" t="s">
        <v>10069</v>
      </c>
      <c r="H2788" s="6">
        <v>44984</v>
      </c>
      <c r="I2788">
        <f t="shared" si="86"/>
        <v>0</v>
      </c>
      <c r="J2788" t="str">
        <f t="shared" si="87"/>
        <v>Complete</v>
      </c>
      <c r="K2788">
        <f>COUNTIFS(RawData[Item], B2788,RawData[Quantity],C2788,RawData[Price Per Unit],D2788,RawData[Total Spent],E2788,RawData[Payment Method],F2788,RawData[Location],G2788,RawData[Transaction Date],H2788)</f>
        <v>1</v>
      </c>
      <c r="L2788"/>
    </row>
    <row r="2789" spans="1:12" x14ac:dyDescent="0.3">
      <c r="A2789" t="s">
        <v>2795</v>
      </c>
      <c r="B2789" t="s">
        <v>10013</v>
      </c>
      <c r="C2789">
        <v>3</v>
      </c>
      <c r="D2789">
        <v>4</v>
      </c>
      <c r="E2789" t="s">
        <v>10015</v>
      </c>
      <c r="F2789" t="s">
        <v>10069</v>
      </c>
      <c r="G2789" t="s">
        <v>10102</v>
      </c>
      <c r="H2789" s="6">
        <v>45291</v>
      </c>
      <c r="I2789">
        <f t="shared" si="86"/>
        <v>2</v>
      </c>
      <c r="J2789" t="str">
        <f t="shared" si="87"/>
        <v>Complete</v>
      </c>
      <c r="K2789">
        <f>COUNTIFS(RawData[Item], B2789,RawData[Quantity],C2789,RawData[Price Per Unit],D2789,RawData[Total Spent],E2789,RawData[Payment Method],F2789,RawData[Location],G2789,RawData[Transaction Date],H2789)</f>
        <v>1</v>
      </c>
      <c r="L2789"/>
    </row>
    <row r="2790" spans="1:12" x14ac:dyDescent="0.3">
      <c r="A2790" t="s">
        <v>2796</v>
      </c>
      <c r="B2790" t="s">
        <v>10016</v>
      </c>
      <c r="C2790">
        <v>3</v>
      </c>
      <c r="D2790">
        <v>3</v>
      </c>
      <c r="E2790">
        <v>9</v>
      </c>
      <c r="F2790" t="s">
        <v>10069</v>
      </c>
      <c r="G2790" t="s">
        <v>10021</v>
      </c>
      <c r="H2790" s="6">
        <v>45076</v>
      </c>
      <c r="I2790">
        <f t="shared" si="86"/>
        <v>0</v>
      </c>
      <c r="J2790" t="str">
        <f t="shared" si="87"/>
        <v>Complete</v>
      </c>
      <c r="K2790">
        <f>COUNTIFS(RawData[Item], B2790,RawData[Quantity],C2790,RawData[Price Per Unit],D2790,RawData[Total Spent],E2790,RawData[Payment Method],F2790,RawData[Location],G2790,RawData[Transaction Date],H2790)</f>
        <v>1</v>
      </c>
      <c r="L2790"/>
    </row>
    <row r="2791" spans="1:12" x14ac:dyDescent="0.3">
      <c r="A2791" t="s">
        <v>2797</v>
      </c>
      <c r="B2791" t="s">
        <v>10017</v>
      </c>
      <c r="C2791">
        <v>5</v>
      </c>
      <c r="D2791">
        <v>1.5</v>
      </c>
      <c r="E2791">
        <v>7.5</v>
      </c>
      <c r="F2791" t="s">
        <v>10069</v>
      </c>
      <c r="G2791" t="s">
        <v>10021</v>
      </c>
      <c r="H2791" s="6">
        <v>44943</v>
      </c>
      <c r="I2791">
        <f t="shared" si="86"/>
        <v>0</v>
      </c>
      <c r="J2791" t="str">
        <f t="shared" si="87"/>
        <v>Complete</v>
      </c>
      <c r="K2791">
        <f>COUNTIFS(RawData[Item], B2791,RawData[Quantity],C2791,RawData[Price Per Unit],D2791,RawData[Total Spent],E2791,RawData[Payment Method],F2791,RawData[Location],G2791,RawData[Transaction Date],H2791)</f>
        <v>1</v>
      </c>
      <c r="L2791"/>
    </row>
    <row r="2792" spans="1:12" x14ac:dyDescent="0.3">
      <c r="A2792" t="s">
        <v>2798</v>
      </c>
      <c r="B2792" t="s">
        <v>10010</v>
      </c>
      <c r="C2792">
        <v>5</v>
      </c>
      <c r="D2792">
        <v>1</v>
      </c>
      <c r="E2792">
        <v>5</v>
      </c>
      <c r="F2792" t="s">
        <v>10069</v>
      </c>
      <c r="G2792" t="s">
        <v>10021</v>
      </c>
      <c r="H2792" s="6">
        <v>45169</v>
      </c>
      <c r="I2792">
        <f t="shared" si="86"/>
        <v>0</v>
      </c>
      <c r="J2792" t="str">
        <f t="shared" si="87"/>
        <v>Complete</v>
      </c>
      <c r="K2792">
        <f>COUNTIFS(RawData[Item], B2792,RawData[Quantity],C2792,RawData[Price Per Unit],D2792,RawData[Total Spent],E2792,RawData[Payment Method],F2792,RawData[Location],G2792,RawData[Transaction Date],H2792)</f>
        <v>1</v>
      </c>
      <c r="L2792"/>
    </row>
    <row r="2793" spans="1:12" x14ac:dyDescent="0.3">
      <c r="A2793" t="s">
        <v>2799</v>
      </c>
      <c r="B2793" t="s">
        <v>10012</v>
      </c>
      <c r="C2793">
        <v>4</v>
      </c>
      <c r="D2793">
        <v>4</v>
      </c>
      <c r="E2793">
        <v>16</v>
      </c>
      <c r="F2793" t="s">
        <v>10018</v>
      </c>
      <c r="G2793" t="s">
        <v>10069</v>
      </c>
      <c r="H2793" s="6" t="s">
        <v>10112</v>
      </c>
      <c r="I2793">
        <f t="shared" si="86"/>
        <v>1</v>
      </c>
      <c r="J2793" t="str">
        <f t="shared" si="87"/>
        <v>Incomplete</v>
      </c>
      <c r="K2793">
        <f>COUNTIFS(RawData[Item], B2793,RawData[Quantity],C2793,RawData[Price Per Unit],D2793,RawData[Total Spent],E2793,RawData[Payment Method],F2793,RawData[Location],G2793,RawData[Transaction Date],H2793)</f>
        <v>3</v>
      </c>
      <c r="L2793"/>
    </row>
    <row r="2794" spans="1:12" x14ac:dyDescent="0.3">
      <c r="A2794" t="s">
        <v>2800</v>
      </c>
      <c r="B2794" t="s">
        <v>10012</v>
      </c>
      <c r="C2794">
        <v>5</v>
      </c>
      <c r="D2794">
        <v>4</v>
      </c>
      <c r="E2794">
        <v>20</v>
      </c>
      <c r="F2794" t="s">
        <v>10020</v>
      </c>
      <c r="G2794" t="s">
        <v>10102</v>
      </c>
      <c r="H2794" s="6">
        <v>45066</v>
      </c>
      <c r="I2794">
        <f t="shared" si="86"/>
        <v>0</v>
      </c>
      <c r="J2794" t="str">
        <f t="shared" si="87"/>
        <v>Complete</v>
      </c>
      <c r="K2794">
        <f>COUNTIFS(RawData[Item], B2794,RawData[Quantity],C2794,RawData[Price Per Unit],D2794,RawData[Total Spent],E2794,RawData[Payment Method],F2794,RawData[Location],G2794,RawData[Transaction Date],H2794)</f>
        <v>1</v>
      </c>
      <c r="L2794"/>
    </row>
    <row r="2795" spans="1:12" x14ac:dyDescent="0.3">
      <c r="A2795" t="s">
        <v>2801</v>
      </c>
      <c r="B2795" t="s">
        <v>10009</v>
      </c>
      <c r="C2795">
        <v>2</v>
      </c>
      <c r="D2795">
        <v>3</v>
      </c>
      <c r="E2795">
        <v>6</v>
      </c>
      <c r="F2795" t="s">
        <v>10104</v>
      </c>
      <c r="G2795" t="s">
        <v>10102</v>
      </c>
      <c r="H2795" s="6">
        <v>45274</v>
      </c>
      <c r="I2795">
        <f t="shared" si="86"/>
        <v>1</v>
      </c>
      <c r="J2795" t="str">
        <f t="shared" si="87"/>
        <v>Complete</v>
      </c>
      <c r="K2795">
        <f>COUNTIFS(RawData[Item], B2795,RawData[Quantity],C2795,RawData[Price Per Unit],D2795,RawData[Total Spent],E2795,RawData[Payment Method],F2795,RawData[Location],G2795,RawData[Transaction Date],H2795)</f>
        <v>1</v>
      </c>
      <c r="L2795"/>
    </row>
    <row r="2796" spans="1:12" x14ac:dyDescent="0.3">
      <c r="A2796" t="s">
        <v>2802</v>
      </c>
      <c r="B2796" t="s">
        <v>10008</v>
      </c>
      <c r="C2796">
        <v>3</v>
      </c>
      <c r="D2796">
        <v>2</v>
      </c>
      <c r="E2796">
        <v>6</v>
      </c>
      <c r="F2796" t="s">
        <v>10019</v>
      </c>
      <c r="G2796" t="s">
        <v>10102</v>
      </c>
      <c r="H2796" s="6">
        <v>45006</v>
      </c>
      <c r="I2796">
        <f t="shared" si="86"/>
        <v>0</v>
      </c>
      <c r="J2796" t="str">
        <f t="shared" si="87"/>
        <v>Complete</v>
      </c>
      <c r="K2796">
        <f>COUNTIFS(RawData[Item], B2796,RawData[Quantity],C2796,RawData[Price Per Unit],D2796,RawData[Total Spent],E2796,RawData[Payment Method],F2796,RawData[Location],G2796,RawData[Transaction Date],H2796)</f>
        <v>1</v>
      </c>
      <c r="L2796"/>
    </row>
    <row r="2797" spans="1:12" x14ac:dyDescent="0.3">
      <c r="A2797" t="s">
        <v>2803</v>
      </c>
      <c r="B2797" t="s">
        <v>10011</v>
      </c>
      <c r="C2797">
        <v>4</v>
      </c>
      <c r="D2797">
        <v>5</v>
      </c>
      <c r="E2797">
        <v>20</v>
      </c>
      <c r="F2797" t="s">
        <v>10018</v>
      </c>
      <c r="G2797" t="s">
        <v>10069</v>
      </c>
      <c r="H2797" s="6">
        <v>45287</v>
      </c>
      <c r="I2797">
        <f t="shared" si="86"/>
        <v>0</v>
      </c>
      <c r="J2797" t="str">
        <f t="shared" si="87"/>
        <v>Complete</v>
      </c>
      <c r="K2797">
        <f>COUNTIFS(RawData[Item], B2797,RawData[Quantity],C2797,RawData[Price Per Unit],D2797,RawData[Total Spent],E2797,RawData[Payment Method],F2797,RawData[Location],G2797,RawData[Transaction Date],H2797)</f>
        <v>1</v>
      </c>
      <c r="L2797"/>
    </row>
    <row r="2798" spans="1:12" x14ac:dyDescent="0.3">
      <c r="A2798" t="s">
        <v>2804</v>
      </c>
      <c r="B2798" t="s">
        <v>10009</v>
      </c>
      <c r="C2798" t="s">
        <v>10015</v>
      </c>
      <c r="D2798">
        <v>3</v>
      </c>
      <c r="E2798" t="s">
        <v>10013</v>
      </c>
      <c r="F2798" t="s">
        <v>10018</v>
      </c>
      <c r="G2798" t="s">
        <v>10069</v>
      </c>
      <c r="H2798" s="6">
        <v>45261</v>
      </c>
      <c r="I2798">
        <f t="shared" si="86"/>
        <v>2</v>
      </c>
      <c r="J2798" t="str">
        <f t="shared" si="87"/>
        <v>Complete</v>
      </c>
      <c r="K2798">
        <f>COUNTIFS(RawData[Item], B2798,RawData[Quantity],C2798,RawData[Price Per Unit],D2798,RawData[Total Spent],E2798,RawData[Payment Method],F2798,RawData[Location],G2798,RawData[Transaction Date],H2798)</f>
        <v>1</v>
      </c>
      <c r="L2798"/>
    </row>
    <row r="2799" spans="1:12" x14ac:dyDescent="0.3">
      <c r="A2799" t="s">
        <v>2805</v>
      </c>
      <c r="B2799" t="s">
        <v>10017</v>
      </c>
      <c r="C2799">
        <v>1</v>
      </c>
      <c r="D2799">
        <v>1.5</v>
      </c>
      <c r="E2799">
        <v>1.5</v>
      </c>
      <c r="F2799" t="s">
        <v>10020</v>
      </c>
      <c r="G2799" t="s">
        <v>10021</v>
      </c>
      <c r="H2799" s="6">
        <v>45204</v>
      </c>
      <c r="I2799">
        <f t="shared" si="86"/>
        <v>0</v>
      </c>
      <c r="J2799" t="str">
        <f t="shared" si="87"/>
        <v>Complete</v>
      </c>
      <c r="K2799">
        <f>COUNTIFS(RawData[Item], B2799,RawData[Quantity],C2799,RawData[Price Per Unit],D2799,RawData[Total Spent],E2799,RawData[Payment Method],F2799,RawData[Location],G2799,RawData[Transaction Date],H2799)</f>
        <v>1</v>
      </c>
      <c r="L2799"/>
    </row>
    <row r="2800" spans="1:12" x14ac:dyDescent="0.3">
      <c r="A2800" t="s">
        <v>2806</v>
      </c>
      <c r="B2800" t="s">
        <v>10011</v>
      </c>
      <c r="C2800">
        <v>3</v>
      </c>
      <c r="D2800">
        <v>5</v>
      </c>
      <c r="E2800">
        <v>15</v>
      </c>
      <c r="F2800" t="s">
        <v>10019</v>
      </c>
      <c r="G2800" t="s">
        <v>10102</v>
      </c>
      <c r="H2800" s="6">
        <v>45113</v>
      </c>
      <c r="I2800">
        <f t="shared" si="86"/>
        <v>0</v>
      </c>
      <c r="J2800" t="str">
        <f t="shared" si="87"/>
        <v>Complete</v>
      </c>
      <c r="K2800">
        <f>COUNTIFS(RawData[Item], B2800,RawData[Quantity],C2800,RawData[Price Per Unit],D2800,RawData[Total Spent],E2800,RawData[Payment Method],F2800,RawData[Location],G2800,RawData[Transaction Date],H2800)</f>
        <v>1</v>
      </c>
      <c r="L2800"/>
    </row>
    <row r="2801" spans="1:12" x14ac:dyDescent="0.3">
      <c r="A2801" t="s">
        <v>2807</v>
      </c>
      <c r="B2801" t="s">
        <v>10010</v>
      </c>
      <c r="C2801">
        <v>1</v>
      </c>
      <c r="D2801">
        <v>1</v>
      </c>
      <c r="E2801">
        <v>1</v>
      </c>
      <c r="F2801" t="s">
        <v>10019</v>
      </c>
      <c r="G2801" t="s">
        <v>10069</v>
      </c>
      <c r="H2801" s="6">
        <v>45086</v>
      </c>
      <c r="I2801">
        <f t="shared" si="86"/>
        <v>0</v>
      </c>
      <c r="J2801" t="str">
        <f t="shared" si="87"/>
        <v>Complete</v>
      </c>
      <c r="K2801">
        <f>COUNTIFS(RawData[Item], B2801,RawData[Quantity],C2801,RawData[Price Per Unit],D2801,RawData[Total Spent],E2801,RawData[Payment Method],F2801,RawData[Location],G2801,RawData[Transaction Date],H2801)</f>
        <v>1</v>
      </c>
      <c r="L2801"/>
    </row>
    <row r="2802" spans="1:12" x14ac:dyDescent="0.3">
      <c r="A2802" t="s">
        <v>2808</v>
      </c>
      <c r="B2802" t="s">
        <v>10008</v>
      </c>
      <c r="C2802">
        <v>1</v>
      </c>
      <c r="D2802">
        <v>2</v>
      </c>
      <c r="E2802">
        <v>2</v>
      </c>
      <c r="F2802" t="s">
        <v>10018</v>
      </c>
      <c r="G2802" t="s">
        <v>10021</v>
      </c>
      <c r="H2802" s="6">
        <v>45015</v>
      </c>
      <c r="I2802">
        <f t="shared" si="86"/>
        <v>0</v>
      </c>
      <c r="J2802" t="str">
        <f t="shared" si="87"/>
        <v>Complete</v>
      </c>
      <c r="K2802">
        <f>COUNTIFS(RawData[Item], B2802,RawData[Quantity],C2802,RawData[Price Per Unit],D2802,RawData[Total Spent],E2802,RawData[Payment Method],F2802,RawData[Location],G2802,RawData[Transaction Date],H2802)</f>
        <v>1</v>
      </c>
      <c r="L2802"/>
    </row>
    <row r="2803" spans="1:12" x14ac:dyDescent="0.3">
      <c r="A2803" t="s">
        <v>2809</v>
      </c>
      <c r="B2803" t="s">
        <v>10008</v>
      </c>
      <c r="C2803">
        <v>1</v>
      </c>
      <c r="D2803">
        <v>2</v>
      </c>
      <c r="E2803">
        <v>2</v>
      </c>
      <c r="F2803" t="s">
        <v>10020</v>
      </c>
      <c r="G2803" t="s">
        <v>10021</v>
      </c>
      <c r="H2803" s="6">
        <v>45177</v>
      </c>
      <c r="I2803">
        <f t="shared" si="86"/>
        <v>0</v>
      </c>
      <c r="J2803" t="str">
        <f t="shared" si="87"/>
        <v>Complete</v>
      </c>
      <c r="K2803">
        <f>COUNTIFS(RawData[Item], B2803,RawData[Quantity],C2803,RawData[Price Per Unit],D2803,RawData[Total Spent],E2803,RawData[Payment Method],F2803,RawData[Location],G2803,RawData[Transaction Date],H2803)</f>
        <v>1</v>
      </c>
      <c r="L2803"/>
    </row>
    <row r="2804" spans="1:12" x14ac:dyDescent="0.3">
      <c r="A2804" t="s">
        <v>2810</v>
      </c>
      <c r="B2804" t="s">
        <v>10015</v>
      </c>
      <c r="C2804">
        <v>3</v>
      </c>
      <c r="D2804">
        <v>4</v>
      </c>
      <c r="E2804" t="s">
        <v>10015</v>
      </c>
      <c r="F2804" t="s">
        <v>10018</v>
      </c>
      <c r="G2804" t="s">
        <v>10069</v>
      </c>
      <c r="H2804" s="6">
        <v>45025</v>
      </c>
      <c r="I2804">
        <f t="shared" si="86"/>
        <v>2</v>
      </c>
      <c r="J2804" t="str">
        <f t="shared" si="87"/>
        <v>Complete</v>
      </c>
      <c r="K2804">
        <f>COUNTIFS(RawData[Item], B2804,RawData[Quantity],C2804,RawData[Price Per Unit],D2804,RawData[Total Spent],E2804,RawData[Payment Method],F2804,RawData[Location],G2804,RawData[Transaction Date],H2804)</f>
        <v>1</v>
      </c>
      <c r="L2804"/>
    </row>
    <row r="2805" spans="1:12" x14ac:dyDescent="0.3">
      <c r="A2805" t="s">
        <v>2811</v>
      </c>
      <c r="B2805" t="s">
        <v>10009</v>
      </c>
      <c r="C2805">
        <v>2</v>
      </c>
      <c r="D2805">
        <v>3</v>
      </c>
      <c r="E2805">
        <v>6</v>
      </c>
      <c r="F2805" t="s">
        <v>10018</v>
      </c>
      <c r="G2805" t="s">
        <v>10102</v>
      </c>
      <c r="H2805" s="6">
        <v>44943</v>
      </c>
      <c r="I2805">
        <f t="shared" si="86"/>
        <v>0</v>
      </c>
      <c r="J2805" t="str">
        <f t="shared" si="87"/>
        <v>Complete</v>
      </c>
      <c r="K2805">
        <f>COUNTIFS(RawData[Item], B2805,RawData[Quantity],C2805,RawData[Price Per Unit],D2805,RawData[Total Spent],E2805,RawData[Payment Method],F2805,RawData[Location],G2805,RawData[Transaction Date],H2805)</f>
        <v>1</v>
      </c>
      <c r="L2805"/>
    </row>
    <row r="2806" spans="1:12" x14ac:dyDescent="0.3">
      <c r="A2806" t="s">
        <v>2812</v>
      </c>
      <c r="B2806" t="s">
        <v>10009</v>
      </c>
      <c r="C2806">
        <v>1</v>
      </c>
      <c r="D2806">
        <v>3</v>
      </c>
      <c r="E2806">
        <v>3</v>
      </c>
      <c r="F2806" t="s">
        <v>10020</v>
      </c>
      <c r="G2806" t="s">
        <v>10102</v>
      </c>
      <c r="H2806" s="6" t="s">
        <v>10112</v>
      </c>
      <c r="I2806">
        <f t="shared" si="86"/>
        <v>1</v>
      </c>
      <c r="J2806" t="str">
        <f t="shared" si="87"/>
        <v>Incomplete</v>
      </c>
      <c r="K2806">
        <f>COUNTIFS(RawData[Item], B2806,RawData[Quantity],C2806,RawData[Price Per Unit],D2806,RawData[Total Spent],E2806,RawData[Payment Method],F2806,RawData[Location],G2806,RawData[Transaction Date],H2806)</f>
        <v>1</v>
      </c>
      <c r="L2806"/>
    </row>
    <row r="2807" spans="1:12" x14ac:dyDescent="0.3">
      <c r="A2807" t="s">
        <v>2813</v>
      </c>
      <c r="B2807" t="s">
        <v>10009</v>
      </c>
      <c r="C2807">
        <v>3</v>
      </c>
      <c r="D2807">
        <v>3</v>
      </c>
      <c r="E2807">
        <v>9</v>
      </c>
      <c r="F2807" t="s">
        <v>10019</v>
      </c>
      <c r="G2807" t="s">
        <v>10069</v>
      </c>
      <c r="H2807" s="6">
        <v>44984</v>
      </c>
      <c r="I2807">
        <f t="shared" si="86"/>
        <v>0</v>
      </c>
      <c r="J2807" t="str">
        <f t="shared" si="87"/>
        <v>Complete</v>
      </c>
      <c r="K2807">
        <f>COUNTIFS(RawData[Item], B2807,RawData[Quantity],C2807,RawData[Price Per Unit],D2807,RawData[Total Spent],E2807,RawData[Payment Method],F2807,RawData[Location],G2807,RawData[Transaction Date],H2807)</f>
        <v>1</v>
      </c>
      <c r="L2807"/>
    </row>
    <row r="2808" spans="1:12" x14ac:dyDescent="0.3">
      <c r="A2808" t="s">
        <v>2814</v>
      </c>
      <c r="B2808" t="s">
        <v>10010</v>
      </c>
      <c r="C2808">
        <v>4</v>
      </c>
      <c r="D2808">
        <v>1</v>
      </c>
      <c r="E2808">
        <v>4</v>
      </c>
      <c r="F2808" t="s">
        <v>10104</v>
      </c>
      <c r="G2808" t="s">
        <v>10021</v>
      </c>
      <c r="H2808" s="6">
        <v>44993</v>
      </c>
      <c r="I2808">
        <f t="shared" si="86"/>
        <v>1</v>
      </c>
      <c r="J2808" t="str">
        <f t="shared" si="87"/>
        <v>Complete</v>
      </c>
      <c r="K2808">
        <f>COUNTIFS(RawData[Item], B2808,RawData[Quantity],C2808,RawData[Price Per Unit],D2808,RawData[Total Spent],E2808,RawData[Payment Method],F2808,RawData[Location],G2808,RawData[Transaction Date],H2808)</f>
        <v>1</v>
      </c>
      <c r="L2808"/>
    </row>
    <row r="2809" spans="1:12" x14ac:dyDescent="0.3">
      <c r="A2809" t="s">
        <v>2815</v>
      </c>
      <c r="B2809" t="s">
        <v>10010</v>
      </c>
      <c r="C2809">
        <v>5</v>
      </c>
      <c r="D2809">
        <v>1</v>
      </c>
      <c r="E2809">
        <v>5</v>
      </c>
      <c r="F2809" t="s">
        <v>10020</v>
      </c>
      <c r="G2809" t="s">
        <v>10021</v>
      </c>
      <c r="H2809" s="6">
        <v>45120</v>
      </c>
      <c r="I2809">
        <f t="shared" si="86"/>
        <v>0</v>
      </c>
      <c r="J2809" t="str">
        <f t="shared" si="87"/>
        <v>Complete</v>
      </c>
      <c r="K2809">
        <f>COUNTIFS(RawData[Item], B2809,RawData[Quantity],C2809,RawData[Price Per Unit],D2809,RawData[Total Spent],E2809,RawData[Payment Method],F2809,RawData[Location],G2809,RawData[Transaction Date],H2809)</f>
        <v>1</v>
      </c>
      <c r="L2809"/>
    </row>
    <row r="2810" spans="1:12" x14ac:dyDescent="0.3">
      <c r="A2810" t="s">
        <v>2816</v>
      </c>
      <c r="B2810" t="s">
        <v>10017</v>
      </c>
      <c r="C2810">
        <v>2</v>
      </c>
      <c r="D2810">
        <v>1.5</v>
      </c>
      <c r="E2810">
        <v>3</v>
      </c>
      <c r="F2810" t="s">
        <v>10018</v>
      </c>
      <c r="G2810" t="s">
        <v>10069</v>
      </c>
      <c r="H2810" s="6">
        <v>45284</v>
      </c>
      <c r="I2810">
        <f t="shared" si="86"/>
        <v>0</v>
      </c>
      <c r="J2810" t="str">
        <f t="shared" si="87"/>
        <v>Complete</v>
      </c>
      <c r="K2810">
        <f>COUNTIFS(RawData[Item], B2810,RawData[Quantity],C2810,RawData[Price Per Unit],D2810,RawData[Total Spent],E2810,RawData[Payment Method],F2810,RawData[Location],G2810,RawData[Transaction Date],H2810)</f>
        <v>1</v>
      </c>
      <c r="L2810"/>
    </row>
    <row r="2811" spans="1:12" x14ac:dyDescent="0.3">
      <c r="A2811" t="s">
        <v>2817</v>
      </c>
      <c r="B2811" t="s">
        <v>10014</v>
      </c>
      <c r="C2811">
        <v>4</v>
      </c>
      <c r="D2811">
        <v>4</v>
      </c>
      <c r="E2811">
        <v>16</v>
      </c>
      <c r="F2811" t="s">
        <v>10069</v>
      </c>
      <c r="G2811" t="s">
        <v>10021</v>
      </c>
      <c r="H2811" s="6">
        <v>45009</v>
      </c>
      <c r="I2811">
        <f t="shared" si="86"/>
        <v>0</v>
      </c>
      <c r="J2811" t="str">
        <f t="shared" si="87"/>
        <v>Complete</v>
      </c>
      <c r="K2811">
        <f>COUNTIFS(RawData[Item], B2811,RawData[Quantity],C2811,RawData[Price Per Unit],D2811,RawData[Total Spent],E2811,RawData[Payment Method],F2811,RawData[Location],G2811,RawData[Transaction Date],H2811)</f>
        <v>1</v>
      </c>
      <c r="L2811"/>
    </row>
    <row r="2812" spans="1:12" x14ac:dyDescent="0.3">
      <c r="A2812" t="s">
        <v>2818</v>
      </c>
      <c r="B2812" t="s">
        <v>10014</v>
      </c>
      <c r="C2812">
        <v>1</v>
      </c>
      <c r="D2812">
        <v>4</v>
      </c>
      <c r="E2812">
        <v>4</v>
      </c>
      <c r="F2812" t="s">
        <v>10018</v>
      </c>
      <c r="G2812" t="s">
        <v>10069</v>
      </c>
      <c r="H2812" s="6">
        <v>45093</v>
      </c>
      <c r="I2812">
        <f t="shared" si="86"/>
        <v>0</v>
      </c>
      <c r="J2812" t="str">
        <f t="shared" si="87"/>
        <v>Complete</v>
      </c>
      <c r="K2812">
        <f>COUNTIFS(RawData[Item], B2812,RawData[Quantity],C2812,RawData[Price Per Unit],D2812,RawData[Total Spent],E2812,RawData[Payment Method],F2812,RawData[Location],G2812,RawData[Transaction Date],H2812)</f>
        <v>1</v>
      </c>
      <c r="L2812"/>
    </row>
    <row r="2813" spans="1:12" x14ac:dyDescent="0.3">
      <c r="A2813" t="s">
        <v>2819</v>
      </c>
      <c r="B2813" t="s">
        <v>10009</v>
      </c>
      <c r="C2813">
        <v>5</v>
      </c>
      <c r="D2813">
        <v>3</v>
      </c>
      <c r="E2813">
        <v>15</v>
      </c>
      <c r="F2813" t="s">
        <v>10103</v>
      </c>
      <c r="G2813" t="s">
        <v>10102</v>
      </c>
      <c r="H2813" s="6">
        <v>45144</v>
      </c>
      <c r="I2813">
        <f t="shared" si="86"/>
        <v>1</v>
      </c>
      <c r="J2813" t="str">
        <f t="shared" si="87"/>
        <v>Complete</v>
      </c>
      <c r="K2813">
        <f>COUNTIFS(RawData[Item], B2813,RawData[Quantity],C2813,RawData[Price Per Unit],D2813,RawData[Total Spent],E2813,RawData[Payment Method],F2813,RawData[Location],G2813,RawData[Transaction Date],H2813)</f>
        <v>1</v>
      </c>
      <c r="L2813"/>
    </row>
    <row r="2814" spans="1:12" x14ac:dyDescent="0.3">
      <c r="A2814" t="s">
        <v>2820</v>
      </c>
      <c r="B2814" t="s">
        <v>10011</v>
      </c>
      <c r="C2814">
        <v>3</v>
      </c>
      <c r="D2814">
        <v>5</v>
      </c>
      <c r="E2814">
        <v>15</v>
      </c>
      <c r="F2814" t="s">
        <v>10018</v>
      </c>
      <c r="G2814" t="s">
        <v>10102</v>
      </c>
      <c r="H2814" s="6">
        <v>45031</v>
      </c>
      <c r="I2814">
        <f t="shared" si="86"/>
        <v>0</v>
      </c>
      <c r="J2814" t="str">
        <f t="shared" si="87"/>
        <v>Complete</v>
      </c>
      <c r="K2814">
        <f>COUNTIFS(RawData[Item], B2814,RawData[Quantity],C2814,RawData[Price Per Unit],D2814,RawData[Total Spent],E2814,RawData[Payment Method],F2814,RawData[Location],G2814,RawData[Transaction Date],H2814)</f>
        <v>1</v>
      </c>
      <c r="L2814"/>
    </row>
    <row r="2815" spans="1:12" x14ac:dyDescent="0.3">
      <c r="A2815" t="s">
        <v>2821</v>
      </c>
      <c r="B2815" t="s">
        <v>10012</v>
      </c>
      <c r="C2815">
        <v>4</v>
      </c>
      <c r="D2815">
        <v>4</v>
      </c>
      <c r="E2815">
        <v>16</v>
      </c>
      <c r="F2815" t="s">
        <v>10019</v>
      </c>
      <c r="G2815" t="s">
        <v>10069</v>
      </c>
      <c r="H2815" s="6">
        <v>44992</v>
      </c>
      <c r="I2815">
        <f t="shared" si="86"/>
        <v>0</v>
      </c>
      <c r="J2815" t="str">
        <f t="shared" si="87"/>
        <v>Complete</v>
      </c>
      <c r="K2815">
        <f>COUNTIFS(RawData[Item], B2815,RawData[Quantity],C2815,RawData[Price Per Unit],D2815,RawData[Total Spent],E2815,RawData[Payment Method],F2815,RawData[Location],G2815,RawData[Transaction Date],H2815)</f>
        <v>1</v>
      </c>
      <c r="L2815"/>
    </row>
    <row r="2816" spans="1:12" x14ac:dyDescent="0.3">
      <c r="A2816" t="s">
        <v>2822</v>
      </c>
      <c r="B2816" t="s">
        <v>10011</v>
      </c>
      <c r="C2816">
        <v>3</v>
      </c>
      <c r="D2816">
        <v>5</v>
      </c>
      <c r="E2816">
        <v>15</v>
      </c>
      <c r="F2816" t="s">
        <v>10019</v>
      </c>
      <c r="G2816" t="s">
        <v>10102</v>
      </c>
      <c r="H2816" s="6">
        <v>45279</v>
      </c>
      <c r="I2816">
        <f t="shared" si="86"/>
        <v>0</v>
      </c>
      <c r="J2816" t="str">
        <f t="shared" si="87"/>
        <v>Complete</v>
      </c>
      <c r="K2816">
        <f>COUNTIFS(RawData[Item], B2816,RawData[Quantity],C2816,RawData[Price Per Unit],D2816,RawData[Total Spent],E2816,RawData[Payment Method],F2816,RawData[Location],G2816,RawData[Transaction Date],H2816)</f>
        <v>1</v>
      </c>
      <c r="L2816"/>
    </row>
    <row r="2817" spans="1:12" x14ac:dyDescent="0.3">
      <c r="A2817" t="s">
        <v>2823</v>
      </c>
      <c r="B2817" t="s">
        <v>10017</v>
      </c>
      <c r="C2817" t="s">
        <v>10015</v>
      </c>
      <c r="D2817">
        <v>1.5</v>
      </c>
      <c r="E2817">
        <v>3</v>
      </c>
      <c r="F2817" t="s">
        <v>10018</v>
      </c>
      <c r="G2817" t="s">
        <v>10021</v>
      </c>
      <c r="H2817" s="6">
        <v>45069</v>
      </c>
      <c r="I2817">
        <f t="shared" si="86"/>
        <v>1</v>
      </c>
      <c r="J2817" t="str">
        <f t="shared" si="87"/>
        <v>Complete</v>
      </c>
      <c r="K2817">
        <f>COUNTIFS(RawData[Item], B2817,RawData[Quantity],C2817,RawData[Price Per Unit],D2817,RawData[Total Spent],E2817,RawData[Payment Method],F2817,RawData[Location],G2817,RawData[Transaction Date],H2817)</f>
        <v>1</v>
      </c>
      <c r="L2817"/>
    </row>
    <row r="2818" spans="1:12" x14ac:dyDescent="0.3">
      <c r="A2818" t="s">
        <v>2824</v>
      </c>
      <c r="B2818" t="s">
        <v>10014</v>
      </c>
      <c r="C2818">
        <v>5</v>
      </c>
      <c r="D2818">
        <v>4</v>
      </c>
      <c r="E2818">
        <v>20</v>
      </c>
      <c r="F2818" t="s">
        <v>10018</v>
      </c>
      <c r="G2818" t="s">
        <v>10102</v>
      </c>
      <c r="H2818" s="6">
        <v>45242</v>
      </c>
      <c r="I2818">
        <f t="shared" ref="I2818:I2881" si="88">(B2818="Unknown")+(B2818="Error")+(C2818="Unknown")+(C2818="Error")+(D2818="Unknown")+(D2818="Error")+(E2818="Unknown")+(E2818="Error")+(F2818="Unknown")+(F2818="Error")+(G2818="Unknown")+(G2818="Error")+(H2818="No Date")</f>
        <v>0</v>
      </c>
      <c r="J2818" t="str">
        <f t="shared" ref="J2818:J2881" si="89">IF((H2818="No Date"),"Incomplete","Complete")</f>
        <v>Complete</v>
      </c>
      <c r="K2818">
        <f>COUNTIFS(RawData[Item], B2818,RawData[Quantity],C2818,RawData[Price Per Unit],D2818,RawData[Total Spent],E2818,RawData[Payment Method],F2818,RawData[Location],G2818,RawData[Transaction Date],H2818)</f>
        <v>1</v>
      </c>
      <c r="L2818"/>
    </row>
    <row r="2819" spans="1:12" x14ac:dyDescent="0.3">
      <c r="A2819" t="s">
        <v>2825</v>
      </c>
      <c r="B2819" t="s">
        <v>10069</v>
      </c>
      <c r="C2819">
        <v>2</v>
      </c>
      <c r="D2819">
        <v>4</v>
      </c>
      <c r="E2819">
        <v>8</v>
      </c>
      <c r="F2819" t="s">
        <v>10069</v>
      </c>
      <c r="G2819" t="s">
        <v>10021</v>
      </c>
      <c r="H2819" s="6">
        <v>45095</v>
      </c>
      <c r="I2819">
        <f t="shared" si="88"/>
        <v>0</v>
      </c>
      <c r="J2819" t="str">
        <f t="shared" si="89"/>
        <v>Complete</v>
      </c>
      <c r="K2819">
        <f>COUNTIFS(RawData[Item], B2819,RawData[Quantity],C2819,RawData[Price Per Unit],D2819,RawData[Total Spent],E2819,RawData[Payment Method],F2819,RawData[Location],G2819,RawData[Transaction Date],H2819)</f>
        <v>1</v>
      </c>
      <c r="L2819"/>
    </row>
    <row r="2820" spans="1:12" x14ac:dyDescent="0.3">
      <c r="A2820" t="s">
        <v>2826</v>
      </c>
      <c r="B2820" t="s">
        <v>10008</v>
      </c>
      <c r="C2820">
        <v>2</v>
      </c>
      <c r="D2820">
        <v>2</v>
      </c>
      <c r="E2820">
        <v>4</v>
      </c>
      <c r="F2820" t="s">
        <v>10020</v>
      </c>
      <c r="G2820" t="s">
        <v>10103</v>
      </c>
      <c r="H2820" s="6">
        <v>45009</v>
      </c>
      <c r="I2820">
        <f t="shared" si="88"/>
        <v>1</v>
      </c>
      <c r="J2820" t="str">
        <f t="shared" si="89"/>
        <v>Complete</v>
      </c>
      <c r="K2820">
        <f>COUNTIFS(RawData[Item], B2820,RawData[Quantity],C2820,RawData[Price Per Unit],D2820,RawData[Total Spent],E2820,RawData[Payment Method],F2820,RawData[Location],G2820,RawData[Transaction Date],H2820)</f>
        <v>1</v>
      </c>
      <c r="L2820"/>
    </row>
    <row r="2821" spans="1:12" x14ac:dyDescent="0.3">
      <c r="A2821" t="s">
        <v>2827</v>
      </c>
      <c r="B2821" t="s">
        <v>10017</v>
      </c>
      <c r="C2821">
        <v>4</v>
      </c>
      <c r="D2821">
        <v>1.5</v>
      </c>
      <c r="E2821">
        <v>6</v>
      </c>
      <c r="F2821" t="s">
        <v>10020</v>
      </c>
      <c r="G2821" t="s">
        <v>10021</v>
      </c>
      <c r="H2821" s="6">
        <v>45236</v>
      </c>
      <c r="I2821">
        <f t="shared" si="88"/>
        <v>0</v>
      </c>
      <c r="J2821" t="str">
        <f t="shared" si="89"/>
        <v>Complete</v>
      </c>
      <c r="K2821">
        <f>COUNTIFS(RawData[Item], B2821,RawData[Quantity],C2821,RawData[Price Per Unit],D2821,RawData[Total Spent],E2821,RawData[Payment Method],F2821,RawData[Location],G2821,RawData[Transaction Date],H2821)</f>
        <v>1</v>
      </c>
      <c r="L2821"/>
    </row>
    <row r="2822" spans="1:12" x14ac:dyDescent="0.3">
      <c r="A2822" t="s">
        <v>2828</v>
      </c>
      <c r="B2822" t="s">
        <v>10017</v>
      </c>
      <c r="C2822">
        <v>4</v>
      </c>
      <c r="D2822">
        <v>1.5</v>
      </c>
      <c r="E2822">
        <v>6</v>
      </c>
      <c r="F2822" t="s">
        <v>10020</v>
      </c>
      <c r="G2822" t="s">
        <v>10103</v>
      </c>
      <c r="H2822" s="6">
        <v>45171</v>
      </c>
      <c r="I2822">
        <f t="shared" si="88"/>
        <v>1</v>
      </c>
      <c r="J2822" t="str">
        <f t="shared" si="89"/>
        <v>Complete</v>
      </c>
      <c r="K2822">
        <f>COUNTIFS(RawData[Item], B2822,RawData[Quantity],C2822,RawData[Price Per Unit],D2822,RawData[Total Spent],E2822,RawData[Payment Method],F2822,RawData[Location],G2822,RawData[Transaction Date],H2822)</f>
        <v>1</v>
      </c>
      <c r="L2822"/>
    </row>
    <row r="2823" spans="1:12" x14ac:dyDescent="0.3">
      <c r="A2823" t="s">
        <v>2829</v>
      </c>
      <c r="B2823" t="s">
        <v>10015</v>
      </c>
      <c r="C2823">
        <v>5</v>
      </c>
      <c r="D2823">
        <v>3</v>
      </c>
      <c r="E2823">
        <v>15</v>
      </c>
      <c r="F2823" t="s">
        <v>10069</v>
      </c>
      <c r="G2823" t="s">
        <v>10021</v>
      </c>
      <c r="H2823" s="6">
        <v>45162</v>
      </c>
      <c r="I2823">
        <f t="shared" si="88"/>
        <v>1</v>
      </c>
      <c r="J2823" t="str">
        <f t="shared" si="89"/>
        <v>Complete</v>
      </c>
      <c r="K2823">
        <f>COUNTIFS(RawData[Item], B2823,RawData[Quantity],C2823,RawData[Price Per Unit],D2823,RawData[Total Spent],E2823,RawData[Payment Method],F2823,RawData[Location],G2823,RawData[Transaction Date],H2823)</f>
        <v>1</v>
      </c>
      <c r="L2823"/>
    </row>
    <row r="2824" spans="1:12" x14ac:dyDescent="0.3">
      <c r="A2824" t="s">
        <v>2830</v>
      </c>
      <c r="B2824" t="s">
        <v>10011</v>
      </c>
      <c r="C2824">
        <v>4</v>
      </c>
      <c r="D2824">
        <v>5</v>
      </c>
      <c r="E2824">
        <v>20</v>
      </c>
      <c r="F2824" t="s">
        <v>10019</v>
      </c>
      <c r="G2824" t="s">
        <v>10069</v>
      </c>
      <c r="H2824" s="6">
        <v>45069</v>
      </c>
      <c r="I2824">
        <f t="shared" si="88"/>
        <v>0</v>
      </c>
      <c r="J2824" t="str">
        <f t="shared" si="89"/>
        <v>Complete</v>
      </c>
      <c r="K2824">
        <f>COUNTIFS(RawData[Item], B2824,RawData[Quantity],C2824,RawData[Price Per Unit],D2824,RawData[Total Spent],E2824,RawData[Payment Method],F2824,RawData[Location],G2824,RawData[Transaction Date],H2824)</f>
        <v>1</v>
      </c>
      <c r="L2824"/>
    </row>
    <row r="2825" spans="1:12" x14ac:dyDescent="0.3">
      <c r="A2825" t="s">
        <v>2831</v>
      </c>
      <c r="B2825" t="s">
        <v>10009</v>
      </c>
      <c r="C2825">
        <v>3</v>
      </c>
      <c r="D2825">
        <v>3</v>
      </c>
      <c r="E2825">
        <v>9</v>
      </c>
      <c r="F2825" t="s">
        <v>10019</v>
      </c>
      <c r="G2825" t="s">
        <v>10102</v>
      </c>
      <c r="H2825" s="6">
        <v>44934</v>
      </c>
      <c r="I2825">
        <f t="shared" si="88"/>
        <v>0</v>
      </c>
      <c r="J2825" t="str">
        <f t="shared" si="89"/>
        <v>Complete</v>
      </c>
      <c r="K2825">
        <f>COUNTIFS(RawData[Item], B2825,RawData[Quantity],C2825,RawData[Price Per Unit],D2825,RawData[Total Spent],E2825,RawData[Payment Method],F2825,RawData[Location],G2825,RawData[Transaction Date],H2825)</f>
        <v>1</v>
      </c>
      <c r="L2825"/>
    </row>
    <row r="2826" spans="1:12" x14ac:dyDescent="0.3">
      <c r="A2826" t="s">
        <v>2832</v>
      </c>
      <c r="B2826" t="s">
        <v>10009</v>
      </c>
      <c r="C2826">
        <v>5</v>
      </c>
      <c r="D2826">
        <v>3</v>
      </c>
      <c r="E2826">
        <v>15</v>
      </c>
      <c r="F2826" t="s">
        <v>10020</v>
      </c>
      <c r="G2826" t="s">
        <v>10069</v>
      </c>
      <c r="H2826" s="6">
        <v>45202</v>
      </c>
      <c r="I2826">
        <f t="shared" si="88"/>
        <v>0</v>
      </c>
      <c r="J2826" t="str">
        <f t="shared" si="89"/>
        <v>Complete</v>
      </c>
      <c r="K2826">
        <f>COUNTIFS(RawData[Item], B2826,RawData[Quantity],C2826,RawData[Price Per Unit],D2826,RawData[Total Spent],E2826,RawData[Payment Method],F2826,RawData[Location],G2826,RawData[Transaction Date],H2826)</f>
        <v>2</v>
      </c>
      <c r="L2826"/>
    </row>
    <row r="2827" spans="1:12" x14ac:dyDescent="0.3">
      <c r="A2827" t="s">
        <v>2833</v>
      </c>
      <c r="B2827" t="s">
        <v>10016</v>
      </c>
      <c r="C2827">
        <v>2</v>
      </c>
      <c r="D2827">
        <v>3</v>
      </c>
      <c r="E2827">
        <v>6</v>
      </c>
      <c r="F2827" t="s">
        <v>10069</v>
      </c>
      <c r="G2827" t="s">
        <v>10102</v>
      </c>
      <c r="H2827" s="6">
        <v>45255</v>
      </c>
      <c r="I2827">
        <f t="shared" si="88"/>
        <v>0</v>
      </c>
      <c r="J2827" t="str">
        <f t="shared" si="89"/>
        <v>Complete</v>
      </c>
      <c r="K2827">
        <f>COUNTIFS(RawData[Item], B2827,RawData[Quantity],C2827,RawData[Price Per Unit],D2827,RawData[Total Spent],E2827,RawData[Payment Method],F2827,RawData[Location],G2827,RawData[Transaction Date],H2827)</f>
        <v>1</v>
      </c>
      <c r="L2827"/>
    </row>
    <row r="2828" spans="1:12" x14ac:dyDescent="0.3">
      <c r="A2828" t="s">
        <v>2834</v>
      </c>
      <c r="B2828" t="s">
        <v>10016</v>
      </c>
      <c r="C2828">
        <v>3</v>
      </c>
      <c r="D2828">
        <v>3</v>
      </c>
      <c r="E2828">
        <v>9</v>
      </c>
      <c r="F2828" t="s">
        <v>10018</v>
      </c>
      <c r="G2828" t="s">
        <v>10102</v>
      </c>
      <c r="H2828" s="6">
        <v>45035</v>
      </c>
      <c r="I2828">
        <f t="shared" si="88"/>
        <v>0</v>
      </c>
      <c r="J2828" t="str">
        <f t="shared" si="89"/>
        <v>Complete</v>
      </c>
      <c r="K2828">
        <f>COUNTIFS(RawData[Item], B2828,RawData[Quantity],C2828,RawData[Price Per Unit],D2828,RawData[Total Spent],E2828,RawData[Payment Method],F2828,RawData[Location],G2828,RawData[Transaction Date],H2828)</f>
        <v>1</v>
      </c>
      <c r="L2828"/>
    </row>
    <row r="2829" spans="1:12" x14ac:dyDescent="0.3">
      <c r="A2829" t="s">
        <v>2835</v>
      </c>
      <c r="B2829" t="s">
        <v>10010</v>
      </c>
      <c r="C2829">
        <v>2</v>
      </c>
      <c r="D2829">
        <v>1</v>
      </c>
      <c r="E2829">
        <v>2</v>
      </c>
      <c r="F2829" t="s">
        <v>10020</v>
      </c>
      <c r="G2829" t="s">
        <v>10021</v>
      </c>
      <c r="H2829" s="6" t="s">
        <v>10112</v>
      </c>
      <c r="I2829">
        <f t="shared" si="88"/>
        <v>1</v>
      </c>
      <c r="J2829" t="str">
        <f t="shared" si="89"/>
        <v>Incomplete</v>
      </c>
      <c r="K2829">
        <f>COUNTIFS(RawData[Item], B2829,RawData[Quantity],C2829,RawData[Price Per Unit],D2829,RawData[Total Spent],E2829,RawData[Payment Method],F2829,RawData[Location],G2829,RawData[Transaction Date],H2829)</f>
        <v>2</v>
      </c>
      <c r="L2829"/>
    </row>
    <row r="2830" spans="1:12" x14ac:dyDescent="0.3">
      <c r="A2830" t="s">
        <v>2836</v>
      </c>
      <c r="B2830" t="s">
        <v>10009</v>
      </c>
      <c r="C2830">
        <v>1</v>
      </c>
      <c r="D2830">
        <v>3</v>
      </c>
      <c r="E2830">
        <v>3</v>
      </c>
      <c r="F2830" t="s">
        <v>10018</v>
      </c>
      <c r="G2830" t="s">
        <v>10069</v>
      </c>
      <c r="H2830" s="6">
        <v>45115</v>
      </c>
      <c r="I2830">
        <f t="shared" si="88"/>
        <v>0</v>
      </c>
      <c r="J2830" t="str">
        <f t="shared" si="89"/>
        <v>Complete</v>
      </c>
      <c r="K2830">
        <f>COUNTIFS(RawData[Item], B2830,RawData[Quantity],C2830,RawData[Price Per Unit],D2830,RawData[Total Spent],E2830,RawData[Payment Method],F2830,RawData[Location],G2830,RawData[Transaction Date],H2830)</f>
        <v>1</v>
      </c>
      <c r="L2830"/>
    </row>
    <row r="2831" spans="1:12" x14ac:dyDescent="0.3">
      <c r="A2831" t="s">
        <v>2837</v>
      </c>
      <c r="B2831" t="s">
        <v>10012</v>
      </c>
      <c r="C2831">
        <v>4</v>
      </c>
      <c r="D2831">
        <v>4</v>
      </c>
      <c r="E2831">
        <v>16</v>
      </c>
      <c r="F2831" t="s">
        <v>10019</v>
      </c>
      <c r="G2831" t="s">
        <v>10021</v>
      </c>
      <c r="H2831" s="6">
        <v>45135</v>
      </c>
      <c r="I2831">
        <f t="shared" si="88"/>
        <v>0</v>
      </c>
      <c r="J2831" t="str">
        <f t="shared" si="89"/>
        <v>Complete</v>
      </c>
      <c r="K2831">
        <f>COUNTIFS(RawData[Item], B2831,RawData[Quantity],C2831,RawData[Price Per Unit],D2831,RawData[Total Spent],E2831,RawData[Payment Method],F2831,RawData[Location],G2831,RawData[Transaction Date],H2831)</f>
        <v>1</v>
      </c>
      <c r="L2831"/>
    </row>
    <row r="2832" spans="1:12" x14ac:dyDescent="0.3">
      <c r="A2832" t="s">
        <v>2838</v>
      </c>
      <c r="B2832" t="s">
        <v>10010</v>
      </c>
      <c r="C2832">
        <v>1</v>
      </c>
      <c r="D2832">
        <v>1</v>
      </c>
      <c r="E2832">
        <v>1</v>
      </c>
      <c r="F2832" t="s">
        <v>10103</v>
      </c>
      <c r="G2832" t="s">
        <v>10102</v>
      </c>
      <c r="H2832" s="6" t="s">
        <v>10112</v>
      </c>
      <c r="I2832">
        <f t="shared" si="88"/>
        <v>2</v>
      </c>
      <c r="J2832" t="str">
        <f t="shared" si="89"/>
        <v>Incomplete</v>
      </c>
      <c r="K2832">
        <f>COUNTIFS(RawData[Item], B2832,RawData[Quantity],C2832,RawData[Price Per Unit],D2832,RawData[Total Spent],E2832,RawData[Payment Method],F2832,RawData[Location],G2832,RawData[Transaction Date],H2832)</f>
        <v>1</v>
      </c>
      <c r="L2832"/>
    </row>
    <row r="2833" spans="1:12" x14ac:dyDescent="0.3">
      <c r="A2833" t="s">
        <v>2839</v>
      </c>
      <c r="B2833" t="s">
        <v>10017</v>
      </c>
      <c r="C2833">
        <v>4</v>
      </c>
      <c r="D2833">
        <v>1.5</v>
      </c>
      <c r="E2833">
        <v>6</v>
      </c>
      <c r="F2833" t="s">
        <v>10020</v>
      </c>
      <c r="G2833" t="s">
        <v>10069</v>
      </c>
      <c r="H2833" s="6">
        <v>44988</v>
      </c>
      <c r="I2833">
        <f t="shared" si="88"/>
        <v>0</v>
      </c>
      <c r="J2833" t="str">
        <f t="shared" si="89"/>
        <v>Complete</v>
      </c>
      <c r="K2833">
        <f>COUNTIFS(RawData[Item], B2833,RawData[Quantity],C2833,RawData[Price Per Unit],D2833,RawData[Total Spent],E2833,RawData[Payment Method],F2833,RawData[Location],G2833,RawData[Transaction Date],H2833)</f>
        <v>1</v>
      </c>
      <c r="L2833"/>
    </row>
    <row r="2834" spans="1:12" x14ac:dyDescent="0.3">
      <c r="A2834" t="s">
        <v>2840</v>
      </c>
      <c r="B2834" t="s">
        <v>10016</v>
      </c>
      <c r="C2834">
        <v>0</v>
      </c>
      <c r="D2834">
        <v>3</v>
      </c>
      <c r="E2834">
        <v>9</v>
      </c>
      <c r="F2834" t="s">
        <v>10019</v>
      </c>
      <c r="G2834" t="s">
        <v>10021</v>
      </c>
      <c r="H2834" s="6">
        <v>45270</v>
      </c>
      <c r="I2834">
        <f t="shared" si="88"/>
        <v>0</v>
      </c>
      <c r="J2834" t="str">
        <f t="shared" si="89"/>
        <v>Complete</v>
      </c>
      <c r="K2834">
        <f>COUNTIFS(RawData[Item], B2834,RawData[Quantity],C2834,RawData[Price Per Unit],D2834,RawData[Total Spent],E2834,RawData[Payment Method],F2834,RawData[Location],G2834,RawData[Transaction Date],H2834)</f>
        <v>1</v>
      </c>
      <c r="L2834"/>
    </row>
    <row r="2835" spans="1:12" x14ac:dyDescent="0.3">
      <c r="A2835" t="s">
        <v>2841</v>
      </c>
      <c r="B2835" t="s">
        <v>10011</v>
      </c>
      <c r="C2835">
        <v>2</v>
      </c>
      <c r="D2835">
        <v>5</v>
      </c>
      <c r="E2835">
        <v>10</v>
      </c>
      <c r="F2835" t="s">
        <v>10018</v>
      </c>
      <c r="G2835" t="s">
        <v>10102</v>
      </c>
      <c r="H2835" s="6">
        <v>44993</v>
      </c>
      <c r="I2835">
        <f t="shared" si="88"/>
        <v>0</v>
      </c>
      <c r="J2835" t="str">
        <f t="shared" si="89"/>
        <v>Complete</v>
      </c>
      <c r="K2835">
        <f>COUNTIFS(RawData[Item], B2835,RawData[Quantity],C2835,RawData[Price Per Unit],D2835,RawData[Total Spent],E2835,RawData[Payment Method],F2835,RawData[Location],G2835,RawData[Transaction Date],H2835)</f>
        <v>1</v>
      </c>
      <c r="L2835"/>
    </row>
    <row r="2836" spans="1:12" x14ac:dyDescent="0.3">
      <c r="A2836" t="s">
        <v>2842</v>
      </c>
      <c r="B2836" t="s">
        <v>10012</v>
      </c>
      <c r="C2836">
        <v>2</v>
      </c>
      <c r="D2836">
        <v>4</v>
      </c>
      <c r="E2836">
        <v>8</v>
      </c>
      <c r="F2836" t="s">
        <v>10103</v>
      </c>
      <c r="G2836" t="s">
        <v>10069</v>
      </c>
      <c r="H2836" s="6">
        <v>45157</v>
      </c>
      <c r="I2836">
        <f t="shared" si="88"/>
        <v>1</v>
      </c>
      <c r="J2836" t="str">
        <f t="shared" si="89"/>
        <v>Complete</v>
      </c>
      <c r="K2836">
        <f>COUNTIFS(RawData[Item], B2836,RawData[Quantity],C2836,RawData[Price Per Unit],D2836,RawData[Total Spent],E2836,RawData[Payment Method],F2836,RawData[Location],G2836,RawData[Transaction Date],H2836)</f>
        <v>1</v>
      </c>
      <c r="L2836"/>
    </row>
    <row r="2837" spans="1:12" x14ac:dyDescent="0.3">
      <c r="A2837" t="s">
        <v>2843</v>
      </c>
      <c r="B2837" t="s">
        <v>10012</v>
      </c>
      <c r="C2837">
        <v>5</v>
      </c>
      <c r="D2837">
        <v>4</v>
      </c>
      <c r="E2837">
        <v>20</v>
      </c>
      <c r="F2837" t="s">
        <v>10019</v>
      </c>
      <c r="G2837" t="s">
        <v>10021</v>
      </c>
      <c r="H2837" s="6" t="s">
        <v>10112</v>
      </c>
      <c r="I2837">
        <f t="shared" si="88"/>
        <v>1</v>
      </c>
      <c r="J2837" t="str">
        <f t="shared" si="89"/>
        <v>Incomplete</v>
      </c>
      <c r="K2837">
        <f>COUNTIFS(RawData[Item], B2837,RawData[Quantity],C2837,RawData[Price Per Unit],D2837,RawData[Total Spent],E2837,RawData[Payment Method],F2837,RawData[Location],G2837,RawData[Transaction Date],H2837)</f>
        <v>2</v>
      </c>
      <c r="L2837"/>
    </row>
    <row r="2838" spans="1:12" x14ac:dyDescent="0.3">
      <c r="A2838" t="s">
        <v>2844</v>
      </c>
      <c r="B2838" t="s">
        <v>10009</v>
      </c>
      <c r="C2838">
        <v>3</v>
      </c>
      <c r="D2838">
        <v>3</v>
      </c>
      <c r="E2838">
        <v>9</v>
      </c>
      <c r="F2838" t="s">
        <v>10019</v>
      </c>
      <c r="G2838" t="s">
        <v>10102</v>
      </c>
      <c r="H2838" s="6">
        <v>44960</v>
      </c>
      <c r="I2838">
        <f t="shared" si="88"/>
        <v>0</v>
      </c>
      <c r="J2838" t="str">
        <f t="shared" si="89"/>
        <v>Complete</v>
      </c>
      <c r="K2838">
        <f>COUNTIFS(RawData[Item], B2838,RawData[Quantity],C2838,RawData[Price Per Unit],D2838,RawData[Total Spent],E2838,RawData[Payment Method],F2838,RawData[Location],G2838,RawData[Transaction Date],H2838)</f>
        <v>1</v>
      </c>
      <c r="L2838"/>
    </row>
    <row r="2839" spans="1:12" x14ac:dyDescent="0.3">
      <c r="A2839" t="s">
        <v>2845</v>
      </c>
      <c r="B2839" t="s">
        <v>10014</v>
      </c>
      <c r="C2839" t="s">
        <v>10013</v>
      </c>
      <c r="D2839">
        <v>4</v>
      </c>
      <c r="E2839">
        <v>4</v>
      </c>
      <c r="F2839" t="s">
        <v>10069</v>
      </c>
      <c r="G2839" t="s">
        <v>10021</v>
      </c>
      <c r="H2839" s="6">
        <v>44939</v>
      </c>
      <c r="I2839">
        <f t="shared" si="88"/>
        <v>1</v>
      </c>
      <c r="J2839" t="str">
        <f t="shared" si="89"/>
        <v>Complete</v>
      </c>
      <c r="K2839">
        <f>COUNTIFS(RawData[Item], B2839,RawData[Quantity],C2839,RawData[Price Per Unit],D2839,RawData[Total Spent],E2839,RawData[Payment Method],F2839,RawData[Location],G2839,RawData[Transaction Date],H2839)</f>
        <v>1</v>
      </c>
      <c r="L2839"/>
    </row>
    <row r="2840" spans="1:12" x14ac:dyDescent="0.3">
      <c r="A2840" t="s">
        <v>2846</v>
      </c>
      <c r="B2840" t="s">
        <v>10014</v>
      </c>
      <c r="C2840">
        <v>5</v>
      </c>
      <c r="D2840">
        <v>4</v>
      </c>
      <c r="E2840">
        <v>20</v>
      </c>
      <c r="F2840" t="s">
        <v>10069</v>
      </c>
      <c r="G2840" t="s">
        <v>10069</v>
      </c>
      <c r="H2840" s="6">
        <v>45031</v>
      </c>
      <c r="I2840">
        <f t="shared" si="88"/>
        <v>0</v>
      </c>
      <c r="J2840" t="str">
        <f t="shared" si="89"/>
        <v>Complete</v>
      </c>
      <c r="K2840">
        <f>COUNTIFS(RawData[Item], B2840,RawData[Quantity],C2840,RawData[Price Per Unit],D2840,RawData[Total Spent],E2840,RawData[Payment Method],F2840,RawData[Location],G2840,RawData[Transaction Date],H2840)</f>
        <v>1</v>
      </c>
      <c r="L2840"/>
    </row>
    <row r="2841" spans="1:12" x14ac:dyDescent="0.3">
      <c r="A2841" t="s">
        <v>2847</v>
      </c>
      <c r="B2841" t="s">
        <v>10017</v>
      </c>
      <c r="C2841">
        <v>3</v>
      </c>
      <c r="D2841">
        <v>1.5</v>
      </c>
      <c r="E2841">
        <v>4.5</v>
      </c>
      <c r="F2841" t="s">
        <v>10103</v>
      </c>
      <c r="G2841" t="s">
        <v>10102</v>
      </c>
      <c r="H2841" s="6">
        <v>45027</v>
      </c>
      <c r="I2841">
        <f t="shared" si="88"/>
        <v>1</v>
      </c>
      <c r="J2841" t="str">
        <f t="shared" si="89"/>
        <v>Complete</v>
      </c>
      <c r="K2841">
        <f>COUNTIFS(RawData[Item], B2841,RawData[Quantity],C2841,RawData[Price Per Unit],D2841,RawData[Total Spent],E2841,RawData[Payment Method],F2841,RawData[Location],G2841,RawData[Transaction Date],H2841)</f>
        <v>1</v>
      </c>
      <c r="L2841"/>
    </row>
    <row r="2842" spans="1:12" x14ac:dyDescent="0.3">
      <c r="A2842" t="s">
        <v>2848</v>
      </c>
      <c r="B2842" t="s">
        <v>10009</v>
      </c>
      <c r="C2842">
        <v>1</v>
      </c>
      <c r="D2842">
        <v>3</v>
      </c>
      <c r="E2842">
        <v>3</v>
      </c>
      <c r="F2842" t="s">
        <v>10018</v>
      </c>
      <c r="G2842" t="s">
        <v>10021</v>
      </c>
      <c r="H2842" s="6">
        <v>45013</v>
      </c>
      <c r="I2842">
        <f t="shared" si="88"/>
        <v>0</v>
      </c>
      <c r="J2842" t="str">
        <f t="shared" si="89"/>
        <v>Complete</v>
      </c>
      <c r="K2842">
        <f>COUNTIFS(RawData[Item], B2842,RawData[Quantity],C2842,RawData[Price Per Unit],D2842,RawData[Total Spent],E2842,RawData[Payment Method],F2842,RawData[Location],G2842,RawData[Transaction Date],H2842)</f>
        <v>1</v>
      </c>
      <c r="L2842"/>
    </row>
    <row r="2843" spans="1:12" x14ac:dyDescent="0.3">
      <c r="A2843" t="s">
        <v>2849</v>
      </c>
      <c r="B2843" t="s">
        <v>10008</v>
      </c>
      <c r="C2843">
        <v>2</v>
      </c>
      <c r="D2843">
        <v>2</v>
      </c>
      <c r="E2843">
        <v>4</v>
      </c>
      <c r="F2843" t="s">
        <v>10069</v>
      </c>
      <c r="G2843" t="s">
        <v>10069</v>
      </c>
      <c r="H2843" s="6">
        <v>45015</v>
      </c>
      <c r="I2843">
        <f t="shared" si="88"/>
        <v>0</v>
      </c>
      <c r="J2843" t="str">
        <f t="shared" si="89"/>
        <v>Complete</v>
      </c>
      <c r="K2843">
        <f>COUNTIFS(RawData[Item], B2843,RawData[Quantity],C2843,RawData[Price Per Unit],D2843,RawData[Total Spent],E2843,RawData[Payment Method],F2843,RawData[Location],G2843,RawData[Transaction Date],H2843)</f>
        <v>1</v>
      </c>
      <c r="L2843"/>
    </row>
    <row r="2844" spans="1:12" x14ac:dyDescent="0.3">
      <c r="A2844" t="s">
        <v>2850</v>
      </c>
      <c r="B2844" t="s">
        <v>10015</v>
      </c>
      <c r="C2844">
        <v>5</v>
      </c>
      <c r="D2844">
        <v>3</v>
      </c>
      <c r="E2844">
        <v>15</v>
      </c>
      <c r="F2844" t="s">
        <v>10018</v>
      </c>
      <c r="G2844" t="s">
        <v>10021</v>
      </c>
      <c r="H2844" s="6">
        <v>45130</v>
      </c>
      <c r="I2844">
        <f t="shared" si="88"/>
        <v>1</v>
      </c>
      <c r="J2844" t="str">
        <f t="shared" si="89"/>
        <v>Complete</v>
      </c>
      <c r="K2844">
        <f>COUNTIFS(RawData[Item], B2844,RawData[Quantity],C2844,RawData[Price Per Unit],D2844,RawData[Total Spent],E2844,RawData[Payment Method],F2844,RawData[Location],G2844,RawData[Transaction Date],H2844)</f>
        <v>1</v>
      </c>
      <c r="L2844"/>
    </row>
    <row r="2845" spans="1:12" x14ac:dyDescent="0.3">
      <c r="A2845" t="s">
        <v>2851</v>
      </c>
      <c r="B2845" t="s">
        <v>10011</v>
      </c>
      <c r="C2845">
        <v>4</v>
      </c>
      <c r="D2845">
        <v>5</v>
      </c>
      <c r="E2845">
        <v>20</v>
      </c>
      <c r="F2845" t="s">
        <v>10020</v>
      </c>
      <c r="G2845" t="s">
        <v>10102</v>
      </c>
      <c r="H2845" s="6">
        <v>45250</v>
      </c>
      <c r="I2845">
        <f t="shared" si="88"/>
        <v>0</v>
      </c>
      <c r="J2845" t="str">
        <f t="shared" si="89"/>
        <v>Complete</v>
      </c>
      <c r="K2845">
        <f>COUNTIFS(RawData[Item], B2845,RawData[Quantity],C2845,RawData[Price Per Unit],D2845,RawData[Total Spent],E2845,RawData[Payment Method],F2845,RawData[Location],G2845,RawData[Transaction Date],H2845)</f>
        <v>1</v>
      </c>
      <c r="L2845"/>
    </row>
    <row r="2846" spans="1:12" x14ac:dyDescent="0.3">
      <c r="A2846" t="s">
        <v>2852</v>
      </c>
      <c r="B2846" t="s">
        <v>10017</v>
      </c>
      <c r="C2846">
        <v>3</v>
      </c>
      <c r="D2846">
        <v>1.5</v>
      </c>
      <c r="E2846">
        <v>4.5</v>
      </c>
      <c r="F2846" t="s">
        <v>10069</v>
      </c>
      <c r="G2846" t="s">
        <v>10069</v>
      </c>
      <c r="H2846" s="6">
        <v>45276</v>
      </c>
      <c r="I2846">
        <f t="shared" si="88"/>
        <v>0</v>
      </c>
      <c r="J2846" t="str">
        <f t="shared" si="89"/>
        <v>Complete</v>
      </c>
      <c r="K2846">
        <f>COUNTIFS(RawData[Item], B2846,RawData[Quantity],C2846,RawData[Price Per Unit],D2846,RawData[Total Spent],E2846,RawData[Payment Method],F2846,RawData[Location],G2846,RawData[Transaction Date],H2846)</f>
        <v>1</v>
      </c>
      <c r="L2846"/>
    </row>
    <row r="2847" spans="1:12" x14ac:dyDescent="0.3">
      <c r="A2847" t="s">
        <v>2853</v>
      </c>
      <c r="B2847" t="s">
        <v>10009</v>
      </c>
      <c r="C2847">
        <v>5</v>
      </c>
      <c r="D2847">
        <v>3</v>
      </c>
      <c r="E2847">
        <v>15</v>
      </c>
      <c r="F2847" t="s">
        <v>10020</v>
      </c>
      <c r="G2847" t="s">
        <v>10021</v>
      </c>
      <c r="H2847" s="6">
        <v>45150</v>
      </c>
      <c r="I2847">
        <f t="shared" si="88"/>
        <v>0</v>
      </c>
      <c r="J2847" t="str">
        <f t="shared" si="89"/>
        <v>Complete</v>
      </c>
      <c r="K2847">
        <f>COUNTIFS(RawData[Item], B2847,RawData[Quantity],C2847,RawData[Price Per Unit],D2847,RawData[Total Spent],E2847,RawData[Payment Method],F2847,RawData[Location],G2847,RawData[Transaction Date],H2847)</f>
        <v>1</v>
      </c>
      <c r="L2847"/>
    </row>
    <row r="2848" spans="1:12" x14ac:dyDescent="0.3">
      <c r="A2848" t="s">
        <v>2854</v>
      </c>
      <c r="B2848" t="s">
        <v>10016</v>
      </c>
      <c r="C2848">
        <v>2</v>
      </c>
      <c r="D2848">
        <v>3</v>
      </c>
      <c r="E2848" t="s">
        <v>10013</v>
      </c>
      <c r="F2848" t="s">
        <v>10069</v>
      </c>
      <c r="G2848" t="s">
        <v>10069</v>
      </c>
      <c r="H2848" s="6">
        <v>45086</v>
      </c>
      <c r="I2848">
        <f t="shared" si="88"/>
        <v>1</v>
      </c>
      <c r="J2848" t="str">
        <f t="shared" si="89"/>
        <v>Complete</v>
      </c>
      <c r="K2848">
        <f>COUNTIFS(RawData[Item], B2848,RawData[Quantity],C2848,RawData[Price Per Unit],D2848,RawData[Total Spent],E2848,RawData[Payment Method],F2848,RawData[Location],G2848,RawData[Transaction Date],H2848)</f>
        <v>1</v>
      </c>
      <c r="L2848"/>
    </row>
    <row r="2849" spans="1:12" x14ac:dyDescent="0.3">
      <c r="A2849" t="s">
        <v>2855</v>
      </c>
      <c r="B2849" t="s">
        <v>10017</v>
      </c>
      <c r="C2849">
        <v>4</v>
      </c>
      <c r="D2849">
        <v>1.5</v>
      </c>
      <c r="E2849">
        <v>6</v>
      </c>
      <c r="F2849" t="s">
        <v>10020</v>
      </c>
      <c r="G2849" t="s">
        <v>10102</v>
      </c>
      <c r="H2849" s="6">
        <v>45035</v>
      </c>
      <c r="I2849">
        <f t="shared" si="88"/>
        <v>0</v>
      </c>
      <c r="J2849" t="str">
        <f t="shared" si="89"/>
        <v>Complete</v>
      </c>
      <c r="K2849">
        <f>COUNTIFS(RawData[Item], B2849,RawData[Quantity],C2849,RawData[Price Per Unit],D2849,RawData[Total Spent],E2849,RawData[Payment Method],F2849,RawData[Location],G2849,RawData[Transaction Date],H2849)</f>
        <v>1</v>
      </c>
      <c r="L2849"/>
    </row>
    <row r="2850" spans="1:12" x14ac:dyDescent="0.3">
      <c r="A2850" t="s">
        <v>2856</v>
      </c>
      <c r="B2850" t="s">
        <v>10012</v>
      </c>
      <c r="C2850">
        <v>4</v>
      </c>
      <c r="D2850">
        <v>4</v>
      </c>
      <c r="E2850">
        <v>16</v>
      </c>
      <c r="F2850" t="s">
        <v>10019</v>
      </c>
      <c r="G2850" t="s">
        <v>10021</v>
      </c>
      <c r="H2850" s="6">
        <v>45143</v>
      </c>
      <c r="I2850">
        <f t="shared" si="88"/>
        <v>0</v>
      </c>
      <c r="J2850" t="str">
        <f t="shared" si="89"/>
        <v>Complete</v>
      </c>
      <c r="K2850">
        <f>COUNTIFS(RawData[Item], B2850,RawData[Quantity],C2850,RawData[Price Per Unit],D2850,RawData[Total Spent],E2850,RawData[Payment Method],F2850,RawData[Location],G2850,RawData[Transaction Date],H2850)</f>
        <v>1</v>
      </c>
      <c r="L2850"/>
    </row>
    <row r="2851" spans="1:12" x14ac:dyDescent="0.3">
      <c r="A2851" t="s">
        <v>2857</v>
      </c>
      <c r="B2851" t="s">
        <v>10016</v>
      </c>
      <c r="C2851">
        <v>3</v>
      </c>
      <c r="D2851">
        <v>3</v>
      </c>
      <c r="E2851">
        <v>9</v>
      </c>
      <c r="F2851" t="s">
        <v>10020</v>
      </c>
      <c r="G2851" t="s">
        <v>10102</v>
      </c>
      <c r="H2851" s="6">
        <v>44994</v>
      </c>
      <c r="I2851">
        <f t="shared" si="88"/>
        <v>0</v>
      </c>
      <c r="J2851" t="str">
        <f t="shared" si="89"/>
        <v>Complete</v>
      </c>
      <c r="K2851">
        <f>COUNTIFS(RawData[Item], B2851,RawData[Quantity],C2851,RawData[Price Per Unit],D2851,RawData[Total Spent],E2851,RawData[Payment Method],F2851,RawData[Location],G2851,RawData[Transaction Date],H2851)</f>
        <v>1</v>
      </c>
      <c r="L2851"/>
    </row>
    <row r="2852" spans="1:12" x14ac:dyDescent="0.3">
      <c r="A2852" t="s">
        <v>2858</v>
      </c>
      <c r="B2852" t="s">
        <v>10012</v>
      </c>
      <c r="C2852">
        <v>4</v>
      </c>
      <c r="D2852">
        <v>4</v>
      </c>
      <c r="E2852">
        <v>16</v>
      </c>
      <c r="F2852" t="s">
        <v>10069</v>
      </c>
      <c r="G2852" t="s">
        <v>10021</v>
      </c>
      <c r="H2852" s="6">
        <v>44961</v>
      </c>
      <c r="I2852">
        <f t="shared" si="88"/>
        <v>0</v>
      </c>
      <c r="J2852" t="str">
        <f t="shared" si="89"/>
        <v>Complete</v>
      </c>
      <c r="K2852">
        <f>COUNTIFS(RawData[Item], B2852,RawData[Quantity],C2852,RawData[Price Per Unit],D2852,RawData[Total Spent],E2852,RawData[Payment Method],F2852,RawData[Location],G2852,RawData[Transaction Date],H2852)</f>
        <v>1</v>
      </c>
      <c r="L2852"/>
    </row>
    <row r="2853" spans="1:12" x14ac:dyDescent="0.3">
      <c r="A2853" t="s">
        <v>2859</v>
      </c>
      <c r="B2853" t="s">
        <v>10014</v>
      </c>
      <c r="C2853">
        <v>5</v>
      </c>
      <c r="D2853">
        <v>4</v>
      </c>
      <c r="E2853">
        <v>20</v>
      </c>
      <c r="F2853" t="s">
        <v>10019</v>
      </c>
      <c r="G2853" t="s">
        <v>10069</v>
      </c>
      <c r="H2853" s="6">
        <v>44992</v>
      </c>
      <c r="I2853">
        <f t="shared" si="88"/>
        <v>0</v>
      </c>
      <c r="J2853" t="str">
        <f t="shared" si="89"/>
        <v>Complete</v>
      </c>
      <c r="K2853">
        <f>COUNTIFS(RawData[Item], B2853,RawData[Quantity],C2853,RawData[Price Per Unit],D2853,RawData[Total Spent],E2853,RawData[Payment Method],F2853,RawData[Location],G2853,RawData[Transaction Date],H2853)</f>
        <v>1</v>
      </c>
      <c r="L2853"/>
    </row>
    <row r="2854" spans="1:12" x14ac:dyDescent="0.3">
      <c r="A2854" t="s">
        <v>2860</v>
      </c>
      <c r="B2854" t="s">
        <v>10008</v>
      </c>
      <c r="C2854">
        <v>2</v>
      </c>
      <c r="D2854">
        <v>2</v>
      </c>
      <c r="E2854">
        <v>4</v>
      </c>
      <c r="F2854" t="s">
        <v>10019</v>
      </c>
      <c r="G2854" t="s">
        <v>10069</v>
      </c>
      <c r="H2854" s="6">
        <v>45106</v>
      </c>
      <c r="I2854">
        <f t="shared" si="88"/>
        <v>0</v>
      </c>
      <c r="J2854" t="str">
        <f t="shared" si="89"/>
        <v>Complete</v>
      </c>
      <c r="K2854">
        <f>COUNTIFS(RawData[Item], B2854,RawData[Quantity],C2854,RawData[Price Per Unit],D2854,RawData[Total Spent],E2854,RawData[Payment Method],F2854,RawData[Location],G2854,RawData[Transaction Date],H2854)</f>
        <v>1</v>
      </c>
      <c r="L2854"/>
    </row>
    <row r="2855" spans="1:12" x14ac:dyDescent="0.3">
      <c r="A2855" t="s">
        <v>2861</v>
      </c>
      <c r="B2855" t="s">
        <v>10016</v>
      </c>
      <c r="C2855">
        <v>2</v>
      </c>
      <c r="D2855">
        <v>3</v>
      </c>
      <c r="E2855">
        <v>0</v>
      </c>
      <c r="F2855" t="s">
        <v>10069</v>
      </c>
      <c r="G2855" t="s">
        <v>10069</v>
      </c>
      <c r="H2855" s="6" t="s">
        <v>10112</v>
      </c>
      <c r="I2855">
        <f t="shared" si="88"/>
        <v>1</v>
      </c>
      <c r="J2855" t="str">
        <f t="shared" si="89"/>
        <v>Incomplete</v>
      </c>
      <c r="K2855">
        <f>COUNTIFS(RawData[Item], B2855,RawData[Quantity],C2855,RawData[Price Per Unit],D2855,RawData[Total Spent],E2855,RawData[Payment Method],F2855,RawData[Location],G2855,RawData[Transaction Date],H2855)</f>
        <v>1</v>
      </c>
      <c r="L2855"/>
    </row>
    <row r="2856" spans="1:12" x14ac:dyDescent="0.3">
      <c r="A2856" t="s">
        <v>2862</v>
      </c>
      <c r="B2856" t="s">
        <v>10008</v>
      </c>
      <c r="C2856">
        <v>4</v>
      </c>
      <c r="D2856">
        <v>2</v>
      </c>
      <c r="E2856">
        <v>8</v>
      </c>
      <c r="F2856" t="s">
        <v>10069</v>
      </c>
      <c r="G2856" t="s">
        <v>10069</v>
      </c>
      <c r="H2856" s="6">
        <v>45138</v>
      </c>
      <c r="I2856">
        <f t="shared" si="88"/>
        <v>0</v>
      </c>
      <c r="J2856" t="str">
        <f t="shared" si="89"/>
        <v>Complete</v>
      </c>
      <c r="K2856">
        <f>COUNTIFS(RawData[Item], B2856,RawData[Quantity],C2856,RawData[Price Per Unit],D2856,RawData[Total Spent],E2856,RawData[Payment Method],F2856,RawData[Location],G2856,RawData[Transaction Date],H2856)</f>
        <v>1</v>
      </c>
      <c r="L2856"/>
    </row>
    <row r="2857" spans="1:12" x14ac:dyDescent="0.3">
      <c r="A2857" t="s">
        <v>2863</v>
      </c>
      <c r="B2857" t="s">
        <v>10016</v>
      </c>
      <c r="C2857">
        <v>5</v>
      </c>
      <c r="D2857">
        <v>3</v>
      </c>
      <c r="E2857">
        <v>15</v>
      </c>
      <c r="F2857" t="s">
        <v>10019</v>
      </c>
      <c r="G2857" t="s">
        <v>10069</v>
      </c>
      <c r="H2857" s="6">
        <v>45236</v>
      </c>
      <c r="I2857">
        <f t="shared" si="88"/>
        <v>0</v>
      </c>
      <c r="J2857" t="str">
        <f t="shared" si="89"/>
        <v>Complete</v>
      </c>
      <c r="K2857">
        <f>COUNTIFS(RawData[Item], B2857,RawData[Quantity],C2857,RawData[Price Per Unit],D2857,RawData[Total Spent],E2857,RawData[Payment Method],F2857,RawData[Location],G2857,RawData[Transaction Date],H2857)</f>
        <v>1</v>
      </c>
      <c r="L2857"/>
    </row>
    <row r="2858" spans="1:12" x14ac:dyDescent="0.3">
      <c r="A2858" t="s">
        <v>2864</v>
      </c>
      <c r="B2858" t="s">
        <v>10010</v>
      </c>
      <c r="C2858">
        <v>3</v>
      </c>
      <c r="D2858">
        <v>1</v>
      </c>
      <c r="E2858">
        <v>3</v>
      </c>
      <c r="F2858" t="s">
        <v>10069</v>
      </c>
      <c r="G2858" t="s">
        <v>10021</v>
      </c>
      <c r="H2858" s="6">
        <v>45072</v>
      </c>
      <c r="I2858">
        <f t="shared" si="88"/>
        <v>0</v>
      </c>
      <c r="J2858" t="str">
        <f t="shared" si="89"/>
        <v>Complete</v>
      </c>
      <c r="K2858">
        <f>COUNTIFS(RawData[Item], B2858,RawData[Quantity],C2858,RawData[Price Per Unit],D2858,RawData[Total Spent],E2858,RawData[Payment Method],F2858,RawData[Location],G2858,RawData[Transaction Date],H2858)</f>
        <v>1</v>
      </c>
      <c r="L2858"/>
    </row>
    <row r="2859" spans="1:12" x14ac:dyDescent="0.3">
      <c r="A2859" t="s">
        <v>2865</v>
      </c>
      <c r="B2859" t="s">
        <v>10014</v>
      </c>
      <c r="C2859">
        <v>5</v>
      </c>
      <c r="D2859">
        <v>4</v>
      </c>
      <c r="E2859">
        <v>20</v>
      </c>
      <c r="F2859" t="s">
        <v>10020</v>
      </c>
      <c r="G2859" t="s">
        <v>10069</v>
      </c>
      <c r="H2859" s="6">
        <v>45278</v>
      </c>
      <c r="I2859">
        <f t="shared" si="88"/>
        <v>0</v>
      </c>
      <c r="J2859" t="str">
        <f t="shared" si="89"/>
        <v>Complete</v>
      </c>
      <c r="K2859">
        <f>COUNTIFS(RawData[Item], B2859,RawData[Quantity],C2859,RawData[Price Per Unit],D2859,RawData[Total Spent],E2859,RawData[Payment Method],F2859,RawData[Location],G2859,RawData[Transaction Date],H2859)</f>
        <v>1</v>
      </c>
      <c r="L2859"/>
    </row>
    <row r="2860" spans="1:12" x14ac:dyDescent="0.3">
      <c r="A2860" t="s">
        <v>2866</v>
      </c>
      <c r="B2860" t="s">
        <v>10011</v>
      </c>
      <c r="C2860">
        <v>3</v>
      </c>
      <c r="D2860">
        <v>5</v>
      </c>
      <c r="E2860">
        <v>15</v>
      </c>
      <c r="F2860" t="s">
        <v>10020</v>
      </c>
      <c r="G2860" t="s">
        <v>10069</v>
      </c>
      <c r="H2860" s="6">
        <v>45234</v>
      </c>
      <c r="I2860">
        <f t="shared" si="88"/>
        <v>0</v>
      </c>
      <c r="J2860" t="str">
        <f t="shared" si="89"/>
        <v>Complete</v>
      </c>
      <c r="K2860">
        <f>COUNTIFS(RawData[Item], B2860,RawData[Quantity],C2860,RawData[Price Per Unit],D2860,RawData[Total Spent],E2860,RawData[Payment Method],F2860,RawData[Location],G2860,RawData[Transaction Date],H2860)</f>
        <v>1</v>
      </c>
      <c r="L2860"/>
    </row>
    <row r="2861" spans="1:12" x14ac:dyDescent="0.3">
      <c r="A2861" t="s">
        <v>2867</v>
      </c>
      <c r="B2861" t="s">
        <v>10015</v>
      </c>
      <c r="C2861">
        <v>3</v>
      </c>
      <c r="D2861">
        <v>3</v>
      </c>
      <c r="E2861">
        <v>9</v>
      </c>
      <c r="F2861" t="s">
        <v>10020</v>
      </c>
      <c r="G2861" t="s">
        <v>10069</v>
      </c>
      <c r="H2861" s="6">
        <v>44956</v>
      </c>
      <c r="I2861">
        <f t="shared" si="88"/>
        <v>1</v>
      </c>
      <c r="J2861" t="str">
        <f t="shared" si="89"/>
        <v>Complete</v>
      </c>
      <c r="K2861">
        <f>COUNTIFS(RawData[Item], B2861,RawData[Quantity],C2861,RawData[Price Per Unit],D2861,RawData[Total Spent],E2861,RawData[Payment Method],F2861,RawData[Location],G2861,RawData[Transaction Date],H2861)</f>
        <v>1</v>
      </c>
      <c r="L2861"/>
    </row>
    <row r="2862" spans="1:12" x14ac:dyDescent="0.3">
      <c r="A2862" t="s">
        <v>2868</v>
      </c>
      <c r="B2862" t="s">
        <v>10011</v>
      </c>
      <c r="C2862" t="s">
        <v>10015</v>
      </c>
      <c r="D2862">
        <v>5</v>
      </c>
      <c r="E2862">
        <v>20</v>
      </c>
      <c r="F2862" t="s">
        <v>10020</v>
      </c>
      <c r="G2862" t="s">
        <v>10102</v>
      </c>
      <c r="H2862" s="6">
        <v>45122</v>
      </c>
      <c r="I2862">
        <f t="shared" si="88"/>
        <v>1</v>
      </c>
      <c r="J2862" t="str">
        <f t="shared" si="89"/>
        <v>Complete</v>
      </c>
      <c r="K2862">
        <f>COUNTIFS(RawData[Item], B2862,RawData[Quantity],C2862,RawData[Price Per Unit],D2862,RawData[Total Spent],E2862,RawData[Payment Method],F2862,RawData[Location],G2862,RawData[Transaction Date],H2862)</f>
        <v>1</v>
      </c>
      <c r="L2862"/>
    </row>
    <row r="2863" spans="1:12" x14ac:dyDescent="0.3">
      <c r="A2863" t="s">
        <v>2869</v>
      </c>
      <c r="B2863" t="s">
        <v>10016</v>
      </c>
      <c r="C2863">
        <v>2</v>
      </c>
      <c r="D2863">
        <v>3</v>
      </c>
      <c r="E2863">
        <v>6</v>
      </c>
      <c r="F2863" t="s">
        <v>10069</v>
      </c>
      <c r="G2863" t="s">
        <v>10069</v>
      </c>
      <c r="H2863" s="6">
        <v>45224</v>
      </c>
      <c r="I2863">
        <f t="shared" si="88"/>
        <v>0</v>
      </c>
      <c r="J2863" t="str">
        <f t="shared" si="89"/>
        <v>Complete</v>
      </c>
      <c r="K2863">
        <f>COUNTIFS(RawData[Item], B2863,RawData[Quantity],C2863,RawData[Price Per Unit],D2863,RawData[Total Spent],E2863,RawData[Payment Method],F2863,RawData[Location],G2863,RawData[Transaction Date],H2863)</f>
        <v>1</v>
      </c>
      <c r="L2863"/>
    </row>
    <row r="2864" spans="1:12" x14ac:dyDescent="0.3">
      <c r="A2864" t="s">
        <v>2870</v>
      </c>
      <c r="B2864" t="s">
        <v>10016</v>
      </c>
      <c r="C2864">
        <v>1</v>
      </c>
      <c r="D2864" t="s">
        <v>10015</v>
      </c>
      <c r="E2864">
        <v>3</v>
      </c>
      <c r="F2864" t="s">
        <v>10019</v>
      </c>
      <c r="G2864" t="s">
        <v>10069</v>
      </c>
      <c r="H2864" s="6">
        <v>45125</v>
      </c>
      <c r="I2864">
        <f t="shared" si="88"/>
        <v>1</v>
      </c>
      <c r="J2864" t="str">
        <f t="shared" si="89"/>
        <v>Complete</v>
      </c>
      <c r="K2864">
        <f>COUNTIFS(RawData[Item], B2864,RawData[Quantity],C2864,RawData[Price Per Unit],D2864,RawData[Total Spent],E2864,RawData[Payment Method],F2864,RawData[Location],G2864,RawData[Transaction Date],H2864)</f>
        <v>1</v>
      </c>
      <c r="L2864"/>
    </row>
    <row r="2865" spans="1:12" x14ac:dyDescent="0.3">
      <c r="A2865" t="s">
        <v>2871</v>
      </c>
      <c r="B2865" t="s">
        <v>10011</v>
      </c>
      <c r="C2865">
        <v>2</v>
      </c>
      <c r="D2865">
        <v>5</v>
      </c>
      <c r="E2865">
        <v>10</v>
      </c>
      <c r="F2865" t="s">
        <v>10104</v>
      </c>
      <c r="G2865" t="s">
        <v>10069</v>
      </c>
      <c r="H2865" s="6">
        <v>44957</v>
      </c>
      <c r="I2865">
        <f t="shared" si="88"/>
        <v>1</v>
      </c>
      <c r="J2865" t="str">
        <f t="shared" si="89"/>
        <v>Complete</v>
      </c>
      <c r="K2865">
        <f>COUNTIFS(RawData[Item], B2865,RawData[Quantity],C2865,RawData[Price Per Unit],D2865,RawData[Total Spent],E2865,RawData[Payment Method],F2865,RawData[Location],G2865,RawData[Transaction Date],H2865)</f>
        <v>1</v>
      </c>
      <c r="L2865"/>
    </row>
    <row r="2866" spans="1:12" x14ac:dyDescent="0.3">
      <c r="A2866" t="s">
        <v>2872</v>
      </c>
      <c r="B2866" t="s">
        <v>10008</v>
      </c>
      <c r="C2866">
        <v>4</v>
      </c>
      <c r="D2866">
        <v>2</v>
      </c>
      <c r="E2866">
        <v>8</v>
      </c>
      <c r="F2866" t="s">
        <v>10018</v>
      </c>
      <c r="G2866" t="s">
        <v>10069</v>
      </c>
      <c r="H2866" s="6">
        <v>45184</v>
      </c>
      <c r="I2866">
        <f t="shared" si="88"/>
        <v>0</v>
      </c>
      <c r="J2866" t="str">
        <f t="shared" si="89"/>
        <v>Complete</v>
      </c>
      <c r="K2866">
        <f>COUNTIFS(RawData[Item], B2866,RawData[Quantity],C2866,RawData[Price Per Unit],D2866,RawData[Total Spent],E2866,RawData[Payment Method],F2866,RawData[Location],G2866,RawData[Transaction Date],H2866)</f>
        <v>1</v>
      </c>
      <c r="L2866"/>
    </row>
    <row r="2867" spans="1:12" x14ac:dyDescent="0.3">
      <c r="A2867" t="s">
        <v>2873</v>
      </c>
      <c r="B2867" t="s">
        <v>10016</v>
      </c>
      <c r="C2867">
        <v>1</v>
      </c>
      <c r="D2867">
        <v>3</v>
      </c>
      <c r="E2867">
        <v>3</v>
      </c>
      <c r="F2867" t="s">
        <v>10104</v>
      </c>
      <c r="G2867" t="s">
        <v>10021</v>
      </c>
      <c r="H2867" s="6">
        <v>45235</v>
      </c>
      <c r="I2867">
        <f t="shared" si="88"/>
        <v>1</v>
      </c>
      <c r="J2867" t="str">
        <f t="shared" si="89"/>
        <v>Complete</v>
      </c>
      <c r="K2867">
        <f>COUNTIFS(RawData[Item], B2867,RawData[Quantity],C2867,RawData[Price Per Unit],D2867,RawData[Total Spent],E2867,RawData[Payment Method],F2867,RawData[Location],G2867,RawData[Transaction Date],H2867)</f>
        <v>1</v>
      </c>
      <c r="L2867"/>
    </row>
    <row r="2868" spans="1:12" x14ac:dyDescent="0.3">
      <c r="A2868" t="s">
        <v>2874</v>
      </c>
      <c r="B2868" t="s">
        <v>10011</v>
      </c>
      <c r="C2868">
        <v>2</v>
      </c>
      <c r="D2868">
        <v>5</v>
      </c>
      <c r="E2868">
        <v>0</v>
      </c>
      <c r="F2868" t="s">
        <v>10103</v>
      </c>
      <c r="G2868" t="s">
        <v>10069</v>
      </c>
      <c r="H2868" s="6">
        <v>45027</v>
      </c>
      <c r="I2868">
        <f t="shared" si="88"/>
        <v>1</v>
      </c>
      <c r="J2868" t="str">
        <f t="shared" si="89"/>
        <v>Complete</v>
      </c>
      <c r="K2868">
        <f>COUNTIFS(RawData[Item], B2868,RawData[Quantity],C2868,RawData[Price Per Unit],D2868,RawData[Total Spent],E2868,RawData[Payment Method],F2868,RawData[Location],G2868,RawData[Transaction Date],H2868)</f>
        <v>1</v>
      </c>
      <c r="L2868"/>
    </row>
    <row r="2869" spans="1:12" x14ac:dyDescent="0.3">
      <c r="A2869" t="s">
        <v>2875</v>
      </c>
      <c r="B2869" t="s">
        <v>10016</v>
      </c>
      <c r="C2869">
        <v>3</v>
      </c>
      <c r="D2869">
        <v>3</v>
      </c>
      <c r="E2869">
        <v>9</v>
      </c>
      <c r="F2869" t="s">
        <v>10019</v>
      </c>
      <c r="G2869" t="s">
        <v>10069</v>
      </c>
      <c r="H2869" s="6">
        <v>44972</v>
      </c>
      <c r="I2869">
        <f t="shared" si="88"/>
        <v>0</v>
      </c>
      <c r="J2869" t="str">
        <f t="shared" si="89"/>
        <v>Complete</v>
      </c>
      <c r="K2869">
        <f>COUNTIFS(RawData[Item], B2869,RawData[Quantity],C2869,RawData[Price Per Unit],D2869,RawData[Total Spent],E2869,RawData[Payment Method],F2869,RawData[Location],G2869,RawData[Transaction Date],H2869)</f>
        <v>1</v>
      </c>
      <c r="L2869"/>
    </row>
    <row r="2870" spans="1:12" x14ac:dyDescent="0.3">
      <c r="A2870" t="s">
        <v>2876</v>
      </c>
      <c r="B2870" t="s">
        <v>10017</v>
      </c>
      <c r="C2870">
        <v>1</v>
      </c>
      <c r="D2870">
        <v>1.5</v>
      </c>
      <c r="E2870">
        <v>1.5</v>
      </c>
      <c r="F2870" t="s">
        <v>10020</v>
      </c>
      <c r="G2870" t="s">
        <v>10102</v>
      </c>
      <c r="H2870" s="6">
        <v>44994</v>
      </c>
      <c r="I2870">
        <f t="shared" si="88"/>
        <v>0</v>
      </c>
      <c r="J2870" t="str">
        <f t="shared" si="89"/>
        <v>Complete</v>
      </c>
      <c r="K2870">
        <f>COUNTIFS(RawData[Item], B2870,RawData[Quantity],C2870,RawData[Price Per Unit],D2870,RawData[Total Spent],E2870,RawData[Payment Method],F2870,RawData[Location],G2870,RawData[Transaction Date],H2870)</f>
        <v>1</v>
      </c>
      <c r="L2870"/>
    </row>
    <row r="2871" spans="1:12" x14ac:dyDescent="0.3">
      <c r="A2871" t="s">
        <v>2877</v>
      </c>
      <c r="B2871" t="s">
        <v>10016</v>
      </c>
      <c r="C2871">
        <v>3</v>
      </c>
      <c r="D2871">
        <v>3</v>
      </c>
      <c r="E2871">
        <v>9</v>
      </c>
      <c r="F2871" t="s">
        <v>10069</v>
      </c>
      <c r="G2871" t="s">
        <v>10021</v>
      </c>
      <c r="H2871" s="6">
        <v>45009</v>
      </c>
      <c r="I2871">
        <f t="shared" si="88"/>
        <v>0</v>
      </c>
      <c r="J2871" t="str">
        <f t="shared" si="89"/>
        <v>Complete</v>
      </c>
      <c r="K2871">
        <f>COUNTIFS(RawData[Item], B2871,RawData[Quantity],C2871,RawData[Price Per Unit],D2871,RawData[Total Spent],E2871,RawData[Payment Method],F2871,RawData[Location],G2871,RawData[Transaction Date],H2871)</f>
        <v>1</v>
      </c>
      <c r="L2871"/>
    </row>
    <row r="2872" spans="1:12" x14ac:dyDescent="0.3">
      <c r="A2872" t="s">
        <v>2878</v>
      </c>
      <c r="B2872" t="s">
        <v>10008</v>
      </c>
      <c r="C2872">
        <v>3</v>
      </c>
      <c r="D2872">
        <v>2</v>
      </c>
      <c r="E2872">
        <v>6</v>
      </c>
      <c r="F2872" t="s">
        <v>10069</v>
      </c>
      <c r="G2872" t="s">
        <v>10021</v>
      </c>
      <c r="H2872" s="6">
        <v>45246</v>
      </c>
      <c r="I2872">
        <f t="shared" si="88"/>
        <v>0</v>
      </c>
      <c r="J2872" t="str">
        <f t="shared" si="89"/>
        <v>Complete</v>
      </c>
      <c r="K2872">
        <f>COUNTIFS(RawData[Item], B2872,RawData[Quantity],C2872,RawData[Price Per Unit],D2872,RawData[Total Spent],E2872,RawData[Payment Method],F2872,RawData[Location],G2872,RawData[Transaction Date],H2872)</f>
        <v>1</v>
      </c>
      <c r="L2872"/>
    </row>
    <row r="2873" spans="1:12" x14ac:dyDescent="0.3">
      <c r="A2873" t="s">
        <v>2879</v>
      </c>
      <c r="B2873" t="s">
        <v>10016</v>
      </c>
      <c r="C2873">
        <v>2</v>
      </c>
      <c r="D2873">
        <v>3</v>
      </c>
      <c r="E2873">
        <v>6</v>
      </c>
      <c r="F2873" t="s">
        <v>10020</v>
      </c>
      <c r="G2873" t="s">
        <v>10021</v>
      </c>
      <c r="H2873" s="6">
        <v>45135</v>
      </c>
      <c r="I2873">
        <f t="shared" si="88"/>
        <v>0</v>
      </c>
      <c r="J2873" t="str">
        <f t="shared" si="89"/>
        <v>Complete</v>
      </c>
      <c r="K2873">
        <f>COUNTIFS(RawData[Item], B2873,RawData[Quantity],C2873,RawData[Price Per Unit],D2873,RawData[Total Spent],E2873,RawData[Payment Method],F2873,RawData[Location],G2873,RawData[Transaction Date],H2873)</f>
        <v>1</v>
      </c>
      <c r="L2873"/>
    </row>
    <row r="2874" spans="1:12" x14ac:dyDescent="0.3">
      <c r="A2874" t="s">
        <v>2880</v>
      </c>
      <c r="B2874" t="s">
        <v>10017</v>
      </c>
      <c r="C2874">
        <v>2</v>
      </c>
      <c r="D2874">
        <v>1.5</v>
      </c>
      <c r="E2874">
        <v>3</v>
      </c>
      <c r="F2874" t="s">
        <v>10103</v>
      </c>
      <c r="G2874" t="s">
        <v>10069</v>
      </c>
      <c r="H2874" s="6">
        <v>45216</v>
      </c>
      <c r="I2874">
        <f t="shared" si="88"/>
        <v>1</v>
      </c>
      <c r="J2874" t="str">
        <f t="shared" si="89"/>
        <v>Complete</v>
      </c>
      <c r="K2874">
        <f>COUNTIFS(RawData[Item], B2874,RawData[Quantity],C2874,RawData[Price Per Unit],D2874,RawData[Total Spent],E2874,RawData[Payment Method],F2874,RawData[Location],G2874,RawData[Transaction Date],H2874)</f>
        <v>1</v>
      </c>
      <c r="L2874"/>
    </row>
    <row r="2875" spans="1:12" x14ac:dyDescent="0.3">
      <c r="A2875" t="s">
        <v>2881</v>
      </c>
      <c r="B2875" t="s">
        <v>10016</v>
      </c>
      <c r="C2875">
        <v>3</v>
      </c>
      <c r="D2875">
        <v>3</v>
      </c>
      <c r="E2875">
        <v>9</v>
      </c>
      <c r="F2875" t="s">
        <v>10018</v>
      </c>
      <c r="G2875" t="s">
        <v>10069</v>
      </c>
      <c r="H2875" s="6">
        <v>45206</v>
      </c>
      <c r="I2875">
        <f t="shared" si="88"/>
        <v>0</v>
      </c>
      <c r="J2875" t="str">
        <f t="shared" si="89"/>
        <v>Complete</v>
      </c>
      <c r="K2875">
        <f>COUNTIFS(RawData[Item], B2875,RawData[Quantity],C2875,RawData[Price Per Unit],D2875,RawData[Total Spent],E2875,RawData[Payment Method],F2875,RawData[Location],G2875,RawData[Transaction Date],H2875)</f>
        <v>1</v>
      </c>
      <c r="L2875"/>
    </row>
    <row r="2876" spans="1:12" x14ac:dyDescent="0.3">
      <c r="A2876" t="s">
        <v>2882</v>
      </c>
      <c r="B2876" t="s">
        <v>10017</v>
      </c>
      <c r="C2876">
        <v>5</v>
      </c>
      <c r="D2876">
        <v>1.5</v>
      </c>
      <c r="E2876">
        <v>7.5</v>
      </c>
      <c r="F2876" t="s">
        <v>10019</v>
      </c>
      <c r="G2876" t="s">
        <v>10021</v>
      </c>
      <c r="H2876" s="6">
        <v>44962</v>
      </c>
      <c r="I2876">
        <f t="shared" si="88"/>
        <v>0</v>
      </c>
      <c r="J2876" t="str">
        <f t="shared" si="89"/>
        <v>Complete</v>
      </c>
      <c r="K2876">
        <f>COUNTIFS(RawData[Item], B2876,RawData[Quantity],C2876,RawData[Price Per Unit],D2876,RawData[Total Spent],E2876,RawData[Payment Method],F2876,RawData[Location],G2876,RawData[Transaction Date],H2876)</f>
        <v>1</v>
      </c>
      <c r="L2876"/>
    </row>
    <row r="2877" spans="1:12" x14ac:dyDescent="0.3">
      <c r="A2877" t="s">
        <v>2883</v>
      </c>
      <c r="B2877" t="s">
        <v>10016</v>
      </c>
      <c r="C2877">
        <v>3</v>
      </c>
      <c r="D2877">
        <v>3</v>
      </c>
      <c r="E2877">
        <v>9</v>
      </c>
      <c r="F2877" t="s">
        <v>10069</v>
      </c>
      <c r="G2877" t="s">
        <v>10102</v>
      </c>
      <c r="H2877" s="6">
        <v>45147</v>
      </c>
      <c r="I2877">
        <f t="shared" si="88"/>
        <v>0</v>
      </c>
      <c r="J2877" t="str">
        <f t="shared" si="89"/>
        <v>Complete</v>
      </c>
      <c r="K2877">
        <f>COUNTIFS(RawData[Item], B2877,RawData[Quantity],C2877,RawData[Price Per Unit],D2877,RawData[Total Spent],E2877,RawData[Payment Method],F2877,RawData[Location],G2877,RawData[Transaction Date],H2877)</f>
        <v>1</v>
      </c>
      <c r="L2877"/>
    </row>
    <row r="2878" spans="1:12" x14ac:dyDescent="0.3">
      <c r="A2878" t="s">
        <v>2884</v>
      </c>
      <c r="B2878" t="s">
        <v>10010</v>
      </c>
      <c r="C2878">
        <v>5</v>
      </c>
      <c r="D2878">
        <v>1</v>
      </c>
      <c r="E2878">
        <v>5</v>
      </c>
      <c r="F2878" t="s">
        <v>10018</v>
      </c>
      <c r="G2878" t="s">
        <v>10069</v>
      </c>
      <c r="H2878" s="6">
        <v>44965</v>
      </c>
      <c r="I2878">
        <f t="shared" si="88"/>
        <v>0</v>
      </c>
      <c r="J2878" t="str">
        <f t="shared" si="89"/>
        <v>Complete</v>
      </c>
      <c r="K2878">
        <f>COUNTIFS(RawData[Item], B2878,RawData[Quantity],C2878,RawData[Price Per Unit],D2878,RawData[Total Spent],E2878,RawData[Payment Method],F2878,RawData[Location],G2878,RawData[Transaction Date],H2878)</f>
        <v>1</v>
      </c>
      <c r="L2878"/>
    </row>
    <row r="2879" spans="1:12" x14ac:dyDescent="0.3">
      <c r="A2879" t="s">
        <v>2885</v>
      </c>
      <c r="B2879" t="s">
        <v>10017</v>
      </c>
      <c r="C2879">
        <v>5</v>
      </c>
      <c r="D2879">
        <v>1.5</v>
      </c>
      <c r="E2879">
        <v>7.5</v>
      </c>
      <c r="F2879" t="s">
        <v>10019</v>
      </c>
      <c r="G2879" t="s">
        <v>10069</v>
      </c>
      <c r="H2879" s="6">
        <v>45203</v>
      </c>
      <c r="I2879">
        <f t="shared" si="88"/>
        <v>0</v>
      </c>
      <c r="J2879" t="str">
        <f t="shared" si="89"/>
        <v>Complete</v>
      </c>
      <c r="K2879">
        <f>COUNTIFS(RawData[Item], B2879,RawData[Quantity],C2879,RawData[Price Per Unit],D2879,RawData[Total Spent],E2879,RawData[Payment Method],F2879,RawData[Location],G2879,RawData[Transaction Date],H2879)</f>
        <v>1</v>
      </c>
      <c r="L2879"/>
    </row>
    <row r="2880" spans="1:12" x14ac:dyDescent="0.3">
      <c r="A2880" t="s">
        <v>2886</v>
      </c>
      <c r="B2880" t="s">
        <v>10010</v>
      </c>
      <c r="C2880">
        <v>5</v>
      </c>
      <c r="D2880">
        <v>0</v>
      </c>
      <c r="E2880">
        <v>5</v>
      </c>
      <c r="F2880" t="s">
        <v>10019</v>
      </c>
      <c r="G2880" t="s">
        <v>10021</v>
      </c>
      <c r="H2880" s="6">
        <v>44984</v>
      </c>
      <c r="I2880">
        <f t="shared" si="88"/>
        <v>0</v>
      </c>
      <c r="J2880" t="str">
        <f t="shared" si="89"/>
        <v>Complete</v>
      </c>
      <c r="K2880">
        <f>COUNTIFS(RawData[Item], B2880,RawData[Quantity],C2880,RawData[Price Per Unit],D2880,RawData[Total Spent],E2880,RawData[Payment Method],F2880,RawData[Location],G2880,RawData[Transaction Date],H2880)</f>
        <v>1</v>
      </c>
      <c r="L2880"/>
    </row>
    <row r="2881" spans="1:12" x14ac:dyDescent="0.3">
      <c r="A2881" t="s">
        <v>2887</v>
      </c>
      <c r="B2881" t="s">
        <v>10010</v>
      </c>
      <c r="C2881">
        <v>4</v>
      </c>
      <c r="D2881">
        <v>1</v>
      </c>
      <c r="E2881">
        <v>4</v>
      </c>
      <c r="F2881" t="s">
        <v>10018</v>
      </c>
      <c r="G2881" t="s">
        <v>10102</v>
      </c>
      <c r="H2881" s="6">
        <v>44953</v>
      </c>
      <c r="I2881">
        <f t="shared" si="88"/>
        <v>0</v>
      </c>
      <c r="J2881" t="str">
        <f t="shared" si="89"/>
        <v>Complete</v>
      </c>
      <c r="K2881">
        <f>COUNTIFS(RawData[Item], B2881,RawData[Quantity],C2881,RawData[Price Per Unit],D2881,RawData[Total Spent],E2881,RawData[Payment Method],F2881,RawData[Location],G2881,RawData[Transaction Date],H2881)</f>
        <v>1</v>
      </c>
      <c r="L2881"/>
    </row>
    <row r="2882" spans="1:12" x14ac:dyDescent="0.3">
      <c r="A2882" t="s">
        <v>2888</v>
      </c>
      <c r="B2882" t="s">
        <v>10014</v>
      </c>
      <c r="C2882">
        <v>3</v>
      </c>
      <c r="D2882">
        <v>4</v>
      </c>
      <c r="E2882">
        <v>12</v>
      </c>
      <c r="F2882" t="s">
        <v>10069</v>
      </c>
      <c r="G2882" t="s">
        <v>10069</v>
      </c>
      <c r="H2882" s="6">
        <v>45071</v>
      </c>
      <c r="I2882">
        <f t="shared" ref="I2882:I2945" si="90">(B2882="Unknown")+(B2882="Error")+(C2882="Unknown")+(C2882="Error")+(D2882="Unknown")+(D2882="Error")+(E2882="Unknown")+(E2882="Error")+(F2882="Unknown")+(F2882="Error")+(G2882="Unknown")+(G2882="Error")+(H2882="No Date")</f>
        <v>0</v>
      </c>
      <c r="J2882" t="str">
        <f t="shared" ref="J2882:J2945" si="91">IF((H2882="No Date"),"Incomplete","Complete")</f>
        <v>Complete</v>
      </c>
      <c r="K2882">
        <f>COUNTIFS(RawData[Item], B2882,RawData[Quantity],C2882,RawData[Price Per Unit],D2882,RawData[Total Spent],E2882,RawData[Payment Method],F2882,RawData[Location],G2882,RawData[Transaction Date],H2882)</f>
        <v>1</v>
      </c>
      <c r="L2882"/>
    </row>
    <row r="2883" spans="1:12" x14ac:dyDescent="0.3">
      <c r="A2883" t="s">
        <v>2889</v>
      </c>
      <c r="B2883" t="s">
        <v>10014</v>
      </c>
      <c r="C2883">
        <v>5</v>
      </c>
      <c r="D2883">
        <v>4</v>
      </c>
      <c r="E2883">
        <v>20</v>
      </c>
      <c r="F2883" t="s">
        <v>10069</v>
      </c>
      <c r="G2883" t="s">
        <v>10102</v>
      </c>
      <c r="H2883" s="6">
        <v>45054</v>
      </c>
      <c r="I2883">
        <f t="shared" si="90"/>
        <v>0</v>
      </c>
      <c r="J2883" t="str">
        <f t="shared" si="91"/>
        <v>Complete</v>
      </c>
      <c r="K2883">
        <f>COUNTIFS(RawData[Item], B2883,RawData[Quantity],C2883,RawData[Price Per Unit],D2883,RawData[Total Spent],E2883,RawData[Payment Method],F2883,RawData[Location],G2883,RawData[Transaction Date],H2883)</f>
        <v>1</v>
      </c>
      <c r="L2883"/>
    </row>
    <row r="2884" spans="1:12" x14ac:dyDescent="0.3">
      <c r="A2884" t="s">
        <v>2890</v>
      </c>
      <c r="B2884" t="s">
        <v>10016</v>
      </c>
      <c r="C2884">
        <v>2</v>
      </c>
      <c r="D2884">
        <v>3</v>
      </c>
      <c r="E2884">
        <v>6</v>
      </c>
      <c r="F2884" t="s">
        <v>10019</v>
      </c>
      <c r="G2884" t="s">
        <v>10102</v>
      </c>
      <c r="H2884" s="6">
        <v>45123</v>
      </c>
      <c r="I2884">
        <f t="shared" si="90"/>
        <v>0</v>
      </c>
      <c r="J2884" t="str">
        <f t="shared" si="91"/>
        <v>Complete</v>
      </c>
      <c r="K2884">
        <f>COUNTIFS(RawData[Item], B2884,RawData[Quantity],C2884,RawData[Price Per Unit],D2884,RawData[Total Spent],E2884,RawData[Payment Method],F2884,RawData[Location],G2884,RawData[Transaction Date],H2884)</f>
        <v>1</v>
      </c>
      <c r="L2884"/>
    </row>
    <row r="2885" spans="1:12" x14ac:dyDescent="0.3">
      <c r="A2885" t="s">
        <v>2891</v>
      </c>
      <c r="B2885" t="s">
        <v>10009</v>
      </c>
      <c r="C2885">
        <v>5</v>
      </c>
      <c r="D2885">
        <v>3</v>
      </c>
      <c r="E2885">
        <v>15</v>
      </c>
      <c r="F2885" t="s">
        <v>10019</v>
      </c>
      <c r="G2885" t="s">
        <v>10069</v>
      </c>
      <c r="H2885" s="6">
        <v>44929</v>
      </c>
      <c r="I2885">
        <f t="shared" si="90"/>
        <v>0</v>
      </c>
      <c r="J2885" t="str">
        <f t="shared" si="91"/>
        <v>Complete</v>
      </c>
      <c r="K2885">
        <f>COUNTIFS(RawData[Item], B2885,RawData[Quantity],C2885,RawData[Price Per Unit],D2885,RawData[Total Spent],E2885,RawData[Payment Method],F2885,RawData[Location],G2885,RawData[Transaction Date],H2885)</f>
        <v>1</v>
      </c>
      <c r="L2885"/>
    </row>
    <row r="2886" spans="1:12" x14ac:dyDescent="0.3">
      <c r="A2886" t="s">
        <v>2892</v>
      </c>
      <c r="B2886" t="s">
        <v>10014</v>
      </c>
      <c r="C2886">
        <v>2</v>
      </c>
      <c r="D2886">
        <v>4</v>
      </c>
      <c r="E2886">
        <v>8</v>
      </c>
      <c r="F2886" t="s">
        <v>10019</v>
      </c>
      <c r="G2886" t="s">
        <v>10021</v>
      </c>
      <c r="H2886" s="6">
        <v>45264</v>
      </c>
      <c r="I2886">
        <f t="shared" si="90"/>
        <v>0</v>
      </c>
      <c r="J2886" t="str">
        <f t="shared" si="91"/>
        <v>Complete</v>
      </c>
      <c r="K2886">
        <f>COUNTIFS(RawData[Item], B2886,RawData[Quantity],C2886,RawData[Price Per Unit],D2886,RawData[Total Spent],E2886,RawData[Payment Method],F2886,RawData[Location],G2886,RawData[Transaction Date],H2886)</f>
        <v>1</v>
      </c>
      <c r="L2886"/>
    </row>
    <row r="2887" spans="1:12" x14ac:dyDescent="0.3">
      <c r="A2887" t="s">
        <v>2893</v>
      </c>
      <c r="B2887" t="s">
        <v>10013</v>
      </c>
      <c r="C2887">
        <v>4</v>
      </c>
      <c r="D2887">
        <v>5</v>
      </c>
      <c r="E2887">
        <v>20</v>
      </c>
      <c r="F2887" t="s">
        <v>10019</v>
      </c>
      <c r="G2887" t="s">
        <v>10021</v>
      </c>
      <c r="H2887" s="6">
        <v>45061</v>
      </c>
      <c r="I2887">
        <f t="shared" si="90"/>
        <v>1</v>
      </c>
      <c r="J2887" t="str">
        <f t="shared" si="91"/>
        <v>Complete</v>
      </c>
      <c r="K2887">
        <f>COUNTIFS(RawData[Item], B2887,RawData[Quantity],C2887,RawData[Price Per Unit],D2887,RawData[Total Spent],E2887,RawData[Payment Method],F2887,RawData[Location],G2887,RawData[Transaction Date],H2887)</f>
        <v>1</v>
      </c>
      <c r="L2887"/>
    </row>
    <row r="2888" spans="1:12" x14ac:dyDescent="0.3">
      <c r="A2888" t="s">
        <v>2894</v>
      </c>
      <c r="B2888" t="s">
        <v>10010</v>
      </c>
      <c r="C2888">
        <v>3</v>
      </c>
      <c r="D2888">
        <v>1</v>
      </c>
      <c r="E2888">
        <v>3</v>
      </c>
      <c r="F2888" t="s">
        <v>10019</v>
      </c>
      <c r="G2888" t="s">
        <v>10069</v>
      </c>
      <c r="H2888" s="6">
        <v>45266</v>
      </c>
      <c r="I2888">
        <f t="shared" si="90"/>
        <v>0</v>
      </c>
      <c r="J2888" t="str">
        <f t="shared" si="91"/>
        <v>Complete</v>
      </c>
      <c r="K2888">
        <f>COUNTIFS(RawData[Item], B2888,RawData[Quantity],C2888,RawData[Price Per Unit],D2888,RawData[Total Spent],E2888,RawData[Payment Method],F2888,RawData[Location],G2888,RawData[Transaction Date],H2888)</f>
        <v>1</v>
      </c>
      <c r="L2888"/>
    </row>
    <row r="2889" spans="1:12" x14ac:dyDescent="0.3">
      <c r="A2889" t="s">
        <v>2895</v>
      </c>
      <c r="B2889" t="s">
        <v>10008</v>
      </c>
      <c r="C2889">
        <v>5</v>
      </c>
      <c r="D2889">
        <v>2</v>
      </c>
      <c r="E2889">
        <v>10</v>
      </c>
      <c r="F2889" t="s">
        <v>10069</v>
      </c>
      <c r="G2889" t="s">
        <v>10069</v>
      </c>
      <c r="H2889" s="6">
        <v>45133</v>
      </c>
      <c r="I2889">
        <f t="shared" si="90"/>
        <v>0</v>
      </c>
      <c r="J2889" t="str">
        <f t="shared" si="91"/>
        <v>Complete</v>
      </c>
      <c r="K2889">
        <f>COUNTIFS(RawData[Item], B2889,RawData[Quantity],C2889,RawData[Price Per Unit],D2889,RawData[Total Spent],E2889,RawData[Payment Method],F2889,RawData[Location],G2889,RawData[Transaction Date],H2889)</f>
        <v>1</v>
      </c>
      <c r="L2889"/>
    </row>
    <row r="2890" spans="1:12" x14ac:dyDescent="0.3">
      <c r="A2890" t="s">
        <v>2896</v>
      </c>
      <c r="B2890" t="s">
        <v>10008</v>
      </c>
      <c r="C2890">
        <v>5</v>
      </c>
      <c r="D2890">
        <v>2</v>
      </c>
      <c r="E2890">
        <v>10</v>
      </c>
      <c r="F2890" t="s">
        <v>10018</v>
      </c>
      <c r="G2890" t="s">
        <v>10102</v>
      </c>
      <c r="H2890" s="6">
        <v>44934</v>
      </c>
      <c r="I2890">
        <f t="shared" si="90"/>
        <v>0</v>
      </c>
      <c r="J2890" t="str">
        <f t="shared" si="91"/>
        <v>Complete</v>
      </c>
      <c r="K2890">
        <f>COUNTIFS(RawData[Item], B2890,RawData[Quantity],C2890,RawData[Price Per Unit],D2890,RawData[Total Spent],E2890,RawData[Payment Method],F2890,RawData[Location],G2890,RawData[Transaction Date],H2890)</f>
        <v>1</v>
      </c>
      <c r="L2890"/>
    </row>
    <row r="2891" spans="1:12" x14ac:dyDescent="0.3">
      <c r="A2891" t="s">
        <v>2897</v>
      </c>
      <c r="B2891" t="s">
        <v>10010</v>
      </c>
      <c r="C2891">
        <v>3</v>
      </c>
      <c r="D2891">
        <v>1</v>
      </c>
      <c r="E2891">
        <v>3</v>
      </c>
      <c r="F2891" t="s">
        <v>10019</v>
      </c>
      <c r="G2891" t="s">
        <v>10102</v>
      </c>
      <c r="H2891" s="6">
        <v>45199</v>
      </c>
      <c r="I2891">
        <f t="shared" si="90"/>
        <v>0</v>
      </c>
      <c r="J2891" t="str">
        <f t="shared" si="91"/>
        <v>Complete</v>
      </c>
      <c r="K2891">
        <f>COUNTIFS(RawData[Item], B2891,RawData[Quantity],C2891,RawData[Price Per Unit],D2891,RawData[Total Spent],E2891,RawData[Payment Method],F2891,RawData[Location],G2891,RawData[Transaction Date],H2891)</f>
        <v>1</v>
      </c>
      <c r="L2891"/>
    </row>
    <row r="2892" spans="1:12" x14ac:dyDescent="0.3">
      <c r="A2892" t="s">
        <v>2898</v>
      </c>
      <c r="B2892" t="s">
        <v>10014</v>
      </c>
      <c r="C2892">
        <v>2</v>
      </c>
      <c r="D2892">
        <v>4</v>
      </c>
      <c r="E2892">
        <v>8</v>
      </c>
      <c r="F2892" t="s">
        <v>10020</v>
      </c>
      <c r="G2892" t="s">
        <v>10021</v>
      </c>
      <c r="H2892" s="6">
        <v>45082</v>
      </c>
      <c r="I2892">
        <f t="shared" si="90"/>
        <v>0</v>
      </c>
      <c r="J2892" t="str">
        <f t="shared" si="91"/>
        <v>Complete</v>
      </c>
      <c r="K2892">
        <f>COUNTIFS(RawData[Item], B2892,RawData[Quantity],C2892,RawData[Price Per Unit],D2892,RawData[Total Spent],E2892,RawData[Payment Method],F2892,RawData[Location],G2892,RawData[Transaction Date],H2892)</f>
        <v>1</v>
      </c>
      <c r="L2892"/>
    </row>
    <row r="2893" spans="1:12" x14ac:dyDescent="0.3">
      <c r="A2893" t="s">
        <v>2899</v>
      </c>
      <c r="B2893" t="s">
        <v>10010</v>
      </c>
      <c r="C2893">
        <v>2</v>
      </c>
      <c r="D2893">
        <v>1</v>
      </c>
      <c r="E2893">
        <v>2</v>
      </c>
      <c r="F2893" t="s">
        <v>10019</v>
      </c>
      <c r="G2893" t="s">
        <v>10021</v>
      </c>
      <c r="H2893" s="6">
        <v>45140</v>
      </c>
      <c r="I2893">
        <f t="shared" si="90"/>
        <v>0</v>
      </c>
      <c r="J2893" t="str">
        <f t="shared" si="91"/>
        <v>Complete</v>
      </c>
      <c r="K2893">
        <f>COUNTIFS(RawData[Item], B2893,RawData[Quantity],C2893,RawData[Price Per Unit],D2893,RawData[Total Spent],E2893,RawData[Payment Method],F2893,RawData[Location],G2893,RawData[Transaction Date],H2893)</f>
        <v>1</v>
      </c>
      <c r="L2893"/>
    </row>
    <row r="2894" spans="1:12" x14ac:dyDescent="0.3">
      <c r="A2894" t="s">
        <v>2900</v>
      </c>
      <c r="B2894" t="s">
        <v>10011</v>
      </c>
      <c r="C2894" t="s">
        <v>10013</v>
      </c>
      <c r="D2894">
        <v>5</v>
      </c>
      <c r="E2894">
        <v>5</v>
      </c>
      <c r="F2894" t="s">
        <v>10019</v>
      </c>
      <c r="G2894" t="s">
        <v>10021</v>
      </c>
      <c r="H2894" s="6">
        <v>45100</v>
      </c>
      <c r="I2894">
        <f t="shared" si="90"/>
        <v>1</v>
      </c>
      <c r="J2894" t="str">
        <f t="shared" si="91"/>
        <v>Complete</v>
      </c>
      <c r="K2894">
        <f>COUNTIFS(RawData[Item], B2894,RawData[Quantity],C2894,RawData[Price Per Unit],D2894,RawData[Total Spent],E2894,RawData[Payment Method],F2894,RawData[Location],G2894,RawData[Transaction Date],H2894)</f>
        <v>1</v>
      </c>
      <c r="L2894"/>
    </row>
    <row r="2895" spans="1:12" x14ac:dyDescent="0.3">
      <c r="A2895" t="s">
        <v>2901</v>
      </c>
      <c r="B2895" t="s">
        <v>10009</v>
      </c>
      <c r="C2895">
        <v>4</v>
      </c>
      <c r="D2895">
        <v>3</v>
      </c>
      <c r="E2895">
        <v>12</v>
      </c>
      <c r="F2895" t="s">
        <v>10069</v>
      </c>
      <c r="G2895" t="s">
        <v>10021</v>
      </c>
      <c r="H2895" s="6">
        <v>45143</v>
      </c>
      <c r="I2895">
        <f t="shared" si="90"/>
        <v>0</v>
      </c>
      <c r="J2895" t="str">
        <f t="shared" si="91"/>
        <v>Complete</v>
      </c>
      <c r="K2895">
        <f>COUNTIFS(RawData[Item], B2895,RawData[Quantity],C2895,RawData[Price Per Unit],D2895,RawData[Total Spent],E2895,RawData[Payment Method],F2895,RawData[Location],G2895,RawData[Transaction Date],H2895)</f>
        <v>1</v>
      </c>
      <c r="L2895"/>
    </row>
    <row r="2896" spans="1:12" x14ac:dyDescent="0.3">
      <c r="A2896" t="s">
        <v>2902</v>
      </c>
      <c r="B2896" t="s">
        <v>10011</v>
      </c>
      <c r="C2896">
        <v>4</v>
      </c>
      <c r="D2896">
        <v>5</v>
      </c>
      <c r="E2896">
        <v>20</v>
      </c>
      <c r="F2896" t="s">
        <v>10104</v>
      </c>
      <c r="G2896" t="s">
        <v>10069</v>
      </c>
      <c r="H2896" s="6">
        <v>45087</v>
      </c>
      <c r="I2896">
        <f t="shared" si="90"/>
        <v>1</v>
      </c>
      <c r="J2896" t="str">
        <f t="shared" si="91"/>
        <v>Complete</v>
      </c>
      <c r="K2896">
        <f>COUNTIFS(RawData[Item], B2896,RawData[Quantity],C2896,RawData[Price Per Unit],D2896,RawData[Total Spent],E2896,RawData[Payment Method],F2896,RawData[Location],G2896,RawData[Transaction Date],H2896)</f>
        <v>1</v>
      </c>
      <c r="L2896"/>
    </row>
    <row r="2897" spans="1:12" x14ac:dyDescent="0.3">
      <c r="A2897" t="s">
        <v>2903</v>
      </c>
      <c r="B2897" t="s">
        <v>10014</v>
      </c>
      <c r="C2897">
        <v>5</v>
      </c>
      <c r="D2897">
        <v>4</v>
      </c>
      <c r="E2897">
        <v>20</v>
      </c>
      <c r="F2897" t="s">
        <v>10103</v>
      </c>
      <c r="G2897" t="s">
        <v>10021</v>
      </c>
      <c r="H2897" s="6">
        <v>45114</v>
      </c>
      <c r="I2897">
        <f t="shared" si="90"/>
        <v>1</v>
      </c>
      <c r="J2897" t="str">
        <f t="shared" si="91"/>
        <v>Complete</v>
      </c>
      <c r="K2897">
        <f>COUNTIFS(RawData[Item], B2897,RawData[Quantity],C2897,RawData[Price Per Unit],D2897,RawData[Total Spent],E2897,RawData[Payment Method],F2897,RawData[Location],G2897,RawData[Transaction Date],H2897)</f>
        <v>1</v>
      </c>
      <c r="L2897"/>
    </row>
    <row r="2898" spans="1:12" x14ac:dyDescent="0.3">
      <c r="A2898" t="s">
        <v>2904</v>
      </c>
      <c r="B2898" t="s">
        <v>10008</v>
      </c>
      <c r="C2898">
        <v>4</v>
      </c>
      <c r="D2898">
        <v>2</v>
      </c>
      <c r="E2898">
        <v>8</v>
      </c>
      <c r="F2898" t="s">
        <v>10019</v>
      </c>
      <c r="G2898" t="s">
        <v>10102</v>
      </c>
      <c r="H2898" s="6">
        <v>45272</v>
      </c>
      <c r="I2898">
        <f t="shared" si="90"/>
        <v>0</v>
      </c>
      <c r="J2898" t="str">
        <f t="shared" si="91"/>
        <v>Complete</v>
      </c>
      <c r="K2898">
        <f>COUNTIFS(RawData[Item], B2898,RawData[Quantity],C2898,RawData[Price Per Unit],D2898,RawData[Total Spent],E2898,RawData[Payment Method],F2898,RawData[Location],G2898,RawData[Transaction Date],H2898)</f>
        <v>1</v>
      </c>
      <c r="L2898"/>
    </row>
    <row r="2899" spans="1:12" x14ac:dyDescent="0.3">
      <c r="A2899" t="s">
        <v>2905</v>
      </c>
      <c r="B2899" t="s">
        <v>10008</v>
      </c>
      <c r="C2899">
        <v>5</v>
      </c>
      <c r="D2899">
        <v>2</v>
      </c>
      <c r="E2899">
        <v>10</v>
      </c>
      <c r="F2899" t="s">
        <v>10069</v>
      </c>
      <c r="G2899" t="s">
        <v>10021</v>
      </c>
      <c r="H2899" s="6">
        <v>45049</v>
      </c>
      <c r="I2899">
        <f t="shared" si="90"/>
        <v>0</v>
      </c>
      <c r="J2899" t="str">
        <f t="shared" si="91"/>
        <v>Complete</v>
      </c>
      <c r="K2899">
        <f>COUNTIFS(RawData[Item], B2899,RawData[Quantity],C2899,RawData[Price Per Unit],D2899,RawData[Total Spent],E2899,RawData[Payment Method],F2899,RawData[Location],G2899,RawData[Transaction Date],H2899)</f>
        <v>1</v>
      </c>
      <c r="L2899"/>
    </row>
    <row r="2900" spans="1:12" x14ac:dyDescent="0.3">
      <c r="A2900" t="s">
        <v>2906</v>
      </c>
      <c r="B2900" t="s">
        <v>10014</v>
      </c>
      <c r="C2900">
        <v>4</v>
      </c>
      <c r="D2900">
        <v>4</v>
      </c>
      <c r="E2900">
        <v>16</v>
      </c>
      <c r="F2900" t="s">
        <v>10019</v>
      </c>
      <c r="G2900" t="s">
        <v>10021</v>
      </c>
      <c r="H2900" s="6">
        <v>45277</v>
      </c>
      <c r="I2900">
        <f t="shared" si="90"/>
        <v>0</v>
      </c>
      <c r="J2900" t="str">
        <f t="shared" si="91"/>
        <v>Complete</v>
      </c>
      <c r="K2900">
        <f>COUNTIFS(RawData[Item], B2900,RawData[Quantity],C2900,RawData[Price Per Unit],D2900,RawData[Total Spent],E2900,RawData[Payment Method],F2900,RawData[Location],G2900,RawData[Transaction Date],H2900)</f>
        <v>2</v>
      </c>
      <c r="L2900"/>
    </row>
    <row r="2901" spans="1:12" x14ac:dyDescent="0.3">
      <c r="A2901" t="s">
        <v>2907</v>
      </c>
      <c r="B2901" t="s">
        <v>10014</v>
      </c>
      <c r="C2901">
        <v>5</v>
      </c>
      <c r="D2901">
        <v>4</v>
      </c>
      <c r="E2901">
        <v>20</v>
      </c>
      <c r="F2901" t="s">
        <v>10020</v>
      </c>
      <c r="G2901" t="s">
        <v>10021</v>
      </c>
      <c r="H2901" s="6" t="s">
        <v>10112</v>
      </c>
      <c r="I2901">
        <f t="shared" si="90"/>
        <v>1</v>
      </c>
      <c r="J2901" t="str">
        <f t="shared" si="91"/>
        <v>Incomplete</v>
      </c>
      <c r="K2901">
        <f>COUNTIFS(RawData[Item], B2901,RawData[Quantity],C2901,RawData[Price Per Unit],D2901,RawData[Total Spent],E2901,RawData[Payment Method],F2901,RawData[Location],G2901,RawData[Transaction Date],H2901)</f>
        <v>3</v>
      </c>
      <c r="L2901"/>
    </row>
    <row r="2902" spans="1:12" x14ac:dyDescent="0.3">
      <c r="A2902" t="s">
        <v>2908</v>
      </c>
      <c r="B2902" t="s">
        <v>10017</v>
      </c>
      <c r="C2902">
        <v>2</v>
      </c>
      <c r="D2902">
        <v>1.5</v>
      </c>
      <c r="E2902">
        <v>3</v>
      </c>
      <c r="F2902" t="s">
        <v>10069</v>
      </c>
      <c r="G2902" t="s">
        <v>10069</v>
      </c>
      <c r="H2902" s="6">
        <v>45080</v>
      </c>
      <c r="I2902">
        <f t="shared" si="90"/>
        <v>0</v>
      </c>
      <c r="J2902" t="str">
        <f t="shared" si="91"/>
        <v>Complete</v>
      </c>
      <c r="K2902">
        <f>COUNTIFS(RawData[Item], B2902,RawData[Quantity],C2902,RawData[Price Per Unit],D2902,RawData[Total Spent],E2902,RawData[Payment Method],F2902,RawData[Location],G2902,RawData[Transaction Date],H2902)</f>
        <v>1</v>
      </c>
      <c r="L2902"/>
    </row>
    <row r="2903" spans="1:12" x14ac:dyDescent="0.3">
      <c r="A2903" t="s">
        <v>2909</v>
      </c>
      <c r="B2903" t="s">
        <v>10011</v>
      </c>
      <c r="C2903">
        <v>3</v>
      </c>
      <c r="D2903">
        <v>5</v>
      </c>
      <c r="E2903">
        <v>15</v>
      </c>
      <c r="F2903" t="s">
        <v>10020</v>
      </c>
      <c r="G2903" t="s">
        <v>10069</v>
      </c>
      <c r="H2903" s="6">
        <v>44976</v>
      </c>
      <c r="I2903">
        <f t="shared" si="90"/>
        <v>0</v>
      </c>
      <c r="J2903" t="str">
        <f t="shared" si="91"/>
        <v>Complete</v>
      </c>
      <c r="K2903">
        <f>COUNTIFS(RawData[Item], B2903,RawData[Quantity],C2903,RawData[Price Per Unit],D2903,RawData[Total Spent],E2903,RawData[Payment Method],F2903,RawData[Location],G2903,RawData[Transaction Date],H2903)</f>
        <v>1</v>
      </c>
      <c r="L2903"/>
    </row>
    <row r="2904" spans="1:12" x14ac:dyDescent="0.3">
      <c r="A2904" t="s">
        <v>2910</v>
      </c>
      <c r="B2904" t="s">
        <v>10011</v>
      </c>
      <c r="C2904">
        <v>1</v>
      </c>
      <c r="D2904">
        <v>5</v>
      </c>
      <c r="E2904">
        <v>5</v>
      </c>
      <c r="F2904" t="s">
        <v>10104</v>
      </c>
      <c r="G2904" t="s">
        <v>10021</v>
      </c>
      <c r="H2904" s="6">
        <v>45276</v>
      </c>
      <c r="I2904">
        <f t="shared" si="90"/>
        <v>1</v>
      </c>
      <c r="J2904" t="str">
        <f t="shared" si="91"/>
        <v>Complete</v>
      </c>
      <c r="K2904">
        <f>COUNTIFS(RawData[Item], B2904,RawData[Quantity],C2904,RawData[Price Per Unit],D2904,RawData[Total Spent],E2904,RawData[Payment Method],F2904,RawData[Location],G2904,RawData[Transaction Date],H2904)</f>
        <v>1</v>
      </c>
      <c r="L2904"/>
    </row>
    <row r="2905" spans="1:12" x14ac:dyDescent="0.3">
      <c r="A2905" t="s">
        <v>2911</v>
      </c>
      <c r="B2905" t="s">
        <v>10009</v>
      </c>
      <c r="C2905">
        <v>1</v>
      </c>
      <c r="D2905">
        <v>3</v>
      </c>
      <c r="E2905">
        <v>3</v>
      </c>
      <c r="F2905" t="s">
        <v>10103</v>
      </c>
      <c r="G2905" t="s">
        <v>10069</v>
      </c>
      <c r="H2905" s="6">
        <v>45221</v>
      </c>
      <c r="I2905">
        <f t="shared" si="90"/>
        <v>1</v>
      </c>
      <c r="J2905" t="str">
        <f t="shared" si="91"/>
        <v>Complete</v>
      </c>
      <c r="K2905">
        <f>COUNTIFS(RawData[Item], B2905,RawData[Quantity],C2905,RawData[Price Per Unit],D2905,RawData[Total Spent],E2905,RawData[Payment Method],F2905,RawData[Location],G2905,RawData[Transaction Date],H2905)</f>
        <v>1</v>
      </c>
      <c r="L2905"/>
    </row>
    <row r="2906" spans="1:12" x14ac:dyDescent="0.3">
      <c r="A2906" t="s">
        <v>2912</v>
      </c>
      <c r="B2906" t="s">
        <v>10069</v>
      </c>
      <c r="C2906">
        <v>1</v>
      </c>
      <c r="D2906">
        <v>4</v>
      </c>
      <c r="E2906">
        <v>4</v>
      </c>
      <c r="F2906" t="s">
        <v>10018</v>
      </c>
      <c r="G2906" t="s">
        <v>10021</v>
      </c>
      <c r="H2906" s="6">
        <v>45085</v>
      </c>
      <c r="I2906">
        <f t="shared" si="90"/>
        <v>0</v>
      </c>
      <c r="J2906" t="str">
        <f t="shared" si="91"/>
        <v>Complete</v>
      </c>
      <c r="K2906">
        <f>COUNTIFS(RawData[Item], B2906,RawData[Quantity],C2906,RawData[Price Per Unit],D2906,RawData[Total Spent],E2906,RawData[Payment Method],F2906,RawData[Location],G2906,RawData[Transaction Date],H2906)</f>
        <v>1</v>
      </c>
      <c r="L2906"/>
    </row>
    <row r="2907" spans="1:12" x14ac:dyDescent="0.3">
      <c r="A2907" t="s">
        <v>2913</v>
      </c>
      <c r="B2907" t="s">
        <v>10016</v>
      </c>
      <c r="C2907">
        <v>4</v>
      </c>
      <c r="D2907">
        <v>3</v>
      </c>
      <c r="E2907">
        <v>12</v>
      </c>
      <c r="F2907" t="s">
        <v>10020</v>
      </c>
      <c r="G2907" t="s">
        <v>10021</v>
      </c>
      <c r="H2907" s="6">
        <v>45077</v>
      </c>
      <c r="I2907">
        <f t="shared" si="90"/>
        <v>0</v>
      </c>
      <c r="J2907" t="str">
        <f t="shared" si="91"/>
        <v>Complete</v>
      </c>
      <c r="K2907">
        <f>COUNTIFS(RawData[Item], B2907,RawData[Quantity],C2907,RawData[Price Per Unit],D2907,RawData[Total Spent],E2907,RawData[Payment Method],F2907,RawData[Location],G2907,RawData[Transaction Date],H2907)</f>
        <v>1</v>
      </c>
      <c r="L2907"/>
    </row>
    <row r="2908" spans="1:12" x14ac:dyDescent="0.3">
      <c r="A2908" t="s">
        <v>2914</v>
      </c>
      <c r="B2908" t="s">
        <v>10014</v>
      </c>
      <c r="C2908">
        <v>1</v>
      </c>
      <c r="D2908">
        <v>4</v>
      </c>
      <c r="E2908">
        <v>4</v>
      </c>
      <c r="F2908" t="s">
        <v>10069</v>
      </c>
      <c r="G2908" t="s">
        <v>10069</v>
      </c>
      <c r="H2908" s="6">
        <v>45138</v>
      </c>
      <c r="I2908">
        <f t="shared" si="90"/>
        <v>0</v>
      </c>
      <c r="J2908" t="str">
        <f t="shared" si="91"/>
        <v>Complete</v>
      </c>
      <c r="K2908">
        <f>COUNTIFS(RawData[Item], B2908,RawData[Quantity],C2908,RawData[Price Per Unit],D2908,RawData[Total Spent],E2908,RawData[Payment Method],F2908,RawData[Location],G2908,RawData[Transaction Date],H2908)</f>
        <v>1</v>
      </c>
      <c r="L2908"/>
    </row>
    <row r="2909" spans="1:12" x14ac:dyDescent="0.3">
      <c r="A2909" t="s">
        <v>2915</v>
      </c>
      <c r="B2909" t="s">
        <v>10013</v>
      </c>
      <c r="C2909">
        <v>5</v>
      </c>
      <c r="D2909">
        <v>3</v>
      </c>
      <c r="E2909">
        <v>15</v>
      </c>
      <c r="F2909" t="s">
        <v>10020</v>
      </c>
      <c r="G2909" t="s">
        <v>10021</v>
      </c>
      <c r="H2909" s="6">
        <v>45178</v>
      </c>
      <c r="I2909">
        <f t="shared" si="90"/>
        <v>1</v>
      </c>
      <c r="J2909" t="str">
        <f t="shared" si="91"/>
        <v>Complete</v>
      </c>
      <c r="K2909">
        <f>COUNTIFS(RawData[Item], B2909,RawData[Quantity],C2909,RawData[Price Per Unit],D2909,RawData[Total Spent],E2909,RawData[Payment Method],F2909,RawData[Location],G2909,RawData[Transaction Date],H2909)</f>
        <v>1</v>
      </c>
      <c r="L2909"/>
    </row>
    <row r="2910" spans="1:12" x14ac:dyDescent="0.3">
      <c r="A2910" t="s">
        <v>2916</v>
      </c>
      <c r="B2910" t="s">
        <v>10014</v>
      </c>
      <c r="C2910">
        <v>2</v>
      </c>
      <c r="D2910">
        <v>4</v>
      </c>
      <c r="E2910">
        <v>8</v>
      </c>
      <c r="F2910" t="s">
        <v>10069</v>
      </c>
      <c r="G2910" t="s">
        <v>10069</v>
      </c>
      <c r="H2910" s="6">
        <v>45077</v>
      </c>
      <c r="I2910">
        <f t="shared" si="90"/>
        <v>0</v>
      </c>
      <c r="J2910" t="str">
        <f t="shared" si="91"/>
        <v>Complete</v>
      </c>
      <c r="K2910">
        <f>COUNTIFS(RawData[Item], B2910,RawData[Quantity],C2910,RawData[Price Per Unit],D2910,RawData[Total Spent],E2910,RawData[Payment Method],F2910,RawData[Location],G2910,RawData[Transaction Date],H2910)</f>
        <v>1</v>
      </c>
      <c r="L2910"/>
    </row>
    <row r="2911" spans="1:12" x14ac:dyDescent="0.3">
      <c r="A2911" t="s">
        <v>2917</v>
      </c>
      <c r="B2911" t="s">
        <v>10009</v>
      </c>
      <c r="C2911">
        <v>2</v>
      </c>
      <c r="D2911">
        <v>3</v>
      </c>
      <c r="E2911">
        <v>6</v>
      </c>
      <c r="F2911" t="s">
        <v>10103</v>
      </c>
      <c r="G2911" t="s">
        <v>10069</v>
      </c>
      <c r="H2911" s="6">
        <v>45198</v>
      </c>
      <c r="I2911">
        <f t="shared" si="90"/>
        <v>1</v>
      </c>
      <c r="J2911" t="str">
        <f t="shared" si="91"/>
        <v>Complete</v>
      </c>
      <c r="K2911">
        <f>COUNTIFS(RawData[Item], B2911,RawData[Quantity],C2911,RawData[Price Per Unit],D2911,RawData[Total Spent],E2911,RawData[Payment Method],F2911,RawData[Location],G2911,RawData[Transaction Date],H2911)</f>
        <v>1</v>
      </c>
      <c r="L2911"/>
    </row>
    <row r="2912" spans="1:12" x14ac:dyDescent="0.3">
      <c r="A2912" t="s">
        <v>2918</v>
      </c>
      <c r="B2912" t="s">
        <v>10014</v>
      </c>
      <c r="C2912">
        <v>5</v>
      </c>
      <c r="D2912">
        <v>4</v>
      </c>
      <c r="E2912">
        <v>20</v>
      </c>
      <c r="F2912" t="s">
        <v>10018</v>
      </c>
      <c r="G2912" t="s">
        <v>10021</v>
      </c>
      <c r="H2912" s="6">
        <v>45124</v>
      </c>
      <c r="I2912">
        <f t="shared" si="90"/>
        <v>0</v>
      </c>
      <c r="J2912" t="str">
        <f t="shared" si="91"/>
        <v>Complete</v>
      </c>
      <c r="K2912">
        <f>COUNTIFS(RawData[Item], B2912,RawData[Quantity],C2912,RawData[Price Per Unit],D2912,RawData[Total Spent],E2912,RawData[Payment Method],F2912,RawData[Location],G2912,RawData[Transaction Date],H2912)</f>
        <v>1</v>
      </c>
      <c r="L2912"/>
    </row>
    <row r="2913" spans="1:12" x14ac:dyDescent="0.3">
      <c r="A2913" t="s">
        <v>2919</v>
      </c>
      <c r="B2913" t="s">
        <v>10014</v>
      </c>
      <c r="C2913">
        <v>2</v>
      </c>
      <c r="D2913">
        <v>4</v>
      </c>
      <c r="E2913" t="s">
        <v>10015</v>
      </c>
      <c r="F2913" t="s">
        <v>10018</v>
      </c>
      <c r="G2913" t="s">
        <v>10102</v>
      </c>
      <c r="H2913" s="6">
        <v>44928</v>
      </c>
      <c r="I2913">
        <f t="shared" si="90"/>
        <v>1</v>
      </c>
      <c r="J2913" t="str">
        <f t="shared" si="91"/>
        <v>Complete</v>
      </c>
      <c r="K2913">
        <f>COUNTIFS(RawData[Item], B2913,RawData[Quantity],C2913,RawData[Price Per Unit],D2913,RawData[Total Spent],E2913,RawData[Payment Method],F2913,RawData[Location],G2913,RawData[Transaction Date],H2913)</f>
        <v>1</v>
      </c>
      <c r="L2913"/>
    </row>
    <row r="2914" spans="1:12" x14ac:dyDescent="0.3">
      <c r="A2914" t="s">
        <v>2920</v>
      </c>
      <c r="B2914" t="s">
        <v>10017</v>
      </c>
      <c r="C2914">
        <v>3</v>
      </c>
      <c r="D2914">
        <v>1.5</v>
      </c>
      <c r="E2914">
        <v>4.5</v>
      </c>
      <c r="F2914" t="s">
        <v>10020</v>
      </c>
      <c r="G2914" t="s">
        <v>10102</v>
      </c>
      <c r="H2914" s="6" t="s">
        <v>10112</v>
      </c>
      <c r="I2914">
        <f t="shared" si="90"/>
        <v>1</v>
      </c>
      <c r="J2914" t="str">
        <f t="shared" si="91"/>
        <v>Incomplete</v>
      </c>
      <c r="K2914">
        <f>COUNTIFS(RawData[Item], B2914,RawData[Quantity],C2914,RawData[Price Per Unit],D2914,RawData[Total Spent],E2914,RawData[Payment Method],F2914,RawData[Location],G2914,RawData[Transaction Date],H2914)</f>
        <v>1</v>
      </c>
      <c r="L2914"/>
    </row>
    <row r="2915" spans="1:12" x14ac:dyDescent="0.3">
      <c r="A2915" t="s">
        <v>2921</v>
      </c>
      <c r="B2915" t="s">
        <v>10009</v>
      </c>
      <c r="C2915">
        <v>3</v>
      </c>
      <c r="D2915">
        <v>3</v>
      </c>
      <c r="E2915">
        <v>9</v>
      </c>
      <c r="F2915" t="s">
        <v>10018</v>
      </c>
      <c r="G2915" t="s">
        <v>10021</v>
      </c>
      <c r="H2915" s="6">
        <v>45027</v>
      </c>
      <c r="I2915">
        <f t="shared" si="90"/>
        <v>0</v>
      </c>
      <c r="J2915" t="str">
        <f t="shared" si="91"/>
        <v>Complete</v>
      </c>
      <c r="K2915">
        <f>COUNTIFS(RawData[Item], B2915,RawData[Quantity],C2915,RawData[Price Per Unit],D2915,RawData[Total Spent],E2915,RawData[Payment Method],F2915,RawData[Location],G2915,RawData[Transaction Date],H2915)</f>
        <v>1</v>
      </c>
      <c r="L2915"/>
    </row>
    <row r="2916" spans="1:12" x14ac:dyDescent="0.3">
      <c r="A2916" t="s">
        <v>2922</v>
      </c>
      <c r="B2916" t="s">
        <v>10069</v>
      </c>
      <c r="C2916">
        <v>5</v>
      </c>
      <c r="D2916">
        <v>1</v>
      </c>
      <c r="E2916">
        <v>5</v>
      </c>
      <c r="F2916" t="s">
        <v>10019</v>
      </c>
      <c r="G2916" t="s">
        <v>10102</v>
      </c>
      <c r="H2916" s="6">
        <v>45067</v>
      </c>
      <c r="I2916">
        <f t="shared" si="90"/>
        <v>0</v>
      </c>
      <c r="J2916" t="str">
        <f t="shared" si="91"/>
        <v>Complete</v>
      </c>
      <c r="K2916">
        <f>COUNTIFS(RawData[Item], B2916,RawData[Quantity],C2916,RawData[Price Per Unit],D2916,RawData[Total Spent],E2916,RawData[Payment Method],F2916,RawData[Location],G2916,RawData[Transaction Date],H2916)</f>
        <v>1</v>
      </c>
      <c r="L2916"/>
    </row>
    <row r="2917" spans="1:12" x14ac:dyDescent="0.3">
      <c r="A2917" t="s">
        <v>2923</v>
      </c>
      <c r="B2917" t="s">
        <v>10012</v>
      </c>
      <c r="C2917">
        <v>3</v>
      </c>
      <c r="D2917">
        <v>4</v>
      </c>
      <c r="E2917">
        <v>12</v>
      </c>
      <c r="F2917" t="s">
        <v>10018</v>
      </c>
      <c r="G2917" t="s">
        <v>10069</v>
      </c>
      <c r="H2917" s="6">
        <v>45266</v>
      </c>
      <c r="I2917">
        <f t="shared" si="90"/>
        <v>0</v>
      </c>
      <c r="J2917" t="str">
        <f t="shared" si="91"/>
        <v>Complete</v>
      </c>
      <c r="K2917">
        <f>COUNTIFS(RawData[Item], B2917,RawData[Quantity],C2917,RawData[Price Per Unit],D2917,RawData[Total Spent],E2917,RawData[Payment Method],F2917,RawData[Location],G2917,RawData[Transaction Date],H2917)</f>
        <v>1</v>
      </c>
      <c r="L2917"/>
    </row>
    <row r="2918" spans="1:12" x14ac:dyDescent="0.3">
      <c r="A2918" t="s">
        <v>2924</v>
      </c>
      <c r="B2918" t="s">
        <v>10069</v>
      </c>
      <c r="C2918">
        <v>2</v>
      </c>
      <c r="D2918">
        <v>5</v>
      </c>
      <c r="E2918">
        <v>10</v>
      </c>
      <c r="F2918" t="s">
        <v>10069</v>
      </c>
      <c r="G2918" t="s">
        <v>10021</v>
      </c>
      <c r="H2918" s="6">
        <v>45111</v>
      </c>
      <c r="I2918">
        <f t="shared" si="90"/>
        <v>0</v>
      </c>
      <c r="J2918" t="str">
        <f t="shared" si="91"/>
        <v>Complete</v>
      </c>
      <c r="K2918">
        <f>COUNTIFS(RawData[Item], B2918,RawData[Quantity],C2918,RawData[Price Per Unit],D2918,RawData[Total Spent],E2918,RawData[Payment Method],F2918,RawData[Location],G2918,RawData[Transaction Date],H2918)</f>
        <v>1</v>
      </c>
      <c r="L2918"/>
    </row>
    <row r="2919" spans="1:12" x14ac:dyDescent="0.3">
      <c r="A2919" t="s">
        <v>2925</v>
      </c>
      <c r="B2919" t="s">
        <v>10016</v>
      </c>
      <c r="C2919">
        <v>4</v>
      </c>
      <c r="D2919">
        <v>3</v>
      </c>
      <c r="E2919">
        <v>12</v>
      </c>
      <c r="F2919" t="s">
        <v>10018</v>
      </c>
      <c r="G2919" t="s">
        <v>10021</v>
      </c>
      <c r="H2919" s="6">
        <v>45167</v>
      </c>
      <c r="I2919">
        <f t="shared" si="90"/>
        <v>0</v>
      </c>
      <c r="J2919" t="str">
        <f t="shared" si="91"/>
        <v>Complete</v>
      </c>
      <c r="K2919">
        <f>COUNTIFS(RawData[Item], B2919,RawData[Quantity],C2919,RawData[Price Per Unit],D2919,RawData[Total Spent],E2919,RawData[Payment Method],F2919,RawData[Location],G2919,RawData[Transaction Date],H2919)</f>
        <v>1</v>
      </c>
      <c r="L2919"/>
    </row>
    <row r="2920" spans="1:12" x14ac:dyDescent="0.3">
      <c r="A2920" t="s">
        <v>2926</v>
      </c>
      <c r="B2920" t="s">
        <v>10011</v>
      </c>
      <c r="C2920">
        <v>4</v>
      </c>
      <c r="D2920">
        <v>5</v>
      </c>
      <c r="E2920">
        <v>20</v>
      </c>
      <c r="F2920" t="s">
        <v>10018</v>
      </c>
      <c r="G2920" t="s">
        <v>10021</v>
      </c>
      <c r="H2920" s="6">
        <v>44969</v>
      </c>
      <c r="I2920">
        <f t="shared" si="90"/>
        <v>0</v>
      </c>
      <c r="J2920" t="str">
        <f t="shared" si="91"/>
        <v>Complete</v>
      </c>
      <c r="K2920">
        <f>COUNTIFS(RawData[Item], B2920,RawData[Quantity],C2920,RawData[Price Per Unit],D2920,RawData[Total Spent],E2920,RawData[Payment Method],F2920,RawData[Location],G2920,RawData[Transaction Date],H2920)</f>
        <v>1</v>
      </c>
      <c r="L2920"/>
    </row>
    <row r="2921" spans="1:12" x14ac:dyDescent="0.3">
      <c r="A2921" t="s">
        <v>2927</v>
      </c>
      <c r="B2921" t="s">
        <v>10011</v>
      </c>
      <c r="C2921">
        <v>1</v>
      </c>
      <c r="D2921">
        <v>5</v>
      </c>
      <c r="E2921">
        <v>5</v>
      </c>
      <c r="F2921" t="s">
        <v>10020</v>
      </c>
      <c r="G2921" t="s">
        <v>10021</v>
      </c>
      <c r="H2921" s="6">
        <v>44962</v>
      </c>
      <c r="I2921">
        <f t="shared" si="90"/>
        <v>0</v>
      </c>
      <c r="J2921" t="str">
        <f t="shared" si="91"/>
        <v>Complete</v>
      </c>
      <c r="K2921">
        <f>COUNTIFS(RawData[Item], B2921,RawData[Quantity],C2921,RawData[Price Per Unit],D2921,RawData[Total Spent],E2921,RawData[Payment Method],F2921,RawData[Location],G2921,RawData[Transaction Date],H2921)</f>
        <v>1</v>
      </c>
      <c r="L2921"/>
    </row>
    <row r="2922" spans="1:12" x14ac:dyDescent="0.3">
      <c r="A2922" t="s">
        <v>2928</v>
      </c>
      <c r="B2922" t="s">
        <v>10011</v>
      </c>
      <c r="C2922">
        <v>2</v>
      </c>
      <c r="D2922">
        <v>5</v>
      </c>
      <c r="E2922">
        <v>10</v>
      </c>
      <c r="F2922" t="s">
        <v>10019</v>
      </c>
      <c r="G2922" t="s">
        <v>10102</v>
      </c>
      <c r="H2922" s="6">
        <v>45057</v>
      </c>
      <c r="I2922">
        <f t="shared" si="90"/>
        <v>0</v>
      </c>
      <c r="J2922" t="str">
        <f t="shared" si="91"/>
        <v>Complete</v>
      </c>
      <c r="K2922">
        <f>COUNTIFS(RawData[Item], B2922,RawData[Quantity],C2922,RawData[Price Per Unit],D2922,RawData[Total Spent],E2922,RawData[Payment Method],F2922,RawData[Location],G2922,RawData[Transaction Date],H2922)</f>
        <v>1</v>
      </c>
      <c r="L2922"/>
    </row>
    <row r="2923" spans="1:12" x14ac:dyDescent="0.3">
      <c r="A2923" t="s">
        <v>2929</v>
      </c>
      <c r="B2923" t="s">
        <v>10010</v>
      </c>
      <c r="C2923">
        <v>5</v>
      </c>
      <c r="D2923">
        <v>1</v>
      </c>
      <c r="E2923" t="s">
        <v>10013</v>
      </c>
      <c r="F2923" t="s">
        <v>10020</v>
      </c>
      <c r="G2923" t="s">
        <v>10021</v>
      </c>
      <c r="H2923" s="6">
        <v>45110</v>
      </c>
      <c r="I2923">
        <f t="shared" si="90"/>
        <v>1</v>
      </c>
      <c r="J2923" t="str">
        <f t="shared" si="91"/>
        <v>Complete</v>
      </c>
      <c r="K2923">
        <f>COUNTIFS(RawData[Item], B2923,RawData[Quantity],C2923,RawData[Price Per Unit],D2923,RawData[Total Spent],E2923,RawData[Payment Method],F2923,RawData[Location],G2923,RawData[Transaction Date],H2923)</f>
        <v>1</v>
      </c>
      <c r="L2923"/>
    </row>
    <row r="2924" spans="1:12" x14ac:dyDescent="0.3">
      <c r="A2924" t="s">
        <v>2930</v>
      </c>
      <c r="B2924" t="s">
        <v>10010</v>
      </c>
      <c r="C2924">
        <v>5</v>
      </c>
      <c r="D2924">
        <v>1</v>
      </c>
      <c r="E2924">
        <v>5</v>
      </c>
      <c r="F2924" t="s">
        <v>10018</v>
      </c>
      <c r="G2924" t="s">
        <v>10069</v>
      </c>
      <c r="H2924" s="6">
        <v>45046</v>
      </c>
      <c r="I2924">
        <f t="shared" si="90"/>
        <v>0</v>
      </c>
      <c r="J2924" t="str">
        <f t="shared" si="91"/>
        <v>Complete</v>
      </c>
      <c r="K2924">
        <f>COUNTIFS(RawData[Item], B2924,RawData[Quantity],C2924,RawData[Price Per Unit],D2924,RawData[Total Spent],E2924,RawData[Payment Method],F2924,RawData[Location],G2924,RawData[Transaction Date],H2924)</f>
        <v>1</v>
      </c>
      <c r="L2924"/>
    </row>
    <row r="2925" spans="1:12" x14ac:dyDescent="0.3">
      <c r="A2925" t="s">
        <v>2931</v>
      </c>
      <c r="B2925" t="s">
        <v>10011</v>
      </c>
      <c r="C2925">
        <v>2</v>
      </c>
      <c r="D2925">
        <v>5</v>
      </c>
      <c r="E2925">
        <v>10</v>
      </c>
      <c r="F2925" t="s">
        <v>10069</v>
      </c>
      <c r="G2925" t="s">
        <v>10021</v>
      </c>
      <c r="H2925" s="6">
        <v>45093</v>
      </c>
      <c r="I2925">
        <f t="shared" si="90"/>
        <v>0</v>
      </c>
      <c r="J2925" t="str">
        <f t="shared" si="91"/>
        <v>Complete</v>
      </c>
      <c r="K2925">
        <f>COUNTIFS(RawData[Item], B2925,RawData[Quantity],C2925,RawData[Price Per Unit],D2925,RawData[Total Spent],E2925,RawData[Payment Method],F2925,RawData[Location],G2925,RawData[Transaction Date],H2925)</f>
        <v>1</v>
      </c>
      <c r="L2925"/>
    </row>
    <row r="2926" spans="1:12" x14ac:dyDescent="0.3">
      <c r="A2926" t="s">
        <v>2932</v>
      </c>
      <c r="B2926" t="s">
        <v>10016</v>
      </c>
      <c r="C2926">
        <v>5</v>
      </c>
      <c r="D2926">
        <v>3</v>
      </c>
      <c r="E2926">
        <v>15</v>
      </c>
      <c r="F2926" t="s">
        <v>10018</v>
      </c>
      <c r="G2926" t="s">
        <v>10069</v>
      </c>
      <c r="H2926" s="6">
        <v>45099</v>
      </c>
      <c r="I2926">
        <f t="shared" si="90"/>
        <v>0</v>
      </c>
      <c r="J2926" t="str">
        <f t="shared" si="91"/>
        <v>Complete</v>
      </c>
      <c r="K2926">
        <f>COUNTIFS(RawData[Item], B2926,RawData[Quantity],C2926,RawData[Price Per Unit],D2926,RawData[Total Spent],E2926,RawData[Payment Method],F2926,RawData[Location],G2926,RawData[Transaction Date],H2926)</f>
        <v>1</v>
      </c>
      <c r="L2926"/>
    </row>
    <row r="2927" spans="1:12" x14ac:dyDescent="0.3">
      <c r="A2927" t="s">
        <v>2933</v>
      </c>
      <c r="B2927" t="s">
        <v>10010</v>
      </c>
      <c r="C2927">
        <v>4</v>
      </c>
      <c r="D2927">
        <v>1</v>
      </c>
      <c r="E2927">
        <v>4</v>
      </c>
      <c r="F2927" t="s">
        <v>10019</v>
      </c>
      <c r="G2927" t="s">
        <v>10021</v>
      </c>
      <c r="H2927" s="6">
        <v>45115</v>
      </c>
      <c r="I2927">
        <f t="shared" si="90"/>
        <v>0</v>
      </c>
      <c r="J2927" t="str">
        <f t="shared" si="91"/>
        <v>Complete</v>
      </c>
      <c r="K2927">
        <f>COUNTIFS(RawData[Item], B2927,RawData[Quantity],C2927,RawData[Price Per Unit],D2927,RawData[Total Spent],E2927,RawData[Payment Method],F2927,RawData[Location],G2927,RawData[Transaction Date],H2927)</f>
        <v>1</v>
      </c>
      <c r="L2927"/>
    </row>
    <row r="2928" spans="1:12" x14ac:dyDescent="0.3">
      <c r="A2928" t="s">
        <v>2934</v>
      </c>
      <c r="B2928" t="s">
        <v>10017</v>
      </c>
      <c r="C2928">
        <v>1</v>
      </c>
      <c r="D2928">
        <v>1.5</v>
      </c>
      <c r="E2928">
        <v>1.5</v>
      </c>
      <c r="F2928" t="s">
        <v>10069</v>
      </c>
      <c r="G2928" t="s">
        <v>10021</v>
      </c>
      <c r="H2928" s="6">
        <v>45154</v>
      </c>
      <c r="I2928">
        <f t="shared" si="90"/>
        <v>0</v>
      </c>
      <c r="J2928" t="str">
        <f t="shared" si="91"/>
        <v>Complete</v>
      </c>
      <c r="K2928">
        <f>COUNTIFS(RawData[Item], B2928,RawData[Quantity],C2928,RawData[Price Per Unit],D2928,RawData[Total Spent],E2928,RawData[Payment Method],F2928,RawData[Location],G2928,RawData[Transaction Date],H2928)</f>
        <v>1</v>
      </c>
      <c r="L2928"/>
    </row>
    <row r="2929" spans="1:12" x14ac:dyDescent="0.3">
      <c r="A2929" t="s">
        <v>2935</v>
      </c>
      <c r="B2929" t="s">
        <v>10009</v>
      </c>
      <c r="C2929">
        <v>1</v>
      </c>
      <c r="D2929">
        <v>3</v>
      </c>
      <c r="E2929">
        <v>3</v>
      </c>
      <c r="F2929" t="s">
        <v>10020</v>
      </c>
      <c r="G2929" t="s">
        <v>10102</v>
      </c>
      <c r="H2929" s="6">
        <v>44943</v>
      </c>
      <c r="I2929">
        <f t="shared" si="90"/>
        <v>0</v>
      </c>
      <c r="J2929" t="str">
        <f t="shared" si="91"/>
        <v>Complete</v>
      </c>
      <c r="K2929">
        <f>COUNTIFS(RawData[Item], B2929,RawData[Quantity],C2929,RawData[Price Per Unit],D2929,RawData[Total Spent],E2929,RawData[Payment Method],F2929,RawData[Location],G2929,RawData[Transaction Date],H2929)</f>
        <v>1</v>
      </c>
      <c r="L2929"/>
    </row>
    <row r="2930" spans="1:12" x14ac:dyDescent="0.3">
      <c r="A2930" t="s">
        <v>2936</v>
      </c>
      <c r="B2930" t="s">
        <v>10014</v>
      </c>
      <c r="C2930">
        <v>5</v>
      </c>
      <c r="D2930">
        <v>4</v>
      </c>
      <c r="E2930">
        <v>20</v>
      </c>
      <c r="F2930" t="s">
        <v>10019</v>
      </c>
      <c r="G2930" t="s">
        <v>10069</v>
      </c>
      <c r="H2930" s="6">
        <v>45107</v>
      </c>
      <c r="I2930">
        <f t="shared" si="90"/>
        <v>0</v>
      </c>
      <c r="J2930" t="str">
        <f t="shared" si="91"/>
        <v>Complete</v>
      </c>
      <c r="K2930">
        <f>COUNTIFS(RawData[Item], B2930,RawData[Quantity],C2930,RawData[Price Per Unit],D2930,RawData[Total Spent],E2930,RawData[Payment Method],F2930,RawData[Location],G2930,RawData[Transaction Date],H2930)</f>
        <v>1</v>
      </c>
      <c r="L2930"/>
    </row>
    <row r="2931" spans="1:12" x14ac:dyDescent="0.3">
      <c r="A2931" t="s">
        <v>2937</v>
      </c>
      <c r="B2931" t="s">
        <v>10016</v>
      </c>
      <c r="C2931">
        <v>5</v>
      </c>
      <c r="D2931">
        <v>3</v>
      </c>
      <c r="E2931">
        <v>15</v>
      </c>
      <c r="F2931" t="s">
        <v>10019</v>
      </c>
      <c r="G2931" t="s">
        <v>10103</v>
      </c>
      <c r="H2931" s="6">
        <v>45249</v>
      </c>
      <c r="I2931">
        <f t="shared" si="90"/>
        <v>1</v>
      </c>
      <c r="J2931" t="str">
        <f t="shared" si="91"/>
        <v>Complete</v>
      </c>
      <c r="K2931">
        <f>COUNTIFS(RawData[Item], B2931,RawData[Quantity],C2931,RawData[Price Per Unit],D2931,RawData[Total Spent],E2931,RawData[Payment Method],F2931,RawData[Location],G2931,RawData[Transaction Date],H2931)</f>
        <v>1</v>
      </c>
      <c r="L2931"/>
    </row>
    <row r="2932" spans="1:12" x14ac:dyDescent="0.3">
      <c r="A2932" t="s">
        <v>2938</v>
      </c>
      <c r="B2932" t="s">
        <v>10011</v>
      </c>
      <c r="C2932">
        <v>1</v>
      </c>
      <c r="D2932">
        <v>5</v>
      </c>
      <c r="E2932">
        <v>5</v>
      </c>
      <c r="F2932" t="s">
        <v>10018</v>
      </c>
      <c r="G2932" t="s">
        <v>10021</v>
      </c>
      <c r="H2932" s="6">
        <v>45027</v>
      </c>
      <c r="I2932">
        <f t="shared" si="90"/>
        <v>0</v>
      </c>
      <c r="J2932" t="str">
        <f t="shared" si="91"/>
        <v>Complete</v>
      </c>
      <c r="K2932">
        <f>COUNTIFS(RawData[Item], B2932,RawData[Quantity],C2932,RawData[Price Per Unit],D2932,RawData[Total Spent],E2932,RawData[Payment Method],F2932,RawData[Location],G2932,RawData[Transaction Date],H2932)</f>
        <v>1</v>
      </c>
      <c r="L2932"/>
    </row>
    <row r="2933" spans="1:12" x14ac:dyDescent="0.3">
      <c r="A2933" t="s">
        <v>2939</v>
      </c>
      <c r="B2933" t="s">
        <v>10008</v>
      </c>
      <c r="C2933">
        <v>3</v>
      </c>
      <c r="D2933">
        <v>2</v>
      </c>
      <c r="E2933">
        <v>6</v>
      </c>
      <c r="F2933" t="s">
        <v>10020</v>
      </c>
      <c r="G2933" t="s">
        <v>10102</v>
      </c>
      <c r="H2933" s="6">
        <v>45144</v>
      </c>
      <c r="I2933">
        <f t="shared" si="90"/>
        <v>0</v>
      </c>
      <c r="J2933" t="str">
        <f t="shared" si="91"/>
        <v>Complete</v>
      </c>
      <c r="K2933">
        <f>COUNTIFS(RawData[Item], B2933,RawData[Quantity],C2933,RawData[Price Per Unit],D2933,RawData[Total Spent],E2933,RawData[Payment Method],F2933,RawData[Location],G2933,RawData[Transaction Date],H2933)</f>
        <v>1</v>
      </c>
      <c r="L2933"/>
    </row>
    <row r="2934" spans="1:12" x14ac:dyDescent="0.3">
      <c r="A2934" t="s">
        <v>2940</v>
      </c>
      <c r="B2934" t="s">
        <v>10011</v>
      </c>
      <c r="C2934">
        <v>3</v>
      </c>
      <c r="D2934">
        <v>5</v>
      </c>
      <c r="E2934">
        <v>15</v>
      </c>
      <c r="F2934" t="s">
        <v>10018</v>
      </c>
      <c r="G2934" t="s">
        <v>10021</v>
      </c>
      <c r="H2934" s="6">
        <v>45160</v>
      </c>
      <c r="I2934">
        <f t="shared" si="90"/>
        <v>0</v>
      </c>
      <c r="J2934" t="str">
        <f t="shared" si="91"/>
        <v>Complete</v>
      </c>
      <c r="K2934">
        <f>COUNTIFS(RawData[Item], B2934,RawData[Quantity],C2934,RawData[Price Per Unit],D2934,RawData[Total Spent],E2934,RawData[Payment Method],F2934,RawData[Location],G2934,RawData[Transaction Date],H2934)</f>
        <v>1</v>
      </c>
      <c r="L2934"/>
    </row>
    <row r="2935" spans="1:12" x14ac:dyDescent="0.3">
      <c r="A2935" t="s">
        <v>2941</v>
      </c>
      <c r="B2935" t="s">
        <v>10009</v>
      </c>
      <c r="C2935">
        <v>5</v>
      </c>
      <c r="D2935">
        <v>3</v>
      </c>
      <c r="E2935">
        <v>15</v>
      </c>
      <c r="F2935" t="s">
        <v>10019</v>
      </c>
      <c r="G2935" t="s">
        <v>10021</v>
      </c>
      <c r="H2935" s="6">
        <v>45113</v>
      </c>
      <c r="I2935">
        <f t="shared" si="90"/>
        <v>0</v>
      </c>
      <c r="J2935" t="str">
        <f t="shared" si="91"/>
        <v>Complete</v>
      </c>
      <c r="K2935">
        <f>COUNTIFS(RawData[Item], B2935,RawData[Quantity],C2935,RawData[Price Per Unit],D2935,RawData[Total Spent],E2935,RawData[Payment Method],F2935,RawData[Location],G2935,RawData[Transaction Date],H2935)</f>
        <v>1</v>
      </c>
      <c r="L2935"/>
    </row>
    <row r="2936" spans="1:12" x14ac:dyDescent="0.3">
      <c r="A2936" t="s">
        <v>2942</v>
      </c>
      <c r="B2936" t="s">
        <v>10069</v>
      </c>
      <c r="C2936">
        <v>4</v>
      </c>
      <c r="D2936">
        <v>3</v>
      </c>
      <c r="E2936">
        <v>12</v>
      </c>
      <c r="F2936" t="s">
        <v>10019</v>
      </c>
      <c r="G2936" t="s">
        <v>10069</v>
      </c>
      <c r="H2936" s="6">
        <v>45230</v>
      </c>
      <c r="I2936">
        <f t="shared" si="90"/>
        <v>0</v>
      </c>
      <c r="J2936" t="str">
        <f t="shared" si="91"/>
        <v>Complete</v>
      </c>
      <c r="K2936">
        <f>COUNTIFS(RawData[Item], B2936,RawData[Quantity],C2936,RawData[Price Per Unit],D2936,RawData[Total Spent],E2936,RawData[Payment Method],F2936,RawData[Location],G2936,RawData[Transaction Date],H2936)</f>
        <v>1</v>
      </c>
      <c r="L2936"/>
    </row>
    <row r="2937" spans="1:12" x14ac:dyDescent="0.3">
      <c r="A2937" t="s">
        <v>2943</v>
      </c>
      <c r="B2937" t="s">
        <v>10009</v>
      </c>
      <c r="C2937">
        <v>5</v>
      </c>
      <c r="D2937">
        <v>3</v>
      </c>
      <c r="E2937">
        <v>15</v>
      </c>
      <c r="F2937" t="s">
        <v>10018</v>
      </c>
      <c r="G2937" t="s">
        <v>10021</v>
      </c>
      <c r="H2937" s="6" t="s">
        <v>10112</v>
      </c>
      <c r="I2937">
        <f t="shared" si="90"/>
        <v>1</v>
      </c>
      <c r="J2937" t="str">
        <f t="shared" si="91"/>
        <v>Incomplete</v>
      </c>
      <c r="K2937">
        <f>COUNTIFS(RawData[Item], B2937,RawData[Quantity],C2937,RawData[Price Per Unit],D2937,RawData[Total Spent],E2937,RawData[Payment Method],F2937,RawData[Location],G2937,RawData[Transaction Date],H2937)</f>
        <v>1</v>
      </c>
      <c r="L2937"/>
    </row>
    <row r="2938" spans="1:12" x14ac:dyDescent="0.3">
      <c r="A2938" t="s">
        <v>2944</v>
      </c>
      <c r="B2938" t="s">
        <v>10010</v>
      </c>
      <c r="C2938">
        <v>0</v>
      </c>
      <c r="D2938">
        <v>1</v>
      </c>
      <c r="E2938">
        <v>3</v>
      </c>
      <c r="F2938" t="s">
        <v>10069</v>
      </c>
      <c r="G2938" t="s">
        <v>10069</v>
      </c>
      <c r="H2938" s="6">
        <v>45227</v>
      </c>
      <c r="I2938">
        <f t="shared" si="90"/>
        <v>0</v>
      </c>
      <c r="J2938" t="str">
        <f t="shared" si="91"/>
        <v>Complete</v>
      </c>
      <c r="K2938">
        <f>COUNTIFS(RawData[Item], B2938,RawData[Quantity],C2938,RawData[Price Per Unit],D2938,RawData[Total Spent],E2938,RawData[Payment Method],F2938,RawData[Location],G2938,RawData[Transaction Date],H2938)</f>
        <v>1</v>
      </c>
      <c r="L2938"/>
    </row>
    <row r="2939" spans="1:12" x14ac:dyDescent="0.3">
      <c r="A2939" t="s">
        <v>2945</v>
      </c>
      <c r="B2939" t="s">
        <v>10016</v>
      </c>
      <c r="C2939">
        <v>4</v>
      </c>
      <c r="D2939">
        <v>3</v>
      </c>
      <c r="E2939">
        <v>12</v>
      </c>
      <c r="F2939" t="s">
        <v>10020</v>
      </c>
      <c r="G2939" t="s">
        <v>10102</v>
      </c>
      <c r="H2939" s="6">
        <v>45207</v>
      </c>
      <c r="I2939">
        <f t="shared" si="90"/>
        <v>0</v>
      </c>
      <c r="J2939" t="str">
        <f t="shared" si="91"/>
        <v>Complete</v>
      </c>
      <c r="K2939">
        <f>COUNTIFS(RawData[Item], B2939,RawData[Quantity],C2939,RawData[Price Per Unit],D2939,RawData[Total Spent],E2939,RawData[Payment Method],F2939,RawData[Location],G2939,RawData[Transaction Date],H2939)</f>
        <v>1</v>
      </c>
      <c r="L2939"/>
    </row>
    <row r="2940" spans="1:12" x14ac:dyDescent="0.3">
      <c r="A2940" t="s">
        <v>2946</v>
      </c>
      <c r="B2940" t="s">
        <v>10010</v>
      </c>
      <c r="C2940">
        <v>2</v>
      </c>
      <c r="D2940">
        <v>1</v>
      </c>
      <c r="E2940">
        <v>2</v>
      </c>
      <c r="F2940" t="s">
        <v>10020</v>
      </c>
      <c r="G2940" t="s">
        <v>10069</v>
      </c>
      <c r="H2940" s="6">
        <v>45258</v>
      </c>
      <c r="I2940">
        <f t="shared" si="90"/>
        <v>0</v>
      </c>
      <c r="J2940" t="str">
        <f t="shared" si="91"/>
        <v>Complete</v>
      </c>
      <c r="K2940">
        <f>COUNTIFS(RawData[Item], B2940,RawData[Quantity],C2940,RawData[Price Per Unit],D2940,RawData[Total Spent],E2940,RawData[Payment Method],F2940,RawData[Location],G2940,RawData[Transaction Date],H2940)</f>
        <v>1</v>
      </c>
      <c r="L2940"/>
    </row>
    <row r="2941" spans="1:12" x14ac:dyDescent="0.3">
      <c r="A2941" t="s">
        <v>2947</v>
      </c>
      <c r="B2941" t="s">
        <v>10008</v>
      </c>
      <c r="C2941">
        <v>2</v>
      </c>
      <c r="D2941">
        <v>2</v>
      </c>
      <c r="E2941">
        <v>4</v>
      </c>
      <c r="F2941" t="s">
        <v>10069</v>
      </c>
      <c r="G2941" t="s">
        <v>10021</v>
      </c>
      <c r="H2941" s="6">
        <v>45070</v>
      </c>
      <c r="I2941">
        <f t="shared" si="90"/>
        <v>0</v>
      </c>
      <c r="J2941" t="str">
        <f t="shared" si="91"/>
        <v>Complete</v>
      </c>
      <c r="K2941">
        <f>COUNTIFS(RawData[Item], B2941,RawData[Quantity],C2941,RawData[Price Per Unit],D2941,RawData[Total Spent],E2941,RawData[Payment Method],F2941,RawData[Location],G2941,RawData[Transaction Date],H2941)</f>
        <v>1</v>
      </c>
      <c r="L2941"/>
    </row>
    <row r="2942" spans="1:12" x14ac:dyDescent="0.3">
      <c r="A2942" t="s">
        <v>2948</v>
      </c>
      <c r="B2942" t="s">
        <v>10014</v>
      </c>
      <c r="C2942">
        <v>5</v>
      </c>
      <c r="D2942">
        <v>4</v>
      </c>
      <c r="E2942">
        <v>20</v>
      </c>
      <c r="F2942" t="s">
        <v>10103</v>
      </c>
      <c r="G2942" t="s">
        <v>10021</v>
      </c>
      <c r="H2942" s="6" t="s">
        <v>10112</v>
      </c>
      <c r="I2942">
        <f t="shared" si="90"/>
        <v>2</v>
      </c>
      <c r="J2942" t="str">
        <f t="shared" si="91"/>
        <v>Incomplete</v>
      </c>
      <c r="K2942">
        <f>COUNTIFS(RawData[Item], B2942,RawData[Quantity],C2942,RawData[Price Per Unit],D2942,RawData[Total Spent],E2942,RawData[Payment Method],F2942,RawData[Location],G2942,RawData[Transaction Date],H2942)</f>
        <v>1</v>
      </c>
      <c r="L2942"/>
    </row>
    <row r="2943" spans="1:12" x14ac:dyDescent="0.3">
      <c r="A2943" t="s">
        <v>2949</v>
      </c>
      <c r="B2943" t="s">
        <v>10011</v>
      </c>
      <c r="C2943">
        <v>3</v>
      </c>
      <c r="D2943">
        <v>5</v>
      </c>
      <c r="E2943">
        <v>15</v>
      </c>
      <c r="F2943" t="s">
        <v>10019</v>
      </c>
      <c r="G2943" t="s">
        <v>10102</v>
      </c>
      <c r="H2943" s="6">
        <v>45045</v>
      </c>
      <c r="I2943">
        <f t="shared" si="90"/>
        <v>0</v>
      </c>
      <c r="J2943" t="str">
        <f t="shared" si="91"/>
        <v>Complete</v>
      </c>
      <c r="K2943">
        <f>COUNTIFS(RawData[Item], B2943,RawData[Quantity],C2943,RawData[Price Per Unit],D2943,RawData[Total Spent],E2943,RawData[Payment Method],F2943,RawData[Location],G2943,RawData[Transaction Date],H2943)</f>
        <v>1</v>
      </c>
      <c r="L2943"/>
    </row>
    <row r="2944" spans="1:12" x14ac:dyDescent="0.3">
      <c r="A2944" t="s">
        <v>2950</v>
      </c>
      <c r="B2944" t="s">
        <v>10010</v>
      </c>
      <c r="C2944">
        <v>1</v>
      </c>
      <c r="D2944">
        <v>1</v>
      </c>
      <c r="E2944">
        <v>1</v>
      </c>
      <c r="F2944" t="s">
        <v>10019</v>
      </c>
      <c r="G2944" t="s">
        <v>10102</v>
      </c>
      <c r="H2944" s="6">
        <v>45211</v>
      </c>
      <c r="I2944">
        <f t="shared" si="90"/>
        <v>0</v>
      </c>
      <c r="J2944" t="str">
        <f t="shared" si="91"/>
        <v>Complete</v>
      </c>
      <c r="K2944">
        <f>COUNTIFS(RawData[Item], B2944,RawData[Quantity],C2944,RawData[Price Per Unit],D2944,RawData[Total Spent],E2944,RawData[Payment Method],F2944,RawData[Location],G2944,RawData[Transaction Date],H2944)</f>
        <v>1</v>
      </c>
      <c r="L2944"/>
    </row>
    <row r="2945" spans="1:12" x14ac:dyDescent="0.3">
      <c r="A2945" t="s">
        <v>2951</v>
      </c>
      <c r="B2945" t="s">
        <v>10009</v>
      </c>
      <c r="C2945">
        <v>5</v>
      </c>
      <c r="D2945">
        <v>3</v>
      </c>
      <c r="E2945">
        <v>15</v>
      </c>
      <c r="F2945" t="s">
        <v>10018</v>
      </c>
      <c r="G2945" t="s">
        <v>10069</v>
      </c>
      <c r="H2945" s="6">
        <v>45072</v>
      </c>
      <c r="I2945">
        <f t="shared" si="90"/>
        <v>0</v>
      </c>
      <c r="J2945" t="str">
        <f t="shared" si="91"/>
        <v>Complete</v>
      </c>
      <c r="K2945">
        <f>COUNTIFS(RawData[Item], B2945,RawData[Quantity],C2945,RawData[Price Per Unit],D2945,RawData[Total Spent],E2945,RawData[Payment Method],F2945,RawData[Location],G2945,RawData[Transaction Date],H2945)</f>
        <v>1</v>
      </c>
      <c r="L2945"/>
    </row>
    <row r="2946" spans="1:12" x14ac:dyDescent="0.3">
      <c r="A2946" t="s">
        <v>2952</v>
      </c>
      <c r="B2946" t="s">
        <v>10012</v>
      </c>
      <c r="C2946">
        <v>4</v>
      </c>
      <c r="D2946">
        <v>4</v>
      </c>
      <c r="E2946">
        <v>16</v>
      </c>
      <c r="F2946" t="s">
        <v>10020</v>
      </c>
      <c r="G2946" t="s">
        <v>10103</v>
      </c>
      <c r="H2946" s="6">
        <v>45045</v>
      </c>
      <c r="I2946">
        <f t="shared" ref="I2946:I3009" si="92">(B2946="Unknown")+(B2946="Error")+(C2946="Unknown")+(C2946="Error")+(D2946="Unknown")+(D2946="Error")+(E2946="Unknown")+(E2946="Error")+(F2946="Unknown")+(F2946="Error")+(G2946="Unknown")+(G2946="Error")+(H2946="No Date")</f>
        <v>1</v>
      </c>
      <c r="J2946" t="str">
        <f t="shared" ref="J2946:J3009" si="93">IF((H2946="No Date"),"Incomplete","Complete")</f>
        <v>Complete</v>
      </c>
      <c r="K2946">
        <f>COUNTIFS(RawData[Item], B2946,RawData[Quantity],C2946,RawData[Price Per Unit],D2946,RawData[Total Spent],E2946,RawData[Payment Method],F2946,RawData[Location],G2946,RawData[Transaction Date],H2946)</f>
        <v>1</v>
      </c>
      <c r="L2946"/>
    </row>
    <row r="2947" spans="1:12" x14ac:dyDescent="0.3">
      <c r="A2947" t="s">
        <v>2953</v>
      </c>
      <c r="B2947" t="s">
        <v>10016</v>
      </c>
      <c r="C2947">
        <v>1</v>
      </c>
      <c r="D2947">
        <v>3</v>
      </c>
      <c r="E2947">
        <v>3</v>
      </c>
      <c r="F2947" t="s">
        <v>10020</v>
      </c>
      <c r="G2947" t="s">
        <v>10069</v>
      </c>
      <c r="H2947" s="6">
        <v>44940</v>
      </c>
      <c r="I2947">
        <f t="shared" si="92"/>
        <v>0</v>
      </c>
      <c r="J2947" t="str">
        <f t="shared" si="93"/>
        <v>Complete</v>
      </c>
      <c r="K2947">
        <f>COUNTIFS(RawData[Item], B2947,RawData[Quantity],C2947,RawData[Price Per Unit],D2947,RawData[Total Spent],E2947,RawData[Payment Method],F2947,RawData[Location],G2947,RawData[Transaction Date],H2947)</f>
        <v>1</v>
      </c>
      <c r="L2947"/>
    </row>
    <row r="2948" spans="1:12" x14ac:dyDescent="0.3">
      <c r="A2948" t="s">
        <v>2954</v>
      </c>
      <c r="B2948" t="s">
        <v>10010</v>
      </c>
      <c r="C2948">
        <v>4</v>
      </c>
      <c r="D2948">
        <v>1</v>
      </c>
      <c r="E2948">
        <v>4</v>
      </c>
      <c r="F2948" t="s">
        <v>10069</v>
      </c>
      <c r="G2948" t="s">
        <v>10021</v>
      </c>
      <c r="H2948" s="6">
        <v>45083</v>
      </c>
      <c r="I2948">
        <f t="shared" si="92"/>
        <v>0</v>
      </c>
      <c r="J2948" t="str">
        <f t="shared" si="93"/>
        <v>Complete</v>
      </c>
      <c r="K2948">
        <f>COUNTIFS(RawData[Item], B2948,RawData[Quantity],C2948,RawData[Price Per Unit],D2948,RawData[Total Spent],E2948,RawData[Payment Method],F2948,RawData[Location],G2948,RawData[Transaction Date],H2948)</f>
        <v>1</v>
      </c>
      <c r="L2948"/>
    </row>
    <row r="2949" spans="1:12" x14ac:dyDescent="0.3">
      <c r="A2949" t="s">
        <v>2955</v>
      </c>
      <c r="B2949" t="s">
        <v>10015</v>
      </c>
      <c r="C2949">
        <v>5</v>
      </c>
      <c r="D2949">
        <v>3</v>
      </c>
      <c r="E2949">
        <v>15</v>
      </c>
      <c r="F2949" t="s">
        <v>10018</v>
      </c>
      <c r="G2949" t="s">
        <v>10021</v>
      </c>
      <c r="H2949" s="6">
        <v>44990</v>
      </c>
      <c r="I2949">
        <f t="shared" si="92"/>
        <v>1</v>
      </c>
      <c r="J2949" t="str">
        <f t="shared" si="93"/>
        <v>Complete</v>
      </c>
      <c r="K2949">
        <f>COUNTIFS(RawData[Item], B2949,RawData[Quantity],C2949,RawData[Price Per Unit],D2949,RawData[Total Spent],E2949,RawData[Payment Method],F2949,RawData[Location],G2949,RawData[Transaction Date],H2949)</f>
        <v>1</v>
      </c>
      <c r="L2949"/>
    </row>
    <row r="2950" spans="1:12" x14ac:dyDescent="0.3">
      <c r="A2950" t="s">
        <v>2956</v>
      </c>
      <c r="B2950" t="s">
        <v>10008</v>
      </c>
      <c r="C2950">
        <v>3</v>
      </c>
      <c r="D2950">
        <v>2</v>
      </c>
      <c r="E2950">
        <v>6</v>
      </c>
      <c r="F2950" t="s">
        <v>10020</v>
      </c>
      <c r="G2950" t="s">
        <v>10069</v>
      </c>
      <c r="H2950" s="6">
        <v>45087</v>
      </c>
      <c r="I2950">
        <f t="shared" si="92"/>
        <v>0</v>
      </c>
      <c r="J2950" t="str">
        <f t="shared" si="93"/>
        <v>Complete</v>
      </c>
      <c r="K2950">
        <f>COUNTIFS(RawData[Item], B2950,RawData[Quantity],C2950,RawData[Price Per Unit],D2950,RawData[Total Spent],E2950,RawData[Payment Method],F2950,RawData[Location],G2950,RawData[Transaction Date],H2950)</f>
        <v>1</v>
      </c>
      <c r="L2950"/>
    </row>
    <row r="2951" spans="1:12" x14ac:dyDescent="0.3">
      <c r="A2951" t="s">
        <v>2957</v>
      </c>
      <c r="B2951" t="s">
        <v>10011</v>
      </c>
      <c r="C2951">
        <v>5</v>
      </c>
      <c r="D2951">
        <v>5</v>
      </c>
      <c r="E2951">
        <v>25</v>
      </c>
      <c r="F2951" t="s">
        <v>10069</v>
      </c>
      <c r="G2951" t="s">
        <v>10069</v>
      </c>
      <c r="H2951" s="6">
        <v>45035</v>
      </c>
      <c r="I2951">
        <f t="shared" si="92"/>
        <v>0</v>
      </c>
      <c r="J2951" t="str">
        <f t="shared" si="93"/>
        <v>Complete</v>
      </c>
      <c r="K2951">
        <f>COUNTIFS(RawData[Item], B2951,RawData[Quantity],C2951,RawData[Price Per Unit],D2951,RawData[Total Spent],E2951,RawData[Payment Method],F2951,RawData[Location],G2951,RawData[Transaction Date],H2951)</f>
        <v>1</v>
      </c>
      <c r="L2951"/>
    </row>
    <row r="2952" spans="1:12" x14ac:dyDescent="0.3">
      <c r="A2952" t="s">
        <v>2958</v>
      </c>
      <c r="B2952" t="s">
        <v>10011</v>
      </c>
      <c r="C2952">
        <v>4</v>
      </c>
      <c r="D2952">
        <v>5</v>
      </c>
      <c r="E2952">
        <v>20</v>
      </c>
      <c r="F2952" t="s">
        <v>10069</v>
      </c>
      <c r="G2952" t="s">
        <v>10102</v>
      </c>
      <c r="H2952" s="6">
        <v>45230</v>
      </c>
      <c r="I2952">
        <f t="shared" si="92"/>
        <v>0</v>
      </c>
      <c r="J2952" t="str">
        <f t="shared" si="93"/>
        <v>Complete</v>
      </c>
      <c r="K2952">
        <f>COUNTIFS(RawData[Item], B2952,RawData[Quantity],C2952,RawData[Price Per Unit],D2952,RawData[Total Spent],E2952,RawData[Payment Method],F2952,RawData[Location],G2952,RawData[Transaction Date],H2952)</f>
        <v>1</v>
      </c>
      <c r="L2952"/>
    </row>
    <row r="2953" spans="1:12" x14ac:dyDescent="0.3">
      <c r="A2953" t="s">
        <v>2959</v>
      </c>
      <c r="B2953" t="s">
        <v>10008</v>
      </c>
      <c r="C2953">
        <v>3</v>
      </c>
      <c r="D2953">
        <v>2</v>
      </c>
      <c r="E2953">
        <v>6</v>
      </c>
      <c r="F2953" t="s">
        <v>10020</v>
      </c>
      <c r="G2953" t="s">
        <v>10069</v>
      </c>
      <c r="H2953" s="6">
        <v>45185</v>
      </c>
      <c r="I2953">
        <f t="shared" si="92"/>
        <v>0</v>
      </c>
      <c r="J2953" t="str">
        <f t="shared" si="93"/>
        <v>Complete</v>
      </c>
      <c r="K2953">
        <f>COUNTIFS(RawData[Item], B2953,RawData[Quantity],C2953,RawData[Price Per Unit],D2953,RawData[Total Spent],E2953,RawData[Payment Method],F2953,RawData[Location],G2953,RawData[Transaction Date],H2953)</f>
        <v>1</v>
      </c>
      <c r="L2953"/>
    </row>
    <row r="2954" spans="1:12" x14ac:dyDescent="0.3">
      <c r="A2954" t="s">
        <v>2960</v>
      </c>
      <c r="B2954" t="s">
        <v>10016</v>
      </c>
      <c r="C2954">
        <v>2</v>
      </c>
      <c r="D2954">
        <v>3</v>
      </c>
      <c r="E2954">
        <v>6</v>
      </c>
      <c r="F2954" t="s">
        <v>10018</v>
      </c>
      <c r="G2954" t="s">
        <v>10021</v>
      </c>
      <c r="H2954" s="6">
        <v>45154</v>
      </c>
      <c r="I2954">
        <f t="shared" si="92"/>
        <v>0</v>
      </c>
      <c r="J2954" t="str">
        <f t="shared" si="93"/>
        <v>Complete</v>
      </c>
      <c r="K2954">
        <f>COUNTIFS(RawData[Item], B2954,RawData[Quantity],C2954,RawData[Price Per Unit],D2954,RawData[Total Spent],E2954,RawData[Payment Method],F2954,RawData[Location],G2954,RawData[Transaction Date],H2954)</f>
        <v>1</v>
      </c>
      <c r="L2954"/>
    </row>
    <row r="2955" spans="1:12" x14ac:dyDescent="0.3">
      <c r="A2955" t="s">
        <v>2961</v>
      </c>
      <c r="B2955" t="s">
        <v>10016</v>
      </c>
      <c r="C2955">
        <v>2</v>
      </c>
      <c r="D2955">
        <v>3</v>
      </c>
      <c r="E2955">
        <v>6</v>
      </c>
      <c r="F2955" t="s">
        <v>10019</v>
      </c>
      <c r="G2955" t="s">
        <v>10069</v>
      </c>
      <c r="H2955" s="6">
        <v>44952</v>
      </c>
      <c r="I2955">
        <f t="shared" si="92"/>
        <v>0</v>
      </c>
      <c r="J2955" t="str">
        <f t="shared" si="93"/>
        <v>Complete</v>
      </c>
      <c r="K2955">
        <f>COUNTIFS(RawData[Item], B2955,RawData[Quantity],C2955,RawData[Price Per Unit],D2955,RawData[Total Spent],E2955,RawData[Payment Method],F2955,RawData[Location],G2955,RawData[Transaction Date],H2955)</f>
        <v>1</v>
      </c>
      <c r="L2955"/>
    </row>
    <row r="2956" spans="1:12" x14ac:dyDescent="0.3">
      <c r="A2956" t="s">
        <v>2962</v>
      </c>
      <c r="B2956" t="s">
        <v>10017</v>
      </c>
      <c r="C2956">
        <v>4</v>
      </c>
      <c r="D2956">
        <v>1.5</v>
      </c>
      <c r="E2956">
        <v>6</v>
      </c>
      <c r="F2956" t="s">
        <v>10069</v>
      </c>
      <c r="G2956" t="s">
        <v>10102</v>
      </c>
      <c r="H2956" s="6" t="s">
        <v>10112</v>
      </c>
      <c r="I2956">
        <f t="shared" si="92"/>
        <v>1</v>
      </c>
      <c r="J2956" t="str">
        <f t="shared" si="93"/>
        <v>Incomplete</v>
      </c>
      <c r="K2956">
        <f>COUNTIFS(RawData[Item], B2956,RawData[Quantity],C2956,RawData[Price Per Unit],D2956,RawData[Total Spent],E2956,RawData[Payment Method],F2956,RawData[Location],G2956,RawData[Transaction Date],H2956)</f>
        <v>3</v>
      </c>
      <c r="L2956"/>
    </row>
    <row r="2957" spans="1:12" x14ac:dyDescent="0.3">
      <c r="A2957" t="s">
        <v>2963</v>
      </c>
      <c r="B2957" t="s">
        <v>10009</v>
      </c>
      <c r="C2957">
        <v>2</v>
      </c>
      <c r="D2957">
        <v>3</v>
      </c>
      <c r="E2957">
        <v>6</v>
      </c>
      <c r="F2957" t="s">
        <v>10019</v>
      </c>
      <c r="G2957" t="s">
        <v>10102</v>
      </c>
      <c r="H2957" s="6">
        <v>45045</v>
      </c>
      <c r="I2957">
        <f t="shared" si="92"/>
        <v>0</v>
      </c>
      <c r="J2957" t="str">
        <f t="shared" si="93"/>
        <v>Complete</v>
      </c>
      <c r="K2957">
        <f>COUNTIFS(RawData[Item], B2957,RawData[Quantity],C2957,RawData[Price Per Unit],D2957,RawData[Total Spent],E2957,RawData[Payment Method],F2957,RawData[Location],G2957,RawData[Transaction Date],H2957)</f>
        <v>1</v>
      </c>
      <c r="L2957"/>
    </row>
    <row r="2958" spans="1:12" x14ac:dyDescent="0.3">
      <c r="A2958" t="s">
        <v>2964</v>
      </c>
      <c r="B2958" t="s">
        <v>10013</v>
      </c>
      <c r="C2958">
        <v>3</v>
      </c>
      <c r="D2958">
        <v>1</v>
      </c>
      <c r="E2958">
        <v>3</v>
      </c>
      <c r="F2958" t="s">
        <v>10018</v>
      </c>
      <c r="G2958" t="s">
        <v>10069</v>
      </c>
      <c r="H2958" s="6">
        <v>45015</v>
      </c>
      <c r="I2958">
        <f t="shared" si="92"/>
        <v>1</v>
      </c>
      <c r="J2958" t="str">
        <f t="shared" si="93"/>
        <v>Complete</v>
      </c>
      <c r="K2958">
        <f>COUNTIFS(RawData[Item], B2958,RawData[Quantity],C2958,RawData[Price Per Unit],D2958,RawData[Total Spent],E2958,RawData[Payment Method],F2958,RawData[Location],G2958,RawData[Transaction Date],H2958)</f>
        <v>1</v>
      </c>
      <c r="L2958"/>
    </row>
    <row r="2959" spans="1:12" x14ac:dyDescent="0.3">
      <c r="A2959" t="s">
        <v>2965</v>
      </c>
      <c r="B2959" t="s">
        <v>10015</v>
      </c>
      <c r="C2959">
        <v>3</v>
      </c>
      <c r="D2959">
        <v>2</v>
      </c>
      <c r="E2959">
        <v>6</v>
      </c>
      <c r="F2959" t="s">
        <v>10020</v>
      </c>
      <c r="G2959" t="s">
        <v>10021</v>
      </c>
      <c r="H2959" s="6">
        <v>45232</v>
      </c>
      <c r="I2959">
        <f t="shared" si="92"/>
        <v>1</v>
      </c>
      <c r="J2959" t="str">
        <f t="shared" si="93"/>
        <v>Complete</v>
      </c>
      <c r="K2959">
        <f>COUNTIFS(RawData[Item], B2959,RawData[Quantity],C2959,RawData[Price Per Unit],D2959,RawData[Total Spent],E2959,RawData[Payment Method],F2959,RawData[Location],G2959,RawData[Transaction Date],H2959)</f>
        <v>1</v>
      </c>
      <c r="L2959"/>
    </row>
    <row r="2960" spans="1:12" x14ac:dyDescent="0.3">
      <c r="A2960" t="s">
        <v>2966</v>
      </c>
      <c r="B2960" t="s">
        <v>10008</v>
      </c>
      <c r="C2960">
        <v>1</v>
      </c>
      <c r="D2960">
        <v>2</v>
      </c>
      <c r="E2960">
        <v>2</v>
      </c>
      <c r="F2960" t="s">
        <v>10020</v>
      </c>
      <c r="G2960" t="s">
        <v>10069</v>
      </c>
      <c r="H2960" s="6">
        <v>45101</v>
      </c>
      <c r="I2960">
        <f t="shared" si="92"/>
        <v>0</v>
      </c>
      <c r="J2960" t="str">
        <f t="shared" si="93"/>
        <v>Complete</v>
      </c>
      <c r="K2960">
        <f>COUNTIFS(RawData[Item], B2960,RawData[Quantity],C2960,RawData[Price Per Unit],D2960,RawData[Total Spent],E2960,RawData[Payment Method],F2960,RawData[Location],G2960,RawData[Transaction Date],H2960)</f>
        <v>1</v>
      </c>
      <c r="L2960"/>
    </row>
    <row r="2961" spans="1:12" x14ac:dyDescent="0.3">
      <c r="A2961" t="s">
        <v>2967</v>
      </c>
      <c r="B2961" t="s">
        <v>10011</v>
      </c>
      <c r="C2961">
        <v>5</v>
      </c>
      <c r="D2961">
        <v>5</v>
      </c>
      <c r="E2961">
        <v>25</v>
      </c>
      <c r="F2961" t="s">
        <v>10104</v>
      </c>
      <c r="G2961" t="s">
        <v>10069</v>
      </c>
      <c r="H2961" s="6">
        <v>45207</v>
      </c>
      <c r="I2961">
        <f t="shared" si="92"/>
        <v>1</v>
      </c>
      <c r="J2961" t="str">
        <f t="shared" si="93"/>
        <v>Complete</v>
      </c>
      <c r="K2961">
        <f>COUNTIFS(RawData[Item], B2961,RawData[Quantity],C2961,RawData[Price Per Unit],D2961,RawData[Total Spent],E2961,RawData[Payment Method],F2961,RawData[Location],G2961,RawData[Transaction Date],H2961)</f>
        <v>1</v>
      </c>
      <c r="L2961"/>
    </row>
    <row r="2962" spans="1:12" x14ac:dyDescent="0.3">
      <c r="A2962" t="s">
        <v>2968</v>
      </c>
      <c r="B2962" t="s">
        <v>10010</v>
      </c>
      <c r="C2962">
        <v>3</v>
      </c>
      <c r="D2962">
        <v>1</v>
      </c>
      <c r="E2962">
        <v>3</v>
      </c>
      <c r="F2962" t="s">
        <v>10069</v>
      </c>
      <c r="G2962" t="s">
        <v>10021</v>
      </c>
      <c r="H2962" s="6">
        <v>45239</v>
      </c>
      <c r="I2962">
        <f t="shared" si="92"/>
        <v>0</v>
      </c>
      <c r="J2962" t="str">
        <f t="shared" si="93"/>
        <v>Complete</v>
      </c>
      <c r="K2962">
        <f>COUNTIFS(RawData[Item], B2962,RawData[Quantity],C2962,RawData[Price Per Unit],D2962,RawData[Total Spent],E2962,RawData[Payment Method],F2962,RawData[Location],G2962,RawData[Transaction Date],H2962)</f>
        <v>1</v>
      </c>
      <c r="L2962"/>
    </row>
    <row r="2963" spans="1:12" x14ac:dyDescent="0.3">
      <c r="A2963" t="s">
        <v>2969</v>
      </c>
      <c r="B2963" t="s">
        <v>10012</v>
      </c>
      <c r="C2963">
        <v>1</v>
      </c>
      <c r="D2963">
        <v>4</v>
      </c>
      <c r="E2963">
        <v>4</v>
      </c>
      <c r="F2963" t="s">
        <v>10020</v>
      </c>
      <c r="G2963" t="s">
        <v>10021</v>
      </c>
      <c r="H2963" s="6">
        <v>44987</v>
      </c>
      <c r="I2963">
        <f t="shared" si="92"/>
        <v>0</v>
      </c>
      <c r="J2963" t="str">
        <f t="shared" si="93"/>
        <v>Complete</v>
      </c>
      <c r="K2963">
        <f>COUNTIFS(RawData[Item], B2963,RawData[Quantity],C2963,RawData[Price Per Unit],D2963,RawData[Total Spent],E2963,RawData[Payment Method],F2963,RawData[Location],G2963,RawData[Transaction Date],H2963)</f>
        <v>1</v>
      </c>
      <c r="L2963"/>
    </row>
    <row r="2964" spans="1:12" x14ac:dyDescent="0.3">
      <c r="A2964" t="s">
        <v>2970</v>
      </c>
      <c r="B2964" t="s">
        <v>10013</v>
      </c>
      <c r="C2964">
        <v>4</v>
      </c>
      <c r="D2964">
        <v>0</v>
      </c>
      <c r="E2964">
        <v>16</v>
      </c>
      <c r="F2964" t="s">
        <v>10069</v>
      </c>
      <c r="G2964" t="s">
        <v>10021</v>
      </c>
      <c r="H2964" s="6">
        <v>45117</v>
      </c>
      <c r="I2964">
        <f t="shared" si="92"/>
        <v>1</v>
      </c>
      <c r="J2964" t="str">
        <f t="shared" si="93"/>
        <v>Complete</v>
      </c>
      <c r="K2964">
        <f>COUNTIFS(RawData[Item], B2964,RawData[Quantity],C2964,RawData[Price Per Unit],D2964,RawData[Total Spent],E2964,RawData[Payment Method],F2964,RawData[Location],G2964,RawData[Transaction Date],H2964)</f>
        <v>1</v>
      </c>
      <c r="L2964"/>
    </row>
    <row r="2965" spans="1:12" x14ac:dyDescent="0.3">
      <c r="A2965" t="s">
        <v>2971</v>
      </c>
      <c r="B2965" t="s">
        <v>10012</v>
      </c>
      <c r="C2965">
        <v>4</v>
      </c>
      <c r="D2965">
        <v>4</v>
      </c>
      <c r="E2965">
        <v>16</v>
      </c>
      <c r="F2965" t="s">
        <v>10018</v>
      </c>
      <c r="G2965" t="s">
        <v>10104</v>
      </c>
      <c r="H2965" s="6">
        <v>45028</v>
      </c>
      <c r="I2965">
        <f t="shared" si="92"/>
        <v>1</v>
      </c>
      <c r="J2965" t="str">
        <f t="shared" si="93"/>
        <v>Complete</v>
      </c>
      <c r="K2965">
        <f>COUNTIFS(RawData[Item], B2965,RawData[Quantity],C2965,RawData[Price Per Unit],D2965,RawData[Total Spent],E2965,RawData[Payment Method],F2965,RawData[Location],G2965,RawData[Transaction Date],H2965)</f>
        <v>1</v>
      </c>
      <c r="L2965"/>
    </row>
    <row r="2966" spans="1:12" x14ac:dyDescent="0.3">
      <c r="A2966" t="s">
        <v>2972</v>
      </c>
      <c r="B2966" t="s">
        <v>10016</v>
      </c>
      <c r="C2966">
        <v>3</v>
      </c>
      <c r="D2966">
        <v>3</v>
      </c>
      <c r="E2966">
        <v>9</v>
      </c>
      <c r="F2966" t="s">
        <v>10020</v>
      </c>
      <c r="G2966" t="s">
        <v>10021</v>
      </c>
      <c r="H2966" s="6">
        <v>45056</v>
      </c>
      <c r="I2966">
        <f t="shared" si="92"/>
        <v>0</v>
      </c>
      <c r="J2966" t="str">
        <f t="shared" si="93"/>
        <v>Complete</v>
      </c>
      <c r="K2966">
        <f>COUNTIFS(RawData[Item], B2966,RawData[Quantity],C2966,RawData[Price Per Unit],D2966,RawData[Total Spent],E2966,RawData[Payment Method],F2966,RawData[Location],G2966,RawData[Transaction Date],H2966)</f>
        <v>1</v>
      </c>
      <c r="L2966"/>
    </row>
    <row r="2967" spans="1:12" x14ac:dyDescent="0.3">
      <c r="A2967" t="s">
        <v>2973</v>
      </c>
      <c r="B2967" t="s">
        <v>10010</v>
      </c>
      <c r="C2967">
        <v>1</v>
      </c>
      <c r="D2967">
        <v>1</v>
      </c>
      <c r="E2967">
        <v>1</v>
      </c>
      <c r="F2967" t="s">
        <v>10019</v>
      </c>
      <c r="G2967" t="s">
        <v>10069</v>
      </c>
      <c r="H2967" s="6">
        <v>45122</v>
      </c>
      <c r="I2967">
        <f t="shared" si="92"/>
        <v>0</v>
      </c>
      <c r="J2967" t="str">
        <f t="shared" si="93"/>
        <v>Complete</v>
      </c>
      <c r="K2967">
        <f>COUNTIFS(RawData[Item], B2967,RawData[Quantity],C2967,RawData[Price Per Unit],D2967,RawData[Total Spent],E2967,RawData[Payment Method],F2967,RawData[Location],G2967,RawData[Transaction Date],H2967)</f>
        <v>1</v>
      </c>
      <c r="L2967"/>
    </row>
    <row r="2968" spans="1:12" x14ac:dyDescent="0.3">
      <c r="A2968" t="s">
        <v>2974</v>
      </c>
      <c r="B2968" t="s">
        <v>10008</v>
      </c>
      <c r="C2968">
        <v>4</v>
      </c>
      <c r="D2968">
        <v>2</v>
      </c>
      <c r="E2968">
        <v>8</v>
      </c>
      <c r="F2968" t="s">
        <v>10069</v>
      </c>
      <c r="G2968" t="s">
        <v>10104</v>
      </c>
      <c r="H2968" s="6">
        <v>45206</v>
      </c>
      <c r="I2968">
        <f t="shared" si="92"/>
        <v>1</v>
      </c>
      <c r="J2968" t="str">
        <f t="shared" si="93"/>
        <v>Complete</v>
      </c>
      <c r="K2968">
        <f>COUNTIFS(RawData[Item], B2968,RawData[Quantity],C2968,RawData[Price Per Unit],D2968,RawData[Total Spent],E2968,RawData[Payment Method],F2968,RawData[Location],G2968,RawData[Transaction Date],H2968)</f>
        <v>1</v>
      </c>
      <c r="L2968"/>
    </row>
    <row r="2969" spans="1:12" x14ac:dyDescent="0.3">
      <c r="A2969" t="s">
        <v>2975</v>
      </c>
      <c r="B2969" t="s">
        <v>10009</v>
      </c>
      <c r="C2969">
        <v>5</v>
      </c>
      <c r="D2969">
        <v>3</v>
      </c>
      <c r="E2969">
        <v>15</v>
      </c>
      <c r="F2969" t="s">
        <v>10020</v>
      </c>
      <c r="G2969" t="s">
        <v>10103</v>
      </c>
      <c r="H2969" s="6">
        <v>44954</v>
      </c>
      <c r="I2969">
        <f t="shared" si="92"/>
        <v>1</v>
      </c>
      <c r="J2969" t="str">
        <f t="shared" si="93"/>
        <v>Complete</v>
      </c>
      <c r="K2969">
        <f>COUNTIFS(RawData[Item], B2969,RawData[Quantity],C2969,RawData[Price Per Unit],D2969,RawData[Total Spent],E2969,RawData[Payment Method],F2969,RawData[Location],G2969,RawData[Transaction Date],H2969)</f>
        <v>1</v>
      </c>
      <c r="L2969"/>
    </row>
    <row r="2970" spans="1:12" x14ac:dyDescent="0.3">
      <c r="A2970" t="s">
        <v>2976</v>
      </c>
      <c r="B2970" t="s">
        <v>10015</v>
      </c>
      <c r="C2970">
        <v>3</v>
      </c>
      <c r="D2970">
        <v>4</v>
      </c>
      <c r="E2970">
        <v>0</v>
      </c>
      <c r="F2970" t="s">
        <v>10069</v>
      </c>
      <c r="G2970" t="s">
        <v>10021</v>
      </c>
      <c r="H2970" s="6">
        <v>45064</v>
      </c>
      <c r="I2970">
        <f t="shared" si="92"/>
        <v>1</v>
      </c>
      <c r="J2970" t="str">
        <f t="shared" si="93"/>
        <v>Complete</v>
      </c>
      <c r="K2970">
        <f>COUNTIFS(RawData[Item], B2970,RawData[Quantity],C2970,RawData[Price Per Unit],D2970,RawData[Total Spent],E2970,RawData[Payment Method],F2970,RawData[Location],G2970,RawData[Transaction Date],H2970)</f>
        <v>1</v>
      </c>
      <c r="L2970"/>
    </row>
    <row r="2971" spans="1:12" x14ac:dyDescent="0.3">
      <c r="A2971" t="s">
        <v>2977</v>
      </c>
      <c r="B2971" t="s">
        <v>10013</v>
      </c>
      <c r="C2971">
        <v>1</v>
      </c>
      <c r="D2971">
        <v>3</v>
      </c>
      <c r="E2971">
        <v>3</v>
      </c>
      <c r="F2971" t="s">
        <v>10019</v>
      </c>
      <c r="G2971" t="s">
        <v>10104</v>
      </c>
      <c r="H2971" s="6">
        <v>45159</v>
      </c>
      <c r="I2971">
        <f t="shared" si="92"/>
        <v>2</v>
      </c>
      <c r="J2971" t="str">
        <f t="shared" si="93"/>
        <v>Complete</v>
      </c>
      <c r="K2971">
        <f>COUNTIFS(RawData[Item], B2971,RawData[Quantity],C2971,RawData[Price Per Unit],D2971,RawData[Total Spent],E2971,RawData[Payment Method],F2971,RawData[Location],G2971,RawData[Transaction Date],H2971)</f>
        <v>1</v>
      </c>
      <c r="L2971"/>
    </row>
    <row r="2972" spans="1:12" x14ac:dyDescent="0.3">
      <c r="A2972" t="s">
        <v>2978</v>
      </c>
      <c r="B2972" t="s">
        <v>10017</v>
      </c>
      <c r="C2972">
        <v>3</v>
      </c>
      <c r="D2972">
        <v>1.5</v>
      </c>
      <c r="E2972">
        <v>4.5</v>
      </c>
      <c r="F2972" t="s">
        <v>10018</v>
      </c>
      <c r="G2972" t="s">
        <v>10102</v>
      </c>
      <c r="H2972" s="6">
        <v>45284</v>
      </c>
      <c r="I2972">
        <f t="shared" si="92"/>
        <v>0</v>
      </c>
      <c r="J2972" t="str">
        <f t="shared" si="93"/>
        <v>Complete</v>
      </c>
      <c r="K2972">
        <f>COUNTIFS(RawData[Item], B2972,RawData[Quantity],C2972,RawData[Price Per Unit],D2972,RawData[Total Spent],E2972,RawData[Payment Method],F2972,RawData[Location],G2972,RawData[Transaction Date],H2972)</f>
        <v>1</v>
      </c>
      <c r="L2972"/>
    </row>
    <row r="2973" spans="1:12" x14ac:dyDescent="0.3">
      <c r="A2973" t="s">
        <v>2979</v>
      </c>
      <c r="B2973" t="s">
        <v>10014</v>
      </c>
      <c r="C2973">
        <v>2</v>
      </c>
      <c r="D2973">
        <v>4</v>
      </c>
      <c r="E2973">
        <v>8</v>
      </c>
      <c r="F2973" t="s">
        <v>10069</v>
      </c>
      <c r="G2973" t="s">
        <v>10069</v>
      </c>
      <c r="H2973" s="6">
        <v>45125</v>
      </c>
      <c r="I2973">
        <f t="shared" si="92"/>
        <v>0</v>
      </c>
      <c r="J2973" t="str">
        <f t="shared" si="93"/>
        <v>Complete</v>
      </c>
      <c r="K2973">
        <f>COUNTIFS(RawData[Item], B2973,RawData[Quantity],C2973,RawData[Price Per Unit],D2973,RawData[Total Spent],E2973,RawData[Payment Method],F2973,RawData[Location],G2973,RawData[Transaction Date],H2973)</f>
        <v>1</v>
      </c>
      <c r="L2973"/>
    </row>
    <row r="2974" spans="1:12" x14ac:dyDescent="0.3">
      <c r="A2974" t="s">
        <v>2980</v>
      </c>
      <c r="B2974" t="s">
        <v>10015</v>
      </c>
      <c r="C2974">
        <v>5</v>
      </c>
      <c r="D2974">
        <v>1</v>
      </c>
      <c r="E2974">
        <v>5</v>
      </c>
      <c r="F2974" t="s">
        <v>10069</v>
      </c>
      <c r="G2974" t="s">
        <v>10021</v>
      </c>
      <c r="H2974" s="6">
        <v>45126</v>
      </c>
      <c r="I2974">
        <f t="shared" si="92"/>
        <v>1</v>
      </c>
      <c r="J2974" t="str">
        <f t="shared" si="93"/>
        <v>Complete</v>
      </c>
      <c r="K2974">
        <f>COUNTIFS(RawData[Item], B2974,RawData[Quantity],C2974,RawData[Price Per Unit],D2974,RawData[Total Spent],E2974,RawData[Payment Method],F2974,RawData[Location],G2974,RawData[Transaction Date],H2974)</f>
        <v>1</v>
      </c>
      <c r="L2974"/>
    </row>
    <row r="2975" spans="1:12" x14ac:dyDescent="0.3">
      <c r="A2975" t="s">
        <v>2981</v>
      </c>
      <c r="B2975" t="s">
        <v>10008</v>
      </c>
      <c r="C2975">
        <v>5</v>
      </c>
      <c r="D2975">
        <v>2</v>
      </c>
      <c r="E2975">
        <v>10</v>
      </c>
      <c r="F2975" t="s">
        <v>10020</v>
      </c>
      <c r="G2975" t="s">
        <v>10069</v>
      </c>
      <c r="H2975" s="6">
        <v>45205</v>
      </c>
      <c r="I2975">
        <f t="shared" si="92"/>
        <v>0</v>
      </c>
      <c r="J2975" t="str">
        <f t="shared" si="93"/>
        <v>Complete</v>
      </c>
      <c r="K2975">
        <f>COUNTIFS(RawData[Item], B2975,RawData[Quantity],C2975,RawData[Price Per Unit],D2975,RawData[Total Spent],E2975,RawData[Payment Method],F2975,RawData[Location],G2975,RawData[Transaction Date],H2975)</f>
        <v>1</v>
      </c>
      <c r="L2975"/>
    </row>
    <row r="2976" spans="1:12" x14ac:dyDescent="0.3">
      <c r="A2976" t="s">
        <v>2982</v>
      </c>
      <c r="B2976" t="s">
        <v>10016</v>
      </c>
      <c r="C2976">
        <v>3</v>
      </c>
      <c r="D2976">
        <v>0</v>
      </c>
      <c r="E2976">
        <v>9</v>
      </c>
      <c r="F2976" t="s">
        <v>10019</v>
      </c>
      <c r="G2976" t="s">
        <v>10104</v>
      </c>
      <c r="H2976" s="6">
        <v>45287</v>
      </c>
      <c r="I2976">
        <f t="shared" si="92"/>
        <v>1</v>
      </c>
      <c r="J2976" t="str">
        <f t="shared" si="93"/>
        <v>Complete</v>
      </c>
      <c r="K2976">
        <f>COUNTIFS(RawData[Item], B2976,RawData[Quantity],C2976,RawData[Price Per Unit],D2976,RawData[Total Spent],E2976,RawData[Payment Method],F2976,RawData[Location],G2976,RawData[Transaction Date],H2976)</f>
        <v>1</v>
      </c>
      <c r="L2976"/>
    </row>
    <row r="2977" spans="1:12" x14ac:dyDescent="0.3">
      <c r="A2977" t="s">
        <v>2983</v>
      </c>
      <c r="B2977" t="s">
        <v>10017</v>
      </c>
      <c r="C2977">
        <v>3</v>
      </c>
      <c r="D2977">
        <v>1.5</v>
      </c>
      <c r="E2977">
        <v>4.5</v>
      </c>
      <c r="F2977" t="s">
        <v>10069</v>
      </c>
      <c r="G2977" t="s">
        <v>10021</v>
      </c>
      <c r="H2977" s="6">
        <v>45279</v>
      </c>
      <c r="I2977">
        <f t="shared" si="92"/>
        <v>0</v>
      </c>
      <c r="J2977" t="str">
        <f t="shared" si="93"/>
        <v>Complete</v>
      </c>
      <c r="K2977">
        <f>COUNTIFS(RawData[Item], B2977,RawData[Quantity],C2977,RawData[Price Per Unit],D2977,RawData[Total Spent],E2977,RawData[Payment Method],F2977,RawData[Location],G2977,RawData[Transaction Date],H2977)</f>
        <v>1</v>
      </c>
      <c r="L2977"/>
    </row>
    <row r="2978" spans="1:12" x14ac:dyDescent="0.3">
      <c r="A2978" t="s">
        <v>2984</v>
      </c>
      <c r="B2978" t="s">
        <v>10069</v>
      </c>
      <c r="C2978">
        <v>2</v>
      </c>
      <c r="D2978">
        <v>5</v>
      </c>
      <c r="E2978">
        <v>10</v>
      </c>
      <c r="F2978" t="s">
        <v>10019</v>
      </c>
      <c r="G2978" t="s">
        <v>10069</v>
      </c>
      <c r="H2978" s="6">
        <v>45133</v>
      </c>
      <c r="I2978">
        <f t="shared" si="92"/>
        <v>0</v>
      </c>
      <c r="J2978" t="str">
        <f t="shared" si="93"/>
        <v>Complete</v>
      </c>
      <c r="K2978">
        <f>COUNTIFS(RawData[Item], B2978,RawData[Quantity],C2978,RawData[Price Per Unit],D2978,RawData[Total Spent],E2978,RawData[Payment Method],F2978,RawData[Location],G2978,RawData[Transaction Date],H2978)</f>
        <v>1</v>
      </c>
      <c r="L2978"/>
    </row>
    <row r="2979" spans="1:12" x14ac:dyDescent="0.3">
      <c r="A2979" t="s">
        <v>2985</v>
      </c>
      <c r="B2979" t="s">
        <v>10017</v>
      </c>
      <c r="C2979">
        <v>5</v>
      </c>
      <c r="D2979">
        <v>1.5</v>
      </c>
      <c r="E2979">
        <v>7.5</v>
      </c>
      <c r="F2979" t="s">
        <v>10069</v>
      </c>
      <c r="G2979" t="s">
        <v>10102</v>
      </c>
      <c r="H2979" s="6">
        <v>44963</v>
      </c>
      <c r="I2979">
        <f t="shared" si="92"/>
        <v>0</v>
      </c>
      <c r="J2979" t="str">
        <f t="shared" si="93"/>
        <v>Complete</v>
      </c>
      <c r="K2979">
        <f>COUNTIFS(RawData[Item], B2979,RawData[Quantity],C2979,RawData[Price Per Unit],D2979,RawData[Total Spent],E2979,RawData[Payment Method],F2979,RawData[Location],G2979,RawData[Transaction Date],H2979)</f>
        <v>1</v>
      </c>
      <c r="L2979"/>
    </row>
    <row r="2980" spans="1:12" x14ac:dyDescent="0.3">
      <c r="A2980" t="s">
        <v>2986</v>
      </c>
      <c r="B2980" t="s">
        <v>10015</v>
      </c>
      <c r="C2980">
        <v>3</v>
      </c>
      <c r="D2980">
        <v>3</v>
      </c>
      <c r="E2980">
        <v>9</v>
      </c>
      <c r="F2980" t="s">
        <v>10019</v>
      </c>
      <c r="G2980" t="s">
        <v>10102</v>
      </c>
      <c r="H2980" s="6">
        <v>45201</v>
      </c>
      <c r="I2980">
        <f t="shared" si="92"/>
        <v>1</v>
      </c>
      <c r="J2980" t="str">
        <f t="shared" si="93"/>
        <v>Complete</v>
      </c>
      <c r="K2980">
        <f>COUNTIFS(RawData[Item], B2980,RawData[Quantity],C2980,RawData[Price Per Unit],D2980,RawData[Total Spent],E2980,RawData[Payment Method],F2980,RawData[Location],G2980,RawData[Transaction Date],H2980)</f>
        <v>1</v>
      </c>
      <c r="L2980"/>
    </row>
    <row r="2981" spans="1:12" x14ac:dyDescent="0.3">
      <c r="A2981" t="s">
        <v>2987</v>
      </c>
      <c r="B2981" t="s">
        <v>10008</v>
      </c>
      <c r="C2981">
        <v>0</v>
      </c>
      <c r="D2981">
        <v>2</v>
      </c>
      <c r="E2981">
        <v>10</v>
      </c>
      <c r="F2981" t="s">
        <v>10020</v>
      </c>
      <c r="G2981" t="s">
        <v>10069</v>
      </c>
      <c r="H2981" s="6">
        <v>45128</v>
      </c>
      <c r="I2981">
        <f t="shared" si="92"/>
        <v>0</v>
      </c>
      <c r="J2981" t="str">
        <f t="shared" si="93"/>
        <v>Complete</v>
      </c>
      <c r="K2981">
        <f>COUNTIFS(RawData[Item], B2981,RawData[Quantity],C2981,RawData[Price Per Unit],D2981,RawData[Total Spent],E2981,RawData[Payment Method],F2981,RawData[Location],G2981,RawData[Transaction Date],H2981)</f>
        <v>1</v>
      </c>
      <c r="L2981"/>
    </row>
    <row r="2982" spans="1:12" x14ac:dyDescent="0.3">
      <c r="A2982" t="s">
        <v>2988</v>
      </c>
      <c r="B2982" t="s">
        <v>10012</v>
      </c>
      <c r="C2982">
        <v>3</v>
      </c>
      <c r="D2982">
        <v>4</v>
      </c>
      <c r="E2982">
        <v>12</v>
      </c>
      <c r="F2982" t="s">
        <v>10018</v>
      </c>
      <c r="G2982" t="s">
        <v>10102</v>
      </c>
      <c r="H2982" s="6">
        <v>45234</v>
      </c>
      <c r="I2982">
        <f t="shared" si="92"/>
        <v>0</v>
      </c>
      <c r="J2982" t="str">
        <f t="shared" si="93"/>
        <v>Complete</v>
      </c>
      <c r="K2982">
        <f>COUNTIFS(RawData[Item], B2982,RawData[Quantity],C2982,RawData[Price Per Unit],D2982,RawData[Total Spent],E2982,RawData[Payment Method],F2982,RawData[Location],G2982,RawData[Transaction Date],H2982)</f>
        <v>1</v>
      </c>
      <c r="L2982"/>
    </row>
    <row r="2983" spans="1:12" x14ac:dyDescent="0.3">
      <c r="A2983" t="s">
        <v>2989</v>
      </c>
      <c r="B2983" t="s">
        <v>10010</v>
      </c>
      <c r="C2983">
        <v>2</v>
      </c>
      <c r="D2983">
        <v>1</v>
      </c>
      <c r="E2983">
        <v>2</v>
      </c>
      <c r="F2983" t="s">
        <v>10104</v>
      </c>
      <c r="G2983" t="s">
        <v>10021</v>
      </c>
      <c r="H2983" s="6">
        <v>45018</v>
      </c>
      <c r="I2983">
        <f t="shared" si="92"/>
        <v>1</v>
      </c>
      <c r="J2983" t="str">
        <f t="shared" si="93"/>
        <v>Complete</v>
      </c>
      <c r="K2983">
        <f>COUNTIFS(RawData[Item], B2983,RawData[Quantity],C2983,RawData[Price Per Unit],D2983,RawData[Total Spent],E2983,RawData[Payment Method],F2983,RawData[Location],G2983,RawData[Transaction Date],H2983)</f>
        <v>1</v>
      </c>
      <c r="L2983"/>
    </row>
    <row r="2984" spans="1:12" x14ac:dyDescent="0.3">
      <c r="A2984" t="s">
        <v>2990</v>
      </c>
      <c r="B2984" t="s">
        <v>10010</v>
      </c>
      <c r="C2984">
        <v>1</v>
      </c>
      <c r="D2984">
        <v>1</v>
      </c>
      <c r="E2984">
        <v>1</v>
      </c>
      <c r="F2984" t="s">
        <v>10018</v>
      </c>
      <c r="G2984" t="s">
        <v>10021</v>
      </c>
      <c r="H2984" s="6">
        <v>45251</v>
      </c>
      <c r="I2984">
        <f t="shared" si="92"/>
        <v>0</v>
      </c>
      <c r="J2984" t="str">
        <f t="shared" si="93"/>
        <v>Complete</v>
      </c>
      <c r="K2984">
        <f>COUNTIFS(RawData[Item], B2984,RawData[Quantity],C2984,RawData[Price Per Unit],D2984,RawData[Total Spent],E2984,RawData[Payment Method],F2984,RawData[Location],G2984,RawData[Transaction Date],H2984)</f>
        <v>1</v>
      </c>
      <c r="L2984"/>
    </row>
    <row r="2985" spans="1:12" x14ac:dyDescent="0.3">
      <c r="A2985" t="s">
        <v>2991</v>
      </c>
      <c r="B2985" t="s">
        <v>10009</v>
      </c>
      <c r="C2985">
        <v>2</v>
      </c>
      <c r="D2985">
        <v>3</v>
      </c>
      <c r="E2985">
        <v>6</v>
      </c>
      <c r="F2985" t="s">
        <v>10020</v>
      </c>
      <c r="G2985" t="s">
        <v>10102</v>
      </c>
      <c r="H2985" s="6">
        <v>44967</v>
      </c>
      <c r="I2985">
        <f t="shared" si="92"/>
        <v>0</v>
      </c>
      <c r="J2985" t="str">
        <f t="shared" si="93"/>
        <v>Complete</v>
      </c>
      <c r="K2985">
        <f>COUNTIFS(RawData[Item], B2985,RawData[Quantity],C2985,RawData[Price Per Unit],D2985,RawData[Total Spent],E2985,RawData[Payment Method],F2985,RawData[Location],G2985,RawData[Transaction Date],H2985)</f>
        <v>1</v>
      </c>
      <c r="L2985"/>
    </row>
    <row r="2986" spans="1:12" x14ac:dyDescent="0.3">
      <c r="A2986" t="s">
        <v>2992</v>
      </c>
      <c r="B2986" t="s">
        <v>10017</v>
      </c>
      <c r="C2986">
        <v>2</v>
      </c>
      <c r="D2986">
        <v>1.5</v>
      </c>
      <c r="E2986">
        <v>3</v>
      </c>
      <c r="F2986" t="s">
        <v>10018</v>
      </c>
      <c r="G2986" t="s">
        <v>10069</v>
      </c>
      <c r="H2986" s="6">
        <v>45103</v>
      </c>
      <c r="I2986">
        <f t="shared" si="92"/>
        <v>0</v>
      </c>
      <c r="J2986" t="str">
        <f t="shared" si="93"/>
        <v>Complete</v>
      </c>
      <c r="K2986">
        <f>COUNTIFS(RawData[Item], B2986,RawData[Quantity],C2986,RawData[Price Per Unit],D2986,RawData[Total Spent],E2986,RawData[Payment Method],F2986,RawData[Location],G2986,RawData[Transaction Date],H2986)</f>
        <v>1</v>
      </c>
      <c r="L2986"/>
    </row>
    <row r="2987" spans="1:12" x14ac:dyDescent="0.3">
      <c r="A2987" t="s">
        <v>2993</v>
      </c>
      <c r="B2987" t="s">
        <v>10012</v>
      </c>
      <c r="C2987">
        <v>3</v>
      </c>
      <c r="D2987">
        <v>4</v>
      </c>
      <c r="E2987">
        <v>12</v>
      </c>
      <c r="F2987" t="s">
        <v>10018</v>
      </c>
      <c r="G2987" t="s">
        <v>10102</v>
      </c>
      <c r="H2987" s="6">
        <v>45255</v>
      </c>
      <c r="I2987">
        <f t="shared" si="92"/>
        <v>0</v>
      </c>
      <c r="J2987" t="str">
        <f t="shared" si="93"/>
        <v>Complete</v>
      </c>
      <c r="K2987">
        <f>COUNTIFS(RawData[Item], B2987,RawData[Quantity],C2987,RawData[Price Per Unit],D2987,RawData[Total Spent],E2987,RawData[Payment Method],F2987,RawData[Location],G2987,RawData[Transaction Date],H2987)</f>
        <v>1</v>
      </c>
      <c r="L2987"/>
    </row>
    <row r="2988" spans="1:12" x14ac:dyDescent="0.3">
      <c r="A2988" t="s">
        <v>2994</v>
      </c>
      <c r="B2988" t="s">
        <v>10011</v>
      </c>
      <c r="C2988">
        <v>5</v>
      </c>
      <c r="D2988">
        <v>5</v>
      </c>
      <c r="E2988">
        <v>25</v>
      </c>
      <c r="F2988" t="s">
        <v>10069</v>
      </c>
      <c r="G2988" t="s">
        <v>10021</v>
      </c>
      <c r="H2988" s="6">
        <v>45291</v>
      </c>
      <c r="I2988">
        <f t="shared" si="92"/>
        <v>0</v>
      </c>
      <c r="J2988" t="str">
        <f t="shared" si="93"/>
        <v>Complete</v>
      </c>
      <c r="K2988">
        <f>COUNTIFS(RawData[Item], B2988,RawData[Quantity],C2988,RawData[Price Per Unit],D2988,RawData[Total Spent],E2988,RawData[Payment Method],F2988,RawData[Location],G2988,RawData[Transaction Date],H2988)</f>
        <v>1</v>
      </c>
      <c r="L2988"/>
    </row>
    <row r="2989" spans="1:12" x14ac:dyDescent="0.3">
      <c r="A2989" t="s">
        <v>2995</v>
      </c>
      <c r="B2989" t="s">
        <v>10017</v>
      </c>
      <c r="C2989">
        <v>1</v>
      </c>
      <c r="D2989">
        <v>1.5</v>
      </c>
      <c r="E2989">
        <v>1.5</v>
      </c>
      <c r="F2989" t="s">
        <v>10018</v>
      </c>
      <c r="G2989" t="s">
        <v>10102</v>
      </c>
      <c r="H2989" s="6">
        <v>45218</v>
      </c>
      <c r="I2989">
        <f t="shared" si="92"/>
        <v>0</v>
      </c>
      <c r="J2989" t="str">
        <f t="shared" si="93"/>
        <v>Complete</v>
      </c>
      <c r="K2989">
        <f>COUNTIFS(RawData[Item], B2989,RawData[Quantity],C2989,RawData[Price Per Unit],D2989,RawData[Total Spent],E2989,RawData[Payment Method],F2989,RawData[Location],G2989,RawData[Transaction Date],H2989)</f>
        <v>1</v>
      </c>
      <c r="L2989"/>
    </row>
    <row r="2990" spans="1:12" x14ac:dyDescent="0.3">
      <c r="A2990" t="s">
        <v>2996</v>
      </c>
      <c r="B2990" t="s">
        <v>10011</v>
      </c>
      <c r="C2990">
        <v>2</v>
      </c>
      <c r="D2990">
        <v>5</v>
      </c>
      <c r="E2990">
        <v>10</v>
      </c>
      <c r="F2990" t="s">
        <v>10103</v>
      </c>
      <c r="G2990" t="s">
        <v>10021</v>
      </c>
      <c r="H2990" s="6">
        <v>45130</v>
      </c>
      <c r="I2990">
        <f t="shared" si="92"/>
        <v>1</v>
      </c>
      <c r="J2990" t="str">
        <f t="shared" si="93"/>
        <v>Complete</v>
      </c>
      <c r="K2990">
        <f>COUNTIFS(RawData[Item], B2990,RawData[Quantity],C2990,RawData[Price Per Unit],D2990,RawData[Total Spent],E2990,RawData[Payment Method],F2990,RawData[Location],G2990,RawData[Transaction Date],H2990)</f>
        <v>1</v>
      </c>
      <c r="L2990"/>
    </row>
    <row r="2991" spans="1:12" x14ac:dyDescent="0.3">
      <c r="A2991" t="s">
        <v>2997</v>
      </c>
      <c r="B2991" t="s">
        <v>10008</v>
      </c>
      <c r="C2991">
        <v>0</v>
      </c>
      <c r="D2991">
        <v>2</v>
      </c>
      <c r="E2991">
        <v>8</v>
      </c>
      <c r="F2991" t="s">
        <v>10018</v>
      </c>
      <c r="G2991" t="s">
        <v>10102</v>
      </c>
      <c r="H2991" s="6">
        <v>45279</v>
      </c>
      <c r="I2991">
        <f t="shared" si="92"/>
        <v>0</v>
      </c>
      <c r="J2991" t="str">
        <f t="shared" si="93"/>
        <v>Complete</v>
      </c>
      <c r="K2991">
        <f>COUNTIFS(RawData[Item], B2991,RawData[Quantity],C2991,RawData[Price Per Unit],D2991,RawData[Total Spent],E2991,RawData[Payment Method],F2991,RawData[Location],G2991,RawData[Transaction Date],H2991)</f>
        <v>1</v>
      </c>
      <c r="L2991"/>
    </row>
    <row r="2992" spans="1:12" x14ac:dyDescent="0.3">
      <c r="A2992" t="s">
        <v>2998</v>
      </c>
      <c r="B2992" t="s">
        <v>10010</v>
      </c>
      <c r="C2992" t="s">
        <v>10013</v>
      </c>
      <c r="D2992">
        <v>1</v>
      </c>
      <c r="E2992">
        <v>5</v>
      </c>
      <c r="F2992" t="s">
        <v>10069</v>
      </c>
      <c r="G2992" t="s">
        <v>10069</v>
      </c>
      <c r="H2992" s="6">
        <v>44963</v>
      </c>
      <c r="I2992">
        <f t="shared" si="92"/>
        <v>1</v>
      </c>
      <c r="J2992" t="str">
        <f t="shared" si="93"/>
        <v>Complete</v>
      </c>
      <c r="K2992">
        <f>COUNTIFS(RawData[Item], B2992,RawData[Quantity],C2992,RawData[Price Per Unit],D2992,RawData[Total Spent],E2992,RawData[Payment Method],F2992,RawData[Location],G2992,RawData[Transaction Date],H2992)</f>
        <v>1</v>
      </c>
      <c r="L2992"/>
    </row>
    <row r="2993" spans="1:12" x14ac:dyDescent="0.3">
      <c r="A2993" t="s">
        <v>2999</v>
      </c>
      <c r="B2993" t="s">
        <v>10016</v>
      </c>
      <c r="C2993">
        <v>5</v>
      </c>
      <c r="D2993">
        <v>3</v>
      </c>
      <c r="E2993">
        <v>15</v>
      </c>
      <c r="F2993" t="s">
        <v>10069</v>
      </c>
      <c r="G2993" t="s">
        <v>10069</v>
      </c>
      <c r="H2993" s="6">
        <v>45018</v>
      </c>
      <c r="I2993">
        <f t="shared" si="92"/>
        <v>0</v>
      </c>
      <c r="J2993" t="str">
        <f t="shared" si="93"/>
        <v>Complete</v>
      </c>
      <c r="K2993">
        <f>COUNTIFS(RawData[Item], B2993,RawData[Quantity],C2993,RawData[Price Per Unit],D2993,RawData[Total Spent],E2993,RawData[Payment Method],F2993,RawData[Location],G2993,RawData[Transaction Date],H2993)</f>
        <v>1</v>
      </c>
      <c r="L2993"/>
    </row>
    <row r="2994" spans="1:12" x14ac:dyDescent="0.3">
      <c r="A2994" t="s">
        <v>3000</v>
      </c>
      <c r="B2994" t="s">
        <v>10016</v>
      </c>
      <c r="C2994">
        <v>5</v>
      </c>
      <c r="D2994">
        <v>3</v>
      </c>
      <c r="E2994">
        <v>15</v>
      </c>
      <c r="F2994" t="s">
        <v>10018</v>
      </c>
      <c r="G2994" t="s">
        <v>10069</v>
      </c>
      <c r="H2994" s="6">
        <v>45088</v>
      </c>
      <c r="I2994">
        <f t="shared" si="92"/>
        <v>0</v>
      </c>
      <c r="J2994" t="str">
        <f t="shared" si="93"/>
        <v>Complete</v>
      </c>
      <c r="K2994">
        <f>COUNTIFS(RawData[Item], B2994,RawData[Quantity],C2994,RawData[Price Per Unit],D2994,RawData[Total Spent],E2994,RawData[Payment Method],F2994,RawData[Location],G2994,RawData[Transaction Date],H2994)</f>
        <v>1</v>
      </c>
      <c r="L2994"/>
    </row>
    <row r="2995" spans="1:12" x14ac:dyDescent="0.3">
      <c r="A2995" t="s">
        <v>3001</v>
      </c>
      <c r="B2995" t="s">
        <v>10012</v>
      </c>
      <c r="C2995">
        <v>0</v>
      </c>
      <c r="D2995">
        <v>4</v>
      </c>
      <c r="E2995">
        <v>4</v>
      </c>
      <c r="F2995" t="s">
        <v>10069</v>
      </c>
      <c r="G2995" t="s">
        <v>10069</v>
      </c>
      <c r="H2995" s="6">
        <v>44937</v>
      </c>
      <c r="I2995">
        <f t="shared" si="92"/>
        <v>0</v>
      </c>
      <c r="J2995" t="str">
        <f t="shared" si="93"/>
        <v>Complete</v>
      </c>
      <c r="K2995">
        <f>COUNTIFS(RawData[Item], B2995,RawData[Quantity],C2995,RawData[Price Per Unit],D2995,RawData[Total Spent],E2995,RawData[Payment Method],F2995,RawData[Location],G2995,RawData[Transaction Date],H2995)</f>
        <v>1</v>
      </c>
      <c r="L2995"/>
    </row>
    <row r="2996" spans="1:12" x14ac:dyDescent="0.3">
      <c r="A2996" t="s">
        <v>3002</v>
      </c>
      <c r="B2996" t="s">
        <v>10010</v>
      </c>
      <c r="C2996">
        <v>0</v>
      </c>
      <c r="D2996">
        <v>1</v>
      </c>
      <c r="E2996">
        <v>1</v>
      </c>
      <c r="F2996" t="s">
        <v>10020</v>
      </c>
      <c r="G2996" t="s">
        <v>10021</v>
      </c>
      <c r="H2996" s="6">
        <v>45067</v>
      </c>
      <c r="I2996">
        <f t="shared" si="92"/>
        <v>0</v>
      </c>
      <c r="J2996" t="str">
        <f t="shared" si="93"/>
        <v>Complete</v>
      </c>
      <c r="K2996">
        <f>COUNTIFS(RawData[Item], B2996,RawData[Quantity],C2996,RawData[Price Per Unit],D2996,RawData[Total Spent],E2996,RawData[Payment Method],F2996,RawData[Location],G2996,RawData[Transaction Date],H2996)</f>
        <v>1</v>
      </c>
      <c r="L2996"/>
    </row>
    <row r="2997" spans="1:12" x14ac:dyDescent="0.3">
      <c r="A2997" t="s">
        <v>3003</v>
      </c>
      <c r="B2997" t="s">
        <v>10009</v>
      </c>
      <c r="C2997">
        <v>5</v>
      </c>
      <c r="D2997">
        <v>3</v>
      </c>
      <c r="E2997">
        <v>15</v>
      </c>
      <c r="F2997" t="s">
        <v>10019</v>
      </c>
      <c r="G2997" t="s">
        <v>10021</v>
      </c>
      <c r="H2997" s="6">
        <v>45195</v>
      </c>
      <c r="I2997">
        <f t="shared" si="92"/>
        <v>0</v>
      </c>
      <c r="J2997" t="str">
        <f t="shared" si="93"/>
        <v>Complete</v>
      </c>
      <c r="K2997">
        <f>COUNTIFS(RawData[Item], B2997,RawData[Quantity],C2997,RawData[Price Per Unit],D2997,RawData[Total Spent],E2997,RawData[Payment Method],F2997,RawData[Location],G2997,RawData[Transaction Date],H2997)</f>
        <v>1</v>
      </c>
      <c r="L2997"/>
    </row>
    <row r="2998" spans="1:12" x14ac:dyDescent="0.3">
      <c r="A2998" t="s">
        <v>3004</v>
      </c>
      <c r="B2998" t="s">
        <v>10010</v>
      </c>
      <c r="C2998">
        <v>4</v>
      </c>
      <c r="D2998">
        <v>1</v>
      </c>
      <c r="E2998">
        <v>4</v>
      </c>
      <c r="F2998" t="s">
        <v>10020</v>
      </c>
      <c r="G2998" t="s">
        <v>10069</v>
      </c>
      <c r="H2998" s="6">
        <v>45130</v>
      </c>
      <c r="I2998">
        <f t="shared" si="92"/>
        <v>0</v>
      </c>
      <c r="J2998" t="str">
        <f t="shared" si="93"/>
        <v>Complete</v>
      </c>
      <c r="K2998">
        <f>COUNTIFS(RawData[Item], B2998,RawData[Quantity],C2998,RawData[Price Per Unit],D2998,RawData[Total Spent],E2998,RawData[Payment Method],F2998,RawData[Location],G2998,RawData[Transaction Date],H2998)</f>
        <v>1</v>
      </c>
      <c r="L2998"/>
    </row>
    <row r="2999" spans="1:12" x14ac:dyDescent="0.3">
      <c r="A2999" t="s">
        <v>3005</v>
      </c>
      <c r="B2999" t="s">
        <v>10008</v>
      </c>
      <c r="C2999">
        <v>1</v>
      </c>
      <c r="D2999">
        <v>2</v>
      </c>
      <c r="E2999" t="s">
        <v>10013</v>
      </c>
      <c r="F2999" t="s">
        <v>10018</v>
      </c>
      <c r="G2999" t="s">
        <v>10069</v>
      </c>
      <c r="H2999" s="6">
        <v>45220</v>
      </c>
      <c r="I2999">
        <f t="shared" si="92"/>
        <v>1</v>
      </c>
      <c r="J2999" t="str">
        <f t="shared" si="93"/>
        <v>Complete</v>
      </c>
      <c r="K2999">
        <f>COUNTIFS(RawData[Item], B2999,RawData[Quantity],C2999,RawData[Price Per Unit],D2999,RawData[Total Spent],E2999,RawData[Payment Method],F2999,RawData[Location],G2999,RawData[Transaction Date],H2999)</f>
        <v>1</v>
      </c>
      <c r="L2999"/>
    </row>
    <row r="3000" spans="1:12" x14ac:dyDescent="0.3">
      <c r="A3000" t="s">
        <v>3006</v>
      </c>
      <c r="B3000" t="s">
        <v>10012</v>
      </c>
      <c r="C3000">
        <v>5</v>
      </c>
      <c r="D3000">
        <v>4</v>
      </c>
      <c r="E3000">
        <v>20</v>
      </c>
      <c r="F3000" t="s">
        <v>10020</v>
      </c>
      <c r="G3000" t="s">
        <v>10102</v>
      </c>
      <c r="H3000" s="6">
        <v>45217</v>
      </c>
      <c r="I3000">
        <f t="shared" si="92"/>
        <v>0</v>
      </c>
      <c r="J3000" t="str">
        <f t="shared" si="93"/>
        <v>Complete</v>
      </c>
      <c r="K3000">
        <f>COUNTIFS(RawData[Item], B3000,RawData[Quantity],C3000,RawData[Price Per Unit],D3000,RawData[Total Spent],E3000,RawData[Payment Method],F3000,RawData[Location],G3000,RawData[Transaction Date],H3000)</f>
        <v>1</v>
      </c>
      <c r="L3000"/>
    </row>
    <row r="3001" spans="1:12" x14ac:dyDescent="0.3">
      <c r="A3001" t="s">
        <v>3007</v>
      </c>
      <c r="B3001" t="s">
        <v>10017</v>
      </c>
      <c r="C3001">
        <v>5</v>
      </c>
      <c r="D3001">
        <v>1.5</v>
      </c>
      <c r="E3001">
        <v>7.5</v>
      </c>
      <c r="F3001" t="s">
        <v>10018</v>
      </c>
      <c r="G3001" t="s">
        <v>10102</v>
      </c>
      <c r="H3001" s="6" t="s">
        <v>10112</v>
      </c>
      <c r="I3001">
        <f t="shared" si="92"/>
        <v>1</v>
      </c>
      <c r="J3001" t="str">
        <f t="shared" si="93"/>
        <v>Incomplete</v>
      </c>
      <c r="K3001">
        <f>COUNTIFS(RawData[Item], B3001,RawData[Quantity],C3001,RawData[Price Per Unit],D3001,RawData[Total Spent],E3001,RawData[Payment Method],F3001,RawData[Location],G3001,RawData[Transaction Date],H3001)</f>
        <v>2</v>
      </c>
      <c r="L3001"/>
    </row>
    <row r="3002" spans="1:12" x14ac:dyDescent="0.3">
      <c r="A3002" t="s">
        <v>3008</v>
      </c>
      <c r="B3002" t="s">
        <v>10011</v>
      </c>
      <c r="C3002">
        <v>1</v>
      </c>
      <c r="D3002">
        <v>5</v>
      </c>
      <c r="E3002">
        <v>5</v>
      </c>
      <c r="F3002" t="s">
        <v>10019</v>
      </c>
      <c r="G3002" t="s">
        <v>10102</v>
      </c>
      <c r="H3002" s="6">
        <v>45100</v>
      </c>
      <c r="I3002">
        <f t="shared" si="92"/>
        <v>0</v>
      </c>
      <c r="J3002" t="str">
        <f t="shared" si="93"/>
        <v>Complete</v>
      </c>
      <c r="K3002">
        <f>COUNTIFS(RawData[Item], B3002,RawData[Quantity],C3002,RawData[Price Per Unit],D3002,RawData[Total Spent],E3002,RawData[Payment Method],F3002,RawData[Location],G3002,RawData[Transaction Date],H3002)</f>
        <v>1</v>
      </c>
      <c r="L3002"/>
    </row>
    <row r="3003" spans="1:12" x14ac:dyDescent="0.3">
      <c r="A3003" t="s">
        <v>3009</v>
      </c>
      <c r="B3003" t="s">
        <v>10016</v>
      </c>
      <c r="C3003">
        <v>5</v>
      </c>
      <c r="D3003">
        <v>3</v>
      </c>
      <c r="E3003">
        <v>15</v>
      </c>
      <c r="F3003" t="s">
        <v>10018</v>
      </c>
      <c r="G3003" t="s">
        <v>10102</v>
      </c>
      <c r="H3003" s="6">
        <v>45086</v>
      </c>
      <c r="I3003">
        <f t="shared" si="92"/>
        <v>0</v>
      </c>
      <c r="J3003" t="str">
        <f t="shared" si="93"/>
        <v>Complete</v>
      </c>
      <c r="K3003">
        <f>COUNTIFS(RawData[Item], B3003,RawData[Quantity],C3003,RawData[Price Per Unit],D3003,RawData[Total Spent],E3003,RawData[Payment Method],F3003,RawData[Location],G3003,RawData[Transaction Date],H3003)</f>
        <v>1</v>
      </c>
      <c r="L3003"/>
    </row>
    <row r="3004" spans="1:12" x14ac:dyDescent="0.3">
      <c r="A3004" t="s">
        <v>3010</v>
      </c>
      <c r="B3004" t="s">
        <v>10009</v>
      </c>
      <c r="C3004">
        <v>2</v>
      </c>
      <c r="D3004">
        <v>3</v>
      </c>
      <c r="E3004">
        <v>6</v>
      </c>
      <c r="F3004" t="s">
        <v>10020</v>
      </c>
      <c r="G3004" t="s">
        <v>10102</v>
      </c>
      <c r="H3004" s="6">
        <v>44939</v>
      </c>
      <c r="I3004">
        <f t="shared" si="92"/>
        <v>0</v>
      </c>
      <c r="J3004" t="str">
        <f t="shared" si="93"/>
        <v>Complete</v>
      </c>
      <c r="K3004">
        <f>COUNTIFS(RawData[Item], B3004,RawData[Quantity],C3004,RawData[Price Per Unit],D3004,RawData[Total Spent],E3004,RawData[Payment Method],F3004,RawData[Location],G3004,RawData[Transaction Date],H3004)</f>
        <v>1</v>
      </c>
      <c r="L3004"/>
    </row>
    <row r="3005" spans="1:12" x14ac:dyDescent="0.3">
      <c r="A3005" t="s">
        <v>3011</v>
      </c>
      <c r="B3005" t="s">
        <v>10008</v>
      </c>
      <c r="C3005">
        <v>3</v>
      </c>
      <c r="D3005">
        <v>2</v>
      </c>
      <c r="E3005">
        <v>6</v>
      </c>
      <c r="F3005" t="s">
        <v>10069</v>
      </c>
      <c r="G3005" t="s">
        <v>10102</v>
      </c>
      <c r="H3005" s="6">
        <v>45131</v>
      </c>
      <c r="I3005">
        <f t="shared" si="92"/>
        <v>0</v>
      </c>
      <c r="J3005" t="str">
        <f t="shared" si="93"/>
        <v>Complete</v>
      </c>
      <c r="K3005">
        <f>COUNTIFS(RawData[Item], B3005,RawData[Quantity],C3005,RawData[Price Per Unit],D3005,RawData[Total Spent],E3005,RawData[Payment Method],F3005,RawData[Location],G3005,RawData[Transaction Date],H3005)</f>
        <v>1</v>
      </c>
      <c r="L3005"/>
    </row>
    <row r="3006" spans="1:12" x14ac:dyDescent="0.3">
      <c r="A3006" t="s">
        <v>3012</v>
      </c>
      <c r="B3006" t="s">
        <v>10014</v>
      </c>
      <c r="C3006">
        <v>2</v>
      </c>
      <c r="D3006">
        <v>4</v>
      </c>
      <c r="E3006">
        <v>8</v>
      </c>
      <c r="F3006" t="s">
        <v>10069</v>
      </c>
      <c r="G3006" t="s">
        <v>10021</v>
      </c>
      <c r="H3006" s="6">
        <v>45177</v>
      </c>
      <c r="I3006">
        <f t="shared" si="92"/>
        <v>0</v>
      </c>
      <c r="J3006" t="str">
        <f t="shared" si="93"/>
        <v>Complete</v>
      </c>
      <c r="K3006">
        <f>COUNTIFS(RawData[Item], B3006,RawData[Quantity],C3006,RawData[Price Per Unit],D3006,RawData[Total Spent],E3006,RawData[Payment Method],F3006,RawData[Location],G3006,RawData[Transaction Date],H3006)</f>
        <v>1</v>
      </c>
      <c r="L3006"/>
    </row>
    <row r="3007" spans="1:12" x14ac:dyDescent="0.3">
      <c r="A3007" t="s">
        <v>3013</v>
      </c>
      <c r="B3007" t="s">
        <v>10009</v>
      </c>
      <c r="C3007">
        <v>4</v>
      </c>
      <c r="D3007">
        <v>3</v>
      </c>
      <c r="E3007">
        <v>12</v>
      </c>
      <c r="F3007" t="s">
        <v>10069</v>
      </c>
      <c r="G3007" t="s">
        <v>10069</v>
      </c>
      <c r="H3007" s="6">
        <v>45238</v>
      </c>
      <c r="I3007">
        <f t="shared" si="92"/>
        <v>0</v>
      </c>
      <c r="J3007" t="str">
        <f t="shared" si="93"/>
        <v>Complete</v>
      </c>
      <c r="K3007">
        <f>COUNTIFS(RawData[Item], B3007,RawData[Quantity],C3007,RawData[Price Per Unit],D3007,RawData[Total Spent],E3007,RawData[Payment Method],F3007,RawData[Location],G3007,RawData[Transaction Date],H3007)</f>
        <v>1</v>
      </c>
      <c r="L3007"/>
    </row>
    <row r="3008" spans="1:12" x14ac:dyDescent="0.3">
      <c r="A3008" t="s">
        <v>3014</v>
      </c>
      <c r="B3008" t="s">
        <v>10011</v>
      </c>
      <c r="C3008" t="s">
        <v>10013</v>
      </c>
      <c r="D3008">
        <v>5</v>
      </c>
      <c r="E3008">
        <v>15</v>
      </c>
      <c r="F3008" t="s">
        <v>10020</v>
      </c>
      <c r="G3008" t="s">
        <v>10102</v>
      </c>
      <c r="H3008" s="6">
        <v>45093</v>
      </c>
      <c r="I3008">
        <f t="shared" si="92"/>
        <v>1</v>
      </c>
      <c r="J3008" t="str">
        <f t="shared" si="93"/>
        <v>Complete</v>
      </c>
      <c r="K3008">
        <f>COUNTIFS(RawData[Item], B3008,RawData[Quantity],C3008,RawData[Price Per Unit],D3008,RawData[Total Spent],E3008,RawData[Payment Method],F3008,RawData[Location],G3008,RawData[Transaction Date],H3008)</f>
        <v>1</v>
      </c>
      <c r="L3008"/>
    </row>
    <row r="3009" spans="1:12" x14ac:dyDescent="0.3">
      <c r="A3009" t="s">
        <v>3015</v>
      </c>
      <c r="B3009" t="s">
        <v>10017</v>
      </c>
      <c r="C3009">
        <v>5</v>
      </c>
      <c r="D3009">
        <v>1.5</v>
      </c>
      <c r="E3009">
        <v>7.5</v>
      </c>
      <c r="F3009" t="s">
        <v>10018</v>
      </c>
      <c r="G3009" t="s">
        <v>10021</v>
      </c>
      <c r="H3009" s="6">
        <v>45029</v>
      </c>
      <c r="I3009">
        <f t="shared" si="92"/>
        <v>0</v>
      </c>
      <c r="J3009" t="str">
        <f t="shared" si="93"/>
        <v>Complete</v>
      </c>
      <c r="K3009">
        <f>COUNTIFS(RawData[Item], B3009,RawData[Quantity],C3009,RawData[Price Per Unit],D3009,RawData[Total Spent],E3009,RawData[Payment Method],F3009,RawData[Location],G3009,RawData[Transaction Date],H3009)</f>
        <v>1</v>
      </c>
      <c r="L3009"/>
    </row>
    <row r="3010" spans="1:12" x14ac:dyDescent="0.3">
      <c r="A3010" t="s">
        <v>3016</v>
      </c>
      <c r="B3010" t="s">
        <v>10008</v>
      </c>
      <c r="C3010">
        <v>2</v>
      </c>
      <c r="D3010">
        <v>2</v>
      </c>
      <c r="E3010">
        <v>4</v>
      </c>
      <c r="F3010" t="s">
        <v>10020</v>
      </c>
      <c r="G3010" t="s">
        <v>10021</v>
      </c>
      <c r="H3010" s="6">
        <v>45222</v>
      </c>
      <c r="I3010">
        <f t="shared" ref="I3010:I3073" si="94">(B3010="Unknown")+(B3010="Error")+(C3010="Unknown")+(C3010="Error")+(D3010="Unknown")+(D3010="Error")+(E3010="Unknown")+(E3010="Error")+(F3010="Unknown")+(F3010="Error")+(G3010="Unknown")+(G3010="Error")+(H3010="No Date")</f>
        <v>0</v>
      </c>
      <c r="J3010" t="str">
        <f t="shared" ref="J3010:J3073" si="95">IF((H3010="No Date"),"Incomplete","Complete")</f>
        <v>Complete</v>
      </c>
      <c r="K3010">
        <f>COUNTIFS(RawData[Item], B3010,RawData[Quantity],C3010,RawData[Price Per Unit],D3010,RawData[Total Spent],E3010,RawData[Payment Method],F3010,RawData[Location],G3010,RawData[Transaction Date],H3010)</f>
        <v>1</v>
      </c>
      <c r="L3010"/>
    </row>
    <row r="3011" spans="1:12" x14ac:dyDescent="0.3">
      <c r="A3011" t="s">
        <v>3017</v>
      </c>
      <c r="B3011" t="s">
        <v>10016</v>
      </c>
      <c r="C3011">
        <v>3</v>
      </c>
      <c r="D3011">
        <v>3</v>
      </c>
      <c r="E3011">
        <v>9</v>
      </c>
      <c r="F3011" t="s">
        <v>10020</v>
      </c>
      <c r="G3011" t="s">
        <v>10102</v>
      </c>
      <c r="H3011" s="6">
        <v>44980</v>
      </c>
      <c r="I3011">
        <f t="shared" si="94"/>
        <v>0</v>
      </c>
      <c r="J3011" t="str">
        <f t="shared" si="95"/>
        <v>Complete</v>
      </c>
      <c r="K3011">
        <f>COUNTIFS(RawData[Item], B3011,RawData[Quantity],C3011,RawData[Price Per Unit],D3011,RawData[Total Spent],E3011,RawData[Payment Method],F3011,RawData[Location],G3011,RawData[Transaction Date],H3011)</f>
        <v>1</v>
      </c>
      <c r="L3011"/>
    </row>
    <row r="3012" spans="1:12" x14ac:dyDescent="0.3">
      <c r="A3012" t="s">
        <v>3018</v>
      </c>
      <c r="B3012" t="s">
        <v>10013</v>
      </c>
      <c r="C3012" t="s">
        <v>10015</v>
      </c>
      <c r="D3012">
        <v>4</v>
      </c>
      <c r="E3012">
        <v>4</v>
      </c>
      <c r="F3012" t="s">
        <v>10020</v>
      </c>
      <c r="G3012" t="s">
        <v>10069</v>
      </c>
      <c r="H3012" s="6">
        <v>44963</v>
      </c>
      <c r="I3012">
        <f t="shared" si="94"/>
        <v>2</v>
      </c>
      <c r="J3012" t="str">
        <f t="shared" si="95"/>
        <v>Complete</v>
      </c>
      <c r="K3012">
        <f>COUNTIFS(RawData[Item], B3012,RawData[Quantity],C3012,RawData[Price Per Unit],D3012,RawData[Total Spent],E3012,RawData[Payment Method],F3012,RawData[Location],G3012,RawData[Transaction Date],H3012)</f>
        <v>1</v>
      </c>
      <c r="L3012"/>
    </row>
    <row r="3013" spans="1:12" x14ac:dyDescent="0.3">
      <c r="A3013" t="s">
        <v>3019</v>
      </c>
      <c r="B3013" t="s">
        <v>10010</v>
      </c>
      <c r="C3013" t="s">
        <v>10013</v>
      </c>
      <c r="D3013">
        <v>1</v>
      </c>
      <c r="E3013">
        <v>5</v>
      </c>
      <c r="F3013" t="s">
        <v>10018</v>
      </c>
      <c r="G3013" t="s">
        <v>10069</v>
      </c>
      <c r="H3013" s="6">
        <v>45188</v>
      </c>
      <c r="I3013">
        <f t="shared" si="94"/>
        <v>1</v>
      </c>
      <c r="J3013" t="str">
        <f t="shared" si="95"/>
        <v>Complete</v>
      </c>
      <c r="K3013">
        <f>COUNTIFS(RawData[Item], B3013,RawData[Quantity],C3013,RawData[Price Per Unit],D3013,RawData[Total Spent],E3013,RawData[Payment Method],F3013,RawData[Location],G3013,RawData[Transaction Date],H3013)</f>
        <v>1</v>
      </c>
      <c r="L3013"/>
    </row>
    <row r="3014" spans="1:12" x14ac:dyDescent="0.3">
      <c r="A3014" t="s">
        <v>3020</v>
      </c>
      <c r="B3014" t="s">
        <v>10013</v>
      </c>
      <c r="C3014">
        <v>2</v>
      </c>
      <c r="D3014">
        <v>1.5</v>
      </c>
      <c r="E3014">
        <v>3</v>
      </c>
      <c r="F3014" t="s">
        <v>10018</v>
      </c>
      <c r="G3014" t="s">
        <v>10021</v>
      </c>
      <c r="H3014" s="6">
        <v>44930</v>
      </c>
      <c r="I3014">
        <f t="shared" si="94"/>
        <v>1</v>
      </c>
      <c r="J3014" t="str">
        <f t="shared" si="95"/>
        <v>Complete</v>
      </c>
      <c r="K3014">
        <f>COUNTIFS(RawData[Item], B3014,RawData[Quantity],C3014,RawData[Price Per Unit],D3014,RawData[Total Spent],E3014,RawData[Payment Method],F3014,RawData[Location],G3014,RawData[Transaction Date],H3014)</f>
        <v>1</v>
      </c>
      <c r="L3014"/>
    </row>
    <row r="3015" spans="1:12" x14ac:dyDescent="0.3">
      <c r="A3015" t="s">
        <v>3021</v>
      </c>
      <c r="B3015" t="s">
        <v>10013</v>
      </c>
      <c r="C3015">
        <v>5</v>
      </c>
      <c r="D3015">
        <v>0</v>
      </c>
      <c r="E3015">
        <v>15</v>
      </c>
      <c r="F3015" t="s">
        <v>10069</v>
      </c>
      <c r="G3015" t="s">
        <v>10069</v>
      </c>
      <c r="H3015" s="6">
        <v>45224</v>
      </c>
      <c r="I3015">
        <f t="shared" si="94"/>
        <v>1</v>
      </c>
      <c r="J3015" t="str">
        <f t="shared" si="95"/>
        <v>Complete</v>
      </c>
      <c r="K3015">
        <f>COUNTIFS(RawData[Item], B3015,RawData[Quantity],C3015,RawData[Price Per Unit],D3015,RawData[Total Spent],E3015,RawData[Payment Method],F3015,RawData[Location],G3015,RawData[Transaction Date],H3015)</f>
        <v>1</v>
      </c>
      <c r="L3015"/>
    </row>
    <row r="3016" spans="1:12" x14ac:dyDescent="0.3">
      <c r="A3016" t="s">
        <v>3022</v>
      </c>
      <c r="B3016" t="s">
        <v>10017</v>
      </c>
      <c r="C3016">
        <v>4</v>
      </c>
      <c r="D3016">
        <v>1.5</v>
      </c>
      <c r="E3016">
        <v>6</v>
      </c>
      <c r="F3016" t="s">
        <v>10020</v>
      </c>
      <c r="G3016" t="s">
        <v>10021</v>
      </c>
      <c r="H3016" s="6">
        <v>45275</v>
      </c>
      <c r="I3016">
        <f t="shared" si="94"/>
        <v>0</v>
      </c>
      <c r="J3016" t="str">
        <f t="shared" si="95"/>
        <v>Complete</v>
      </c>
      <c r="K3016">
        <f>COUNTIFS(RawData[Item], B3016,RawData[Quantity],C3016,RawData[Price Per Unit],D3016,RawData[Total Spent],E3016,RawData[Payment Method],F3016,RawData[Location],G3016,RawData[Transaction Date],H3016)</f>
        <v>1</v>
      </c>
      <c r="L3016"/>
    </row>
    <row r="3017" spans="1:12" x14ac:dyDescent="0.3">
      <c r="A3017" t="s">
        <v>3023</v>
      </c>
      <c r="B3017" t="s">
        <v>10016</v>
      </c>
      <c r="C3017">
        <v>3</v>
      </c>
      <c r="D3017">
        <v>3</v>
      </c>
      <c r="E3017">
        <v>9</v>
      </c>
      <c r="F3017" t="s">
        <v>10019</v>
      </c>
      <c r="G3017" t="s">
        <v>10069</v>
      </c>
      <c r="H3017" s="6">
        <v>45168</v>
      </c>
      <c r="I3017">
        <f t="shared" si="94"/>
        <v>0</v>
      </c>
      <c r="J3017" t="str">
        <f t="shared" si="95"/>
        <v>Complete</v>
      </c>
      <c r="K3017">
        <f>COUNTIFS(RawData[Item], B3017,RawData[Quantity],C3017,RawData[Price Per Unit],D3017,RawData[Total Spent],E3017,RawData[Payment Method],F3017,RawData[Location],G3017,RawData[Transaction Date],H3017)</f>
        <v>1</v>
      </c>
      <c r="L3017"/>
    </row>
    <row r="3018" spans="1:12" x14ac:dyDescent="0.3">
      <c r="A3018" t="s">
        <v>3024</v>
      </c>
      <c r="B3018" t="s">
        <v>10017</v>
      </c>
      <c r="C3018">
        <v>3</v>
      </c>
      <c r="D3018">
        <v>1.5</v>
      </c>
      <c r="E3018">
        <v>4.5</v>
      </c>
      <c r="F3018" t="s">
        <v>10069</v>
      </c>
      <c r="G3018" t="s">
        <v>10021</v>
      </c>
      <c r="H3018" s="6">
        <v>45005</v>
      </c>
      <c r="I3018">
        <f t="shared" si="94"/>
        <v>0</v>
      </c>
      <c r="J3018" t="str">
        <f t="shared" si="95"/>
        <v>Complete</v>
      </c>
      <c r="K3018">
        <f>COUNTIFS(RawData[Item], B3018,RawData[Quantity],C3018,RawData[Price Per Unit],D3018,RawData[Total Spent],E3018,RawData[Payment Method],F3018,RawData[Location],G3018,RawData[Transaction Date],H3018)</f>
        <v>1</v>
      </c>
      <c r="L3018"/>
    </row>
    <row r="3019" spans="1:12" x14ac:dyDescent="0.3">
      <c r="A3019" t="s">
        <v>3025</v>
      </c>
      <c r="B3019" t="s">
        <v>10013</v>
      </c>
      <c r="C3019">
        <v>4</v>
      </c>
      <c r="D3019">
        <v>3</v>
      </c>
      <c r="E3019">
        <v>12</v>
      </c>
      <c r="F3019" t="s">
        <v>10020</v>
      </c>
      <c r="G3019" t="s">
        <v>10069</v>
      </c>
      <c r="H3019" s="6">
        <v>45208</v>
      </c>
      <c r="I3019">
        <f t="shared" si="94"/>
        <v>1</v>
      </c>
      <c r="J3019" t="str">
        <f t="shared" si="95"/>
        <v>Complete</v>
      </c>
      <c r="K3019">
        <f>COUNTIFS(RawData[Item], B3019,RawData[Quantity],C3019,RawData[Price Per Unit],D3019,RawData[Total Spent],E3019,RawData[Payment Method],F3019,RawData[Location],G3019,RawData[Transaction Date],H3019)</f>
        <v>1</v>
      </c>
      <c r="L3019"/>
    </row>
    <row r="3020" spans="1:12" x14ac:dyDescent="0.3">
      <c r="A3020" t="s">
        <v>3026</v>
      </c>
      <c r="B3020" t="s">
        <v>10014</v>
      </c>
      <c r="C3020">
        <v>2</v>
      </c>
      <c r="D3020">
        <v>4</v>
      </c>
      <c r="E3020">
        <v>8</v>
      </c>
      <c r="F3020" t="s">
        <v>10019</v>
      </c>
      <c r="G3020" t="s">
        <v>10103</v>
      </c>
      <c r="H3020" s="6">
        <v>45087</v>
      </c>
      <c r="I3020">
        <f t="shared" si="94"/>
        <v>1</v>
      </c>
      <c r="J3020" t="str">
        <f t="shared" si="95"/>
        <v>Complete</v>
      </c>
      <c r="K3020">
        <f>COUNTIFS(RawData[Item], B3020,RawData[Quantity],C3020,RawData[Price Per Unit],D3020,RawData[Total Spent],E3020,RawData[Payment Method],F3020,RawData[Location],G3020,RawData[Transaction Date],H3020)</f>
        <v>1</v>
      </c>
      <c r="L3020"/>
    </row>
    <row r="3021" spans="1:12" x14ac:dyDescent="0.3">
      <c r="A3021" t="s">
        <v>3027</v>
      </c>
      <c r="B3021" t="s">
        <v>10017</v>
      </c>
      <c r="C3021">
        <v>4</v>
      </c>
      <c r="D3021">
        <v>1.5</v>
      </c>
      <c r="E3021">
        <v>6</v>
      </c>
      <c r="F3021" t="s">
        <v>10069</v>
      </c>
      <c r="G3021" t="s">
        <v>10069</v>
      </c>
      <c r="H3021" s="6">
        <v>45160</v>
      </c>
      <c r="I3021">
        <f t="shared" si="94"/>
        <v>0</v>
      </c>
      <c r="J3021" t="str">
        <f t="shared" si="95"/>
        <v>Complete</v>
      </c>
      <c r="K3021">
        <f>COUNTIFS(RawData[Item], B3021,RawData[Quantity],C3021,RawData[Price Per Unit],D3021,RawData[Total Spent],E3021,RawData[Payment Method],F3021,RawData[Location],G3021,RawData[Transaction Date],H3021)</f>
        <v>1</v>
      </c>
      <c r="L3021"/>
    </row>
    <row r="3022" spans="1:12" x14ac:dyDescent="0.3">
      <c r="A3022" t="s">
        <v>3028</v>
      </c>
      <c r="B3022" t="s">
        <v>10017</v>
      </c>
      <c r="C3022">
        <v>4</v>
      </c>
      <c r="D3022">
        <v>1.5</v>
      </c>
      <c r="E3022">
        <v>6</v>
      </c>
      <c r="F3022" t="s">
        <v>10069</v>
      </c>
      <c r="G3022" t="s">
        <v>10102</v>
      </c>
      <c r="H3022" s="6">
        <v>45147</v>
      </c>
      <c r="I3022">
        <f t="shared" si="94"/>
        <v>0</v>
      </c>
      <c r="J3022" t="str">
        <f t="shared" si="95"/>
        <v>Complete</v>
      </c>
      <c r="K3022">
        <f>COUNTIFS(RawData[Item], B3022,RawData[Quantity],C3022,RawData[Price Per Unit],D3022,RawData[Total Spent],E3022,RawData[Payment Method],F3022,RawData[Location],G3022,RawData[Transaction Date],H3022)</f>
        <v>1</v>
      </c>
      <c r="L3022"/>
    </row>
    <row r="3023" spans="1:12" x14ac:dyDescent="0.3">
      <c r="A3023" t="s">
        <v>3029</v>
      </c>
      <c r="B3023" t="s">
        <v>10009</v>
      </c>
      <c r="C3023">
        <v>1</v>
      </c>
      <c r="D3023">
        <v>3</v>
      </c>
      <c r="E3023">
        <v>3</v>
      </c>
      <c r="F3023" t="s">
        <v>10019</v>
      </c>
      <c r="G3023" t="s">
        <v>10102</v>
      </c>
      <c r="H3023" s="6">
        <v>44965</v>
      </c>
      <c r="I3023">
        <f t="shared" si="94"/>
        <v>0</v>
      </c>
      <c r="J3023" t="str">
        <f t="shared" si="95"/>
        <v>Complete</v>
      </c>
      <c r="K3023">
        <f>COUNTIFS(RawData[Item], B3023,RawData[Quantity],C3023,RawData[Price Per Unit],D3023,RawData[Total Spent],E3023,RawData[Payment Method],F3023,RawData[Location],G3023,RawData[Transaction Date],H3023)</f>
        <v>1</v>
      </c>
      <c r="L3023"/>
    </row>
    <row r="3024" spans="1:12" x14ac:dyDescent="0.3">
      <c r="A3024" t="s">
        <v>3030</v>
      </c>
      <c r="B3024" t="s">
        <v>10008</v>
      </c>
      <c r="C3024">
        <v>4</v>
      </c>
      <c r="D3024">
        <v>2</v>
      </c>
      <c r="E3024">
        <v>8</v>
      </c>
      <c r="F3024" t="s">
        <v>10069</v>
      </c>
      <c r="G3024" t="s">
        <v>10069</v>
      </c>
      <c r="H3024" s="6">
        <v>45107</v>
      </c>
      <c r="I3024">
        <f t="shared" si="94"/>
        <v>0</v>
      </c>
      <c r="J3024" t="str">
        <f t="shared" si="95"/>
        <v>Complete</v>
      </c>
      <c r="K3024">
        <f>COUNTIFS(RawData[Item], B3024,RawData[Quantity],C3024,RawData[Price Per Unit],D3024,RawData[Total Spent],E3024,RawData[Payment Method],F3024,RawData[Location],G3024,RawData[Transaction Date],H3024)</f>
        <v>1</v>
      </c>
      <c r="L3024"/>
    </row>
    <row r="3025" spans="1:12" x14ac:dyDescent="0.3">
      <c r="A3025" t="s">
        <v>3031</v>
      </c>
      <c r="B3025" t="s">
        <v>10014</v>
      </c>
      <c r="C3025">
        <v>2</v>
      </c>
      <c r="D3025">
        <v>4</v>
      </c>
      <c r="E3025">
        <v>8</v>
      </c>
      <c r="F3025" t="s">
        <v>10069</v>
      </c>
      <c r="G3025" t="s">
        <v>10102</v>
      </c>
      <c r="H3025" s="6">
        <v>44948</v>
      </c>
      <c r="I3025">
        <f t="shared" si="94"/>
        <v>0</v>
      </c>
      <c r="J3025" t="str">
        <f t="shared" si="95"/>
        <v>Complete</v>
      </c>
      <c r="K3025">
        <f>COUNTIFS(RawData[Item], B3025,RawData[Quantity],C3025,RawData[Price Per Unit],D3025,RawData[Total Spent],E3025,RawData[Payment Method],F3025,RawData[Location],G3025,RawData[Transaction Date],H3025)</f>
        <v>1</v>
      </c>
      <c r="L3025"/>
    </row>
    <row r="3026" spans="1:12" x14ac:dyDescent="0.3">
      <c r="A3026" t="s">
        <v>3032</v>
      </c>
      <c r="B3026" t="s">
        <v>10016</v>
      </c>
      <c r="C3026">
        <v>2</v>
      </c>
      <c r="D3026">
        <v>3</v>
      </c>
      <c r="E3026">
        <v>6</v>
      </c>
      <c r="F3026" t="s">
        <v>10020</v>
      </c>
      <c r="G3026" t="s">
        <v>10102</v>
      </c>
      <c r="H3026" s="6">
        <v>44933</v>
      </c>
      <c r="I3026">
        <f t="shared" si="94"/>
        <v>0</v>
      </c>
      <c r="J3026" t="str">
        <f t="shared" si="95"/>
        <v>Complete</v>
      </c>
      <c r="K3026">
        <f>COUNTIFS(RawData[Item], B3026,RawData[Quantity],C3026,RawData[Price Per Unit],D3026,RawData[Total Spent],E3026,RawData[Payment Method],F3026,RawData[Location],G3026,RawData[Transaction Date],H3026)</f>
        <v>1</v>
      </c>
      <c r="L3026"/>
    </row>
    <row r="3027" spans="1:12" x14ac:dyDescent="0.3">
      <c r="A3027" t="s">
        <v>3033</v>
      </c>
      <c r="B3027" t="s">
        <v>10008</v>
      </c>
      <c r="C3027">
        <v>1</v>
      </c>
      <c r="D3027">
        <v>2</v>
      </c>
      <c r="E3027" t="s">
        <v>10015</v>
      </c>
      <c r="F3027" t="s">
        <v>10018</v>
      </c>
      <c r="G3027" t="s">
        <v>10021</v>
      </c>
      <c r="H3027" s="6">
        <v>45182</v>
      </c>
      <c r="I3027">
        <f t="shared" si="94"/>
        <v>1</v>
      </c>
      <c r="J3027" t="str">
        <f t="shared" si="95"/>
        <v>Complete</v>
      </c>
      <c r="K3027">
        <f>COUNTIFS(RawData[Item], B3027,RawData[Quantity],C3027,RawData[Price Per Unit],D3027,RawData[Total Spent],E3027,RawData[Payment Method],F3027,RawData[Location],G3027,RawData[Transaction Date],H3027)</f>
        <v>1</v>
      </c>
      <c r="L3027"/>
    </row>
    <row r="3028" spans="1:12" x14ac:dyDescent="0.3">
      <c r="A3028" t="s">
        <v>3034</v>
      </c>
      <c r="B3028" t="s">
        <v>10008</v>
      </c>
      <c r="C3028">
        <v>2</v>
      </c>
      <c r="D3028">
        <v>2</v>
      </c>
      <c r="E3028" t="s">
        <v>10013</v>
      </c>
      <c r="F3028" t="s">
        <v>10019</v>
      </c>
      <c r="G3028" t="s">
        <v>10021</v>
      </c>
      <c r="H3028" s="6">
        <v>45214</v>
      </c>
      <c r="I3028">
        <f t="shared" si="94"/>
        <v>1</v>
      </c>
      <c r="J3028" t="str">
        <f t="shared" si="95"/>
        <v>Complete</v>
      </c>
      <c r="K3028">
        <f>COUNTIFS(RawData[Item], B3028,RawData[Quantity],C3028,RawData[Price Per Unit],D3028,RawData[Total Spent],E3028,RawData[Payment Method],F3028,RawData[Location],G3028,RawData[Transaction Date],H3028)</f>
        <v>1</v>
      </c>
      <c r="L3028"/>
    </row>
    <row r="3029" spans="1:12" x14ac:dyDescent="0.3">
      <c r="A3029" t="s">
        <v>3035</v>
      </c>
      <c r="B3029" t="s">
        <v>10010</v>
      </c>
      <c r="C3029">
        <v>2</v>
      </c>
      <c r="D3029">
        <v>1</v>
      </c>
      <c r="E3029">
        <v>2</v>
      </c>
      <c r="F3029" t="s">
        <v>10018</v>
      </c>
      <c r="G3029" t="s">
        <v>10102</v>
      </c>
      <c r="H3029" s="6" t="s">
        <v>10112</v>
      </c>
      <c r="I3029">
        <f t="shared" si="94"/>
        <v>1</v>
      </c>
      <c r="J3029" t="str">
        <f t="shared" si="95"/>
        <v>Incomplete</v>
      </c>
      <c r="K3029">
        <f>COUNTIFS(RawData[Item], B3029,RawData[Quantity],C3029,RawData[Price Per Unit],D3029,RawData[Total Spent],E3029,RawData[Payment Method],F3029,RawData[Location],G3029,RawData[Transaction Date],H3029)</f>
        <v>3</v>
      </c>
      <c r="L3029"/>
    </row>
    <row r="3030" spans="1:12" x14ac:dyDescent="0.3">
      <c r="A3030" t="s">
        <v>3036</v>
      </c>
      <c r="B3030" t="s">
        <v>10014</v>
      </c>
      <c r="C3030">
        <v>2</v>
      </c>
      <c r="D3030">
        <v>4</v>
      </c>
      <c r="E3030">
        <v>8</v>
      </c>
      <c r="F3030" t="s">
        <v>10019</v>
      </c>
      <c r="G3030" t="s">
        <v>10021</v>
      </c>
      <c r="H3030" s="6">
        <v>45190</v>
      </c>
      <c r="I3030">
        <f t="shared" si="94"/>
        <v>0</v>
      </c>
      <c r="J3030" t="str">
        <f t="shared" si="95"/>
        <v>Complete</v>
      </c>
      <c r="K3030">
        <f>COUNTIFS(RawData[Item], B3030,RawData[Quantity],C3030,RawData[Price Per Unit],D3030,RawData[Total Spent],E3030,RawData[Payment Method],F3030,RawData[Location],G3030,RawData[Transaction Date],H3030)</f>
        <v>1</v>
      </c>
      <c r="L3030"/>
    </row>
    <row r="3031" spans="1:12" x14ac:dyDescent="0.3">
      <c r="A3031" t="s">
        <v>3037</v>
      </c>
      <c r="B3031" t="s">
        <v>10017</v>
      </c>
      <c r="C3031">
        <v>5</v>
      </c>
      <c r="D3031">
        <v>1.5</v>
      </c>
      <c r="E3031">
        <v>7.5</v>
      </c>
      <c r="F3031" t="s">
        <v>10069</v>
      </c>
      <c r="G3031" t="s">
        <v>10021</v>
      </c>
      <c r="H3031" s="6">
        <v>45174</v>
      </c>
      <c r="I3031">
        <f t="shared" si="94"/>
        <v>0</v>
      </c>
      <c r="J3031" t="str">
        <f t="shared" si="95"/>
        <v>Complete</v>
      </c>
      <c r="K3031">
        <f>COUNTIFS(RawData[Item], B3031,RawData[Quantity],C3031,RawData[Price Per Unit],D3031,RawData[Total Spent],E3031,RawData[Payment Method],F3031,RawData[Location],G3031,RawData[Transaction Date],H3031)</f>
        <v>1</v>
      </c>
      <c r="L3031"/>
    </row>
    <row r="3032" spans="1:12" x14ac:dyDescent="0.3">
      <c r="A3032" t="s">
        <v>3038</v>
      </c>
      <c r="B3032" t="s">
        <v>10011</v>
      </c>
      <c r="C3032">
        <v>2</v>
      </c>
      <c r="D3032">
        <v>5</v>
      </c>
      <c r="E3032">
        <v>10</v>
      </c>
      <c r="F3032" t="s">
        <v>10069</v>
      </c>
      <c r="G3032" t="s">
        <v>10021</v>
      </c>
      <c r="H3032" s="6">
        <v>45237</v>
      </c>
      <c r="I3032">
        <f t="shared" si="94"/>
        <v>0</v>
      </c>
      <c r="J3032" t="str">
        <f t="shared" si="95"/>
        <v>Complete</v>
      </c>
      <c r="K3032">
        <f>COUNTIFS(RawData[Item], B3032,RawData[Quantity],C3032,RawData[Price Per Unit],D3032,RawData[Total Spent],E3032,RawData[Payment Method],F3032,RawData[Location],G3032,RawData[Transaction Date],H3032)</f>
        <v>1</v>
      </c>
      <c r="L3032"/>
    </row>
    <row r="3033" spans="1:12" x14ac:dyDescent="0.3">
      <c r="A3033" t="s">
        <v>3039</v>
      </c>
      <c r="B3033" t="s">
        <v>10014</v>
      </c>
      <c r="C3033">
        <v>2</v>
      </c>
      <c r="D3033">
        <v>4</v>
      </c>
      <c r="E3033">
        <v>8</v>
      </c>
      <c r="F3033" t="s">
        <v>10069</v>
      </c>
      <c r="G3033" t="s">
        <v>10102</v>
      </c>
      <c r="H3033" s="6">
        <v>45122</v>
      </c>
      <c r="I3033">
        <f t="shared" si="94"/>
        <v>0</v>
      </c>
      <c r="J3033" t="str">
        <f t="shared" si="95"/>
        <v>Complete</v>
      </c>
      <c r="K3033">
        <f>COUNTIFS(RawData[Item], B3033,RawData[Quantity],C3033,RawData[Price Per Unit],D3033,RawData[Total Spent],E3033,RawData[Payment Method],F3033,RawData[Location],G3033,RawData[Transaction Date],H3033)</f>
        <v>1</v>
      </c>
      <c r="L3033"/>
    </row>
    <row r="3034" spans="1:12" x14ac:dyDescent="0.3">
      <c r="A3034" t="s">
        <v>3040</v>
      </c>
      <c r="B3034" t="s">
        <v>10014</v>
      </c>
      <c r="C3034">
        <v>3</v>
      </c>
      <c r="D3034">
        <v>0</v>
      </c>
      <c r="E3034">
        <v>12</v>
      </c>
      <c r="F3034" t="s">
        <v>10069</v>
      </c>
      <c r="G3034" t="s">
        <v>10103</v>
      </c>
      <c r="H3034" s="6">
        <v>44938</v>
      </c>
      <c r="I3034">
        <f t="shared" si="94"/>
        <v>1</v>
      </c>
      <c r="J3034" t="str">
        <f t="shared" si="95"/>
        <v>Complete</v>
      </c>
      <c r="K3034">
        <f>COUNTIFS(RawData[Item], B3034,RawData[Quantity],C3034,RawData[Price Per Unit],D3034,RawData[Total Spent],E3034,RawData[Payment Method],F3034,RawData[Location],G3034,RawData[Transaction Date],H3034)</f>
        <v>1</v>
      </c>
      <c r="L3034"/>
    </row>
    <row r="3035" spans="1:12" x14ac:dyDescent="0.3">
      <c r="A3035" t="s">
        <v>3041</v>
      </c>
      <c r="B3035" t="s">
        <v>10009</v>
      </c>
      <c r="C3035">
        <v>1</v>
      </c>
      <c r="D3035">
        <v>3</v>
      </c>
      <c r="E3035">
        <v>3</v>
      </c>
      <c r="F3035" t="s">
        <v>10069</v>
      </c>
      <c r="G3035" t="s">
        <v>10021</v>
      </c>
      <c r="H3035" s="6">
        <v>45077</v>
      </c>
      <c r="I3035">
        <f t="shared" si="94"/>
        <v>0</v>
      </c>
      <c r="J3035" t="str">
        <f t="shared" si="95"/>
        <v>Complete</v>
      </c>
      <c r="K3035">
        <f>COUNTIFS(RawData[Item], B3035,RawData[Quantity],C3035,RawData[Price Per Unit],D3035,RawData[Total Spent],E3035,RawData[Payment Method],F3035,RawData[Location],G3035,RawData[Transaction Date],H3035)</f>
        <v>1</v>
      </c>
      <c r="L3035"/>
    </row>
    <row r="3036" spans="1:12" x14ac:dyDescent="0.3">
      <c r="A3036" t="s">
        <v>3042</v>
      </c>
      <c r="B3036" t="s">
        <v>10008</v>
      </c>
      <c r="C3036" t="s">
        <v>10013</v>
      </c>
      <c r="D3036">
        <v>2</v>
      </c>
      <c r="E3036">
        <v>2</v>
      </c>
      <c r="F3036" t="s">
        <v>10019</v>
      </c>
      <c r="G3036" t="s">
        <v>10102</v>
      </c>
      <c r="H3036" s="6">
        <v>45095</v>
      </c>
      <c r="I3036">
        <f t="shared" si="94"/>
        <v>1</v>
      </c>
      <c r="J3036" t="str">
        <f t="shared" si="95"/>
        <v>Complete</v>
      </c>
      <c r="K3036">
        <f>COUNTIFS(RawData[Item], B3036,RawData[Quantity],C3036,RawData[Price Per Unit],D3036,RawData[Total Spent],E3036,RawData[Payment Method],F3036,RawData[Location],G3036,RawData[Transaction Date],H3036)</f>
        <v>1</v>
      </c>
      <c r="L3036"/>
    </row>
    <row r="3037" spans="1:12" x14ac:dyDescent="0.3">
      <c r="A3037" t="s">
        <v>3043</v>
      </c>
      <c r="B3037" t="s">
        <v>10009</v>
      </c>
      <c r="C3037">
        <v>4</v>
      </c>
      <c r="D3037">
        <v>3</v>
      </c>
      <c r="E3037">
        <v>12</v>
      </c>
      <c r="F3037" t="s">
        <v>10104</v>
      </c>
      <c r="G3037" t="s">
        <v>10021</v>
      </c>
      <c r="H3037" s="6">
        <v>45105</v>
      </c>
      <c r="I3037">
        <f t="shared" si="94"/>
        <v>1</v>
      </c>
      <c r="J3037" t="str">
        <f t="shared" si="95"/>
        <v>Complete</v>
      </c>
      <c r="K3037">
        <f>COUNTIFS(RawData[Item], B3037,RawData[Quantity],C3037,RawData[Price Per Unit],D3037,RawData[Total Spent],E3037,RawData[Payment Method],F3037,RawData[Location],G3037,RawData[Transaction Date],H3037)</f>
        <v>1</v>
      </c>
      <c r="L3037"/>
    </row>
    <row r="3038" spans="1:12" x14ac:dyDescent="0.3">
      <c r="A3038" t="s">
        <v>3044</v>
      </c>
      <c r="B3038" t="s">
        <v>10009</v>
      </c>
      <c r="C3038">
        <v>2</v>
      </c>
      <c r="D3038">
        <v>3</v>
      </c>
      <c r="E3038">
        <v>6</v>
      </c>
      <c r="F3038" t="s">
        <v>10019</v>
      </c>
      <c r="G3038" t="s">
        <v>10102</v>
      </c>
      <c r="H3038" s="6">
        <v>45008</v>
      </c>
      <c r="I3038">
        <f t="shared" si="94"/>
        <v>0</v>
      </c>
      <c r="J3038" t="str">
        <f t="shared" si="95"/>
        <v>Complete</v>
      </c>
      <c r="K3038">
        <f>COUNTIFS(RawData[Item], B3038,RawData[Quantity],C3038,RawData[Price Per Unit],D3038,RawData[Total Spent],E3038,RawData[Payment Method],F3038,RawData[Location],G3038,RawData[Transaction Date],H3038)</f>
        <v>1</v>
      </c>
      <c r="L3038"/>
    </row>
    <row r="3039" spans="1:12" x14ac:dyDescent="0.3">
      <c r="A3039" t="s">
        <v>3045</v>
      </c>
      <c r="B3039" t="s">
        <v>10014</v>
      </c>
      <c r="C3039">
        <v>4</v>
      </c>
      <c r="D3039">
        <v>4</v>
      </c>
      <c r="E3039">
        <v>16</v>
      </c>
      <c r="F3039" t="s">
        <v>10104</v>
      </c>
      <c r="G3039" t="s">
        <v>10102</v>
      </c>
      <c r="H3039" s="6">
        <v>45109</v>
      </c>
      <c r="I3039">
        <f t="shared" si="94"/>
        <v>1</v>
      </c>
      <c r="J3039" t="str">
        <f t="shared" si="95"/>
        <v>Complete</v>
      </c>
      <c r="K3039">
        <f>COUNTIFS(RawData[Item], B3039,RawData[Quantity],C3039,RawData[Price Per Unit],D3039,RawData[Total Spent],E3039,RawData[Payment Method],F3039,RawData[Location],G3039,RawData[Transaction Date],H3039)</f>
        <v>1</v>
      </c>
      <c r="L3039"/>
    </row>
    <row r="3040" spans="1:12" x14ac:dyDescent="0.3">
      <c r="A3040" t="s">
        <v>3046</v>
      </c>
      <c r="B3040" t="s">
        <v>10016</v>
      </c>
      <c r="C3040">
        <v>4</v>
      </c>
      <c r="D3040">
        <v>3</v>
      </c>
      <c r="E3040">
        <v>12</v>
      </c>
      <c r="F3040" t="s">
        <v>10020</v>
      </c>
      <c r="G3040" t="s">
        <v>10021</v>
      </c>
      <c r="H3040" s="6">
        <v>45117</v>
      </c>
      <c r="I3040">
        <f t="shared" si="94"/>
        <v>0</v>
      </c>
      <c r="J3040" t="str">
        <f t="shared" si="95"/>
        <v>Complete</v>
      </c>
      <c r="K3040">
        <f>COUNTIFS(RawData[Item], B3040,RawData[Quantity],C3040,RawData[Price Per Unit],D3040,RawData[Total Spent],E3040,RawData[Payment Method],F3040,RawData[Location],G3040,RawData[Transaction Date],H3040)</f>
        <v>1</v>
      </c>
      <c r="L3040"/>
    </row>
    <row r="3041" spans="1:12" x14ac:dyDescent="0.3">
      <c r="A3041" t="s">
        <v>3047</v>
      </c>
      <c r="B3041" t="s">
        <v>10008</v>
      </c>
      <c r="C3041">
        <v>1</v>
      </c>
      <c r="D3041">
        <v>2</v>
      </c>
      <c r="E3041">
        <v>2</v>
      </c>
      <c r="F3041" t="s">
        <v>10018</v>
      </c>
      <c r="G3041" t="s">
        <v>10102</v>
      </c>
      <c r="H3041" s="6">
        <v>45082</v>
      </c>
      <c r="I3041">
        <f t="shared" si="94"/>
        <v>0</v>
      </c>
      <c r="J3041" t="str">
        <f t="shared" si="95"/>
        <v>Complete</v>
      </c>
      <c r="K3041">
        <f>COUNTIFS(RawData[Item], B3041,RawData[Quantity],C3041,RawData[Price Per Unit],D3041,RawData[Total Spent],E3041,RawData[Payment Method],F3041,RawData[Location],G3041,RawData[Transaction Date],H3041)</f>
        <v>1</v>
      </c>
      <c r="L3041"/>
    </row>
    <row r="3042" spans="1:12" x14ac:dyDescent="0.3">
      <c r="A3042" t="s">
        <v>3048</v>
      </c>
      <c r="B3042" t="s">
        <v>10011</v>
      </c>
      <c r="C3042">
        <v>5</v>
      </c>
      <c r="D3042">
        <v>5</v>
      </c>
      <c r="E3042">
        <v>25</v>
      </c>
      <c r="F3042" t="s">
        <v>10069</v>
      </c>
      <c r="G3042" t="s">
        <v>10069</v>
      </c>
      <c r="H3042" s="6">
        <v>45250</v>
      </c>
      <c r="I3042">
        <f t="shared" si="94"/>
        <v>0</v>
      </c>
      <c r="J3042" t="str">
        <f t="shared" si="95"/>
        <v>Complete</v>
      </c>
      <c r="K3042">
        <f>COUNTIFS(RawData[Item], B3042,RawData[Quantity],C3042,RawData[Price Per Unit],D3042,RawData[Total Spent],E3042,RawData[Payment Method],F3042,RawData[Location],G3042,RawData[Transaction Date],H3042)</f>
        <v>1</v>
      </c>
      <c r="L3042"/>
    </row>
    <row r="3043" spans="1:12" x14ac:dyDescent="0.3">
      <c r="A3043" t="s">
        <v>3049</v>
      </c>
      <c r="B3043" t="s">
        <v>10017</v>
      </c>
      <c r="C3043">
        <v>1</v>
      </c>
      <c r="D3043">
        <v>1.5</v>
      </c>
      <c r="E3043">
        <v>1.5</v>
      </c>
      <c r="F3043" t="s">
        <v>10104</v>
      </c>
      <c r="G3043" t="s">
        <v>10021</v>
      </c>
      <c r="H3043" s="6">
        <v>45065</v>
      </c>
      <c r="I3043">
        <f t="shared" si="94"/>
        <v>1</v>
      </c>
      <c r="J3043" t="str">
        <f t="shared" si="95"/>
        <v>Complete</v>
      </c>
      <c r="K3043">
        <f>COUNTIFS(RawData[Item], B3043,RawData[Quantity],C3043,RawData[Price Per Unit],D3043,RawData[Total Spent],E3043,RawData[Payment Method],F3043,RawData[Location],G3043,RawData[Transaction Date],H3043)</f>
        <v>1</v>
      </c>
      <c r="L3043"/>
    </row>
    <row r="3044" spans="1:12" x14ac:dyDescent="0.3">
      <c r="A3044" t="s">
        <v>3050</v>
      </c>
      <c r="B3044" t="s">
        <v>10017</v>
      </c>
      <c r="C3044">
        <v>5</v>
      </c>
      <c r="D3044">
        <v>1.5</v>
      </c>
      <c r="E3044">
        <v>7.5</v>
      </c>
      <c r="F3044" t="s">
        <v>10018</v>
      </c>
      <c r="G3044" t="s">
        <v>10021</v>
      </c>
      <c r="H3044" s="6">
        <v>45051</v>
      </c>
      <c r="I3044">
        <f t="shared" si="94"/>
        <v>0</v>
      </c>
      <c r="J3044" t="str">
        <f t="shared" si="95"/>
        <v>Complete</v>
      </c>
      <c r="K3044">
        <f>COUNTIFS(RawData[Item], B3044,RawData[Quantity],C3044,RawData[Price Per Unit],D3044,RawData[Total Spent],E3044,RawData[Payment Method],F3044,RawData[Location],G3044,RawData[Transaction Date],H3044)</f>
        <v>1</v>
      </c>
      <c r="L3044"/>
    </row>
    <row r="3045" spans="1:12" x14ac:dyDescent="0.3">
      <c r="A3045" t="s">
        <v>3051</v>
      </c>
      <c r="B3045" t="s">
        <v>10015</v>
      </c>
      <c r="C3045">
        <v>2</v>
      </c>
      <c r="D3045">
        <v>5</v>
      </c>
      <c r="E3045">
        <v>10</v>
      </c>
      <c r="F3045" t="s">
        <v>10020</v>
      </c>
      <c r="G3045" t="s">
        <v>10102</v>
      </c>
      <c r="H3045" s="6">
        <v>44957</v>
      </c>
      <c r="I3045">
        <f t="shared" si="94"/>
        <v>1</v>
      </c>
      <c r="J3045" t="str">
        <f t="shared" si="95"/>
        <v>Complete</v>
      </c>
      <c r="K3045">
        <f>COUNTIFS(RawData[Item], B3045,RawData[Quantity],C3045,RawData[Price Per Unit],D3045,RawData[Total Spent],E3045,RawData[Payment Method],F3045,RawData[Location],G3045,RawData[Transaction Date],H3045)</f>
        <v>1</v>
      </c>
      <c r="L3045"/>
    </row>
    <row r="3046" spans="1:12" x14ac:dyDescent="0.3">
      <c r="A3046" t="s">
        <v>3052</v>
      </c>
      <c r="B3046" t="s">
        <v>10014</v>
      </c>
      <c r="C3046">
        <v>3</v>
      </c>
      <c r="D3046">
        <v>4</v>
      </c>
      <c r="E3046">
        <v>12</v>
      </c>
      <c r="F3046" t="s">
        <v>10020</v>
      </c>
      <c r="G3046" t="s">
        <v>10104</v>
      </c>
      <c r="H3046" s="6">
        <v>45207</v>
      </c>
      <c r="I3046">
        <f t="shared" si="94"/>
        <v>1</v>
      </c>
      <c r="J3046" t="str">
        <f t="shared" si="95"/>
        <v>Complete</v>
      </c>
      <c r="K3046">
        <f>COUNTIFS(RawData[Item], B3046,RawData[Quantity],C3046,RawData[Price Per Unit],D3046,RawData[Total Spent],E3046,RawData[Payment Method],F3046,RawData[Location],G3046,RawData[Transaction Date],H3046)</f>
        <v>1</v>
      </c>
      <c r="L3046"/>
    </row>
    <row r="3047" spans="1:12" x14ac:dyDescent="0.3">
      <c r="A3047" t="s">
        <v>3053</v>
      </c>
      <c r="B3047" t="s">
        <v>10016</v>
      </c>
      <c r="C3047">
        <v>1</v>
      </c>
      <c r="D3047">
        <v>3</v>
      </c>
      <c r="E3047">
        <v>3</v>
      </c>
      <c r="F3047" t="s">
        <v>10020</v>
      </c>
      <c r="G3047" t="s">
        <v>10069</v>
      </c>
      <c r="H3047" s="6">
        <v>45005</v>
      </c>
      <c r="I3047">
        <f t="shared" si="94"/>
        <v>0</v>
      </c>
      <c r="J3047" t="str">
        <f t="shared" si="95"/>
        <v>Complete</v>
      </c>
      <c r="K3047">
        <f>COUNTIFS(RawData[Item], B3047,RawData[Quantity],C3047,RawData[Price Per Unit],D3047,RawData[Total Spent],E3047,RawData[Payment Method],F3047,RawData[Location],G3047,RawData[Transaction Date],H3047)</f>
        <v>1</v>
      </c>
      <c r="L3047"/>
    </row>
    <row r="3048" spans="1:12" x14ac:dyDescent="0.3">
      <c r="A3048" t="s">
        <v>3054</v>
      </c>
      <c r="B3048" t="s">
        <v>10014</v>
      </c>
      <c r="C3048">
        <v>3</v>
      </c>
      <c r="D3048">
        <v>4</v>
      </c>
      <c r="E3048">
        <v>12</v>
      </c>
      <c r="F3048" t="s">
        <v>10020</v>
      </c>
      <c r="G3048" t="s">
        <v>10021</v>
      </c>
      <c r="H3048" s="6">
        <v>44953</v>
      </c>
      <c r="I3048">
        <f t="shared" si="94"/>
        <v>0</v>
      </c>
      <c r="J3048" t="str">
        <f t="shared" si="95"/>
        <v>Complete</v>
      </c>
      <c r="K3048">
        <f>COUNTIFS(RawData[Item], B3048,RawData[Quantity],C3048,RawData[Price Per Unit],D3048,RawData[Total Spent],E3048,RawData[Payment Method],F3048,RawData[Location],G3048,RawData[Transaction Date],H3048)</f>
        <v>1</v>
      </c>
      <c r="L3048"/>
    </row>
    <row r="3049" spans="1:12" x14ac:dyDescent="0.3">
      <c r="A3049" t="s">
        <v>3055</v>
      </c>
      <c r="B3049" t="s">
        <v>10010</v>
      </c>
      <c r="C3049">
        <v>5</v>
      </c>
      <c r="D3049">
        <v>1</v>
      </c>
      <c r="E3049">
        <v>5</v>
      </c>
      <c r="F3049" t="s">
        <v>10018</v>
      </c>
      <c r="G3049" t="s">
        <v>10069</v>
      </c>
      <c r="H3049" s="6">
        <v>44928</v>
      </c>
      <c r="I3049">
        <f t="shared" si="94"/>
        <v>0</v>
      </c>
      <c r="J3049" t="str">
        <f t="shared" si="95"/>
        <v>Complete</v>
      </c>
      <c r="K3049">
        <f>COUNTIFS(RawData[Item], B3049,RawData[Quantity],C3049,RawData[Price Per Unit],D3049,RawData[Total Spent],E3049,RawData[Payment Method],F3049,RawData[Location],G3049,RawData[Transaction Date],H3049)</f>
        <v>1</v>
      </c>
      <c r="L3049"/>
    </row>
    <row r="3050" spans="1:12" x14ac:dyDescent="0.3">
      <c r="A3050" t="s">
        <v>3056</v>
      </c>
      <c r="B3050" t="s">
        <v>10014</v>
      </c>
      <c r="C3050">
        <v>3</v>
      </c>
      <c r="D3050">
        <v>4</v>
      </c>
      <c r="E3050">
        <v>12</v>
      </c>
      <c r="F3050" t="s">
        <v>10019</v>
      </c>
      <c r="G3050" t="s">
        <v>10104</v>
      </c>
      <c r="H3050" s="6">
        <v>45012</v>
      </c>
      <c r="I3050">
        <f t="shared" si="94"/>
        <v>1</v>
      </c>
      <c r="J3050" t="str">
        <f t="shared" si="95"/>
        <v>Complete</v>
      </c>
      <c r="K3050">
        <f>COUNTIFS(RawData[Item], B3050,RawData[Quantity],C3050,RawData[Price Per Unit],D3050,RawData[Total Spent],E3050,RawData[Payment Method],F3050,RawData[Location],G3050,RawData[Transaction Date],H3050)</f>
        <v>1</v>
      </c>
      <c r="L3050"/>
    </row>
    <row r="3051" spans="1:12" x14ac:dyDescent="0.3">
      <c r="A3051" t="s">
        <v>3057</v>
      </c>
      <c r="B3051" t="s">
        <v>10012</v>
      </c>
      <c r="C3051">
        <v>5</v>
      </c>
      <c r="D3051" t="s">
        <v>10015</v>
      </c>
      <c r="E3051">
        <v>20</v>
      </c>
      <c r="F3051" t="s">
        <v>10069</v>
      </c>
      <c r="G3051" t="s">
        <v>10021</v>
      </c>
      <c r="H3051" s="6">
        <v>45289</v>
      </c>
      <c r="I3051">
        <f t="shared" si="94"/>
        <v>1</v>
      </c>
      <c r="J3051" t="str">
        <f t="shared" si="95"/>
        <v>Complete</v>
      </c>
      <c r="K3051">
        <f>COUNTIFS(RawData[Item], B3051,RawData[Quantity],C3051,RawData[Price Per Unit],D3051,RawData[Total Spent],E3051,RawData[Payment Method],F3051,RawData[Location],G3051,RawData[Transaction Date],H3051)</f>
        <v>1</v>
      </c>
      <c r="L3051"/>
    </row>
    <row r="3052" spans="1:12" x14ac:dyDescent="0.3">
      <c r="A3052" t="s">
        <v>3058</v>
      </c>
      <c r="B3052" t="s">
        <v>10011</v>
      </c>
      <c r="C3052">
        <v>1</v>
      </c>
      <c r="D3052">
        <v>5</v>
      </c>
      <c r="E3052">
        <v>5</v>
      </c>
      <c r="F3052" t="s">
        <v>10069</v>
      </c>
      <c r="G3052" t="s">
        <v>10102</v>
      </c>
      <c r="H3052" s="6">
        <v>45143</v>
      </c>
      <c r="I3052">
        <f t="shared" si="94"/>
        <v>0</v>
      </c>
      <c r="J3052" t="str">
        <f t="shared" si="95"/>
        <v>Complete</v>
      </c>
      <c r="K3052">
        <f>COUNTIFS(RawData[Item], B3052,RawData[Quantity],C3052,RawData[Price Per Unit],D3052,RawData[Total Spent],E3052,RawData[Payment Method],F3052,RawData[Location],G3052,RawData[Transaction Date],H3052)</f>
        <v>1</v>
      </c>
      <c r="L3052"/>
    </row>
    <row r="3053" spans="1:12" x14ac:dyDescent="0.3">
      <c r="A3053" t="s">
        <v>3059</v>
      </c>
      <c r="B3053" t="s">
        <v>10016</v>
      </c>
      <c r="C3053">
        <v>4</v>
      </c>
      <c r="D3053">
        <v>3</v>
      </c>
      <c r="E3053">
        <v>12</v>
      </c>
      <c r="F3053" t="s">
        <v>10018</v>
      </c>
      <c r="G3053" t="s">
        <v>10021</v>
      </c>
      <c r="H3053" s="6">
        <v>45036</v>
      </c>
      <c r="I3053">
        <f t="shared" si="94"/>
        <v>0</v>
      </c>
      <c r="J3053" t="str">
        <f t="shared" si="95"/>
        <v>Complete</v>
      </c>
      <c r="K3053">
        <f>COUNTIFS(RawData[Item], B3053,RawData[Quantity],C3053,RawData[Price Per Unit],D3053,RawData[Total Spent],E3053,RawData[Payment Method],F3053,RawData[Location],G3053,RawData[Transaction Date],H3053)</f>
        <v>1</v>
      </c>
      <c r="L3053"/>
    </row>
    <row r="3054" spans="1:12" x14ac:dyDescent="0.3">
      <c r="A3054" t="s">
        <v>3060</v>
      </c>
      <c r="B3054" t="s">
        <v>10016</v>
      </c>
      <c r="C3054">
        <v>5</v>
      </c>
      <c r="D3054">
        <v>3</v>
      </c>
      <c r="E3054">
        <v>15</v>
      </c>
      <c r="F3054" t="s">
        <v>10069</v>
      </c>
      <c r="G3054" t="s">
        <v>10021</v>
      </c>
      <c r="H3054" s="6">
        <v>45286</v>
      </c>
      <c r="I3054">
        <f t="shared" si="94"/>
        <v>0</v>
      </c>
      <c r="J3054" t="str">
        <f t="shared" si="95"/>
        <v>Complete</v>
      </c>
      <c r="K3054">
        <f>COUNTIFS(RawData[Item], B3054,RawData[Quantity],C3054,RawData[Price Per Unit],D3054,RawData[Total Spent],E3054,RawData[Payment Method],F3054,RawData[Location],G3054,RawData[Transaction Date],H3054)</f>
        <v>1</v>
      </c>
      <c r="L3054"/>
    </row>
    <row r="3055" spans="1:12" x14ac:dyDescent="0.3">
      <c r="A3055" t="s">
        <v>3061</v>
      </c>
      <c r="B3055" t="s">
        <v>10011</v>
      </c>
      <c r="C3055">
        <v>2</v>
      </c>
      <c r="D3055">
        <v>0</v>
      </c>
      <c r="E3055">
        <v>10</v>
      </c>
      <c r="F3055" t="s">
        <v>10018</v>
      </c>
      <c r="G3055" t="s">
        <v>10102</v>
      </c>
      <c r="H3055" s="6">
        <v>45197</v>
      </c>
      <c r="I3055">
        <f t="shared" si="94"/>
        <v>0</v>
      </c>
      <c r="J3055" t="str">
        <f t="shared" si="95"/>
        <v>Complete</v>
      </c>
      <c r="K3055">
        <f>COUNTIFS(RawData[Item], B3055,RawData[Quantity],C3055,RawData[Price Per Unit],D3055,RawData[Total Spent],E3055,RawData[Payment Method],F3055,RawData[Location],G3055,RawData[Transaction Date],H3055)</f>
        <v>1</v>
      </c>
      <c r="L3055"/>
    </row>
    <row r="3056" spans="1:12" x14ac:dyDescent="0.3">
      <c r="A3056" t="s">
        <v>3062</v>
      </c>
      <c r="B3056" t="s">
        <v>10014</v>
      </c>
      <c r="C3056">
        <v>1</v>
      </c>
      <c r="D3056">
        <v>4</v>
      </c>
      <c r="E3056">
        <v>4</v>
      </c>
      <c r="F3056" t="s">
        <v>10020</v>
      </c>
      <c r="G3056" t="s">
        <v>10069</v>
      </c>
      <c r="H3056" s="6">
        <v>45104</v>
      </c>
      <c r="I3056">
        <f t="shared" si="94"/>
        <v>0</v>
      </c>
      <c r="J3056" t="str">
        <f t="shared" si="95"/>
        <v>Complete</v>
      </c>
      <c r="K3056">
        <f>COUNTIFS(RawData[Item], B3056,RawData[Quantity],C3056,RawData[Price Per Unit],D3056,RawData[Total Spent],E3056,RawData[Payment Method],F3056,RawData[Location],G3056,RawData[Transaction Date],H3056)</f>
        <v>1</v>
      </c>
      <c r="L3056"/>
    </row>
    <row r="3057" spans="1:12" x14ac:dyDescent="0.3">
      <c r="A3057" t="s">
        <v>3063</v>
      </c>
      <c r="B3057" t="s">
        <v>10009</v>
      </c>
      <c r="C3057">
        <v>3</v>
      </c>
      <c r="D3057">
        <v>3</v>
      </c>
      <c r="E3057">
        <v>9</v>
      </c>
      <c r="F3057" t="s">
        <v>10103</v>
      </c>
      <c r="G3057" t="s">
        <v>10021</v>
      </c>
      <c r="H3057" s="6">
        <v>45142</v>
      </c>
      <c r="I3057">
        <f t="shared" si="94"/>
        <v>1</v>
      </c>
      <c r="J3057" t="str">
        <f t="shared" si="95"/>
        <v>Complete</v>
      </c>
      <c r="K3057">
        <f>COUNTIFS(RawData[Item], B3057,RawData[Quantity],C3057,RawData[Price Per Unit],D3057,RawData[Total Spent],E3057,RawData[Payment Method],F3057,RawData[Location],G3057,RawData[Transaction Date],H3057)</f>
        <v>1</v>
      </c>
      <c r="L3057"/>
    </row>
    <row r="3058" spans="1:12" x14ac:dyDescent="0.3">
      <c r="A3058" t="s">
        <v>3064</v>
      </c>
      <c r="B3058" t="s">
        <v>10016</v>
      </c>
      <c r="C3058">
        <v>2</v>
      </c>
      <c r="D3058">
        <v>3</v>
      </c>
      <c r="E3058">
        <v>6</v>
      </c>
      <c r="F3058" t="s">
        <v>10019</v>
      </c>
      <c r="G3058" t="s">
        <v>10021</v>
      </c>
      <c r="H3058" s="6">
        <v>45237</v>
      </c>
      <c r="I3058">
        <f t="shared" si="94"/>
        <v>0</v>
      </c>
      <c r="J3058" t="str">
        <f t="shared" si="95"/>
        <v>Complete</v>
      </c>
      <c r="K3058">
        <f>COUNTIFS(RawData[Item], B3058,RawData[Quantity],C3058,RawData[Price Per Unit],D3058,RawData[Total Spent],E3058,RawData[Payment Method],F3058,RawData[Location],G3058,RawData[Transaction Date],H3058)</f>
        <v>1</v>
      </c>
      <c r="L3058"/>
    </row>
    <row r="3059" spans="1:12" x14ac:dyDescent="0.3">
      <c r="A3059" t="s">
        <v>3065</v>
      </c>
      <c r="B3059" t="s">
        <v>10016</v>
      </c>
      <c r="C3059">
        <v>3</v>
      </c>
      <c r="D3059">
        <v>3</v>
      </c>
      <c r="E3059">
        <v>9</v>
      </c>
      <c r="F3059" t="s">
        <v>10020</v>
      </c>
      <c r="G3059" t="s">
        <v>10102</v>
      </c>
      <c r="H3059" s="6">
        <v>45050</v>
      </c>
      <c r="I3059">
        <f t="shared" si="94"/>
        <v>0</v>
      </c>
      <c r="J3059" t="str">
        <f t="shared" si="95"/>
        <v>Complete</v>
      </c>
      <c r="K3059">
        <f>COUNTIFS(RawData[Item], B3059,RawData[Quantity],C3059,RawData[Price Per Unit],D3059,RawData[Total Spent],E3059,RawData[Payment Method],F3059,RawData[Location],G3059,RawData[Transaction Date],H3059)</f>
        <v>1</v>
      </c>
      <c r="L3059"/>
    </row>
    <row r="3060" spans="1:12" x14ac:dyDescent="0.3">
      <c r="A3060" t="s">
        <v>3066</v>
      </c>
      <c r="B3060" t="s">
        <v>10010</v>
      </c>
      <c r="C3060">
        <v>5</v>
      </c>
      <c r="D3060">
        <v>1</v>
      </c>
      <c r="E3060">
        <v>5</v>
      </c>
      <c r="F3060" t="s">
        <v>10020</v>
      </c>
      <c r="G3060" t="s">
        <v>10021</v>
      </c>
      <c r="H3060" s="6">
        <v>45135</v>
      </c>
      <c r="I3060">
        <f t="shared" si="94"/>
        <v>0</v>
      </c>
      <c r="J3060" t="str">
        <f t="shared" si="95"/>
        <v>Complete</v>
      </c>
      <c r="K3060">
        <f>COUNTIFS(RawData[Item], B3060,RawData[Quantity],C3060,RawData[Price Per Unit],D3060,RawData[Total Spent],E3060,RawData[Payment Method],F3060,RawData[Location],G3060,RawData[Transaction Date],H3060)</f>
        <v>1</v>
      </c>
      <c r="L3060"/>
    </row>
    <row r="3061" spans="1:12" x14ac:dyDescent="0.3">
      <c r="A3061" t="s">
        <v>3067</v>
      </c>
      <c r="B3061" t="s">
        <v>10069</v>
      </c>
      <c r="C3061">
        <v>4</v>
      </c>
      <c r="D3061">
        <v>4</v>
      </c>
      <c r="E3061">
        <v>16</v>
      </c>
      <c r="F3061" t="s">
        <v>10069</v>
      </c>
      <c r="G3061" t="s">
        <v>10102</v>
      </c>
      <c r="H3061" s="6">
        <v>45266</v>
      </c>
      <c r="I3061">
        <f t="shared" si="94"/>
        <v>0</v>
      </c>
      <c r="J3061" t="str">
        <f t="shared" si="95"/>
        <v>Complete</v>
      </c>
      <c r="K3061">
        <f>COUNTIFS(RawData[Item], B3061,RawData[Quantity],C3061,RawData[Price Per Unit],D3061,RawData[Total Spent],E3061,RawData[Payment Method],F3061,RawData[Location],G3061,RawData[Transaction Date],H3061)</f>
        <v>1</v>
      </c>
      <c r="L3061"/>
    </row>
    <row r="3062" spans="1:12" x14ac:dyDescent="0.3">
      <c r="A3062" t="s">
        <v>3068</v>
      </c>
      <c r="B3062" t="s">
        <v>10009</v>
      </c>
      <c r="C3062">
        <v>4</v>
      </c>
      <c r="D3062" t="s">
        <v>10015</v>
      </c>
      <c r="E3062">
        <v>12</v>
      </c>
      <c r="F3062" t="s">
        <v>10020</v>
      </c>
      <c r="G3062" t="s">
        <v>10021</v>
      </c>
      <c r="H3062" s="6">
        <v>45176</v>
      </c>
      <c r="I3062">
        <f t="shared" si="94"/>
        <v>1</v>
      </c>
      <c r="J3062" t="str">
        <f t="shared" si="95"/>
        <v>Complete</v>
      </c>
      <c r="K3062">
        <f>COUNTIFS(RawData[Item], B3062,RawData[Quantity],C3062,RawData[Price Per Unit],D3062,RawData[Total Spent],E3062,RawData[Payment Method],F3062,RawData[Location],G3062,RawData[Transaction Date],H3062)</f>
        <v>1</v>
      </c>
      <c r="L3062"/>
    </row>
    <row r="3063" spans="1:12" x14ac:dyDescent="0.3">
      <c r="A3063" t="s">
        <v>3069</v>
      </c>
      <c r="B3063" t="s">
        <v>10009</v>
      </c>
      <c r="C3063">
        <v>4</v>
      </c>
      <c r="D3063">
        <v>3</v>
      </c>
      <c r="E3063">
        <v>12</v>
      </c>
      <c r="F3063" t="s">
        <v>10020</v>
      </c>
      <c r="G3063" t="s">
        <v>10102</v>
      </c>
      <c r="H3063" s="6">
        <v>45207</v>
      </c>
      <c r="I3063">
        <f t="shared" si="94"/>
        <v>0</v>
      </c>
      <c r="J3063" t="str">
        <f t="shared" si="95"/>
        <v>Complete</v>
      </c>
      <c r="K3063">
        <f>COUNTIFS(RawData[Item], B3063,RawData[Quantity],C3063,RawData[Price Per Unit],D3063,RawData[Total Spent],E3063,RawData[Payment Method],F3063,RawData[Location],G3063,RawData[Transaction Date],H3063)</f>
        <v>1</v>
      </c>
      <c r="L3063"/>
    </row>
    <row r="3064" spans="1:12" x14ac:dyDescent="0.3">
      <c r="A3064" t="s">
        <v>3070</v>
      </c>
      <c r="B3064" t="s">
        <v>10014</v>
      </c>
      <c r="C3064">
        <v>4</v>
      </c>
      <c r="D3064">
        <v>4</v>
      </c>
      <c r="E3064" t="s">
        <v>10013</v>
      </c>
      <c r="F3064" t="s">
        <v>10018</v>
      </c>
      <c r="G3064" t="s">
        <v>10069</v>
      </c>
      <c r="H3064" s="6">
        <v>45142</v>
      </c>
      <c r="I3064">
        <f t="shared" si="94"/>
        <v>1</v>
      </c>
      <c r="J3064" t="str">
        <f t="shared" si="95"/>
        <v>Complete</v>
      </c>
      <c r="K3064">
        <f>COUNTIFS(RawData[Item], B3064,RawData[Quantity],C3064,RawData[Price Per Unit],D3064,RawData[Total Spent],E3064,RawData[Payment Method],F3064,RawData[Location],G3064,RawData[Transaction Date],H3064)</f>
        <v>1</v>
      </c>
      <c r="L3064"/>
    </row>
    <row r="3065" spans="1:12" x14ac:dyDescent="0.3">
      <c r="A3065" t="s">
        <v>3071</v>
      </c>
      <c r="B3065" t="s">
        <v>10009</v>
      </c>
      <c r="C3065">
        <v>5</v>
      </c>
      <c r="D3065">
        <v>3</v>
      </c>
      <c r="E3065">
        <v>15</v>
      </c>
      <c r="F3065" t="s">
        <v>10019</v>
      </c>
      <c r="G3065" t="s">
        <v>10102</v>
      </c>
      <c r="H3065" s="6">
        <v>45028</v>
      </c>
      <c r="I3065">
        <f t="shared" si="94"/>
        <v>0</v>
      </c>
      <c r="J3065" t="str">
        <f t="shared" si="95"/>
        <v>Complete</v>
      </c>
      <c r="K3065">
        <f>COUNTIFS(RawData[Item], B3065,RawData[Quantity],C3065,RawData[Price Per Unit],D3065,RawData[Total Spent],E3065,RawData[Payment Method],F3065,RawData[Location],G3065,RawData[Transaction Date],H3065)</f>
        <v>1</v>
      </c>
      <c r="L3065"/>
    </row>
    <row r="3066" spans="1:12" x14ac:dyDescent="0.3">
      <c r="A3066" t="s">
        <v>3072</v>
      </c>
      <c r="B3066" t="s">
        <v>10010</v>
      </c>
      <c r="C3066">
        <v>1</v>
      </c>
      <c r="D3066">
        <v>1</v>
      </c>
      <c r="E3066">
        <v>1</v>
      </c>
      <c r="F3066" t="s">
        <v>10104</v>
      </c>
      <c r="G3066" t="s">
        <v>10069</v>
      </c>
      <c r="H3066" s="6">
        <v>44954</v>
      </c>
      <c r="I3066">
        <f t="shared" si="94"/>
        <v>1</v>
      </c>
      <c r="J3066" t="str">
        <f t="shared" si="95"/>
        <v>Complete</v>
      </c>
      <c r="K3066">
        <f>COUNTIFS(RawData[Item], B3066,RawData[Quantity],C3066,RawData[Price Per Unit],D3066,RawData[Total Spent],E3066,RawData[Payment Method],F3066,RawData[Location],G3066,RawData[Transaction Date],H3066)</f>
        <v>1</v>
      </c>
      <c r="L3066"/>
    </row>
    <row r="3067" spans="1:12" x14ac:dyDescent="0.3">
      <c r="A3067" t="s">
        <v>3073</v>
      </c>
      <c r="B3067" t="s">
        <v>10016</v>
      </c>
      <c r="C3067">
        <v>2</v>
      </c>
      <c r="D3067">
        <v>3</v>
      </c>
      <c r="E3067">
        <v>6</v>
      </c>
      <c r="F3067" t="s">
        <v>10069</v>
      </c>
      <c r="G3067" t="s">
        <v>10103</v>
      </c>
      <c r="H3067" s="6">
        <v>45181</v>
      </c>
      <c r="I3067">
        <f t="shared" si="94"/>
        <v>1</v>
      </c>
      <c r="J3067" t="str">
        <f t="shared" si="95"/>
        <v>Complete</v>
      </c>
      <c r="K3067">
        <f>COUNTIFS(RawData[Item], B3067,RawData[Quantity],C3067,RawData[Price Per Unit],D3067,RawData[Total Spent],E3067,RawData[Payment Method],F3067,RawData[Location],G3067,RawData[Transaction Date],H3067)</f>
        <v>1</v>
      </c>
      <c r="L3067"/>
    </row>
    <row r="3068" spans="1:12" x14ac:dyDescent="0.3">
      <c r="A3068" t="s">
        <v>3074</v>
      </c>
      <c r="B3068" t="s">
        <v>10016</v>
      </c>
      <c r="C3068">
        <v>1</v>
      </c>
      <c r="D3068">
        <v>3</v>
      </c>
      <c r="E3068">
        <v>3</v>
      </c>
      <c r="F3068" t="s">
        <v>10020</v>
      </c>
      <c r="G3068" t="s">
        <v>10102</v>
      </c>
      <c r="H3068" s="6">
        <v>45159</v>
      </c>
      <c r="I3068">
        <f t="shared" si="94"/>
        <v>0</v>
      </c>
      <c r="J3068" t="str">
        <f t="shared" si="95"/>
        <v>Complete</v>
      </c>
      <c r="K3068">
        <f>COUNTIFS(RawData[Item], B3068,RawData[Quantity],C3068,RawData[Price Per Unit],D3068,RawData[Total Spent],E3068,RawData[Payment Method],F3068,RawData[Location],G3068,RawData[Transaction Date],H3068)</f>
        <v>1</v>
      </c>
      <c r="L3068"/>
    </row>
    <row r="3069" spans="1:12" x14ac:dyDescent="0.3">
      <c r="A3069" t="s">
        <v>3075</v>
      </c>
      <c r="B3069" t="s">
        <v>10069</v>
      </c>
      <c r="C3069">
        <v>5</v>
      </c>
      <c r="D3069">
        <v>3</v>
      </c>
      <c r="E3069">
        <v>15</v>
      </c>
      <c r="F3069" t="s">
        <v>10019</v>
      </c>
      <c r="G3069" t="s">
        <v>10102</v>
      </c>
      <c r="H3069" s="6">
        <v>45156</v>
      </c>
      <c r="I3069">
        <f t="shared" si="94"/>
        <v>0</v>
      </c>
      <c r="J3069" t="str">
        <f t="shared" si="95"/>
        <v>Complete</v>
      </c>
      <c r="K3069">
        <f>COUNTIFS(RawData[Item], B3069,RawData[Quantity],C3069,RawData[Price Per Unit],D3069,RawData[Total Spent],E3069,RawData[Payment Method],F3069,RawData[Location],G3069,RawData[Transaction Date],H3069)</f>
        <v>1</v>
      </c>
      <c r="L3069"/>
    </row>
    <row r="3070" spans="1:12" x14ac:dyDescent="0.3">
      <c r="A3070" t="s">
        <v>3076</v>
      </c>
      <c r="B3070" t="s">
        <v>10009</v>
      </c>
      <c r="C3070">
        <v>2</v>
      </c>
      <c r="D3070">
        <v>3</v>
      </c>
      <c r="E3070">
        <v>6</v>
      </c>
      <c r="F3070" t="s">
        <v>10018</v>
      </c>
      <c r="G3070" t="s">
        <v>10069</v>
      </c>
      <c r="H3070" s="6">
        <v>45183</v>
      </c>
      <c r="I3070">
        <f t="shared" si="94"/>
        <v>0</v>
      </c>
      <c r="J3070" t="str">
        <f t="shared" si="95"/>
        <v>Complete</v>
      </c>
      <c r="K3070">
        <f>COUNTIFS(RawData[Item], B3070,RawData[Quantity],C3070,RawData[Price Per Unit],D3070,RawData[Total Spent],E3070,RawData[Payment Method],F3070,RawData[Location],G3070,RawData[Transaction Date],H3070)</f>
        <v>1</v>
      </c>
      <c r="L3070"/>
    </row>
    <row r="3071" spans="1:12" x14ac:dyDescent="0.3">
      <c r="A3071" t="s">
        <v>3077</v>
      </c>
      <c r="B3071" t="s">
        <v>10010</v>
      </c>
      <c r="C3071">
        <v>1</v>
      </c>
      <c r="D3071">
        <v>1</v>
      </c>
      <c r="E3071">
        <v>1</v>
      </c>
      <c r="F3071" t="s">
        <v>10020</v>
      </c>
      <c r="G3071" t="s">
        <v>10021</v>
      </c>
      <c r="H3071" s="6">
        <v>45016</v>
      </c>
      <c r="I3071">
        <f t="shared" si="94"/>
        <v>0</v>
      </c>
      <c r="J3071" t="str">
        <f t="shared" si="95"/>
        <v>Complete</v>
      </c>
      <c r="K3071">
        <f>COUNTIFS(RawData[Item], B3071,RawData[Quantity],C3071,RawData[Price Per Unit],D3071,RawData[Total Spent],E3071,RawData[Payment Method],F3071,RawData[Location],G3071,RawData[Transaction Date],H3071)</f>
        <v>1</v>
      </c>
      <c r="L3071"/>
    </row>
    <row r="3072" spans="1:12" x14ac:dyDescent="0.3">
      <c r="A3072" t="s">
        <v>3078</v>
      </c>
      <c r="B3072" t="s">
        <v>10008</v>
      </c>
      <c r="C3072">
        <v>5</v>
      </c>
      <c r="D3072">
        <v>2</v>
      </c>
      <c r="E3072">
        <v>10</v>
      </c>
      <c r="F3072" t="s">
        <v>10020</v>
      </c>
      <c r="G3072" t="s">
        <v>10021</v>
      </c>
      <c r="H3072" s="6">
        <v>45208</v>
      </c>
      <c r="I3072">
        <f t="shared" si="94"/>
        <v>0</v>
      </c>
      <c r="J3072" t="str">
        <f t="shared" si="95"/>
        <v>Complete</v>
      </c>
      <c r="K3072">
        <f>COUNTIFS(RawData[Item], B3072,RawData[Quantity],C3072,RawData[Price Per Unit],D3072,RawData[Total Spent],E3072,RawData[Payment Method],F3072,RawData[Location],G3072,RawData[Transaction Date],H3072)</f>
        <v>1</v>
      </c>
      <c r="L3072"/>
    </row>
    <row r="3073" spans="1:12" x14ac:dyDescent="0.3">
      <c r="A3073" t="s">
        <v>3079</v>
      </c>
      <c r="B3073" t="s">
        <v>10017</v>
      </c>
      <c r="C3073">
        <v>5</v>
      </c>
      <c r="D3073">
        <v>1.5</v>
      </c>
      <c r="E3073">
        <v>7.5</v>
      </c>
      <c r="F3073" t="s">
        <v>10104</v>
      </c>
      <c r="G3073" t="s">
        <v>10021</v>
      </c>
      <c r="H3073" s="6">
        <v>45079</v>
      </c>
      <c r="I3073">
        <f t="shared" si="94"/>
        <v>1</v>
      </c>
      <c r="J3073" t="str">
        <f t="shared" si="95"/>
        <v>Complete</v>
      </c>
      <c r="K3073">
        <f>COUNTIFS(RawData[Item], B3073,RawData[Quantity],C3073,RawData[Price Per Unit],D3073,RawData[Total Spent],E3073,RawData[Payment Method],F3073,RawData[Location],G3073,RawData[Transaction Date],H3073)</f>
        <v>1</v>
      </c>
      <c r="L3073"/>
    </row>
    <row r="3074" spans="1:12" x14ac:dyDescent="0.3">
      <c r="A3074" t="s">
        <v>3080</v>
      </c>
      <c r="B3074" t="s">
        <v>10009</v>
      </c>
      <c r="C3074">
        <v>3</v>
      </c>
      <c r="D3074">
        <v>3</v>
      </c>
      <c r="E3074">
        <v>9</v>
      </c>
      <c r="F3074" t="s">
        <v>10020</v>
      </c>
      <c r="G3074" t="s">
        <v>10102</v>
      </c>
      <c r="H3074" s="6">
        <v>45152</v>
      </c>
      <c r="I3074">
        <f t="shared" ref="I3074:I3137" si="96">(B3074="Unknown")+(B3074="Error")+(C3074="Unknown")+(C3074="Error")+(D3074="Unknown")+(D3074="Error")+(E3074="Unknown")+(E3074="Error")+(F3074="Unknown")+(F3074="Error")+(G3074="Unknown")+(G3074="Error")+(H3074="No Date")</f>
        <v>0</v>
      </c>
      <c r="J3074" t="str">
        <f t="shared" ref="J3074:J3137" si="97">IF((H3074="No Date"),"Incomplete","Complete")</f>
        <v>Complete</v>
      </c>
      <c r="K3074">
        <f>COUNTIFS(RawData[Item], B3074,RawData[Quantity],C3074,RawData[Price Per Unit],D3074,RawData[Total Spent],E3074,RawData[Payment Method],F3074,RawData[Location],G3074,RawData[Transaction Date],H3074)</f>
        <v>1</v>
      </c>
      <c r="L3074"/>
    </row>
    <row r="3075" spans="1:12" x14ac:dyDescent="0.3">
      <c r="A3075" t="s">
        <v>3081</v>
      </c>
      <c r="B3075" t="s">
        <v>10008</v>
      </c>
      <c r="C3075">
        <v>3</v>
      </c>
      <c r="D3075">
        <v>2</v>
      </c>
      <c r="E3075">
        <v>6</v>
      </c>
      <c r="F3075" t="s">
        <v>10020</v>
      </c>
      <c r="G3075" t="s">
        <v>10021</v>
      </c>
      <c r="H3075" s="6">
        <v>45168</v>
      </c>
      <c r="I3075">
        <f t="shared" si="96"/>
        <v>0</v>
      </c>
      <c r="J3075" t="str">
        <f t="shared" si="97"/>
        <v>Complete</v>
      </c>
      <c r="K3075">
        <f>COUNTIFS(RawData[Item], B3075,RawData[Quantity],C3075,RawData[Price Per Unit],D3075,RawData[Total Spent],E3075,RawData[Payment Method],F3075,RawData[Location],G3075,RawData[Transaction Date],H3075)</f>
        <v>1</v>
      </c>
      <c r="L3075"/>
    </row>
    <row r="3076" spans="1:12" x14ac:dyDescent="0.3">
      <c r="A3076" t="s">
        <v>3082</v>
      </c>
      <c r="B3076" t="s">
        <v>10012</v>
      </c>
      <c r="C3076">
        <v>3</v>
      </c>
      <c r="D3076">
        <v>4</v>
      </c>
      <c r="E3076">
        <v>12</v>
      </c>
      <c r="F3076" t="s">
        <v>10018</v>
      </c>
      <c r="G3076" t="s">
        <v>10103</v>
      </c>
      <c r="H3076" s="6">
        <v>44948</v>
      </c>
      <c r="I3076">
        <f t="shared" si="96"/>
        <v>1</v>
      </c>
      <c r="J3076" t="str">
        <f t="shared" si="97"/>
        <v>Complete</v>
      </c>
      <c r="K3076">
        <f>COUNTIFS(RawData[Item], B3076,RawData[Quantity],C3076,RawData[Price Per Unit],D3076,RawData[Total Spent],E3076,RawData[Payment Method],F3076,RawData[Location],G3076,RawData[Transaction Date],H3076)</f>
        <v>1</v>
      </c>
      <c r="L3076"/>
    </row>
    <row r="3077" spans="1:12" x14ac:dyDescent="0.3">
      <c r="A3077" t="s">
        <v>3083</v>
      </c>
      <c r="B3077" t="s">
        <v>10009</v>
      </c>
      <c r="C3077">
        <v>1</v>
      </c>
      <c r="D3077">
        <v>3</v>
      </c>
      <c r="E3077">
        <v>3</v>
      </c>
      <c r="F3077" t="s">
        <v>10069</v>
      </c>
      <c r="G3077" t="s">
        <v>10069</v>
      </c>
      <c r="H3077" s="6">
        <v>45281</v>
      </c>
      <c r="I3077">
        <f t="shared" si="96"/>
        <v>0</v>
      </c>
      <c r="J3077" t="str">
        <f t="shared" si="97"/>
        <v>Complete</v>
      </c>
      <c r="K3077">
        <f>COUNTIFS(RawData[Item], B3077,RawData[Quantity],C3077,RawData[Price Per Unit],D3077,RawData[Total Spent],E3077,RawData[Payment Method],F3077,RawData[Location],G3077,RawData[Transaction Date],H3077)</f>
        <v>1</v>
      </c>
      <c r="L3077"/>
    </row>
    <row r="3078" spans="1:12" x14ac:dyDescent="0.3">
      <c r="A3078" t="s">
        <v>3084</v>
      </c>
      <c r="B3078" t="s">
        <v>10014</v>
      </c>
      <c r="C3078">
        <v>1</v>
      </c>
      <c r="D3078">
        <v>4</v>
      </c>
      <c r="E3078">
        <v>4</v>
      </c>
      <c r="F3078" t="s">
        <v>10020</v>
      </c>
      <c r="G3078" t="s">
        <v>10021</v>
      </c>
      <c r="H3078" s="6">
        <v>45121</v>
      </c>
      <c r="I3078">
        <f t="shared" si="96"/>
        <v>0</v>
      </c>
      <c r="J3078" t="str">
        <f t="shared" si="97"/>
        <v>Complete</v>
      </c>
      <c r="K3078">
        <f>COUNTIFS(RawData[Item], B3078,RawData[Quantity],C3078,RawData[Price Per Unit],D3078,RawData[Total Spent],E3078,RawData[Payment Method],F3078,RawData[Location],G3078,RawData[Transaction Date],H3078)</f>
        <v>1</v>
      </c>
      <c r="L3078"/>
    </row>
    <row r="3079" spans="1:12" x14ac:dyDescent="0.3">
      <c r="A3079" t="s">
        <v>3085</v>
      </c>
      <c r="B3079" t="s">
        <v>10016</v>
      </c>
      <c r="C3079">
        <v>3</v>
      </c>
      <c r="D3079">
        <v>3</v>
      </c>
      <c r="E3079">
        <v>9</v>
      </c>
      <c r="F3079" t="s">
        <v>10069</v>
      </c>
      <c r="G3079" t="s">
        <v>10102</v>
      </c>
      <c r="H3079" s="6">
        <v>45273</v>
      </c>
      <c r="I3079">
        <f t="shared" si="96"/>
        <v>0</v>
      </c>
      <c r="J3079" t="str">
        <f t="shared" si="97"/>
        <v>Complete</v>
      </c>
      <c r="K3079">
        <f>COUNTIFS(RawData[Item], B3079,RawData[Quantity],C3079,RawData[Price Per Unit],D3079,RawData[Total Spent],E3079,RawData[Payment Method],F3079,RawData[Location],G3079,RawData[Transaction Date],H3079)</f>
        <v>1</v>
      </c>
      <c r="L3079"/>
    </row>
    <row r="3080" spans="1:12" x14ac:dyDescent="0.3">
      <c r="A3080" t="s">
        <v>3086</v>
      </c>
      <c r="B3080" t="s">
        <v>10017</v>
      </c>
      <c r="C3080" t="s">
        <v>10015</v>
      </c>
      <c r="D3080">
        <v>1.5</v>
      </c>
      <c r="E3080">
        <v>6</v>
      </c>
      <c r="F3080" t="s">
        <v>10018</v>
      </c>
      <c r="G3080" t="s">
        <v>10069</v>
      </c>
      <c r="H3080" s="6">
        <v>45176</v>
      </c>
      <c r="I3080">
        <f t="shared" si="96"/>
        <v>1</v>
      </c>
      <c r="J3080" t="str">
        <f t="shared" si="97"/>
        <v>Complete</v>
      </c>
      <c r="K3080">
        <f>COUNTIFS(RawData[Item], B3080,RawData[Quantity],C3080,RawData[Price Per Unit],D3080,RawData[Total Spent],E3080,RawData[Payment Method],F3080,RawData[Location],G3080,RawData[Transaction Date],H3080)</f>
        <v>1</v>
      </c>
      <c r="L3080"/>
    </row>
    <row r="3081" spans="1:12" x14ac:dyDescent="0.3">
      <c r="A3081" t="s">
        <v>3087</v>
      </c>
      <c r="B3081" t="s">
        <v>10015</v>
      </c>
      <c r="C3081">
        <v>1</v>
      </c>
      <c r="D3081">
        <v>3</v>
      </c>
      <c r="E3081">
        <v>3</v>
      </c>
      <c r="F3081" t="s">
        <v>10019</v>
      </c>
      <c r="G3081" t="s">
        <v>10069</v>
      </c>
      <c r="H3081" s="6">
        <v>44956</v>
      </c>
      <c r="I3081">
        <f t="shared" si="96"/>
        <v>1</v>
      </c>
      <c r="J3081" t="str">
        <f t="shared" si="97"/>
        <v>Complete</v>
      </c>
      <c r="K3081">
        <f>COUNTIFS(RawData[Item], B3081,RawData[Quantity],C3081,RawData[Price Per Unit],D3081,RawData[Total Spent],E3081,RawData[Payment Method],F3081,RawData[Location],G3081,RawData[Transaction Date],H3081)</f>
        <v>1</v>
      </c>
      <c r="L3081"/>
    </row>
    <row r="3082" spans="1:12" x14ac:dyDescent="0.3">
      <c r="A3082" t="s">
        <v>3088</v>
      </c>
      <c r="B3082" t="s">
        <v>10009</v>
      </c>
      <c r="C3082">
        <v>2</v>
      </c>
      <c r="D3082">
        <v>3</v>
      </c>
      <c r="E3082">
        <v>6</v>
      </c>
      <c r="F3082" t="s">
        <v>10018</v>
      </c>
      <c r="G3082" t="s">
        <v>10021</v>
      </c>
      <c r="H3082" s="6">
        <v>45250</v>
      </c>
      <c r="I3082">
        <f t="shared" si="96"/>
        <v>0</v>
      </c>
      <c r="J3082" t="str">
        <f t="shared" si="97"/>
        <v>Complete</v>
      </c>
      <c r="K3082">
        <f>COUNTIFS(RawData[Item], B3082,RawData[Quantity],C3082,RawData[Price Per Unit],D3082,RawData[Total Spent],E3082,RawData[Payment Method],F3082,RawData[Location],G3082,RawData[Transaction Date],H3082)</f>
        <v>1</v>
      </c>
      <c r="L3082"/>
    </row>
    <row r="3083" spans="1:12" x14ac:dyDescent="0.3">
      <c r="A3083" t="s">
        <v>3089</v>
      </c>
      <c r="B3083" t="s">
        <v>10009</v>
      </c>
      <c r="C3083" t="s">
        <v>10013</v>
      </c>
      <c r="D3083">
        <v>3</v>
      </c>
      <c r="E3083">
        <v>3</v>
      </c>
      <c r="F3083" t="s">
        <v>10103</v>
      </c>
      <c r="G3083" t="s">
        <v>10069</v>
      </c>
      <c r="H3083" s="6">
        <v>45174</v>
      </c>
      <c r="I3083">
        <f t="shared" si="96"/>
        <v>2</v>
      </c>
      <c r="J3083" t="str">
        <f t="shared" si="97"/>
        <v>Complete</v>
      </c>
      <c r="K3083">
        <f>COUNTIFS(RawData[Item], B3083,RawData[Quantity],C3083,RawData[Price Per Unit],D3083,RawData[Total Spent],E3083,RawData[Payment Method],F3083,RawData[Location],G3083,RawData[Transaction Date],H3083)</f>
        <v>1</v>
      </c>
      <c r="L3083"/>
    </row>
    <row r="3084" spans="1:12" x14ac:dyDescent="0.3">
      <c r="A3084" t="s">
        <v>3090</v>
      </c>
      <c r="B3084" t="s">
        <v>10009</v>
      </c>
      <c r="C3084">
        <v>3</v>
      </c>
      <c r="D3084">
        <v>3</v>
      </c>
      <c r="E3084">
        <v>9</v>
      </c>
      <c r="F3084" t="s">
        <v>10019</v>
      </c>
      <c r="G3084" t="s">
        <v>10104</v>
      </c>
      <c r="H3084" s="6">
        <v>44978</v>
      </c>
      <c r="I3084">
        <f t="shared" si="96"/>
        <v>1</v>
      </c>
      <c r="J3084" t="str">
        <f t="shared" si="97"/>
        <v>Complete</v>
      </c>
      <c r="K3084">
        <f>COUNTIFS(RawData[Item], B3084,RawData[Quantity],C3084,RawData[Price Per Unit],D3084,RawData[Total Spent],E3084,RawData[Payment Method],F3084,RawData[Location],G3084,RawData[Transaction Date],H3084)</f>
        <v>1</v>
      </c>
      <c r="L3084"/>
    </row>
    <row r="3085" spans="1:12" x14ac:dyDescent="0.3">
      <c r="A3085" t="s">
        <v>3091</v>
      </c>
      <c r="B3085" t="s">
        <v>10016</v>
      </c>
      <c r="C3085">
        <v>1</v>
      </c>
      <c r="D3085">
        <v>3</v>
      </c>
      <c r="E3085">
        <v>3</v>
      </c>
      <c r="F3085" t="s">
        <v>10018</v>
      </c>
      <c r="G3085" t="s">
        <v>10021</v>
      </c>
      <c r="H3085" s="6">
        <v>45101</v>
      </c>
      <c r="I3085">
        <f t="shared" si="96"/>
        <v>0</v>
      </c>
      <c r="J3085" t="str">
        <f t="shared" si="97"/>
        <v>Complete</v>
      </c>
      <c r="K3085">
        <f>COUNTIFS(RawData[Item], B3085,RawData[Quantity],C3085,RawData[Price Per Unit],D3085,RawData[Total Spent],E3085,RawData[Payment Method],F3085,RawData[Location],G3085,RawData[Transaction Date],H3085)</f>
        <v>1</v>
      </c>
      <c r="L3085"/>
    </row>
    <row r="3086" spans="1:12" x14ac:dyDescent="0.3">
      <c r="A3086" t="s">
        <v>3092</v>
      </c>
      <c r="B3086" t="s">
        <v>10009</v>
      </c>
      <c r="C3086">
        <v>4</v>
      </c>
      <c r="D3086">
        <v>3</v>
      </c>
      <c r="E3086">
        <v>12</v>
      </c>
      <c r="F3086" t="s">
        <v>10020</v>
      </c>
      <c r="G3086" t="s">
        <v>10102</v>
      </c>
      <c r="H3086" s="6">
        <v>45092</v>
      </c>
      <c r="I3086">
        <f t="shared" si="96"/>
        <v>0</v>
      </c>
      <c r="J3086" t="str">
        <f t="shared" si="97"/>
        <v>Complete</v>
      </c>
      <c r="K3086">
        <f>COUNTIFS(RawData[Item], B3086,RawData[Quantity],C3086,RawData[Price Per Unit],D3086,RawData[Total Spent],E3086,RawData[Payment Method],F3086,RawData[Location],G3086,RawData[Transaction Date],H3086)</f>
        <v>2</v>
      </c>
      <c r="L3086"/>
    </row>
    <row r="3087" spans="1:12" x14ac:dyDescent="0.3">
      <c r="A3087" t="s">
        <v>3093</v>
      </c>
      <c r="B3087" t="s">
        <v>10008</v>
      </c>
      <c r="C3087">
        <v>4</v>
      </c>
      <c r="D3087">
        <v>2</v>
      </c>
      <c r="E3087">
        <v>8</v>
      </c>
      <c r="F3087" t="s">
        <v>10020</v>
      </c>
      <c r="G3087" t="s">
        <v>10069</v>
      </c>
      <c r="H3087" s="6">
        <v>45015</v>
      </c>
      <c r="I3087">
        <f t="shared" si="96"/>
        <v>0</v>
      </c>
      <c r="J3087" t="str">
        <f t="shared" si="97"/>
        <v>Complete</v>
      </c>
      <c r="K3087">
        <f>COUNTIFS(RawData[Item], B3087,RawData[Quantity],C3087,RawData[Price Per Unit],D3087,RawData[Total Spent],E3087,RawData[Payment Method],F3087,RawData[Location],G3087,RawData[Transaction Date],H3087)</f>
        <v>1</v>
      </c>
      <c r="L3087"/>
    </row>
    <row r="3088" spans="1:12" x14ac:dyDescent="0.3">
      <c r="A3088" t="s">
        <v>3094</v>
      </c>
      <c r="B3088" t="s">
        <v>10017</v>
      </c>
      <c r="C3088">
        <v>3</v>
      </c>
      <c r="D3088">
        <v>1.5</v>
      </c>
      <c r="E3088">
        <v>4.5</v>
      </c>
      <c r="F3088" t="s">
        <v>10069</v>
      </c>
      <c r="G3088" t="s">
        <v>10102</v>
      </c>
      <c r="H3088" s="6">
        <v>44945</v>
      </c>
      <c r="I3088">
        <f t="shared" si="96"/>
        <v>0</v>
      </c>
      <c r="J3088" t="str">
        <f t="shared" si="97"/>
        <v>Complete</v>
      </c>
      <c r="K3088">
        <f>COUNTIFS(RawData[Item], B3088,RawData[Quantity],C3088,RawData[Price Per Unit],D3088,RawData[Total Spent],E3088,RawData[Payment Method],F3088,RawData[Location],G3088,RawData[Transaction Date],H3088)</f>
        <v>1</v>
      </c>
      <c r="L3088"/>
    </row>
    <row r="3089" spans="1:12" x14ac:dyDescent="0.3">
      <c r="A3089" t="s">
        <v>3095</v>
      </c>
      <c r="B3089" t="s">
        <v>10009</v>
      </c>
      <c r="C3089">
        <v>3</v>
      </c>
      <c r="D3089">
        <v>3</v>
      </c>
      <c r="E3089">
        <v>0</v>
      </c>
      <c r="F3089" t="s">
        <v>10019</v>
      </c>
      <c r="G3089" t="s">
        <v>10102</v>
      </c>
      <c r="H3089" s="6">
        <v>45184</v>
      </c>
      <c r="I3089">
        <f t="shared" si="96"/>
        <v>0</v>
      </c>
      <c r="J3089" t="str">
        <f t="shared" si="97"/>
        <v>Complete</v>
      </c>
      <c r="K3089">
        <f>COUNTIFS(RawData[Item], B3089,RawData[Quantity],C3089,RawData[Price Per Unit],D3089,RawData[Total Spent],E3089,RawData[Payment Method],F3089,RawData[Location],G3089,RawData[Transaction Date],H3089)</f>
        <v>1</v>
      </c>
      <c r="L3089"/>
    </row>
    <row r="3090" spans="1:12" x14ac:dyDescent="0.3">
      <c r="A3090" t="s">
        <v>3096</v>
      </c>
      <c r="B3090" t="s">
        <v>10011</v>
      </c>
      <c r="C3090">
        <v>4</v>
      </c>
      <c r="D3090">
        <v>5</v>
      </c>
      <c r="E3090">
        <v>20</v>
      </c>
      <c r="F3090" t="s">
        <v>10020</v>
      </c>
      <c r="G3090" t="s">
        <v>10103</v>
      </c>
      <c r="H3090" s="6">
        <v>45098</v>
      </c>
      <c r="I3090">
        <f t="shared" si="96"/>
        <v>1</v>
      </c>
      <c r="J3090" t="str">
        <f t="shared" si="97"/>
        <v>Complete</v>
      </c>
      <c r="K3090">
        <f>COUNTIFS(RawData[Item], B3090,RawData[Quantity],C3090,RawData[Price Per Unit],D3090,RawData[Total Spent],E3090,RawData[Payment Method],F3090,RawData[Location],G3090,RawData[Transaction Date],H3090)</f>
        <v>1</v>
      </c>
      <c r="L3090"/>
    </row>
    <row r="3091" spans="1:12" x14ac:dyDescent="0.3">
      <c r="A3091" t="s">
        <v>3097</v>
      </c>
      <c r="B3091" t="s">
        <v>10011</v>
      </c>
      <c r="C3091">
        <v>3</v>
      </c>
      <c r="D3091">
        <v>5</v>
      </c>
      <c r="E3091">
        <v>0</v>
      </c>
      <c r="F3091" t="s">
        <v>10069</v>
      </c>
      <c r="G3091" t="s">
        <v>10021</v>
      </c>
      <c r="H3091" s="6">
        <v>45107</v>
      </c>
      <c r="I3091">
        <f t="shared" si="96"/>
        <v>0</v>
      </c>
      <c r="J3091" t="str">
        <f t="shared" si="97"/>
        <v>Complete</v>
      </c>
      <c r="K3091">
        <f>COUNTIFS(RawData[Item], B3091,RawData[Quantity],C3091,RawData[Price Per Unit],D3091,RawData[Total Spent],E3091,RawData[Payment Method],F3091,RawData[Location],G3091,RawData[Transaction Date],H3091)</f>
        <v>1</v>
      </c>
      <c r="L3091"/>
    </row>
    <row r="3092" spans="1:12" x14ac:dyDescent="0.3">
      <c r="A3092" t="s">
        <v>3098</v>
      </c>
      <c r="B3092" t="s">
        <v>10010</v>
      </c>
      <c r="C3092">
        <v>5</v>
      </c>
      <c r="D3092">
        <v>1</v>
      </c>
      <c r="E3092">
        <v>5</v>
      </c>
      <c r="F3092" t="s">
        <v>10019</v>
      </c>
      <c r="G3092" t="s">
        <v>10021</v>
      </c>
      <c r="H3092" s="6">
        <v>45078</v>
      </c>
      <c r="I3092">
        <f t="shared" si="96"/>
        <v>0</v>
      </c>
      <c r="J3092" t="str">
        <f t="shared" si="97"/>
        <v>Complete</v>
      </c>
      <c r="K3092">
        <f>COUNTIFS(RawData[Item], B3092,RawData[Quantity],C3092,RawData[Price Per Unit],D3092,RawData[Total Spent],E3092,RawData[Payment Method],F3092,RawData[Location],G3092,RawData[Transaction Date],H3092)</f>
        <v>1</v>
      </c>
      <c r="L3092"/>
    </row>
    <row r="3093" spans="1:12" x14ac:dyDescent="0.3">
      <c r="A3093" t="s">
        <v>3099</v>
      </c>
      <c r="B3093" t="s">
        <v>10010</v>
      </c>
      <c r="C3093">
        <v>2</v>
      </c>
      <c r="D3093">
        <v>1</v>
      </c>
      <c r="E3093">
        <v>2</v>
      </c>
      <c r="F3093" t="s">
        <v>10018</v>
      </c>
      <c r="G3093" t="s">
        <v>10102</v>
      </c>
      <c r="H3093" s="6">
        <v>45265</v>
      </c>
      <c r="I3093">
        <f t="shared" si="96"/>
        <v>0</v>
      </c>
      <c r="J3093" t="str">
        <f t="shared" si="97"/>
        <v>Complete</v>
      </c>
      <c r="K3093">
        <f>COUNTIFS(RawData[Item], B3093,RawData[Quantity],C3093,RawData[Price Per Unit],D3093,RawData[Total Spent],E3093,RawData[Payment Method],F3093,RawData[Location],G3093,RawData[Transaction Date],H3093)</f>
        <v>1</v>
      </c>
      <c r="L3093"/>
    </row>
    <row r="3094" spans="1:12" x14ac:dyDescent="0.3">
      <c r="A3094" t="s">
        <v>3100</v>
      </c>
      <c r="B3094" t="s">
        <v>10014</v>
      </c>
      <c r="C3094">
        <v>1</v>
      </c>
      <c r="D3094">
        <v>4</v>
      </c>
      <c r="E3094">
        <v>4</v>
      </c>
      <c r="F3094" t="s">
        <v>10020</v>
      </c>
      <c r="G3094" t="s">
        <v>10069</v>
      </c>
      <c r="H3094" s="6" t="s">
        <v>10112</v>
      </c>
      <c r="I3094">
        <f t="shared" si="96"/>
        <v>1</v>
      </c>
      <c r="J3094" t="str">
        <f t="shared" si="97"/>
        <v>Incomplete</v>
      </c>
      <c r="K3094">
        <f>COUNTIFS(RawData[Item], B3094,RawData[Quantity],C3094,RawData[Price Per Unit],D3094,RawData[Total Spent],E3094,RawData[Payment Method],F3094,RawData[Location],G3094,RawData[Transaction Date],H3094)</f>
        <v>2</v>
      </c>
      <c r="L3094"/>
    </row>
    <row r="3095" spans="1:12" x14ac:dyDescent="0.3">
      <c r="A3095" t="s">
        <v>3101</v>
      </c>
      <c r="B3095" t="s">
        <v>10012</v>
      </c>
      <c r="C3095">
        <v>5</v>
      </c>
      <c r="D3095">
        <v>4</v>
      </c>
      <c r="E3095">
        <v>20</v>
      </c>
      <c r="F3095" t="s">
        <v>10103</v>
      </c>
      <c r="G3095" t="s">
        <v>10069</v>
      </c>
      <c r="H3095" s="6">
        <v>45147</v>
      </c>
      <c r="I3095">
        <f t="shared" si="96"/>
        <v>1</v>
      </c>
      <c r="J3095" t="str">
        <f t="shared" si="97"/>
        <v>Complete</v>
      </c>
      <c r="K3095">
        <f>COUNTIFS(RawData[Item], B3095,RawData[Quantity],C3095,RawData[Price Per Unit],D3095,RawData[Total Spent],E3095,RawData[Payment Method],F3095,RawData[Location],G3095,RawData[Transaction Date],H3095)</f>
        <v>1</v>
      </c>
      <c r="L3095"/>
    </row>
    <row r="3096" spans="1:12" x14ac:dyDescent="0.3">
      <c r="A3096" t="s">
        <v>3102</v>
      </c>
      <c r="B3096" t="s">
        <v>10012</v>
      </c>
      <c r="C3096">
        <v>3</v>
      </c>
      <c r="D3096">
        <v>4</v>
      </c>
      <c r="E3096">
        <v>12</v>
      </c>
      <c r="F3096" t="s">
        <v>10018</v>
      </c>
      <c r="G3096" t="s">
        <v>10021</v>
      </c>
      <c r="H3096" s="6">
        <v>45170</v>
      </c>
      <c r="I3096">
        <f t="shared" si="96"/>
        <v>0</v>
      </c>
      <c r="J3096" t="str">
        <f t="shared" si="97"/>
        <v>Complete</v>
      </c>
      <c r="K3096">
        <f>COUNTIFS(RawData[Item], B3096,RawData[Quantity],C3096,RawData[Price Per Unit],D3096,RawData[Total Spent],E3096,RawData[Payment Method],F3096,RawData[Location],G3096,RawData[Transaction Date],H3096)</f>
        <v>2</v>
      </c>
      <c r="L3096"/>
    </row>
    <row r="3097" spans="1:12" x14ac:dyDescent="0.3">
      <c r="A3097" t="s">
        <v>3103</v>
      </c>
      <c r="B3097" t="s">
        <v>10008</v>
      </c>
      <c r="C3097">
        <v>1</v>
      </c>
      <c r="D3097">
        <v>2</v>
      </c>
      <c r="E3097">
        <v>2</v>
      </c>
      <c r="F3097" t="s">
        <v>10020</v>
      </c>
      <c r="G3097" t="s">
        <v>10069</v>
      </c>
      <c r="H3097" s="6">
        <v>44993</v>
      </c>
      <c r="I3097">
        <f t="shared" si="96"/>
        <v>0</v>
      </c>
      <c r="J3097" t="str">
        <f t="shared" si="97"/>
        <v>Complete</v>
      </c>
      <c r="K3097">
        <f>COUNTIFS(RawData[Item], B3097,RawData[Quantity],C3097,RawData[Price Per Unit],D3097,RawData[Total Spent],E3097,RawData[Payment Method],F3097,RawData[Location],G3097,RawData[Transaction Date],H3097)</f>
        <v>1</v>
      </c>
      <c r="L3097"/>
    </row>
    <row r="3098" spans="1:12" x14ac:dyDescent="0.3">
      <c r="A3098" t="s">
        <v>3104</v>
      </c>
      <c r="B3098" t="s">
        <v>10014</v>
      </c>
      <c r="C3098">
        <v>3</v>
      </c>
      <c r="D3098">
        <v>4</v>
      </c>
      <c r="E3098">
        <v>12</v>
      </c>
      <c r="F3098" t="s">
        <v>10018</v>
      </c>
      <c r="G3098" t="s">
        <v>10102</v>
      </c>
      <c r="H3098" s="6">
        <v>44985</v>
      </c>
      <c r="I3098">
        <f t="shared" si="96"/>
        <v>0</v>
      </c>
      <c r="J3098" t="str">
        <f t="shared" si="97"/>
        <v>Complete</v>
      </c>
      <c r="K3098">
        <f>COUNTIFS(RawData[Item], B3098,RawData[Quantity],C3098,RawData[Price Per Unit],D3098,RawData[Total Spent],E3098,RawData[Payment Method],F3098,RawData[Location],G3098,RawData[Transaction Date],H3098)</f>
        <v>1</v>
      </c>
      <c r="L3098"/>
    </row>
    <row r="3099" spans="1:12" x14ac:dyDescent="0.3">
      <c r="A3099" t="s">
        <v>3105</v>
      </c>
      <c r="B3099" t="s">
        <v>10011</v>
      </c>
      <c r="C3099">
        <v>3</v>
      </c>
      <c r="D3099">
        <v>5</v>
      </c>
      <c r="E3099">
        <v>15</v>
      </c>
      <c r="F3099" t="s">
        <v>10020</v>
      </c>
      <c r="G3099" t="s">
        <v>10021</v>
      </c>
      <c r="H3099" s="6">
        <v>45237</v>
      </c>
      <c r="I3099">
        <f t="shared" si="96"/>
        <v>0</v>
      </c>
      <c r="J3099" t="str">
        <f t="shared" si="97"/>
        <v>Complete</v>
      </c>
      <c r="K3099">
        <f>COUNTIFS(RawData[Item], B3099,RawData[Quantity],C3099,RawData[Price Per Unit],D3099,RawData[Total Spent],E3099,RawData[Payment Method],F3099,RawData[Location],G3099,RawData[Transaction Date],H3099)</f>
        <v>1</v>
      </c>
      <c r="L3099"/>
    </row>
    <row r="3100" spans="1:12" x14ac:dyDescent="0.3">
      <c r="A3100" t="s">
        <v>3106</v>
      </c>
      <c r="B3100" t="s">
        <v>10009</v>
      </c>
      <c r="C3100">
        <v>5</v>
      </c>
      <c r="D3100">
        <v>3</v>
      </c>
      <c r="E3100">
        <v>15</v>
      </c>
      <c r="F3100" t="s">
        <v>10018</v>
      </c>
      <c r="G3100" t="s">
        <v>10069</v>
      </c>
      <c r="H3100" s="6" t="s">
        <v>10112</v>
      </c>
      <c r="I3100">
        <f t="shared" si="96"/>
        <v>1</v>
      </c>
      <c r="J3100" t="str">
        <f t="shared" si="97"/>
        <v>Incomplete</v>
      </c>
      <c r="K3100">
        <f>COUNTIFS(RawData[Item], B3100,RawData[Quantity],C3100,RawData[Price Per Unit],D3100,RawData[Total Spent],E3100,RawData[Payment Method],F3100,RawData[Location],G3100,RawData[Transaction Date],H3100)</f>
        <v>6</v>
      </c>
      <c r="L3100"/>
    </row>
    <row r="3101" spans="1:12" x14ac:dyDescent="0.3">
      <c r="A3101" t="s">
        <v>3107</v>
      </c>
      <c r="B3101" t="s">
        <v>10012</v>
      </c>
      <c r="C3101">
        <v>5</v>
      </c>
      <c r="D3101">
        <v>4</v>
      </c>
      <c r="E3101">
        <v>20</v>
      </c>
      <c r="F3101" t="s">
        <v>10069</v>
      </c>
      <c r="G3101" t="s">
        <v>10069</v>
      </c>
      <c r="H3101" s="6">
        <v>45054</v>
      </c>
      <c r="I3101">
        <f t="shared" si="96"/>
        <v>0</v>
      </c>
      <c r="J3101" t="str">
        <f t="shared" si="97"/>
        <v>Complete</v>
      </c>
      <c r="K3101">
        <f>COUNTIFS(RawData[Item], B3101,RawData[Quantity],C3101,RawData[Price Per Unit],D3101,RawData[Total Spent],E3101,RawData[Payment Method],F3101,RawData[Location],G3101,RawData[Transaction Date],H3101)</f>
        <v>1</v>
      </c>
      <c r="L3101"/>
    </row>
    <row r="3102" spans="1:12" x14ac:dyDescent="0.3">
      <c r="A3102" t="s">
        <v>3108</v>
      </c>
      <c r="B3102" t="s">
        <v>10016</v>
      </c>
      <c r="C3102">
        <v>1</v>
      </c>
      <c r="D3102">
        <v>3</v>
      </c>
      <c r="E3102">
        <v>3</v>
      </c>
      <c r="F3102" t="s">
        <v>10019</v>
      </c>
      <c r="G3102" t="s">
        <v>10069</v>
      </c>
      <c r="H3102" s="6">
        <v>45223</v>
      </c>
      <c r="I3102">
        <f t="shared" si="96"/>
        <v>0</v>
      </c>
      <c r="J3102" t="str">
        <f t="shared" si="97"/>
        <v>Complete</v>
      </c>
      <c r="K3102">
        <f>COUNTIFS(RawData[Item], B3102,RawData[Quantity],C3102,RawData[Price Per Unit],D3102,RawData[Total Spent],E3102,RawData[Payment Method],F3102,RawData[Location],G3102,RawData[Transaction Date],H3102)</f>
        <v>1</v>
      </c>
      <c r="L3102"/>
    </row>
    <row r="3103" spans="1:12" x14ac:dyDescent="0.3">
      <c r="A3103" t="s">
        <v>3109</v>
      </c>
      <c r="B3103" t="s">
        <v>10010</v>
      </c>
      <c r="C3103">
        <v>4</v>
      </c>
      <c r="D3103">
        <v>1</v>
      </c>
      <c r="E3103">
        <v>4</v>
      </c>
      <c r="F3103" t="s">
        <v>10019</v>
      </c>
      <c r="G3103" t="s">
        <v>10021</v>
      </c>
      <c r="H3103" s="6">
        <v>45226</v>
      </c>
      <c r="I3103">
        <f t="shared" si="96"/>
        <v>0</v>
      </c>
      <c r="J3103" t="str">
        <f t="shared" si="97"/>
        <v>Complete</v>
      </c>
      <c r="K3103">
        <f>COUNTIFS(RawData[Item], B3103,RawData[Quantity],C3103,RawData[Price Per Unit],D3103,RawData[Total Spent],E3103,RawData[Payment Method],F3103,RawData[Location],G3103,RawData[Transaction Date],H3103)</f>
        <v>1</v>
      </c>
      <c r="L3103"/>
    </row>
    <row r="3104" spans="1:12" x14ac:dyDescent="0.3">
      <c r="A3104" t="s">
        <v>3110</v>
      </c>
      <c r="B3104" t="s">
        <v>10011</v>
      </c>
      <c r="C3104">
        <v>5</v>
      </c>
      <c r="D3104" t="s">
        <v>10015</v>
      </c>
      <c r="E3104">
        <v>25</v>
      </c>
      <c r="F3104" t="s">
        <v>10020</v>
      </c>
      <c r="G3104" t="s">
        <v>10102</v>
      </c>
      <c r="H3104" s="6">
        <v>44986</v>
      </c>
      <c r="I3104">
        <f t="shared" si="96"/>
        <v>1</v>
      </c>
      <c r="J3104" t="str">
        <f t="shared" si="97"/>
        <v>Complete</v>
      </c>
      <c r="K3104">
        <f>COUNTIFS(RawData[Item], B3104,RawData[Quantity],C3104,RawData[Price Per Unit],D3104,RawData[Total Spent],E3104,RawData[Payment Method],F3104,RawData[Location],G3104,RawData[Transaction Date],H3104)</f>
        <v>1</v>
      </c>
      <c r="L3104"/>
    </row>
    <row r="3105" spans="1:12" x14ac:dyDescent="0.3">
      <c r="A3105" t="s">
        <v>3111</v>
      </c>
      <c r="B3105" t="s">
        <v>10011</v>
      </c>
      <c r="C3105">
        <v>4</v>
      </c>
      <c r="D3105">
        <v>5</v>
      </c>
      <c r="E3105">
        <v>20</v>
      </c>
      <c r="F3105" t="s">
        <v>10019</v>
      </c>
      <c r="G3105" t="s">
        <v>10104</v>
      </c>
      <c r="H3105" s="6">
        <v>45210</v>
      </c>
      <c r="I3105">
        <f t="shared" si="96"/>
        <v>1</v>
      </c>
      <c r="J3105" t="str">
        <f t="shared" si="97"/>
        <v>Complete</v>
      </c>
      <c r="K3105">
        <f>COUNTIFS(RawData[Item], B3105,RawData[Quantity],C3105,RawData[Price Per Unit],D3105,RawData[Total Spent],E3105,RawData[Payment Method],F3105,RawData[Location],G3105,RawData[Transaction Date],H3105)</f>
        <v>1</v>
      </c>
      <c r="L3105"/>
    </row>
    <row r="3106" spans="1:12" x14ac:dyDescent="0.3">
      <c r="A3106" t="s">
        <v>3112</v>
      </c>
      <c r="B3106" t="s">
        <v>10008</v>
      </c>
      <c r="C3106">
        <v>2</v>
      </c>
      <c r="D3106">
        <v>2</v>
      </c>
      <c r="E3106">
        <v>4</v>
      </c>
      <c r="F3106" t="s">
        <v>10069</v>
      </c>
      <c r="G3106" t="s">
        <v>10069</v>
      </c>
      <c r="H3106" s="6">
        <v>45107</v>
      </c>
      <c r="I3106">
        <f t="shared" si="96"/>
        <v>0</v>
      </c>
      <c r="J3106" t="str">
        <f t="shared" si="97"/>
        <v>Complete</v>
      </c>
      <c r="K3106">
        <f>COUNTIFS(RawData[Item], B3106,RawData[Quantity],C3106,RawData[Price Per Unit],D3106,RawData[Total Spent],E3106,RawData[Payment Method],F3106,RawData[Location],G3106,RawData[Transaction Date],H3106)</f>
        <v>1</v>
      </c>
      <c r="L3106"/>
    </row>
    <row r="3107" spans="1:12" x14ac:dyDescent="0.3">
      <c r="A3107" t="s">
        <v>3113</v>
      </c>
      <c r="B3107" t="s">
        <v>10012</v>
      </c>
      <c r="C3107">
        <v>5</v>
      </c>
      <c r="D3107">
        <v>4</v>
      </c>
      <c r="E3107">
        <v>20</v>
      </c>
      <c r="F3107" t="s">
        <v>10069</v>
      </c>
      <c r="G3107" t="s">
        <v>10021</v>
      </c>
      <c r="H3107" s="6">
        <v>45052</v>
      </c>
      <c r="I3107">
        <f t="shared" si="96"/>
        <v>0</v>
      </c>
      <c r="J3107" t="str">
        <f t="shared" si="97"/>
        <v>Complete</v>
      </c>
      <c r="K3107">
        <f>COUNTIFS(RawData[Item], B3107,RawData[Quantity],C3107,RawData[Price Per Unit],D3107,RawData[Total Spent],E3107,RawData[Payment Method],F3107,RawData[Location],G3107,RawData[Transaction Date],H3107)</f>
        <v>1</v>
      </c>
      <c r="L3107"/>
    </row>
    <row r="3108" spans="1:12" x14ac:dyDescent="0.3">
      <c r="A3108" t="s">
        <v>3114</v>
      </c>
      <c r="B3108" t="s">
        <v>10010</v>
      </c>
      <c r="C3108">
        <v>2</v>
      </c>
      <c r="D3108">
        <v>0</v>
      </c>
      <c r="E3108">
        <v>2</v>
      </c>
      <c r="F3108" t="s">
        <v>10018</v>
      </c>
      <c r="G3108" t="s">
        <v>10102</v>
      </c>
      <c r="H3108" s="6">
        <v>45044</v>
      </c>
      <c r="I3108">
        <f t="shared" si="96"/>
        <v>0</v>
      </c>
      <c r="J3108" t="str">
        <f t="shared" si="97"/>
        <v>Complete</v>
      </c>
      <c r="K3108">
        <f>COUNTIFS(RawData[Item], B3108,RawData[Quantity],C3108,RawData[Price Per Unit],D3108,RawData[Total Spent],E3108,RawData[Payment Method],F3108,RawData[Location],G3108,RawData[Transaction Date],H3108)</f>
        <v>1</v>
      </c>
      <c r="L3108"/>
    </row>
    <row r="3109" spans="1:12" x14ac:dyDescent="0.3">
      <c r="A3109" t="s">
        <v>3115</v>
      </c>
      <c r="B3109" t="s">
        <v>10014</v>
      </c>
      <c r="C3109">
        <v>5</v>
      </c>
      <c r="D3109">
        <v>4</v>
      </c>
      <c r="E3109">
        <v>20</v>
      </c>
      <c r="F3109" t="s">
        <v>10018</v>
      </c>
      <c r="G3109" t="s">
        <v>10069</v>
      </c>
      <c r="H3109" s="6">
        <v>45131</v>
      </c>
      <c r="I3109">
        <f t="shared" si="96"/>
        <v>0</v>
      </c>
      <c r="J3109" t="str">
        <f t="shared" si="97"/>
        <v>Complete</v>
      </c>
      <c r="K3109">
        <f>COUNTIFS(RawData[Item], B3109,RawData[Quantity],C3109,RawData[Price Per Unit],D3109,RawData[Total Spent],E3109,RawData[Payment Method],F3109,RawData[Location],G3109,RawData[Transaction Date],H3109)</f>
        <v>1</v>
      </c>
      <c r="L3109"/>
    </row>
    <row r="3110" spans="1:12" x14ac:dyDescent="0.3">
      <c r="A3110" t="s">
        <v>3116</v>
      </c>
      <c r="B3110" t="s">
        <v>10012</v>
      </c>
      <c r="C3110">
        <v>5</v>
      </c>
      <c r="D3110">
        <v>4</v>
      </c>
      <c r="E3110">
        <v>20</v>
      </c>
      <c r="F3110" t="s">
        <v>10020</v>
      </c>
      <c r="G3110" t="s">
        <v>10102</v>
      </c>
      <c r="H3110" s="6">
        <v>45271</v>
      </c>
      <c r="I3110">
        <f t="shared" si="96"/>
        <v>0</v>
      </c>
      <c r="J3110" t="str">
        <f t="shared" si="97"/>
        <v>Complete</v>
      </c>
      <c r="K3110">
        <f>COUNTIFS(RawData[Item], B3110,RawData[Quantity],C3110,RawData[Price Per Unit],D3110,RawData[Total Spent],E3110,RawData[Payment Method],F3110,RawData[Location],G3110,RawData[Transaction Date],H3110)</f>
        <v>1</v>
      </c>
      <c r="L3110"/>
    </row>
    <row r="3111" spans="1:12" x14ac:dyDescent="0.3">
      <c r="A3111" t="s">
        <v>3117</v>
      </c>
      <c r="B3111" t="s">
        <v>10011</v>
      </c>
      <c r="C3111">
        <v>1</v>
      </c>
      <c r="D3111">
        <v>5</v>
      </c>
      <c r="E3111">
        <v>5</v>
      </c>
      <c r="F3111" t="s">
        <v>10019</v>
      </c>
      <c r="G3111" t="s">
        <v>10102</v>
      </c>
      <c r="H3111" s="6">
        <v>45045</v>
      </c>
      <c r="I3111">
        <f t="shared" si="96"/>
        <v>0</v>
      </c>
      <c r="J3111" t="str">
        <f t="shared" si="97"/>
        <v>Complete</v>
      </c>
      <c r="K3111">
        <f>COUNTIFS(RawData[Item], B3111,RawData[Quantity],C3111,RawData[Price Per Unit],D3111,RawData[Total Spent],E3111,RawData[Payment Method],F3111,RawData[Location],G3111,RawData[Transaction Date],H3111)</f>
        <v>1</v>
      </c>
      <c r="L3111"/>
    </row>
    <row r="3112" spans="1:12" x14ac:dyDescent="0.3">
      <c r="A3112" t="s">
        <v>3118</v>
      </c>
      <c r="B3112" t="s">
        <v>10011</v>
      </c>
      <c r="C3112">
        <v>2</v>
      </c>
      <c r="D3112">
        <v>5</v>
      </c>
      <c r="E3112">
        <v>10</v>
      </c>
      <c r="F3112" t="s">
        <v>10019</v>
      </c>
      <c r="G3112" t="s">
        <v>10102</v>
      </c>
      <c r="H3112" s="6">
        <v>45276</v>
      </c>
      <c r="I3112">
        <f t="shared" si="96"/>
        <v>0</v>
      </c>
      <c r="J3112" t="str">
        <f t="shared" si="97"/>
        <v>Complete</v>
      </c>
      <c r="K3112">
        <f>COUNTIFS(RawData[Item], B3112,RawData[Quantity],C3112,RawData[Price Per Unit],D3112,RawData[Total Spent],E3112,RawData[Payment Method],F3112,RawData[Location],G3112,RawData[Transaction Date],H3112)</f>
        <v>1</v>
      </c>
      <c r="L3112"/>
    </row>
    <row r="3113" spans="1:12" x14ac:dyDescent="0.3">
      <c r="A3113" t="s">
        <v>3119</v>
      </c>
      <c r="B3113" t="s">
        <v>10010</v>
      </c>
      <c r="C3113">
        <v>4</v>
      </c>
      <c r="D3113">
        <v>1</v>
      </c>
      <c r="E3113">
        <v>4</v>
      </c>
      <c r="F3113" t="s">
        <v>10069</v>
      </c>
      <c r="G3113" t="s">
        <v>10021</v>
      </c>
      <c r="H3113" s="6">
        <v>45052</v>
      </c>
      <c r="I3113">
        <f t="shared" si="96"/>
        <v>0</v>
      </c>
      <c r="J3113" t="str">
        <f t="shared" si="97"/>
        <v>Complete</v>
      </c>
      <c r="K3113">
        <f>COUNTIFS(RawData[Item], B3113,RawData[Quantity],C3113,RawData[Price Per Unit],D3113,RawData[Total Spent],E3113,RawData[Payment Method],F3113,RawData[Location],G3113,RawData[Transaction Date],H3113)</f>
        <v>1</v>
      </c>
      <c r="L3113"/>
    </row>
    <row r="3114" spans="1:12" x14ac:dyDescent="0.3">
      <c r="A3114" t="s">
        <v>3120</v>
      </c>
      <c r="B3114" t="s">
        <v>10011</v>
      </c>
      <c r="C3114">
        <v>3</v>
      </c>
      <c r="D3114">
        <v>5</v>
      </c>
      <c r="E3114">
        <v>15</v>
      </c>
      <c r="F3114" t="s">
        <v>10020</v>
      </c>
      <c r="G3114" t="s">
        <v>10021</v>
      </c>
      <c r="H3114" s="6" t="s">
        <v>10112</v>
      </c>
      <c r="I3114">
        <f t="shared" si="96"/>
        <v>1</v>
      </c>
      <c r="J3114" t="str">
        <f t="shared" si="97"/>
        <v>Incomplete</v>
      </c>
      <c r="K3114">
        <f>COUNTIFS(RawData[Item], B3114,RawData[Quantity],C3114,RawData[Price Per Unit],D3114,RawData[Total Spent],E3114,RawData[Payment Method],F3114,RawData[Location],G3114,RawData[Transaction Date],H3114)</f>
        <v>1</v>
      </c>
      <c r="L3114"/>
    </row>
    <row r="3115" spans="1:12" x14ac:dyDescent="0.3">
      <c r="A3115" t="s">
        <v>3121</v>
      </c>
      <c r="B3115" t="s">
        <v>10017</v>
      </c>
      <c r="C3115">
        <v>3</v>
      </c>
      <c r="D3115">
        <v>1.5</v>
      </c>
      <c r="E3115">
        <v>4.5</v>
      </c>
      <c r="F3115" t="s">
        <v>10069</v>
      </c>
      <c r="G3115" t="s">
        <v>10102</v>
      </c>
      <c r="H3115" s="6">
        <v>45252</v>
      </c>
      <c r="I3115">
        <f t="shared" si="96"/>
        <v>0</v>
      </c>
      <c r="J3115" t="str">
        <f t="shared" si="97"/>
        <v>Complete</v>
      </c>
      <c r="K3115">
        <f>COUNTIFS(RawData[Item], B3115,RawData[Quantity],C3115,RawData[Price Per Unit],D3115,RawData[Total Spent],E3115,RawData[Payment Method],F3115,RawData[Location],G3115,RawData[Transaction Date],H3115)</f>
        <v>1</v>
      </c>
      <c r="L3115"/>
    </row>
    <row r="3116" spans="1:12" x14ac:dyDescent="0.3">
      <c r="A3116" t="s">
        <v>3122</v>
      </c>
      <c r="B3116" t="s">
        <v>10014</v>
      </c>
      <c r="C3116">
        <v>2</v>
      </c>
      <c r="D3116">
        <v>4</v>
      </c>
      <c r="E3116" t="s">
        <v>10013</v>
      </c>
      <c r="F3116" t="s">
        <v>10019</v>
      </c>
      <c r="G3116" t="s">
        <v>10104</v>
      </c>
      <c r="H3116" s="6">
        <v>45036</v>
      </c>
      <c r="I3116">
        <f t="shared" si="96"/>
        <v>2</v>
      </c>
      <c r="J3116" t="str">
        <f t="shared" si="97"/>
        <v>Complete</v>
      </c>
      <c r="K3116">
        <f>COUNTIFS(RawData[Item], B3116,RawData[Quantity],C3116,RawData[Price Per Unit],D3116,RawData[Total Spent],E3116,RawData[Payment Method],F3116,RawData[Location],G3116,RawData[Transaction Date],H3116)</f>
        <v>1</v>
      </c>
      <c r="L3116"/>
    </row>
    <row r="3117" spans="1:12" x14ac:dyDescent="0.3">
      <c r="A3117" t="s">
        <v>3123</v>
      </c>
      <c r="B3117" t="s">
        <v>10013</v>
      </c>
      <c r="C3117">
        <v>4</v>
      </c>
      <c r="D3117">
        <v>3</v>
      </c>
      <c r="E3117">
        <v>12</v>
      </c>
      <c r="F3117" t="s">
        <v>10018</v>
      </c>
      <c r="G3117" t="s">
        <v>10021</v>
      </c>
      <c r="H3117" s="6">
        <v>45086</v>
      </c>
      <c r="I3117">
        <f t="shared" si="96"/>
        <v>1</v>
      </c>
      <c r="J3117" t="str">
        <f t="shared" si="97"/>
        <v>Complete</v>
      </c>
      <c r="K3117">
        <f>COUNTIFS(RawData[Item], B3117,RawData[Quantity],C3117,RawData[Price Per Unit],D3117,RawData[Total Spent],E3117,RawData[Payment Method],F3117,RawData[Location],G3117,RawData[Transaction Date],H3117)</f>
        <v>1</v>
      </c>
      <c r="L3117"/>
    </row>
    <row r="3118" spans="1:12" x14ac:dyDescent="0.3">
      <c r="A3118" t="s">
        <v>3124</v>
      </c>
      <c r="B3118" t="s">
        <v>10009</v>
      </c>
      <c r="C3118">
        <v>2</v>
      </c>
      <c r="D3118">
        <v>3</v>
      </c>
      <c r="E3118">
        <v>6</v>
      </c>
      <c r="F3118" t="s">
        <v>10019</v>
      </c>
      <c r="G3118" t="s">
        <v>10069</v>
      </c>
      <c r="H3118" s="6">
        <v>45178</v>
      </c>
      <c r="I3118">
        <f t="shared" si="96"/>
        <v>0</v>
      </c>
      <c r="J3118" t="str">
        <f t="shared" si="97"/>
        <v>Complete</v>
      </c>
      <c r="K3118">
        <f>COUNTIFS(RawData[Item], B3118,RawData[Quantity],C3118,RawData[Price Per Unit],D3118,RawData[Total Spent],E3118,RawData[Payment Method],F3118,RawData[Location],G3118,RawData[Transaction Date],H3118)</f>
        <v>1</v>
      </c>
      <c r="L3118"/>
    </row>
    <row r="3119" spans="1:12" x14ac:dyDescent="0.3">
      <c r="A3119" t="s">
        <v>3125</v>
      </c>
      <c r="B3119" t="s">
        <v>10009</v>
      </c>
      <c r="C3119">
        <v>1</v>
      </c>
      <c r="D3119">
        <v>3</v>
      </c>
      <c r="E3119">
        <v>3</v>
      </c>
      <c r="F3119" t="s">
        <v>10018</v>
      </c>
      <c r="G3119" t="s">
        <v>10102</v>
      </c>
      <c r="H3119" s="6">
        <v>45253</v>
      </c>
      <c r="I3119">
        <f t="shared" si="96"/>
        <v>0</v>
      </c>
      <c r="J3119" t="str">
        <f t="shared" si="97"/>
        <v>Complete</v>
      </c>
      <c r="K3119">
        <f>COUNTIFS(RawData[Item], B3119,RawData[Quantity],C3119,RawData[Price Per Unit],D3119,RawData[Total Spent],E3119,RawData[Payment Method],F3119,RawData[Location],G3119,RawData[Transaction Date],H3119)</f>
        <v>1</v>
      </c>
      <c r="L3119"/>
    </row>
    <row r="3120" spans="1:12" x14ac:dyDescent="0.3">
      <c r="A3120" t="s">
        <v>3126</v>
      </c>
      <c r="B3120" t="s">
        <v>10016</v>
      </c>
      <c r="C3120">
        <v>2</v>
      </c>
      <c r="D3120">
        <v>3</v>
      </c>
      <c r="E3120">
        <v>6</v>
      </c>
      <c r="F3120" t="s">
        <v>10020</v>
      </c>
      <c r="G3120" t="s">
        <v>10069</v>
      </c>
      <c r="H3120" s="6">
        <v>45163</v>
      </c>
      <c r="I3120">
        <f t="shared" si="96"/>
        <v>0</v>
      </c>
      <c r="J3120" t="str">
        <f t="shared" si="97"/>
        <v>Complete</v>
      </c>
      <c r="K3120">
        <f>COUNTIFS(RawData[Item], B3120,RawData[Quantity],C3120,RawData[Price Per Unit],D3120,RawData[Total Spent],E3120,RawData[Payment Method],F3120,RawData[Location],G3120,RawData[Transaction Date],H3120)</f>
        <v>1</v>
      </c>
      <c r="L3120"/>
    </row>
    <row r="3121" spans="1:12" x14ac:dyDescent="0.3">
      <c r="A3121" t="s">
        <v>3127</v>
      </c>
      <c r="B3121" t="s">
        <v>10012</v>
      </c>
      <c r="C3121">
        <v>2</v>
      </c>
      <c r="D3121">
        <v>4</v>
      </c>
      <c r="E3121">
        <v>8</v>
      </c>
      <c r="F3121" t="s">
        <v>10018</v>
      </c>
      <c r="G3121" t="s">
        <v>10102</v>
      </c>
      <c r="H3121" s="6">
        <v>45229</v>
      </c>
      <c r="I3121">
        <f t="shared" si="96"/>
        <v>0</v>
      </c>
      <c r="J3121" t="str">
        <f t="shared" si="97"/>
        <v>Complete</v>
      </c>
      <c r="K3121">
        <f>COUNTIFS(RawData[Item], B3121,RawData[Quantity],C3121,RawData[Price Per Unit],D3121,RawData[Total Spent],E3121,RawData[Payment Method],F3121,RawData[Location],G3121,RawData[Transaction Date],H3121)</f>
        <v>1</v>
      </c>
      <c r="L3121"/>
    </row>
    <row r="3122" spans="1:12" x14ac:dyDescent="0.3">
      <c r="A3122" t="s">
        <v>3128</v>
      </c>
      <c r="B3122" t="s">
        <v>10009</v>
      </c>
      <c r="C3122">
        <v>4</v>
      </c>
      <c r="D3122">
        <v>0</v>
      </c>
      <c r="E3122">
        <v>12</v>
      </c>
      <c r="F3122" t="s">
        <v>10018</v>
      </c>
      <c r="G3122" t="s">
        <v>10021</v>
      </c>
      <c r="H3122" s="6">
        <v>45100</v>
      </c>
      <c r="I3122">
        <f t="shared" si="96"/>
        <v>0</v>
      </c>
      <c r="J3122" t="str">
        <f t="shared" si="97"/>
        <v>Complete</v>
      </c>
      <c r="K3122">
        <f>COUNTIFS(RawData[Item], B3122,RawData[Quantity],C3122,RawData[Price Per Unit],D3122,RawData[Total Spent],E3122,RawData[Payment Method],F3122,RawData[Location],G3122,RawData[Transaction Date],H3122)</f>
        <v>1</v>
      </c>
      <c r="L3122"/>
    </row>
    <row r="3123" spans="1:12" x14ac:dyDescent="0.3">
      <c r="A3123" t="s">
        <v>3129</v>
      </c>
      <c r="B3123" t="s">
        <v>10017</v>
      </c>
      <c r="C3123" t="s">
        <v>10013</v>
      </c>
      <c r="D3123">
        <v>1.5</v>
      </c>
      <c r="E3123">
        <v>4.5</v>
      </c>
      <c r="F3123" t="s">
        <v>10104</v>
      </c>
      <c r="G3123" t="s">
        <v>10069</v>
      </c>
      <c r="H3123" s="6">
        <v>45053</v>
      </c>
      <c r="I3123">
        <f t="shared" si="96"/>
        <v>2</v>
      </c>
      <c r="J3123" t="str">
        <f t="shared" si="97"/>
        <v>Complete</v>
      </c>
      <c r="K3123">
        <f>COUNTIFS(RawData[Item], B3123,RawData[Quantity],C3123,RawData[Price Per Unit],D3123,RawData[Total Spent],E3123,RawData[Payment Method],F3123,RawData[Location],G3123,RawData[Transaction Date],H3123)</f>
        <v>1</v>
      </c>
      <c r="L3123"/>
    </row>
    <row r="3124" spans="1:12" x14ac:dyDescent="0.3">
      <c r="A3124" t="s">
        <v>3130</v>
      </c>
      <c r="B3124" t="s">
        <v>10010</v>
      </c>
      <c r="C3124">
        <v>5</v>
      </c>
      <c r="D3124">
        <v>1</v>
      </c>
      <c r="E3124">
        <v>5</v>
      </c>
      <c r="F3124" t="s">
        <v>10069</v>
      </c>
      <c r="G3124" t="s">
        <v>10069</v>
      </c>
      <c r="H3124" s="6">
        <v>44964</v>
      </c>
      <c r="I3124">
        <f t="shared" si="96"/>
        <v>0</v>
      </c>
      <c r="J3124" t="str">
        <f t="shared" si="97"/>
        <v>Complete</v>
      </c>
      <c r="K3124">
        <f>COUNTIFS(RawData[Item], B3124,RawData[Quantity],C3124,RawData[Price Per Unit],D3124,RawData[Total Spent],E3124,RawData[Payment Method],F3124,RawData[Location],G3124,RawData[Transaction Date],H3124)</f>
        <v>1</v>
      </c>
      <c r="L3124"/>
    </row>
    <row r="3125" spans="1:12" x14ac:dyDescent="0.3">
      <c r="A3125" t="s">
        <v>3131</v>
      </c>
      <c r="B3125" t="s">
        <v>10010</v>
      </c>
      <c r="C3125">
        <v>1</v>
      </c>
      <c r="D3125">
        <v>1</v>
      </c>
      <c r="E3125">
        <v>1</v>
      </c>
      <c r="F3125" t="s">
        <v>10069</v>
      </c>
      <c r="G3125" t="s">
        <v>10069</v>
      </c>
      <c r="H3125" s="6">
        <v>45045</v>
      </c>
      <c r="I3125">
        <f t="shared" si="96"/>
        <v>0</v>
      </c>
      <c r="J3125" t="str">
        <f t="shared" si="97"/>
        <v>Complete</v>
      </c>
      <c r="K3125">
        <f>COUNTIFS(RawData[Item], B3125,RawData[Quantity],C3125,RawData[Price Per Unit],D3125,RawData[Total Spent],E3125,RawData[Payment Method],F3125,RawData[Location],G3125,RawData[Transaction Date],H3125)</f>
        <v>1</v>
      </c>
      <c r="L3125"/>
    </row>
    <row r="3126" spans="1:12" x14ac:dyDescent="0.3">
      <c r="A3126" t="s">
        <v>3132</v>
      </c>
      <c r="B3126" t="s">
        <v>10016</v>
      </c>
      <c r="C3126">
        <v>3</v>
      </c>
      <c r="D3126">
        <v>3</v>
      </c>
      <c r="E3126">
        <v>9</v>
      </c>
      <c r="F3126" t="s">
        <v>10020</v>
      </c>
      <c r="G3126" t="s">
        <v>10102</v>
      </c>
      <c r="H3126" s="6" t="s">
        <v>10112</v>
      </c>
      <c r="I3126">
        <f t="shared" si="96"/>
        <v>1</v>
      </c>
      <c r="J3126" t="str">
        <f t="shared" si="97"/>
        <v>Incomplete</v>
      </c>
      <c r="K3126">
        <f>COUNTIFS(RawData[Item], B3126,RawData[Quantity],C3126,RawData[Price Per Unit],D3126,RawData[Total Spent],E3126,RawData[Payment Method],F3126,RawData[Location],G3126,RawData[Transaction Date],H3126)</f>
        <v>2</v>
      </c>
      <c r="L3126"/>
    </row>
    <row r="3127" spans="1:12" x14ac:dyDescent="0.3">
      <c r="A3127" t="s">
        <v>3133</v>
      </c>
      <c r="B3127" t="s">
        <v>10016</v>
      </c>
      <c r="C3127">
        <v>1</v>
      </c>
      <c r="D3127">
        <v>3</v>
      </c>
      <c r="E3127">
        <v>3</v>
      </c>
      <c r="F3127" t="s">
        <v>10019</v>
      </c>
      <c r="G3127" t="s">
        <v>10021</v>
      </c>
      <c r="H3127" s="6">
        <v>45016</v>
      </c>
      <c r="I3127">
        <f t="shared" si="96"/>
        <v>0</v>
      </c>
      <c r="J3127" t="str">
        <f t="shared" si="97"/>
        <v>Complete</v>
      </c>
      <c r="K3127">
        <f>COUNTIFS(RawData[Item], B3127,RawData[Quantity],C3127,RawData[Price Per Unit],D3127,RawData[Total Spent],E3127,RawData[Payment Method],F3127,RawData[Location],G3127,RawData[Transaction Date],H3127)</f>
        <v>1</v>
      </c>
      <c r="L3127"/>
    </row>
    <row r="3128" spans="1:12" x14ac:dyDescent="0.3">
      <c r="A3128" t="s">
        <v>3134</v>
      </c>
      <c r="B3128" t="s">
        <v>10014</v>
      </c>
      <c r="C3128">
        <v>2</v>
      </c>
      <c r="D3128">
        <v>4</v>
      </c>
      <c r="E3128">
        <v>8</v>
      </c>
      <c r="F3128" t="s">
        <v>10069</v>
      </c>
      <c r="G3128" t="s">
        <v>10021</v>
      </c>
      <c r="H3128" s="6">
        <v>45154</v>
      </c>
      <c r="I3128">
        <f t="shared" si="96"/>
        <v>0</v>
      </c>
      <c r="J3128" t="str">
        <f t="shared" si="97"/>
        <v>Complete</v>
      </c>
      <c r="K3128">
        <f>COUNTIFS(RawData[Item], B3128,RawData[Quantity],C3128,RawData[Price Per Unit],D3128,RawData[Total Spent],E3128,RawData[Payment Method],F3128,RawData[Location],G3128,RawData[Transaction Date],H3128)</f>
        <v>1</v>
      </c>
      <c r="L3128"/>
    </row>
    <row r="3129" spans="1:12" x14ac:dyDescent="0.3">
      <c r="A3129" t="s">
        <v>3135</v>
      </c>
      <c r="B3129" t="s">
        <v>10010</v>
      </c>
      <c r="C3129">
        <v>4</v>
      </c>
      <c r="D3129">
        <v>1</v>
      </c>
      <c r="E3129">
        <v>4</v>
      </c>
      <c r="F3129" t="s">
        <v>10019</v>
      </c>
      <c r="G3129" t="s">
        <v>10021</v>
      </c>
      <c r="H3129" s="6">
        <v>45242</v>
      </c>
      <c r="I3129">
        <f t="shared" si="96"/>
        <v>0</v>
      </c>
      <c r="J3129" t="str">
        <f t="shared" si="97"/>
        <v>Complete</v>
      </c>
      <c r="K3129">
        <f>COUNTIFS(RawData[Item], B3129,RawData[Quantity],C3129,RawData[Price Per Unit],D3129,RawData[Total Spent],E3129,RawData[Payment Method],F3129,RawData[Location],G3129,RawData[Transaction Date],H3129)</f>
        <v>1</v>
      </c>
      <c r="L3129"/>
    </row>
    <row r="3130" spans="1:12" x14ac:dyDescent="0.3">
      <c r="A3130" t="s">
        <v>3136</v>
      </c>
      <c r="B3130" t="s">
        <v>10012</v>
      </c>
      <c r="C3130">
        <v>5</v>
      </c>
      <c r="D3130">
        <v>4</v>
      </c>
      <c r="E3130">
        <v>20</v>
      </c>
      <c r="F3130" t="s">
        <v>10103</v>
      </c>
      <c r="G3130" t="s">
        <v>10021</v>
      </c>
      <c r="H3130" s="6">
        <v>45253</v>
      </c>
      <c r="I3130">
        <f t="shared" si="96"/>
        <v>1</v>
      </c>
      <c r="J3130" t="str">
        <f t="shared" si="97"/>
        <v>Complete</v>
      </c>
      <c r="K3130">
        <f>COUNTIFS(RawData[Item], B3130,RawData[Quantity],C3130,RawData[Price Per Unit],D3130,RawData[Total Spent],E3130,RawData[Payment Method],F3130,RawData[Location],G3130,RawData[Transaction Date],H3130)</f>
        <v>1</v>
      </c>
      <c r="L3130"/>
    </row>
    <row r="3131" spans="1:12" x14ac:dyDescent="0.3">
      <c r="A3131" t="s">
        <v>3137</v>
      </c>
      <c r="B3131" t="s">
        <v>10011</v>
      </c>
      <c r="C3131" t="s">
        <v>10013</v>
      </c>
      <c r="D3131">
        <v>5</v>
      </c>
      <c r="E3131">
        <v>25</v>
      </c>
      <c r="F3131" t="s">
        <v>10018</v>
      </c>
      <c r="G3131" t="s">
        <v>10102</v>
      </c>
      <c r="H3131" s="6">
        <v>44931</v>
      </c>
      <c r="I3131">
        <f t="shared" si="96"/>
        <v>1</v>
      </c>
      <c r="J3131" t="str">
        <f t="shared" si="97"/>
        <v>Complete</v>
      </c>
      <c r="K3131">
        <f>COUNTIFS(RawData[Item], B3131,RawData[Quantity],C3131,RawData[Price Per Unit],D3131,RawData[Total Spent],E3131,RawData[Payment Method],F3131,RawData[Location],G3131,RawData[Transaction Date],H3131)</f>
        <v>1</v>
      </c>
      <c r="L3131"/>
    </row>
    <row r="3132" spans="1:12" x14ac:dyDescent="0.3">
      <c r="A3132" t="s">
        <v>3138</v>
      </c>
      <c r="B3132" t="s">
        <v>10016</v>
      </c>
      <c r="C3132">
        <v>3</v>
      </c>
      <c r="D3132">
        <v>3</v>
      </c>
      <c r="E3132">
        <v>9</v>
      </c>
      <c r="F3132" t="s">
        <v>10069</v>
      </c>
      <c r="G3132" t="s">
        <v>10021</v>
      </c>
      <c r="H3132" s="6">
        <v>45154</v>
      </c>
      <c r="I3132">
        <f t="shared" si="96"/>
        <v>0</v>
      </c>
      <c r="J3132" t="str">
        <f t="shared" si="97"/>
        <v>Complete</v>
      </c>
      <c r="K3132">
        <f>COUNTIFS(RawData[Item], B3132,RawData[Quantity],C3132,RawData[Price Per Unit],D3132,RawData[Total Spent],E3132,RawData[Payment Method],F3132,RawData[Location],G3132,RawData[Transaction Date],H3132)</f>
        <v>2</v>
      </c>
      <c r="L3132"/>
    </row>
    <row r="3133" spans="1:12" x14ac:dyDescent="0.3">
      <c r="A3133" t="s">
        <v>3139</v>
      </c>
      <c r="B3133" t="s">
        <v>10010</v>
      </c>
      <c r="C3133">
        <v>1</v>
      </c>
      <c r="D3133">
        <v>1</v>
      </c>
      <c r="E3133">
        <v>1</v>
      </c>
      <c r="F3133" t="s">
        <v>10020</v>
      </c>
      <c r="G3133" t="s">
        <v>10069</v>
      </c>
      <c r="H3133" s="6">
        <v>45240</v>
      </c>
      <c r="I3133">
        <f t="shared" si="96"/>
        <v>0</v>
      </c>
      <c r="J3133" t="str">
        <f t="shared" si="97"/>
        <v>Complete</v>
      </c>
      <c r="K3133">
        <f>COUNTIFS(RawData[Item], B3133,RawData[Quantity],C3133,RawData[Price Per Unit],D3133,RawData[Total Spent],E3133,RawData[Payment Method],F3133,RawData[Location],G3133,RawData[Transaction Date],H3133)</f>
        <v>1</v>
      </c>
      <c r="L3133"/>
    </row>
    <row r="3134" spans="1:12" x14ac:dyDescent="0.3">
      <c r="A3134" t="s">
        <v>3140</v>
      </c>
      <c r="B3134" t="s">
        <v>10011</v>
      </c>
      <c r="C3134">
        <v>4</v>
      </c>
      <c r="D3134">
        <v>5</v>
      </c>
      <c r="E3134">
        <v>20</v>
      </c>
      <c r="F3134" t="s">
        <v>10069</v>
      </c>
      <c r="G3134" t="s">
        <v>10021</v>
      </c>
      <c r="H3134" s="6">
        <v>45228</v>
      </c>
      <c r="I3134">
        <f t="shared" si="96"/>
        <v>0</v>
      </c>
      <c r="J3134" t="str">
        <f t="shared" si="97"/>
        <v>Complete</v>
      </c>
      <c r="K3134">
        <f>COUNTIFS(RawData[Item], B3134,RawData[Quantity],C3134,RawData[Price Per Unit],D3134,RawData[Total Spent],E3134,RawData[Payment Method],F3134,RawData[Location],G3134,RawData[Transaction Date],H3134)</f>
        <v>1</v>
      </c>
      <c r="L3134"/>
    </row>
    <row r="3135" spans="1:12" x14ac:dyDescent="0.3">
      <c r="A3135" t="s">
        <v>3141</v>
      </c>
      <c r="B3135" t="s">
        <v>10008</v>
      </c>
      <c r="C3135">
        <v>5</v>
      </c>
      <c r="D3135">
        <v>2</v>
      </c>
      <c r="E3135">
        <v>10</v>
      </c>
      <c r="F3135" t="s">
        <v>10020</v>
      </c>
      <c r="G3135" t="s">
        <v>10102</v>
      </c>
      <c r="H3135" s="6">
        <v>44934</v>
      </c>
      <c r="I3135">
        <f t="shared" si="96"/>
        <v>0</v>
      </c>
      <c r="J3135" t="str">
        <f t="shared" si="97"/>
        <v>Complete</v>
      </c>
      <c r="K3135">
        <f>COUNTIFS(RawData[Item], B3135,RawData[Quantity],C3135,RawData[Price Per Unit],D3135,RawData[Total Spent],E3135,RawData[Payment Method],F3135,RawData[Location],G3135,RawData[Transaction Date],H3135)</f>
        <v>1</v>
      </c>
      <c r="L3135"/>
    </row>
    <row r="3136" spans="1:12" x14ac:dyDescent="0.3">
      <c r="A3136" t="s">
        <v>3142</v>
      </c>
      <c r="B3136" t="s">
        <v>10014</v>
      </c>
      <c r="C3136">
        <v>2</v>
      </c>
      <c r="D3136">
        <v>4</v>
      </c>
      <c r="E3136" t="s">
        <v>10013</v>
      </c>
      <c r="F3136" t="s">
        <v>10019</v>
      </c>
      <c r="G3136" t="s">
        <v>10021</v>
      </c>
      <c r="H3136" s="6">
        <v>44967</v>
      </c>
      <c r="I3136">
        <f t="shared" si="96"/>
        <v>1</v>
      </c>
      <c r="J3136" t="str">
        <f t="shared" si="97"/>
        <v>Complete</v>
      </c>
      <c r="K3136">
        <f>COUNTIFS(RawData[Item], B3136,RawData[Quantity],C3136,RawData[Price Per Unit],D3136,RawData[Total Spent],E3136,RawData[Payment Method],F3136,RawData[Location],G3136,RawData[Transaction Date],H3136)</f>
        <v>1</v>
      </c>
      <c r="L3136"/>
    </row>
    <row r="3137" spans="1:12" x14ac:dyDescent="0.3">
      <c r="A3137" t="s">
        <v>3143</v>
      </c>
      <c r="B3137" t="s">
        <v>10012</v>
      </c>
      <c r="C3137">
        <v>4</v>
      </c>
      <c r="D3137">
        <v>4</v>
      </c>
      <c r="E3137">
        <v>16</v>
      </c>
      <c r="F3137" t="s">
        <v>10019</v>
      </c>
      <c r="G3137" t="s">
        <v>10102</v>
      </c>
      <c r="H3137" s="6">
        <v>45054</v>
      </c>
      <c r="I3137">
        <f t="shared" si="96"/>
        <v>0</v>
      </c>
      <c r="J3137" t="str">
        <f t="shared" si="97"/>
        <v>Complete</v>
      </c>
      <c r="K3137">
        <f>COUNTIFS(RawData[Item], B3137,RawData[Quantity],C3137,RawData[Price Per Unit],D3137,RawData[Total Spent],E3137,RawData[Payment Method],F3137,RawData[Location],G3137,RawData[Transaction Date],H3137)</f>
        <v>1</v>
      </c>
      <c r="L3137"/>
    </row>
    <row r="3138" spans="1:12" x14ac:dyDescent="0.3">
      <c r="A3138" t="s">
        <v>3144</v>
      </c>
      <c r="B3138" t="s">
        <v>10016</v>
      </c>
      <c r="C3138">
        <v>3</v>
      </c>
      <c r="D3138">
        <v>3</v>
      </c>
      <c r="E3138">
        <v>9</v>
      </c>
      <c r="F3138" t="s">
        <v>10018</v>
      </c>
      <c r="G3138" t="s">
        <v>10102</v>
      </c>
      <c r="H3138" s="6">
        <v>45031</v>
      </c>
      <c r="I3138">
        <f t="shared" ref="I3138:I3201" si="98">(B3138="Unknown")+(B3138="Error")+(C3138="Unknown")+(C3138="Error")+(D3138="Unknown")+(D3138="Error")+(E3138="Unknown")+(E3138="Error")+(F3138="Unknown")+(F3138="Error")+(G3138="Unknown")+(G3138="Error")+(H3138="No Date")</f>
        <v>0</v>
      </c>
      <c r="J3138" t="str">
        <f t="shared" ref="J3138:J3201" si="99">IF((H3138="No Date"),"Incomplete","Complete")</f>
        <v>Complete</v>
      </c>
      <c r="K3138">
        <f>COUNTIFS(RawData[Item], B3138,RawData[Quantity],C3138,RawData[Price Per Unit],D3138,RawData[Total Spent],E3138,RawData[Payment Method],F3138,RawData[Location],G3138,RawData[Transaction Date],H3138)</f>
        <v>1</v>
      </c>
      <c r="L3138"/>
    </row>
    <row r="3139" spans="1:12" x14ac:dyDescent="0.3">
      <c r="A3139" t="s">
        <v>3145</v>
      </c>
      <c r="B3139" t="s">
        <v>10010</v>
      </c>
      <c r="C3139">
        <v>1</v>
      </c>
      <c r="D3139">
        <v>1</v>
      </c>
      <c r="E3139">
        <v>1</v>
      </c>
      <c r="F3139" t="s">
        <v>10018</v>
      </c>
      <c r="G3139" t="s">
        <v>10069</v>
      </c>
      <c r="H3139" s="6">
        <v>45234</v>
      </c>
      <c r="I3139">
        <f t="shared" si="98"/>
        <v>0</v>
      </c>
      <c r="J3139" t="str">
        <f t="shared" si="99"/>
        <v>Complete</v>
      </c>
      <c r="K3139">
        <f>COUNTIFS(RawData[Item], B3139,RawData[Quantity],C3139,RawData[Price Per Unit],D3139,RawData[Total Spent],E3139,RawData[Payment Method],F3139,RawData[Location],G3139,RawData[Transaction Date],H3139)</f>
        <v>1</v>
      </c>
      <c r="L3139"/>
    </row>
    <row r="3140" spans="1:12" x14ac:dyDescent="0.3">
      <c r="A3140" t="s">
        <v>3146</v>
      </c>
      <c r="B3140" t="s">
        <v>10013</v>
      </c>
      <c r="C3140">
        <v>4</v>
      </c>
      <c r="D3140">
        <v>2</v>
      </c>
      <c r="E3140">
        <v>8</v>
      </c>
      <c r="F3140" t="s">
        <v>10020</v>
      </c>
      <c r="G3140" t="s">
        <v>10102</v>
      </c>
      <c r="H3140" s="6">
        <v>45198</v>
      </c>
      <c r="I3140">
        <f t="shared" si="98"/>
        <v>1</v>
      </c>
      <c r="J3140" t="str">
        <f t="shared" si="99"/>
        <v>Complete</v>
      </c>
      <c r="K3140">
        <f>COUNTIFS(RawData[Item], B3140,RawData[Quantity],C3140,RawData[Price Per Unit],D3140,RawData[Total Spent],E3140,RawData[Payment Method],F3140,RawData[Location],G3140,RawData[Transaction Date],H3140)</f>
        <v>1</v>
      </c>
      <c r="L3140"/>
    </row>
    <row r="3141" spans="1:12" x14ac:dyDescent="0.3">
      <c r="A3141" t="s">
        <v>3147</v>
      </c>
      <c r="B3141" t="s">
        <v>10009</v>
      </c>
      <c r="C3141">
        <v>3</v>
      </c>
      <c r="D3141">
        <v>0</v>
      </c>
      <c r="E3141">
        <v>9</v>
      </c>
      <c r="F3141" t="s">
        <v>10019</v>
      </c>
      <c r="G3141" t="s">
        <v>10021</v>
      </c>
      <c r="H3141" s="6" t="s">
        <v>10112</v>
      </c>
      <c r="I3141">
        <f t="shared" si="98"/>
        <v>1</v>
      </c>
      <c r="J3141" t="str">
        <f t="shared" si="99"/>
        <v>Incomplete</v>
      </c>
      <c r="K3141">
        <f>COUNTIFS(RawData[Item], B3141,RawData[Quantity],C3141,RawData[Price Per Unit],D3141,RawData[Total Spent],E3141,RawData[Payment Method],F3141,RawData[Location],G3141,RawData[Transaction Date],H3141)</f>
        <v>1</v>
      </c>
      <c r="L3141"/>
    </row>
    <row r="3142" spans="1:12" x14ac:dyDescent="0.3">
      <c r="A3142" t="s">
        <v>3148</v>
      </c>
      <c r="B3142" t="s">
        <v>10011</v>
      </c>
      <c r="C3142">
        <v>3</v>
      </c>
      <c r="D3142">
        <v>5</v>
      </c>
      <c r="E3142">
        <v>15</v>
      </c>
      <c r="F3142" t="s">
        <v>10103</v>
      </c>
      <c r="G3142" t="s">
        <v>10102</v>
      </c>
      <c r="H3142" s="6" t="s">
        <v>10112</v>
      </c>
      <c r="I3142">
        <f t="shared" si="98"/>
        <v>2</v>
      </c>
      <c r="J3142" t="str">
        <f t="shared" si="99"/>
        <v>Incomplete</v>
      </c>
      <c r="K3142">
        <f>COUNTIFS(RawData[Item], B3142,RawData[Quantity],C3142,RawData[Price Per Unit],D3142,RawData[Total Spent],E3142,RawData[Payment Method],F3142,RawData[Location],G3142,RawData[Transaction Date],H3142)</f>
        <v>1</v>
      </c>
      <c r="L3142"/>
    </row>
    <row r="3143" spans="1:12" x14ac:dyDescent="0.3">
      <c r="A3143" t="s">
        <v>3149</v>
      </c>
      <c r="B3143" t="s">
        <v>10008</v>
      </c>
      <c r="C3143">
        <v>3</v>
      </c>
      <c r="D3143">
        <v>2</v>
      </c>
      <c r="E3143">
        <v>6</v>
      </c>
      <c r="F3143" t="s">
        <v>10019</v>
      </c>
      <c r="G3143" t="s">
        <v>10103</v>
      </c>
      <c r="H3143" s="6">
        <v>45091</v>
      </c>
      <c r="I3143">
        <f t="shared" si="98"/>
        <v>1</v>
      </c>
      <c r="J3143" t="str">
        <f t="shared" si="99"/>
        <v>Complete</v>
      </c>
      <c r="K3143">
        <f>COUNTIFS(RawData[Item], B3143,RawData[Quantity],C3143,RawData[Price Per Unit],D3143,RawData[Total Spent],E3143,RawData[Payment Method],F3143,RawData[Location],G3143,RawData[Transaction Date],H3143)</f>
        <v>1</v>
      </c>
      <c r="L3143"/>
    </row>
    <row r="3144" spans="1:12" x14ac:dyDescent="0.3">
      <c r="A3144" t="s">
        <v>3150</v>
      </c>
      <c r="B3144" t="s">
        <v>10010</v>
      </c>
      <c r="C3144">
        <v>5</v>
      </c>
      <c r="D3144" t="s">
        <v>10013</v>
      </c>
      <c r="E3144">
        <v>5</v>
      </c>
      <c r="F3144" t="s">
        <v>10069</v>
      </c>
      <c r="G3144" t="s">
        <v>10104</v>
      </c>
      <c r="H3144" s="6" t="s">
        <v>10112</v>
      </c>
      <c r="I3144">
        <f t="shared" si="98"/>
        <v>3</v>
      </c>
      <c r="J3144" t="str">
        <f t="shared" si="99"/>
        <v>Incomplete</v>
      </c>
      <c r="K3144">
        <f>COUNTIFS(RawData[Item], B3144,RawData[Quantity],C3144,RawData[Price Per Unit],D3144,RawData[Total Spent],E3144,RawData[Payment Method],F3144,RawData[Location],G3144,RawData[Transaction Date],H3144)</f>
        <v>1</v>
      </c>
      <c r="L3144"/>
    </row>
    <row r="3145" spans="1:12" x14ac:dyDescent="0.3">
      <c r="A3145" t="s">
        <v>3151</v>
      </c>
      <c r="B3145" t="s">
        <v>10009</v>
      </c>
      <c r="C3145">
        <v>2</v>
      </c>
      <c r="D3145">
        <v>3</v>
      </c>
      <c r="E3145">
        <v>6</v>
      </c>
      <c r="F3145" t="s">
        <v>10019</v>
      </c>
      <c r="G3145" t="s">
        <v>10021</v>
      </c>
      <c r="H3145" s="6">
        <v>45198</v>
      </c>
      <c r="I3145">
        <f t="shared" si="98"/>
        <v>0</v>
      </c>
      <c r="J3145" t="str">
        <f t="shared" si="99"/>
        <v>Complete</v>
      </c>
      <c r="K3145">
        <f>COUNTIFS(RawData[Item], B3145,RawData[Quantity],C3145,RawData[Price Per Unit],D3145,RawData[Total Spent],E3145,RawData[Payment Method],F3145,RawData[Location],G3145,RawData[Transaction Date],H3145)</f>
        <v>1</v>
      </c>
      <c r="L3145"/>
    </row>
    <row r="3146" spans="1:12" x14ac:dyDescent="0.3">
      <c r="A3146" t="s">
        <v>3152</v>
      </c>
      <c r="B3146" t="s">
        <v>10011</v>
      </c>
      <c r="C3146">
        <v>5</v>
      </c>
      <c r="D3146">
        <v>5</v>
      </c>
      <c r="E3146">
        <v>25</v>
      </c>
      <c r="F3146" t="s">
        <v>10104</v>
      </c>
      <c r="G3146" t="s">
        <v>10103</v>
      </c>
      <c r="H3146" s="6">
        <v>45234</v>
      </c>
      <c r="I3146">
        <f t="shared" si="98"/>
        <v>2</v>
      </c>
      <c r="J3146" t="str">
        <f t="shared" si="99"/>
        <v>Complete</v>
      </c>
      <c r="K3146">
        <f>COUNTIFS(RawData[Item], B3146,RawData[Quantity],C3146,RawData[Price Per Unit],D3146,RawData[Total Spent],E3146,RawData[Payment Method],F3146,RawData[Location],G3146,RawData[Transaction Date],H3146)</f>
        <v>1</v>
      </c>
      <c r="L3146"/>
    </row>
    <row r="3147" spans="1:12" x14ac:dyDescent="0.3">
      <c r="A3147" t="s">
        <v>3153</v>
      </c>
      <c r="B3147" t="s">
        <v>10009</v>
      </c>
      <c r="C3147">
        <v>5</v>
      </c>
      <c r="D3147">
        <v>3</v>
      </c>
      <c r="E3147">
        <v>15</v>
      </c>
      <c r="F3147" t="s">
        <v>10019</v>
      </c>
      <c r="G3147" t="s">
        <v>10021</v>
      </c>
      <c r="H3147" s="6">
        <v>45163</v>
      </c>
      <c r="I3147">
        <f t="shared" si="98"/>
        <v>0</v>
      </c>
      <c r="J3147" t="str">
        <f t="shared" si="99"/>
        <v>Complete</v>
      </c>
      <c r="K3147">
        <f>COUNTIFS(RawData[Item], B3147,RawData[Quantity],C3147,RawData[Price Per Unit],D3147,RawData[Total Spent],E3147,RawData[Payment Method],F3147,RawData[Location],G3147,RawData[Transaction Date],H3147)</f>
        <v>1</v>
      </c>
      <c r="L3147"/>
    </row>
    <row r="3148" spans="1:12" x14ac:dyDescent="0.3">
      <c r="A3148" t="s">
        <v>3154</v>
      </c>
      <c r="B3148" t="s">
        <v>10015</v>
      </c>
      <c r="C3148">
        <v>4</v>
      </c>
      <c r="D3148">
        <v>3</v>
      </c>
      <c r="E3148">
        <v>12</v>
      </c>
      <c r="F3148" t="s">
        <v>10069</v>
      </c>
      <c r="G3148" t="s">
        <v>10021</v>
      </c>
      <c r="H3148" s="6">
        <v>45015</v>
      </c>
      <c r="I3148">
        <f t="shared" si="98"/>
        <v>1</v>
      </c>
      <c r="J3148" t="str">
        <f t="shared" si="99"/>
        <v>Complete</v>
      </c>
      <c r="K3148">
        <f>COUNTIFS(RawData[Item], B3148,RawData[Quantity],C3148,RawData[Price Per Unit],D3148,RawData[Total Spent],E3148,RawData[Payment Method],F3148,RawData[Location],G3148,RawData[Transaction Date],H3148)</f>
        <v>1</v>
      </c>
      <c r="L3148"/>
    </row>
    <row r="3149" spans="1:12" x14ac:dyDescent="0.3">
      <c r="A3149" t="s">
        <v>3155</v>
      </c>
      <c r="B3149" t="s">
        <v>10017</v>
      </c>
      <c r="C3149">
        <v>1</v>
      </c>
      <c r="D3149" t="s">
        <v>10013</v>
      </c>
      <c r="E3149">
        <v>1.5</v>
      </c>
      <c r="F3149" t="s">
        <v>10018</v>
      </c>
      <c r="G3149" t="s">
        <v>10069</v>
      </c>
      <c r="H3149" s="6">
        <v>44977</v>
      </c>
      <c r="I3149">
        <f t="shared" si="98"/>
        <v>1</v>
      </c>
      <c r="J3149" t="str">
        <f t="shared" si="99"/>
        <v>Complete</v>
      </c>
      <c r="K3149">
        <f>COUNTIFS(RawData[Item], B3149,RawData[Quantity],C3149,RawData[Price Per Unit],D3149,RawData[Total Spent],E3149,RawData[Payment Method],F3149,RawData[Location],G3149,RawData[Transaction Date],H3149)</f>
        <v>1</v>
      </c>
      <c r="L3149"/>
    </row>
    <row r="3150" spans="1:12" x14ac:dyDescent="0.3">
      <c r="A3150" t="s">
        <v>3156</v>
      </c>
      <c r="B3150" t="s">
        <v>10016</v>
      </c>
      <c r="C3150">
        <v>3</v>
      </c>
      <c r="D3150">
        <v>3</v>
      </c>
      <c r="E3150">
        <v>9</v>
      </c>
      <c r="F3150" t="s">
        <v>10069</v>
      </c>
      <c r="G3150" t="s">
        <v>10069</v>
      </c>
      <c r="H3150" s="6">
        <v>44976</v>
      </c>
      <c r="I3150">
        <f t="shared" si="98"/>
        <v>0</v>
      </c>
      <c r="J3150" t="str">
        <f t="shared" si="99"/>
        <v>Complete</v>
      </c>
      <c r="K3150">
        <f>COUNTIFS(RawData[Item], B3150,RawData[Quantity],C3150,RawData[Price Per Unit],D3150,RawData[Total Spent],E3150,RawData[Payment Method],F3150,RawData[Location],G3150,RawData[Transaction Date],H3150)</f>
        <v>1</v>
      </c>
      <c r="L3150"/>
    </row>
    <row r="3151" spans="1:12" x14ac:dyDescent="0.3">
      <c r="A3151" t="s">
        <v>3157</v>
      </c>
      <c r="B3151" t="s">
        <v>10015</v>
      </c>
      <c r="C3151" t="s">
        <v>10013</v>
      </c>
      <c r="D3151">
        <v>4</v>
      </c>
      <c r="E3151">
        <v>8</v>
      </c>
      <c r="F3151" t="s">
        <v>10020</v>
      </c>
      <c r="G3151" t="s">
        <v>10102</v>
      </c>
      <c r="H3151" s="6">
        <v>44993</v>
      </c>
      <c r="I3151">
        <f t="shared" si="98"/>
        <v>2</v>
      </c>
      <c r="J3151" t="str">
        <f t="shared" si="99"/>
        <v>Complete</v>
      </c>
      <c r="K3151">
        <f>COUNTIFS(RawData[Item], B3151,RawData[Quantity],C3151,RawData[Price Per Unit],D3151,RawData[Total Spent],E3151,RawData[Payment Method],F3151,RawData[Location],G3151,RawData[Transaction Date],H3151)</f>
        <v>1</v>
      </c>
      <c r="L3151"/>
    </row>
    <row r="3152" spans="1:12" x14ac:dyDescent="0.3">
      <c r="A3152" t="s">
        <v>3158</v>
      </c>
      <c r="B3152" t="s">
        <v>10017</v>
      </c>
      <c r="C3152">
        <v>2</v>
      </c>
      <c r="D3152">
        <v>1.5</v>
      </c>
      <c r="E3152">
        <v>3</v>
      </c>
      <c r="F3152" t="s">
        <v>10069</v>
      </c>
      <c r="G3152" t="s">
        <v>10102</v>
      </c>
      <c r="H3152" s="6">
        <v>45170</v>
      </c>
      <c r="I3152">
        <f t="shared" si="98"/>
        <v>0</v>
      </c>
      <c r="J3152" t="str">
        <f t="shared" si="99"/>
        <v>Complete</v>
      </c>
      <c r="K3152">
        <f>COUNTIFS(RawData[Item], B3152,RawData[Quantity],C3152,RawData[Price Per Unit],D3152,RawData[Total Spent],E3152,RawData[Payment Method],F3152,RawData[Location],G3152,RawData[Transaction Date],H3152)</f>
        <v>1</v>
      </c>
      <c r="L3152"/>
    </row>
    <row r="3153" spans="1:12" x14ac:dyDescent="0.3">
      <c r="A3153" t="s">
        <v>3159</v>
      </c>
      <c r="B3153" t="s">
        <v>10017</v>
      </c>
      <c r="C3153">
        <v>1</v>
      </c>
      <c r="D3153">
        <v>1.5</v>
      </c>
      <c r="E3153">
        <v>1.5</v>
      </c>
      <c r="F3153" t="s">
        <v>10103</v>
      </c>
      <c r="G3153" t="s">
        <v>10069</v>
      </c>
      <c r="H3153" s="6">
        <v>45008</v>
      </c>
      <c r="I3153">
        <f t="shared" si="98"/>
        <v>1</v>
      </c>
      <c r="J3153" t="str">
        <f t="shared" si="99"/>
        <v>Complete</v>
      </c>
      <c r="K3153">
        <f>COUNTIFS(RawData[Item], B3153,RawData[Quantity],C3153,RawData[Price Per Unit],D3153,RawData[Total Spent],E3153,RawData[Payment Method],F3153,RawData[Location],G3153,RawData[Transaction Date],H3153)</f>
        <v>1</v>
      </c>
      <c r="L3153"/>
    </row>
    <row r="3154" spans="1:12" x14ac:dyDescent="0.3">
      <c r="A3154" t="s">
        <v>3160</v>
      </c>
      <c r="B3154" t="s">
        <v>10009</v>
      </c>
      <c r="C3154">
        <v>2</v>
      </c>
      <c r="D3154">
        <v>3</v>
      </c>
      <c r="E3154">
        <v>6</v>
      </c>
      <c r="F3154" t="s">
        <v>10018</v>
      </c>
      <c r="G3154" t="s">
        <v>10069</v>
      </c>
      <c r="H3154" s="6">
        <v>45026</v>
      </c>
      <c r="I3154">
        <f t="shared" si="98"/>
        <v>0</v>
      </c>
      <c r="J3154" t="str">
        <f t="shared" si="99"/>
        <v>Complete</v>
      </c>
      <c r="K3154">
        <f>COUNTIFS(RawData[Item], B3154,RawData[Quantity],C3154,RawData[Price Per Unit],D3154,RawData[Total Spent],E3154,RawData[Payment Method],F3154,RawData[Location],G3154,RawData[Transaction Date],H3154)</f>
        <v>1</v>
      </c>
      <c r="L3154"/>
    </row>
    <row r="3155" spans="1:12" x14ac:dyDescent="0.3">
      <c r="A3155" t="s">
        <v>3161</v>
      </c>
      <c r="B3155" t="s">
        <v>10017</v>
      </c>
      <c r="C3155">
        <v>2</v>
      </c>
      <c r="D3155">
        <v>1.5</v>
      </c>
      <c r="E3155">
        <v>3</v>
      </c>
      <c r="F3155" t="s">
        <v>10018</v>
      </c>
      <c r="G3155" t="s">
        <v>10021</v>
      </c>
      <c r="H3155" s="6">
        <v>45168</v>
      </c>
      <c r="I3155">
        <f t="shared" si="98"/>
        <v>0</v>
      </c>
      <c r="J3155" t="str">
        <f t="shared" si="99"/>
        <v>Complete</v>
      </c>
      <c r="K3155">
        <f>COUNTIFS(RawData[Item], B3155,RawData[Quantity],C3155,RawData[Price Per Unit],D3155,RawData[Total Spent],E3155,RawData[Payment Method],F3155,RawData[Location],G3155,RawData[Transaction Date],H3155)</f>
        <v>1</v>
      </c>
      <c r="L3155"/>
    </row>
    <row r="3156" spans="1:12" x14ac:dyDescent="0.3">
      <c r="A3156" t="s">
        <v>3162</v>
      </c>
      <c r="B3156" t="s">
        <v>10017</v>
      </c>
      <c r="C3156">
        <v>3</v>
      </c>
      <c r="D3156">
        <v>1.5</v>
      </c>
      <c r="E3156">
        <v>4.5</v>
      </c>
      <c r="F3156" t="s">
        <v>10069</v>
      </c>
      <c r="G3156" t="s">
        <v>10102</v>
      </c>
      <c r="H3156" s="6">
        <v>45115</v>
      </c>
      <c r="I3156">
        <f t="shared" si="98"/>
        <v>0</v>
      </c>
      <c r="J3156" t="str">
        <f t="shared" si="99"/>
        <v>Complete</v>
      </c>
      <c r="K3156">
        <f>COUNTIFS(RawData[Item], B3156,RawData[Quantity],C3156,RawData[Price Per Unit],D3156,RawData[Total Spent],E3156,RawData[Payment Method],F3156,RawData[Location],G3156,RawData[Transaction Date],H3156)</f>
        <v>1</v>
      </c>
      <c r="L3156"/>
    </row>
    <row r="3157" spans="1:12" x14ac:dyDescent="0.3">
      <c r="A3157" t="s">
        <v>3163</v>
      </c>
      <c r="B3157" t="s">
        <v>10014</v>
      </c>
      <c r="C3157">
        <v>2</v>
      </c>
      <c r="D3157">
        <v>4</v>
      </c>
      <c r="E3157">
        <v>8</v>
      </c>
      <c r="F3157" t="s">
        <v>10019</v>
      </c>
      <c r="G3157" t="s">
        <v>10102</v>
      </c>
      <c r="H3157" s="6">
        <v>45146</v>
      </c>
      <c r="I3157">
        <f t="shared" si="98"/>
        <v>0</v>
      </c>
      <c r="J3157" t="str">
        <f t="shared" si="99"/>
        <v>Complete</v>
      </c>
      <c r="K3157">
        <f>COUNTIFS(RawData[Item], B3157,RawData[Quantity],C3157,RawData[Price Per Unit],D3157,RawData[Total Spent],E3157,RawData[Payment Method],F3157,RawData[Location],G3157,RawData[Transaction Date],H3157)</f>
        <v>1</v>
      </c>
      <c r="L3157"/>
    </row>
    <row r="3158" spans="1:12" x14ac:dyDescent="0.3">
      <c r="A3158" t="s">
        <v>3164</v>
      </c>
      <c r="B3158" t="s">
        <v>10016</v>
      </c>
      <c r="C3158">
        <v>5</v>
      </c>
      <c r="D3158">
        <v>3</v>
      </c>
      <c r="E3158">
        <v>15</v>
      </c>
      <c r="F3158" t="s">
        <v>10018</v>
      </c>
      <c r="G3158" t="s">
        <v>10021</v>
      </c>
      <c r="H3158" s="6">
        <v>45105</v>
      </c>
      <c r="I3158">
        <f t="shared" si="98"/>
        <v>0</v>
      </c>
      <c r="J3158" t="str">
        <f t="shared" si="99"/>
        <v>Complete</v>
      </c>
      <c r="K3158">
        <f>COUNTIFS(RawData[Item], B3158,RawData[Quantity],C3158,RawData[Price Per Unit],D3158,RawData[Total Spent],E3158,RawData[Payment Method],F3158,RawData[Location],G3158,RawData[Transaction Date],H3158)</f>
        <v>1</v>
      </c>
      <c r="L3158"/>
    </row>
    <row r="3159" spans="1:12" x14ac:dyDescent="0.3">
      <c r="A3159" t="s">
        <v>3165</v>
      </c>
      <c r="B3159" t="s">
        <v>10009</v>
      </c>
      <c r="C3159">
        <v>1</v>
      </c>
      <c r="D3159">
        <v>3</v>
      </c>
      <c r="E3159">
        <v>3</v>
      </c>
      <c r="F3159" t="s">
        <v>10019</v>
      </c>
      <c r="G3159" t="s">
        <v>10069</v>
      </c>
      <c r="H3159" s="6">
        <v>45253</v>
      </c>
      <c r="I3159">
        <f t="shared" si="98"/>
        <v>0</v>
      </c>
      <c r="J3159" t="str">
        <f t="shared" si="99"/>
        <v>Complete</v>
      </c>
      <c r="K3159">
        <f>COUNTIFS(RawData[Item], B3159,RawData[Quantity],C3159,RawData[Price Per Unit],D3159,RawData[Total Spent],E3159,RawData[Payment Method],F3159,RawData[Location],G3159,RawData[Transaction Date],H3159)</f>
        <v>1</v>
      </c>
      <c r="L3159"/>
    </row>
    <row r="3160" spans="1:12" x14ac:dyDescent="0.3">
      <c r="A3160" t="s">
        <v>3166</v>
      </c>
      <c r="B3160" t="s">
        <v>10016</v>
      </c>
      <c r="C3160">
        <v>1</v>
      </c>
      <c r="D3160">
        <v>3</v>
      </c>
      <c r="E3160">
        <v>3</v>
      </c>
      <c r="F3160" t="s">
        <v>10019</v>
      </c>
      <c r="G3160" t="s">
        <v>10021</v>
      </c>
      <c r="H3160" s="6">
        <v>45082</v>
      </c>
      <c r="I3160">
        <f t="shared" si="98"/>
        <v>0</v>
      </c>
      <c r="J3160" t="str">
        <f t="shared" si="99"/>
        <v>Complete</v>
      </c>
      <c r="K3160">
        <f>COUNTIFS(RawData[Item], B3160,RawData[Quantity],C3160,RawData[Price Per Unit],D3160,RawData[Total Spent],E3160,RawData[Payment Method],F3160,RawData[Location],G3160,RawData[Transaction Date],H3160)</f>
        <v>1</v>
      </c>
      <c r="L3160"/>
    </row>
    <row r="3161" spans="1:12" x14ac:dyDescent="0.3">
      <c r="A3161" t="s">
        <v>3167</v>
      </c>
      <c r="B3161" t="s">
        <v>10012</v>
      </c>
      <c r="C3161">
        <v>3</v>
      </c>
      <c r="D3161">
        <v>4</v>
      </c>
      <c r="E3161">
        <v>12</v>
      </c>
      <c r="F3161" t="s">
        <v>10018</v>
      </c>
      <c r="G3161" t="s">
        <v>10102</v>
      </c>
      <c r="H3161" s="6">
        <v>45187</v>
      </c>
      <c r="I3161">
        <f t="shared" si="98"/>
        <v>0</v>
      </c>
      <c r="J3161" t="str">
        <f t="shared" si="99"/>
        <v>Complete</v>
      </c>
      <c r="K3161">
        <f>COUNTIFS(RawData[Item], B3161,RawData[Quantity],C3161,RawData[Price Per Unit],D3161,RawData[Total Spent],E3161,RawData[Payment Method],F3161,RawData[Location],G3161,RawData[Transaction Date],H3161)</f>
        <v>2</v>
      </c>
      <c r="L3161"/>
    </row>
    <row r="3162" spans="1:12" x14ac:dyDescent="0.3">
      <c r="A3162" t="s">
        <v>3168</v>
      </c>
      <c r="B3162" t="s">
        <v>10010</v>
      </c>
      <c r="C3162">
        <v>1</v>
      </c>
      <c r="D3162">
        <v>1</v>
      </c>
      <c r="E3162">
        <v>1</v>
      </c>
      <c r="F3162" t="s">
        <v>10018</v>
      </c>
      <c r="G3162" t="s">
        <v>10102</v>
      </c>
      <c r="H3162" s="6">
        <v>45178</v>
      </c>
      <c r="I3162">
        <f t="shared" si="98"/>
        <v>0</v>
      </c>
      <c r="J3162" t="str">
        <f t="shared" si="99"/>
        <v>Complete</v>
      </c>
      <c r="K3162">
        <f>COUNTIFS(RawData[Item], B3162,RawData[Quantity],C3162,RawData[Price Per Unit],D3162,RawData[Total Spent],E3162,RawData[Payment Method],F3162,RawData[Location],G3162,RawData[Transaction Date],H3162)</f>
        <v>1</v>
      </c>
      <c r="L3162"/>
    </row>
    <row r="3163" spans="1:12" x14ac:dyDescent="0.3">
      <c r="A3163" t="s">
        <v>3169</v>
      </c>
      <c r="B3163" t="s">
        <v>10010</v>
      </c>
      <c r="C3163">
        <v>2</v>
      </c>
      <c r="D3163">
        <v>1</v>
      </c>
      <c r="E3163">
        <v>2</v>
      </c>
      <c r="F3163" t="s">
        <v>10020</v>
      </c>
      <c r="G3163" t="s">
        <v>10021</v>
      </c>
      <c r="H3163" s="6">
        <v>45047</v>
      </c>
      <c r="I3163">
        <f t="shared" si="98"/>
        <v>0</v>
      </c>
      <c r="J3163" t="str">
        <f t="shared" si="99"/>
        <v>Complete</v>
      </c>
      <c r="K3163">
        <f>COUNTIFS(RawData[Item], B3163,RawData[Quantity],C3163,RawData[Price Per Unit],D3163,RawData[Total Spent],E3163,RawData[Payment Method],F3163,RawData[Location],G3163,RawData[Transaction Date],H3163)</f>
        <v>1</v>
      </c>
      <c r="L3163"/>
    </row>
    <row r="3164" spans="1:12" x14ac:dyDescent="0.3">
      <c r="A3164" t="s">
        <v>3170</v>
      </c>
      <c r="B3164" t="s">
        <v>10009</v>
      </c>
      <c r="C3164">
        <v>3</v>
      </c>
      <c r="D3164">
        <v>0</v>
      </c>
      <c r="E3164" t="s">
        <v>10013</v>
      </c>
      <c r="F3164" t="s">
        <v>10104</v>
      </c>
      <c r="G3164" t="s">
        <v>10021</v>
      </c>
      <c r="H3164" s="6">
        <v>45041</v>
      </c>
      <c r="I3164">
        <f t="shared" si="98"/>
        <v>2</v>
      </c>
      <c r="J3164" t="str">
        <f t="shared" si="99"/>
        <v>Complete</v>
      </c>
      <c r="K3164">
        <f>COUNTIFS(RawData[Item], B3164,RawData[Quantity],C3164,RawData[Price Per Unit],D3164,RawData[Total Spent],E3164,RawData[Payment Method],F3164,RawData[Location],G3164,RawData[Transaction Date],H3164)</f>
        <v>1</v>
      </c>
      <c r="L3164"/>
    </row>
    <row r="3165" spans="1:12" x14ac:dyDescent="0.3">
      <c r="A3165" t="s">
        <v>3171</v>
      </c>
      <c r="B3165" t="s">
        <v>10009</v>
      </c>
      <c r="C3165">
        <v>5</v>
      </c>
      <c r="D3165">
        <v>3</v>
      </c>
      <c r="E3165">
        <v>15</v>
      </c>
      <c r="F3165" t="s">
        <v>10020</v>
      </c>
      <c r="G3165" t="s">
        <v>10069</v>
      </c>
      <c r="H3165" s="6">
        <v>44978</v>
      </c>
      <c r="I3165">
        <f t="shared" si="98"/>
        <v>0</v>
      </c>
      <c r="J3165" t="str">
        <f t="shared" si="99"/>
        <v>Complete</v>
      </c>
      <c r="K3165">
        <f>COUNTIFS(RawData[Item], B3165,RawData[Quantity],C3165,RawData[Price Per Unit],D3165,RawData[Total Spent],E3165,RawData[Payment Method],F3165,RawData[Location],G3165,RawData[Transaction Date],H3165)</f>
        <v>1</v>
      </c>
      <c r="L3165"/>
    </row>
    <row r="3166" spans="1:12" x14ac:dyDescent="0.3">
      <c r="A3166" t="s">
        <v>3172</v>
      </c>
      <c r="B3166" t="s">
        <v>10010</v>
      </c>
      <c r="C3166">
        <v>2</v>
      </c>
      <c r="D3166">
        <v>1</v>
      </c>
      <c r="E3166">
        <v>2</v>
      </c>
      <c r="F3166" t="s">
        <v>10019</v>
      </c>
      <c r="G3166" t="s">
        <v>10021</v>
      </c>
      <c r="H3166" s="6">
        <v>45024</v>
      </c>
      <c r="I3166">
        <f t="shared" si="98"/>
        <v>0</v>
      </c>
      <c r="J3166" t="str">
        <f t="shared" si="99"/>
        <v>Complete</v>
      </c>
      <c r="K3166">
        <f>COUNTIFS(RawData[Item], B3166,RawData[Quantity],C3166,RawData[Price Per Unit],D3166,RawData[Total Spent],E3166,RawData[Payment Method],F3166,RawData[Location],G3166,RawData[Transaction Date],H3166)</f>
        <v>1</v>
      </c>
      <c r="L3166"/>
    </row>
    <row r="3167" spans="1:12" x14ac:dyDescent="0.3">
      <c r="A3167" t="s">
        <v>3173</v>
      </c>
      <c r="B3167" t="s">
        <v>10010</v>
      </c>
      <c r="C3167">
        <v>5</v>
      </c>
      <c r="D3167">
        <v>1</v>
      </c>
      <c r="E3167">
        <v>5</v>
      </c>
      <c r="F3167" t="s">
        <v>10020</v>
      </c>
      <c r="G3167" t="s">
        <v>10104</v>
      </c>
      <c r="H3167" s="6">
        <v>45224</v>
      </c>
      <c r="I3167">
        <f t="shared" si="98"/>
        <v>1</v>
      </c>
      <c r="J3167" t="str">
        <f t="shared" si="99"/>
        <v>Complete</v>
      </c>
      <c r="K3167">
        <f>COUNTIFS(RawData[Item], B3167,RawData[Quantity],C3167,RawData[Price Per Unit],D3167,RawData[Total Spent],E3167,RawData[Payment Method],F3167,RawData[Location],G3167,RawData[Transaction Date],H3167)</f>
        <v>1</v>
      </c>
      <c r="L3167"/>
    </row>
    <row r="3168" spans="1:12" x14ac:dyDescent="0.3">
      <c r="A3168" t="s">
        <v>3174</v>
      </c>
      <c r="B3168" t="s">
        <v>10009</v>
      </c>
      <c r="C3168">
        <v>4</v>
      </c>
      <c r="D3168">
        <v>3</v>
      </c>
      <c r="E3168">
        <v>12</v>
      </c>
      <c r="F3168" t="s">
        <v>10019</v>
      </c>
      <c r="G3168" t="s">
        <v>10021</v>
      </c>
      <c r="H3168" s="6">
        <v>45001</v>
      </c>
      <c r="I3168">
        <f t="shared" si="98"/>
        <v>0</v>
      </c>
      <c r="J3168" t="str">
        <f t="shared" si="99"/>
        <v>Complete</v>
      </c>
      <c r="K3168">
        <f>COUNTIFS(RawData[Item], B3168,RawData[Quantity],C3168,RawData[Price Per Unit],D3168,RawData[Total Spent],E3168,RawData[Payment Method],F3168,RawData[Location],G3168,RawData[Transaction Date],H3168)</f>
        <v>1</v>
      </c>
      <c r="L3168"/>
    </row>
    <row r="3169" spans="1:12" x14ac:dyDescent="0.3">
      <c r="A3169" t="s">
        <v>3175</v>
      </c>
      <c r="B3169" t="s">
        <v>10015</v>
      </c>
      <c r="C3169">
        <v>3</v>
      </c>
      <c r="D3169">
        <v>1</v>
      </c>
      <c r="E3169">
        <v>3</v>
      </c>
      <c r="F3169" t="s">
        <v>10020</v>
      </c>
      <c r="G3169" t="s">
        <v>10021</v>
      </c>
      <c r="H3169" s="6">
        <v>45175</v>
      </c>
      <c r="I3169">
        <f t="shared" si="98"/>
        <v>1</v>
      </c>
      <c r="J3169" t="str">
        <f t="shared" si="99"/>
        <v>Complete</v>
      </c>
      <c r="K3169">
        <f>COUNTIFS(RawData[Item], B3169,RawData[Quantity],C3169,RawData[Price Per Unit],D3169,RawData[Total Spent],E3169,RawData[Payment Method],F3169,RawData[Location],G3169,RawData[Transaction Date],H3169)</f>
        <v>1</v>
      </c>
      <c r="L3169"/>
    </row>
    <row r="3170" spans="1:12" x14ac:dyDescent="0.3">
      <c r="A3170" t="s">
        <v>3176</v>
      </c>
      <c r="B3170" t="s">
        <v>10012</v>
      </c>
      <c r="C3170">
        <v>5</v>
      </c>
      <c r="D3170">
        <v>4</v>
      </c>
      <c r="E3170">
        <v>20</v>
      </c>
      <c r="F3170" t="s">
        <v>10020</v>
      </c>
      <c r="G3170" t="s">
        <v>10021</v>
      </c>
      <c r="H3170" s="6">
        <v>44964</v>
      </c>
      <c r="I3170">
        <f t="shared" si="98"/>
        <v>0</v>
      </c>
      <c r="J3170" t="str">
        <f t="shared" si="99"/>
        <v>Complete</v>
      </c>
      <c r="K3170">
        <f>COUNTIFS(RawData[Item], B3170,RawData[Quantity],C3170,RawData[Price Per Unit],D3170,RawData[Total Spent],E3170,RawData[Payment Method],F3170,RawData[Location],G3170,RawData[Transaction Date],H3170)</f>
        <v>1</v>
      </c>
      <c r="L3170"/>
    </row>
    <row r="3171" spans="1:12" x14ac:dyDescent="0.3">
      <c r="A3171" t="s">
        <v>3177</v>
      </c>
      <c r="B3171" t="s">
        <v>10011</v>
      </c>
      <c r="C3171">
        <v>3</v>
      </c>
      <c r="D3171">
        <v>5</v>
      </c>
      <c r="E3171">
        <v>15</v>
      </c>
      <c r="F3171" t="s">
        <v>10069</v>
      </c>
      <c r="G3171" t="s">
        <v>10021</v>
      </c>
      <c r="H3171" s="6">
        <v>45215</v>
      </c>
      <c r="I3171">
        <f t="shared" si="98"/>
        <v>0</v>
      </c>
      <c r="J3171" t="str">
        <f t="shared" si="99"/>
        <v>Complete</v>
      </c>
      <c r="K3171">
        <f>COUNTIFS(RawData[Item], B3171,RawData[Quantity],C3171,RawData[Price Per Unit],D3171,RawData[Total Spent],E3171,RawData[Payment Method],F3171,RawData[Location],G3171,RawData[Transaction Date],H3171)</f>
        <v>1</v>
      </c>
      <c r="L3171"/>
    </row>
    <row r="3172" spans="1:12" x14ac:dyDescent="0.3">
      <c r="A3172" t="s">
        <v>3178</v>
      </c>
      <c r="B3172" t="s">
        <v>10017</v>
      </c>
      <c r="C3172">
        <v>2</v>
      </c>
      <c r="D3172" t="s">
        <v>10013</v>
      </c>
      <c r="E3172">
        <v>3</v>
      </c>
      <c r="F3172" t="s">
        <v>10018</v>
      </c>
      <c r="G3172" t="s">
        <v>10021</v>
      </c>
      <c r="H3172" s="6">
        <v>45232</v>
      </c>
      <c r="I3172">
        <f t="shared" si="98"/>
        <v>1</v>
      </c>
      <c r="J3172" t="str">
        <f t="shared" si="99"/>
        <v>Complete</v>
      </c>
      <c r="K3172">
        <f>COUNTIFS(RawData[Item], B3172,RawData[Quantity],C3172,RawData[Price Per Unit],D3172,RawData[Total Spent],E3172,RawData[Payment Method],F3172,RawData[Location],G3172,RawData[Transaction Date],H3172)</f>
        <v>1</v>
      </c>
      <c r="L3172"/>
    </row>
    <row r="3173" spans="1:12" x14ac:dyDescent="0.3">
      <c r="A3173" t="s">
        <v>3179</v>
      </c>
      <c r="B3173" t="s">
        <v>10012</v>
      </c>
      <c r="C3173">
        <v>3</v>
      </c>
      <c r="D3173">
        <v>4</v>
      </c>
      <c r="E3173">
        <v>12</v>
      </c>
      <c r="F3173" t="s">
        <v>10019</v>
      </c>
      <c r="G3173" t="s">
        <v>10102</v>
      </c>
      <c r="H3173" s="6">
        <v>44932</v>
      </c>
      <c r="I3173">
        <f t="shared" si="98"/>
        <v>0</v>
      </c>
      <c r="J3173" t="str">
        <f t="shared" si="99"/>
        <v>Complete</v>
      </c>
      <c r="K3173">
        <f>COUNTIFS(RawData[Item], B3173,RawData[Quantity],C3173,RawData[Price Per Unit],D3173,RawData[Total Spent],E3173,RawData[Payment Method],F3173,RawData[Location],G3173,RawData[Transaction Date],H3173)</f>
        <v>1</v>
      </c>
      <c r="L3173"/>
    </row>
    <row r="3174" spans="1:12" x14ac:dyDescent="0.3">
      <c r="A3174" t="s">
        <v>3180</v>
      </c>
      <c r="B3174" t="s">
        <v>10069</v>
      </c>
      <c r="C3174">
        <v>1</v>
      </c>
      <c r="D3174">
        <v>3</v>
      </c>
      <c r="E3174">
        <v>3</v>
      </c>
      <c r="F3174" t="s">
        <v>10069</v>
      </c>
      <c r="G3174" t="s">
        <v>10069</v>
      </c>
      <c r="H3174" s="6">
        <v>45041</v>
      </c>
      <c r="I3174">
        <f t="shared" si="98"/>
        <v>0</v>
      </c>
      <c r="J3174" t="str">
        <f t="shared" si="99"/>
        <v>Complete</v>
      </c>
      <c r="K3174">
        <f>COUNTIFS(RawData[Item], B3174,RawData[Quantity],C3174,RawData[Price Per Unit],D3174,RawData[Total Spent],E3174,RawData[Payment Method],F3174,RawData[Location],G3174,RawData[Transaction Date],H3174)</f>
        <v>1</v>
      </c>
      <c r="L3174"/>
    </row>
    <row r="3175" spans="1:12" x14ac:dyDescent="0.3">
      <c r="A3175" t="s">
        <v>3181</v>
      </c>
      <c r="B3175" t="s">
        <v>10014</v>
      </c>
      <c r="C3175">
        <v>3</v>
      </c>
      <c r="D3175">
        <v>4</v>
      </c>
      <c r="E3175">
        <v>12</v>
      </c>
      <c r="F3175" t="s">
        <v>10018</v>
      </c>
      <c r="G3175" t="s">
        <v>10102</v>
      </c>
      <c r="H3175" s="6">
        <v>44982</v>
      </c>
      <c r="I3175">
        <f t="shared" si="98"/>
        <v>0</v>
      </c>
      <c r="J3175" t="str">
        <f t="shared" si="99"/>
        <v>Complete</v>
      </c>
      <c r="K3175">
        <f>COUNTIFS(RawData[Item], B3175,RawData[Quantity],C3175,RawData[Price Per Unit],D3175,RawData[Total Spent],E3175,RawData[Payment Method],F3175,RawData[Location],G3175,RawData[Transaction Date],H3175)</f>
        <v>1</v>
      </c>
      <c r="L3175"/>
    </row>
    <row r="3176" spans="1:12" x14ac:dyDescent="0.3">
      <c r="A3176" t="s">
        <v>3182</v>
      </c>
      <c r="B3176" t="s">
        <v>10010</v>
      </c>
      <c r="C3176">
        <v>3</v>
      </c>
      <c r="D3176">
        <v>1</v>
      </c>
      <c r="E3176" t="s">
        <v>10013</v>
      </c>
      <c r="F3176" t="s">
        <v>10019</v>
      </c>
      <c r="G3176" t="s">
        <v>10069</v>
      </c>
      <c r="H3176" s="6">
        <v>45197</v>
      </c>
      <c r="I3176">
        <f t="shared" si="98"/>
        <v>1</v>
      </c>
      <c r="J3176" t="str">
        <f t="shared" si="99"/>
        <v>Complete</v>
      </c>
      <c r="K3176">
        <f>COUNTIFS(RawData[Item], B3176,RawData[Quantity],C3176,RawData[Price Per Unit],D3176,RawData[Total Spent],E3176,RawData[Payment Method],F3176,RawData[Location],G3176,RawData[Transaction Date],H3176)</f>
        <v>1</v>
      </c>
      <c r="L3176"/>
    </row>
    <row r="3177" spans="1:12" x14ac:dyDescent="0.3">
      <c r="A3177" t="s">
        <v>3183</v>
      </c>
      <c r="B3177" t="s">
        <v>10015</v>
      </c>
      <c r="C3177">
        <v>4</v>
      </c>
      <c r="D3177">
        <v>3</v>
      </c>
      <c r="E3177">
        <v>12</v>
      </c>
      <c r="F3177" t="s">
        <v>10019</v>
      </c>
      <c r="G3177" t="s">
        <v>10102</v>
      </c>
      <c r="H3177" s="6">
        <v>45128</v>
      </c>
      <c r="I3177">
        <f t="shared" si="98"/>
        <v>1</v>
      </c>
      <c r="J3177" t="str">
        <f t="shared" si="99"/>
        <v>Complete</v>
      </c>
      <c r="K3177">
        <f>COUNTIFS(RawData[Item], B3177,RawData[Quantity],C3177,RawData[Price Per Unit],D3177,RawData[Total Spent],E3177,RawData[Payment Method],F3177,RawData[Location],G3177,RawData[Transaction Date],H3177)</f>
        <v>1</v>
      </c>
      <c r="L3177"/>
    </row>
    <row r="3178" spans="1:12" x14ac:dyDescent="0.3">
      <c r="A3178" t="s">
        <v>3184</v>
      </c>
      <c r="B3178" t="s">
        <v>10009</v>
      </c>
      <c r="C3178">
        <v>4</v>
      </c>
      <c r="D3178">
        <v>3</v>
      </c>
      <c r="E3178">
        <v>12</v>
      </c>
      <c r="F3178" t="s">
        <v>10020</v>
      </c>
      <c r="G3178" t="s">
        <v>10021</v>
      </c>
      <c r="H3178" s="6">
        <v>45238</v>
      </c>
      <c r="I3178">
        <f t="shared" si="98"/>
        <v>0</v>
      </c>
      <c r="J3178" t="str">
        <f t="shared" si="99"/>
        <v>Complete</v>
      </c>
      <c r="K3178">
        <f>COUNTIFS(RawData[Item], B3178,RawData[Quantity],C3178,RawData[Price Per Unit],D3178,RawData[Total Spent],E3178,RawData[Payment Method],F3178,RawData[Location],G3178,RawData[Transaction Date],H3178)</f>
        <v>1</v>
      </c>
      <c r="L3178"/>
    </row>
    <row r="3179" spans="1:12" x14ac:dyDescent="0.3">
      <c r="A3179" t="s">
        <v>3185</v>
      </c>
      <c r="B3179" t="s">
        <v>10017</v>
      </c>
      <c r="C3179">
        <v>2</v>
      </c>
      <c r="D3179">
        <v>1.5</v>
      </c>
      <c r="E3179">
        <v>3</v>
      </c>
      <c r="F3179" t="s">
        <v>10020</v>
      </c>
      <c r="G3179" t="s">
        <v>10069</v>
      </c>
      <c r="H3179" s="6">
        <v>44977</v>
      </c>
      <c r="I3179">
        <f t="shared" si="98"/>
        <v>0</v>
      </c>
      <c r="J3179" t="str">
        <f t="shared" si="99"/>
        <v>Complete</v>
      </c>
      <c r="K3179">
        <f>COUNTIFS(RawData[Item], B3179,RawData[Quantity],C3179,RawData[Price Per Unit],D3179,RawData[Total Spent],E3179,RawData[Payment Method],F3179,RawData[Location],G3179,RawData[Transaction Date],H3179)</f>
        <v>1</v>
      </c>
      <c r="L3179"/>
    </row>
    <row r="3180" spans="1:12" x14ac:dyDescent="0.3">
      <c r="A3180" t="s">
        <v>3186</v>
      </c>
      <c r="B3180" t="s">
        <v>10009</v>
      </c>
      <c r="C3180">
        <v>1</v>
      </c>
      <c r="D3180">
        <v>3</v>
      </c>
      <c r="E3180">
        <v>3</v>
      </c>
      <c r="F3180" t="s">
        <v>10018</v>
      </c>
      <c r="G3180" t="s">
        <v>10021</v>
      </c>
      <c r="H3180" s="6">
        <v>45174</v>
      </c>
      <c r="I3180">
        <f t="shared" si="98"/>
        <v>0</v>
      </c>
      <c r="J3180" t="str">
        <f t="shared" si="99"/>
        <v>Complete</v>
      </c>
      <c r="K3180">
        <f>COUNTIFS(RawData[Item], B3180,RawData[Quantity],C3180,RawData[Price Per Unit],D3180,RawData[Total Spent],E3180,RawData[Payment Method],F3180,RawData[Location],G3180,RawData[Transaction Date],H3180)</f>
        <v>1</v>
      </c>
      <c r="L3180"/>
    </row>
    <row r="3181" spans="1:12" x14ac:dyDescent="0.3">
      <c r="A3181" t="s">
        <v>3187</v>
      </c>
      <c r="B3181" t="s">
        <v>10017</v>
      </c>
      <c r="C3181">
        <v>5</v>
      </c>
      <c r="D3181">
        <v>1.5</v>
      </c>
      <c r="E3181">
        <v>7.5</v>
      </c>
      <c r="F3181" t="s">
        <v>10018</v>
      </c>
      <c r="G3181" t="s">
        <v>10069</v>
      </c>
      <c r="H3181" s="6">
        <v>45265</v>
      </c>
      <c r="I3181">
        <f t="shared" si="98"/>
        <v>0</v>
      </c>
      <c r="J3181" t="str">
        <f t="shared" si="99"/>
        <v>Complete</v>
      </c>
      <c r="K3181">
        <f>COUNTIFS(RawData[Item], B3181,RawData[Quantity],C3181,RawData[Price Per Unit],D3181,RawData[Total Spent],E3181,RawData[Payment Method],F3181,RawData[Location],G3181,RawData[Transaction Date],H3181)</f>
        <v>1</v>
      </c>
      <c r="L3181"/>
    </row>
    <row r="3182" spans="1:12" x14ac:dyDescent="0.3">
      <c r="A3182" t="s">
        <v>3188</v>
      </c>
      <c r="B3182" t="s">
        <v>10011</v>
      </c>
      <c r="C3182">
        <v>5</v>
      </c>
      <c r="D3182">
        <v>5</v>
      </c>
      <c r="E3182">
        <v>25</v>
      </c>
      <c r="F3182" t="s">
        <v>10020</v>
      </c>
      <c r="G3182" t="s">
        <v>10102</v>
      </c>
      <c r="H3182" s="6">
        <v>45158</v>
      </c>
      <c r="I3182">
        <f t="shared" si="98"/>
        <v>0</v>
      </c>
      <c r="J3182" t="str">
        <f t="shared" si="99"/>
        <v>Complete</v>
      </c>
      <c r="K3182">
        <f>COUNTIFS(RawData[Item], B3182,RawData[Quantity],C3182,RawData[Price Per Unit],D3182,RawData[Total Spent],E3182,RawData[Payment Method],F3182,RawData[Location],G3182,RawData[Transaction Date],H3182)</f>
        <v>1</v>
      </c>
      <c r="L3182"/>
    </row>
    <row r="3183" spans="1:12" x14ac:dyDescent="0.3">
      <c r="A3183" t="s">
        <v>3189</v>
      </c>
      <c r="B3183" t="s">
        <v>10012</v>
      </c>
      <c r="C3183">
        <v>3</v>
      </c>
      <c r="D3183">
        <v>4</v>
      </c>
      <c r="E3183">
        <v>12</v>
      </c>
      <c r="F3183" t="s">
        <v>10069</v>
      </c>
      <c r="G3183" t="s">
        <v>10021</v>
      </c>
      <c r="H3183" s="6">
        <v>45209</v>
      </c>
      <c r="I3183">
        <f t="shared" si="98"/>
        <v>0</v>
      </c>
      <c r="J3183" t="str">
        <f t="shared" si="99"/>
        <v>Complete</v>
      </c>
      <c r="K3183">
        <f>COUNTIFS(RawData[Item], B3183,RawData[Quantity],C3183,RawData[Price Per Unit],D3183,RawData[Total Spent],E3183,RawData[Payment Method],F3183,RawData[Location],G3183,RawData[Transaction Date],H3183)</f>
        <v>1</v>
      </c>
      <c r="L3183"/>
    </row>
    <row r="3184" spans="1:12" x14ac:dyDescent="0.3">
      <c r="A3184" t="s">
        <v>3190</v>
      </c>
      <c r="B3184" t="s">
        <v>10017</v>
      </c>
      <c r="C3184" t="s">
        <v>10013</v>
      </c>
      <c r="D3184">
        <v>1.5</v>
      </c>
      <c r="E3184">
        <v>4.5</v>
      </c>
      <c r="F3184" t="s">
        <v>10069</v>
      </c>
      <c r="G3184" t="s">
        <v>10069</v>
      </c>
      <c r="H3184" s="6">
        <v>45117</v>
      </c>
      <c r="I3184">
        <f t="shared" si="98"/>
        <v>1</v>
      </c>
      <c r="J3184" t="str">
        <f t="shared" si="99"/>
        <v>Complete</v>
      </c>
      <c r="K3184">
        <f>COUNTIFS(RawData[Item], B3184,RawData[Quantity],C3184,RawData[Price Per Unit],D3184,RawData[Total Spent],E3184,RawData[Payment Method],F3184,RawData[Location],G3184,RawData[Transaction Date],H3184)</f>
        <v>1</v>
      </c>
      <c r="L3184"/>
    </row>
    <row r="3185" spans="1:12" x14ac:dyDescent="0.3">
      <c r="A3185" t="s">
        <v>3191</v>
      </c>
      <c r="B3185" t="s">
        <v>10011</v>
      </c>
      <c r="C3185">
        <v>5</v>
      </c>
      <c r="D3185">
        <v>5</v>
      </c>
      <c r="E3185">
        <v>25</v>
      </c>
      <c r="F3185" t="s">
        <v>10019</v>
      </c>
      <c r="G3185" t="s">
        <v>10102</v>
      </c>
      <c r="H3185" s="6">
        <v>45034</v>
      </c>
      <c r="I3185">
        <f t="shared" si="98"/>
        <v>0</v>
      </c>
      <c r="J3185" t="str">
        <f t="shared" si="99"/>
        <v>Complete</v>
      </c>
      <c r="K3185">
        <f>COUNTIFS(RawData[Item], B3185,RawData[Quantity],C3185,RawData[Price Per Unit],D3185,RawData[Total Spent],E3185,RawData[Payment Method],F3185,RawData[Location],G3185,RawData[Transaction Date],H3185)</f>
        <v>1</v>
      </c>
      <c r="L3185"/>
    </row>
    <row r="3186" spans="1:12" x14ac:dyDescent="0.3">
      <c r="A3186" t="s">
        <v>3192</v>
      </c>
      <c r="B3186" t="s">
        <v>10014</v>
      </c>
      <c r="C3186">
        <v>5</v>
      </c>
      <c r="D3186">
        <v>4</v>
      </c>
      <c r="E3186">
        <v>20</v>
      </c>
      <c r="F3186" t="s">
        <v>10020</v>
      </c>
      <c r="G3186" t="s">
        <v>10069</v>
      </c>
      <c r="H3186" s="6">
        <v>45056</v>
      </c>
      <c r="I3186">
        <f t="shared" si="98"/>
        <v>0</v>
      </c>
      <c r="J3186" t="str">
        <f t="shared" si="99"/>
        <v>Complete</v>
      </c>
      <c r="K3186">
        <f>COUNTIFS(RawData[Item], B3186,RawData[Quantity],C3186,RawData[Price Per Unit],D3186,RawData[Total Spent],E3186,RawData[Payment Method],F3186,RawData[Location],G3186,RawData[Transaction Date],H3186)</f>
        <v>1</v>
      </c>
      <c r="L3186"/>
    </row>
    <row r="3187" spans="1:12" x14ac:dyDescent="0.3">
      <c r="A3187" t="s">
        <v>3193</v>
      </c>
      <c r="B3187" t="s">
        <v>10016</v>
      </c>
      <c r="C3187">
        <v>3</v>
      </c>
      <c r="D3187">
        <v>3</v>
      </c>
      <c r="E3187" t="s">
        <v>10015</v>
      </c>
      <c r="F3187" t="s">
        <v>10020</v>
      </c>
      <c r="G3187" t="s">
        <v>10069</v>
      </c>
      <c r="H3187" s="6">
        <v>44949</v>
      </c>
      <c r="I3187">
        <f t="shared" si="98"/>
        <v>1</v>
      </c>
      <c r="J3187" t="str">
        <f t="shared" si="99"/>
        <v>Complete</v>
      </c>
      <c r="K3187">
        <f>COUNTIFS(RawData[Item], B3187,RawData[Quantity],C3187,RawData[Price Per Unit],D3187,RawData[Total Spent],E3187,RawData[Payment Method],F3187,RawData[Location],G3187,RawData[Transaction Date],H3187)</f>
        <v>1</v>
      </c>
      <c r="L3187"/>
    </row>
    <row r="3188" spans="1:12" x14ac:dyDescent="0.3">
      <c r="A3188" t="s">
        <v>3194</v>
      </c>
      <c r="B3188" t="s">
        <v>10016</v>
      </c>
      <c r="C3188">
        <v>0</v>
      </c>
      <c r="D3188">
        <v>3</v>
      </c>
      <c r="E3188">
        <v>6</v>
      </c>
      <c r="F3188" t="s">
        <v>10069</v>
      </c>
      <c r="G3188" t="s">
        <v>10102</v>
      </c>
      <c r="H3188" s="6">
        <v>45086</v>
      </c>
      <c r="I3188">
        <f t="shared" si="98"/>
        <v>0</v>
      </c>
      <c r="J3188" t="str">
        <f t="shared" si="99"/>
        <v>Complete</v>
      </c>
      <c r="K3188">
        <f>COUNTIFS(RawData[Item], B3188,RawData[Quantity],C3188,RawData[Price Per Unit],D3188,RawData[Total Spent],E3188,RawData[Payment Method],F3188,RawData[Location],G3188,RawData[Transaction Date],H3188)</f>
        <v>1</v>
      </c>
      <c r="L3188"/>
    </row>
    <row r="3189" spans="1:12" x14ac:dyDescent="0.3">
      <c r="A3189" t="s">
        <v>3195</v>
      </c>
      <c r="B3189" t="s">
        <v>10013</v>
      </c>
      <c r="C3189">
        <v>1</v>
      </c>
      <c r="D3189">
        <v>5</v>
      </c>
      <c r="E3189">
        <v>5</v>
      </c>
      <c r="F3189" t="s">
        <v>10020</v>
      </c>
      <c r="G3189" t="s">
        <v>10102</v>
      </c>
      <c r="H3189" s="6">
        <v>44937</v>
      </c>
      <c r="I3189">
        <f t="shared" si="98"/>
        <v>1</v>
      </c>
      <c r="J3189" t="str">
        <f t="shared" si="99"/>
        <v>Complete</v>
      </c>
      <c r="K3189">
        <f>COUNTIFS(RawData[Item], B3189,RawData[Quantity],C3189,RawData[Price Per Unit],D3189,RawData[Total Spent],E3189,RawData[Payment Method],F3189,RawData[Location],G3189,RawData[Transaction Date],H3189)</f>
        <v>1</v>
      </c>
      <c r="L3189"/>
    </row>
    <row r="3190" spans="1:12" x14ac:dyDescent="0.3">
      <c r="A3190" t="s">
        <v>3196</v>
      </c>
      <c r="B3190" t="s">
        <v>10012</v>
      </c>
      <c r="C3190">
        <v>3</v>
      </c>
      <c r="D3190">
        <v>4</v>
      </c>
      <c r="E3190">
        <v>12</v>
      </c>
      <c r="F3190" t="s">
        <v>10020</v>
      </c>
      <c r="G3190" t="s">
        <v>10102</v>
      </c>
      <c r="H3190" s="6">
        <v>44956</v>
      </c>
      <c r="I3190">
        <f t="shared" si="98"/>
        <v>0</v>
      </c>
      <c r="J3190" t="str">
        <f t="shared" si="99"/>
        <v>Complete</v>
      </c>
      <c r="K3190">
        <f>COUNTIFS(RawData[Item], B3190,RawData[Quantity],C3190,RawData[Price Per Unit],D3190,RawData[Total Spent],E3190,RawData[Payment Method],F3190,RawData[Location],G3190,RawData[Transaction Date],H3190)</f>
        <v>1</v>
      </c>
      <c r="L3190"/>
    </row>
    <row r="3191" spans="1:12" x14ac:dyDescent="0.3">
      <c r="A3191" t="s">
        <v>3197</v>
      </c>
      <c r="B3191" t="s">
        <v>10008</v>
      </c>
      <c r="C3191">
        <v>3</v>
      </c>
      <c r="D3191">
        <v>2</v>
      </c>
      <c r="E3191">
        <v>6</v>
      </c>
      <c r="F3191" t="s">
        <v>10018</v>
      </c>
      <c r="G3191" t="s">
        <v>10069</v>
      </c>
      <c r="H3191" s="6">
        <v>45122</v>
      </c>
      <c r="I3191">
        <f t="shared" si="98"/>
        <v>0</v>
      </c>
      <c r="J3191" t="str">
        <f t="shared" si="99"/>
        <v>Complete</v>
      </c>
      <c r="K3191">
        <f>COUNTIFS(RawData[Item], B3191,RawData[Quantity],C3191,RawData[Price Per Unit],D3191,RawData[Total Spent],E3191,RawData[Payment Method],F3191,RawData[Location],G3191,RawData[Transaction Date],H3191)</f>
        <v>1</v>
      </c>
      <c r="L3191"/>
    </row>
    <row r="3192" spans="1:12" x14ac:dyDescent="0.3">
      <c r="A3192" t="s">
        <v>3198</v>
      </c>
      <c r="B3192" t="s">
        <v>10011</v>
      </c>
      <c r="C3192">
        <v>3</v>
      </c>
      <c r="D3192">
        <v>5</v>
      </c>
      <c r="E3192">
        <v>15</v>
      </c>
      <c r="F3192" t="s">
        <v>10018</v>
      </c>
      <c r="G3192" t="s">
        <v>10069</v>
      </c>
      <c r="H3192" s="6">
        <v>45113</v>
      </c>
      <c r="I3192">
        <f t="shared" si="98"/>
        <v>0</v>
      </c>
      <c r="J3192" t="str">
        <f t="shared" si="99"/>
        <v>Complete</v>
      </c>
      <c r="K3192">
        <f>COUNTIFS(RawData[Item], B3192,RawData[Quantity],C3192,RawData[Price Per Unit],D3192,RawData[Total Spent],E3192,RawData[Payment Method],F3192,RawData[Location],G3192,RawData[Transaction Date],H3192)</f>
        <v>1</v>
      </c>
      <c r="L3192"/>
    </row>
    <row r="3193" spans="1:12" x14ac:dyDescent="0.3">
      <c r="A3193" t="s">
        <v>3199</v>
      </c>
      <c r="B3193" t="s">
        <v>10015</v>
      </c>
      <c r="C3193">
        <v>4</v>
      </c>
      <c r="D3193">
        <v>4</v>
      </c>
      <c r="E3193">
        <v>16</v>
      </c>
      <c r="F3193" t="s">
        <v>10020</v>
      </c>
      <c r="G3193" t="s">
        <v>10102</v>
      </c>
      <c r="H3193" s="6">
        <v>44962</v>
      </c>
      <c r="I3193">
        <f t="shared" si="98"/>
        <v>1</v>
      </c>
      <c r="J3193" t="str">
        <f t="shared" si="99"/>
        <v>Complete</v>
      </c>
      <c r="K3193">
        <f>COUNTIFS(RawData[Item], B3193,RawData[Quantity],C3193,RawData[Price Per Unit],D3193,RawData[Total Spent],E3193,RawData[Payment Method],F3193,RawData[Location],G3193,RawData[Transaction Date],H3193)</f>
        <v>1</v>
      </c>
      <c r="L3193"/>
    </row>
    <row r="3194" spans="1:12" x14ac:dyDescent="0.3">
      <c r="A3194" t="s">
        <v>3200</v>
      </c>
      <c r="B3194" t="s">
        <v>10017</v>
      </c>
      <c r="C3194">
        <v>5</v>
      </c>
      <c r="D3194">
        <v>1.5</v>
      </c>
      <c r="E3194">
        <v>7.5</v>
      </c>
      <c r="F3194" t="s">
        <v>10020</v>
      </c>
      <c r="G3194" t="s">
        <v>10102</v>
      </c>
      <c r="H3194" s="6">
        <v>45268</v>
      </c>
      <c r="I3194">
        <f t="shared" si="98"/>
        <v>0</v>
      </c>
      <c r="J3194" t="str">
        <f t="shared" si="99"/>
        <v>Complete</v>
      </c>
      <c r="K3194">
        <f>COUNTIFS(RawData[Item], B3194,RawData[Quantity],C3194,RawData[Price Per Unit],D3194,RawData[Total Spent],E3194,RawData[Payment Method],F3194,RawData[Location],G3194,RawData[Transaction Date],H3194)</f>
        <v>1</v>
      </c>
      <c r="L3194"/>
    </row>
    <row r="3195" spans="1:12" x14ac:dyDescent="0.3">
      <c r="A3195" t="s">
        <v>3201</v>
      </c>
      <c r="B3195" t="s">
        <v>10012</v>
      </c>
      <c r="C3195">
        <v>1</v>
      </c>
      <c r="D3195">
        <v>4</v>
      </c>
      <c r="E3195" t="s">
        <v>10013</v>
      </c>
      <c r="F3195" t="s">
        <v>10020</v>
      </c>
      <c r="G3195" t="s">
        <v>10069</v>
      </c>
      <c r="H3195" s="6">
        <v>45070</v>
      </c>
      <c r="I3195">
        <f t="shared" si="98"/>
        <v>1</v>
      </c>
      <c r="J3195" t="str">
        <f t="shared" si="99"/>
        <v>Complete</v>
      </c>
      <c r="K3195">
        <f>COUNTIFS(RawData[Item], B3195,RawData[Quantity],C3195,RawData[Price Per Unit],D3195,RawData[Total Spent],E3195,RawData[Payment Method],F3195,RawData[Location],G3195,RawData[Transaction Date],H3195)</f>
        <v>1</v>
      </c>
      <c r="L3195"/>
    </row>
    <row r="3196" spans="1:12" x14ac:dyDescent="0.3">
      <c r="A3196" t="s">
        <v>3202</v>
      </c>
      <c r="B3196" t="s">
        <v>10017</v>
      </c>
      <c r="C3196">
        <v>2</v>
      </c>
      <c r="D3196">
        <v>1.5</v>
      </c>
      <c r="E3196">
        <v>3</v>
      </c>
      <c r="F3196" t="s">
        <v>10069</v>
      </c>
      <c r="G3196" t="s">
        <v>10021</v>
      </c>
      <c r="H3196" s="6">
        <v>45175</v>
      </c>
      <c r="I3196">
        <f t="shared" si="98"/>
        <v>0</v>
      </c>
      <c r="J3196" t="str">
        <f t="shared" si="99"/>
        <v>Complete</v>
      </c>
      <c r="K3196">
        <f>COUNTIFS(RawData[Item], B3196,RawData[Quantity],C3196,RawData[Price Per Unit],D3196,RawData[Total Spent],E3196,RawData[Payment Method],F3196,RawData[Location],G3196,RawData[Transaction Date],H3196)</f>
        <v>1</v>
      </c>
      <c r="L3196"/>
    </row>
    <row r="3197" spans="1:12" x14ac:dyDescent="0.3">
      <c r="A3197" t="s">
        <v>3203</v>
      </c>
      <c r="B3197" t="s">
        <v>10008</v>
      </c>
      <c r="C3197">
        <v>3</v>
      </c>
      <c r="D3197">
        <v>2</v>
      </c>
      <c r="E3197">
        <v>6</v>
      </c>
      <c r="F3197" t="s">
        <v>10018</v>
      </c>
      <c r="G3197" t="s">
        <v>10069</v>
      </c>
      <c r="H3197" s="6">
        <v>45048</v>
      </c>
      <c r="I3197">
        <f t="shared" si="98"/>
        <v>0</v>
      </c>
      <c r="J3197" t="str">
        <f t="shared" si="99"/>
        <v>Complete</v>
      </c>
      <c r="K3197">
        <f>COUNTIFS(RawData[Item], B3197,RawData[Quantity],C3197,RawData[Price Per Unit],D3197,RawData[Total Spent],E3197,RawData[Payment Method],F3197,RawData[Location],G3197,RawData[Transaction Date],H3197)</f>
        <v>1</v>
      </c>
      <c r="L3197"/>
    </row>
    <row r="3198" spans="1:12" x14ac:dyDescent="0.3">
      <c r="A3198" t="s">
        <v>3204</v>
      </c>
      <c r="B3198" t="s">
        <v>10011</v>
      </c>
      <c r="C3198">
        <v>2</v>
      </c>
      <c r="D3198">
        <v>5</v>
      </c>
      <c r="E3198">
        <v>10</v>
      </c>
      <c r="F3198" t="s">
        <v>10019</v>
      </c>
      <c r="G3198" t="s">
        <v>10021</v>
      </c>
      <c r="H3198" s="6">
        <v>45228</v>
      </c>
      <c r="I3198">
        <f t="shared" si="98"/>
        <v>0</v>
      </c>
      <c r="J3198" t="str">
        <f t="shared" si="99"/>
        <v>Complete</v>
      </c>
      <c r="K3198">
        <f>COUNTIFS(RawData[Item], B3198,RawData[Quantity],C3198,RawData[Price Per Unit],D3198,RawData[Total Spent],E3198,RawData[Payment Method],F3198,RawData[Location],G3198,RawData[Transaction Date],H3198)</f>
        <v>1</v>
      </c>
      <c r="L3198"/>
    </row>
    <row r="3199" spans="1:12" x14ac:dyDescent="0.3">
      <c r="A3199" t="s">
        <v>3205</v>
      </c>
      <c r="B3199" t="s">
        <v>10017</v>
      </c>
      <c r="C3199">
        <v>1</v>
      </c>
      <c r="D3199">
        <v>1.5</v>
      </c>
      <c r="E3199">
        <v>1.5</v>
      </c>
      <c r="F3199" t="s">
        <v>10018</v>
      </c>
      <c r="G3199" t="s">
        <v>10021</v>
      </c>
      <c r="H3199" s="6">
        <v>44955</v>
      </c>
      <c r="I3199">
        <f t="shared" si="98"/>
        <v>0</v>
      </c>
      <c r="J3199" t="str">
        <f t="shared" si="99"/>
        <v>Complete</v>
      </c>
      <c r="K3199">
        <f>COUNTIFS(RawData[Item], B3199,RawData[Quantity],C3199,RawData[Price Per Unit],D3199,RawData[Total Spent],E3199,RawData[Payment Method],F3199,RawData[Location],G3199,RawData[Transaction Date],H3199)</f>
        <v>1</v>
      </c>
      <c r="L3199"/>
    </row>
    <row r="3200" spans="1:12" x14ac:dyDescent="0.3">
      <c r="A3200" t="s">
        <v>3206</v>
      </c>
      <c r="B3200" t="s">
        <v>10017</v>
      </c>
      <c r="C3200">
        <v>4</v>
      </c>
      <c r="D3200">
        <v>1.5</v>
      </c>
      <c r="E3200">
        <v>6</v>
      </c>
      <c r="F3200" t="s">
        <v>10020</v>
      </c>
      <c r="G3200" t="s">
        <v>10021</v>
      </c>
      <c r="H3200" s="6" t="s">
        <v>10112</v>
      </c>
      <c r="I3200">
        <f t="shared" si="98"/>
        <v>1</v>
      </c>
      <c r="J3200" t="str">
        <f t="shared" si="99"/>
        <v>Incomplete</v>
      </c>
      <c r="K3200">
        <f>COUNTIFS(RawData[Item], B3200,RawData[Quantity],C3200,RawData[Price Per Unit],D3200,RawData[Total Spent],E3200,RawData[Payment Method],F3200,RawData[Location],G3200,RawData[Transaction Date],H3200)</f>
        <v>1</v>
      </c>
      <c r="L3200"/>
    </row>
    <row r="3201" spans="1:12" x14ac:dyDescent="0.3">
      <c r="A3201" t="s">
        <v>3207</v>
      </c>
      <c r="B3201" t="s">
        <v>10016</v>
      </c>
      <c r="C3201">
        <v>1</v>
      </c>
      <c r="D3201">
        <v>3</v>
      </c>
      <c r="E3201">
        <v>3</v>
      </c>
      <c r="F3201" t="s">
        <v>10020</v>
      </c>
      <c r="G3201" t="s">
        <v>10102</v>
      </c>
      <c r="H3201" s="6">
        <v>45063</v>
      </c>
      <c r="I3201">
        <f t="shared" si="98"/>
        <v>0</v>
      </c>
      <c r="J3201" t="str">
        <f t="shared" si="99"/>
        <v>Complete</v>
      </c>
      <c r="K3201">
        <f>COUNTIFS(RawData[Item], B3201,RawData[Quantity],C3201,RawData[Price Per Unit],D3201,RawData[Total Spent],E3201,RawData[Payment Method],F3201,RawData[Location],G3201,RawData[Transaction Date],H3201)</f>
        <v>1</v>
      </c>
      <c r="L3201"/>
    </row>
    <row r="3202" spans="1:12" x14ac:dyDescent="0.3">
      <c r="A3202" t="s">
        <v>3208</v>
      </c>
      <c r="B3202" t="s">
        <v>10013</v>
      </c>
      <c r="C3202">
        <v>5</v>
      </c>
      <c r="D3202">
        <v>4</v>
      </c>
      <c r="E3202">
        <v>20</v>
      </c>
      <c r="F3202" t="s">
        <v>10019</v>
      </c>
      <c r="G3202" t="s">
        <v>10069</v>
      </c>
      <c r="H3202" s="6">
        <v>45287</v>
      </c>
      <c r="I3202">
        <f t="shared" ref="I3202:I3265" si="100">(B3202="Unknown")+(B3202="Error")+(C3202="Unknown")+(C3202="Error")+(D3202="Unknown")+(D3202="Error")+(E3202="Unknown")+(E3202="Error")+(F3202="Unknown")+(F3202="Error")+(G3202="Unknown")+(G3202="Error")+(H3202="No Date")</f>
        <v>1</v>
      </c>
      <c r="J3202" t="str">
        <f t="shared" ref="J3202:J3265" si="101">IF((H3202="No Date"),"Incomplete","Complete")</f>
        <v>Complete</v>
      </c>
      <c r="K3202">
        <f>COUNTIFS(RawData[Item], B3202,RawData[Quantity],C3202,RawData[Price Per Unit],D3202,RawData[Total Spent],E3202,RawData[Payment Method],F3202,RawData[Location],G3202,RawData[Transaction Date],H3202)</f>
        <v>1</v>
      </c>
      <c r="L3202"/>
    </row>
    <row r="3203" spans="1:12" x14ac:dyDescent="0.3">
      <c r="A3203" t="s">
        <v>3209</v>
      </c>
      <c r="B3203" t="s">
        <v>10017</v>
      </c>
      <c r="C3203">
        <v>4</v>
      </c>
      <c r="D3203">
        <v>1.5</v>
      </c>
      <c r="E3203">
        <v>6</v>
      </c>
      <c r="F3203" t="s">
        <v>10018</v>
      </c>
      <c r="G3203" t="s">
        <v>10102</v>
      </c>
      <c r="H3203" s="6">
        <v>45049</v>
      </c>
      <c r="I3203">
        <f t="shared" si="100"/>
        <v>0</v>
      </c>
      <c r="J3203" t="str">
        <f t="shared" si="101"/>
        <v>Complete</v>
      </c>
      <c r="K3203">
        <f>COUNTIFS(RawData[Item], B3203,RawData[Quantity],C3203,RawData[Price Per Unit],D3203,RawData[Total Spent],E3203,RawData[Payment Method],F3203,RawData[Location],G3203,RawData[Transaction Date],H3203)</f>
        <v>2</v>
      </c>
      <c r="L3203"/>
    </row>
    <row r="3204" spans="1:12" x14ac:dyDescent="0.3">
      <c r="A3204" t="s">
        <v>3210</v>
      </c>
      <c r="B3204" t="s">
        <v>10009</v>
      </c>
      <c r="C3204">
        <v>5</v>
      </c>
      <c r="D3204">
        <v>3</v>
      </c>
      <c r="E3204">
        <v>15</v>
      </c>
      <c r="F3204" t="s">
        <v>10018</v>
      </c>
      <c r="G3204" t="s">
        <v>10021</v>
      </c>
      <c r="H3204" s="6">
        <v>45016</v>
      </c>
      <c r="I3204">
        <f t="shared" si="100"/>
        <v>0</v>
      </c>
      <c r="J3204" t="str">
        <f t="shared" si="101"/>
        <v>Complete</v>
      </c>
      <c r="K3204">
        <f>COUNTIFS(RawData[Item], B3204,RawData[Quantity],C3204,RawData[Price Per Unit],D3204,RawData[Total Spent],E3204,RawData[Payment Method],F3204,RawData[Location],G3204,RawData[Transaction Date],H3204)</f>
        <v>1</v>
      </c>
      <c r="L3204"/>
    </row>
    <row r="3205" spans="1:12" x14ac:dyDescent="0.3">
      <c r="A3205" t="s">
        <v>3211</v>
      </c>
      <c r="B3205" t="s">
        <v>10012</v>
      </c>
      <c r="C3205">
        <v>0</v>
      </c>
      <c r="D3205">
        <v>4</v>
      </c>
      <c r="E3205" t="s">
        <v>10015</v>
      </c>
      <c r="F3205" t="s">
        <v>10020</v>
      </c>
      <c r="G3205" t="s">
        <v>10021</v>
      </c>
      <c r="H3205" s="6">
        <v>45205</v>
      </c>
      <c r="I3205">
        <f t="shared" si="100"/>
        <v>1</v>
      </c>
      <c r="J3205" t="str">
        <f t="shared" si="101"/>
        <v>Complete</v>
      </c>
      <c r="K3205">
        <f>COUNTIFS(RawData[Item], B3205,RawData[Quantity],C3205,RawData[Price Per Unit],D3205,RawData[Total Spent],E3205,RawData[Payment Method],F3205,RawData[Location],G3205,RawData[Transaction Date],H3205)</f>
        <v>1</v>
      </c>
      <c r="L3205"/>
    </row>
    <row r="3206" spans="1:12" x14ac:dyDescent="0.3">
      <c r="A3206" t="s">
        <v>3212</v>
      </c>
      <c r="B3206" t="s">
        <v>10014</v>
      </c>
      <c r="C3206">
        <v>5</v>
      </c>
      <c r="D3206">
        <v>4</v>
      </c>
      <c r="E3206">
        <v>20</v>
      </c>
      <c r="F3206" t="s">
        <v>10020</v>
      </c>
      <c r="G3206" t="s">
        <v>10102</v>
      </c>
      <c r="H3206" s="6">
        <v>45003</v>
      </c>
      <c r="I3206">
        <f t="shared" si="100"/>
        <v>0</v>
      </c>
      <c r="J3206" t="str">
        <f t="shared" si="101"/>
        <v>Complete</v>
      </c>
      <c r="K3206">
        <f>COUNTIFS(RawData[Item], B3206,RawData[Quantity],C3206,RawData[Price Per Unit],D3206,RawData[Total Spent],E3206,RawData[Payment Method],F3206,RawData[Location],G3206,RawData[Transaction Date],H3206)</f>
        <v>1</v>
      </c>
      <c r="L3206"/>
    </row>
    <row r="3207" spans="1:12" x14ac:dyDescent="0.3">
      <c r="A3207" t="s">
        <v>3213</v>
      </c>
      <c r="B3207" t="s">
        <v>10016</v>
      </c>
      <c r="C3207">
        <v>4</v>
      </c>
      <c r="D3207">
        <v>3</v>
      </c>
      <c r="E3207">
        <v>12</v>
      </c>
      <c r="F3207" t="s">
        <v>10018</v>
      </c>
      <c r="G3207" t="s">
        <v>10021</v>
      </c>
      <c r="H3207" s="6">
        <v>45279</v>
      </c>
      <c r="I3207">
        <f t="shared" si="100"/>
        <v>0</v>
      </c>
      <c r="J3207" t="str">
        <f t="shared" si="101"/>
        <v>Complete</v>
      </c>
      <c r="K3207">
        <f>COUNTIFS(RawData[Item], B3207,RawData[Quantity],C3207,RawData[Price Per Unit],D3207,RawData[Total Spent],E3207,RawData[Payment Method],F3207,RawData[Location],G3207,RawData[Transaction Date],H3207)</f>
        <v>1</v>
      </c>
      <c r="L3207"/>
    </row>
    <row r="3208" spans="1:12" x14ac:dyDescent="0.3">
      <c r="A3208" t="s">
        <v>3214</v>
      </c>
      <c r="B3208" t="s">
        <v>10017</v>
      </c>
      <c r="C3208">
        <v>3</v>
      </c>
      <c r="D3208">
        <v>1.5</v>
      </c>
      <c r="E3208">
        <v>4.5</v>
      </c>
      <c r="F3208" t="s">
        <v>10019</v>
      </c>
      <c r="G3208" t="s">
        <v>10104</v>
      </c>
      <c r="H3208" s="6">
        <v>45287</v>
      </c>
      <c r="I3208">
        <f t="shared" si="100"/>
        <v>1</v>
      </c>
      <c r="J3208" t="str">
        <f t="shared" si="101"/>
        <v>Complete</v>
      </c>
      <c r="K3208">
        <f>COUNTIFS(RawData[Item], B3208,RawData[Quantity],C3208,RawData[Price Per Unit],D3208,RawData[Total Spent],E3208,RawData[Payment Method],F3208,RawData[Location],G3208,RawData[Transaction Date],H3208)</f>
        <v>1</v>
      </c>
      <c r="L3208"/>
    </row>
    <row r="3209" spans="1:12" x14ac:dyDescent="0.3">
      <c r="A3209" t="s">
        <v>3215</v>
      </c>
      <c r="B3209" t="s">
        <v>10008</v>
      </c>
      <c r="C3209">
        <v>4</v>
      </c>
      <c r="D3209">
        <v>2</v>
      </c>
      <c r="E3209">
        <v>8</v>
      </c>
      <c r="F3209" t="s">
        <v>10069</v>
      </c>
      <c r="G3209" t="s">
        <v>10102</v>
      </c>
      <c r="H3209" s="6">
        <v>44959</v>
      </c>
      <c r="I3209">
        <f t="shared" si="100"/>
        <v>0</v>
      </c>
      <c r="J3209" t="str">
        <f t="shared" si="101"/>
        <v>Complete</v>
      </c>
      <c r="K3209">
        <f>COUNTIFS(RawData[Item], B3209,RawData[Quantity],C3209,RawData[Price Per Unit],D3209,RawData[Total Spent],E3209,RawData[Payment Method],F3209,RawData[Location],G3209,RawData[Transaction Date],H3209)</f>
        <v>1</v>
      </c>
      <c r="L3209"/>
    </row>
    <row r="3210" spans="1:12" x14ac:dyDescent="0.3">
      <c r="A3210" t="s">
        <v>3216</v>
      </c>
      <c r="B3210" t="s">
        <v>10010</v>
      </c>
      <c r="C3210">
        <v>5</v>
      </c>
      <c r="D3210">
        <v>1</v>
      </c>
      <c r="E3210">
        <v>5</v>
      </c>
      <c r="F3210" t="s">
        <v>10020</v>
      </c>
      <c r="G3210" t="s">
        <v>10069</v>
      </c>
      <c r="H3210" s="6">
        <v>45059</v>
      </c>
      <c r="I3210">
        <f t="shared" si="100"/>
        <v>0</v>
      </c>
      <c r="J3210" t="str">
        <f t="shared" si="101"/>
        <v>Complete</v>
      </c>
      <c r="K3210">
        <f>COUNTIFS(RawData[Item], B3210,RawData[Quantity],C3210,RawData[Price Per Unit],D3210,RawData[Total Spent],E3210,RawData[Payment Method],F3210,RawData[Location],G3210,RawData[Transaction Date],H3210)</f>
        <v>1</v>
      </c>
      <c r="L3210"/>
    </row>
    <row r="3211" spans="1:12" x14ac:dyDescent="0.3">
      <c r="A3211" t="s">
        <v>3217</v>
      </c>
      <c r="B3211" t="s">
        <v>10009</v>
      </c>
      <c r="C3211">
        <v>0</v>
      </c>
      <c r="D3211">
        <v>3</v>
      </c>
      <c r="E3211">
        <v>15</v>
      </c>
      <c r="F3211" t="s">
        <v>10069</v>
      </c>
      <c r="G3211" t="s">
        <v>10021</v>
      </c>
      <c r="H3211" s="6">
        <v>45218</v>
      </c>
      <c r="I3211">
        <f t="shared" si="100"/>
        <v>0</v>
      </c>
      <c r="J3211" t="str">
        <f t="shared" si="101"/>
        <v>Complete</v>
      </c>
      <c r="K3211">
        <f>COUNTIFS(RawData[Item], B3211,RawData[Quantity],C3211,RawData[Price Per Unit],D3211,RawData[Total Spent],E3211,RawData[Payment Method],F3211,RawData[Location],G3211,RawData[Transaction Date],H3211)</f>
        <v>1</v>
      </c>
      <c r="L3211"/>
    </row>
    <row r="3212" spans="1:12" x14ac:dyDescent="0.3">
      <c r="A3212" t="s">
        <v>3218</v>
      </c>
      <c r="B3212" t="s">
        <v>10015</v>
      </c>
      <c r="C3212">
        <v>3</v>
      </c>
      <c r="D3212">
        <v>4</v>
      </c>
      <c r="E3212">
        <v>0</v>
      </c>
      <c r="F3212" t="s">
        <v>10069</v>
      </c>
      <c r="G3212" t="s">
        <v>10021</v>
      </c>
      <c r="H3212" s="6">
        <v>45178</v>
      </c>
      <c r="I3212">
        <f t="shared" si="100"/>
        <v>1</v>
      </c>
      <c r="J3212" t="str">
        <f t="shared" si="101"/>
        <v>Complete</v>
      </c>
      <c r="K3212">
        <f>COUNTIFS(RawData[Item], B3212,RawData[Quantity],C3212,RawData[Price Per Unit],D3212,RawData[Total Spent],E3212,RawData[Payment Method],F3212,RawData[Location],G3212,RawData[Transaction Date],H3212)</f>
        <v>1</v>
      </c>
      <c r="L3212"/>
    </row>
    <row r="3213" spans="1:12" x14ac:dyDescent="0.3">
      <c r="A3213" t="s">
        <v>3219</v>
      </c>
      <c r="B3213" t="s">
        <v>10012</v>
      </c>
      <c r="C3213">
        <v>1</v>
      </c>
      <c r="D3213">
        <v>4</v>
      </c>
      <c r="E3213">
        <v>4</v>
      </c>
      <c r="F3213" t="s">
        <v>10020</v>
      </c>
      <c r="G3213" t="s">
        <v>10102</v>
      </c>
      <c r="H3213" s="6">
        <v>45278</v>
      </c>
      <c r="I3213">
        <f t="shared" si="100"/>
        <v>0</v>
      </c>
      <c r="J3213" t="str">
        <f t="shared" si="101"/>
        <v>Complete</v>
      </c>
      <c r="K3213">
        <f>COUNTIFS(RawData[Item], B3213,RawData[Quantity],C3213,RawData[Price Per Unit],D3213,RawData[Total Spent],E3213,RawData[Payment Method],F3213,RawData[Location],G3213,RawData[Transaction Date],H3213)</f>
        <v>1</v>
      </c>
      <c r="L3213"/>
    </row>
    <row r="3214" spans="1:12" x14ac:dyDescent="0.3">
      <c r="A3214" t="s">
        <v>3220</v>
      </c>
      <c r="B3214" t="s">
        <v>10014</v>
      </c>
      <c r="C3214">
        <v>5</v>
      </c>
      <c r="D3214">
        <v>4</v>
      </c>
      <c r="E3214">
        <v>20</v>
      </c>
      <c r="F3214" t="s">
        <v>10020</v>
      </c>
      <c r="G3214" t="s">
        <v>10102</v>
      </c>
      <c r="H3214" s="6">
        <v>44983</v>
      </c>
      <c r="I3214">
        <f t="shared" si="100"/>
        <v>0</v>
      </c>
      <c r="J3214" t="str">
        <f t="shared" si="101"/>
        <v>Complete</v>
      </c>
      <c r="K3214">
        <f>COUNTIFS(RawData[Item], B3214,RawData[Quantity],C3214,RawData[Price Per Unit],D3214,RawData[Total Spent],E3214,RawData[Payment Method],F3214,RawData[Location],G3214,RawData[Transaction Date],H3214)</f>
        <v>1</v>
      </c>
      <c r="L3214"/>
    </row>
    <row r="3215" spans="1:12" x14ac:dyDescent="0.3">
      <c r="A3215" t="s">
        <v>3221</v>
      </c>
      <c r="B3215" t="s">
        <v>10009</v>
      </c>
      <c r="C3215">
        <v>5</v>
      </c>
      <c r="D3215">
        <v>3</v>
      </c>
      <c r="E3215">
        <v>15</v>
      </c>
      <c r="F3215" t="s">
        <v>10019</v>
      </c>
      <c r="G3215" t="s">
        <v>10102</v>
      </c>
      <c r="H3215" s="6">
        <v>45024</v>
      </c>
      <c r="I3215">
        <f t="shared" si="100"/>
        <v>0</v>
      </c>
      <c r="J3215" t="str">
        <f t="shared" si="101"/>
        <v>Complete</v>
      </c>
      <c r="K3215">
        <f>COUNTIFS(RawData[Item], B3215,RawData[Quantity],C3215,RawData[Price Per Unit],D3215,RawData[Total Spent],E3215,RawData[Payment Method],F3215,RawData[Location],G3215,RawData[Transaction Date],H3215)</f>
        <v>1</v>
      </c>
      <c r="L3215"/>
    </row>
    <row r="3216" spans="1:12" x14ac:dyDescent="0.3">
      <c r="A3216" t="s">
        <v>3222</v>
      </c>
      <c r="B3216" t="s">
        <v>10010</v>
      </c>
      <c r="C3216">
        <v>2</v>
      </c>
      <c r="D3216">
        <v>1</v>
      </c>
      <c r="E3216">
        <v>2</v>
      </c>
      <c r="F3216" t="s">
        <v>10018</v>
      </c>
      <c r="G3216" t="s">
        <v>10102</v>
      </c>
      <c r="H3216" s="6">
        <v>45037</v>
      </c>
      <c r="I3216">
        <f t="shared" si="100"/>
        <v>0</v>
      </c>
      <c r="J3216" t="str">
        <f t="shared" si="101"/>
        <v>Complete</v>
      </c>
      <c r="K3216">
        <f>COUNTIFS(RawData[Item], B3216,RawData[Quantity],C3216,RawData[Price Per Unit],D3216,RawData[Total Spent],E3216,RawData[Payment Method],F3216,RawData[Location],G3216,RawData[Transaction Date],H3216)</f>
        <v>1</v>
      </c>
      <c r="L3216"/>
    </row>
    <row r="3217" spans="1:12" x14ac:dyDescent="0.3">
      <c r="A3217" t="s">
        <v>3223</v>
      </c>
      <c r="B3217" t="s">
        <v>10016</v>
      </c>
      <c r="C3217">
        <v>4</v>
      </c>
      <c r="D3217">
        <v>3</v>
      </c>
      <c r="E3217">
        <v>12</v>
      </c>
      <c r="F3217" t="s">
        <v>10103</v>
      </c>
      <c r="G3217" t="s">
        <v>10102</v>
      </c>
      <c r="H3217" s="6">
        <v>45088</v>
      </c>
      <c r="I3217">
        <f t="shared" si="100"/>
        <v>1</v>
      </c>
      <c r="J3217" t="str">
        <f t="shared" si="101"/>
        <v>Complete</v>
      </c>
      <c r="K3217">
        <f>COUNTIFS(RawData[Item], B3217,RawData[Quantity],C3217,RawData[Price Per Unit],D3217,RawData[Total Spent],E3217,RawData[Payment Method],F3217,RawData[Location],G3217,RawData[Transaction Date],H3217)</f>
        <v>1</v>
      </c>
      <c r="L3217"/>
    </row>
    <row r="3218" spans="1:12" x14ac:dyDescent="0.3">
      <c r="A3218" t="s">
        <v>3224</v>
      </c>
      <c r="B3218" t="s">
        <v>10010</v>
      </c>
      <c r="C3218">
        <v>3</v>
      </c>
      <c r="D3218">
        <v>1</v>
      </c>
      <c r="E3218">
        <v>3</v>
      </c>
      <c r="F3218" t="s">
        <v>10019</v>
      </c>
      <c r="G3218" t="s">
        <v>10102</v>
      </c>
      <c r="H3218" s="6">
        <v>45139</v>
      </c>
      <c r="I3218">
        <f t="shared" si="100"/>
        <v>0</v>
      </c>
      <c r="J3218" t="str">
        <f t="shared" si="101"/>
        <v>Complete</v>
      </c>
      <c r="K3218">
        <f>COUNTIFS(RawData[Item], B3218,RawData[Quantity],C3218,RawData[Price Per Unit],D3218,RawData[Total Spent],E3218,RawData[Payment Method],F3218,RawData[Location],G3218,RawData[Transaction Date],H3218)</f>
        <v>1</v>
      </c>
      <c r="L3218"/>
    </row>
    <row r="3219" spans="1:12" x14ac:dyDescent="0.3">
      <c r="A3219" t="s">
        <v>3225</v>
      </c>
      <c r="B3219" t="s">
        <v>10014</v>
      </c>
      <c r="C3219">
        <v>5</v>
      </c>
      <c r="D3219">
        <v>4</v>
      </c>
      <c r="E3219">
        <v>20</v>
      </c>
      <c r="F3219" t="s">
        <v>10018</v>
      </c>
      <c r="G3219" t="s">
        <v>10104</v>
      </c>
      <c r="H3219" s="6">
        <v>45039</v>
      </c>
      <c r="I3219">
        <f t="shared" si="100"/>
        <v>1</v>
      </c>
      <c r="J3219" t="str">
        <f t="shared" si="101"/>
        <v>Complete</v>
      </c>
      <c r="K3219">
        <f>COUNTIFS(RawData[Item], B3219,RawData[Quantity],C3219,RawData[Price Per Unit],D3219,RawData[Total Spent],E3219,RawData[Payment Method],F3219,RawData[Location],G3219,RawData[Transaction Date],H3219)</f>
        <v>1</v>
      </c>
      <c r="L3219"/>
    </row>
    <row r="3220" spans="1:12" x14ac:dyDescent="0.3">
      <c r="A3220" t="s">
        <v>3226</v>
      </c>
      <c r="B3220" t="s">
        <v>10016</v>
      </c>
      <c r="C3220">
        <v>4</v>
      </c>
      <c r="D3220">
        <v>3</v>
      </c>
      <c r="E3220">
        <v>12</v>
      </c>
      <c r="F3220" t="s">
        <v>10018</v>
      </c>
      <c r="G3220" t="s">
        <v>10102</v>
      </c>
      <c r="H3220" s="6">
        <v>45169</v>
      </c>
      <c r="I3220">
        <f t="shared" si="100"/>
        <v>0</v>
      </c>
      <c r="J3220" t="str">
        <f t="shared" si="101"/>
        <v>Complete</v>
      </c>
      <c r="K3220">
        <f>COUNTIFS(RawData[Item], B3220,RawData[Quantity],C3220,RawData[Price Per Unit],D3220,RawData[Total Spent],E3220,RawData[Payment Method],F3220,RawData[Location],G3220,RawData[Transaction Date],H3220)</f>
        <v>1</v>
      </c>
      <c r="L3220"/>
    </row>
    <row r="3221" spans="1:12" x14ac:dyDescent="0.3">
      <c r="A3221" t="s">
        <v>3227</v>
      </c>
      <c r="B3221" t="s">
        <v>10011</v>
      </c>
      <c r="C3221">
        <v>4</v>
      </c>
      <c r="D3221">
        <v>5</v>
      </c>
      <c r="E3221" t="s">
        <v>10015</v>
      </c>
      <c r="F3221" t="s">
        <v>10069</v>
      </c>
      <c r="G3221" t="s">
        <v>10021</v>
      </c>
      <c r="H3221" s="6">
        <v>45111</v>
      </c>
      <c r="I3221">
        <f t="shared" si="100"/>
        <v>1</v>
      </c>
      <c r="J3221" t="str">
        <f t="shared" si="101"/>
        <v>Complete</v>
      </c>
      <c r="K3221">
        <f>COUNTIFS(RawData[Item], B3221,RawData[Quantity],C3221,RawData[Price Per Unit],D3221,RawData[Total Spent],E3221,RawData[Payment Method],F3221,RawData[Location],G3221,RawData[Transaction Date],H3221)</f>
        <v>1</v>
      </c>
      <c r="L3221"/>
    </row>
    <row r="3222" spans="1:12" x14ac:dyDescent="0.3">
      <c r="A3222" t="s">
        <v>3228</v>
      </c>
      <c r="B3222" t="s">
        <v>10008</v>
      </c>
      <c r="C3222">
        <v>1</v>
      </c>
      <c r="D3222">
        <v>2</v>
      </c>
      <c r="E3222">
        <v>2</v>
      </c>
      <c r="F3222" t="s">
        <v>10069</v>
      </c>
      <c r="G3222" t="s">
        <v>10069</v>
      </c>
      <c r="H3222" s="6" t="s">
        <v>10112</v>
      </c>
      <c r="I3222">
        <f t="shared" si="100"/>
        <v>1</v>
      </c>
      <c r="J3222" t="str">
        <f t="shared" si="101"/>
        <v>Incomplete</v>
      </c>
      <c r="K3222">
        <f>COUNTIFS(RawData[Item], B3222,RawData[Quantity],C3222,RawData[Price Per Unit],D3222,RawData[Total Spent],E3222,RawData[Payment Method],F3222,RawData[Location],G3222,RawData[Transaction Date],H3222)</f>
        <v>1</v>
      </c>
      <c r="L3222"/>
    </row>
    <row r="3223" spans="1:12" x14ac:dyDescent="0.3">
      <c r="A3223" t="s">
        <v>3229</v>
      </c>
      <c r="B3223" t="s">
        <v>10016</v>
      </c>
      <c r="C3223">
        <v>4</v>
      </c>
      <c r="D3223">
        <v>3</v>
      </c>
      <c r="E3223">
        <v>12</v>
      </c>
      <c r="F3223" t="s">
        <v>10020</v>
      </c>
      <c r="G3223" t="s">
        <v>10104</v>
      </c>
      <c r="H3223" s="6">
        <v>45026</v>
      </c>
      <c r="I3223">
        <f t="shared" si="100"/>
        <v>1</v>
      </c>
      <c r="J3223" t="str">
        <f t="shared" si="101"/>
        <v>Complete</v>
      </c>
      <c r="K3223">
        <f>COUNTIFS(RawData[Item], B3223,RawData[Quantity],C3223,RawData[Price Per Unit],D3223,RawData[Total Spent],E3223,RawData[Payment Method],F3223,RawData[Location],G3223,RawData[Transaction Date],H3223)</f>
        <v>1</v>
      </c>
      <c r="L3223"/>
    </row>
    <row r="3224" spans="1:12" x14ac:dyDescent="0.3">
      <c r="A3224" t="s">
        <v>3230</v>
      </c>
      <c r="B3224" t="s">
        <v>10008</v>
      </c>
      <c r="C3224">
        <v>2</v>
      </c>
      <c r="D3224">
        <v>2</v>
      </c>
      <c r="E3224">
        <v>4</v>
      </c>
      <c r="F3224" t="s">
        <v>10018</v>
      </c>
      <c r="G3224" t="s">
        <v>10069</v>
      </c>
      <c r="H3224" s="6">
        <v>45127</v>
      </c>
      <c r="I3224">
        <f t="shared" si="100"/>
        <v>0</v>
      </c>
      <c r="J3224" t="str">
        <f t="shared" si="101"/>
        <v>Complete</v>
      </c>
      <c r="K3224">
        <f>COUNTIFS(RawData[Item], B3224,RawData[Quantity],C3224,RawData[Price Per Unit],D3224,RawData[Total Spent],E3224,RawData[Payment Method],F3224,RawData[Location],G3224,RawData[Transaction Date],H3224)</f>
        <v>1</v>
      </c>
      <c r="L3224"/>
    </row>
    <row r="3225" spans="1:12" x14ac:dyDescent="0.3">
      <c r="A3225" t="s">
        <v>3231</v>
      </c>
      <c r="B3225" t="s">
        <v>10016</v>
      </c>
      <c r="C3225">
        <v>3</v>
      </c>
      <c r="D3225" t="s">
        <v>10013</v>
      </c>
      <c r="E3225">
        <v>9</v>
      </c>
      <c r="F3225" t="s">
        <v>10019</v>
      </c>
      <c r="G3225" t="s">
        <v>10021</v>
      </c>
      <c r="H3225" s="6">
        <v>44970</v>
      </c>
      <c r="I3225">
        <f t="shared" si="100"/>
        <v>1</v>
      </c>
      <c r="J3225" t="str">
        <f t="shared" si="101"/>
        <v>Complete</v>
      </c>
      <c r="K3225">
        <f>COUNTIFS(RawData[Item], B3225,RawData[Quantity],C3225,RawData[Price Per Unit],D3225,RawData[Total Spent],E3225,RawData[Payment Method],F3225,RawData[Location],G3225,RawData[Transaction Date],H3225)</f>
        <v>1</v>
      </c>
      <c r="L3225"/>
    </row>
    <row r="3226" spans="1:12" x14ac:dyDescent="0.3">
      <c r="A3226" t="s">
        <v>3232</v>
      </c>
      <c r="B3226" t="s">
        <v>10008</v>
      </c>
      <c r="C3226">
        <v>0</v>
      </c>
      <c r="D3226">
        <v>2</v>
      </c>
      <c r="E3226" t="s">
        <v>10013</v>
      </c>
      <c r="F3226" t="s">
        <v>10069</v>
      </c>
      <c r="G3226" t="s">
        <v>10069</v>
      </c>
      <c r="H3226" s="6">
        <v>45023</v>
      </c>
      <c r="I3226">
        <f t="shared" si="100"/>
        <v>1</v>
      </c>
      <c r="J3226" t="str">
        <f t="shared" si="101"/>
        <v>Complete</v>
      </c>
      <c r="K3226">
        <f>COUNTIFS(RawData[Item], B3226,RawData[Quantity],C3226,RawData[Price Per Unit],D3226,RawData[Total Spent],E3226,RawData[Payment Method],F3226,RawData[Location],G3226,RawData[Transaction Date],H3226)</f>
        <v>1</v>
      </c>
      <c r="L3226"/>
    </row>
    <row r="3227" spans="1:12" x14ac:dyDescent="0.3">
      <c r="A3227" t="s">
        <v>3233</v>
      </c>
      <c r="B3227" t="s">
        <v>10017</v>
      </c>
      <c r="C3227">
        <v>5</v>
      </c>
      <c r="D3227">
        <v>1.5</v>
      </c>
      <c r="E3227" t="s">
        <v>10015</v>
      </c>
      <c r="F3227" t="s">
        <v>10069</v>
      </c>
      <c r="G3227" t="s">
        <v>10103</v>
      </c>
      <c r="H3227" s="6">
        <v>44973</v>
      </c>
      <c r="I3227">
        <f t="shared" si="100"/>
        <v>2</v>
      </c>
      <c r="J3227" t="str">
        <f t="shared" si="101"/>
        <v>Complete</v>
      </c>
      <c r="K3227">
        <f>COUNTIFS(RawData[Item], B3227,RawData[Quantity],C3227,RawData[Price Per Unit],D3227,RawData[Total Spent],E3227,RawData[Payment Method],F3227,RawData[Location],G3227,RawData[Transaction Date],H3227)</f>
        <v>1</v>
      </c>
      <c r="L3227"/>
    </row>
    <row r="3228" spans="1:12" x14ac:dyDescent="0.3">
      <c r="A3228" t="s">
        <v>3234</v>
      </c>
      <c r="B3228" t="s">
        <v>10012</v>
      </c>
      <c r="C3228">
        <v>1</v>
      </c>
      <c r="D3228">
        <v>4</v>
      </c>
      <c r="E3228">
        <v>4</v>
      </c>
      <c r="F3228" t="s">
        <v>10019</v>
      </c>
      <c r="G3228" t="s">
        <v>10069</v>
      </c>
      <c r="H3228" s="6">
        <v>44967</v>
      </c>
      <c r="I3228">
        <f t="shared" si="100"/>
        <v>0</v>
      </c>
      <c r="J3228" t="str">
        <f t="shared" si="101"/>
        <v>Complete</v>
      </c>
      <c r="K3228">
        <f>COUNTIFS(RawData[Item], B3228,RawData[Quantity],C3228,RawData[Price Per Unit],D3228,RawData[Total Spent],E3228,RawData[Payment Method],F3228,RawData[Location],G3228,RawData[Transaction Date],H3228)</f>
        <v>1</v>
      </c>
      <c r="L3228"/>
    </row>
    <row r="3229" spans="1:12" x14ac:dyDescent="0.3">
      <c r="A3229" t="s">
        <v>3235</v>
      </c>
      <c r="B3229" t="s">
        <v>10069</v>
      </c>
      <c r="C3229">
        <v>4</v>
      </c>
      <c r="D3229">
        <v>4</v>
      </c>
      <c r="E3229">
        <v>16</v>
      </c>
      <c r="F3229" t="s">
        <v>10018</v>
      </c>
      <c r="G3229" t="s">
        <v>10069</v>
      </c>
      <c r="H3229" s="6">
        <v>45053</v>
      </c>
      <c r="I3229">
        <f t="shared" si="100"/>
        <v>0</v>
      </c>
      <c r="J3229" t="str">
        <f t="shared" si="101"/>
        <v>Complete</v>
      </c>
      <c r="K3229">
        <f>COUNTIFS(RawData[Item], B3229,RawData[Quantity],C3229,RawData[Price Per Unit],D3229,RawData[Total Spent],E3229,RawData[Payment Method],F3229,RawData[Location],G3229,RawData[Transaction Date],H3229)</f>
        <v>1</v>
      </c>
      <c r="L3229"/>
    </row>
    <row r="3230" spans="1:12" x14ac:dyDescent="0.3">
      <c r="A3230" t="s">
        <v>3236</v>
      </c>
      <c r="B3230" t="s">
        <v>10011</v>
      </c>
      <c r="C3230">
        <v>1</v>
      </c>
      <c r="D3230">
        <v>5</v>
      </c>
      <c r="E3230">
        <v>5</v>
      </c>
      <c r="F3230" t="s">
        <v>10019</v>
      </c>
      <c r="G3230" t="s">
        <v>10021</v>
      </c>
      <c r="H3230" s="6">
        <v>44949</v>
      </c>
      <c r="I3230">
        <f t="shared" si="100"/>
        <v>0</v>
      </c>
      <c r="J3230" t="str">
        <f t="shared" si="101"/>
        <v>Complete</v>
      </c>
      <c r="K3230">
        <f>COUNTIFS(RawData[Item], B3230,RawData[Quantity],C3230,RawData[Price Per Unit],D3230,RawData[Total Spent],E3230,RawData[Payment Method],F3230,RawData[Location],G3230,RawData[Transaction Date],H3230)</f>
        <v>1</v>
      </c>
      <c r="L3230"/>
    </row>
    <row r="3231" spans="1:12" x14ac:dyDescent="0.3">
      <c r="A3231" t="s">
        <v>3237</v>
      </c>
      <c r="B3231" t="s">
        <v>10014</v>
      </c>
      <c r="C3231">
        <v>5</v>
      </c>
      <c r="D3231">
        <v>4</v>
      </c>
      <c r="E3231">
        <v>20</v>
      </c>
      <c r="F3231" t="s">
        <v>10020</v>
      </c>
      <c r="G3231" t="s">
        <v>10021</v>
      </c>
      <c r="H3231" s="6">
        <v>45070</v>
      </c>
      <c r="I3231">
        <f t="shared" si="100"/>
        <v>0</v>
      </c>
      <c r="J3231" t="str">
        <f t="shared" si="101"/>
        <v>Complete</v>
      </c>
      <c r="K3231">
        <f>COUNTIFS(RawData[Item], B3231,RawData[Quantity],C3231,RawData[Price Per Unit],D3231,RawData[Total Spent],E3231,RawData[Payment Method],F3231,RawData[Location],G3231,RawData[Transaction Date],H3231)</f>
        <v>1</v>
      </c>
      <c r="L3231"/>
    </row>
    <row r="3232" spans="1:12" x14ac:dyDescent="0.3">
      <c r="A3232" t="s">
        <v>3238</v>
      </c>
      <c r="B3232" t="s">
        <v>10009</v>
      </c>
      <c r="C3232">
        <v>5</v>
      </c>
      <c r="D3232">
        <v>3</v>
      </c>
      <c r="E3232">
        <v>15</v>
      </c>
      <c r="F3232" t="s">
        <v>10019</v>
      </c>
      <c r="G3232" t="s">
        <v>10069</v>
      </c>
      <c r="H3232" s="6">
        <v>45284</v>
      </c>
      <c r="I3232">
        <f t="shared" si="100"/>
        <v>0</v>
      </c>
      <c r="J3232" t="str">
        <f t="shared" si="101"/>
        <v>Complete</v>
      </c>
      <c r="K3232">
        <f>COUNTIFS(RawData[Item], B3232,RawData[Quantity],C3232,RawData[Price Per Unit],D3232,RawData[Total Spent],E3232,RawData[Payment Method],F3232,RawData[Location],G3232,RawData[Transaction Date],H3232)</f>
        <v>1</v>
      </c>
      <c r="L3232"/>
    </row>
    <row r="3233" spans="1:12" x14ac:dyDescent="0.3">
      <c r="A3233" t="s">
        <v>3239</v>
      </c>
      <c r="B3233" t="s">
        <v>10016</v>
      </c>
      <c r="C3233">
        <v>3</v>
      </c>
      <c r="D3233">
        <v>3</v>
      </c>
      <c r="E3233">
        <v>9</v>
      </c>
      <c r="F3233" t="s">
        <v>10020</v>
      </c>
      <c r="G3233" t="s">
        <v>10021</v>
      </c>
      <c r="H3233" s="6">
        <v>45197</v>
      </c>
      <c r="I3233">
        <f t="shared" si="100"/>
        <v>0</v>
      </c>
      <c r="J3233" t="str">
        <f t="shared" si="101"/>
        <v>Complete</v>
      </c>
      <c r="K3233">
        <f>COUNTIFS(RawData[Item], B3233,RawData[Quantity],C3233,RawData[Price Per Unit],D3233,RawData[Total Spent],E3233,RawData[Payment Method],F3233,RawData[Location],G3233,RawData[Transaction Date],H3233)</f>
        <v>1</v>
      </c>
      <c r="L3233"/>
    </row>
    <row r="3234" spans="1:12" x14ac:dyDescent="0.3">
      <c r="A3234" t="s">
        <v>3240</v>
      </c>
      <c r="B3234" t="s">
        <v>10012</v>
      </c>
      <c r="C3234">
        <v>3</v>
      </c>
      <c r="D3234">
        <v>4</v>
      </c>
      <c r="E3234">
        <v>12</v>
      </c>
      <c r="F3234" t="s">
        <v>10019</v>
      </c>
      <c r="G3234" t="s">
        <v>10069</v>
      </c>
      <c r="H3234" s="6">
        <v>45181</v>
      </c>
      <c r="I3234">
        <f t="shared" si="100"/>
        <v>0</v>
      </c>
      <c r="J3234" t="str">
        <f t="shared" si="101"/>
        <v>Complete</v>
      </c>
      <c r="K3234">
        <f>COUNTIFS(RawData[Item], B3234,RawData[Quantity],C3234,RawData[Price Per Unit],D3234,RawData[Total Spent],E3234,RawData[Payment Method],F3234,RawData[Location],G3234,RawData[Transaction Date],H3234)</f>
        <v>1</v>
      </c>
      <c r="L3234"/>
    </row>
    <row r="3235" spans="1:12" x14ac:dyDescent="0.3">
      <c r="A3235" t="s">
        <v>3241</v>
      </c>
      <c r="B3235" t="s">
        <v>10009</v>
      </c>
      <c r="C3235">
        <v>3</v>
      </c>
      <c r="D3235">
        <v>3</v>
      </c>
      <c r="E3235">
        <v>9</v>
      </c>
      <c r="F3235" t="s">
        <v>10069</v>
      </c>
      <c r="G3235" t="s">
        <v>10102</v>
      </c>
      <c r="H3235" s="6">
        <v>44999</v>
      </c>
      <c r="I3235">
        <f t="shared" si="100"/>
        <v>0</v>
      </c>
      <c r="J3235" t="str">
        <f t="shared" si="101"/>
        <v>Complete</v>
      </c>
      <c r="K3235">
        <f>COUNTIFS(RawData[Item], B3235,RawData[Quantity],C3235,RawData[Price Per Unit],D3235,RawData[Total Spent],E3235,RawData[Payment Method],F3235,RawData[Location],G3235,RawData[Transaction Date],H3235)</f>
        <v>1</v>
      </c>
      <c r="L3235"/>
    </row>
    <row r="3236" spans="1:12" x14ac:dyDescent="0.3">
      <c r="A3236" t="s">
        <v>3242</v>
      </c>
      <c r="B3236" t="s">
        <v>10008</v>
      </c>
      <c r="C3236">
        <v>5</v>
      </c>
      <c r="D3236">
        <v>2</v>
      </c>
      <c r="E3236">
        <v>10</v>
      </c>
      <c r="F3236" t="s">
        <v>10069</v>
      </c>
      <c r="G3236" t="s">
        <v>10021</v>
      </c>
      <c r="H3236" s="6">
        <v>45262</v>
      </c>
      <c r="I3236">
        <f t="shared" si="100"/>
        <v>0</v>
      </c>
      <c r="J3236" t="str">
        <f t="shared" si="101"/>
        <v>Complete</v>
      </c>
      <c r="K3236">
        <f>COUNTIFS(RawData[Item], B3236,RawData[Quantity],C3236,RawData[Price Per Unit],D3236,RawData[Total Spent],E3236,RawData[Payment Method],F3236,RawData[Location],G3236,RawData[Transaction Date],H3236)</f>
        <v>1</v>
      </c>
      <c r="L3236"/>
    </row>
    <row r="3237" spans="1:12" x14ac:dyDescent="0.3">
      <c r="A3237" t="s">
        <v>3243</v>
      </c>
      <c r="B3237" t="s">
        <v>10014</v>
      </c>
      <c r="C3237">
        <v>1</v>
      </c>
      <c r="D3237">
        <v>4</v>
      </c>
      <c r="E3237">
        <v>4</v>
      </c>
      <c r="F3237" t="s">
        <v>10019</v>
      </c>
      <c r="G3237" t="s">
        <v>10069</v>
      </c>
      <c r="H3237" s="6">
        <v>44933</v>
      </c>
      <c r="I3237">
        <f t="shared" si="100"/>
        <v>0</v>
      </c>
      <c r="J3237" t="str">
        <f t="shared" si="101"/>
        <v>Complete</v>
      </c>
      <c r="K3237">
        <f>COUNTIFS(RawData[Item], B3237,RawData[Quantity],C3237,RawData[Price Per Unit],D3237,RawData[Total Spent],E3237,RawData[Payment Method],F3237,RawData[Location],G3237,RawData[Transaction Date],H3237)</f>
        <v>1</v>
      </c>
      <c r="L3237"/>
    </row>
    <row r="3238" spans="1:12" x14ac:dyDescent="0.3">
      <c r="A3238" t="s">
        <v>3244</v>
      </c>
      <c r="B3238" t="s">
        <v>10069</v>
      </c>
      <c r="C3238">
        <v>2</v>
      </c>
      <c r="D3238">
        <v>1.5</v>
      </c>
      <c r="E3238">
        <v>3</v>
      </c>
      <c r="F3238" t="s">
        <v>10069</v>
      </c>
      <c r="G3238" t="s">
        <v>10102</v>
      </c>
      <c r="H3238" s="6">
        <v>44936</v>
      </c>
      <c r="I3238">
        <f t="shared" si="100"/>
        <v>0</v>
      </c>
      <c r="J3238" t="str">
        <f t="shared" si="101"/>
        <v>Complete</v>
      </c>
      <c r="K3238">
        <f>COUNTIFS(RawData[Item], B3238,RawData[Quantity],C3238,RawData[Price Per Unit],D3238,RawData[Total Spent],E3238,RawData[Payment Method],F3238,RawData[Location],G3238,RawData[Transaction Date],H3238)</f>
        <v>1</v>
      </c>
      <c r="L3238"/>
    </row>
    <row r="3239" spans="1:12" x14ac:dyDescent="0.3">
      <c r="A3239" t="s">
        <v>3245</v>
      </c>
      <c r="B3239" t="s">
        <v>10010</v>
      </c>
      <c r="C3239">
        <v>2</v>
      </c>
      <c r="D3239">
        <v>1</v>
      </c>
      <c r="E3239">
        <v>2</v>
      </c>
      <c r="F3239" t="s">
        <v>10069</v>
      </c>
      <c r="G3239" t="s">
        <v>10102</v>
      </c>
      <c r="H3239" s="6">
        <v>45121</v>
      </c>
      <c r="I3239">
        <f t="shared" si="100"/>
        <v>0</v>
      </c>
      <c r="J3239" t="str">
        <f t="shared" si="101"/>
        <v>Complete</v>
      </c>
      <c r="K3239">
        <f>COUNTIFS(RawData[Item], B3239,RawData[Quantity],C3239,RawData[Price Per Unit],D3239,RawData[Total Spent],E3239,RawData[Payment Method],F3239,RawData[Location],G3239,RawData[Transaction Date],H3239)</f>
        <v>1</v>
      </c>
      <c r="L3239"/>
    </row>
    <row r="3240" spans="1:12" x14ac:dyDescent="0.3">
      <c r="A3240" t="s">
        <v>3246</v>
      </c>
      <c r="B3240" t="s">
        <v>10011</v>
      </c>
      <c r="C3240">
        <v>4</v>
      </c>
      <c r="D3240">
        <v>5</v>
      </c>
      <c r="E3240">
        <v>20</v>
      </c>
      <c r="F3240" t="s">
        <v>10069</v>
      </c>
      <c r="G3240" t="s">
        <v>10021</v>
      </c>
      <c r="H3240" s="6">
        <v>45159</v>
      </c>
      <c r="I3240">
        <f t="shared" si="100"/>
        <v>0</v>
      </c>
      <c r="J3240" t="str">
        <f t="shared" si="101"/>
        <v>Complete</v>
      </c>
      <c r="K3240">
        <f>COUNTIFS(RawData[Item], B3240,RawData[Quantity],C3240,RawData[Price Per Unit],D3240,RawData[Total Spent],E3240,RawData[Payment Method],F3240,RawData[Location],G3240,RawData[Transaction Date],H3240)</f>
        <v>1</v>
      </c>
      <c r="L3240"/>
    </row>
    <row r="3241" spans="1:12" x14ac:dyDescent="0.3">
      <c r="A3241" t="s">
        <v>3247</v>
      </c>
      <c r="B3241" t="s">
        <v>10069</v>
      </c>
      <c r="C3241">
        <v>5</v>
      </c>
      <c r="D3241">
        <v>4</v>
      </c>
      <c r="E3241">
        <v>20</v>
      </c>
      <c r="F3241" t="s">
        <v>10018</v>
      </c>
      <c r="G3241" t="s">
        <v>10069</v>
      </c>
      <c r="H3241" s="6">
        <v>45172</v>
      </c>
      <c r="I3241">
        <f t="shared" si="100"/>
        <v>0</v>
      </c>
      <c r="J3241" t="str">
        <f t="shared" si="101"/>
        <v>Complete</v>
      </c>
      <c r="K3241">
        <f>COUNTIFS(RawData[Item], B3241,RawData[Quantity],C3241,RawData[Price Per Unit],D3241,RawData[Total Spent],E3241,RawData[Payment Method],F3241,RawData[Location],G3241,RawData[Transaction Date],H3241)</f>
        <v>1</v>
      </c>
      <c r="L3241"/>
    </row>
    <row r="3242" spans="1:12" x14ac:dyDescent="0.3">
      <c r="A3242" t="s">
        <v>3248</v>
      </c>
      <c r="B3242" t="s">
        <v>10015</v>
      </c>
      <c r="C3242">
        <v>2</v>
      </c>
      <c r="D3242">
        <v>5</v>
      </c>
      <c r="E3242">
        <v>10</v>
      </c>
      <c r="F3242" t="s">
        <v>10069</v>
      </c>
      <c r="G3242" t="s">
        <v>10021</v>
      </c>
      <c r="H3242" s="6">
        <v>45038</v>
      </c>
      <c r="I3242">
        <f t="shared" si="100"/>
        <v>1</v>
      </c>
      <c r="J3242" t="str">
        <f t="shared" si="101"/>
        <v>Complete</v>
      </c>
      <c r="K3242">
        <f>COUNTIFS(RawData[Item], B3242,RawData[Quantity],C3242,RawData[Price Per Unit],D3242,RawData[Total Spent],E3242,RawData[Payment Method],F3242,RawData[Location],G3242,RawData[Transaction Date],H3242)</f>
        <v>1</v>
      </c>
      <c r="L3242"/>
    </row>
    <row r="3243" spans="1:12" x14ac:dyDescent="0.3">
      <c r="A3243" t="s">
        <v>3249</v>
      </c>
      <c r="B3243" t="s">
        <v>10010</v>
      </c>
      <c r="C3243">
        <v>1</v>
      </c>
      <c r="D3243">
        <v>1</v>
      </c>
      <c r="E3243">
        <v>1</v>
      </c>
      <c r="F3243" t="s">
        <v>10019</v>
      </c>
      <c r="G3243" t="s">
        <v>10102</v>
      </c>
      <c r="H3243" s="6" t="s">
        <v>10112</v>
      </c>
      <c r="I3243">
        <f t="shared" si="100"/>
        <v>1</v>
      </c>
      <c r="J3243" t="str">
        <f t="shared" si="101"/>
        <v>Incomplete</v>
      </c>
      <c r="K3243">
        <f>COUNTIFS(RawData[Item], B3243,RawData[Quantity],C3243,RawData[Price Per Unit],D3243,RawData[Total Spent],E3243,RawData[Payment Method],F3243,RawData[Location],G3243,RawData[Transaction Date],H3243)</f>
        <v>2</v>
      </c>
      <c r="L3243"/>
    </row>
    <row r="3244" spans="1:12" x14ac:dyDescent="0.3">
      <c r="A3244" t="s">
        <v>3250</v>
      </c>
      <c r="B3244" t="s">
        <v>10014</v>
      </c>
      <c r="C3244">
        <v>3</v>
      </c>
      <c r="D3244">
        <v>4</v>
      </c>
      <c r="E3244">
        <v>12</v>
      </c>
      <c r="F3244" t="s">
        <v>10018</v>
      </c>
      <c r="G3244" t="s">
        <v>10102</v>
      </c>
      <c r="H3244" s="6">
        <v>44964</v>
      </c>
      <c r="I3244">
        <f t="shared" si="100"/>
        <v>0</v>
      </c>
      <c r="J3244" t="str">
        <f t="shared" si="101"/>
        <v>Complete</v>
      </c>
      <c r="K3244">
        <f>COUNTIFS(RawData[Item], B3244,RawData[Quantity],C3244,RawData[Price Per Unit],D3244,RawData[Total Spent],E3244,RawData[Payment Method],F3244,RawData[Location],G3244,RawData[Transaction Date],H3244)</f>
        <v>1</v>
      </c>
      <c r="L3244"/>
    </row>
    <row r="3245" spans="1:12" x14ac:dyDescent="0.3">
      <c r="A3245" t="s">
        <v>3251</v>
      </c>
      <c r="B3245" t="s">
        <v>10069</v>
      </c>
      <c r="C3245">
        <v>3</v>
      </c>
      <c r="D3245">
        <v>3</v>
      </c>
      <c r="E3245">
        <v>9</v>
      </c>
      <c r="F3245" t="s">
        <v>10018</v>
      </c>
      <c r="G3245" t="s">
        <v>10102</v>
      </c>
      <c r="H3245" s="6">
        <v>45151</v>
      </c>
      <c r="I3245">
        <f t="shared" si="100"/>
        <v>0</v>
      </c>
      <c r="J3245" t="str">
        <f t="shared" si="101"/>
        <v>Complete</v>
      </c>
      <c r="K3245">
        <f>COUNTIFS(RawData[Item], B3245,RawData[Quantity],C3245,RawData[Price Per Unit],D3245,RawData[Total Spent],E3245,RawData[Payment Method],F3245,RawData[Location],G3245,RawData[Transaction Date],H3245)</f>
        <v>1</v>
      </c>
      <c r="L3245"/>
    </row>
    <row r="3246" spans="1:12" x14ac:dyDescent="0.3">
      <c r="A3246" t="s">
        <v>3252</v>
      </c>
      <c r="B3246" t="s">
        <v>10014</v>
      </c>
      <c r="C3246">
        <v>3</v>
      </c>
      <c r="D3246">
        <v>4</v>
      </c>
      <c r="E3246">
        <v>12</v>
      </c>
      <c r="F3246" t="s">
        <v>10069</v>
      </c>
      <c r="G3246" t="s">
        <v>10069</v>
      </c>
      <c r="H3246" s="6">
        <v>45259</v>
      </c>
      <c r="I3246">
        <f t="shared" si="100"/>
        <v>0</v>
      </c>
      <c r="J3246" t="str">
        <f t="shared" si="101"/>
        <v>Complete</v>
      </c>
      <c r="K3246">
        <f>COUNTIFS(RawData[Item], B3246,RawData[Quantity],C3246,RawData[Price Per Unit],D3246,RawData[Total Spent],E3246,RawData[Payment Method],F3246,RawData[Location],G3246,RawData[Transaction Date],H3246)</f>
        <v>1</v>
      </c>
      <c r="L3246"/>
    </row>
    <row r="3247" spans="1:12" x14ac:dyDescent="0.3">
      <c r="A3247" t="s">
        <v>3253</v>
      </c>
      <c r="B3247" t="s">
        <v>10010</v>
      </c>
      <c r="C3247">
        <v>5</v>
      </c>
      <c r="D3247">
        <v>1</v>
      </c>
      <c r="E3247">
        <v>5</v>
      </c>
      <c r="F3247" t="s">
        <v>10069</v>
      </c>
      <c r="G3247" t="s">
        <v>10102</v>
      </c>
      <c r="H3247" s="6">
        <v>45179</v>
      </c>
      <c r="I3247">
        <f t="shared" si="100"/>
        <v>0</v>
      </c>
      <c r="J3247" t="str">
        <f t="shared" si="101"/>
        <v>Complete</v>
      </c>
      <c r="K3247">
        <f>COUNTIFS(RawData[Item], B3247,RawData[Quantity],C3247,RawData[Price Per Unit],D3247,RawData[Total Spent],E3247,RawData[Payment Method],F3247,RawData[Location],G3247,RawData[Transaction Date],H3247)</f>
        <v>1</v>
      </c>
      <c r="L3247"/>
    </row>
    <row r="3248" spans="1:12" x14ac:dyDescent="0.3">
      <c r="A3248" t="s">
        <v>3254</v>
      </c>
      <c r="B3248" t="s">
        <v>10009</v>
      </c>
      <c r="C3248">
        <v>5</v>
      </c>
      <c r="D3248">
        <v>3</v>
      </c>
      <c r="E3248">
        <v>15</v>
      </c>
      <c r="F3248" t="s">
        <v>10019</v>
      </c>
      <c r="G3248" t="s">
        <v>10102</v>
      </c>
      <c r="H3248" s="6">
        <v>45153</v>
      </c>
      <c r="I3248">
        <f t="shared" si="100"/>
        <v>0</v>
      </c>
      <c r="J3248" t="str">
        <f t="shared" si="101"/>
        <v>Complete</v>
      </c>
      <c r="K3248">
        <f>COUNTIFS(RawData[Item], B3248,RawData[Quantity],C3248,RawData[Price Per Unit],D3248,RawData[Total Spent],E3248,RawData[Payment Method],F3248,RawData[Location],G3248,RawData[Transaction Date],H3248)</f>
        <v>1</v>
      </c>
      <c r="L3248"/>
    </row>
    <row r="3249" spans="1:12" x14ac:dyDescent="0.3">
      <c r="A3249" t="s">
        <v>3255</v>
      </c>
      <c r="B3249" t="s">
        <v>10017</v>
      </c>
      <c r="C3249">
        <v>3</v>
      </c>
      <c r="D3249">
        <v>1.5</v>
      </c>
      <c r="E3249">
        <v>4.5</v>
      </c>
      <c r="F3249" t="s">
        <v>10103</v>
      </c>
      <c r="G3249" t="s">
        <v>10069</v>
      </c>
      <c r="H3249" s="6">
        <v>45185</v>
      </c>
      <c r="I3249">
        <f t="shared" si="100"/>
        <v>1</v>
      </c>
      <c r="J3249" t="str">
        <f t="shared" si="101"/>
        <v>Complete</v>
      </c>
      <c r="K3249">
        <f>COUNTIFS(RawData[Item], B3249,RawData[Quantity],C3249,RawData[Price Per Unit],D3249,RawData[Total Spent],E3249,RawData[Payment Method],F3249,RawData[Location],G3249,RawData[Transaction Date],H3249)</f>
        <v>1</v>
      </c>
      <c r="L3249"/>
    </row>
    <row r="3250" spans="1:12" x14ac:dyDescent="0.3">
      <c r="A3250" t="s">
        <v>3256</v>
      </c>
      <c r="B3250" t="s">
        <v>10012</v>
      </c>
      <c r="C3250">
        <v>4</v>
      </c>
      <c r="D3250" t="s">
        <v>10013</v>
      </c>
      <c r="E3250">
        <v>16</v>
      </c>
      <c r="F3250" t="s">
        <v>10018</v>
      </c>
      <c r="G3250" t="s">
        <v>10102</v>
      </c>
      <c r="H3250" s="6">
        <v>45124</v>
      </c>
      <c r="I3250">
        <f t="shared" si="100"/>
        <v>1</v>
      </c>
      <c r="J3250" t="str">
        <f t="shared" si="101"/>
        <v>Complete</v>
      </c>
      <c r="K3250">
        <f>COUNTIFS(RawData[Item], B3250,RawData[Quantity],C3250,RawData[Price Per Unit],D3250,RawData[Total Spent],E3250,RawData[Payment Method],F3250,RawData[Location],G3250,RawData[Transaction Date],H3250)</f>
        <v>1</v>
      </c>
      <c r="L3250"/>
    </row>
    <row r="3251" spans="1:12" x14ac:dyDescent="0.3">
      <c r="A3251" t="s">
        <v>3257</v>
      </c>
      <c r="B3251" t="s">
        <v>10009</v>
      </c>
      <c r="C3251" t="s">
        <v>10013</v>
      </c>
      <c r="D3251">
        <v>3</v>
      </c>
      <c r="E3251">
        <v>12</v>
      </c>
      <c r="F3251" t="s">
        <v>10019</v>
      </c>
      <c r="G3251" t="s">
        <v>10021</v>
      </c>
      <c r="H3251" s="6">
        <v>45018</v>
      </c>
      <c r="I3251">
        <f t="shared" si="100"/>
        <v>1</v>
      </c>
      <c r="J3251" t="str">
        <f t="shared" si="101"/>
        <v>Complete</v>
      </c>
      <c r="K3251">
        <f>COUNTIFS(RawData[Item], B3251,RawData[Quantity],C3251,RawData[Price Per Unit],D3251,RawData[Total Spent],E3251,RawData[Payment Method],F3251,RawData[Location],G3251,RawData[Transaction Date],H3251)</f>
        <v>1</v>
      </c>
      <c r="L3251"/>
    </row>
    <row r="3252" spans="1:12" x14ac:dyDescent="0.3">
      <c r="A3252" t="s">
        <v>3258</v>
      </c>
      <c r="B3252" t="s">
        <v>10010</v>
      </c>
      <c r="C3252">
        <v>5</v>
      </c>
      <c r="D3252">
        <v>1</v>
      </c>
      <c r="E3252">
        <v>5</v>
      </c>
      <c r="F3252" t="s">
        <v>10020</v>
      </c>
      <c r="G3252" t="s">
        <v>10021</v>
      </c>
      <c r="H3252" s="6">
        <v>45155</v>
      </c>
      <c r="I3252">
        <f t="shared" si="100"/>
        <v>0</v>
      </c>
      <c r="J3252" t="str">
        <f t="shared" si="101"/>
        <v>Complete</v>
      </c>
      <c r="K3252">
        <f>COUNTIFS(RawData[Item], B3252,RawData[Quantity],C3252,RawData[Price Per Unit],D3252,RawData[Total Spent],E3252,RawData[Payment Method],F3252,RawData[Location],G3252,RawData[Transaction Date],H3252)</f>
        <v>1</v>
      </c>
      <c r="L3252"/>
    </row>
    <row r="3253" spans="1:12" x14ac:dyDescent="0.3">
      <c r="A3253" t="s">
        <v>3259</v>
      </c>
      <c r="B3253" t="s">
        <v>10012</v>
      </c>
      <c r="C3253">
        <v>4</v>
      </c>
      <c r="D3253">
        <v>4</v>
      </c>
      <c r="E3253">
        <v>16</v>
      </c>
      <c r="F3253" t="s">
        <v>10069</v>
      </c>
      <c r="G3253" t="s">
        <v>10102</v>
      </c>
      <c r="H3253" s="6">
        <v>45019</v>
      </c>
      <c r="I3253">
        <f t="shared" si="100"/>
        <v>0</v>
      </c>
      <c r="J3253" t="str">
        <f t="shared" si="101"/>
        <v>Complete</v>
      </c>
      <c r="K3253">
        <f>COUNTIFS(RawData[Item], B3253,RawData[Quantity],C3253,RawData[Price Per Unit],D3253,RawData[Total Spent],E3253,RawData[Payment Method],F3253,RawData[Location],G3253,RawData[Transaction Date],H3253)</f>
        <v>1</v>
      </c>
      <c r="L3253"/>
    </row>
    <row r="3254" spans="1:12" x14ac:dyDescent="0.3">
      <c r="A3254" t="s">
        <v>3260</v>
      </c>
      <c r="B3254" t="s">
        <v>10009</v>
      </c>
      <c r="C3254">
        <v>5</v>
      </c>
      <c r="D3254">
        <v>3</v>
      </c>
      <c r="E3254">
        <v>15</v>
      </c>
      <c r="F3254" t="s">
        <v>10019</v>
      </c>
      <c r="G3254" t="s">
        <v>10069</v>
      </c>
      <c r="H3254" s="6">
        <v>45149</v>
      </c>
      <c r="I3254">
        <f t="shared" si="100"/>
        <v>0</v>
      </c>
      <c r="J3254" t="str">
        <f t="shared" si="101"/>
        <v>Complete</v>
      </c>
      <c r="K3254">
        <f>COUNTIFS(RawData[Item], B3254,RawData[Quantity],C3254,RawData[Price Per Unit],D3254,RawData[Total Spent],E3254,RawData[Payment Method],F3254,RawData[Location],G3254,RawData[Transaction Date],H3254)</f>
        <v>1</v>
      </c>
      <c r="L3254"/>
    </row>
    <row r="3255" spans="1:12" x14ac:dyDescent="0.3">
      <c r="A3255" t="s">
        <v>3261</v>
      </c>
      <c r="B3255" t="s">
        <v>10008</v>
      </c>
      <c r="C3255">
        <v>3</v>
      </c>
      <c r="D3255" t="s">
        <v>10013</v>
      </c>
      <c r="E3255">
        <v>6</v>
      </c>
      <c r="F3255" t="s">
        <v>10018</v>
      </c>
      <c r="G3255" t="s">
        <v>10069</v>
      </c>
      <c r="H3255" s="6">
        <v>45247</v>
      </c>
      <c r="I3255">
        <f t="shared" si="100"/>
        <v>1</v>
      </c>
      <c r="J3255" t="str">
        <f t="shared" si="101"/>
        <v>Complete</v>
      </c>
      <c r="K3255">
        <f>COUNTIFS(RawData[Item], B3255,RawData[Quantity],C3255,RawData[Price Per Unit],D3255,RawData[Total Spent],E3255,RawData[Payment Method],F3255,RawData[Location],G3255,RawData[Transaction Date],H3255)</f>
        <v>1</v>
      </c>
      <c r="L3255"/>
    </row>
    <row r="3256" spans="1:12" x14ac:dyDescent="0.3">
      <c r="A3256" t="s">
        <v>3262</v>
      </c>
      <c r="B3256" t="s">
        <v>10014</v>
      </c>
      <c r="C3256">
        <v>5</v>
      </c>
      <c r="D3256">
        <v>4</v>
      </c>
      <c r="E3256">
        <v>20</v>
      </c>
      <c r="F3256" t="s">
        <v>10069</v>
      </c>
      <c r="G3256" t="s">
        <v>10069</v>
      </c>
      <c r="H3256" s="6">
        <v>45223</v>
      </c>
      <c r="I3256">
        <f t="shared" si="100"/>
        <v>0</v>
      </c>
      <c r="J3256" t="str">
        <f t="shared" si="101"/>
        <v>Complete</v>
      </c>
      <c r="K3256">
        <f>COUNTIFS(RawData[Item], B3256,RawData[Quantity],C3256,RawData[Price Per Unit],D3256,RawData[Total Spent],E3256,RawData[Payment Method],F3256,RawData[Location],G3256,RawData[Transaction Date],H3256)</f>
        <v>1</v>
      </c>
      <c r="L3256"/>
    </row>
    <row r="3257" spans="1:12" x14ac:dyDescent="0.3">
      <c r="A3257" t="s">
        <v>3263</v>
      </c>
      <c r="B3257" t="s">
        <v>10009</v>
      </c>
      <c r="C3257">
        <v>1</v>
      </c>
      <c r="D3257">
        <v>3</v>
      </c>
      <c r="E3257">
        <v>3</v>
      </c>
      <c r="F3257" t="s">
        <v>10069</v>
      </c>
      <c r="G3257" t="s">
        <v>10104</v>
      </c>
      <c r="H3257" s="6">
        <v>45117</v>
      </c>
      <c r="I3257">
        <f t="shared" si="100"/>
        <v>1</v>
      </c>
      <c r="J3257" t="str">
        <f t="shared" si="101"/>
        <v>Complete</v>
      </c>
      <c r="K3257">
        <f>COUNTIFS(RawData[Item], B3257,RawData[Quantity],C3257,RawData[Price Per Unit],D3257,RawData[Total Spent],E3257,RawData[Payment Method],F3257,RawData[Location],G3257,RawData[Transaction Date],H3257)</f>
        <v>1</v>
      </c>
      <c r="L3257"/>
    </row>
    <row r="3258" spans="1:12" x14ac:dyDescent="0.3">
      <c r="A3258" t="s">
        <v>3264</v>
      </c>
      <c r="B3258" t="s">
        <v>10012</v>
      </c>
      <c r="C3258">
        <v>1</v>
      </c>
      <c r="D3258">
        <v>4</v>
      </c>
      <c r="E3258">
        <v>4</v>
      </c>
      <c r="F3258" t="s">
        <v>10019</v>
      </c>
      <c r="G3258" t="s">
        <v>10021</v>
      </c>
      <c r="H3258" s="6">
        <v>45073</v>
      </c>
      <c r="I3258">
        <f t="shared" si="100"/>
        <v>0</v>
      </c>
      <c r="J3258" t="str">
        <f t="shared" si="101"/>
        <v>Complete</v>
      </c>
      <c r="K3258">
        <f>COUNTIFS(RawData[Item], B3258,RawData[Quantity],C3258,RawData[Price Per Unit],D3258,RawData[Total Spent],E3258,RawData[Payment Method],F3258,RawData[Location],G3258,RawData[Transaction Date],H3258)</f>
        <v>1</v>
      </c>
      <c r="L3258"/>
    </row>
    <row r="3259" spans="1:12" x14ac:dyDescent="0.3">
      <c r="A3259" t="s">
        <v>3265</v>
      </c>
      <c r="B3259" t="s">
        <v>10009</v>
      </c>
      <c r="C3259">
        <v>1</v>
      </c>
      <c r="D3259">
        <v>3</v>
      </c>
      <c r="E3259">
        <v>3</v>
      </c>
      <c r="F3259" t="s">
        <v>10069</v>
      </c>
      <c r="G3259" t="s">
        <v>10021</v>
      </c>
      <c r="H3259" s="6">
        <v>45020</v>
      </c>
      <c r="I3259">
        <f t="shared" si="100"/>
        <v>0</v>
      </c>
      <c r="J3259" t="str">
        <f t="shared" si="101"/>
        <v>Complete</v>
      </c>
      <c r="K3259">
        <f>COUNTIFS(RawData[Item], B3259,RawData[Quantity],C3259,RawData[Price Per Unit],D3259,RawData[Total Spent],E3259,RawData[Payment Method],F3259,RawData[Location],G3259,RawData[Transaction Date],H3259)</f>
        <v>1</v>
      </c>
      <c r="L3259"/>
    </row>
    <row r="3260" spans="1:12" x14ac:dyDescent="0.3">
      <c r="A3260" t="s">
        <v>3266</v>
      </c>
      <c r="B3260" t="s">
        <v>10014</v>
      </c>
      <c r="C3260">
        <v>5</v>
      </c>
      <c r="D3260">
        <v>4</v>
      </c>
      <c r="E3260">
        <v>20</v>
      </c>
      <c r="F3260" t="s">
        <v>10018</v>
      </c>
      <c r="G3260" t="s">
        <v>10069</v>
      </c>
      <c r="H3260" s="6" t="s">
        <v>10112</v>
      </c>
      <c r="I3260">
        <f t="shared" si="100"/>
        <v>1</v>
      </c>
      <c r="J3260" t="str">
        <f t="shared" si="101"/>
        <v>Incomplete</v>
      </c>
      <c r="K3260">
        <f>COUNTIFS(RawData[Item], B3260,RawData[Quantity],C3260,RawData[Price Per Unit],D3260,RawData[Total Spent],E3260,RawData[Payment Method],F3260,RawData[Location],G3260,RawData[Transaction Date],H3260)</f>
        <v>1</v>
      </c>
      <c r="L3260"/>
    </row>
    <row r="3261" spans="1:12" x14ac:dyDescent="0.3">
      <c r="A3261" t="s">
        <v>3267</v>
      </c>
      <c r="B3261" t="s">
        <v>10010</v>
      </c>
      <c r="C3261">
        <v>3</v>
      </c>
      <c r="D3261">
        <v>1</v>
      </c>
      <c r="E3261">
        <v>3</v>
      </c>
      <c r="F3261" t="s">
        <v>10104</v>
      </c>
      <c r="G3261" t="s">
        <v>10102</v>
      </c>
      <c r="H3261" s="6">
        <v>44989</v>
      </c>
      <c r="I3261">
        <f t="shared" si="100"/>
        <v>1</v>
      </c>
      <c r="J3261" t="str">
        <f t="shared" si="101"/>
        <v>Complete</v>
      </c>
      <c r="K3261">
        <f>COUNTIFS(RawData[Item], B3261,RawData[Quantity],C3261,RawData[Price Per Unit],D3261,RawData[Total Spent],E3261,RawData[Payment Method],F3261,RawData[Location],G3261,RawData[Transaction Date],H3261)</f>
        <v>1</v>
      </c>
      <c r="L3261"/>
    </row>
    <row r="3262" spans="1:12" x14ac:dyDescent="0.3">
      <c r="A3262" t="s">
        <v>3268</v>
      </c>
      <c r="B3262" t="s">
        <v>10010</v>
      </c>
      <c r="C3262">
        <v>0</v>
      </c>
      <c r="D3262">
        <v>1</v>
      </c>
      <c r="E3262">
        <v>2</v>
      </c>
      <c r="F3262" t="s">
        <v>10018</v>
      </c>
      <c r="G3262" t="s">
        <v>10021</v>
      </c>
      <c r="H3262" s="6">
        <v>45288</v>
      </c>
      <c r="I3262">
        <f t="shared" si="100"/>
        <v>0</v>
      </c>
      <c r="J3262" t="str">
        <f t="shared" si="101"/>
        <v>Complete</v>
      </c>
      <c r="K3262">
        <f>COUNTIFS(RawData[Item], B3262,RawData[Quantity],C3262,RawData[Price Per Unit],D3262,RawData[Total Spent],E3262,RawData[Payment Method],F3262,RawData[Location],G3262,RawData[Transaction Date],H3262)</f>
        <v>1</v>
      </c>
      <c r="L3262"/>
    </row>
    <row r="3263" spans="1:12" x14ac:dyDescent="0.3">
      <c r="A3263" t="s">
        <v>3269</v>
      </c>
      <c r="B3263" t="s">
        <v>10010</v>
      </c>
      <c r="C3263">
        <v>1</v>
      </c>
      <c r="D3263">
        <v>1</v>
      </c>
      <c r="E3263">
        <v>1</v>
      </c>
      <c r="F3263" t="s">
        <v>10018</v>
      </c>
      <c r="G3263" t="s">
        <v>10102</v>
      </c>
      <c r="H3263" s="6">
        <v>45137</v>
      </c>
      <c r="I3263">
        <f t="shared" si="100"/>
        <v>0</v>
      </c>
      <c r="J3263" t="str">
        <f t="shared" si="101"/>
        <v>Complete</v>
      </c>
      <c r="K3263">
        <f>COUNTIFS(RawData[Item], B3263,RawData[Quantity],C3263,RawData[Price Per Unit],D3263,RawData[Total Spent],E3263,RawData[Payment Method],F3263,RawData[Location],G3263,RawData[Transaction Date],H3263)</f>
        <v>1</v>
      </c>
      <c r="L3263"/>
    </row>
    <row r="3264" spans="1:12" x14ac:dyDescent="0.3">
      <c r="A3264" t="s">
        <v>3270</v>
      </c>
      <c r="B3264" t="s">
        <v>10015</v>
      </c>
      <c r="C3264">
        <v>2</v>
      </c>
      <c r="D3264">
        <v>4</v>
      </c>
      <c r="E3264">
        <v>8</v>
      </c>
      <c r="F3264" t="s">
        <v>10019</v>
      </c>
      <c r="G3264" t="s">
        <v>10021</v>
      </c>
      <c r="H3264" s="6">
        <v>44959</v>
      </c>
      <c r="I3264">
        <f t="shared" si="100"/>
        <v>1</v>
      </c>
      <c r="J3264" t="str">
        <f t="shared" si="101"/>
        <v>Complete</v>
      </c>
      <c r="K3264">
        <f>COUNTIFS(RawData[Item], B3264,RawData[Quantity],C3264,RawData[Price Per Unit],D3264,RawData[Total Spent],E3264,RawData[Payment Method],F3264,RawData[Location],G3264,RawData[Transaction Date],H3264)</f>
        <v>1</v>
      </c>
      <c r="L3264"/>
    </row>
    <row r="3265" spans="1:12" x14ac:dyDescent="0.3">
      <c r="A3265" t="s">
        <v>3271</v>
      </c>
      <c r="B3265" t="s">
        <v>10012</v>
      </c>
      <c r="C3265">
        <v>1</v>
      </c>
      <c r="D3265">
        <v>4</v>
      </c>
      <c r="E3265" t="s">
        <v>10015</v>
      </c>
      <c r="F3265" t="s">
        <v>10020</v>
      </c>
      <c r="G3265" t="s">
        <v>10069</v>
      </c>
      <c r="H3265" s="6">
        <v>45111</v>
      </c>
      <c r="I3265">
        <f t="shared" si="100"/>
        <v>1</v>
      </c>
      <c r="J3265" t="str">
        <f t="shared" si="101"/>
        <v>Complete</v>
      </c>
      <c r="K3265">
        <f>COUNTIFS(RawData[Item], B3265,RawData[Quantity],C3265,RawData[Price Per Unit],D3265,RawData[Total Spent],E3265,RawData[Payment Method],F3265,RawData[Location],G3265,RawData[Transaction Date],H3265)</f>
        <v>1</v>
      </c>
      <c r="L3265"/>
    </row>
    <row r="3266" spans="1:12" x14ac:dyDescent="0.3">
      <c r="A3266" t="s">
        <v>3272</v>
      </c>
      <c r="B3266" t="s">
        <v>10014</v>
      </c>
      <c r="C3266">
        <v>5</v>
      </c>
      <c r="D3266">
        <v>4</v>
      </c>
      <c r="E3266">
        <v>20</v>
      </c>
      <c r="F3266" t="s">
        <v>10020</v>
      </c>
      <c r="G3266" t="s">
        <v>10102</v>
      </c>
      <c r="H3266" s="6">
        <v>45122</v>
      </c>
      <c r="I3266">
        <f t="shared" ref="I3266:I3329" si="102">(B3266="Unknown")+(B3266="Error")+(C3266="Unknown")+(C3266="Error")+(D3266="Unknown")+(D3266="Error")+(E3266="Unknown")+(E3266="Error")+(F3266="Unknown")+(F3266="Error")+(G3266="Unknown")+(G3266="Error")+(H3266="No Date")</f>
        <v>0</v>
      </c>
      <c r="J3266" t="str">
        <f t="shared" ref="J3266:J3329" si="103">IF((H3266="No Date"),"Incomplete","Complete")</f>
        <v>Complete</v>
      </c>
      <c r="K3266">
        <f>COUNTIFS(RawData[Item], B3266,RawData[Quantity],C3266,RawData[Price Per Unit],D3266,RawData[Total Spent],E3266,RawData[Payment Method],F3266,RawData[Location],G3266,RawData[Transaction Date],H3266)</f>
        <v>1</v>
      </c>
      <c r="L3266"/>
    </row>
    <row r="3267" spans="1:12" x14ac:dyDescent="0.3">
      <c r="A3267" t="s">
        <v>3273</v>
      </c>
      <c r="B3267" t="s">
        <v>10009</v>
      </c>
      <c r="C3267">
        <v>5</v>
      </c>
      <c r="D3267">
        <v>3</v>
      </c>
      <c r="E3267">
        <v>15</v>
      </c>
      <c r="F3267" t="s">
        <v>10069</v>
      </c>
      <c r="G3267" t="s">
        <v>10102</v>
      </c>
      <c r="H3267" s="6" t="s">
        <v>10112</v>
      </c>
      <c r="I3267">
        <f t="shared" si="102"/>
        <v>1</v>
      </c>
      <c r="J3267" t="str">
        <f t="shared" si="103"/>
        <v>Incomplete</v>
      </c>
      <c r="K3267">
        <f>COUNTIFS(RawData[Item], B3267,RawData[Quantity],C3267,RawData[Price Per Unit],D3267,RawData[Total Spent],E3267,RawData[Payment Method],F3267,RawData[Location],G3267,RawData[Transaction Date],H3267)</f>
        <v>3</v>
      </c>
      <c r="L3267"/>
    </row>
    <row r="3268" spans="1:12" x14ac:dyDescent="0.3">
      <c r="A3268" t="s">
        <v>3274</v>
      </c>
      <c r="B3268" t="s">
        <v>10009</v>
      </c>
      <c r="C3268">
        <v>2</v>
      </c>
      <c r="D3268">
        <v>3</v>
      </c>
      <c r="E3268">
        <v>6</v>
      </c>
      <c r="F3268" t="s">
        <v>10018</v>
      </c>
      <c r="G3268" t="s">
        <v>10021</v>
      </c>
      <c r="H3268" s="6">
        <v>45169</v>
      </c>
      <c r="I3268">
        <f t="shared" si="102"/>
        <v>0</v>
      </c>
      <c r="J3268" t="str">
        <f t="shared" si="103"/>
        <v>Complete</v>
      </c>
      <c r="K3268">
        <f>COUNTIFS(RawData[Item], B3268,RawData[Quantity],C3268,RawData[Price Per Unit],D3268,RawData[Total Spent],E3268,RawData[Payment Method],F3268,RawData[Location],G3268,RawData[Transaction Date],H3268)</f>
        <v>1</v>
      </c>
      <c r="L3268"/>
    </row>
    <row r="3269" spans="1:12" x14ac:dyDescent="0.3">
      <c r="A3269" t="s">
        <v>3275</v>
      </c>
      <c r="B3269" t="s">
        <v>10011</v>
      </c>
      <c r="C3269">
        <v>1</v>
      </c>
      <c r="D3269">
        <v>5</v>
      </c>
      <c r="E3269" t="s">
        <v>10013</v>
      </c>
      <c r="F3269" t="s">
        <v>10019</v>
      </c>
      <c r="G3269" t="s">
        <v>10069</v>
      </c>
      <c r="H3269" s="6">
        <v>45137</v>
      </c>
      <c r="I3269">
        <f t="shared" si="102"/>
        <v>1</v>
      </c>
      <c r="J3269" t="str">
        <f t="shared" si="103"/>
        <v>Complete</v>
      </c>
      <c r="K3269">
        <f>COUNTIFS(RawData[Item], B3269,RawData[Quantity],C3269,RawData[Price Per Unit],D3269,RawData[Total Spent],E3269,RawData[Payment Method],F3269,RawData[Location],G3269,RawData[Transaction Date],H3269)</f>
        <v>1</v>
      </c>
      <c r="L3269"/>
    </row>
    <row r="3270" spans="1:12" x14ac:dyDescent="0.3">
      <c r="A3270" t="s">
        <v>3276</v>
      </c>
      <c r="B3270" t="s">
        <v>10016</v>
      </c>
      <c r="C3270">
        <v>1</v>
      </c>
      <c r="D3270">
        <v>3</v>
      </c>
      <c r="E3270">
        <v>3</v>
      </c>
      <c r="F3270" t="s">
        <v>10018</v>
      </c>
      <c r="G3270" t="s">
        <v>10069</v>
      </c>
      <c r="H3270" s="6">
        <v>45089</v>
      </c>
      <c r="I3270">
        <f t="shared" si="102"/>
        <v>0</v>
      </c>
      <c r="J3270" t="str">
        <f t="shared" si="103"/>
        <v>Complete</v>
      </c>
      <c r="K3270">
        <f>COUNTIFS(RawData[Item], B3270,RawData[Quantity],C3270,RawData[Price Per Unit],D3270,RawData[Total Spent],E3270,RawData[Payment Method],F3270,RawData[Location],G3270,RawData[Transaction Date],H3270)</f>
        <v>1</v>
      </c>
      <c r="L3270"/>
    </row>
    <row r="3271" spans="1:12" x14ac:dyDescent="0.3">
      <c r="A3271" t="s">
        <v>3277</v>
      </c>
      <c r="B3271" t="s">
        <v>10009</v>
      </c>
      <c r="C3271">
        <v>5</v>
      </c>
      <c r="D3271">
        <v>3</v>
      </c>
      <c r="E3271">
        <v>15</v>
      </c>
      <c r="F3271" t="s">
        <v>10020</v>
      </c>
      <c r="G3271" t="s">
        <v>10069</v>
      </c>
      <c r="H3271" s="6">
        <v>45072</v>
      </c>
      <c r="I3271">
        <f t="shared" si="102"/>
        <v>0</v>
      </c>
      <c r="J3271" t="str">
        <f t="shared" si="103"/>
        <v>Complete</v>
      </c>
      <c r="K3271">
        <f>COUNTIFS(RawData[Item], B3271,RawData[Quantity],C3271,RawData[Price Per Unit],D3271,RawData[Total Spent],E3271,RawData[Payment Method],F3271,RawData[Location],G3271,RawData[Transaction Date],H3271)</f>
        <v>1</v>
      </c>
      <c r="L3271"/>
    </row>
    <row r="3272" spans="1:12" x14ac:dyDescent="0.3">
      <c r="A3272" t="s">
        <v>3278</v>
      </c>
      <c r="B3272" t="s">
        <v>10014</v>
      </c>
      <c r="C3272">
        <v>4</v>
      </c>
      <c r="D3272">
        <v>4</v>
      </c>
      <c r="E3272">
        <v>16</v>
      </c>
      <c r="F3272" t="s">
        <v>10069</v>
      </c>
      <c r="G3272" t="s">
        <v>10102</v>
      </c>
      <c r="H3272" s="6">
        <v>45235</v>
      </c>
      <c r="I3272">
        <f t="shared" si="102"/>
        <v>0</v>
      </c>
      <c r="J3272" t="str">
        <f t="shared" si="103"/>
        <v>Complete</v>
      </c>
      <c r="K3272">
        <f>COUNTIFS(RawData[Item], B3272,RawData[Quantity],C3272,RawData[Price Per Unit],D3272,RawData[Total Spent],E3272,RawData[Payment Method],F3272,RawData[Location],G3272,RawData[Transaction Date],H3272)</f>
        <v>1</v>
      </c>
      <c r="L3272"/>
    </row>
    <row r="3273" spans="1:12" x14ac:dyDescent="0.3">
      <c r="A3273" t="s">
        <v>3279</v>
      </c>
      <c r="B3273" t="s">
        <v>10010</v>
      </c>
      <c r="C3273">
        <v>5</v>
      </c>
      <c r="D3273">
        <v>1</v>
      </c>
      <c r="E3273" t="s">
        <v>10015</v>
      </c>
      <c r="F3273" t="s">
        <v>10018</v>
      </c>
      <c r="G3273" t="s">
        <v>10021</v>
      </c>
      <c r="H3273" s="6">
        <v>45242</v>
      </c>
      <c r="I3273">
        <f t="shared" si="102"/>
        <v>1</v>
      </c>
      <c r="J3273" t="str">
        <f t="shared" si="103"/>
        <v>Complete</v>
      </c>
      <c r="K3273">
        <f>COUNTIFS(RawData[Item], B3273,RawData[Quantity],C3273,RawData[Price Per Unit],D3273,RawData[Total Spent],E3273,RawData[Payment Method],F3273,RawData[Location],G3273,RawData[Transaction Date],H3273)</f>
        <v>1</v>
      </c>
      <c r="L3273"/>
    </row>
    <row r="3274" spans="1:12" x14ac:dyDescent="0.3">
      <c r="A3274" t="s">
        <v>3280</v>
      </c>
      <c r="B3274" t="s">
        <v>10011</v>
      </c>
      <c r="C3274" t="s">
        <v>10013</v>
      </c>
      <c r="D3274">
        <v>5</v>
      </c>
      <c r="E3274">
        <v>25</v>
      </c>
      <c r="F3274" t="s">
        <v>10019</v>
      </c>
      <c r="G3274" t="s">
        <v>10021</v>
      </c>
      <c r="H3274" s="6">
        <v>45222</v>
      </c>
      <c r="I3274">
        <f t="shared" si="102"/>
        <v>1</v>
      </c>
      <c r="J3274" t="str">
        <f t="shared" si="103"/>
        <v>Complete</v>
      </c>
      <c r="K3274">
        <f>COUNTIFS(RawData[Item], B3274,RawData[Quantity],C3274,RawData[Price Per Unit],D3274,RawData[Total Spent],E3274,RawData[Payment Method],F3274,RawData[Location],G3274,RawData[Transaction Date],H3274)</f>
        <v>1</v>
      </c>
      <c r="L3274"/>
    </row>
    <row r="3275" spans="1:12" x14ac:dyDescent="0.3">
      <c r="A3275" t="s">
        <v>3281</v>
      </c>
      <c r="B3275" t="s">
        <v>10009</v>
      </c>
      <c r="C3275">
        <v>1</v>
      </c>
      <c r="D3275">
        <v>3</v>
      </c>
      <c r="E3275">
        <v>3</v>
      </c>
      <c r="F3275" t="s">
        <v>10020</v>
      </c>
      <c r="G3275" t="s">
        <v>10102</v>
      </c>
      <c r="H3275" s="6">
        <v>45096</v>
      </c>
      <c r="I3275">
        <f t="shared" si="102"/>
        <v>0</v>
      </c>
      <c r="J3275" t="str">
        <f t="shared" si="103"/>
        <v>Complete</v>
      </c>
      <c r="K3275">
        <f>COUNTIFS(RawData[Item], B3275,RawData[Quantity],C3275,RawData[Price Per Unit],D3275,RawData[Total Spent],E3275,RawData[Payment Method],F3275,RawData[Location],G3275,RawData[Transaction Date],H3275)</f>
        <v>1</v>
      </c>
      <c r="L3275"/>
    </row>
    <row r="3276" spans="1:12" x14ac:dyDescent="0.3">
      <c r="A3276" t="s">
        <v>3282</v>
      </c>
      <c r="B3276" t="s">
        <v>10008</v>
      </c>
      <c r="C3276">
        <v>2</v>
      </c>
      <c r="D3276">
        <v>2</v>
      </c>
      <c r="E3276">
        <v>4</v>
      </c>
      <c r="F3276" t="s">
        <v>10069</v>
      </c>
      <c r="G3276" t="s">
        <v>10021</v>
      </c>
      <c r="H3276" s="6">
        <v>45209</v>
      </c>
      <c r="I3276">
        <f t="shared" si="102"/>
        <v>0</v>
      </c>
      <c r="J3276" t="str">
        <f t="shared" si="103"/>
        <v>Complete</v>
      </c>
      <c r="K3276">
        <f>COUNTIFS(RawData[Item], B3276,RawData[Quantity],C3276,RawData[Price Per Unit],D3276,RawData[Total Spent],E3276,RawData[Payment Method],F3276,RawData[Location],G3276,RawData[Transaction Date],H3276)</f>
        <v>1</v>
      </c>
      <c r="L3276"/>
    </row>
    <row r="3277" spans="1:12" x14ac:dyDescent="0.3">
      <c r="A3277" t="s">
        <v>3283</v>
      </c>
      <c r="B3277" t="s">
        <v>10008</v>
      </c>
      <c r="C3277">
        <v>5</v>
      </c>
      <c r="D3277">
        <v>2</v>
      </c>
      <c r="E3277">
        <v>10</v>
      </c>
      <c r="F3277" t="s">
        <v>10019</v>
      </c>
      <c r="G3277" t="s">
        <v>10021</v>
      </c>
      <c r="H3277" s="6">
        <v>44971</v>
      </c>
      <c r="I3277">
        <f t="shared" si="102"/>
        <v>0</v>
      </c>
      <c r="J3277" t="str">
        <f t="shared" si="103"/>
        <v>Complete</v>
      </c>
      <c r="K3277">
        <f>COUNTIFS(RawData[Item], B3277,RawData[Quantity],C3277,RawData[Price Per Unit],D3277,RawData[Total Spent],E3277,RawData[Payment Method],F3277,RawData[Location],G3277,RawData[Transaction Date],H3277)</f>
        <v>1</v>
      </c>
      <c r="L3277"/>
    </row>
    <row r="3278" spans="1:12" x14ac:dyDescent="0.3">
      <c r="A3278" t="s">
        <v>3284</v>
      </c>
      <c r="B3278" t="s">
        <v>10010</v>
      </c>
      <c r="C3278" t="s">
        <v>10015</v>
      </c>
      <c r="D3278">
        <v>1</v>
      </c>
      <c r="E3278">
        <v>3</v>
      </c>
      <c r="F3278" t="s">
        <v>10020</v>
      </c>
      <c r="G3278" t="s">
        <v>10021</v>
      </c>
      <c r="H3278" s="6">
        <v>45000</v>
      </c>
      <c r="I3278">
        <f t="shared" si="102"/>
        <v>1</v>
      </c>
      <c r="J3278" t="str">
        <f t="shared" si="103"/>
        <v>Complete</v>
      </c>
      <c r="K3278">
        <f>COUNTIFS(RawData[Item], B3278,RawData[Quantity],C3278,RawData[Price Per Unit],D3278,RawData[Total Spent],E3278,RawData[Payment Method],F3278,RawData[Location],G3278,RawData[Transaction Date],H3278)</f>
        <v>1</v>
      </c>
      <c r="L3278"/>
    </row>
    <row r="3279" spans="1:12" x14ac:dyDescent="0.3">
      <c r="A3279" t="s">
        <v>3285</v>
      </c>
      <c r="B3279" t="s">
        <v>10016</v>
      </c>
      <c r="C3279">
        <v>1</v>
      </c>
      <c r="D3279">
        <v>3</v>
      </c>
      <c r="E3279">
        <v>3</v>
      </c>
      <c r="F3279" t="s">
        <v>10069</v>
      </c>
      <c r="G3279" t="s">
        <v>10103</v>
      </c>
      <c r="H3279" s="6">
        <v>45158</v>
      </c>
      <c r="I3279">
        <f t="shared" si="102"/>
        <v>1</v>
      </c>
      <c r="J3279" t="str">
        <f t="shared" si="103"/>
        <v>Complete</v>
      </c>
      <c r="K3279">
        <f>COUNTIFS(RawData[Item], B3279,RawData[Quantity],C3279,RawData[Price Per Unit],D3279,RawData[Total Spent],E3279,RawData[Payment Method],F3279,RawData[Location],G3279,RawData[Transaction Date],H3279)</f>
        <v>1</v>
      </c>
      <c r="L3279"/>
    </row>
    <row r="3280" spans="1:12" x14ac:dyDescent="0.3">
      <c r="A3280" t="s">
        <v>3286</v>
      </c>
      <c r="B3280" t="s">
        <v>10014</v>
      </c>
      <c r="C3280">
        <v>3</v>
      </c>
      <c r="D3280">
        <v>4</v>
      </c>
      <c r="E3280">
        <v>12</v>
      </c>
      <c r="F3280" t="s">
        <v>10069</v>
      </c>
      <c r="G3280" t="s">
        <v>10069</v>
      </c>
      <c r="H3280" s="6">
        <v>45238</v>
      </c>
      <c r="I3280">
        <f t="shared" si="102"/>
        <v>0</v>
      </c>
      <c r="J3280" t="str">
        <f t="shared" si="103"/>
        <v>Complete</v>
      </c>
      <c r="K3280">
        <f>COUNTIFS(RawData[Item], B3280,RawData[Quantity],C3280,RawData[Price Per Unit],D3280,RawData[Total Spent],E3280,RawData[Payment Method],F3280,RawData[Location],G3280,RawData[Transaction Date],H3280)</f>
        <v>1</v>
      </c>
      <c r="L3280"/>
    </row>
    <row r="3281" spans="1:12" x14ac:dyDescent="0.3">
      <c r="A3281" t="s">
        <v>3287</v>
      </c>
      <c r="B3281" t="s">
        <v>10014</v>
      </c>
      <c r="C3281">
        <v>0</v>
      </c>
      <c r="D3281">
        <v>4</v>
      </c>
      <c r="E3281">
        <v>8</v>
      </c>
      <c r="F3281" t="s">
        <v>10103</v>
      </c>
      <c r="G3281" t="s">
        <v>10021</v>
      </c>
      <c r="H3281" s="6">
        <v>45217</v>
      </c>
      <c r="I3281">
        <f t="shared" si="102"/>
        <v>1</v>
      </c>
      <c r="J3281" t="str">
        <f t="shared" si="103"/>
        <v>Complete</v>
      </c>
      <c r="K3281">
        <f>COUNTIFS(RawData[Item], B3281,RawData[Quantity],C3281,RawData[Price Per Unit],D3281,RawData[Total Spent],E3281,RawData[Payment Method],F3281,RawData[Location],G3281,RawData[Transaction Date],H3281)</f>
        <v>1</v>
      </c>
      <c r="L3281"/>
    </row>
    <row r="3282" spans="1:12" x14ac:dyDescent="0.3">
      <c r="A3282" t="s">
        <v>3288</v>
      </c>
      <c r="B3282" t="s">
        <v>10011</v>
      </c>
      <c r="C3282">
        <v>3</v>
      </c>
      <c r="D3282">
        <v>5</v>
      </c>
      <c r="E3282">
        <v>0</v>
      </c>
      <c r="F3282" t="s">
        <v>10019</v>
      </c>
      <c r="G3282" t="s">
        <v>10102</v>
      </c>
      <c r="H3282" s="6">
        <v>45291</v>
      </c>
      <c r="I3282">
        <f t="shared" si="102"/>
        <v>0</v>
      </c>
      <c r="J3282" t="str">
        <f t="shared" si="103"/>
        <v>Complete</v>
      </c>
      <c r="K3282">
        <f>COUNTIFS(RawData[Item], B3282,RawData[Quantity],C3282,RawData[Price Per Unit],D3282,RawData[Total Spent],E3282,RawData[Payment Method],F3282,RawData[Location],G3282,RawData[Transaction Date],H3282)</f>
        <v>1</v>
      </c>
      <c r="L3282"/>
    </row>
    <row r="3283" spans="1:12" x14ac:dyDescent="0.3">
      <c r="A3283" t="s">
        <v>3289</v>
      </c>
      <c r="B3283" t="s">
        <v>10016</v>
      </c>
      <c r="C3283">
        <v>4</v>
      </c>
      <c r="D3283">
        <v>3</v>
      </c>
      <c r="E3283">
        <v>12</v>
      </c>
      <c r="F3283" t="s">
        <v>10018</v>
      </c>
      <c r="G3283" t="s">
        <v>10021</v>
      </c>
      <c r="H3283" s="6">
        <v>44979</v>
      </c>
      <c r="I3283">
        <f t="shared" si="102"/>
        <v>0</v>
      </c>
      <c r="J3283" t="str">
        <f t="shared" si="103"/>
        <v>Complete</v>
      </c>
      <c r="K3283">
        <f>COUNTIFS(RawData[Item], B3283,RawData[Quantity],C3283,RawData[Price Per Unit],D3283,RawData[Total Spent],E3283,RawData[Payment Method],F3283,RawData[Location],G3283,RawData[Transaction Date],H3283)</f>
        <v>1</v>
      </c>
      <c r="L3283"/>
    </row>
    <row r="3284" spans="1:12" x14ac:dyDescent="0.3">
      <c r="A3284" t="s">
        <v>3290</v>
      </c>
      <c r="B3284" t="s">
        <v>10010</v>
      </c>
      <c r="C3284">
        <v>5</v>
      </c>
      <c r="D3284">
        <v>1</v>
      </c>
      <c r="E3284">
        <v>5</v>
      </c>
      <c r="F3284" t="s">
        <v>10069</v>
      </c>
      <c r="G3284" t="s">
        <v>10102</v>
      </c>
      <c r="H3284" s="6">
        <v>45240</v>
      </c>
      <c r="I3284">
        <f t="shared" si="102"/>
        <v>0</v>
      </c>
      <c r="J3284" t="str">
        <f t="shared" si="103"/>
        <v>Complete</v>
      </c>
      <c r="K3284">
        <f>COUNTIFS(RawData[Item], B3284,RawData[Quantity],C3284,RawData[Price Per Unit],D3284,RawData[Total Spent],E3284,RawData[Payment Method],F3284,RawData[Location],G3284,RawData[Transaction Date],H3284)</f>
        <v>1</v>
      </c>
      <c r="L3284"/>
    </row>
    <row r="3285" spans="1:12" x14ac:dyDescent="0.3">
      <c r="A3285" t="s">
        <v>3291</v>
      </c>
      <c r="B3285" t="s">
        <v>10012</v>
      </c>
      <c r="C3285">
        <v>2</v>
      </c>
      <c r="D3285">
        <v>4</v>
      </c>
      <c r="E3285">
        <v>8</v>
      </c>
      <c r="F3285" t="s">
        <v>10020</v>
      </c>
      <c r="G3285" t="s">
        <v>10102</v>
      </c>
      <c r="H3285" s="6" t="s">
        <v>10112</v>
      </c>
      <c r="I3285">
        <f t="shared" si="102"/>
        <v>1</v>
      </c>
      <c r="J3285" t="str">
        <f t="shared" si="103"/>
        <v>Incomplete</v>
      </c>
      <c r="K3285">
        <f>COUNTIFS(RawData[Item], B3285,RawData[Quantity],C3285,RawData[Price Per Unit],D3285,RawData[Total Spent],E3285,RawData[Payment Method],F3285,RawData[Location],G3285,RawData[Transaction Date],H3285)</f>
        <v>2</v>
      </c>
      <c r="L3285"/>
    </row>
    <row r="3286" spans="1:12" x14ac:dyDescent="0.3">
      <c r="A3286" t="s">
        <v>3292</v>
      </c>
      <c r="B3286" t="s">
        <v>10008</v>
      </c>
      <c r="C3286">
        <v>3</v>
      </c>
      <c r="D3286">
        <v>2</v>
      </c>
      <c r="E3286">
        <v>6</v>
      </c>
      <c r="F3286" t="s">
        <v>10018</v>
      </c>
      <c r="G3286" t="s">
        <v>10102</v>
      </c>
      <c r="H3286" s="6">
        <v>44930</v>
      </c>
      <c r="I3286">
        <f t="shared" si="102"/>
        <v>0</v>
      </c>
      <c r="J3286" t="str">
        <f t="shared" si="103"/>
        <v>Complete</v>
      </c>
      <c r="K3286">
        <f>COUNTIFS(RawData[Item], B3286,RawData[Quantity],C3286,RawData[Price Per Unit],D3286,RawData[Total Spent],E3286,RawData[Payment Method],F3286,RawData[Location],G3286,RawData[Transaction Date],H3286)</f>
        <v>1</v>
      </c>
      <c r="L3286"/>
    </row>
    <row r="3287" spans="1:12" x14ac:dyDescent="0.3">
      <c r="A3287" t="s">
        <v>3293</v>
      </c>
      <c r="B3287" t="s">
        <v>10008</v>
      </c>
      <c r="C3287">
        <v>2</v>
      </c>
      <c r="D3287">
        <v>2</v>
      </c>
      <c r="E3287">
        <v>4</v>
      </c>
      <c r="F3287" t="s">
        <v>10069</v>
      </c>
      <c r="G3287" t="s">
        <v>10069</v>
      </c>
      <c r="H3287" s="6">
        <v>45227</v>
      </c>
      <c r="I3287">
        <f t="shared" si="102"/>
        <v>0</v>
      </c>
      <c r="J3287" t="str">
        <f t="shared" si="103"/>
        <v>Complete</v>
      </c>
      <c r="K3287">
        <f>COUNTIFS(RawData[Item], B3287,RawData[Quantity],C3287,RawData[Price Per Unit],D3287,RawData[Total Spent],E3287,RawData[Payment Method],F3287,RawData[Location],G3287,RawData[Transaction Date],H3287)</f>
        <v>1</v>
      </c>
      <c r="L3287"/>
    </row>
    <row r="3288" spans="1:12" x14ac:dyDescent="0.3">
      <c r="A3288" t="s">
        <v>3294</v>
      </c>
      <c r="B3288" t="s">
        <v>10011</v>
      </c>
      <c r="C3288">
        <v>2</v>
      </c>
      <c r="D3288">
        <v>5</v>
      </c>
      <c r="E3288">
        <v>10</v>
      </c>
      <c r="F3288" t="s">
        <v>10069</v>
      </c>
      <c r="G3288" t="s">
        <v>10021</v>
      </c>
      <c r="H3288" s="6" t="s">
        <v>10112</v>
      </c>
      <c r="I3288">
        <f t="shared" si="102"/>
        <v>1</v>
      </c>
      <c r="J3288" t="str">
        <f t="shared" si="103"/>
        <v>Incomplete</v>
      </c>
      <c r="K3288">
        <f>COUNTIFS(RawData[Item], B3288,RawData[Quantity],C3288,RawData[Price Per Unit],D3288,RawData[Total Spent],E3288,RawData[Payment Method],F3288,RawData[Location],G3288,RawData[Transaction Date],H3288)</f>
        <v>1</v>
      </c>
      <c r="L3288"/>
    </row>
    <row r="3289" spans="1:12" x14ac:dyDescent="0.3">
      <c r="A3289" t="s">
        <v>3295</v>
      </c>
      <c r="B3289" t="s">
        <v>10017</v>
      </c>
      <c r="C3289">
        <v>2</v>
      </c>
      <c r="D3289">
        <v>1.5</v>
      </c>
      <c r="E3289">
        <v>3</v>
      </c>
      <c r="F3289" t="s">
        <v>10018</v>
      </c>
      <c r="G3289" t="s">
        <v>10069</v>
      </c>
      <c r="H3289" s="6">
        <v>45058</v>
      </c>
      <c r="I3289">
        <f t="shared" si="102"/>
        <v>0</v>
      </c>
      <c r="J3289" t="str">
        <f t="shared" si="103"/>
        <v>Complete</v>
      </c>
      <c r="K3289">
        <f>COUNTIFS(RawData[Item], B3289,RawData[Quantity],C3289,RawData[Price Per Unit],D3289,RawData[Total Spent],E3289,RawData[Payment Method],F3289,RawData[Location],G3289,RawData[Transaction Date],H3289)</f>
        <v>1</v>
      </c>
      <c r="L3289"/>
    </row>
    <row r="3290" spans="1:12" x14ac:dyDescent="0.3">
      <c r="A3290" t="s">
        <v>3296</v>
      </c>
      <c r="B3290" t="s">
        <v>10009</v>
      </c>
      <c r="C3290">
        <v>3</v>
      </c>
      <c r="D3290">
        <v>3</v>
      </c>
      <c r="E3290">
        <v>9</v>
      </c>
      <c r="F3290" t="s">
        <v>10020</v>
      </c>
      <c r="G3290" t="s">
        <v>10069</v>
      </c>
      <c r="H3290" s="6">
        <v>44959</v>
      </c>
      <c r="I3290">
        <f t="shared" si="102"/>
        <v>0</v>
      </c>
      <c r="J3290" t="str">
        <f t="shared" si="103"/>
        <v>Complete</v>
      </c>
      <c r="K3290">
        <f>COUNTIFS(RawData[Item], B3290,RawData[Quantity],C3290,RawData[Price Per Unit],D3290,RawData[Total Spent],E3290,RawData[Payment Method],F3290,RawData[Location],G3290,RawData[Transaction Date],H3290)</f>
        <v>1</v>
      </c>
      <c r="L3290"/>
    </row>
    <row r="3291" spans="1:12" x14ac:dyDescent="0.3">
      <c r="A3291" t="s">
        <v>3297</v>
      </c>
      <c r="B3291" t="s">
        <v>10013</v>
      </c>
      <c r="C3291">
        <v>0</v>
      </c>
      <c r="D3291">
        <v>1.5</v>
      </c>
      <c r="E3291">
        <v>4.5</v>
      </c>
      <c r="F3291" t="s">
        <v>10019</v>
      </c>
      <c r="G3291" t="s">
        <v>10021</v>
      </c>
      <c r="H3291" s="6">
        <v>44937</v>
      </c>
      <c r="I3291">
        <f t="shared" si="102"/>
        <v>1</v>
      </c>
      <c r="J3291" t="str">
        <f t="shared" si="103"/>
        <v>Complete</v>
      </c>
      <c r="K3291">
        <f>COUNTIFS(RawData[Item], B3291,RawData[Quantity],C3291,RawData[Price Per Unit],D3291,RawData[Total Spent],E3291,RawData[Payment Method],F3291,RawData[Location],G3291,RawData[Transaction Date],H3291)</f>
        <v>1</v>
      </c>
      <c r="L3291"/>
    </row>
    <row r="3292" spans="1:12" x14ac:dyDescent="0.3">
      <c r="A3292" t="s">
        <v>3298</v>
      </c>
      <c r="B3292" t="s">
        <v>10016</v>
      </c>
      <c r="C3292">
        <v>1</v>
      </c>
      <c r="D3292">
        <v>3</v>
      </c>
      <c r="E3292">
        <v>3</v>
      </c>
      <c r="F3292" t="s">
        <v>10019</v>
      </c>
      <c r="G3292" t="s">
        <v>10069</v>
      </c>
      <c r="H3292" s="6">
        <v>45285</v>
      </c>
      <c r="I3292">
        <f t="shared" si="102"/>
        <v>0</v>
      </c>
      <c r="J3292" t="str">
        <f t="shared" si="103"/>
        <v>Complete</v>
      </c>
      <c r="K3292">
        <f>COUNTIFS(RawData[Item], B3292,RawData[Quantity],C3292,RawData[Price Per Unit],D3292,RawData[Total Spent],E3292,RawData[Payment Method],F3292,RawData[Location],G3292,RawData[Transaction Date],H3292)</f>
        <v>1</v>
      </c>
      <c r="L3292"/>
    </row>
    <row r="3293" spans="1:12" x14ac:dyDescent="0.3">
      <c r="A3293" t="s">
        <v>3299</v>
      </c>
      <c r="B3293" t="s">
        <v>10012</v>
      </c>
      <c r="C3293">
        <v>5</v>
      </c>
      <c r="D3293">
        <v>4</v>
      </c>
      <c r="E3293">
        <v>20</v>
      </c>
      <c r="F3293" t="s">
        <v>10020</v>
      </c>
      <c r="G3293" t="s">
        <v>10102</v>
      </c>
      <c r="H3293" s="6">
        <v>45139</v>
      </c>
      <c r="I3293">
        <f t="shared" si="102"/>
        <v>0</v>
      </c>
      <c r="J3293" t="str">
        <f t="shared" si="103"/>
        <v>Complete</v>
      </c>
      <c r="K3293">
        <f>COUNTIFS(RawData[Item], B3293,RawData[Quantity],C3293,RawData[Price Per Unit],D3293,RawData[Total Spent],E3293,RawData[Payment Method],F3293,RawData[Location],G3293,RawData[Transaction Date],H3293)</f>
        <v>1</v>
      </c>
      <c r="L3293"/>
    </row>
    <row r="3294" spans="1:12" x14ac:dyDescent="0.3">
      <c r="A3294" t="s">
        <v>3300</v>
      </c>
      <c r="B3294" t="s">
        <v>10016</v>
      </c>
      <c r="C3294">
        <v>1</v>
      </c>
      <c r="D3294">
        <v>3</v>
      </c>
      <c r="E3294">
        <v>3</v>
      </c>
      <c r="F3294" t="s">
        <v>10020</v>
      </c>
      <c r="G3294" t="s">
        <v>10021</v>
      </c>
      <c r="H3294" s="6">
        <v>45019</v>
      </c>
      <c r="I3294">
        <f t="shared" si="102"/>
        <v>0</v>
      </c>
      <c r="J3294" t="str">
        <f t="shared" si="103"/>
        <v>Complete</v>
      </c>
      <c r="K3294">
        <f>COUNTIFS(RawData[Item], B3294,RawData[Quantity],C3294,RawData[Price Per Unit],D3294,RawData[Total Spent],E3294,RawData[Payment Method],F3294,RawData[Location],G3294,RawData[Transaction Date],H3294)</f>
        <v>1</v>
      </c>
      <c r="L3294"/>
    </row>
    <row r="3295" spans="1:12" x14ac:dyDescent="0.3">
      <c r="A3295" t="s">
        <v>3301</v>
      </c>
      <c r="B3295" t="s">
        <v>10014</v>
      </c>
      <c r="C3295">
        <v>4</v>
      </c>
      <c r="D3295">
        <v>4</v>
      </c>
      <c r="E3295">
        <v>16</v>
      </c>
      <c r="F3295" t="s">
        <v>10069</v>
      </c>
      <c r="G3295" t="s">
        <v>10069</v>
      </c>
      <c r="H3295" s="6">
        <v>45263</v>
      </c>
      <c r="I3295">
        <f t="shared" si="102"/>
        <v>0</v>
      </c>
      <c r="J3295" t="str">
        <f t="shared" si="103"/>
        <v>Complete</v>
      </c>
      <c r="K3295">
        <f>COUNTIFS(RawData[Item], B3295,RawData[Quantity],C3295,RawData[Price Per Unit],D3295,RawData[Total Spent],E3295,RawData[Payment Method],F3295,RawData[Location],G3295,RawData[Transaction Date],H3295)</f>
        <v>1</v>
      </c>
      <c r="L3295"/>
    </row>
    <row r="3296" spans="1:12" x14ac:dyDescent="0.3">
      <c r="A3296" t="s">
        <v>3302</v>
      </c>
      <c r="B3296" t="s">
        <v>10008</v>
      </c>
      <c r="C3296">
        <v>2</v>
      </c>
      <c r="D3296">
        <v>2</v>
      </c>
      <c r="E3296">
        <v>4</v>
      </c>
      <c r="F3296" t="s">
        <v>10069</v>
      </c>
      <c r="G3296" t="s">
        <v>10069</v>
      </c>
      <c r="H3296" s="6">
        <v>44956</v>
      </c>
      <c r="I3296">
        <f t="shared" si="102"/>
        <v>0</v>
      </c>
      <c r="J3296" t="str">
        <f t="shared" si="103"/>
        <v>Complete</v>
      </c>
      <c r="K3296">
        <f>COUNTIFS(RawData[Item], B3296,RawData[Quantity],C3296,RawData[Price Per Unit],D3296,RawData[Total Spent],E3296,RawData[Payment Method],F3296,RawData[Location],G3296,RawData[Transaction Date],H3296)</f>
        <v>1</v>
      </c>
      <c r="L3296"/>
    </row>
    <row r="3297" spans="1:12" x14ac:dyDescent="0.3">
      <c r="A3297" t="s">
        <v>3303</v>
      </c>
      <c r="B3297" t="s">
        <v>10008</v>
      </c>
      <c r="C3297">
        <v>1</v>
      </c>
      <c r="D3297">
        <v>2</v>
      </c>
      <c r="E3297">
        <v>2</v>
      </c>
      <c r="F3297" t="s">
        <v>10018</v>
      </c>
      <c r="G3297" t="s">
        <v>10069</v>
      </c>
      <c r="H3297" s="6">
        <v>45243</v>
      </c>
      <c r="I3297">
        <f t="shared" si="102"/>
        <v>0</v>
      </c>
      <c r="J3297" t="str">
        <f t="shared" si="103"/>
        <v>Complete</v>
      </c>
      <c r="K3297">
        <f>COUNTIFS(RawData[Item], B3297,RawData[Quantity],C3297,RawData[Price Per Unit],D3297,RawData[Total Spent],E3297,RawData[Payment Method],F3297,RawData[Location],G3297,RawData[Transaction Date],H3297)</f>
        <v>1</v>
      </c>
      <c r="L3297"/>
    </row>
    <row r="3298" spans="1:12" x14ac:dyDescent="0.3">
      <c r="A3298" t="s">
        <v>3304</v>
      </c>
      <c r="B3298" t="s">
        <v>10014</v>
      </c>
      <c r="C3298">
        <v>4</v>
      </c>
      <c r="D3298">
        <v>4</v>
      </c>
      <c r="E3298">
        <v>16</v>
      </c>
      <c r="F3298" t="s">
        <v>10020</v>
      </c>
      <c r="G3298" t="s">
        <v>10102</v>
      </c>
      <c r="H3298" s="6">
        <v>45175</v>
      </c>
      <c r="I3298">
        <f t="shared" si="102"/>
        <v>0</v>
      </c>
      <c r="J3298" t="str">
        <f t="shared" si="103"/>
        <v>Complete</v>
      </c>
      <c r="K3298">
        <f>COUNTIFS(RawData[Item], B3298,RawData[Quantity],C3298,RawData[Price Per Unit],D3298,RawData[Total Spent],E3298,RawData[Payment Method],F3298,RawData[Location],G3298,RawData[Transaction Date],H3298)</f>
        <v>1</v>
      </c>
      <c r="L3298"/>
    </row>
    <row r="3299" spans="1:12" x14ac:dyDescent="0.3">
      <c r="A3299" t="s">
        <v>3305</v>
      </c>
      <c r="B3299" t="s">
        <v>10011</v>
      </c>
      <c r="C3299">
        <v>2</v>
      </c>
      <c r="D3299">
        <v>5</v>
      </c>
      <c r="E3299">
        <v>10</v>
      </c>
      <c r="F3299" t="s">
        <v>10069</v>
      </c>
      <c r="G3299" t="s">
        <v>10102</v>
      </c>
      <c r="H3299" s="6">
        <v>44941</v>
      </c>
      <c r="I3299">
        <f t="shared" si="102"/>
        <v>0</v>
      </c>
      <c r="J3299" t="str">
        <f t="shared" si="103"/>
        <v>Complete</v>
      </c>
      <c r="K3299">
        <f>COUNTIFS(RawData[Item], B3299,RawData[Quantity],C3299,RawData[Price Per Unit],D3299,RawData[Total Spent],E3299,RawData[Payment Method],F3299,RawData[Location],G3299,RawData[Transaction Date],H3299)</f>
        <v>1</v>
      </c>
      <c r="L3299"/>
    </row>
    <row r="3300" spans="1:12" x14ac:dyDescent="0.3">
      <c r="A3300" t="s">
        <v>3306</v>
      </c>
      <c r="B3300" t="s">
        <v>10012</v>
      </c>
      <c r="C3300">
        <v>3</v>
      </c>
      <c r="D3300">
        <v>4</v>
      </c>
      <c r="E3300">
        <v>12</v>
      </c>
      <c r="F3300" t="s">
        <v>10018</v>
      </c>
      <c r="G3300" t="s">
        <v>10102</v>
      </c>
      <c r="H3300" s="6">
        <v>44978</v>
      </c>
      <c r="I3300">
        <f t="shared" si="102"/>
        <v>0</v>
      </c>
      <c r="J3300" t="str">
        <f t="shared" si="103"/>
        <v>Complete</v>
      </c>
      <c r="K3300">
        <f>COUNTIFS(RawData[Item], B3300,RawData[Quantity],C3300,RawData[Price Per Unit],D3300,RawData[Total Spent],E3300,RawData[Payment Method],F3300,RawData[Location],G3300,RawData[Transaction Date],H3300)</f>
        <v>1</v>
      </c>
      <c r="L3300"/>
    </row>
    <row r="3301" spans="1:12" x14ac:dyDescent="0.3">
      <c r="A3301" t="s">
        <v>3307</v>
      </c>
      <c r="B3301" t="s">
        <v>10008</v>
      </c>
      <c r="C3301">
        <v>5</v>
      </c>
      <c r="D3301">
        <v>2</v>
      </c>
      <c r="E3301">
        <v>10</v>
      </c>
      <c r="F3301" t="s">
        <v>10069</v>
      </c>
      <c r="G3301" t="s">
        <v>10069</v>
      </c>
      <c r="H3301" s="6">
        <v>45044</v>
      </c>
      <c r="I3301">
        <f t="shared" si="102"/>
        <v>0</v>
      </c>
      <c r="J3301" t="str">
        <f t="shared" si="103"/>
        <v>Complete</v>
      </c>
      <c r="K3301">
        <f>COUNTIFS(RawData[Item], B3301,RawData[Quantity],C3301,RawData[Price Per Unit],D3301,RawData[Total Spent],E3301,RawData[Payment Method],F3301,RawData[Location],G3301,RawData[Transaction Date],H3301)</f>
        <v>1</v>
      </c>
      <c r="L3301"/>
    </row>
    <row r="3302" spans="1:12" x14ac:dyDescent="0.3">
      <c r="A3302" t="s">
        <v>3308</v>
      </c>
      <c r="B3302" t="s">
        <v>10012</v>
      </c>
      <c r="C3302">
        <v>3</v>
      </c>
      <c r="D3302">
        <v>0</v>
      </c>
      <c r="E3302">
        <v>12</v>
      </c>
      <c r="F3302" t="s">
        <v>10069</v>
      </c>
      <c r="G3302" t="s">
        <v>10021</v>
      </c>
      <c r="H3302" s="6">
        <v>45085</v>
      </c>
      <c r="I3302">
        <f t="shared" si="102"/>
        <v>0</v>
      </c>
      <c r="J3302" t="str">
        <f t="shared" si="103"/>
        <v>Complete</v>
      </c>
      <c r="K3302">
        <f>COUNTIFS(RawData[Item], B3302,RawData[Quantity],C3302,RawData[Price Per Unit],D3302,RawData[Total Spent],E3302,RawData[Payment Method],F3302,RawData[Location],G3302,RawData[Transaction Date],H3302)</f>
        <v>1</v>
      </c>
      <c r="L3302"/>
    </row>
    <row r="3303" spans="1:12" x14ac:dyDescent="0.3">
      <c r="A3303" t="s">
        <v>3309</v>
      </c>
      <c r="B3303" t="s">
        <v>10012</v>
      </c>
      <c r="C3303">
        <v>4</v>
      </c>
      <c r="D3303">
        <v>4</v>
      </c>
      <c r="E3303">
        <v>16</v>
      </c>
      <c r="F3303" t="s">
        <v>10020</v>
      </c>
      <c r="G3303" t="s">
        <v>10021</v>
      </c>
      <c r="H3303" s="6">
        <v>45219</v>
      </c>
      <c r="I3303">
        <f t="shared" si="102"/>
        <v>0</v>
      </c>
      <c r="J3303" t="str">
        <f t="shared" si="103"/>
        <v>Complete</v>
      </c>
      <c r="K3303">
        <f>COUNTIFS(RawData[Item], B3303,RawData[Quantity],C3303,RawData[Price Per Unit],D3303,RawData[Total Spent],E3303,RawData[Payment Method],F3303,RawData[Location],G3303,RawData[Transaction Date],H3303)</f>
        <v>1</v>
      </c>
      <c r="L3303"/>
    </row>
    <row r="3304" spans="1:12" x14ac:dyDescent="0.3">
      <c r="A3304" t="s">
        <v>3310</v>
      </c>
      <c r="B3304" t="s">
        <v>10009</v>
      </c>
      <c r="C3304">
        <v>1</v>
      </c>
      <c r="D3304">
        <v>3</v>
      </c>
      <c r="E3304">
        <v>3</v>
      </c>
      <c r="F3304" t="s">
        <v>10019</v>
      </c>
      <c r="G3304" t="s">
        <v>10102</v>
      </c>
      <c r="H3304" s="6" t="s">
        <v>10112</v>
      </c>
      <c r="I3304">
        <f t="shared" si="102"/>
        <v>1</v>
      </c>
      <c r="J3304" t="str">
        <f t="shared" si="103"/>
        <v>Incomplete</v>
      </c>
      <c r="K3304">
        <f>COUNTIFS(RawData[Item], B3304,RawData[Quantity],C3304,RawData[Price Per Unit],D3304,RawData[Total Spent],E3304,RawData[Payment Method],F3304,RawData[Location],G3304,RawData[Transaction Date],H3304)</f>
        <v>1</v>
      </c>
      <c r="L3304"/>
    </row>
    <row r="3305" spans="1:12" x14ac:dyDescent="0.3">
      <c r="A3305" t="s">
        <v>3311</v>
      </c>
      <c r="B3305" t="s">
        <v>10017</v>
      </c>
      <c r="C3305">
        <v>4</v>
      </c>
      <c r="D3305">
        <v>1.5</v>
      </c>
      <c r="E3305">
        <v>6</v>
      </c>
      <c r="F3305" t="s">
        <v>10020</v>
      </c>
      <c r="G3305" t="s">
        <v>10102</v>
      </c>
      <c r="H3305" s="6">
        <v>45043</v>
      </c>
      <c r="I3305">
        <f t="shared" si="102"/>
        <v>0</v>
      </c>
      <c r="J3305" t="str">
        <f t="shared" si="103"/>
        <v>Complete</v>
      </c>
      <c r="K3305">
        <f>COUNTIFS(RawData[Item], B3305,RawData[Quantity],C3305,RawData[Price Per Unit],D3305,RawData[Total Spent],E3305,RawData[Payment Method],F3305,RawData[Location],G3305,RawData[Transaction Date],H3305)</f>
        <v>1</v>
      </c>
      <c r="L3305"/>
    </row>
    <row r="3306" spans="1:12" x14ac:dyDescent="0.3">
      <c r="A3306" t="s">
        <v>3312</v>
      </c>
      <c r="B3306" t="s">
        <v>10009</v>
      </c>
      <c r="C3306">
        <v>5</v>
      </c>
      <c r="D3306">
        <v>3</v>
      </c>
      <c r="E3306">
        <v>15</v>
      </c>
      <c r="F3306" t="s">
        <v>10069</v>
      </c>
      <c r="G3306" t="s">
        <v>10069</v>
      </c>
      <c r="H3306" s="6">
        <v>45220</v>
      </c>
      <c r="I3306">
        <f t="shared" si="102"/>
        <v>0</v>
      </c>
      <c r="J3306" t="str">
        <f t="shared" si="103"/>
        <v>Complete</v>
      </c>
      <c r="K3306">
        <f>COUNTIFS(RawData[Item], B3306,RawData[Quantity],C3306,RawData[Price Per Unit],D3306,RawData[Total Spent],E3306,RawData[Payment Method],F3306,RawData[Location],G3306,RawData[Transaction Date],H3306)</f>
        <v>1</v>
      </c>
      <c r="L3306"/>
    </row>
    <row r="3307" spans="1:12" x14ac:dyDescent="0.3">
      <c r="A3307" t="s">
        <v>3313</v>
      </c>
      <c r="B3307" t="s">
        <v>10013</v>
      </c>
      <c r="C3307">
        <v>3</v>
      </c>
      <c r="D3307">
        <v>1</v>
      </c>
      <c r="E3307">
        <v>3</v>
      </c>
      <c r="F3307" t="s">
        <v>10019</v>
      </c>
      <c r="G3307" t="s">
        <v>10102</v>
      </c>
      <c r="H3307" s="6">
        <v>45048</v>
      </c>
      <c r="I3307">
        <f t="shared" si="102"/>
        <v>1</v>
      </c>
      <c r="J3307" t="str">
        <f t="shared" si="103"/>
        <v>Complete</v>
      </c>
      <c r="K3307">
        <f>COUNTIFS(RawData[Item], B3307,RawData[Quantity],C3307,RawData[Price Per Unit],D3307,RawData[Total Spent],E3307,RawData[Payment Method],F3307,RawData[Location],G3307,RawData[Transaction Date],H3307)</f>
        <v>1</v>
      </c>
      <c r="L3307"/>
    </row>
    <row r="3308" spans="1:12" x14ac:dyDescent="0.3">
      <c r="A3308" t="s">
        <v>3314</v>
      </c>
      <c r="B3308" t="s">
        <v>10008</v>
      </c>
      <c r="C3308">
        <v>4</v>
      </c>
      <c r="D3308">
        <v>2</v>
      </c>
      <c r="E3308">
        <v>8</v>
      </c>
      <c r="F3308" t="s">
        <v>10020</v>
      </c>
      <c r="G3308" t="s">
        <v>10069</v>
      </c>
      <c r="H3308" s="6">
        <v>45019</v>
      </c>
      <c r="I3308">
        <f t="shared" si="102"/>
        <v>0</v>
      </c>
      <c r="J3308" t="str">
        <f t="shared" si="103"/>
        <v>Complete</v>
      </c>
      <c r="K3308">
        <f>COUNTIFS(RawData[Item], B3308,RawData[Quantity],C3308,RawData[Price Per Unit],D3308,RawData[Total Spent],E3308,RawData[Payment Method],F3308,RawData[Location],G3308,RawData[Transaction Date],H3308)</f>
        <v>1</v>
      </c>
      <c r="L3308"/>
    </row>
    <row r="3309" spans="1:12" x14ac:dyDescent="0.3">
      <c r="A3309" t="s">
        <v>3315</v>
      </c>
      <c r="B3309" t="s">
        <v>10012</v>
      </c>
      <c r="C3309">
        <v>3</v>
      </c>
      <c r="D3309">
        <v>4</v>
      </c>
      <c r="E3309">
        <v>12</v>
      </c>
      <c r="F3309" t="s">
        <v>10018</v>
      </c>
      <c r="G3309" t="s">
        <v>10102</v>
      </c>
      <c r="H3309" s="6">
        <v>44954</v>
      </c>
      <c r="I3309">
        <f t="shared" si="102"/>
        <v>0</v>
      </c>
      <c r="J3309" t="str">
        <f t="shared" si="103"/>
        <v>Complete</v>
      </c>
      <c r="K3309">
        <f>COUNTIFS(RawData[Item], B3309,RawData[Quantity],C3309,RawData[Price Per Unit],D3309,RawData[Total Spent],E3309,RawData[Payment Method],F3309,RawData[Location],G3309,RawData[Transaction Date],H3309)</f>
        <v>1</v>
      </c>
      <c r="L3309"/>
    </row>
    <row r="3310" spans="1:12" x14ac:dyDescent="0.3">
      <c r="A3310" t="s">
        <v>3316</v>
      </c>
      <c r="B3310" t="s">
        <v>10009</v>
      </c>
      <c r="C3310">
        <v>5</v>
      </c>
      <c r="D3310">
        <v>3</v>
      </c>
      <c r="E3310">
        <v>15</v>
      </c>
      <c r="F3310" t="s">
        <v>10018</v>
      </c>
      <c r="G3310" t="s">
        <v>10069</v>
      </c>
      <c r="H3310" s="6">
        <v>44992</v>
      </c>
      <c r="I3310">
        <f t="shared" si="102"/>
        <v>0</v>
      </c>
      <c r="J3310" t="str">
        <f t="shared" si="103"/>
        <v>Complete</v>
      </c>
      <c r="K3310">
        <f>COUNTIFS(RawData[Item], B3310,RawData[Quantity],C3310,RawData[Price Per Unit],D3310,RawData[Total Spent],E3310,RawData[Payment Method],F3310,RawData[Location],G3310,RawData[Transaction Date],H3310)</f>
        <v>1</v>
      </c>
      <c r="L3310"/>
    </row>
    <row r="3311" spans="1:12" x14ac:dyDescent="0.3">
      <c r="A3311" t="s">
        <v>3317</v>
      </c>
      <c r="B3311" t="s">
        <v>10009</v>
      </c>
      <c r="C3311">
        <v>1</v>
      </c>
      <c r="D3311">
        <v>3</v>
      </c>
      <c r="E3311">
        <v>3</v>
      </c>
      <c r="F3311" t="s">
        <v>10019</v>
      </c>
      <c r="G3311" t="s">
        <v>10021</v>
      </c>
      <c r="H3311" s="6">
        <v>44986</v>
      </c>
      <c r="I3311">
        <f t="shared" si="102"/>
        <v>0</v>
      </c>
      <c r="J3311" t="str">
        <f t="shared" si="103"/>
        <v>Complete</v>
      </c>
      <c r="K3311">
        <f>COUNTIFS(RawData[Item], B3311,RawData[Quantity],C3311,RawData[Price Per Unit],D3311,RawData[Total Spent],E3311,RawData[Payment Method],F3311,RawData[Location],G3311,RawData[Transaction Date],H3311)</f>
        <v>1</v>
      </c>
      <c r="L3311"/>
    </row>
    <row r="3312" spans="1:12" x14ac:dyDescent="0.3">
      <c r="A3312" t="s">
        <v>3318</v>
      </c>
      <c r="B3312" t="s">
        <v>10009</v>
      </c>
      <c r="C3312">
        <v>1</v>
      </c>
      <c r="D3312">
        <v>3</v>
      </c>
      <c r="E3312">
        <v>3</v>
      </c>
      <c r="F3312" t="s">
        <v>10069</v>
      </c>
      <c r="G3312" t="s">
        <v>10021</v>
      </c>
      <c r="H3312" s="6">
        <v>44939</v>
      </c>
      <c r="I3312">
        <f t="shared" si="102"/>
        <v>0</v>
      </c>
      <c r="J3312" t="str">
        <f t="shared" si="103"/>
        <v>Complete</v>
      </c>
      <c r="K3312">
        <f>COUNTIFS(RawData[Item], B3312,RawData[Quantity],C3312,RawData[Price Per Unit],D3312,RawData[Total Spent],E3312,RawData[Payment Method],F3312,RawData[Location],G3312,RawData[Transaction Date],H3312)</f>
        <v>1</v>
      </c>
      <c r="L3312"/>
    </row>
    <row r="3313" spans="1:12" x14ac:dyDescent="0.3">
      <c r="A3313" t="s">
        <v>3319</v>
      </c>
      <c r="B3313" t="s">
        <v>10009</v>
      </c>
      <c r="C3313">
        <v>3</v>
      </c>
      <c r="D3313">
        <v>3</v>
      </c>
      <c r="E3313">
        <v>9</v>
      </c>
      <c r="F3313" t="s">
        <v>10020</v>
      </c>
      <c r="G3313" t="s">
        <v>10102</v>
      </c>
      <c r="H3313" s="6">
        <v>45027</v>
      </c>
      <c r="I3313">
        <f t="shared" si="102"/>
        <v>0</v>
      </c>
      <c r="J3313" t="str">
        <f t="shared" si="103"/>
        <v>Complete</v>
      </c>
      <c r="K3313">
        <f>COUNTIFS(RawData[Item], B3313,RawData[Quantity],C3313,RawData[Price Per Unit],D3313,RawData[Total Spent],E3313,RawData[Payment Method],F3313,RawData[Location],G3313,RawData[Transaction Date],H3313)</f>
        <v>1</v>
      </c>
      <c r="L3313"/>
    </row>
    <row r="3314" spans="1:12" x14ac:dyDescent="0.3">
      <c r="A3314" t="s">
        <v>3320</v>
      </c>
      <c r="B3314" t="s">
        <v>10016</v>
      </c>
      <c r="C3314">
        <v>3</v>
      </c>
      <c r="D3314">
        <v>3</v>
      </c>
      <c r="E3314">
        <v>9</v>
      </c>
      <c r="F3314" t="s">
        <v>10020</v>
      </c>
      <c r="G3314" t="s">
        <v>10021</v>
      </c>
      <c r="H3314" s="6">
        <v>45096</v>
      </c>
      <c r="I3314">
        <f t="shared" si="102"/>
        <v>0</v>
      </c>
      <c r="J3314" t="str">
        <f t="shared" si="103"/>
        <v>Complete</v>
      </c>
      <c r="K3314">
        <f>COUNTIFS(RawData[Item], B3314,RawData[Quantity],C3314,RawData[Price Per Unit],D3314,RawData[Total Spent],E3314,RawData[Payment Method],F3314,RawData[Location],G3314,RawData[Transaction Date],H3314)</f>
        <v>1</v>
      </c>
      <c r="L3314"/>
    </row>
    <row r="3315" spans="1:12" x14ac:dyDescent="0.3">
      <c r="A3315" t="s">
        <v>3321</v>
      </c>
      <c r="B3315" t="s">
        <v>10017</v>
      </c>
      <c r="C3315">
        <v>3</v>
      </c>
      <c r="D3315">
        <v>1.5</v>
      </c>
      <c r="E3315">
        <v>4.5</v>
      </c>
      <c r="F3315" t="s">
        <v>10103</v>
      </c>
      <c r="G3315" t="s">
        <v>10021</v>
      </c>
      <c r="H3315" s="6">
        <v>44951</v>
      </c>
      <c r="I3315">
        <f t="shared" si="102"/>
        <v>1</v>
      </c>
      <c r="J3315" t="str">
        <f t="shared" si="103"/>
        <v>Complete</v>
      </c>
      <c r="K3315">
        <f>COUNTIFS(RawData[Item], B3315,RawData[Quantity],C3315,RawData[Price Per Unit],D3315,RawData[Total Spent],E3315,RawData[Payment Method],F3315,RawData[Location],G3315,RawData[Transaction Date],H3315)</f>
        <v>1</v>
      </c>
      <c r="L3315"/>
    </row>
    <row r="3316" spans="1:12" x14ac:dyDescent="0.3">
      <c r="A3316" t="s">
        <v>3322</v>
      </c>
      <c r="B3316" t="s">
        <v>10014</v>
      </c>
      <c r="C3316" t="s">
        <v>10013</v>
      </c>
      <c r="D3316">
        <v>4</v>
      </c>
      <c r="E3316">
        <v>16</v>
      </c>
      <c r="F3316" t="s">
        <v>10019</v>
      </c>
      <c r="G3316" t="s">
        <v>10021</v>
      </c>
      <c r="H3316" s="6" t="s">
        <v>10112</v>
      </c>
      <c r="I3316">
        <f t="shared" si="102"/>
        <v>2</v>
      </c>
      <c r="J3316" t="str">
        <f t="shared" si="103"/>
        <v>Incomplete</v>
      </c>
      <c r="K3316">
        <f>COUNTIFS(RawData[Item], B3316,RawData[Quantity],C3316,RawData[Price Per Unit],D3316,RawData[Total Spent],E3316,RawData[Payment Method],F3316,RawData[Location],G3316,RawData[Transaction Date],H3316)</f>
        <v>1</v>
      </c>
      <c r="L3316"/>
    </row>
    <row r="3317" spans="1:12" x14ac:dyDescent="0.3">
      <c r="A3317" t="s">
        <v>3323</v>
      </c>
      <c r="B3317" t="s">
        <v>10008</v>
      </c>
      <c r="C3317" t="s">
        <v>10013</v>
      </c>
      <c r="D3317">
        <v>2</v>
      </c>
      <c r="E3317">
        <v>4</v>
      </c>
      <c r="F3317" t="s">
        <v>10069</v>
      </c>
      <c r="G3317" t="s">
        <v>10021</v>
      </c>
      <c r="H3317" s="6">
        <v>45061</v>
      </c>
      <c r="I3317">
        <f t="shared" si="102"/>
        <v>1</v>
      </c>
      <c r="J3317" t="str">
        <f t="shared" si="103"/>
        <v>Complete</v>
      </c>
      <c r="K3317">
        <f>COUNTIFS(RawData[Item], B3317,RawData[Quantity],C3317,RawData[Price Per Unit],D3317,RawData[Total Spent],E3317,RawData[Payment Method],F3317,RawData[Location],G3317,RawData[Transaction Date],H3317)</f>
        <v>1</v>
      </c>
      <c r="L3317"/>
    </row>
    <row r="3318" spans="1:12" x14ac:dyDescent="0.3">
      <c r="A3318" t="s">
        <v>3324</v>
      </c>
      <c r="B3318" t="s">
        <v>10017</v>
      </c>
      <c r="C3318">
        <v>3</v>
      </c>
      <c r="D3318">
        <v>1.5</v>
      </c>
      <c r="E3318">
        <v>4.5</v>
      </c>
      <c r="F3318" t="s">
        <v>10019</v>
      </c>
      <c r="G3318" t="s">
        <v>10102</v>
      </c>
      <c r="H3318" s="6">
        <v>45104</v>
      </c>
      <c r="I3318">
        <f t="shared" si="102"/>
        <v>0</v>
      </c>
      <c r="J3318" t="str">
        <f t="shared" si="103"/>
        <v>Complete</v>
      </c>
      <c r="K3318">
        <f>COUNTIFS(RawData[Item], B3318,RawData[Quantity],C3318,RawData[Price Per Unit],D3318,RawData[Total Spent],E3318,RawData[Payment Method],F3318,RawData[Location],G3318,RawData[Transaction Date],H3318)</f>
        <v>1</v>
      </c>
      <c r="L3318"/>
    </row>
    <row r="3319" spans="1:12" x14ac:dyDescent="0.3">
      <c r="A3319" t="s">
        <v>3325</v>
      </c>
      <c r="B3319" t="s">
        <v>10011</v>
      </c>
      <c r="C3319">
        <v>4</v>
      </c>
      <c r="D3319">
        <v>5</v>
      </c>
      <c r="E3319" t="s">
        <v>10013</v>
      </c>
      <c r="F3319" t="s">
        <v>10018</v>
      </c>
      <c r="G3319" t="s">
        <v>10069</v>
      </c>
      <c r="H3319" s="6">
        <v>44939</v>
      </c>
      <c r="I3319">
        <f t="shared" si="102"/>
        <v>1</v>
      </c>
      <c r="J3319" t="str">
        <f t="shared" si="103"/>
        <v>Complete</v>
      </c>
      <c r="K3319">
        <f>COUNTIFS(RawData[Item], B3319,RawData[Quantity],C3319,RawData[Price Per Unit],D3319,RawData[Total Spent],E3319,RawData[Payment Method],F3319,RawData[Location],G3319,RawData[Transaction Date],H3319)</f>
        <v>1</v>
      </c>
      <c r="L3319"/>
    </row>
    <row r="3320" spans="1:12" x14ac:dyDescent="0.3">
      <c r="A3320" t="s">
        <v>3326</v>
      </c>
      <c r="B3320" t="s">
        <v>10014</v>
      </c>
      <c r="C3320">
        <v>1</v>
      </c>
      <c r="D3320">
        <v>4</v>
      </c>
      <c r="E3320">
        <v>4</v>
      </c>
      <c r="F3320" t="s">
        <v>10019</v>
      </c>
      <c r="G3320" t="s">
        <v>10021</v>
      </c>
      <c r="H3320" s="6">
        <v>45157</v>
      </c>
      <c r="I3320">
        <f t="shared" si="102"/>
        <v>0</v>
      </c>
      <c r="J3320" t="str">
        <f t="shared" si="103"/>
        <v>Complete</v>
      </c>
      <c r="K3320">
        <f>COUNTIFS(RawData[Item], B3320,RawData[Quantity],C3320,RawData[Price Per Unit],D3320,RawData[Total Spent],E3320,RawData[Payment Method],F3320,RawData[Location],G3320,RawData[Transaction Date],H3320)</f>
        <v>1</v>
      </c>
      <c r="L3320"/>
    </row>
    <row r="3321" spans="1:12" x14ac:dyDescent="0.3">
      <c r="A3321" t="s">
        <v>3327</v>
      </c>
      <c r="B3321" t="s">
        <v>10017</v>
      </c>
      <c r="C3321">
        <v>2</v>
      </c>
      <c r="D3321">
        <v>1.5</v>
      </c>
      <c r="E3321">
        <v>3</v>
      </c>
      <c r="F3321" t="s">
        <v>10069</v>
      </c>
      <c r="G3321" t="s">
        <v>10069</v>
      </c>
      <c r="H3321" s="6">
        <v>45204</v>
      </c>
      <c r="I3321">
        <f t="shared" si="102"/>
        <v>0</v>
      </c>
      <c r="J3321" t="str">
        <f t="shared" si="103"/>
        <v>Complete</v>
      </c>
      <c r="K3321">
        <f>COUNTIFS(RawData[Item], B3321,RawData[Quantity],C3321,RawData[Price Per Unit],D3321,RawData[Total Spent],E3321,RawData[Payment Method],F3321,RawData[Location],G3321,RawData[Transaction Date],H3321)</f>
        <v>1</v>
      </c>
      <c r="L3321"/>
    </row>
    <row r="3322" spans="1:12" x14ac:dyDescent="0.3">
      <c r="A3322" t="s">
        <v>3328</v>
      </c>
      <c r="B3322" t="s">
        <v>10008</v>
      </c>
      <c r="C3322">
        <v>3</v>
      </c>
      <c r="D3322">
        <v>2</v>
      </c>
      <c r="E3322">
        <v>6</v>
      </c>
      <c r="F3322" t="s">
        <v>10020</v>
      </c>
      <c r="G3322" t="s">
        <v>10021</v>
      </c>
      <c r="H3322" s="6">
        <v>45049</v>
      </c>
      <c r="I3322">
        <f t="shared" si="102"/>
        <v>0</v>
      </c>
      <c r="J3322" t="str">
        <f t="shared" si="103"/>
        <v>Complete</v>
      </c>
      <c r="K3322">
        <f>COUNTIFS(RawData[Item], B3322,RawData[Quantity],C3322,RawData[Price Per Unit],D3322,RawData[Total Spent],E3322,RawData[Payment Method],F3322,RawData[Location],G3322,RawData[Transaction Date],H3322)</f>
        <v>1</v>
      </c>
      <c r="L3322"/>
    </row>
    <row r="3323" spans="1:12" x14ac:dyDescent="0.3">
      <c r="A3323" t="s">
        <v>3329</v>
      </c>
      <c r="B3323" t="s">
        <v>10010</v>
      </c>
      <c r="C3323">
        <v>4</v>
      </c>
      <c r="D3323">
        <v>1</v>
      </c>
      <c r="E3323">
        <v>4</v>
      </c>
      <c r="F3323" t="s">
        <v>10069</v>
      </c>
      <c r="G3323" t="s">
        <v>10021</v>
      </c>
      <c r="H3323" s="6">
        <v>44963</v>
      </c>
      <c r="I3323">
        <f t="shared" si="102"/>
        <v>0</v>
      </c>
      <c r="J3323" t="str">
        <f t="shared" si="103"/>
        <v>Complete</v>
      </c>
      <c r="K3323">
        <f>COUNTIFS(RawData[Item], B3323,RawData[Quantity],C3323,RawData[Price Per Unit],D3323,RawData[Total Spent],E3323,RawData[Payment Method],F3323,RawData[Location],G3323,RawData[Transaction Date],H3323)</f>
        <v>1</v>
      </c>
      <c r="L3323"/>
    </row>
    <row r="3324" spans="1:12" x14ac:dyDescent="0.3">
      <c r="A3324" t="s">
        <v>3330</v>
      </c>
      <c r="B3324" t="s">
        <v>10013</v>
      </c>
      <c r="C3324" t="s">
        <v>10013</v>
      </c>
      <c r="D3324">
        <v>2</v>
      </c>
      <c r="E3324">
        <v>4</v>
      </c>
      <c r="F3324" t="s">
        <v>10069</v>
      </c>
      <c r="G3324" t="s">
        <v>10069</v>
      </c>
      <c r="H3324" s="6">
        <v>45199</v>
      </c>
      <c r="I3324">
        <f t="shared" si="102"/>
        <v>2</v>
      </c>
      <c r="J3324" t="str">
        <f t="shared" si="103"/>
        <v>Complete</v>
      </c>
      <c r="K3324">
        <f>COUNTIFS(RawData[Item], B3324,RawData[Quantity],C3324,RawData[Price Per Unit],D3324,RawData[Total Spent],E3324,RawData[Payment Method],F3324,RawData[Location],G3324,RawData[Transaction Date],H3324)</f>
        <v>1</v>
      </c>
      <c r="L3324"/>
    </row>
    <row r="3325" spans="1:12" x14ac:dyDescent="0.3">
      <c r="A3325" t="s">
        <v>3331</v>
      </c>
      <c r="B3325" t="s">
        <v>10017</v>
      </c>
      <c r="C3325">
        <v>5</v>
      </c>
      <c r="D3325">
        <v>1.5</v>
      </c>
      <c r="E3325">
        <v>7.5</v>
      </c>
      <c r="F3325" t="s">
        <v>10018</v>
      </c>
      <c r="G3325" t="s">
        <v>10102</v>
      </c>
      <c r="H3325" s="6">
        <v>45017</v>
      </c>
      <c r="I3325">
        <f t="shared" si="102"/>
        <v>0</v>
      </c>
      <c r="J3325" t="str">
        <f t="shared" si="103"/>
        <v>Complete</v>
      </c>
      <c r="K3325">
        <f>COUNTIFS(RawData[Item], B3325,RawData[Quantity],C3325,RawData[Price Per Unit],D3325,RawData[Total Spent],E3325,RawData[Payment Method],F3325,RawData[Location],G3325,RawData[Transaction Date],H3325)</f>
        <v>1</v>
      </c>
      <c r="L3325"/>
    </row>
    <row r="3326" spans="1:12" x14ac:dyDescent="0.3">
      <c r="A3326" t="s">
        <v>3332</v>
      </c>
      <c r="B3326" t="s">
        <v>10011</v>
      </c>
      <c r="C3326">
        <v>5</v>
      </c>
      <c r="D3326">
        <v>5</v>
      </c>
      <c r="E3326">
        <v>25</v>
      </c>
      <c r="F3326" t="s">
        <v>10069</v>
      </c>
      <c r="G3326" t="s">
        <v>10102</v>
      </c>
      <c r="H3326" s="6">
        <v>45032</v>
      </c>
      <c r="I3326">
        <f t="shared" si="102"/>
        <v>0</v>
      </c>
      <c r="J3326" t="str">
        <f t="shared" si="103"/>
        <v>Complete</v>
      </c>
      <c r="K3326">
        <f>COUNTIFS(RawData[Item], B3326,RawData[Quantity],C3326,RawData[Price Per Unit],D3326,RawData[Total Spent],E3326,RawData[Payment Method],F3326,RawData[Location],G3326,RawData[Transaction Date],H3326)</f>
        <v>1</v>
      </c>
      <c r="L3326"/>
    </row>
    <row r="3327" spans="1:12" x14ac:dyDescent="0.3">
      <c r="A3327" t="s">
        <v>3333</v>
      </c>
      <c r="B3327" t="s">
        <v>10011</v>
      </c>
      <c r="C3327">
        <v>1</v>
      </c>
      <c r="D3327" t="s">
        <v>10015</v>
      </c>
      <c r="E3327">
        <v>5</v>
      </c>
      <c r="F3327" t="s">
        <v>10019</v>
      </c>
      <c r="G3327" t="s">
        <v>10102</v>
      </c>
      <c r="H3327" s="6">
        <v>45131</v>
      </c>
      <c r="I3327">
        <f t="shared" si="102"/>
        <v>1</v>
      </c>
      <c r="J3327" t="str">
        <f t="shared" si="103"/>
        <v>Complete</v>
      </c>
      <c r="K3327">
        <f>COUNTIFS(RawData[Item], B3327,RawData[Quantity],C3327,RawData[Price Per Unit],D3327,RawData[Total Spent],E3327,RawData[Payment Method],F3327,RawData[Location],G3327,RawData[Transaction Date],H3327)</f>
        <v>1</v>
      </c>
      <c r="L3327"/>
    </row>
    <row r="3328" spans="1:12" x14ac:dyDescent="0.3">
      <c r="A3328" t="s">
        <v>3334</v>
      </c>
      <c r="B3328" t="s">
        <v>10016</v>
      </c>
      <c r="C3328">
        <v>4</v>
      </c>
      <c r="D3328">
        <v>3</v>
      </c>
      <c r="E3328">
        <v>12</v>
      </c>
      <c r="F3328" t="s">
        <v>10018</v>
      </c>
      <c r="G3328" t="s">
        <v>10102</v>
      </c>
      <c r="H3328" s="6">
        <v>44972</v>
      </c>
      <c r="I3328">
        <f t="shared" si="102"/>
        <v>0</v>
      </c>
      <c r="J3328" t="str">
        <f t="shared" si="103"/>
        <v>Complete</v>
      </c>
      <c r="K3328">
        <f>COUNTIFS(RawData[Item], B3328,RawData[Quantity],C3328,RawData[Price Per Unit],D3328,RawData[Total Spent],E3328,RawData[Payment Method],F3328,RawData[Location],G3328,RawData[Transaction Date],H3328)</f>
        <v>1</v>
      </c>
      <c r="L3328"/>
    </row>
    <row r="3329" spans="1:12" x14ac:dyDescent="0.3">
      <c r="A3329" t="s">
        <v>3335</v>
      </c>
      <c r="B3329" t="s">
        <v>10008</v>
      </c>
      <c r="C3329">
        <v>5</v>
      </c>
      <c r="D3329">
        <v>2</v>
      </c>
      <c r="E3329">
        <v>10</v>
      </c>
      <c r="F3329" t="s">
        <v>10104</v>
      </c>
      <c r="G3329" t="s">
        <v>10102</v>
      </c>
      <c r="H3329" s="6" t="s">
        <v>10112</v>
      </c>
      <c r="I3329">
        <f t="shared" si="102"/>
        <v>2</v>
      </c>
      <c r="J3329" t="str">
        <f t="shared" si="103"/>
        <v>Incomplete</v>
      </c>
      <c r="K3329">
        <f>COUNTIFS(RawData[Item], B3329,RawData[Quantity],C3329,RawData[Price Per Unit],D3329,RawData[Total Spent],E3329,RawData[Payment Method],F3329,RawData[Location],G3329,RawData[Transaction Date],H3329)</f>
        <v>1</v>
      </c>
      <c r="L3329"/>
    </row>
    <row r="3330" spans="1:12" x14ac:dyDescent="0.3">
      <c r="A3330" t="s">
        <v>3336</v>
      </c>
      <c r="B3330" t="s">
        <v>10011</v>
      </c>
      <c r="C3330">
        <v>4</v>
      </c>
      <c r="D3330">
        <v>5</v>
      </c>
      <c r="E3330">
        <v>20</v>
      </c>
      <c r="F3330" t="s">
        <v>10018</v>
      </c>
      <c r="G3330" t="s">
        <v>10102</v>
      </c>
      <c r="H3330" s="6">
        <v>45158</v>
      </c>
      <c r="I3330">
        <f t="shared" ref="I3330:I3393" si="104">(B3330="Unknown")+(B3330="Error")+(C3330="Unknown")+(C3330="Error")+(D3330="Unknown")+(D3330="Error")+(E3330="Unknown")+(E3330="Error")+(F3330="Unknown")+(F3330="Error")+(G3330="Unknown")+(G3330="Error")+(H3330="No Date")</f>
        <v>0</v>
      </c>
      <c r="J3330" t="str">
        <f t="shared" ref="J3330:J3393" si="105">IF((H3330="No Date"),"Incomplete","Complete")</f>
        <v>Complete</v>
      </c>
      <c r="K3330">
        <f>COUNTIFS(RawData[Item], B3330,RawData[Quantity],C3330,RawData[Price Per Unit],D3330,RawData[Total Spent],E3330,RawData[Payment Method],F3330,RawData[Location],G3330,RawData[Transaction Date],H3330)</f>
        <v>1</v>
      </c>
      <c r="L3330"/>
    </row>
    <row r="3331" spans="1:12" x14ac:dyDescent="0.3">
      <c r="A3331" t="s">
        <v>3337</v>
      </c>
      <c r="B3331" t="s">
        <v>10012</v>
      </c>
      <c r="C3331">
        <v>2</v>
      </c>
      <c r="D3331">
        <v>4</v>
      </c>
      <c r="E3331">
        <v>8</v>
      </c>
      <c r="F3331" t="s">
        <v>10018</v>
      </c>
      <c r="G3331" t="s">
        <v>10102</v>
      </c>
      <c r="H3331" s="6">
        <v>45234</v>
      </c>
      <c r="I3331">
        <f t="shared" si="104"/>
        <v>0</v>
      </c>
      <c r="J3331" t="str">
        <f t="shared" si="105"/>
        <v>Complete</v>
      </c>
      <c r="K3331">
        <f>COUNTIFS(RawData[Item], B3331,RawData[Quantity],C3331,RawData[Price Per Unit],D3331,RawData[Total Spent],E3331,RawData[Payment Method],F3331,RawData[Location],G3331,RawData[Transaction Date],H3331)</f>
        <v>1</v>
      </c>
      <c r="L3331"/>
    </row>
    <row r="3332" spans="1:12" x14ac:dyDescent="0.3">
      <c r="A3332" t="s">
        <v>3338</v>
      </c>
      <c r="B3332" t="s">
        <v>10017</v>
      </c>
      <c r="C3332">
        <v>1</v>
      </c>
      <c r="D3332">
        <v>1.5</v>
      </c>
      <c r="E3332">
        <v>1.5</v>
      </c>
      <c r="F3332" t="s">
        <v>10019</v>
      </c>
      <c r="G3332" t="s">
        <v>10102</v>
      </c>
      <c r="H3332" s="6">
        <v>45156</v>
      </c>
      <c r="I3332">
        <f t="shared" si="104"/>
        <v>0</v>
      </c>
      <c r="J3332" t="str">
        <f t="shared" si="105"/>
        <v>Complete</v>
      </c>
      <c r="K3332">
        <f>COUNTIFS(RawData[Item], B3332,RawData[Quantity],C3332,RawData[Price Per Unit],D3332,RawData[Total Spent],E3332,RawData[Payment Method],F3332,RawData[Location],G3332,RawData[Transaction Date],H3332)</f>
        <v>1</v>
      </c>
      <c r="L3332"/>
    </row>
    <row r="3333" spans="1:12" x14ac:dyDescent="0.3">
      <c r="A3333" t="s">
        <v>3339</v>
      </c>
      <c r="B3333" t="s">
        <v>10009</v>
      </c>
      <c r="C3333">
        <v>5</v>
      </c>
      <c r="D3333">
        <v>3</v>
      </c>
      <c r="E3333">
        <v>15</v>
      </c>
      <c r="F3333" t="s">
        <v>10069</v>
      </c>
      <c r="G3333" t="s">
        <v>10069</v>
      </c>
      <c r="H3333" s="6">
        <v>45198</v>
      </c>
      <c r="I3333">
        <f t="shared" si="104"/>
        <v>0</v>
      </c>
      <c r="J3333" t="str">
        <f t="shared" si="105"/>
        <v>Complete</v>
      </c>
      <c r="K3333">
        <f>COUNTIFS(RawData[Item], B3333,RawData[Quantity],C3333,RawData[Price Per Unit],D3333,RawData[Total Spent],E3333,RawData[Payment Method],F3333,RawData[Location],G3333,RawData[Transaction Date],H3333)</f>
        <v>2</v>
      </c>
      <c r="L3333"/>
    </row>
    <row r="3334" spans="1:12" x14ac:dyDescent="0.3">
      <c r="A3334" t="s">
        <v>3340</v>
      </c>
      <c r="B3334" t="s">
        <v>10008</v>
      </c>
      <c r="C3334">
        <v>4</v>
      </c>
      <c r="D3334">
        <v>2</v>
      </c>
      <c r="E3334">
        <v>8</v>
      </c>
      <c r="F3334" t="s">
        <v>10020</v>
      </c>
      <c r="G3334" t="s">
        <v>10102</v>
      </c>
      <c r="H3334" s="6">
        <v>45051</v>
      </c>
      <c r="I3334">
        <f t="shared" si="104"/>
        <v>0</v>
      </c>
      <c r="J3334" t="str">
        <f t="shared" si="105"/>
        <v>Complete</v>
      </c>
      <c r="K3334">
        <f>COUNTIFS(RawData[Item], B3334,RawData[Quantity],C3334,RawData[Price Per Unit],D3334,RawData[Total Spent],E3334,RawData[Payment Method],F3334,RawData[Location],G3334,RawData[Transaction Date],H3334)</f>
        <v>1</v>
      </c>
      <c r="L3334"/>
    </row>
    <row r="3335" spans="1:12" x14ac:dyDescent="0.3">
      <c r="A3335" t="s">
        <v>3341</v>
      </c>
      <c r="B3335" t="s">
        <v>10016</v>
      </c>
      <c r="C3335">
        <v>5</v>
      </c>
      <c r="D3335">
        <v>3</v>
      </c>
      <c r="E3335">
        <v>15</v>
      </c>
      <c r="F3335" t="s">
        <v>10069</v>
      </c>
      <c r="G3335" t="s">
        <v>10069</v>
      </c>
      <c r="H3335" s="6">
        <v>45277</v>
      </c>
      <c r="I3335">
        <f t="shared" si="104"/>
        <v>0</v>
      </c>
      <c r="J3335" t="str">
        <f t="shared" si="105"/>
        <v>Complete</v>
      </c>
      <c r="K3335">
        <f>COUNTIFS(RawData[Item], B3335,RawData[Quantity],C3335,RawData[Price Per Unit],D3335,RawData[Total Spent],E3335,RawData[Payment Method],F3335,RawData[Location],G3335,RawData[Transaction Date],H3335)</f>
        <v>1</v>
      </c>
      <c r="L3335"/>
    </row>
    <row r="3336" spans="1:12" x14ac:dyDescent="0.3">
      <c r="A3336" t="s">
        <v>3342</v>
      </c>
      <c r="B3336" t="s">
        <v>10017</v>
      </c>
      <c r="C3336">
        <v>1</v>
      </c>
      <c r="D3336">
        <v>1.5</v>
      </c>
      <c r="E3336">
        <v>1.5</v>
      </c>
      <c r="F3336" t="s">
        <v>10018</v>
      </c>
      <c r="G3336" t="s">
        <v>10021</v>
      </c>
      <c r="H3336" s="6">
        <v>44931</v>
      </c>
      <c r="I3336">
        <f t="shared" si="104"/>
        <v>0</v>
      </c>
      <c r="J3336" t="str">
        <f t="shared" si="105"/>
        <v>Complete</v>
      </c>
      <c r="K3336">
        <f>COUNTIFS(RawData[Item], B3336,RawData[Quantity],C3336,RawData[Price Per Unit],D3336,RawData[Total Spent],E3336,RawData[Payment Method],F3336,RawData[Location],G3336,RawData[Transaction Date],H3336)</f>
        <v>1</v>
      </c>
      <c r="L3336"/>
    </row>
    <row r="3337" spans="1:12" x14ac:dyDescent="0.3">
      <c r="A3337" t="s">
        <v>3343</v>
      </c>
      <c r="B3337" t="s">
        <v>10010</v>
      </c>
      <c r="C3337">
        <v>1</v>
      </c>
      <c r="D3337">
        <v>1</v>
      </c>
      <c r="E3337">
        <v>1</v>
      </c>
      <c r="F3337" t="s">
        <v>10019</v>
      </c>
      <c r="G3337" t="s">
        <v>10021</v>
      </c>
      <c r="H3337" s="6">
        <v>45158</v>
      </c>
      <c r="I3337">
        <f t="shared" si="104"/>
        <v>0</v>
      </c>
      <c r="J3337" t="str">
        <f t="shared" si="105"/>
        <v>Complete</v>
      </c>
      <c r="K3337">
        <f>COUNTIFS(RawData[Item], B3337,RawData[Quantity],C3337,RawData[Price Per Unit],D3337,RawData[Total Spent],E3337,RawData[Payment Method],F3337,RawData[Location],G3337,RawData[Transaction Date],H3337)</f>
        <v>1</v>
      </c>
      <c r="L3337"/>
    </row>
    <row r="3338" spans="1:12" x14ac:dyDescent="0.3">
      <c r="A3338" t="s">
        <v>3344</v>
      </c>
      <c r="B3338" t="s">
        <v>10009</v>
      </c>
      <c r="C3338">
        <v>3</v>
      </c>
      <c r="D3338">
        <v>3</v>
      </c>
      <c r="E3338">
        <v>9</v>
      </c>
      <c r="F3338" t="s">
        <v>10069</v>
      </c>
      <c r="G3338" t="s">
        <v>10102</v>
      </c>
      <c r="H3338" s="6">
        <v>44947</v>
      </c>
      <c r="I3338">
        <f t="shared" si="104"/>
        <v>0</v>
      </c>
      <c r="J3338" t="str">
        <f t="shared" si="105"/>
        <v>Complete</v>
      </c>
      <c r="K3338">
        <f>COUNTIFS(RawData[Item], B3338,RawData[Quantity],C3338,RawData[Price Per Unit],D3338,RawData[Total Spent],E3338,RawData[Payment Method],F3338,RawData[Location],G3338,RawData[Transaction Date],H3338)</f>
        <v>1</v>
      </c>
      <c r="L3338"/>
    </row>
    <row r="3339" spans="1:12" x14ac:dyDescent="0.3">
      <c r="A3339" t="s">
        <v>3345</v>
      </c>
      <c r="B3339" t="s">
        <v>10012</v>
      </c>
      <c r="C3339">
        <v>4</v>
      </c>
      <c r="D3339">
        <v>4</v>
      </c>
      <c r="E3339">
        <v>16</v>
      </c>
      <c r="F3339" t="s">
        <v>10069</v>
      </c>
      <c r="G3339" t="s">
        <v>10069</v>
      </c>
      <c r="H3339" s="6">
        <v>45113</v>
      </c>
      <c r="I3339">
        <f t="shared" si="104"/>
        <v>0</v>
      </c>
      <c r="J3339" t="str">
        <f t="shared" si="105"/>
        <v>Complete</v>
      </c>
      <c r="K3339">
        <f>COUNTIFS(RawData[Item], B3339,RawData[Quantity],C3339,RawData[Price Per Unit],D3339,RawData[Total Spent],E3339,RawData[Payment Method],F3339,RawData[Location],G3339,RawData[Transaction Date],H3339)</f>
        <v>1</v>
      </c>
      <c r="L3339"/>
    </row>
    <row r="3340" spans="1:12" x14ac:dyDescent="0.3">
      <c r="A3340" t="s">
        <v>3346</v>
      </c>
      <c r="B3340" t="s">
        <v>10017</v>
      </c>
      <c r="C3340">
        <v>5</v>
      </c>
      <c r="D3340">
        <v>1.5</v>
      </c>
      <c r="E3340">
        <v>7.5</v>
      </c>
      <c r="F3340" t="s">
        <v>10018</v>
      </c>
      <c r="G3340" t="s">
        <v>10069</v>
      </c>
      <c r="H3340" s="6">
        <v>45093</v>
      </c>
      <c r="I3340">
        <f t="shared" si="104"/>
        <v>0</v>
      </c>
      <c r="J3340" t="str">
        <f t="shared" si="105"/>
        <v>Complete</v>
      </c>
      <c r="K3340">
        <f>COUNTIFS(RawData[Item], B3340,RawData[Quantity],C3340,RawData[Price Per Unit],D3340,RawData[Total Spent],E3340,RawData[Payment Method],F3340,RawData[Location],G3340,RawData[Transaction Date],H3340)</f>
        <v>1</v>
      </c>
      <c r="L3340"/>
    </row>
    <row r="3341" spans="1:12" x14ac:dyDescent="0.3">
      <c r="A3341" t="s">
        <v>3347</v>
      </c>
      <c r="B3341" t="s">
        <v>10012</v>
      </c>
      <c r="C3341">
        <v>4</v>
      </c>
      <c r="D3341">
        <v>4</v>
      </c>
      <c r="E3341">
        <v>16</v>
      </c>
      <c r="F3341" t="s">
        <v>10069</v>
      </c>
      <c r="G3341" t="s">
        <v>10021</v>
      </c>
      <c r="H3341" s="6">
        <v>45045</v>
      </c>
      <c r="I3341">
        <f t="shared" si="104"/>
        <v>0</v>
      </c>
      <c r="J3341" t="str">
        <f t="shared" si="105"/>
        <v>Complete</v>
      </c>
      <c r="K3341">
        <f>COUNTIFS(RawData[Item], B3341,RawData[Quantity],C3341,RawData[Price Per Unit],D3341,RawData[Total Spent],E3341,RawData[Payment Method],F3341,RawData[Location],G3341,RawData[Transaction Date],H3341)</f>
        <v>1</v>
      </c>
      <c r="L3341"/>
    </row>
    <row r="3342" spans="1:12" x14ac:dyDescent="0.3">
      <c r="A3342" t="s">
        <v>3348</v>
      </c>
      <c r="B3342" t="s">
        <v>10014</v>
      </c>
      <c r="C3342">
        <v>2</v>
      </c>
      <c r="D3342">
        <v>4</v>
      </c>
      <c r="E3342">
        <v>8</v>
      </c>
      <c r="F3342" t="s">
        <v>10019</v>
      </c>
      <c r="G3342" t="s">
        <v>10102</v>
      </c>
      <c r="H3342" s="6">
        <v>45220</v>
      </c>
      <c r="I3342">
        <f t="shared" si="104"/>
        <v>0</v>
      </c>
      <c r="J3342" t="str">
        <f t="shared" si="105"/>
        <v>Complete</v>
      </c>
      <c r="K3342">
        <f>COUNTIFS(RawData[Item], B3342,RawData[Quantity],C3342,RawData[Price Per Unit],D3342,RawData[Total Spent],E3342,RawData[Payment Method],F3342,RawData[Location],G3342,RawData[Transaction Date],H3342)</f>
        <v>1</v>
      </c>
      <c r="L3342"/>
    </row>
    <row r="3343" spans="1:12" x14ac:dyDescent="0.3">
      <c r="A3343" t="s">
        <v>3349</v>
      </c>
      <c r="B3343" t="s">
        <v>10012</v>
      </c>
      <c r="C3343">
        <v>2</v>
      </c>
      <c r="D3343">
        <v>4</v>
      </c>
      <c r="E3343">
        <v>8</v>
      </c>
      <c r="F3343" t="s">
        <v>10069</v>
      </c>
      <c r="G3343" t="s">
        <v>10102</v>
      </c>
      <c r="H3343" s="6">
        <v>45020</v>
      </c>
      <c r="I3343">
        <f t="shared" si="104"/>
        <v>0</v>
      </c>
      <c r="J3343" t="str">
        <f t="shared" si="105"/>
        <v>Complete</v>
      </c>
      <c r="K3343">
        <f>COUNTIFS(RawData[Item], B3343,RawData[Quantity],C3343,RawData[Price Per Unit],D3343,RawData[Total Spent],E3343,RawData[Payment Method],F3343,RawData[Location],G3343,RawData[Transaction Date],H3343)</f>
        <v>1</v>
      </c>
      <c r="L3343"/>
    </row>
    <row r="3344" spans="1:12" x14ac:dyDescent="0.3">
      <c r="A3344" t="s">
        <v>3350</v>
      </c>
      <c r="B3344" t="s">
        <v>10008</v>
      </c>
      <c r="C3344">
        <v>2</v>
      </c>
      <c r="D3344">
        <v>2</v>
      </c>
      <c r="E3344">
        <v>4</v>
      </c>
      <c r="F3344" t="s">
        <v>10020</v>
      </c>
      <c r="G3344" t="s">
        <v>10021</v>
      </c>
      <c r="H3344" s="6">
        <v>45028</v>
      </c>
      <c r="I3344">
        <f t="shared" si="104"/>
        <v>0</v>
      </c>
      <c r="J3344" t="str">
        <f t="shared" si="105"/>
        <v>Complete</v>
      </c>
      <c r="K3344">
        <f>COUNTIFS(RawData[Item], B3344,RawData[Quantity],C3344,RawData[Price Per Unit],D3344,RawData[Total Spent],E3344,RawData[Payment Method],F3344,RawData[Location],G3344,RawData[Transaction Date],H3344)</f>
        <v>1</v>
      </c>
      <c r="L3344"/>
    </row>
    <row r="3345" spans="1:12" x14ac:dyDescent="0.3">
      <c r="A3345" t="s">
        <v>3351</v>
      </c>
      <c r="B3345" t="s">
        <v>10008</v>
      </c>
      <c r="C3345">
        <v>2</v>
      </c>
      <c r="D3345">
        <v>2</v>
      </c>
      <c r="E3345">
        <v>4</v>
      </c>
      <c r="F3345" t="s">
        <v>10018</v>
      </c>
      <c r="G3345" t="s">
        <v>10021</v>
      </c>
      <c r="H3345" s="6">
        <v>45006</v>
      </c>
      <c r="I3345">
        <f t="shared" si="104"/>
        <v>0</v>
      </c>
      <c r="J3345" t="str">
        <f t="shared" si="105"/>
        <v>Complete</v>
      </c>
      <c r="K3345">
        <f>COUNTIFS(RawData[Item], B3345,RawData[Quantity],C3345,RawData[Price Per Unit],D3345,RawData[Total Spent],E3345,RawData[Payment Method],F3345,RawData[Location],G3345,RawData[Transaction Date],H3345)</f>
        <v>1</v>
      </c>
      <c r="L3345"/>
    </row>
    <row r="3346" spans="1:12" x14ac:dyDescent="0.3">
      <c r="A3346" t="s">
        <v>3352</v>
      </c>
      <c r="B3346" t="s">
        <v>10013</v>
      </c>
      <c r="C3346">
        <v>1</v>
      </c>
      <c r="D3346">
        <v>2</v>
      </c>
      <c r="E3346">
        <v>2</v>
      </c>
      <c r="F3346" t="s">
        <v>10104</v>
      </c>
      <c r="G3346" t="s">
        <v>10021</v>
      </c>
      <c r="H3346" s="6">
        <v>45093</v>
      </c>
      <c r="I3346">
        <f t="shared" si="104"/>
        <v>2</v>
      </c>
      <c r="J3346" t="str">
        <f t="shared" si="105"/>
        <v>Complete</v>
      </c>
      <c r="K3346">
        <f>COUNTIFS(RawData[Item], B3346,RawData[Quantity],C3346,RawData[Price Per Unit],D3346,RawData[Total Spent],E3346,RawData[Payment Method],F3346,RawData[Location],G3346,RawData[Transaction Date],H3346)</f>
        <v>1</v>
      </c>
      <c r="L3346"/>
    </row>
    <row r="3347" spans="1:12" x14ac:dyDescent="0.3">
      <c r="A3347" t="s">
        <v>3353</v>
      </c>
      <c r="B3347" t="s">
        <v>10016</v>
      </c>
      <c r="C3347">
        <v>4</v>
      </c>
      <c r="D3347">
        <v>3</v>
      </c>
      <c r="E3347" t="s">
        <v>10013</v>
      </c>
      <c r="F3347" t="s">
        <v>10018</v>
      </c>
      <c r="G3347" t="s">
        <v>10102</v>
      </c>
      <c r="H3347" s="6">
        <v>45286</v>
      </c>
      <c r="I3347">
        <f t="shared" si="104"/>
        <v>1</v>
      </c>
      <c r="J3347" t="str">
        <f t="shared" si="105"/>
        <v>Complete</v>
      </c>
      <c r="K3347">
        <f>COUNTIFS(RawData[Item], B3347,RawData[Quantity],C3347,RawData[Price Per Unit],D3347,RawData[Total Spent],E3347,RawData[Payment Method],F3347,RawData[Location],G3347,RawData[Transaction Date],H3347)</f>
        <v>1</v>
      </c>
      <c r="L3347"/>
    </row>
    <row r="3348" spans="1:12" x14ac:dyDescent="0.3">
      <c r="A3348" t="s">
        <v>3354</v>
      </c>
      <c r="B3348" t="s">
        <v>10011</v>
      </c>
      <c r="C3348">
        <v>1</v>
      </c>
      <c r="D3348">
        <v>5</v>
      </c>
      <c r="E3348">
        <v>5</v>
      </c>
      <c r="F3348" t="s">
        <v>10069</v>
      </c>
      <c r="G3348" t="s">
        <v>10021</v>
      </c>
      <c r="H3348" s="6">
        <v>45130</v>
      </c>
      <c r="I3348">
        <f t="shared" si="104"/>
        <v>0</v>
      </c>
      <c r="J3348" t="str">
        <f t="shared" si="105"/>
        <v>Complete</v>
      </c>
      <c r="K3348">
        <f>COUNTIFS(RawData[Item], B3348,RawData[Quantity],C3348,RawData[Price Per Unit],D3348,RawData[Total Spent],E3348,RawData[Payment Method],F3348,RawData[Location],G3348,RawData[Transaction Date],H3348)</f>
        <v>1</v>
      </c>
      <c r="L3348"/>
    </row>
    <row r="3349" spans="1:12" x14ac:dyDescent="0.3">
      <c r="A3349" t="s">
        <v>3355</v>
      </c>
      <c r="B3349" t="s">
        <v>10008</v>
      </c>
      <c r="C3349">
        <v>4</v>
      </c>
      <c r="D3349">
        <v>2</v>
      </c>
      <c r="E3349">
        <v>8</v>
      </c>
      <c r="F3349" t="s">
        <v>10069</v>
      </c>
      <c r="G3349" t="s">
        <v>10102</v>
      </c>
      <c r="H3349" s="6">
        <v>45079</v>
      </c>
      <c r="I3349">
        <f t="shared" si="104"/>
        <v>0</v>
      </c>
      <c r="J3349" t="str">
        <f t="shared" si="105"/>
        <v>Complete</v>
      </c>
      <c r="K3349">
        <f>COUNTIFS(RawData[Item], B3349,RawData[Quantity],C3349,RawData[Price Per Unit],D3349,RawData[Total Spent],E3349,RawData[Payment Method],F3349,RawData[Location],G3349,RawData[Transaction Date],H3349)</f>
        <v>1</v>
      </c>
      <c r="L3349"/>
    </row>
    <row r="3350" spans="1:12" x14ac:dyDescent="0.3">
      <c r="A3350" t="s">
        <v>3356</v>
      </c>
      <c r="B3350" t="s">
        <v>10012</v>
      </c>
      <c r="C3350">
        <v>5</v>
      </c>
      <c r="D3350">
        <v>4</v>
      </c>
      <c r="E3350">
        <v>20</v>
      </c>
      <c r="F3350" t="s">
        <v>10069</v>
      </c>
      <c r="G3350" t="s">
        <v>10069</v>
      </c>
      <c r="H3350" s="6">
        <v>45069</v>
      </c>
      <c r="I3350">
        <f t="shared" si="104"/>
        <v>0</v>
      </c>
      <c r="J3350" t="str">
        <f t="shared" si="105"/>
        <v>Complete</v>
      </c>
      <c r="K3350">
        <f>COUNTIFS(RawData[Item], B3350,RawData[Quantity],C3350,RawData[Price Per Unit],D3350,RawData[Total Spent],E3350,RawData[Payment Method],F3350,RawData[Location],G3350,RawData[Transaction Date],H3350)</f>
        <v>1</v>
      </c>
      <c r="L3350"/>
    </row>
    <row r="3351" spans="1:12" x14ac:dyDescent="0.3">
      <c r="A3351" t="s">
        <v>3357</v>
      </c>
      <c r="B3351" t="s">
        <v>10009</v>
      </c>
      <c r="C3351">
        <v>3</v>
      </c>
      <c r="D3351">
        <v>3</v>
      </c>
      <c r="E3351">
        <v>9</v>
      </c>
      <c r="F3351" t="s">
        <v>10019</v>
      </c>
      <c r="G3351" t="s">
        <v>10102</v>
      </c>
      <c r="H3351" s="6">
        <v>45184</v>
      </c>
      <c r="I3351">
        <f t="shared" si="104"/>
        <v>0</v>
      </c>
      <c r="J3351" t="str">
        <f t="shared" si="105"/>
        <v>Complete</v>
      </c>
      <c r="K3351">
        <f>COUNTIFS(RawData[Item], B3351,RawData[Quantity],C3351,RawData[Price Per Unit],D3351,RawData[Total Spent],E3351,RawData[Payment Method],F3351,RawData[Location],G3351,RawData[Transaction Date],H3351)</f>
        <v>1</v>
      </c>
      <c r="L3351"/>
    </row>
    <row r="3352" spans="1:12" x14ac:dyDescent="0.3">
      <c r="A3352" t="s">
        <v>3358</v>
      </c>
      <c r="B3352" t="s">
        <v>10011</v>
      </c>
      <c r="C3352">
        <v>1</v>
      </c>
      <c r="D3352">
        <v>5</v>
      </c>
      <c r="E3352">
        <v>5</v>
      </c>
      <c r="F3352" t="s">
        <v>10018</v>
      </c>
      <c r="G3352" t="s">
        <v>10021</v>
      </c>
      <c r="H3352" s="6">
        <v>45144</v>
      </c>
      <c r="I3352">
        <f t="shared" si="104"/>
        <v>0</v>
      </c>
      <c r="J3352" t="str">
        <f t="shared" si="105"/>
        <v>Complete</v>
      </c>
      <c r="K3352">
        <f>COUNTIFS(RawData[Item], B3352,RawData[Quantity],C3352,RawData[Price Per Unit],D3352,RawData[Total Spent],E3352,RawData[Payment Method],F3352,RawData[Location],G3352,RawData[Transaction Date],H3352)</f>
        <v>1</v>
      </c>
      <c r="L3352"/>
    </row>
    <row r="3353" spans="1:12" x14ac:dyDescent="0.3">
      <c r="A3353" t="s">
        <v>3359</v>
      </c>
      <c r="B3353" t="s">
        <v>10010</v>
      </c>
      <c r="C3353">
        <v>1</v>
      </c>
      <c r="D3353">
        <v>1</v>
      </c>
      <c r="E3353">
        <v>1</v>
      </c>
      <c r="F3353" t="s">
        <v>10019</v>
      </c>
      <c r="G3353" t="s">
        <v>10102</v>
      </c>
      <c r="H3353" s="6">
        <v>45083</v>
      </c>
      <c r="I3353">
        <f t="shared" si="104"/>
        <v>0</v>
      </c>
      <c r="J3353" t="str">
        <f t="shared" si="105"/>
        <v>Complete</v>
      </c>
      <c r="K3353">
        <f>COUNTIFS(RawData[Item], B3353,RawData[Quantity],C3353,RawData[Price Per Unit],D3353,RawData[Total Spent],E3353,RawData[Payment Method],F3353,RawData[Location],G3353,RawData[Transaction Date],H3353)</f>
        <v>1</v>
      </c>
      <c r="L3353"/>
    </row>
    <row r="3354" spans="1:12" x14ac:dyDescent="0.3">
      <c r="A3354" t="s">
        <v>3360</v>
      </c>
      <c r="B3354" t="s">
        <v>10009</v>
      </c>
      <c r="C3354">
        <v>5</v>
      </c>
      <c r="D3354">
        <v>3</v>
      </c>
      <c r="E3354">
        <v>15</v>
      </c>
      <c r="F3354" t="s">
        <v>10069</v>
      </c>
      <c r="G3354" t="s">
        <v>10102</v>
      </c>
      <c r="H3354" s="6">
        <v>45246</v>
      </c>
      <c r="I3354">
        <f t="shared" si="104"/>
        <v>0</v>
      </c>
      <c r="J3354" t="str">
        <f t="shared" si="105"/>
        <v>Complete</v>
      </c>
      <c r="K3354">
        <f>COUNTIFS(RawData[Item], B3354,RawData[Quantity],C3354,RawData[Price Per Unit],D3354,RawData[Total Spent],E3354,RawData[Payment Method],F3354,RawData[Location],G3354,RawData[Transaction Date],H3354)</f>
        <v>1</v>
      </c>
      <c r="L3354"/>
    </row>
    <row r="3355" spans="1:12" x14ac:dyDescent="0.3">
      <c r="A3355" t="s">
        <v>3361</v>
      </c>
      <c r="B3355" t="s">
        <v>10010</v>
      </c>
      <c r="C3355">
        <v>1</v>
      </c>
      <c r="D3355">
        <v>1</v>
      </c>
      <c r="E3355">
        <v>1</v>
      </c>
      <c r="F3355" t="s">
        <v>10018</v>
      </c>
      <c r="G3355" t="s">
        <v>10021</v>
      </c>
      <c r="H3355" s="6">
        <v>45183</v>
      </c>
      <c r="I3355">
        <f t="shared" si="104"/>
        <v>0</v>
      </c>
      <c r="J3355" t="str">
        <f t="shared" si="105"/>
        <v>Complete</v>
      </c>
      <c r="K3355">
        <f>COUNTIFS(RawData[Item], B3355,RawData[Quantity],C3355,RawData[Price Per Unit],D3355,RawData[Total Spent],E3355,RawData[Payment Method],F3355,RawData[Location],G3355,RawData[Transaction Date],H3355)</f>
        <v>1</v>
      </c>
      <c r="L3355"/>
    </row>
    <row r="3356" spans="1:12" x14ac:dyDescent="0.3">
      <c r="A3356" t="s">
        <v>3362</v>
      </c>
      <c r="B3356" t="s">
        <v>10013</v>
      </c>
      <c r="C3356">
        <v>5</v>
      </c>
      <c r="D3356">
        <v>3</v>
      </c>
      <c r="E3356">
        <v>15</v>
      </c>
      <c r="F3356" t="s">
        <v>10020</v>
      </c>
      <c r="G3356" t="s">
        <v>10102</v>
      </c>
      <c r="H3356" s="6">
        <v>44967</v>
      </c>
      <c r="I3356">
        <f t="shared" si="104"/>
        <v>1</v>
      </c>
      <c r="J3356" t="str">
        <f t="shared" si="105"/>
        <v>Complete</v>
      </c>
      <c r="K3356">
        <f>COUNTIFS(RawData[Item], B3356,RawData[Quantity],C3356,RawData[Price Per Unit],D3356,RawData[Total Spent],E3356,RawData[Payment Method],F3356,RawData[Location],G3356,RawData[Transaction Date],H3356)</f>
        <v>1</v>
      </c>
      <c r="L3356"/>
    </row>
    <row r="3357" spans="1:12" x14ac:dyDescent="0.3">
      <c r="A3357" t="s">
        <v>3363</v>
      </c>
      <c r="B3357" t="s">
        <v>10010</v>
      </c>
      <c r="C3357">
        <v>4</v>
      </c>
      <c r="D3357">
        <v>1</v>
      </c>
      <c r="E3357">
        <v>4</v>
      </c>
      <c r="F3357" t="s">
        <v>10069</v>
      </c>
      <c r="G3357" t="s">
        <v>10069</v>
      </c>
      <c r="H3357" s="6">
        <v>44964</v>
      </c>
      <c r="I3357">
        <f t="shared" si="104"/>
        <v>0</v>
      </c>
      <c r="J3357" t="str">
        <f t="shared" si="105"/>
        <v>Complete</v>
      </c>
      <c r="K3357">
        <f>COUNTIFS(RawData[Item], B3357,RawData[Quantity],C3357,RawData[Price Per Unit],D3357,RawData[Total Spent],E3357,RawData[Payment Method],F3357,RawData[Location],G3357,RawData[Transaction Date],H3357)</f>
        <v>1</v>
      </c>
      <c r="L3357"/>
    </row>
    <row r="3358" spans="1:12" x14ac:dyDescent="0.3">
      <c r="A3358" t="s">
        <v>3364</v>
      </c>
      <c r="B3358" t="s">
        <v>10008</v>
      </c>
      <c r="C3358">
        <v>4</v>
      </c>
      <c r="D3358">
        <v>2</v>
      </c>
      <c r="E3358">
        <v>8</v>
      </c>
      <c r="F3358" t="s">
        <v>10018</v>
      </c>
      <c r="G3358" t="s">
        <v>10069</v>
      </c>
      <c r="H3358" s="6">
        <v>45061</v>
      </c>
      <c r="I3358">
        <f t="shared" si="104"/>
        <v>0</v>
      </c>
      <c r="J3358" t="str">
        <f t="shared" si="105"/>
        <v>Complete</v>
      </c>
      <c r="K3358">
        <f>COUNTIFS(RawData[Item], B3358,RawData[Quantity],C3358,RawData[Price Per Unit],D3358,RawData[Total Spent],E3358,RawData[Payment Method],F3358,RawData[Location],G3358,RawData[Transaction Date],H3358)</f>
        <v>1</v>
      </c>
      <c r="L3358"/>
    </row>
    <row r="3359" spans="1:12" x14ac:dyDescent="0.3">
      <c r="A3359" t="s">
        <v>3365</v>
      </c>
      <c r="B3359" t="s">
        <v>10017</v>
      </c>
      <c r="C3359">
        <v>4</v>
      </c>
      <c r="D3359">
        <v>1.5</v>
      </c>
      <c r="E3359">
        <v>6</v>
      </c>
      <c r="F3359" t="s">
        <v>10019</v>
      </c>
      <c r="G3359" t="s">
        <v>10021</v>
      </c>
      <c r="H3359" s="6">
        <v>45009</v>
      </c>
      <c r="I3359">
        <f t="shared" si="104"/>
        <v>0</v>
      </c>
      <c r="J3359" t="str">
        <f t="shared" si="105"/>
        <v>Complete</v>
      </c>
      <c r="K3359">
        <f>COUNTIFS(RawData[Item], B3359,RawData[Quantity],C3359,RawData[Price Per Unit],D3359,RawData[Total Spent],E3359,RawData[Payment Method],F3359,RawData[Location],G3359,RawData[Transaction Date],H3359)</f>
        <v>1</v>
      </c>
      <c r="L3359"/>
    </row>
    <row r="3360" spans="1:12" x14ac:dyDescent="0.3">
      <c r="A3360" t="s">
        <v>3366</v>
      </c>
      <c r="B3360" t="s">
        <v>10014</v>
      </c>
      <c r="C3360">
        <v>3</v>
      </c>
      <c r="D3360">
        <v>4</v>
      </c>
      <c r="E3360">
        <v>12</v>
      </c>
      <c r="F3360" t="s">
        <v>10069</v>
      </c>
      <c r="G3360" t="s">
        <v>10069</v>
      </c>
      <c r="H3360" s="6">
        <v>44955</v>
      </c>
      <c r="I3360">
        <f t="shared" si="104"/>
        <v>0</v>
      </c>
      <c r="J3360" t="str">
        <f t="shared" si="105"/>
        <v>Complete</v>
      </c>
      <c r="K3360">
        <f>COUNTIFS(RawData[Item], B3360,RawData[Quantity],C3360,RawData[Price Per Unit],D3360,RawData[Total Spent],E3360,RawData[Payment Method],F3360,RawData[Location],G3360,RawData[Transaction Date],H3360)</f>
        <v>1</v>
      </c>
      <c r="L3360"/>
    </row>
    <row r="3361" spans="1:12" x14ac:dyDescent="0.3">
      <c r="A3361" t="s">
        <v>3367</v>
      </c>
      <c r="B3361" t="s">
        <v>10016</v>
      </c>
      <c r="C3361">
        <v>5</v>
      </c>
      <c r="D3361">
        <v>3</v>
      </c>
      <c r="E3361">
        <v>15</v>
      </c>
      <c r="F3361" t="s">
        <v>10069</v>
      </c>
      <c r="G3361" t="s">
        <v>10102</v>
      </c>
      <c r="H3361" s="6">
        <v>45040</v>
      </c>
      <c r="I3361">
        <f t="shared" si="104"/>
        <v>0</v>
      </c>
      <c r="J3361" t="str">
        <f t="shared" si="105"/>
        <v>Complete</v>
      </c>
      <c r="K3361">
        <f>COUNTIFS(RawData[Item], B3361,RawData[Quantity],C3361,RawData[Price Per Unit],D3361,RawData[Total Spent],E3361,RawData[Payment Method],F3361,RawData[Location],G3361,RawData[Transaction Date],H3361)</f>
        <v>1</v>
      </c>
      <c r="L3361"/>
    </row>
    <row r="3362" spans="1:12" x14ac:dyDescent="0.3">
      <c r="A3362" t="s">
        <v>3368</v>
      </c>
      <c r="B3362" t="s">
        <v>10016</v>
      </c>
      <c r="C3362">
        <v>2</v>
      </c>
      <c r="D3362">
        <v>3</v>
      </c>
      <c r="E3362">
        <v>6</v>
      </c>
      <c r="F3362" t="s">
        <v>10018</v>
      </c>
      <c r="G3362" t="s">
        <v>10069</v>
      </c>
      <c r="H3362" s="6">
        <v>45196</v>
      </c>
      <c r="I3362">
        <f t="shared" si="104"/>
        <v>0</v>
      </c>
      <c r="J3362" t="str">
        <f t="shared" si="105"/>
        <v>Complete</v>
      </c>
      <c r="K3362">
        <f>COUNTIFS(RawData[Item], B3362,RawData[Quantity],C3362,RawData[Price Per Unit],D3362,RawData[Total Spent],E3362,RawData[Payment Method],F3362,RawData[Location],G3362,RawData[Transaction Date],H3362)</f>
        <v>1</v>
      </c>
      <c r="L3362"/>
    </row>
    <row r="3363" spans="1:12" x14ac:dyDescent="0.3">
      <c r="A3363" t="s">
        <v>3369</v>
      </c>
      <c r="B3363" t="s">
        <v>10017</v>
      </c>
      <c r="C3363">
        <v>0</v>
      </c>
      <c r="D3363">
        <v>1.5</v>
      </c>
      <c r="E3363">
        <v>3</v>
      </c>
      <c r="F3363" t="s">
        <v>10019</v>
      </c>
      <c r="G3363" t="s">
        <v>10021</v>
      </c>
      <c r="H3363" s="6">
        <v>45166</v>
      </c>
      <c r="I3363">
        <f t="shared" si="104"/>
        <v>0</v>
      </c>
      <c r="J3363" t="str">
        <f t="shared" si="105"/>
        <v>Complete</v>
      </c>
      <c r="K3363">
        <f>COUNTIFS(RawData[Item], B3363,RawData[Quantity],C3363,RawData[Price Per Unit],D3363,RawData[Total Spent],E3363,RawData[Payment Method],F3363,RawData[Location],G3363,RawData[Transaction Date],H3363)</f>
        <v>1</v>
      </c>
      <c r="L3363"/>
    </row>
    <row r="3364" spans="1:12" x14ac:dyDescent="0.3">
      <c r="A3364" t="s">
        <v>3370</v>
      </c>
      <c r="B3364" t="s">
        <v>10014</v>
      </c>
      <c r="C3364">
        <v>2</v>
      </c>
      <c r="D3364">
        <v>4</v>
      </c>
      <c r="E3364">
        <v>8</v>
      </c>
      <c r="F3364" t="s">
        <v>10019</v>
      </c>
      <c r="G3364" t="s">
        <v>10021</v>
      </c>
      <c r="H3364" s="6">
        <v>45125</v>
      </c>
      <c r="I3364">
        <f t="shared" si="104"/>
        <v>0</v>
      </c>
      <c r="J3364" t="str">
        <f t="shared" si="105"/>
        <v>Complete</v>
      </c>
      <c r="K3364">
        <f>COUNTIFS(RawData[Item], B3364,RawData[Quantity],C3364,RawData[Price Per Unit],D3364,RawData[Total Spent],E3364,RawData[Payment Method],F3364,RawData[Location],G3364,RawData[Transaction Date],H3364)</f>
        <v>1</v>
      </c>
      <c r="L3364"/>
    </row>
    <row r="3365" spans="1:12" x14ac:dyDescent="0.3">
      <c r="A3365" t="s">
        <v>3371</v>
      </c>
      <c r="B3365" t="s">
        <v>10008</v>
      </c>
      <c r="C3365">
        <v>4</v>
      </c>
      <c r="D3365">
        <v>2</v>
      </c>
      <c r="E3365">
        <v>8</v>
      </c>
      <c r="F3365" t="s">
        <v>10020</v>
      </c>
      <c r="G3365" t="s">
        <v>10069</v>
      </c>
      <c r="H3365" s="6">
        <v>45260</v>
      </c>
      <c r="I3365">
        <f t="shared" si="104"/>
        <v>0</v>
      </c>
      <c r="J3365" t="str">
        <f t="shared" si="105"/>
        <v>Complete</v>
      </c>
      <c r="K3365">
        <f>COUNTIFS(RawData[Item], B3365,RawData[Quantity],C3365,RawData[Price Per Unit],D3365,RawData[Total Spent],E3365,RawData[Payment Method],F3365,RawData[Location],G3365,RawData[Transaction Date],H3365)</f>
        <v>1</v>
      </c>
      <c r="L3365"/>
    </row>
    <row r="3366" spans="1:12" x14ac:dyDescent="0.3">
      <c r="A3366" t="s">
        <v>3372</v>
      </c>
      <c r="B3366" t="s">
        <v>10011</v>
      </c>
      <c r="C3366">
        <v>4</v>
      </c>
      <c r="D3366">
        <v>5</v>
      </c>
      <c r="E3366">
        <v>20</v>
      </c>
      <c r="F3366" t="s">
        <v>10020</v>
      </c>
      <c r="G3366" t="s">
        <v>10102</v>
      </c>
      <c r="H3366" s="6">
        <v>45093</v>
      </c>
      <c r="I3366">
        <f t="shared" si="104"/>
        <v>0</v>
      </c>
      <c r="J3366" t="str">
        <f t="shared" si="105"/>
        <v>Complete</v>
      </c>
      <c r="K3366">
        <f>COUNTIFS(RawData[Item], B3366,RawData[Quantity],C3366,RawData[Price Per Unit],D3366,RawData[Total Spent],E3366,RawData[Payment Method],F3366,RawData[Location],G3366,RawData[Transaction Date],H3366)</f>
        <v>1</v>
      </c>
      <c r="L3366"/>
    </row>
    <row r="3367" spans="1:12" x14ac:dyDescent="0.3">
      <c r="A3367" t="s">
        <v>3373</v>
      </c>
      <c r="B3367" t="s">
        <v>10016</v>
      </c>
      <c r="C3367">
        <v>2</v>
      </c>
      <c r="D3367">
        <v>3</v>
      </c>
      <c r="E3367">
        <v>6</v>
      </c>
      <c r="F3367" t="s">
        <v>10019</v>
      </c>
      <c r="G3367" t="s">
        <v>10021</v>
      </c>
      <c r="H3367" s="6">
        <v>44998</v>
      </c>
      <c r="I3367">
        <f t="shared" si="104"/>
        <v>0</v>
      </c>
      <c r="J3367" t="str">
        <f t="shared" si="105"/>
        <v>Complete</v>
      </c>
      <c r="K3367">
        <f>COUNTIFS(RawData[Item], B3367,RawData[Quantity],C3367,RawData[Price Per Unit],D3367,RawData[Total Spent],E3367,RawData[Payment Method],F3367,RawData[Location],G3367,RawData[Transaction Date],H3367)</f>
        <v>1</v>
      </c>
      <c r="L3367"/>
    </row>
    <row r="3368" spans="1:12" x14ac:dyDescent="0.3">
      <c r="A3368" t="s">
        <v>3374</v>
      </c>
      <c r="B3368" t="s">
        <v>10017</v>
      </c>
      <c r="C3368">
        <v>3</v>
      </c>
      <c r="D3368">
        <v>1.5</v>
      </c>
      <c r="E3368">
        <v>4.5</v>
      </c>
      <c r="F3368" t="s">
        <v>10019</v>
      </c>
      <c r="G3368" t="s">
        <v>10069</v>
      </c>
      <c r="H3368" s="6">
        <v>45066</v>
      </c>
      <c r="I3368">
        <f t="shared" si="104"/>
        <v>0</v>
      </c>
      <c r="J3368" t="str">
        <f t="shared" si="105"/>
        <v>Complete</v>
      </c>
      <c r="K3368">
        <f>COUNTIFS(RawData[Item], B3368,RawData[Quantity],C3368,RawData[Price Per Unit],D3368,RawData[Total Spent],E3368,RawData[Payment Method],F3368,RawData[Location],G3368,RawData[Transaction Date],H3368)</f>
        <v>1</v>
      </c>
      <c r="L3368"/>
    </row>
    <row r="3369" spans="1:12" x14ac:dyDescent="0.3">
      <c r="A3369" t="s">
        <v>3375</v>
      </c>
      <c r="B3369" t="s">
        <v>10015</v>
      </c>
      <c r="C3369">
        <v>1</v>
      </c>
      <c r="D3369">
        <v>3</v>
      </c>
      <c r="E3369">
        <v>3</v>
      </c>
      <c r="F3369" t="s">
        <v>10069</v>
      </c>
      <c r="G3369" t="s">
        <v>10102</v>
      </c>
      <c r="H3369" s="6">
        <v>45290</v>
      </c>
      <c r="I3369">
        <f t="shared" si="104"/>
        <v>1</v>
      </c>
      <c r="J3369" t="str">
        <f t="shared" si="105"/>
        <v>Complete</v>
      </c>
      <c r="K3369">
        <f>COUNTIFS(RawData[Item], B3369,RawData[Quantity],C3369,RawData[Price Per Unit],D3369,RawData[Total Spent],E3369,RawData[Payment Method],F3369,RawData[Location],G3369,RawData[Transaction Date],H3369)</f>
        <v>1</v>
      </c>
      <c r="L3369"/>
    </row>
    <row r="3370" spans="1:12" x14ac:dyDescent="0.3">
      <c r="A3370" t="s">
        <v>3376</v>
      </c>
      <c r="B3370" t="s">
        <v>10008</v>
      </c>
      <c r="C3370">
        <v>4</v>
      </c>
      <c r="D3370">
        <v>2</v>
      </c>
      <c r="E3370">
        <v>8</v>
      </c>
      <c r="F3370" t="s">
        <v>10020</v>
      </c>
      <c r="G3370" t="s">
        <v>10069</v>
      </c>
      <c r="H3370" s="6">
        <v>44948</v>
      </c>
      <c r="I3370">
        <f t="shared" si="104"/>
        <v>0</v>
      </c>
      <c r="J3370" t="str">
        <f t="shared" si="105"/>
        <v>Complete</v>
      </c>
      <c r="K3370">
        <f>COUNTIFS(RawData[Item], B3370,RawData[Quantity],C3370,RawData[Price Per Unit],D3370,RawData[Total Spent],E3370,RawData[Payment Method],F3370,RawData[Location],G3370,RawData[Transaction Date],H3370)</f>
        <v>2</v>
      </c>
      <c r="L3370"/>
    </row>
    <row r="3371" spans="1:12" x14ac:dyDescent="0.3">
      <c r="A3371" t="s">
        <v>3377</v>
      </c>
      <c r="B3371" t="s">
        <v>10014</v>
      </c>
      <c r="C3371">
        <v>1</v>
      </c>
      <c r="D3371">
        <v>4</v>
      </c>
      <c r="E3371">
        <v>0</v>
      </c>
      <c r="F3371" t="s">
        <v>10018</v>
      </c>
      <c r="G3371" t="s">
        <v>10021</v>
      </c>
      <c r="H3371" s="6">
        <v>45163</v>
      </c>
      <c r="I3371">
        <f t="shared" si="104"/>
        <v>0</v>
      </c>
      <c r="J3371" t="str">
        <f t="shared" si="105"/>
        <v>Complete</v>
      </c>
      <c r="K3371">
        <f>COUNTIFS(RawData[Item], B3371,RawData[Quantity],C3371,RawData[Price Per Unit],D3371,RawData[Total Spent],E3371,RawData[Payment Method],F3371,RawData[Location],G3371,RawData[Transaction Date],H3371)</f>
        <v>1</v>
      </c>
      <c r="L3371"/>
    </row>
    <row r="3372" spans="1:12" x14ac:dyDescent="0.3">
      <c r="A3372" t="s">
        <v>3378</v>
      </c>
      <c r="B3372" t="s">
        <v>10012</v>
      </c>
      <c r="C3372">
        <v>5</v>
      </c>
      <c r="D3372">
        <v>4</v>
      </c>
      <c r="E3372">
        <v>20</v>
      </c>
      <c r="F3372" t="s">
        <v>10018</v>
      </c>
      <c r="G3372" t="s">
        <v>10069</v>
      </c>
      <c r="H3372" s="6">
        <v>45239</v>
      </c>
      <c r="I3372">
        <f t="shared" si="104"/>
        <v>0</v>
      </c>
      <c r="J3372" t="str">
        <f t="shared" si="105"/>
        <v>Complete</v>
      </c>
      <c r="K3372">
        <f>COUNTIFS(RawData[Item], B3372,RawData[Quantity],C3372,RawData[Price Per Unit],D3372,RawData[Total Spent],E3372,RawData[Payment Method],F3372,RawData[Location],G3372,RawData[Transaction Date],H3372)</f>
        <v>1</v>
      </c>
      <c r="L3372"/>
    </row>
    <row r="3373" spans="1:12" x14ac:dyDescent="0.3">
      <c r="A3373" t="s">
        <v>3379</v>
      </c>
      <c r="B3373" t="s">
        <v>10014</v>
      </c>
      <c r="C3373">
        <v>5</v>
      </c>
      <c r="D3373">
        <v>4</v>
      </c>
      <c r="E3373">
        <v>20</v>
      </c>
      <c r="F3373" t="s">
        <v>10018</v>
      </c>
      <c r="G3373" t="s">
        <v>10102</v>
      </c>
      <c r="H3373" s="6">
        <v>44939</v>
      </c>
      <c r="I3373">
        <f t="shared" si="104"/>
        <v>0</v>
      </c>
      <c r="J3373" t="str">
        <f t="shared" si="105"/>
        <v>Complete</v>
      </c>
      <c r="K3373">
        <f>COUNTIFS(RawData[Item], B3373,RawData[Quantity],C3373,RawData[Price Per Unit],D3373,RawData[Total Spent],E3373,RawData[Payment Method],F3373,RawData[Location],G3373,RawData[Transaction Date],H3373)</f>
        <v>1</v>
      </c>
      <c r="L3373"/>
    </row>
    <row r="3374" spans="1:12" x14ac:dyDescent="0.3">
      <c r="A3374" t="s">
        <v>3380</v>
      </c>
      <c r="B3374" t="s">
        <v>10014</v>
      </c>
      <c r="C3374">
        <v>5</v>
      </c>
      <c r="D3374">
        <v>0</v>
      </c>
      <c r="E3374">
        <v>20</v>
      </c>
      <c r="F3374" t="s">
        <v>10018</v>
      </c>
      <c r="G3374" t="s">
        <v>10102</v>
      </c>
      <c r="H3374" s="6">
        <v>45043</v>
      </c>
      <c r="I3374">
        <f t="shared" si="104"/>
        <v>0</v>
      </c>
      <c r="J3374" t="str">
        <f t="shared" si="105"/>
        <v>Complete</v>
      </c>
      <c r="K3374">
        <f>COUNTIFS(RawData[Item], B3374,RawData[Quantity],C3374,RawData[Price Per Unit],D3374,RawData[Total Spent],E3374,RawData[Payment Method],F3374,RawData[Location],G3374,RawData[Transaction Date],H3374)</f>
        <v>1</v>
      </c>
      <c r="L3374"/>
    </row>
    <row r="3375" spans="1:12" x14ac:dyDescent="0.3">
      <c r="A3375" t="s">
        <v>3381</v>
      </c>
      <c r="B3375" t="s">
        <v>10069</v>
      </c>
      <c r="C3375" t="s">
        <v>10015</v>
      </c>
      <c r="D3375">
        <v>1.5</v>
      </c>
      <c r="E3375">
        <v>3</v>
      </c>
      <c r="F3375" t="s">
        <v>10018</v>
      </c>
      <c r="G3375" t="s">
        <v>10069</v>
      </c>
      <c r="H3375" s="6">
        <v>45011</v>
      </c>
      <c r="I3375">
        <f t="shared" si="104"/>
        <v>1</v>
      </c>
      <c r="J3375" t="str">
        <f t="shared" si="105"/>
        <v>Complete</v>
      </c>
      <c r="K3375">
        <f>COUNTIFS(RawData[Item], B3375,RawData[Quantity],C3375,RawData[Price Per Unit],D3375,RawData[Total Spent],E3375,RawData[Payment Method],F3375,RawData[Location],G3375,RawData[Transaction Date],H3375)</f>
        <v>1</v>
      </c>
      <c r="L3375"/>
    </row>
    <row r="3376" spans="1:12" x14ac:dyDescent="0.3">
      <c r="A3376" t="s">
        <v>3382</v>
      </c>
      <c r="B3376" t="s">
        <v>10013</v>
      </c>
      <c r="C3376" t="s">
        <v>10013</v>
      </c>
      <c r="D3376">
        <v>3</v>
      </c>
      <c r="E3376">
        <v>15</v>
      </c>
      <c r="F3376" t="s">
        <v>10020</v>
      </c>
      <c r="G3376" t="s">
        <v>10021</v>
      </c>
      <c r="H3376" s="6">
        <v>44958</v>
      </c>
      <c r="I3376">
        <f t="shared" si="104"/>
        <v>2</v>
      </c>
      <c r="J3376" t="str">
        <f t="shared" si="105"/>
        <v>Complete</v>
      </c>
      <c r="K3376">
        <f>COUNTIFS(RawData[Item], B3376,RawData[Quantity],C3376,RawData[Price Per Unit],D3376,RawData[Total Spent],E3376,RawData[Payment Method],F3376,RawData[Location],G3376,RawData[Transaction Date],H3376)</f>
        <v>1</v>
      </c>
      <c r="L3376"/>
    </row>
    <row r="3377" spans="1:12" x14ac:dyDescent="0.3">
      <c r="A3377" t="s">
        <v>3383</v>
      </c>
      <c r="B3377" t="s">
        <v>10069</v>
      </c>
      <c r="C3377">
        <v>2</v>
      </c>
      <c r="D3377">
        <v>4</v>
      </c>
      <c r="E3377">
        <v>8</v>
      </c>
      <c r="F3377" t="s">
        <v>10018</v>
      </c>
      <c r="G3377" t="s">
        <v>10021</v>
      </c>
      <c r="H3377" s="6">
        <v>45286</v>
      </c>
      <c r="I3377">
        <f t="shared" si="104"/>
        <v>0</v>
      </c>
      <c r="J3377" t="str">
        <f t="shared" si="105"/>
        <v>Complete</v>
      </c>
      <c r="K3377">
        <f>COUNTIFS(RawData[Item], B3377,RawData[Quantity],C3377,RawData[Price Per Unit],D3377,RawData[Total Spent],E3377,RawData[Payment Method],F3377,RawData[Location],G3377,RawData[Transaction Date],H3377)</f>
        <v>1</v>
      </c>
      <c r="L3377"/>
    </row>
    <row r="3378" spans="1:12" x14ac:dyDescent="0.3">
      <c r="A3378" t="s">
        <v>3384</v>
      </c>
      <c r="B3378" t="s">
        <v>10008</v>
      </c>
      <c r="C3378">
        <v>2</v>
      </c>
      <c r="D3378">
        <v>2</v>
      </c>
      <c r="E3378">
        <v>4</v>
      </c>
      <c r="F3378" t="s">
        <v>10019</v>
      </c>
      <c r="G3378" t="s">
        <v>10069</v>
      </c>
      <c r="H3378" s="6">
        <v>45087</v>
      </c>
      <c r="I3378">
        <f t="shared" si="104"/>
        <v>0</v>
      </c>
      <c r="J3378" t="str">
        <f t="shared" si="105"/>
        <v>Complete</v>
      </c>
      <c r="K3378">
        <f>COUNTIFS(RawData[Item], B3378,RawData[Quantity],C3378,RawData[Price Per Unit],D3378,RawData[Total Spent],E3378,RawData[Payment Method],F3378,RawData[Location],G3378,RawData[Transaction Date],H3378)</f>
        <v>1</v>
      </c>
      <c r="L3378"/>
    </row>
    <row r="3379" spans="1:12" x14ac:dyDescent="0.3">
      <c r="A3379" t="s">
        <v>3385</v>
      </c>
      <c r="B3379" t="s">
        <v>10008</v>
      </c>
      <c r="C3379">
        <v>5</v>
      </c>
      <c r="D3379">
        <v>2</v>
      </c>
      <c r="E3379">
        <v>10</v>
      </c>
      <c r="F3379" t="s">
        <v>10020</v>
      </c>
      <c r="G3379" t="s">
        <v>10069</v>
      </c>
      <c r="H3379" s="6">
        <v>44960</v>
      </c>
      <c r="I3379">
        <f t="shared" si="104"/>
        <v>0</v>
      </c>
      <c r="J3379" t="str">
        <f t="shared" si="105"/>
        <v>Complete</v>
      </c>
      <c r="K3379">
        <f>COUNTIFS(RawData[Item], B3379,RawData[Quantity],C3379,RawData[Price Per Unit],D3379,RawData[Total Spent],E3379,RawData[Payment Method],F3379,RawData[Location],G3379,RawData[Transaction Date],H3379)</f>
        <v>1</v>
      </c>
      <c r="L3379"/>
    </row>
    <row r="3380" spans="1:12" x14ac:dyDescent="0.3">
      <c r="A3380" t="s">
        <v>3386</v>
      </c>
      <c r="B3380" t="s">
        <v>10069</v>
      </c>
      <c r="C3380">
        <v>1</v>
      </c>
      <c r="D3380">
        <v>3</v>
      </c>
      <c r="E3380">
        <v>3</v>
      </c>
      <c r="F3380" t="s">
        <v>10018</v>
      </c>
      <c r="G3380" t="s">
        <v>10102</v>
      </c>
      <c r="H3380" s="6">
        <v>45234</v>
      </c>
      <c r="I3380">
        <f t="shared" si="104"/>
        <v>0</v>
      </c>
      <c r="J3380" t="str">
        <f t="shared" si="105"/>
        <v>Complete</v>
      </c>
      <c r="K3380">
        <f>COUNTIFS(RawData[Item], B3380,RawData[Quantity],C3380,RawData[Price Per Unit],D3380,RawData[Total Spent],E3380,RawData[Payment Method],F3380,RawData[Location],G3380,RawData[Transaction Date],H3380)</f>
        <v>1</v>
      </c>
      <c r="L3380"/>
    </row>
    <row r="3381" spans="1:12" x14ac:dyDescent="0.3">
      <c r="A3381" t="s">
        <v>3387</v>
      </c>
      <c r="B3381" t="s">
        <v>10011</v>
      </c>
      <c r="C3381">
        <v>1</v>
      </c>
      <c r="D3381">
        <v>5</v>
      </c>
      <c r="E3381">
        <v>5</v>
      </c>
      <c r="F3381" t="s">
        <v>10069</v>
      </c>
      <c r="G3381" t="s">
        <v>10102</v>
      </c>
      <c r="H3381" s="6">
        <v>45234</v>
      </c>
      <c r="I3381">
        <f t="shared" si="104"/>
        <v>0</v>
      </c>
      <c r="J3381" t="str">
        <f t="shared" si="105"/>
        <v>Complete</v>
      </c>
      <c r="K3381">
        <f>COUNTIFS(RawData[Item], B3381,RawData[Quantity],C3381,RawData[Price Per Unit],D3381,RawData[Total Spent],E3381,RawData[Payment Method],F3381,RawData[Location],G3381,RawData[Transaction Date],H3381)</f>
        <v>1</v>
      </c>
      <c r="L3381"/>
    </row>
    <row r="3382" spans="1:12" x14ac:dyDescent="0.3">
      <c r="A3382" t="s">
        <v>3388</v>
      </c>
      <c r="B3382" t="s">
        <v>10017</v>
      </c>
      <c r="C3382">
        <v>3</v>
      </c>
      <c r="D3382">
        <v>1.5</v>
      </c>
      <c r="E3382" t="s">
        <v>10015</v>
      </c>
      <c r="F3382" t="s">
        <v>10020</v>
      </c>
      <c r="G3382" t="s">
        <v>10069</v>
      </c>
      <c r="H3382" s="6">
        <v>45038</v>
      </c>
      <c r="I3382">
        <f t="shared" si="104"/>
        <v>1</v>
      </c>
      <c r="J3382" t="str">
        <f t="shared" si="105"/>
        <v>Complete</v>
      </c>
      <c r="K3382">
        <f>COUNTIFS(RawData[Item], B3382,RawData[Quantity],C3382,RawData[Price Per Unit],D3382,RawData[Total Spent],E3382,RawData[Payment Method],F3382,RawData[Location],G3382,RawData[Transaction Date],H3382)</f>
        <v>1</v>
      </c>
      <c r="L3382"/>
    </row>
    <row r="3383" spans="1:12" x14ac:dyDescent="0.3">
      <c r="A3383" t="s">
        <v>3389</v>
      </c>
      <c r="B3383" t="s">
        <v>10010</v>
      </c>
      <c r="C3383">
        <v>0</v>
      </c>
      <c r="D3383">
        <v>1</v>
      </c>
      <c r="E3383">
        <v>5</v>
      </c>
      <c r="F3383" t="s">
        <v>10019</v>
      </c>
      <c r="G3383" t="s">
        <v>10102</v>
      </c>
      <c r="H3383" s="6">
        <v>45057</v>
      </c>
      <c r="I3383">
        <f t="shared" si="104"/>
        <v>0</v>
      </c>
      <c r="J3383" t="str">
        <f t="shared" si="105"/>
        <v>Complete</v>
      </c>
      <c r="K3383">
        <f>COUNTIFS(RawData[Item], B3383,RawData[Quantity],C3383,RawData[Price Per Unit],D3383,RawData[Total Spent],E3383,RawData[Payment Method],F3383,RawData[Location],G3383,RawData[Transaction Date],H3383)</f>
        <v>1</v>
      </c>
      <c r="L3383"/>
    </row>
    <row r="3384" spans="1:12" x14ac:dyDescent="0.3">
      <c r="A3384" t="s">
        <v>3390</v>
      </c>
      <c r="B3384" t="s">
        <v>10009</v>
      </c>
      <c r="C3384">
        <v>3</v>
      </c>
      <c r="D3384">
        <v>3</v>
      </c>
      <c r="E3384">
        <v>9</v>
      </c>
      <c r="F3384" t="s">
        <v>10019</v>
      </c>
      <c r="G3384" t="s">
        <v>10104</v>
      </c>
      <c r="H3384" s="6" t="s">
        <v>10112</v>
      </c>
      <c r="I3384">
        <f t="shared" si="104"/>
        <v>2</v>
      </c>
      <c r="J3384" t="str">
        <f t="shared" si="105"/>
        <v>Incomplete</v>
      </c>
      <c r="K3384">
        <f>COUNTIFS(RawData[Item], B3384,RawData[Quantity],C3384,RawData[Price Per Unit],D3384,RawData[Total Spent],E3384,RawData[Payment Method],F3384,RawData[Location],G3384,RawData[Transaction Date],H3384)</f>
        <v>1</v>
      </c>
      <c r="L3384"/>
    </row>
    <row r="3385" spans="1:12" x14ac:dyDescent="0.3">
      <c r="A3385" t="s">
        <v>3391</v>
      </c>
      <c r="B3385" t="s">
        <v>10009</v>
      </c>
      <c r="C3385">
        <v>4</v>
      </c>
      <c r="D3385">
        <v>3</v>
      </c>
      <c r="E3385">
        <v>12</v>
      </c>
      <c r="F3385" t="s">
        <v>10019</v>
      </c>
      <c r="G3385" t="s">
        <v>10069</v>
      </c>
      <c r="H3385" s="6">
        <v>45260</v>
      </c>
      <c r="I3385">
        <f t="shared" si="104"/>
        <v>0</v>
      </c>
      <c r="J3385" t="str">
        <f t="shared" si="105"/>
        <v>Complete</v>
      </c>
      <c r="K3385">
        <f>COUNTIFS(RawData[Item], B3385,RawData[Quantity],C3385,RawData[Price Per Unit],D3385,RawData[Total Spent],E3385,RawData[Payment Method],F3385,RawData[Location],G3385,RawData[Transaction Date],H3385)</f>
        <v>1</v>
      </c>
      <c r="L3385"/>
    </row>
    <row r="3386" spans="1:12" x14ac:dyDescent="0.3">
      <c r="A3386" t="s">
        <v>3392</v>
      </c>
      <c r="B3386" t="s">
        <v>10016</v>
      </c>
      <c r="C3386">
        <v>2</v>
      </c>
      <c r="D3386">
        <v>3</v>
      </c>
      <c r="E3386">
        <v>6</v>
      </c>
      <c r="F3386" t="s">
        <v>10020</v>
      </c>
      <c r="G3386" t="s">
        <v>10021</v>
      </c>
      <c r="H3386" s="6">
        <v>44952</v>
      </c>
      <c r="I3386">
        <f t="shared" si="104"/>
        <v>0</v>
      </c>
      <c r="J3386" t="str">
        <f t="shared" si="105"/>
        <v>Complete</v>
      </c>
      <c r="K3386">
        <f>COUNTIFS(RawData[Item], B3386,RawData[Quantity],C3386,RawData[Price Per Unit],D3386,RawData[Total Spent],E3386,RawData[Payment Method],F3386,RawData[Location],G3386,RawData[Transaction Date],H3386)</f>
        <v>1</v>
      </c>
      <c r="L3386"/>
    </row>
    <row r="3387" spans="1:12" x14ac:dyDescent="0.3">
      <c r="A3387" t="s">
        <v>3393</v>
      </c>
      <c r="B3387" t="s">
        <v>10008</v>
      </c>
      <c r="C3387">
        <v>4</v>
      </c>
      <c r="D3387">
        <v>2</v>
      </c>
      <c r="E3387">
        <v>8</v>
      </c>
      <c r="F3387" t="s">
        <v>10018</v>
      </c>
      <c r="G3387" t="s">
        <v>10102</v>
      </c>
      <c r="H3387" s="6">
        <v>45217</v>
      </c>
      <c r="I3387">
        <f t="shared" si="104"/>
        <v>0</v>
      </c>
      <c r="J3387" t="str">
        <f t="shared" si="105"/>
        <v>Complete</v>
      </c>
      <c r="K3387">
        <f>COUNTIFS(RawData[Item], B3387,RawData[Quantity],C3387,RawData[Price Per Unit],D3387,RawData[Total Spent],E3387,RawData[Payment Method],F3387,RawData[Location],G3387,RawData[Transaction Date],H3387)</f>
        <v>1</v>
      </c>
      <c r="L3387"/>
    </row>
    <row r="3388" spans="1:12" x14ac:dyDescent="0.3">
      <c r="A3388" t="s">
        <v>3394</v>
      </c>
      <c r="B3388" t="s">
        <v>10017</v>
      </c>
      <c r="C3388">
        <v>4</v>
      </c>
      <c r="D3388">
        <v>1.5</v>
      </c>
      <c r="E3388">
        <v>6</v>
      </c>
      <c r="F3388" t="s">
        <v>10069</v>
      </c>
      <c r="G3388" t="s">
        <v>10102</v>
      </c>
      <c r="H3388" s="6">
        <v>44966</v>
      </c>
      <c r="I3388">
        <f t="shared" si="104"/>
        <v>0</v>
      </c>
      <c r="J3388" t="str">
        <f t="shared" si="105"/>
        <v>Complete</v>
      </c>
      <c r="K3388">
        <f>COUNTIFS(RawData[Item], B3388,RawData[Quantity],C3388,RawData[Price Per Unit],D3388,RawData[Total Spent],E3388,RawData[Payment Method],F3388,RawData[Location],G3388,RawData[Transaction Date],H3388)</f>
        <v>1</v>
      </c>
      <c r="L3388"/>
    </row>
    <row r="3389" spans="1:12" x14ac:dyDescent="0.3">
      <c r="A3389" t="s">
        <v>3395</v>
      </c>
      <c r="B3389" t="s">
        <v>10017</v>
      </c>
      <c r="C3389">
        <v>1</v>
      </c>
      <c r="D3389">
        <v>1.5</v>
      </c>
      <c r="E3389">
        <v>1.5</v>
      </c>
      <c r="F3389" t="s">
        <v>10019</v>
      </c>
      <c r="G3389" t="s">
        <v>10102</v>
      </c>
      <c r="H3389" s="6">
        <v>45061</v>
      </c>
      <c r="I3389">
        <f t="shared" si="104"/>
        <v>0</v>
      </c>
      <c r="J3389" t="str">
        <f t="shared" si="105"/>
        <v>Complete</v>
      </c>
      <c r="K3389">
        <f>COUNTIFS(RawData[Item], B3389,RawData[Quantity],C3389,RawData[Price Per Unit],D3389,RawData[Total Spent],E3389,RawData[Payment Method],F3389,RawData[Location],G3389,RawData[Transaction Date],H3389)</f>
        <v>1</v>
      </c>
      <c r="L3389"/>
    </row>
    <row r="3390" spans="1:12" x14ac:dyDescent="0.3">
      <c r="A3390" t="s">
        <v>3396</v>
      </c>
      <c r="B3390" t="s">
        <v>10012</v>
      </c>
      <c r="C3390">
        <v>5</v>
      </c>
      <c r="D3390">
        <v>4</v>
      </c>
      <c r="E3390">
        <v>20</v>
      </c>
      <c r="F3390" t="s">
        <v>10019</v>
      </c>
      <c r="G3390" t="s">
        <v>10069</v>
      </c>
      <c r="H3390" s="6">
        <v>45282</v>
      </c>
      <c r="I3390">
        <f t="shared" si="104"/>
        <v>0</v>
      </c>
      <c r="J3390" t="str">
        <f t="shared" si="105"/>
        <v>Complete</v>
      </c>
      <c r="K3390">
        <f>COUNTIFS(RawData[Item], B3390,RawData[Quantity],C3390,RawData[Price Per Unit],D3390,RawData[Total Spent],E3390,RawData[Payment Method],F3390,RawData[Location],G3390,RawData[Transaction Date],H3390)</f>
        <v>1</v>
      </c>
      <c r="L3390"/>
    </row>
    <row r="3391" spans="1:12" x14ac:dyDescent="0.3">
      <c r="A3391" t="s">
        <v>3397</v>
      </c>
      <c r="B3391" t="s">
        <v>10011</v>
      </c>
      <c r="C3391">
        <v>2</v>
      </c>
      <c r="D3391">
        <v>5</v>
      </c>
      <c r="E3391">
        <v>10</v>
      </c>
      <c r="F3391" t="s">
        <v>10069</v>
      </c>
      <c r="G3391" t="s">
        <v>10102</v>
      </c>
      <c r="H3391" s="6">
        <v>45226</v>
      </c>
      <c r="I3391">
        <f t="shared" si="104"/>
        <v>0</v>
      </c>
      <c r="J3391" t="str">
        <f t="shared" si="105"/>
        <v>Complete</v>
      </c>
      <c r="K3391">
        <f>COUNTIFS(RawData[Item], B3391,RawData[Quantity],C3391,RawData[Price Per Unit],D3391,RawData[Total Spent],E3391,RawData[Payment Method],F3391,RawData[Location],G3391,RawData[Transaction Date],H3391)</f>
        <v>1</v>
      </c>
      <c r="L3391"/>
    </row>
    <row r="3392" spans="1:12" x14ac:dyDescent="0.3">
      <c r="A3392" t="s">
        <v>3398</v>
      </c>
      <c r="B3392" t="s">
        <v>10010</v>
      </c>
      <c r="C3392">
        <v>3</v>
      </c>
      <c r="D3392">
        <v>1</v>
      </c>
      <c r="E3392">
        <v>3</v>
      </c>
      <c r="F3392" t="s">
        <v>10018</v>
      </c>
      <c r="G3392" t="s">
        <v>10069</v>
      </c>
      <c r="H3392" s="6">
        <v>45061</v>
      </c>
      <c r="I3392">
        <f t="shared" si="104"/>
        <v>0</v>
      </c>
      <c r="J3392" t="str">
        <f t="shared" si="105"/>
        <v>Complete</v>
      </c>
      <c r="K3392">
        <f>COUNTIFS(RawData[Item], B3392,RawData[Quantity],C3392,RawData[Price Per Unit],D3392,RawData[Total Spent],E3392,RawData[Payment Method],F3392,RawData[Location],G3392,RawData[Transaction Date],H3392)</f>
        <v>1</v>
      </c>
      <c r="L3392"/>
    </row>
    <row r="3393" spans="1:12" x14ac:dyDescent="0.3">
      <c r="A3393" t="s">
        <v>3399</v>
      </c>
      <c r="B3393" t="s">
        <v>10017</v>
      </c>
      <c r="C3393">
        <v>4</v>
      </c>
      <c r="D3393">
        <v>1.5</v>
      </c>
      <c r="E3393">
        <v>6</v>
      </c>
      <c r="F3393" t="s">
        <v>10069</v>
      </c>
      <c r="G3393" t="s">
        <v>10102</v>
      </c>
      <c r="H3393" s="6">
        <v>45231</v>
      </c>
      <c r="I3393">
        <f t="shared" si="104"/>
        <v>0</v>
      </c>
      <c r="J3393" t="str">
        <f t="shared" si="105"/>
        <v>Complete</v>
      </c>
      <c r="K3393">
        <f>COUNTIFS(RawData[Item], B3393,RawData[Quantity],C3393,RawData[Price Per Unit],D3393,RawData[Total Spent],E3393,RawData[Payment Method],F3393,RawData[Location],G3393,RawData[Transaction Date],H3393)</f>
        <v>1</v>
      </c>
      <c r="L3393"/>
    </row>
    <row r="3394" spans="1:12" x14ac:dyDescent="0.3">
      <c r="A3394" t="s">
        <v>3400</v>
      </c>
      <c r="B3394" t="s">
        <v>10016</v>
      </c>
      <c r="C3394">
        <v>3</v>
      </c>
      <c r="D3394">
        <v>3</v>
      </c>
      <c r="E3394" t="s">
        <v>10013</v>
      </c>
      <c r="F3394" t="s">
        <v>10020</v>
      </c>
      <c r="G3394" t="s">
        <v>10103</v>
      </c>
      <c r="H3394" s="6">
        <v>45003</v>
      </c>
      <c r="I3394">
        <f t="shared" ref="I3394:I3457" si="106">(B3394="Unknown")+(B3394="Error")+(C3394="Unknown")+(C3394="Error")+(D3394="Unknown")+(D3394="Error")+(E3394="Unknown")+(E3394="Error")+(F3394="Unknown")+(F3394="Error")+(G3394="Unknown")+(G3394="Error")+(H3394="No Date")</f>
        <v>2</v>
      </c>
      <c r="J3394" t="str">
        <f t="shared" ref="J3394:J3457" si="107">IF((H3394="No Date"),"Incomplete","Complete")</f>
        <v>Complete</v>
      </c>
      <c r="K3394">
        <f>COUNTIFS(RawData[Item], B3394,RawData[Quantity],C3394,RawData[Price Per Unit],D3394,RawData[Total Spent],E3394,RawData[Payment Method],F3394,RawData[Location],G3394,RawData[Transaction Date],H3394)</f>
        <v>1</v>
      </c>
      <c r="L3394"/>
    </row>
    <row r="3395" spans="1:12" x14ac:dyDescent="0.3">
      <c r="A3395" t="s">
        <v>3401</v>
      </c>
      <c r="B3395" t="s">
        <v>10016</v>
      </c>
      <c r="C3395">
        <v>2</v>
      </c>
      <c r="D3395">
        <v>3</v>
      </c>
      <c r="E3395">
        <v>6</v>
      </c>
      <c r="F3395" t="s">
        <v>10069</v>
      </c>
      <c r="G3395" t="s">
        <v>10069</v>
      </c>
      <c r="H3395" s="6">
        <v>45191</v>
      </c>
      <c r="I3395">
        <f t="shared" si="106"/>
        <v>0</v>
      </c>
      <c r="J3395" t="str">
        <f t="shared" si="107"/>
        <v>Complete</v>
      </c>
      <c r="K3395">
        <f>COUNTIFS(RawData[Item], B3395,RawData[Quantity],C3395,RawData[Price Per Unit],D3395,RawData[Total Spent],E3395,RawData[Payment Method],F3395,RawData[Location],G3395,RawData[Transaction Date],H3395)</f>
        <v>1</v>
      </c>
      <c r="L3395"/>
    </row>
    <row r="3396" spans="1:12" x14ac:dyDescent="0.3">
      <c r="A3396" t="s">
        <v>3402</v>
      </c>
      <c r="B3396" t="s">
        <v>10017</v>
      </c>
      <c r="C3396">
        <v>4</v>
      </c>
      <c r="D3396">
        <v>1.5</v>
      </c>
      <c r="E3396">
        <v>6</v>
      </c>
      <c r="F3396" t="s">
        <v>10020</v>
      </c>
      <c r="G3396" t="s">
        <v>10069</v>
      </c>
      <c r="H3396" s="6">
        <v>45113</v>
      </c>
      <c r="I3396">
        <f t="shared" si="106"/>
        <v>0</v>
      </c>
      <c r="J3396" t="str">
        <f t="shared" si="107"/>
        <v>Complete</v>
      </c>
      <c r="K3396">
        <f>COUNTIFS(RawData[Item], B3396,RawData[Quantity],C3396,RawData[Price Per Unit],D3396,RawData[Total Spent],E3396,RawData[Payment Method],F3396,RawData[Location],G3396,RawData[Transaction Date],H3396)</f>
        <v>1</v>
      </c>
      <c r="L3396"/>
    </row>
    <row r="3397" spans="1:12" x14ac:dyDescent="0.3">
      <c r="A3397" t="s">
        <v>3403</v>
      </c>
      <c r="B3397" t="s">
        <v>10010</v>
      </c>
      <c r="C3397">
        <v>1</v>
      </c>
      <c r="D3397">
        <v>1</v>
      </c>
      <c r="E3397">
        <v>1</v>
      </c>
      <c r="F3397" t="s">
        <v>10020</v>
      </c>
      <c r="G3397" t="s">
        <v>10069</v>
      </c>
      <c r="H3397" s="6">
        <v>45184</v>
      </c>
      <c r="I3397">
        <f t="shared" si="106"/>
        <v>0</v>
      </c>
      <c r="J3397" t="str">
        <f t="shared" si="107"/>
        <v>Complete</v>
      </c>
      <c r="K3397">
        <f>COUNTIFS(RawData[Item], B3397,RawData[Quantity],C3397,RawData[Price Per Unit],D3397,RawData[Total Spent],E3397,RawData[Payment Method],F3397,RawData[Location],G3397,RawData[Transaction Date],H3397)</f>
        <v>1</v>
      </c>
      <c r="L3397"/>
    </row>
    <row r="3398" spans="1:12" x14ac:dyDescent="0.3">
      <c r="A3398" t="s">
        <v>3404</v>
      </c>
      <c r="B3398" t="s">
        <v>10069</v>
      </c>
      <c r="C3398">
        <v>2</v>
      </c>
      <c r="D3398">
        <v>4</v>
      </c>
      <c r="E3398">
        <v>8</v>
      </c>
      <c r="F3398" t="s">
        <v>10020</v>
      </c>
      <c r="G3398" t="s">
        <v>10102</v>
      </c>
      <c r="H3398" s="6">
        <v>45020</v>
      </c>
      <c r="I3398">
        <f t="shared" si="106"/>
        <v>0</v>
      </c>
      <c r="J3398" t="str">
        <f t="shared" si="107"/>
        <v>Complete</v>
      </c>
      <c r="K3398">
        <f>COUNTIFS(RawData[Item], B3398,RawData[Quantity],C3398,RawData[Price Per Unit],D3398,RawData[Total Spent],E3398,RawData[Payment Method],F3398,RawData[Location],G3398,RawData[Transaction Date],H3398)</f>
        <v>1</v>
      </c>
      <c r="L3398"/>
    </row>
    <row r="3399" spans="1:12" x14ac:dyDescent="0.3">
      <c r="A3399" t="s">
        <v>3405</v>
      </c>
      <c r="B3399" t="s">
        <v>10017</v>
      </c>
      <c r="C3399" t="s">
        <v>10013</v>
      </c>
      <c r="D3399">
        <v>1.5</v>
      </c>
      <c r="E3399">
        <v>6</v>
      </c>
      <c r="F3399" t="s">
        <v>10020</v>
      </c>
      <c r="G3399" t="s">
        <v>10069</v>
      </c>
      <c r="H3399" s="6">
        <v>45175</v>
      </c>
      <c r="I3399">
        <f t="shared" si="106"/>
        <v>1</v>
      </c>
      <c r="J3399" t="str">
        <f t="shared" si="107"/>
        <v>Complete</v>
      </c>
      <c r="K3399">
        <f>COUNTIFS(RawData[Item], B3399,RawData[Quantity],C3399,RawData[Price Per Unit],D3399,RawData[Total Spent],E3399,RawData[Payment Method],F3399,RawData[Location],G3399,RawData[Transaction Date],H3399)</f>
        <v>1</v>
      </c>
      <c r="L3399"/>
    </row>
    <row r="3400" spans="1:12" x14ac:dyDescent="0.3">
      <c r="A3400" t="s">
        <v>3406</v>
      </c>
      <c r="B3400" t="s">
        <v>10010</v>
      </c>
      <c r="C3400">
        <v>5</v>
      </c>
      <c r="D3400">
        <v>1</v>
      </c>
      <c r="E3400">
        <v>5</v>
      </c>
      <c r="F3400" t="s">
        <v>10018</v>
      </c>
      <c r="G3400" t="s">
        <v>10069</v>
      </c>
      <c r="H3400" s="6">
        <v>45102</v>
      </c>
      <c r="I3400">
        <f t="shared" si="106"/>
        <v>0</v>
      </c>
      <c r="J3400" t="str">
        <f t="shared" si="107"/>
        <v>Complete</v>
      </c>
      <c r="K3400">
        <f>COUNTIFS(RawData[Item], B3400,RawData[Quantity],C3400,RawData[Price Per Unit],D3400,RawData[Total Spent],E3400,RawData[Payment Method],F3400,RawData[Location],G3400,RawData[Transaction Date],H3400)</f>
        <v>1</v>
      </c>
      <c r="L3400"/>
    </row>
    <row r="3401" spans="1:12" x14ac:dyDescent="0.3">
      <c r="A3401" t="s">
        <v>3407</v>
      </c>
      <c r="B3401" t="s">
        <v>10012</v>
      </c>
      <c r="C3401">
        <v>5</v>
      </c>
      <c r="D3401">
        <v>4</v>
      </c>
      <c r="E3401">
        <v>20</v>
      </c>
      <c r="F3401" t="s">
        <v>10020</v>
      </c>
      <c r="G3401" t="s">
        <v>10069</v>
      </c>
      <c r="H3401" s="6">
        <v>45106</v>
      </c>
      <c r="I3401">
        <f t="shared" si="106"/>
        <v>0</v>
      </c>
      <c r="J3401" t="str">
        <f t="shared" si="107"/>
        <v>Complete</v>
      </c>
      <c r="K3401">
        <f>COUNTIFS(RawData[Item], B3401,RawData[Quantity],C3401,RawData[Price Per Unit],D3401,RawData[Total Spent],E3401,RawData[Payment Method],F3401,RawData[Location],G3401,RawData[Transaction Date],H3401)</f>
        <v>1</v>
      </c>
      <c r="L3401"/>
    </row>
    <row r="3402" spans="1:12" x14ac:dyDescent="0.3">
      <c r="A3402" t="s">
        <v>3408</v>
      </c>
      <c r="B3402" t="s">
        <v>10011</v>
      </c>
      <c r="C3402">
        <v>1</v>
      </c>
      <c r="D3402">
        <v>5</v>
      </c>
      <c r="E3402">
        <v>5</v>
      </c>
      <c r="F3402" t="s">
        <v>10069</v>
      </c>
      <c r="G3402" t="s">
        <v>10069</v>
      </c>
      <c r="H3402" s="6">
        <v>45223</v>
      </c>
      <c r="I3402">
        <f t="shared" si="106"/>
        <v>0</v>
      </c>
      <c r="J3402" t="str">
        <f t="shared" si="107"/>
        <v>Complete</v>
      </c>
      <c r="K3402">
        <f>COUNTIFS(RawData[Item], B3402,RawData[Quantity],C3402,RawData[Price Per Unit],D3402,RawData[Total Spent],E3402,RawData[Payment Method],F3402,RawData[Location],G3402,RawData[Transaction Date],H3402)</f>
        <v>1</v>
      </c>
      <c r="L3402"/>
    </row>
    <row r="3403" spans="1:12" x14ac:dyDescent="0.3">
      <c r="A3403" t="s">
        <v>3409</v>
      </c>
      <c r="B3403" t="s">
        <v>10017</v>
      </c>
      <c r="C3403">
        <v>0</v>
      </c>
      <c r="D3403">
        <v>1.5</v>
      </c>
      <c r="E3403">
        <v>0</v>
      </c>
      <c r="F3403" t="s">
        <v>10020</v>
      </c>
      <c r="G3403" t="s">
        <v>10102</v>
      </c>
      <c r="H3403" s="6">
        <v>45132</v>
      </c>
      <c r="I3403">
        <f t="shared" si="106"/>
        <v>0</v>
      </c>
      <c r="J3403" t="str">
        <f t="shared" si="107"/>
        <v>Complete</v>
      </c>
      <c r="K3403">
        <f>COUNTIFS(RawData[Item], B3403,RawData[Quantity],C3403,RawData[Price Per Unit],D3403,RawData[Total Spent],E3403,RawData[Payment Method],F3403,RawData[Location],G3403,RawData[Transaction Date],H3403)</f>
        <v>1</v>
      </c>
      <c r="L3403"/>
    </row>
    <row r="3404" spans="1:12" x14ac:dyDescent="0.3">
      <c r="A3404" t="s">
        <v>3410</v>
      </c>
      <c r="B3404" t="s">
        <v>10009</v>
      </c>
      <c r="C3404">
        <v>5</v>
      </c>
      <c r="D3404">
        <v>3</v>
      </c>
      <c r="E3404">
        <v>15</v>
      </c>
      <c r="F3404" t="s">
        <v>10019</v>
      </c>
      <c r="G3404" t="s">
        <v>10021</v>
      </c>
      <c r="H3404" s="6">
        <v>44946</v>
      </c>
      <c r="I3404">
        <f t="shared" si="106"/>
        <v>0</v>
      </c>
      <c r="J3404" t="str">
        <f t="shared" si="107"/>
        <v>Complete</v>
      </c>
      <c r="K3404">
        <f>COUNTIFS(RawData[Item], B3404,RawData[Quantity],C3404,RawData[Price Per Unit],D3404,RawData[Total Spent],E3404,RawData[Payment Method],F3404,RawData[Location],G3404,RawData[Transaction Date],H3404)</f>
        <v>1</v>
      </c>
      <c r="L3404"/>
    </row>
    <row r="3405" spans="1:12" x14ac:dyDescent="0.3">
      <c r="A3405" t="s">
        <v>3411</v>
      </c>
      <c r="B3405" t="s">
        <v>10014</v>
      </c>
      <c r="C3405">
        <v>1</v>
      </c>
      <c r="D3405">
        <v>4</v>
      </c>
      <c r="E3405">
        <v>4</v>
      </c>
      <c r="F3405" t="s">
        <v>10069</v>
      </c>
      <c r="G3405" t="s">
        <v>10102</v>
      </c>
      <c r="H3405" s="6">
        <v>45037</v>
      </c>
      <c r="I3405">
        <f t="shared" si="106"/>
        <v>0</v>
      </c>
      <c r="J3405" t="str">
        <f t="shared" si="107"/>
        <v>Complete</v>
      </c>
      <c r="K3405">
        <f>COUNTIFS(RawData[Item], B3405,RawData[Quantity],C3405,RawData[Price Per Unit],D3405,RawData[Total Spent],E3405,RawData[Payment Method],F3405,RawData[Location],G3405,RawData[Transaction Date],H3405)</f>
        <v>1</v>
      </c>
      <c r="L3405"/>
    </row>
    <row r="3406" spans="1:12" x14ac:dyDescent="0.3">
      <c r="A3406" t="s">
        <v>3412</v>
      </c>
      <c r="B3406" t="s">
        <v>10069</v>
      </c>
      <c r="C3406">
        <v>5</v>
      </c>
      <c r="D3406" t="s">
        <v>10013</v>
      </c>
      <c r="E3406">
        <v>10</v>
      </c>
      <c r="F3406" t="s">
        <v>10020</v>
      </c>
      <c r="G3406" t="s">
        <v>10069</v>
      </c>
      <c r="H3406" s="6">
        <v>45051</v>
      </c>
      <c r="I3406">
        <f t="shared" si="106"/>
        <v>1</v>
      </c>
      <c r="J3406" t="str">
        <f t="shared" si="107"/>
        <v>Complete</v>
      </c>
      <c r="K3406">
        <f>COUNTIFS(RawData[Item], B3406,RawData[Quantity],C3406,RawData[Price Per Unit],D3406,RawData[Total Spent],E3406,RawData[Payment Method],F3406,RawData[Location],G3406,RawData[Transaction Date],H3406)</f>
        <v>1</v>
      </c>
      <c r="L3406"/>
    </row>
    <row r="3407" spans="1:12" x14ac:dyDescent="0.3">
      <c r="A3407" t="s">
        <v>3413</v>
      </c>
      <c r="B3407" t="s">
        <v>10012</v>
      </c>
      <c r="C3407">
        <v>4</v>
      </c>
      <c r="D3407">
        <v>4</v>
      </c>
      <c r="E3407">
        <v>16</v>
      </c>
      <c r="F3407" t="s">
        <v>10019</v>
      </c>
      <c r="G3407" t="s">
        <v>10102</v>
      </c>
      <c r="H3407" s="6">
        <v>45224</v>
      </c>
      <c r="I3407">
        <f t="shared" si="106"/>
        <v>0</v>
      </c>
      <c r="J3407" t="str">
        <f t="shared" si="107"/>
        <v>Complete</v>
      </c>
      <c r="K3407">
        <f>COUNTIFS(RawData[Item], B3407,RawData[Quantity],C3407,RawData[Price Per Unit],D3407,RawData[Total Spent],E3407,RawData[Payment Method],F3407,RawData[Location],G3407,RawData[Transaction Date],H3407)</f>
        <v>1</v>
      </c>
      <c r="L3407"/>
    </row>
    <row r="3408" spans="1:12" x14ac:dyDescent="0.3">
      <c r="A3408" t="s">
        <v>3414</v>
      </c>
      <c r="B3408" t="s">
        <v>10009</v>
      </c>
      <c r="C3408">
        <v>1</v>
      </c>
      <c r="D3408">
        <v>3</v>
      </c>
      <c r="E3408">
        <v>3</v>
      </c>
      <c r="F3408" t="s">
        <v>10020</v>
      </c>
      <c r="G3408" t="s">
        <v>10021</v>
      </c>
      <c r="H3408" s="6">
        <v>45249</v>
      </c>
      <c r="I3408">
        <f t="shared" si="106"/>
        <v>0</v>
      </c>
      <c r="J3408" t="str">
        <f t="shared" si="107"/>
        <v>Complete</v>
      </c>
      <c r="K3408">
        <f>COUNTIFS(RawData[Item], B3408,RawData[Quantity],C3408,RawData[Price Per Unit],D3408,RawData[Total Spent],E3408,RawData[Payment Method],F3408,RawData[Location],G3408,RawData[Transaction Date],H3408)</f>
        <v>1</v>
      </c>
      <c r="L3408"/>
    </row>
    <row r="3409" spans="1:12" x14ac:dyDescent="0.3">
      <c r="A3409" t="s">
        <v>3415</v>
      </c>
      <c r="B3409" t="s">
        <v>10009</v>
      </c>
      <c r="C3409">
        <v>1</v>
      </c>
      <c r="D3409">
        <v>3</v>
      </c>
      <c r="E3409">
        <v>3</v>
      </c>
      <c r="F3409" t="s">
        <v>10019</v>
      </c>
      <c r="G3409" t="s">
        <v>10069</v>
      </c>
      <c r="H3409" s="6">
        <v>45206</v>
      </c>
      <c r="I3409">
        <f t="shared" si="106"/>
        <v>0</v>
      </c>
      <c r="J3409" t="str">
        <f t="shared" si="107"/>
        <v>Complete</v>
      </c>
      <c r="K3409">
        <f>COUNTIFS(RawData[Item], B3409,RawData[Quantity],C3409,RawData[Price Per Unit],D3409,RawData[Total Spent],E3409,RawData[Payment Method],F3409,RawData[Location],G3409,RawData[Transaction Date],H3409)</f>
        <v>1</v>
      </c>
      <c r="L3409"/>
    </row>
    <row r="3410" spans="1:12" x14ac:dyDescent="0.3">
      <c r="A3410" t="s">
        <v>3416</v>
      </c>
      <c r="B3410" t="s">
        <v>10010</v>
      </c>
      <c r="C3410">
        <v>2</v>
      </c>
      <c r="D3410">
        <v>1</v>
      </c>
      <c r="E3410">
        <v>2</v>
      </c>
      <c r="F3410" t="s">
        <v>10018</v>
      </c>
      <c r="G3410" t="s">
        <v>10069</v>
      </c>
      <c r="H3410" s="6">
        <v>45016</v>
      </c>
      <c r="I3410">
        <f t="shared" si="106"/>
        <v>0</v>
      </c>
      <c r="J3410" t="str">
        <f t="shared" si="107"/>
        <v>Complete</v>
      </c>
      <c r="K3410">
        <f>COUNTIFS(RawData[Item], B3410,RawData[Quantity],C3410,RawData[Price Per Unit],D3410,RawData[Total Spent],E3410,RawData[Payment Method],F3410,RawData[Location],G3410,RawData[Transaction Date],H3410)</f>
        <v>1</v>
      </c>
      <c r="L3410"/>
    </row>
    <row r="3411" spans="1:12" x14ac:dyDescent="0.3">
      <c r="A3411" t="s">
        <v>3417</v>
      </c>
      <c r="B3411" t="s">
        <v>10012</v>
      </c>
      <c r="C3411">
        <v>2</v>
      </c>
      <c r="D3411">
        <v>4</v>
      </c>
      <c r="E3411">
        <v>8</v>
      </c>
      <c r="F3411" t="s">
        <v>10019</v>
      </c>
      <c r="G3411" t="s">
        <v>10069</v>
      </c>
      <c r="H3411" s="6" t="s">
        <v>10112</v>
      </c>
      <c r="I3411">
        <f t="shared" si="106"/>
        <v>1</v>
      </c>
      <c r="J3411" t="str">
        <f t="shared" si="107"/>
        <v>Incomplete</v>
      </c>
      <c r="K3411">
        <f>COUNTIFS(RawData[Item], B3411,RawData[Quantity],C3411,RawData[Price Per Unit],D3411,RawData[Total Spent],E3411,RawData[Payment Method],F3411,RawData[Location],G3411,RawData[Transaction Date],H3411)</f>
        <v>1</v>
      </c>
      <c r="L3411"/>
    </row>
    <row r="3412" spans="1:12" x14ac:dyDescent="0.3">
      <c r="A3412" t="s">
        <v>3418</v>
      </c>
      <c r="B3412" t="s">
        <v>10014</v>
      </c>
      <c r="C3412">
        <v>3</v>
      </c>
      <c r="D3412">
        <v>4</v>
      </c>
      <c r="E3412">
        <v>12</v>
      </c>
      <c r="F3412" t="s">
        <v>10018</v>
      </c>
      <c r="G3412" t="s">
        <v>10102</v>
      </c>
      <c r="H3412" s="6">
        <v>45110</v>
      </c>
      <c r="I3412">
        <f t="shared" si="106"/>
        <v>0</v>
      </c>
      <c r="J3412" t="str">
        <f t="shared" si="107"/>
        <v>Complete</v>
      </c>
      <c r="K3412">
        <f>COUNTIFS(RawData[Item], B3412,RawData[Quantity],C3412,RawData[Price Per Unit],D3412,RawData[Total Spent],E3412,RawData[Payment Method],F3412,RawData[Location],G3412,RawData[Transaction Date],H3412)</f>
        <v>1</v>
      </c>
      <c r="L3412"/>
    </row>
    <row r="3413" spans="1:12" x14ac:dyDescent="0.3">
      <c r="A3413" t="s">
        <v>3419</v>
      </c>
      <c r="B3413" t="s">
        <v>10017</v>
      </c>
      <c r="C3413">
        <v>2</v>
      </c>
      <c r="D3413">
        <v>1.5</v>
      </c>
      <c r="E3413">
        <v>3</v>
      </c>
      <c r="F3413" t="s">
        <v>10069</v>
      </c>
      <c r="G3413" t="s">
        <v>10021</v>
      </c>
      <c r="H3413" s="6">
        <v>45141</v>
      </c>
      <c r="I3413">
        <f t="shared" si="106"/>
        <v>0</v>
      </c>
      <c r="J3413" t="str">
        <f t="shared" si="107"/>
        <v>Complete</v>
      </c>
      <c r="K3413">
        <f>COUNTIFS(RawData[Item], B3413,RawData[Quantity],C3413,RawData[Price Per Unit],D3413,RawData[Total Spent],E3413,RawData[Payment Method],F3413,RawData[Location],G3413,RawData[Transaction Date],H3413)</f>
        <v>2</v>
      </c>
      <c r="L3413"/>
    </row>
    <row r="3414" spans="1:12" x14ac:dyDescent="0.3">
      <c r="A3414" t="s">
        <v>3420</v>
      </c>
      <c r="B3414" t="s">
        <v>10009</v>
      </c>
      <c r="C3414">
        <v>2</v>
      </c>
      <c r="D3414">
        <v>3</v>
      </c>
      <c r="E3414" t="s">
        <v>10013</v>
      </c>
      <c r="F3414" t="s">
        <v>10019</v>
      </c>
      <c r="G3414" t="s">
        <v>10069</v>
      </c>
      <c r="H3414" s="6">
        <v>45218</v>
      </c>
      <c r="I3414">
        <f t="shared" si="106"/>
        <v>1</v>
      </c>
      <c r="J3414" t="str">
        <f t="shared" si="107"/>
        <v>Complete</v>
      </c>
      <c r="K3414">
        <f>COUNTIFS(RawData[Item], B3414,RawData[Quantity],C3414,RawData[Price Per Unit],D3414,RawData[Total Spent],E3414,RawData[Payment Method],F3414,RawData[Location],G3414,RawData[Transaction Date],H3414)</f>
        <v>1</v>
      </c>
      <c r="L3414"/>
    </row>
    <row r="3415" spans="1:12" x14ac:dyDescent="0.3">
      <c r="A3415" t="s">
        <v>3421</v>
      </c>
      <c r="B3415" t="s">
        <v>10009</v>
      </c>
      <c r="C3415">
        <v>2</v>
      </c>
      <c r="D3415">
        <v>3</v>
      </c>
      <c r="E3415">
        <v>6</v>
      </c>
      <c r="F3415" t="s">
        <v>10019</v>
      </c>
      <c r="G3415" t="s">
        <v>10069</v>
      </c>
      <c r="H3415" s="6">
        <v>45087</v>
      </c>
      <c r="I3415">
        <f t="shared" si="106"/>
        <v>0</v>
      </c>
      <c r="J3415" t="str">
        <f t="shared" si="107"/>
        <v>Complete</v>
      </c>
      <c r="K3415">
        <f>COUNTIFS(RawData[Item], B3415,RawData[Quantity],C3415,RawData[Price Per Unit],D3415,RawData[Total Spent],E3415,RawData[Payment Method],F3415,RawData[Location],G3415,RawData[Transaction Date],H3415)</f>
        <v>1</v>
      </c>
      <c r="L3415"/>
    </row>
    <row r="3416" spans="1:12" x14ac:dyDescent="0.3">
      <c r="A3416" t="s">
        <v>3422</v>
      </c>
      <c r="B3416" t="s">
        <v>10011</v>
      </c>
      <c r="C3416">
        <v>5</v>
      </c>
      <c r="D3416">
        <v>5</v>
      </c>
      <c r="E3416">
        <v>25</v>
      </c>
      <c r="F3416" t="s">
        <v>10019</v>
      </c>
      <c r="G3416" t="s">
        <v>10102</v>
      </c>
      <c r="H3416" s="6">
        <v>45147</v>
      </c>
      <c r="I3416">
        <f t="shared" si="106"/>
        <v>0</v>
      </c>
      <c r="J3416" t="str">
        <f t="shared" si="107"/>
        <v>Complete</v>
      </c>
      <c r="K3416">
        <f>COUNTIFS(RawData[Item], B3416,RawData[Quantity],C3416,RawData[Price Per Unit],D3416,RawData[Total Spent],E3416,RawData[Payment Method],F3416,RawData[Location],G3416,RawData[Transaction Date],H3416)</f>
        <v>1</v>
      </c>
      <c r="L3416"/>
    </row>
    <row r="3417" spans="1:12" x14ac:dyDescent="0.3">
      <c r="A3417" t="s">
        <v>3423</v>
      </c>
      <c r="B3417" t="s">
        <v>10011</v>
      </c>
      <c r="C3417">
        <v>4</v>
      </c>
      <c r="D3417">
        <v>5</v>
      </c>
      <c r="E3417">
        <v>20</v>
      </c>
      <c r="F3417" t="s">
        <v>10019</v>
      </c>
      <c r="G3417" t="s">
        <v>10021</v>
      </c>
      <c r="H3417" s="6">
        <v>45013</v>
      </c>
      <c r="I3417">
        <f t="shared" si="106"/>
        <v>0</v>
      </c>
      <c r="J3417" t="str">
        <f t="shared" si="107"/>
        <v>Complete</v>
      </c>
      <c r="K3417">
        <f>COUNTIFS(RawData[Item], B3417,RawData[Quantity],C3417,RawData[Price Per Unit],D3417,RawData[Total Spent],E3417,RawData[Payment Method],F3417,RawData[Location],G3417,RawData[Transaction Date],H3417)</f>
        <v>1</v>
      </c>
      <c r="L3417"/>
    </row>
    <row r="3418" spans="1:12" x14ac:dyDescent="0.3">
      <c r="A3418" t="s">
        <v>3424</v>
      </c>
      <c r="B3418" t="s">
        <v>10011</v>
      </c>
      <c r="C3418">
        <v>5</v>
      </c>
      <c r="D3418">
        <v>0</v>
      </c>
      <c r="E3418">
        <v>25</v>
      </c>
      <c r="F3418" t="s">
        <v>10069</v>
      </c>
      <c r="G3418" t="s">
        <v>10069</v>
      </c>
      <c r="H3418" s="6">
        <v>45265</v>
      </c>
      <c r="I3418">
        <f t="shared" si="106"/>
        <v>0</v>
      </c>
      <c r="J3418" t="str">
        <f t="shared" si="107"/>
        <v>Complete</v>
      </c>
      <c r="K3418">
        <f>COUNTIFS(RawData[Item], B3418,RawData[Quantity],C3418,RawData[Price Per Unit],D3418,RawData[Total Spent],E3418,RawData[Payment Method],F3418,RawData[Location],G3418,RawData[Transaction Date],H3418)</f>
        <v>1</v>
      </c>
      <c r="L3418"/>
    </row>
    <row r="3419" spans="1:12" x14ac:dyDescent="0.3">
      <c r="A3419" t="s">
        <v>3425</v>
      </c>
      <c r="B3419" t="s">
        <v>10016</v>
      </c>
      <c r="C3419">
        <v>2</v>
      </c>
      <c r="D3419">
        <v>3</v>
      </c>
      <c r="E3419">
        <v>6</v>
      </c>
      <c r="F3419" t="s">
        <v>10069</v>
      </c>
      <c r="G3419" t="s">
        <v>10069</v>
      </c>
      <c r="H3419" s="6">
        <v>44972</v>
      </c>
      <c r="I3419">
        <f t="shared" si="106"/>
        <v>0</v>
      </c>
      <c r="J3419" t="str">
        <f t="shared" si="107"/>
        <v>Complete</v>
      </c>
      <c r="K3419">
        <f>COUNTIFS(RawData[Item], B3419,RawData[Quantity],C3419,RawData[Price Per Unit],D3419,RawData[Total Spent],E3419,RawData[Payment Method],F3419,RawData[Location],G3419,RawData[Transaction Date],H3419)</f>
        <v>1</v>
      </c>
      <c r="L3419"/>
    </row>
    <row r="3420" spans="1:12" x14ac:dyDescent="0.3">
      <c r="A3420" t="s">
        <v>3426</v>
      </c>
      <c r="B3420" t="s">
        <v>10008</v>
      </c>
      <c r="C3420" t="s">
        <v>10015</v>
      </c>
      <c r="D3420">
        <v>2</v>
      </c>
      <c r="E3420">
        <v>4</v>
      </c>
      <c r="F3420" t="s">
        <v>10019</v>
      </c>
      <c r="G3420" t="s">
        <v>10021</v>
      </c>
      <c r="H3420" s="6">
        <v>45265</v>
      </c>
      <c r="I3420">
        <f t="shared" si="106"/>
        <v>1</v>
      </c>
      <c r="J3420" t="str">
        <f t="shared" si="107"/>
        <v>Complete</v>
      </c>
      <c r="K3420">
        <f>COUNTIFS(RawData[Item], B3420,RawData[Quantity],C3420,RawData[Price Per Unit],D3420,RawData[Total Spent],E3420,RawData[Payment Method],F3420,RawData[Location],G3420,RawData[Transaction Date],H3420)</f>
        <v>1</v>
      </c>
      <c r="L3420"/>
    </row>
    <row r="3421" spans="1:12" x14ac:dyDescent="0.3">
      <c r="A3421" t="s">
        <v>3427</v>
      </c>
      <c r="B3421" t="s">
        <v>10014</v>
      </c>
      <c r="C3421">
        <v>5</v>
      </c>
      <c r="D3421">
        <v>4</v>
      </c>
      <c r="E3421">
        <v>20</v>
      </c>
      <c r="F3421" t="s">
        <v>10069</v>
      </c>
      <c r="G3421" t="s">
        <v>10102</v>
      </c>
      <c r="H3421" s="6">
        <v>44967</v>
      </c>
      <c r="I3421">
        <f t="shared" si="106"/>
        <v>0</v>
      </c>
      <c r="J3421" t="str">
        <f t="shared" si="107"/>
        <v>Complete</v>
      </c>
      <c r="K3421">
        <f>COUNTIFS(RawData[Item], B3421,RawData[Quantity],C3421,RawData[Price Per Unit],D3421,RawData[Total Spent],E3421,RawData[Payment Method],F3421,RawData[Location],G3421,RawData[Transaction Date],H3421)</f>
        <v>1</v>
      </c>
      <c r="L3421"/>
    </row>
    <row r="3422" spans="1:12" x14ac:dyDescent="0.3">
      <c r="A3422" t="s">
        <v>3428</v>
      </c>
      <c r="B3422" t="s">
        <v>10017</v>
      </c>
      <c r="C3422">
        <v>1</v>
      </c>
      <c r="D3422">
        <v>1.5</v>
      </c>
      <c r="E3422">
        <v>1.5</v>
      </c>
      <c r="F3422" t="s">
        <v>10069</v>
      </c>
      <c r="G3422" t="s">
        <v>10021</v>
      </c>
      <c r="H3422" s="6" t="s">
        <v>10112</v>
      </c>
      <c r="I3422">
        <f t="shared" si="106"/>
        <v>1</v>
      </c>
      <c r="J3422" t="str">
        <f t="shared" si="107"/>
        <v>Incomplete</v>
      </c>
      <c r="K3422">
        <f>COUNTIFS(RawData[Item], B3422,RawData[Quantity],C3422,RawData[Price Per Unit],D3422,RawData[Total Spent],E3422,RawData[Payment Method],F3422,RawData[Location],G3422,RawData[Transaction Date],H3422)</f>
        <v>2</v>
      </c>
      <c r="L3422"/>
    </row>
    <row r="3423" spans="1:12" x14ac:dyDescent="0.3">
      <c r="A3423" t="s">
        <v>3429</v>
      </c>
      <c r="B3423" t="s">
        <v>10014</v>
      </c>
      <c r="C3423">
        <v>1</v>
      </c>
      <c r="D3423" t="s">
        <v>10015</v>
      </c>
      <c r="E3423">
        <v>4</v>
      </c>
      <c r="F3423" t="s">
        <v>10069</v>
      </c>
      <c r="G3423" t="s">
        <v>10069</v>
      </c>
      <c r="H3423" s="6">
        <v>45013</v>
      </c>
      <c r="I3423">
        <f t="shared" si="106"/>
        <v>1</v>
      </c>
      <c r="J3423" t="str">
        <f t="shared" si="107"/>
        <v>Complete</v>
      </c>
      <c r="K3423">
        <f>COUNTIFS(RawData[Item], B3423,RawData[Quantity],C3423,RawData[Price Per Unit],D3423,RawData[Total Spent],E3423,RawData[Payment Method],F3423,RawData[Location],G3423,RawData[Transaction Date],H3423)</f>
        <v>1</v>
      </c>
      <c r="L3423"/>
    </row>
    <row r="3424" spans="1:12" x14ac:dyDescent="0.3">
      <c r="A3424" t="s">
        <v>3430</v>
      </c>
      <c r="B3424" t="s">
        <v>10017</v>
      </c>
      <c r="C3424">
        <v>3</v>
      </c>
      <c r="D3424">
        <v>1.5</v>
      </c>
      <c r="E3424">
        <v>4.5</v>
      </c>
      <c r="F3424" t="s">
        <v>10018</v>
      </c>
      <c r="G3424" t="s">
        <v>10102</v>
      </c>
      <c r="H3424" s="6">
        <v>45083</v>
      </c>
      <c r="I3424">
        <f t="shared" si="106"/>
        <v>0</v>
      </c>
      <c r="J3424" t="str">
        <f t="shared" si="107"/>
        <v>Complete</v>
      </c>
      <c r="K3424">
        <f>COUNTIFS(RawData[Item], B3424,RawData[Quantity],C3424,RawData[Price Per Unit],D3424,RawData[Total Spent],E3424,RawData[Payment Method],F3424,RawData[Location],G3424,RawData[Transaction Date],H3424)</f>
        <v>1</v>
      </c>
      <c r="L3424"/>
    </row>
    <row r="3425" spans="1:12" x14ac:dyDescent="0.3">
      <c r="A3425" t="s">
        <v>3431</v>
      </c>
      <c r="B3425" t="s">
        <v>10009</v>
      </c>
      <c r="C3425">
        <v>5</v>
      </c>
      <c r="D3425">
        <v>3</v>
      </c>
      <c r="E3425">
        <v>15</v>
      </c>
      <c r="F3425" t="s">
        <v>10018</v>
      </c>
      <c r="G3425" t="s">
        <v>10021</v>
      </c>
      <c r="H3425" s="6">
        <v>45105</v>
      </c>
      <c r="I3425">
        <f t="shared" si="106"/>
        <v>0</v>
      </c>
      <c r="J3425" t="str">
        <f t="shared" si="107"/>
        <v>Complete</v>
      </c>
      <c r="K3425">
        <f>COUNTIFS(RawData[Item], B3425,RawData[Quantity],C3425,RawData[Price Per Unit],D3425,RawData[Total Spent],E3425,RawData[Payment Method],F3425,RawData[Location],G3425,RawData[Transaction Date],H3425)</f>
        <v>1</v>
      </c>
      <c r="L3425"/>
    </row>
    <row r="3426" spans="1:12" x14ac:dyDescent="0.3">
      <c r="A3426" t="s">
        <v>3432</v>
      </c>
      <c r="B3426" t="s">
        <v>10012</v>
      </c>
      <c r="C3426">
        <v>5</v>
      </c>
      <c r="D3426">
        <v>4</v>
      </c>
      <c r="E3426">
        <v>20</v>
      </c>
      <c r="F3426" t="s">
        <v>10104</v>
      </c>
      <c r="G3426" t="s">
        <v>10102</v>
      </c>
      <c r="H3426" s="6">
        <v>44970</v>
      </c>
      <c r="I3426">
        <f t="shared" si="106"/>
        <v>1</v>
      </c>
      <c r="J3426" t="str">
        <f t="shared" si="107"/>
        <v>Complete</v>
      </c>
      <c r="K3426">
        <f>COUNTIFS(RawData[Item], B3426,RawData[Quantity],C3426,RawData[Price Per Unit],D3426,RawData[Total Spent],E3426,RawData[Payment Method],F3426,RawData[Location],G3426,RawData[Transaction Date],H3426)</f>
        <v>1</v>
      </c>
      <c r="L3426"/>
    </row>
    <row r="3427" spans="1:12" x14ac:dyDescent="0.3">
      <c r="A3427" t="s">
        <v>3433</v>
      </c>
      <c r="B3427" t="s">
        <v>10016</v>
      </c>
      <c r="C3427">
        <v>3</v>
      </c>
      <c r="D3427">
        <v>3</v>
      </c>
      <c r="E3427" t="s">
        <v>10015</v>
      </c>
      <c r="F3427" t="s">
        <v>10020</v>
      </c>
      <c r="G3427" t="s">
        <v>10021</v>
      </c>
      <c r="H3427" s="6">
        <v>45001</v>
      </c>
      <c r="I3427">
        <f t="shared" si="106"/>
        <v>1</v>
      </c>
      <c r="J3427" t="str">
        <f t="shared" si="107"/>
        <v>Complete</v>
      </c>
      <c r="K3427">
        <f>COUNTIFS(RawData[Item], B3427,RawData[Quantity],C3427,RawData[Price Per Unit],D3427,RawData[Total Spent],E3427,RawData[Payment Method],F3427,RawData[Location],G3427,RawData[Transaction Date],H3427)</f>
        <v>1</v>
      </c>
      <c r="L3427"/>
    </row>
    <row r="3428" spans="1:12" x14ac:dyDescent="0.3">
      <c r="A3428" t="s">
        <v>3434</v>
      </c>
      <c r="B3428" t="s">
        <v>10008</v>
      </c>
      <c r="C3428">
        <v>4</v>
      </c>
      <c r="D3428">
        <v>2</v>
      </c>
      <c r="E3428">
        <v>8</v>
      </c>
      <c r="F3428" t="s">
        <v>10069</v>
      </c>
      <c r="G3428" t="s">
        <v>10069</v>
      </c>
      <c r="H3428" s="6">
        <v>44944</v>
      </c>
      <c r="I3428">
        <f t="shared" si="106"/>
        <v>0</v>
      </c>
      <c r="J3428" t="str">
        <f t="shared" si="107"/>
        <v>Complete</v>
      </c>
      <c r="K3428">
        <f>COUNTIFS(RawData[Item], B3428,RawData[Quantity],C3428,RawData[Price Per Unit],D3428,RawData[Total Spent],E3428,RawData[Payment Method],F3428,RawData[Location],G3428,RawData[Transaction Date],H3428)</f>
        <v>1</v>
      </c>
      <c r="L3428"/>
    </row>
    <row r="3429" spans="1:12" x14ac:dyDescent="0.3">
      <c r="A3429" t="s">
        <v>3435</v>
      </c>
      <c r="B3429" t="s">
        <v>10069</v>
      </c>
      <c r="C3429">
        <v>4</v>
      </c>
      <c r="D3429">
        <v>4</v>
      </c>
      <c r="E3429">
        <v>16</v>
      </c>
      <c r="F3429" t="s">
        <v>10069</v>
      </c>
      <c r="G3429" t="s">
        <v>10021</v>
      </c>
      <c r="H3429" s="6">
        <v>45037</v>
      </c>
      <c r="I3429">
        <f t="shared" si="106"/>
        <v>0</v>
      </c>
      <c r="J3429" t="str">
        <f t="shared" si="107"/>
        <v>Complete</v>
      </c>
      <c r="K3429">
        <f>COUNTIFS(RawData[Item], B3429,RawData[Quantity],C3429,RawData[Price Per Unit],D3429,RawData[Total Spent],E3429,RawData[Payment Method],F3429,RawData[Location],G3429,RawData[Transaction Date],H3429)</f>
        <v>1</v>
      </c>
      <c r="L3429"/>
    </row>
    <row r="3430" spans="1:12" x14ac:dyDescent="0.3">
      <c r="A3430" t="s">
        <v>3436</v>
      </c>
      <c r="B3430" t="s">
        <v>10016</v>
      </c>
      <c r="C3430">
        <v>5</v>
      </c>
      <c r="D3430">
        <v>3</v>
      </c>
      <c r="E3430">
        <v>15</v>
      </c>
      <c r="F3430" t="s">
        <v>10018</v>
      </c>
      <c r="G3430" t="s">
        <v>10069</v>
      </c>
      <c r="H3430" s="6">
        <v>45226</v>
      </c>
      <c r="I3430">
        <f t="shared" si="106"/>
        <v>0</v>
      </c>
      <c r="J3430" t="str">
        <f t="shared" si="107"/>
        <v>Complete</v>
      </c>
      <c r="K3430">
        <f>COUNTIFS(RawData[Item], B3430,RawData[Quantity],C3430,RawData[Price Per Unit],D3430,RawData[Total Spent],E3430,RawData[Payment Method],F3430,RawData[Location],G3430,RawData[Transaction Date],H3430)</f>
        <v>1</v>
      </c>
      <c r="L3430"/>
    </row>
    <row r="3431" spans="1:12" x14ac:dyDescent="0.3">
      <c r="A3431" t="s">
        <v>3437</v>
      </c>
      <c r="B3431" t="s">
        <v>10010</v>
      </c>
      <c r="C3431">
        <v>2</v>
      </c>
      <c r="D3431">
        <v>1</v>
      </c>
      <c r="E3431">
        <v>2</v>
      </c>
      <c r="F3431" t="s">
        <v>10069</v>
      </c>
      <c r="G3431" t="s">
        <v>10102</v>
      </c>
      <c r="H3431" s="6">
        <v>45134</v>
      </c>
      <c r="I3431">
        <f t="shared" si="106"/>
        <v>0</v>
      </c>
      <c r="J3431" t="str">
        <f t="shared" si="107"/>
        <v>Complete</v>
      </c>
      <c r="K3431">
        <f>COUNTIFS(RawData[Item], B3431,RawData[Quantity],C3431,RawData[Price Per Unit],D3431,RawData[Total Spent],E3431,RawData[Payment Method],F3431,RawData[Location],G3431,RawData[Transaction Date],H3431)</f>
        <v>1</v>
      </c>
      <c r="L3431"/>
    </row>
    <row r="3432" spans="1:12" x14ac:dyDescent="0.3">
      <c r="A3432" t="s">
        <v>3438</v>
      </c>
      <c r="B3432" t="s">
        <v>10013</v>
      </c>
      <c r="C3432">
        <v>4</v>
      </c>
      <c r="D3432">
        <v>5</v>
      </c>
      <c r="E3432">
        <v>20</v>
      </c>
      <c r="F3432" t="s">
        <v>10018</v>
      </c>
      <c r="G3432" t="s">
        <v>10021</v>
      </c>
      <c r="H3432" s="6">
        <v>45014</v>
      </c>
      <c r="I3432">
        <f t="shared" si="106"/>
        <v>1</v>
      </c>
      <c r="J3432" t="str">
        <f t="shared" si="107"/>
        <v>Complete</v>
      </c>
      <c r="K3432">
        <f>COUNTIFS(RawData[Item], B3432,RawData[Quantity],C3432,RawData[Price Per Unit],D3432,RawData[Total Spent],E3432,RawData[Payment Method],F3432,RawData[Location],G3432,RawData[Transaction Date],H3432)</f>
        <v>1</v>
      </c>
      <c r="L3432"/>
    </row>
    <row r="3433" spans="1:12" x14ac:dyDescent="0.3">
      <c r="A3433" t="s">
        <v>3439</v>
      </c>
      <c r="B3433" t="s">
        <v>10010</v>
      </c>
      <c r="C3433">
        <v>5</v>
      </c>
      <c r="D3433">
        <v>0</v>
      </c>
      <c r="E3433">
        <v>5</v>
      </c>
      <c r="F3433" t="s">
        <v>10019</v>
      </c>
      <c r="G3433" t="s">
        <v>10069</v>
      </c>
      <c r="H3433" s="6">
        <v>45253</v>
      </c>
      <c r="I3433">
        <f t="shared" si="106"/>
        <v>0</v>
      </c>
      <c r="J3433" t="str">
        <f t="shared" si="107"/>
        <v>Complete</v>
      </c>
      <c r="K3433">
        <f>COUNTIFS(RawData[Item], B3433,RawData[Quantity],C3433,RawData[Price Per Unit],D3433,RawData[Total Spent],E3433,RawData[Payment Method],F3433,RawData[Location],G3433,RawData[Transaction Date],H3433)</f>
        <v>1</v>
      </c>
      <c r="L3433"/>
    </row>
    <row r="3434" spans="1:12" x14ac:dyDescent="0.3">
      <c r="A3434" t="s">
        <v>3440</v>
      </c>
      <c r="B3434" t="s">
        <v>10009</v>
      </c>
      <c r="C3434">
        <v>5</v>
      </c>
      <c r="D3434">
        <v>3</v>
      </c>
      <c r="E3434">
        <v>15</v>
      </c>
      <c r="F3434" t="s">
        <v>10069</v>
      </c>
      <c r="G3434" t="s">
        <v>10102</v>
      </c>
      <c r="H3434" s="6">
        <v>45145</v>
      </c>
      <c r="I3434">
        <f t="shared" si="106"/>
        <v>0</v>
      </c>
      <c r="J3434" t="str">
        <f t="shared" si="107"/>
        <v>Complete</v>
      </c>
      <c r="K3434">
        <f>COUNTIFS(RawData[Item], B3434,RawData[Quantity],C3434,RawData[Price Per Unit],D3434,RawData[Total Spent],E3434,RawData[Payment Method],F3434,RawData[Location],G3434,RawData[Transaction Date],H3434)</f>
        <v>2</v>
      </c>
      <c r="L3434"/>
    </row>
    <row r="3435" spans="1:12" x14ac:dyDescent="0.3">
      <c r="A3435" t="s">
        <v>3441</v>
      </c>
      <c r="B3435" t="s">
        <v>10016</v>
      </c>
      <c r="C3435">
        <v>1</v>
      </c>
      <c r="D3435">
        <v>3</v>
      </c>
      <c r="E3435">
        <v>3</v>
      </c>
      <c r="F3435" t="s">
        <v>10018</v>
      </c>
      <c r="G3435" t="s">
        <v>10069</v>
      </c>
      <c r="H3435" s="6">
        <v>45146</v>
      </c>
      <c r="I3435">
        <f t="shared" si="106"/>
        <v>0</v>
      </c>
      <c r="J3435" t="str">
        <f t="shared" si="107"/>
        <v>Complete</v>
      </c>
      <c r="K3435">
        <f>COUNTIFS(RawData[Item], B3435,RawData[Quantity],C3435,RawData[Price Per Unit],D3435,RawData[Total Spent],E3435,RawData[Payment Method],F3435,RawData[Location],G3435,RawData[Transaction Date],H3435)</f>
        <v>1</v>
      </c>
      <c r="L3435"/>
    </row>
    <row r="3436" spans="1:12" x14ac:dyDescent="0.3">
      <c r="A3436" t="s">
        <v>3442</v>
      </c>
      <c r="B3436" t="s">
        <v>10013</v>
      </c>
      <c r="C3436">
        <v>1</v>
      </c>
      <c r="D3436" t="s">
        <v>10015</v>
      </c>
      <c r="E3436">
        <v>4</v>
      </c>
      <c r="F3436" t="s">
        <v>10018</v>
      </c>
      <c r="G3436" t="s">
        <v>10069</v>
      </c>
      <c r="H3436" s="6">
        <v>45272</v>
      </c>
      <c r="I3436">
        <f t="shared" si="106"/>
        <v>2</v>
      </c>
      <c r="J3436" t="str">
        <f t="shared" si="107"/>
        <v>Complete</v>
      </c>
      <c r="K3436">
        <f>COUNTIFS(RawData[Item], B3436,RawData[Quantity],C3436,RawData[Price Per Unit],D3436,RawData[Total Spent],E3436,RawData[Payment Method],F3436,RawData[Location],G3436,RawData[Transaction Date],H3436)</f>
        <v>1</v>
      </c>
      <c r="L3436"/>
    </row>
    <row r="3437" spans="1:12" x14ac:dyDescent="0.3">
      <c r="A3437" t="s">
        <v>3443</v>
      </c>
      <c r="B3437" t="s">
        <v>10015</v>
      </c>
      <c r="C3437">
        <v>5</v>
      </c>
      <c r="D3437">
        <v>1</v>
      </c>
      <c r="E3437">
        <v>5</v>
      </c>
      <c r="F3437" t="s">
        <v>10020</v>
      </c>
      <c r="G3437" t="s">
        <v>10069</v>
      </c>
      <c r="H3437" s="6">
        <v>45025</v>
      </c>
      <c r="I3437">
        <f t="shared" si="106"/>
        <v>1</v>
      </c>
      <c r="J3437" t="str">
        <f t="shared" si="107"/>
        <v>Complete</v>
      </c>
      <c r="K3437">
        <f>COUNTIFS(RawData[Item], B3437,RawData[Quantity],C3437,RawData[Price Per Unit],D3437,RawData[Total Spent],E3437,RawData[Payment Method],F3437,RawData[Location],G3437,RawData[Transaction Date],H3437)</f>
        <v>1</v>
      </c>
      <c r="L3437"/>
    </row>
    <row r="3438" spans="1:12" x14ac:dyDescent="0.3">
      <c r="A3438" t="s">
        <v>3444</v>
      </c>
      <c r="B3438" t="s">
        <v>10016</v>
      </c>
      <c r="C3438">
        <v>5</v>
      </c>
      <c r="D3438">
        <v>3</v>
      </c>
      <c r="E3438">
        <v>15</v>
      </c>
      <c r="F3438" t="s">
        <v>10018</v>
      </c>
      <c r="G3438" t="s">
        <v>10069</v>
      </c>
      <c r="H3438" s="6">
        <v>45006</v>
      </c>
      <c r="I3438">
        <f t="shared" si="106"/>
        <v>0</v>
      </c>
      <c r="J3438" t="str">
        <f t="shared" si="107"/>
        <v>Complete</v>
      </c>
      <c r="K3438">
        <f>COUNTIFS(RawData[Item], B3438,RawData[Quantity],C3438,RawData[Price Per Unit],D3438,RawData[Total Spent],E3438,RawData[Payment Method],F3438,RawData[Location],G3438,RawData[Transaction Date],H3438)</f>
        <v>1</v>
      </c>
      <c r="L3438"/>
    </row>
    <row r="3439" spans="1:12" x14ac:dyDescent="0.3">
      <c r="A3439" t="s">
        <v>3445</v>
      </c>
      <c r="B3439" t="s">
        <v>10012</v>
      </c>
      <c r="C3439">
        <v>1</v>
      </c>
      <c r="D3439">
        <v>4</v>
      </c>
      <c r="E3439">
        <v>4</v>
      </c>
      <c r="F3439" t="s">
        <v>10018</v>
      </c>
      <c r="G3439" t="s">
        <v>10021</v>
      </c>
      <c r="H3439" s="6">
        <v>45060</v>
      </c>
      <c r="I3439">
        <f t="shared" si="106"/>
        <v>0</v>
      </c>
      <c r="J3439" t="str">
        <f t="shared" si="107"/>
        <v>Complete</v>
      </c>
      <c r="K3439">
        <f>COUNTIFS(RawData[Item], B3439,RawData[Quantity],C3439,RawData[Price Per Unit],D3439,RawData[Total Spent],E3439,RawData[Payment Method],F3439,RawData[Location],G3439,RawData[Transaction Date],H3439)</f>
        <v>1</v>
      </c>
      <c r="L3439"/>
    </row>
    <row r="3440" spans="1:12" x14ac:dyDescent="0.3">
      <c r="A3440" t="s">
        <v>3446</v>
      </c>
      <c r="B3440" t="s">
        <v>10012</v>
      </c>
      <c r="C3440">
        <v>1</v>
      </c>
      <c r="D3440">
        <v>4</v>
      </c>
      <c r="E3440">
        <v>4</v>
      </c>
      <c r="F3440" t="s">
        <v>10069</v>
      </c>
      <c r="G3440" t="s">
        <v>10021</v>
      </c>
      <c r="H3440" s="6">
        <v>45081</v>
      </c>
      <c r="I3440">
        <f t="shared" si="106"/>
        <v>0</v>
      </c>
      <c r="J3440" t="str">
        <f t="shared" si="107"/>
        <v>Complete</v>
      </c>
      <c r="K3440">
        <f>COUNTIFS(RawData[Item], B3440,RawData[Quantity],C3440,RawData[Price Per Unit],D3440,RawData[Total Spent],E3440,RawData[Payment Method],F3440,RawData[Location],G3440,RawData[Transaction Date],H3440)</f>
        <v>1</v>
      </c>
      <c r="L3440"/>
    </row>
    <row r="3441" spans="1:12" x14ac:dyDescent="0.3">
      <c r="A3441" t="s">
        <v>3447</v>
      </c>
      <c r="B3441" t="s">
        <v>10016</v>
      </c>
      <c r="C3441">
        <v>1</v>
      </c>
      <c r="D3441">
        <v>3</v>
      </c>
      <c r="E3441">
        <v>3</v>
      </c>
      <c r="F3441" t="s">
        <v>10019</v>
      </c>
      <c r="G3441" t="s">
        <v>10021</v>
      </c>
      <c r="H3441" s="6">
        <v>44998</v>
      </c>
      <c r="I3441">
        <f t="shared" si="106"/>
        <v>0</v>
      </c>
      <c r="J3441" t="str">
        <f t="shared" si="107"/>
        <v>Complete</v>
      </c>
      <c r="K3441">
        <f>COUNTIFS(RawData[Item], B3441,RawData[Quantity],C3441,RawData[Price Per Unit],D3441,RawData[Total Spent],E3441,RawData[Payment Method],F3441,RawData[Location],G3441,RawData[Transaction Date],H3441)</f>
        <v>2</v>
      </c>
      <c r="L3441"/>
    </row>
    <row r="3442" spans="1:12" x14ac:dyDescent="0.3">
      <c r="A3442" t="s">
        <v>3448</v>
      </c>
      <c r="B3442" t="s">
        <v>10010</v>
      </c>
      <c r="C3442" t="s">
        <v>10015</v>
      </c>
      <c r="D3442">
        <v>1</v>
      </c>
      <c r="E3442">
        <v>1</v>
      </c>
      <c r="F3442" t="s">
        <v>10069</v>
      </c>
      <c r="G3442" t="s">
        <v>10102</v>
      </c>
      <c r="H3442" s="6">
        <v>45274</v>
      </c>
      <c r="I3442">
        <f t="shared" si="106"/>
        <v>1</v>
      </c>
      <c r="J3442" t="str">
        <f t="shared" si="107"/>
        <v>Complete</v>
      </c>
      <c r="K3442">
        <f>COUNTIFS(RawData[Item], B3442,RawData[Quantity],C3442,RawData[Price Per Unit],D3442,RawData[Total Spent],E3442,RawData[Payment Method],F3442,RawData[Location],G3442,RawData[Transaction Date],H3442)</f>
        <v>1</v>
      </c>
      <c r="L3442"/>
    </row>
    <row r="3443" spans="1:12" x14ac:dyDescent="0.3">
      <c r="A3443" t="s">
        <v>3449</v>
      </c>
      <c r="B3443" t="s">
        <v>10008</v>
      </c>
      <c r="C3443" t="s">
        <v>10015</v>
      </c>
      <c r="D3443">
        <v>2</v>
      </c>
      <c r="E3443">
        <v>8</v>
      </c>
      <c r="F3443" t="s">
        <v>10069</v>
      </c>
      <c r="G3443" t="s">
        <v>10021</v>
      </c>
      <c r="H3443" s="6">
        <v>45209</v>
      </c>
      <c r="I3443">
        <f t="shared" si="106"/>
        <v>1</v>
      </c>
      <c r="J3443" t="str">
        <f t="shared" si="107"/>
        <v>Complete</v>
      </c>
      <c r="K3443">
        <f>COUNTIFS(RawData[Item], B3443,RawData[Quantity],C3443,RawData[Price Per Unit],D3443,RawData[Total Spent],E3443,RawData[Payment Method],F3443,RawData[Location],G3443,RawData[Transaction Date],H3443)</f>
        <v>1</v>
      </c>
      <c r="L3443"/>
    </row>
    <row r="3444" spans="1:12" x14ac:dyDescent="0.3">
      <c r="A3444" t="s">
        <v>3450</v>
      </c>
      <c r="B3444" t="s">
        <v>10008</v>
      </c>
      <c r="C3444">
        <v>5</v>
      </c>
      <c r="D3444">
        <v>2</v>
      </c>
      <c r="E3444">
        <v>10</v>
      </c>
      <c r="F3444" t="s">
        <v>10019</v>
      </c>
      <c r="G3444" t="s">
        <v>10021</v>
      </c>
      <c r="H3444" s="6">
        <v>45039</v>
      </c>
      <c r="I3444">
        <f t="shared" si="106"/>
        <v>0</v>
      </c>
      <c r="J3444" t="str">
        <f t="shared" si="107"/>
        <v>Complete</v>
      </c>
      <c r="K3444">
        <f>COUNTIFS(RawData[Item], B3444,RawData[Quantity],C3444,RawData[Price Per Unit],D3444,RawData[Total Spent],E3444,RawData[Payment Method],F3444,RawData[Location],G3444,RawData[Transaction Date],H3444)</f>
        <v>1</v>
      </c>
      <c r="L3444"/>
    </row>
    <row r="3445" spans="1:12" x14ac:dyDescent="0.3">
      <c r="A3445" t="s">
        <v>3451</v>
      </c>
      <c r="B3445" t="s">
        <v>10017</v>
      </c>
      <c r="C3445">
        <v>4</v>
      </c>
      <c r="D3445">
        <v>1.5</v>
      </c>
      <c r="E3445">
        <v>6</v>
      </c>
      <c r="F3445" t="s">
        <v>10019</v>
      </c>
      <c r="G3445" t="s">
        <v>10069</v>
      </c>
      <c r="H3445" s="6">
        <v>44986</v>
      </c>
      <c r="I3445">
        <f t="shared" si="106"/>
        <v>0</v>
      </c>
      <c r="J3445" t="str">
        <f t="shared" si="107"/>
        <v>Complete</v>
      </c>
      <c r="K3445">
        <f>COUNTIFS(RawData[Item], B3445,RawData[Quantity],C3445,RawData[Price Per Unit],D3445,RawData[Total Spent],E3445,RawData[Payment Method],F3445,RawData[Location],G3445,RawData[Transaction Date],H3445)</f>
        <v>1</v>
      </c>
      <c r="L3445"/>
    </row>
    <row r="3446" spans="1:12" x14ac:dyDescent="0.3">
      <c r="A3446" t="s">
        <v>3452</v>
      </c>
      <c r="B3446" t="s">
        <v>10015</v>
      </c>
      <c r="C3446">
        <v>3</v>
      </c>
      <c r="D3446">
        <v>4</v>
      </c>
      <c r="E3446">
        <v>12</v>
      </c>
      <c r="F3446" t="s">
        <v>10103</v>
      </c>
      <c r="G3446" t="s">
        <v>10102</v>
      </c>
      <c r="H3446" s="6">
        <v>44962</v>
      </c>
      <c r="I3446">
        <f t="shared" si="106"/>
        <v>2</v>
      </c>
      <c r="J3446" t="str">
        <f t="shared" si="107"/>
        <v>Complete</v>
      </c>
      <c r="K3446">
        <f>COUNTIFS(RawData[Item], B3446,RawData[Quantity],C3446,RawData[Price Per Unit],D3446,RawData[Total Spent],E3446,RawData[Payment Method],F3446,RawData[Location],G3446,RawData[Transaction Date],H3446)</f>
        <v>1</v>
      </c>
      <c r="L3446"/>
    </row>
    <row r="3447" spans="1:12" x14ac:dyDescent="0.3">
      <c r="A3447" t="s">
        <v>3453</v>
      </c>
      <c r="B3447" t="s">
        <v>10015</v>
      </c>
      <c r="C3447">
        <v>4</v>
      </c>
      <c r="D3447">
        <v>3</v>
      </c>
      <c r="E3447">
        <v>12</v>
      </c>
      <c r="F3447" t="s">
        <v>10018</v>
      </c>
      <c r="G3447" t="s">
        <v>10069</v>
      </c>
      <c r="H3447" s="6">
        <v>45026</v>
      </c>
      <c r="I3447">
        <f t="shared" si="106"/>
        <v>1</v>
      </c>
      <c r="J3447" t="str">
        <f t="shared" si="107"/>
        <v>Complete</v>
      </c>
      <c r="K3447">
        <f>COUNTIFS(RawData[Item], B3447,RawData[Quantity],C3447,RawData[Price Per Unit],D3447,RawData[Total Spent],E3447,RawData[Payment Method],F3447,RawData[Location],G3447,RawData[Transaction Date],H3447)</f>
        <v>1</v>
      </c>
      <c r="L3447"/>
    </row>
    <row r="3448" spans="1:12" x14ac:dyDescent="0.3">
      <c r="A3448" t="s">
        <v>3454</v>
      </c>
      <c r="B3448" t="s">
        <v>10013</v>
      </c>
      <c r="C3448">
        <v>2</v>
      </c>
      <c r="D3448">
        <v>3</v>
      </c>
      <c r="E3448">
        <v>6</v>
      </c>
      <c r="F3448" t="s">
        <v>10020</v>
      </c>
      <c r="G3448" t="s">
        <v>10069</v>
      </c>
      <c r="H3448" s="6">
        <v>45100</v>
      </c>
      <c r="I3448">
        <f t="shared" si="106"/>
        <v>1</v>
      </c>
      <c r="J3448" t="str">
        <f t="shared" si="107"/>
        <v>Complete</v>
      </c>
      <c r="K3448">
        <f>COUNTIFS(RawData[Item], B3448,RawData[Quantity],C3448,RawData[Price Per Unit],D3448,RawData[Total Spent],E3448,RawData[Payment Method],F3448,RawData[Location],G3448,RawData[Transaction Date],H3448)</f>
        <v>1</v>
      </c>
      <c r="L3448"/>
    </row>
    <row r="3449" spans="1:12" x14ac:dyDescent="0.3">
      <c r="A3449" t="s">
        <v>3455</v>
      </c>
      <c r="B3449" t="s">
        <v>10009</v>
      </c>
      <c r="C3449">
        <v>5</v>
      </c>
      <c r="D3449">
        <v>3</v>
      </c>
      <c r="E3449">
        <v>15</v>
      </c>
      <c r="F3449" t="s">
        <v>10020</v>
      </c>
      <c r="G3449" t="s">
        <v>10021</v>
      </c>
      <c r="H3449" s="6">
        <v>45025</v>
      </c>
      <c r="I3449">
        <f t="shared" si="106"/>
        <v>0</v>
      </c>
      <c r="J3449" t="str">
        <f t="shared" si="107"/>
        <v>Complete</v>
      </c>
      <c r="K3449">
        <f>COUNTIFS(RawData[Item], B3449,RawData[Quantity],C3449,RawData[Price Per Unit],D3449,RawData[Total Spent],E3449,RawData[Payment Method],F3449,RawData[Location],G3449,RawData[Transaction Date],H3449)</f>
        <v>1</v>
      </c>
      <c r="L3449"/>
    </row>
    <row r="3450" spans="1:12" x14ac:dyDescent="0.3">
      <c r="A3450" t="s">
        <v>3456</v>
      </c>
      <c r="B3450" t="s">
        <v>10015</v>
      </c>
      <c r="C3450">
        <v>1</v>
      </c>
      <c r="D3450">
        <v>1</v>
      </c>
      <c r="E3450">
        <v>1</v>
      </c>
      <c r="F3450" t="s">
        <v>10069</v>
      </c>
      <c r="G3450" t="s">
        <v>10021</v>
      </c>
      <c r="H3450" s="6">
        <v>44983</v>
      </c>
      <c r="I3450">
        <f t="shared" si="106"/>
        <v>1</v>
      </c>
      <c r="J3450" t="str">
        <f t="shared" si="107"/>
        <v>Complete</v>
      </c>
      <c r="K3450">
        <f>COUNTIFS(RawData[Item], B3450,RawData[Quantity],C3450,RawData[Price Per Unit],D3450,RawData[Total Spent],E3450,RawData[Payment Method],F3450,RawData[Location],G3450,RawData[Transaction Date],H3450)</f>
        <v>1</v>
      </c>
      <c r="L3450"/>
    </row>
    <row r="3451" spans="1:12" x14ac:dyDescent="0.3">
      <c r="A3451" t="s">
        <v>3457</v>
      </c>
      <c r="B3451" t="s">
        <v>10017</v>
      </c>
      <c r="C3451">
        <v>1</v>
      </c>
      <c r="D3451">
        <v>1.5</v>
      </c>
      <c r="E3451">
        <v>1.5</v>
      </c>
      <c r="F3451" t="s">
        <v>10018</v>
      </c>
      <c r="G3451" t="s">
        <v>10102</v>
      </c>
      <c r="H3451" s="6">
        <v>45182</v>
      </c>
      <c r="I3451">
        <f t="shared" si="106"/>
        <v>0</v>
      </c>
      <c r="J3451" t="str">
        <f t="shared" si="107"/>
        <v>Complete</v>
      </c>
      <c r="K3451">
        <f>COUNTIFS(RawData[Item], B3451,RawData[Quantity],C3451,RawData[Price Per Unit],D3451,RawData[Total Spent],E3451,RawData[Payment Method],F3451,RawData[Location],G3451,RawData[Transaction Date],H3451)</f>
        <v>1</v>
      </c>
      <c r="L3451"/>
    </row>
    <row r="3452" spans="1:12" x14ac:dyDescent="0.3">
      <c r="A3452" t="s">
        <v>3458</v>
      </c>
      <c r="B3452" t="s">
        <v>10013</v>
      </c>
      <c r="C3452">
        <v>4</v>
      </c>
      <c r="D3452">
        <v>1</v>
      </c>
      <c r="E3452">
        <v>4</v>
      </c>
      <c r="F3452" t="s">
        <v>10069</v>
      </c>
      <c r="G3452" t="s">
        <v>10102</v>
      </c>
      <c r="H3452" s="6">
        <v>44942</v>
      </c>
      <c r="I3452">
        <f t="shared" si="106"/>
        <v>1</v>
      </c>
      <c r="J3452" t="str">
        <f t="shared" si="107"/>
        <v>Complete</v>
      </c>
      <c r="K3452">
        <f>COUNTIFS(RawData[Item], B3452,RawData[Quantity],C3452,RawData[Price Per Unit],D3452,RawData[Total Spent],E3452,RawData[Payment Method],F3452,RawData[Location],G3452,RawData[Transaction Date],H3452)</f>
        <v>1</v>
      </c>
      <c r="L3452"/>
    </row>
    <row r="3453" spans="1:12" x14ac:dyDescent="0.3">
      <c r="A3453" t="s">
        <v>3459</v>
      </c>
      <c r="B3453" t="s">
        <v>10012</v>
      </c>
      <c r="C3453">
        <v>4</v>
      </c>
      <c r="D3453">
        <v>4</v>
      </c>
      <c r="E3453">
        <v>16</v>
      </c>
      <c r="F3453" t="s">
        <v>10018</v>
      </c>
      <c r="G3453" t="s">
        <v>10069</v>
      </c>
      <c r="H3453" s="6">
        <v>44973</v>
      </c>
      <c r="I3453">
        <f t="shared" si="106"/>
        <v>0</v>
      </c>
      <c r="J3453" t="str">
        <f t="shared" si="107"/>
        <v>Complete</v>
      </c>
      <c r="K3453">
        <f>COUNTIFS(RawData[Item], B3453,RawData[Quantity],C3453,RawData[Price Per Unit],D3453,RawData[Total Spent],E3453,RawData[Payment Method],F3453,RawData[Location],G3453,RawData[Transaction Date],H3453)</f>
        <v>1</v>
      </c>
      <c r="L3453"/>
    </row>
    <row r="3454" spans="1:12" x14ac:dyDescent="0.3">
      <c r="A3454" t="s">
        <v>3460</v>
      </c>
      <c r="B3454" t="s">
        <v>10010</v>
      </c>
      <c r="C3454">
        <v>2</v>
      </c>
      <c r="D3454">
        <v>1</v>
      </c>
      <c r="E3454">
        <v>2</v>
      </c>
      <c r="F3454" t="s">
        <v>10069</v>
      </c>
      <c r="G3454" t="s">
        <v>10069</v>
      </c>
      <c r="H3454" s="6">
        <v>45246</v>
      </c>
      <c r="I3454">
        <f t="shared" si="106"/>
        <v>0</v>
      </c>
      <c r="J3454" t="str">
        <f t="shared" si="107"/>
        <v>Complete</v>
      </c>
      <c r="K3454">
        <f>COUNTIFS(RawData[Item], B3454,RawData[Quantity],C3454,RawData[Price Per Unit],D3454,RawData[Total Spent],E3454,RawData[Payment Method],F3454,RawData[Location],G3454,RawData[Transaction Date],H3454)</f>
        <v>1</v>
      </c>
      <c r="L3454"/>
    </row>
    <row r="3455" spans="1:12" x14ac:dyDescent="0.3">
      <c r="A3455" t="s">
        <v>3461</v>
      </c>
      <c r="B3455" t="s">
        <v>10010</v>
      </c>
      <c r="C3455">
        <v>5</v>
      </c>
      <c r="D3455">
        <v>1</v>
      </c>
      <c r="E3455">
        <v>5</v>
      </c>
      <c r="F3455" t="s">
        <v>10020</v>
      </c>
      <c r="G3455" t="s">
        <v>10102</v>
      </c>
      <c r="H3455" s="6">
        <v>45024</v>
      </c>
      <c r="I3455">
        <f t="shared" si="106"/>
        <v>0</v>
      </c>
      <c r="J3455" t="str">
        <f t="shared" si="107"/>
        <v>Complete</v>
      </c>
      <c r="K3455">
        <f>COUNTIFS(RawData[Item], B3455,RawData[Quantity],C3455,RawData[Price Per Unit],D3455,RawData[Total Spent],E3455,RawData[Payment Method],F3455,RawData[Location],G3455,RawData[Transaction Date],H3455)</f>
        <v>2</v>
      </c>
      <c r="L3455"/>
    </row>
    <row r="3456" spans="1:12" x14ac:dyDescent="0.3">
      <c r="A3456" t="s">
        <v>3462</v>
      </c>
      <c r="B3456" t="s">
        <v>10010</v>
      </c>
      <c r="C3456">
        <v>1</v>
      </c>
      <c r="D3456">
        <v>1</v>
      </c>
      <c r="E3456">
        <v>1</v>
      </c>
      <c r="F3456" t="s">
        <v>10069</v>
      </c>
      <c r="G3456" t="s">
        <v>10069</v>
      </c>
      <c r="H3456" s="6">
        <v>45269</v>
      </c>
      <c r="I3456">
        <f t="shared" si="106"/>
        <v>0</v>
      </c>
      <c r="J3456" t="str">
        <f t="shared" si="107"/>
        <v>Complete</v>
      </c>
      <c r="K3456">
        <f>COUNTIFS(RawData[Item], B3456,RawData[Quantity],C3456,RawData[Price Per Unit],D3456,RawData[Total Spent],E3456,RawData[Payment Method],F3456,RawData[Location],G3456,RawData[Transaction Date],H3456)</f>
        <v>1</v>
      </c>
      <c r="L3456"/>
    </row>
    <row r="3457" spans="1:12" x14ac:dyDescent="0.3">
      <c r="A3457" t="s">
        <v>3463</v>
      </c>
      <c r="B3457" t="s">
        <v>10008</v>
      </c>
      <c r="C3457">
        <v>5</v>
      </c>
      <c r="D3457">
        <v>2</v>
      </c>
      <c r="E3457">
        <v>10</v>
      </c>
      <c r="F3457" t="s">
        <v>10020</v>
      </c>
      <c r="G3457" t="s">
        <v>10069</v>
      </c>
      <c r="H3457" s="6">
        <v>44999</v>
      </c>
      <c r="I3457">
        <f t="shared" si="106"/>
        <v>0</v>
      </c>
      <c r="J3457" t="str">
        <f t="shared" si="107"/>
        <v>Complete</v>
      </c>
      <c r="K3457">
        <f>COUNTIFS(RawData[Item], B3457,RawData[Quantity],C3457,RawData[Price Per Unit],D3457,RawData[Total Spent],E3457,RawData[Payment Method],F3457,RawData[Location],G3457,RawData[Transaction Date],H3457)</f>
        <v>1</v>
      </c>
      <c r="L3457"/>
    </row>
    <row r="3458" spans="1:12" x14ac:dyDescent="0.3">
      <c r="A3458" t="s">
        <v>3464</v>
      </c>
      <c r="B3458" t="s">
        <v>10011</v>
      </c>
      <c r="C3458">
        <v>1</v>
      </c>
      <c r="D3458">
        <v>5</v>
      </c>
      <c r="E3458">
        <v>5</v>
      </c>
      <c r="F3458" t="s">
        <v>10019</v>
      </c>
      <c r="G3458" t="s">
        <v>10021</v>
      </c>
      <c r="H3458" s="6">
        <v>45180</v>
      </c>
      <c r="I3458">
        <f t="shared" ref="I3458:I3521" si="108">(B3458="Unknown")+(B3458="Error")+(C3458="Unknown")+(C3458="Error")+(D3458="Unknown")+(D3458="Error")+(E3458="Unknown")+(E3458="Error")+(F3458="Unknown")+(F3458="Error")+(G3458="Unknown")+(G3458="Error")+(H3458="No Date")</f>
        <v>0</v>
      </c>
      <c r="J3458" t="str">
        <f t="shared" ref="J3458:J3521" si="109">IF((H3458="No Date"),"Incomplete","Complete")</f>
        <v>Complete</v>
      </c>
      <c r="K3458">
        <f>COUNTIFS(RawData[Item], B3458,RawData[Quantity],C3458,RawData[Price Per Unit],D3458,RawData[Total Spent],E3458,RawData[Payment Method],F3458,RawData[Location],G3458,RawData[Transaction Date],H3458)</f>
        <v>1</v>
      </c>
      <c r="L3458"/>
    </row>
    <row r="3459" spans="1:12" x14ac:dyDescent="0.3">
      <c r="A3459" t="s">
        <v>3465</v>
      </c>
      <c r="B3459" t="s">
        <v>10011</v>
      </c>
      <c r="C3459">
        <v>2</v>
      </c>
      <c r="D3459">
        <v>5</v>
      </c>
      <c r="E3459">
        <v>10</v>
      </c>
      <c r="F3459" t="s">
        <v>10020</v>
      </c>
      <c r="G3459" t="s">
        <v>10102</v>
      </c>
      <c r="H3459" s="6">
        <v>45203</v>
      </c>
      <c r="I3459">
        <f t="shared" si="108"/>
        <v>0</v>
      </c>
      <c r="J3459" t="str">
        <f t="shared" si="109"/>
        <v>Complete</v>
      </c>
      <c r="K3459">
        <f>COUNTIFS(RawData[Item], B3459,RawData[Quantity],C3459,RawData[Price Per Unit],D3459,RawData[Total Spent],E3459,RawData[Payment Method],F3459,RawData[Location],G3459,RawData[Transaction Date],H3459)</f>
        <v>1</v>
      </c>
      <c r="L3459"/>
    </row>
    <row r="3460" spans="1:12" x14ac:dyDescent="0.3">
      <c r="A3460" t="s">
        <v>3466</v>
      </c>
      <c r="B3460" t="s">
        <v>10014</v>
      </c>
      <c r="C3460">
        <v>5</v>
      </c>
      <c r="D3460">
        <v>4</v>
      </c>
      <c r="E3460">
        <v>20</v>
      </c>
      <c r="F3460" t="s">
        <v>10069</v>
      </c>
      <c r="G3460" t="s">
        <v>10021</v>
      </c>
      <c r="H3460" s="6">
        <v>45214</v>
      </c>
      <c r="I3460">
        <f t="shared" si="108"/>
        <v>0</v>
      </c>
      <c r="J3460" t="str">
        <f t="shared" si="109"/>
        <v>Complete</v>
      </c>
      <c r="K3460">
        <f>COUNTIFS(RawData[Item], B3460,RawData[Quantity],C3460,RawData[Price Per Unit],D3460,RawData[Total Spent],E3460,RawData[Payment Method],F3460,RawData[Location],G3460,RawData[Transaction Date],H3460)</f>
        <v>1</v>
      </c>
      <c r="L3460"/>
    </row>
    <row r="3461" spans="1:12" x14ac:dyDescent="0.3">
      <c r="A3461" t="s">
        <v>3467</v>
      </c>
      <c r="B3461" t="s">
        <v>10013</v>
      </c>
      <c r="C3461">
        <v>4</v>
      </c>
      <c r="D3461">
        <v>5</v>
      </c>
      <c r="E3461">
        <v>20</v>
      </c>
      <c r="F3461" t="s">
        <v>10019</v>
      </c>
      <c r="G3461" t="s">
        <v>10069</v>
      </c>
      <c r="H3461" s="6" t="s">
        <v>10112</v>
      </c>
      <c r="I3461">
        <f t="shared" si="108"/>
        <v>2</v>
      </c>
      <c r="J3461" t="str">
        <f t="shared" si="109"/>
        <v>Incomplete</v>
      </c>
      <c r="K3461">
        <f>COUNTIFS(RawData[Item], B3461,RawData[Quantity],C3461,RawData[Price Per Unit],D3461,RawData[Total Spent],E3461,RawData[Payment Method],F3461,RawData[Location],G3461,RawData[Transaction Date],H3461)</f>
        <v>1</v>
      </c>
      <c r="L3461"/>
    </row>
    <row r="3462" spans="1:12" x14ac:dyDescent="0.3">
      <c r="A3462" t="s">
        <v>3468</v>
      </c>
      <c r="B3462" t="s">
        <v>10008</v>
      </c>
      <c r="C3462">
        <v>3</v>
      </c>
      <c r="D3462">
        <v>2</v>
      </c>
      <c r="E3462">
        <v>6</v>
      </c>
      <c r="F3462" t="s">
        <v>10069</v>
      </c>
      <c r="G3462" t="s">
        <v>10069</v>
      </c>
      <c r="H3462" s="6">
        <v>45260</v>
      </c>
      <c r="I3462">
        <f t="shared" si="108"/>
        <v>0</v>
      </c>
      <c r="J3462" t="str">
        <f t="shared" si="109"/>
        <v>Complete</v>
      </c>
      <c r="K3462">
        <f>COUNTIFS(RawData[Item], B3462,RawData[Quantity],C3462,RawData[Price Per Unit],D3462,RawData[Total Spent],E3462,RawData[Payment Method],F3462,RawData[Location],G3462,RawData[Transaction Date],H3462)</f>
        <v>1</v>
      </c>
      <c r="L3462"/>
    </row>
    <row r="3463" spans="1:12" x14ac:dyDescent="0.3">
      <c r="A3463" t="s">
        <v>3469</v>
      </c>
      <c r="B3463" t="s">
        <v>10009</v>
      </c>
      <c r="C3463">
        <v>4</v>
      </c>
      <c r="D3463">
        <v>3</v>
      </c>
      <c r="E3463">
        <v>12</v>
      </c>
      <c r="F3463" t="s">
        <v>10069</v>
      </c>
      <c r="G3463" t="s">
        <v>10104</v>
      </c>
      <c r="H3463" s="6">
        <v>45204</v>
      </c>
      <c r="I3463">
        <f t="shared" si="108"/>
        <v>1</v>
      </c>
      <c r="J3463" t="str">
        <f t="shared" si="109"/>
        <v>Complete</v>
      </c>
      <c r="K3463">
        <f>COUNTIFS(RawData[Item], B3463,RawData[Quantity],C3463,RawData[Price Per Unit],D3463,RawData[Total Spent],E3463,RawData[Payment Method],F3463,RawData[Location],G3463,RawData[Transaction Date],H3463)</f>
        <v>1</v>
      </c>
      <c r="L3463"/>
    </row>
    <row r="3464" spans="1:12" x14ac:dyDescent="0.3">
      <c r="A3464" t="s">
        <v>3470</v>
      </c>
      <c r="B3464" t="s">
        <v>10014</v>
      </c>
      <c r="C3464">
        <v>1</v>
      </c>
      <c r="D3464">
        <v>4</v>
      </c>
      <c r="E3464" t="s">
        <v>10015</v>
      </c>
      <c r="F3464" t="s">
        <v>10018</v>
      </c>
      <c r="G3464" t="s">
        <v>10103</v>
      </c>
      <c r="H3464" s="6">
        <v>45004</v>
      </c>
      <c r="I3464">
        <f t="shared" si="108"/>
        <v>2</v>
      </c>
      <c r="J3464" t="str">
        <f t="shared" si="109"/>
        <v>Complete</v>
      </c>
      <c r="K3464">
        <f>COUNTIFS(RawData[Item], B3464,RawData[Quantity],C3464,RawData[Price Per Unit],D3464,RawData[Total Spent],E3464,RawData[Payment Method],F3464,RawData[Location],G3464,RawData[Transaction Date],H3464)</f>
        <v>1</v>
      </c>
      <c r="L3464"/>
    </row>
    <row r="3465" spans="1:12" x14ac:dyDescent="0.3">
      <c r="A3465" t="s">
        <v>3471</v>
      </c>
      <c r="B3465" t="s">
        <v>10013</v>
      </c>
      <c r="C3465">
        <v>4</v>
      </c>
      <c r="D3465">
        <v>1</v>
      </c>
      <c r="E3465">
        <v>4</v>
      </c>
      <c r="F3465" t="s">
        <v>10019</v>
      </c>
      <c r="G3465" t="s">
        <v>10021</v>
      </c>
      <c r="H3465" s="6">
        <v>45105</v>
      </c>
      <c r="I3465">
        <f t="shared" si="108"/>
        <v>1</v>
      </c>
      <c r="J3465" t="str">
        <f t="shared" si="109"/>
        <v>Complete</v>
      </c>
      <c r="K3465">
        <f>COUNTIFS(RawData[Item], B3465,RawData[Quantity],C3465,RawData[Price Per Unit],D3465,RawData[Total Spent],E3465,RawData[Payment Method],F3465,RawData[Location],G3465,RawData[Transaction Date],H3465)</f>
        <v>1</v>
      </c>
      <c r="L3465"/>
    </row>
    <row r="3466" spans="1:12" x14ac:dyDescent="0.3">
      <c r="A3466" t="s">
        <v>3472</v>
      </c>
      <c r="B3466" t="s">
        <v>10016</v>
      </c>
      <c r="C3466">
        <v>2</v>
      </c>
      <c r="D3466" t="s">
        <v>10015</v>
      </c>
      <c r="E3466">
        <v>6</v>
      </c>
      <c r="F3466" t="s">
        <v>10018</v>
      </c>
      <c r="G3466" t="s">
        <v>10069</v>
      </c>
      <c r="H3466" s="6">
        <v>44930</v>
      </c>
      <c r="I3466">
        <f t="shared" si="108"/>
        <v>1</v>
      </c>
      <c r="J3466" t="str">
        <f t="shared" si="109"/>
        <v>Complete</v>
      </c>
      <c r="K3466">
        <f>COUNTIFS(RawData[Item], B3466,RawData[Quantity],C3466,RawData[Price Per Unit],D3466,RawData[Total Spent],E3466,RawData[Payment Method],F3466,RawData[Location],G3466,RawData[Transaction Date],H3466)</f>
        <v>1</v>
      </c>
      <c r="L3466"/>
    </row>
    <row r="3467" spans="1:12" x14ac:dyDescent="0.3">
      <c r="A3467" t="s">
        <v>3473</v>
      </c>
      <c r="B3467" t="s">
        <v>10016</v>
      </c>
      <c r="C3467" t="s">
        <v>10013</v>
      </c>
      <c r="D3467">
        <v>3</v>
      </c>
      <c r="E3467">
        <v>3</v>
      </c>
      <c r="F3467" t="s">
        <v>10020</v>
      </c>
      <c r="G3467" t="s">
        <v>10069</v>
      </c>
      <c r="H3467" s="6">
        <v>45102</v>
      </c>
      <c r="I3467">
        <f t="shared" si="108"/>
        <v>1</v>
      </c>
      <c r="J3467" t="str">
        <f t="shared" si="109"/>
        <v>Complete</v>
      </c>
      <c r="K3467">
        <f>COUNTIFS(RawData[Item], B3467,RawData[Quantity],C3467,RawData[Price Per Unit],D3467,RawData[Total Spent],E3467,RawData[Payment Method],F3467,RawData[Location],G3467,RawData[Transaction Date],H3467)</f>
        <v>1</v>
      </c>
      <c r="L3467"/>
    </row>
    <row r="3468" spans="1:12" x14ac:dyDescent="0.3">
      <c r="A3468" t="s">
        <v>3474</v>
      </c>
      <c r="B3468" t="s">
        <v>10017</v>
      </c>
      <c r="C3468">
        <v>5</v>
      </c>
      <c r="D3468">
        <v>1.5</v>
      </c>
      <c r="E3468">
        <v>7.5</v>
      </c>
      <c r="F3468" t="s">
        <v>10020</v>
      </c>
      <c r="G3468" t="s">
        <v>10102</v>
      </c>
      <c r="H3468" s="6">
        <v>45206</v>
      </c>
      <c r="I3468">
        <f t="shared" si="108"/>
        <v>0</v>
      </c>
      <c r="J3468" t="str">
        <f t="shared" si="109"/>
        <v>Complete</v>
      </c>
      <c r="K3468">
        <f>COUNTIFS(RawData[Item], B3468,RawData[Quantity],C3468,RawData[Price Per Unit],D3468,RawData[Total Spent],E3468,RawData[Payment Method],F3468,RawData[Location],G3468,RawData[Transaction Date],H3468)</f>
        <v>1</v>
      </c>
      <c r="L3468"/>
    </row>
    <row r="3469" spans="1:12" x14ac:dyDescent="0.3">
      <c r="A3469" t="s">
        <v>3475</v>
      </c>
      <c r="B3469" t="s">
        <v>10008</v>
      </c>
      <c r="C3469">
        <v>3</v>
      </c>
      <c r="D3469">
        <v>2</v>
      </c>
      <c r="E3469">
        <v>6</v>
      </c>
      <c r="F3469" t="s">
        <v>10103</v>
      </c>
      <c r="G3469" t="s">
        <v>10069</v>
      </c>
      <c r="H3469" s="6">
        <v>45176</v>
      </c>
      <c r="I3469">
        <f t="shared" si="108"/>
        <v>1</v>
      </c>
      <c r="J3469" t="str">
        <f t="shared" si="109"/>
        <v>Complete</v>
      </c>
      <c r="K3469">
        <f>COUNTIFS(RawData[Item], B3469,RawData[Quantity],C3469,RawData[Price Per Unit],D3469,RawData[Total Spent],E3469,RawData[Payment Method],F3469,RawData[Location],G3469,RawData[Transaction Date],H3469)</f>
        <v>1</v>
      </c>
      <c r="L3469"/>
    </row>
    <row r="3470" spans="1:12" x14ac:dyDescent="0.3">
      <c r="A3470" t="s">
        <v>3476</v>
      </c>
      <c r="B3470" t="s">
        <v>10013</v>
      </c>
      <c r="C3470">
        <v>4</v>
      </c>
      <c r="D3470">
        <v>3</v>
      </c>
      <c r="E3470">
        <v>12</v>
      </c>
      <c r="F3470" t="s">
        <v>10020</v>
      </c>
      <c r="G3470" t="s">
        <v>10069</v>
      </c>
      <c r="H3470" s="6">
        <v>45113</v>
      </c>
      <c r="I3470">
        <f t="shared" si="108"/>
        <v>1</v>
      </c>
      <c r="J3470" t="str">
        <f t="shared" si="109"/>
        <v>Complete</v>
      </c>
      <c r="K3470">
        <f>COUNTIFS(RawData[Item], B3470,RawData[Quantity],C3470,RawData[Price Per Unit],D3470,RawData[Total Spent],E3470,RawData[Payment Method],F3470,RawData[Location],G3470,RawData[Transaction Date],H3470)</f>
        <v>1</v>
      </c>
      <c r="L3470"/>
    </row>
    <row r="3471" spans="1:12" x14ac:dyDescent="0.3">
      <c r="A3471" t="s">
        <v>3477</v>
      </c>
      <c r="B3471" t="s">
        <v>10008</v>
      </c>
      <c r="C3471">
        <v>4</v>
      </c>
      <c r="D3471">
        <v>2</v>
      </c>
      <c r="E3471">
        <v>8</v>
      </c>
      <c r="F3471" t="s">
        <v>10104</v>
      </c>
      <c r="G3471" t="s">
        <v>10069</v>
      </c>
      <c r="H3471" s="6">
        <v>45170</v>
      </c>
      <c r="I3471">
        <f t="shared" si="108"/>
        <v>1</v>
      </c>
      <c r="J3471" t="str">
        <f t="shared" si="109"/>
        <v>Complete</v>
      </c>
      <c r="K3471">
        <f>COUNTIFS(RawData[Item], B3471,RawData[Quantity],C3471,RawData[Price Per Unit],D3471,RawData[Total Spent],E3471,RawData[Payment Method],F3471,RawData[Location],G3471,RawData[Transaction Date],H3471)</f>
        <v>1</v>
      </c>
      <c r="L3471"/>
    </row>
    <row r="3472" spans="1:12" x14ac:dyDescent="0.3">
      <c r="A3472" t="s">
        <v>3478</v>
      </c>
      <c r="B3472" t="s">
        <v>10016</v>
      </c>
      <c r="C3472">
        <v>5</v>
      </c>
      <c r="D3472">
        <v>3</v>
      </c>
      <c r="E3472">
        <v>15</v>
      </c>
      <c r="F3472" t="s">
        <v>10018</v>
      </c>
      <c r="G3472" t="s">
        <v>10021</v>
      </c>
      <c r="H3472" s="6" t="s">
        <v>10112</v>
      </c>
      <c r="I3472">
        <f t="shared" si="108"/>
        <v>1</v>
      </c>
      <c r="J3472" t="str">
        <f t="shared" si="109"/>
        <v>Incomplete</v>
      </c>
      <c r="K3472">
        <f>COUNTIFS(RawData[Item], B3472,RawData[Quantity],C3472,RawData[Price Per Unit],D3472,RawData[Total Spent],E3472,RawData[Payment Method],F3472,RawData[Location],G3472,RawData[Transaction Date],H3472)</f>
        <v>1</v>
      </c>
      <c r="L3472"/>
    </row>
    <row r="3473" spans="1:12" x14ac:dyDescent="0.3">
      <c r="A3473" t="s">
        <v>3479</v>
      </c>
      <c r="B3473" t="s">
        <v>10010</v>
      </c>
      <c r="C3473">
        <v>5</v>
      </c>
      <c r="D3473">
        <v>1</v>
      </c>
      <c r="E3473">
        <v>5</v>
      </c>
      <c r="F3473" t="s">
        <v>10019</v>
      </c>
      <c r="G3473" t="s">
        <v>10102</v>
      </c>
      <c r="H3473" s="6">
        <v>45077</v>
      </c>
      <c r="I3473">
        <f t="shared" si="108"/>
        <v>0</v>
      </c>
      <c r="J3473" t="str">
        <f t="shared" si="109"/>
        <v>Complete</v>
      </c>
      <c r="K3473">
        <f>COUNTIFS(RawData[Item], B3473,RawData[Quantity],C3473,RawData[Price Per Unit],D3473,RawData[Total Spent],E3473,RawData[Payment Method],F3473,RawData[Location],G3473,RawData[Transaction Date],H3473)</f>
        <v>1</v>
      </c>
      <c r="L3473"/>
    </row>
    <row r="3474" spans="1:12" x14ac:dyDescent="0.3">
      <c r="A3474" t="s">
        <v>3480</v>
      </c>
      <c r="B3474" t="s">
        <v>10012</v>
      </c>
      <c r="C3474">
        <v>2</v>
      </c>
      <c r="D3474">
        <v>4</v>
      </c>
      <c r="E3474">
        <v>8</v>
      </c>
      <c r="F3474" t="s">
        <v>10069</v>
      </c>
      <c r="G3474" t="s">
        <v>10069</v>
      </c>
      <c r="H3474" s="6">
        <v>45176</v>
      </c>
      <c r="I3474">
        <f t="shared" si="108"/>
        <v>0</v>
      </c>
      <c r="J3474" t="str">
        <f t="shared" si="109"/>
        <v>Complete</v>
      </c>
      <c r="K3474">
        <f>COUNTIFS(RawData[Item], B3474,RawData[Quantity],C3474,RawData[Price Per Unit],D3474,RawData[Total Spent],E3474,RawData[Payment Method],F3474,RawData[Location],G3474,RawData[Transaction Date],H3474)</f>
        <v>1</v>
      </c>
      <c r="L3474"/>
    </row>
    <row r="3475" spans="1:12" x14ac:dyDescent="0.3">
      <c r="A3475" t="s">
        <v>3481</v>
      </c>
      <c r="B3475" t="s">
        <v>10008</v>
      </c>
      <c r="C3475">
        <v>5</v>
      </c>
      <c r="D3475">
        <v>2</v>
      </c>
      <c r="E3475">
        <v>10</v>
      </c>
      <c r="F3475" t="s">
        <v>10019</v>
      </c>
      <c r="G3475" t="s">
        <v>10069</v>
      </c>
      <c r="H3475" s="6">
        <v>45095</v>
      </c>
      <c r="I3475">
        <f t="shared" si="108"/>
        <v>0</v>
      </c>
      <c r="J3475" t="str">
        <f t="shared" si="109"/>
        <v>Complete</v>
      </c>
      <c r="K3475">
        <f>COUNTIFS(RawData[Item], B3475,RawData[Quantity],C3475,RawData[Price Per Unit],D3475,RawData[Total Spent],E3475,RawData[Payment Method],F3475,RawData[Location],G3475,RawData[Transaction Date],H3475)</f>
        <v>1</v>
      </c>
      <c r="L3475"/>
    </row>
    <row r="3476" spans="1:12" x14ac:dyDescent="0.3">
      <c r="A3476" t="s">
        <v>3482</v>
      </c>
      <c r="B3476" t="s">
        <v>10012</v>
      </c>
      <c r="C3476">
        <v>1</v>
      </c>
      <c r="D3476">
        <v>4</v>
      </c>
      <c r="E3476">
        <v>4</v>
      </c>
      <c r="F3476" t="s">
        <v>10069</v>
      </c>
      <c r="G3476" t="s">
        <v>10069</v>
      </c>
      <c r="H3476" s="6">
        <v>45283</v>
      </c>
      <c r="I3476">
        <f t="shared" si="108"/>
        <v>0</v>
      </c>
      <c r="J3476" t="str">
        <f t="shared" si="109"/>
        <v>Complete</v>
      </c>
      <c r="K3476">
        <f>COUNTIFS(RawData[Item], B3476,RawData[Quantity],C3476,RawData[Price Per Unit],D3476,RawData[Total Spent],E3476,RawData[Payment Method],F3476,RawData[Location],G3476,RawData[Transaction Date],H3476)</f>
        <v>1</v>
      </c>
      <c r="L3476"/>
    </row>
    <row r="3477" spans="1:12" x14ac:dyDescent="0.3">
      <c r="A3477" t="s">
        <v>3483</v>
      </c>
      <c r="B3477" t="s">
        <v>10009</v>
      </c>
      <c r="C3477">
        <v>3</v>
      </c>
      <c r="D3477">
        <v>3</v>
      </c>
      <c r="E3477">
        <v>9</v>
      </c>
      <c r="F3477" t="s">
        <v>10020</v>
      </c>
      <c r="G3477" t="s">
        <v>10102</v>
      </c>
      <c r="H3477" s="6">
        <v>44999</v>
      </c>
      <c r="I3477">
        <f t="shared" si="108"/>
        <v>0</v>
      </c>
      <c r="J3477" t="str">
        <f t="shared" si="109"/>
        <v>Complete</v>
      </c>
      <c r="K3477">
        <f>COUNTIFS(RawData[Item], B3477,RawData[Quantity],C3477,RawData[Price Per Unit],D3477,RawData[Total Spent],E3477,RawData[Payment Method],F3477,RawData[Location],G3477,RawData[Transaction Date],H3477)</f>
        <v>2</v>
      </c>
      <c r="L3477"/>
    </row>
    <row r="3478" spans="1:12" x14ac:dyDescent="0.3">
      <c r="A3478" t="s">
        <v>3484</v>
      </c>
      <c r="B3478" t="s">
        <v>10010</v>
      </c>
      <c r="C3478">
        <v>5</v>
      </c>
      <c r="D3478">
        <v>1</v>
      </c>
      <c r="E3478">
        <v>5</v>
      </c>
      <c r="F3478" t="s">
        <v>10019</v>
      </c>
      <c r="G3478" t="s">
        <v>10102</v>
      </c>
      <c r="H3478" s="6">
        <v>45157</v>
      </c>
      <c r="I3478">
        <f t="shared" si="108"/>
        <v>0</v>
      </c>
      <c r="J3478" t="str">
        <f t="shared" si="109"/>
        <v>Complete</v>
      </c>
      <c r="K3478">
        <f>COUNTIFS(RawData[Item], B3478,RawData[Quantity],C3478,RawData[Price Per Unit],D3478,RawData[Total Spent],E3478,RawData[Payment Method],F3478,RawData[Location],G3478,RawData[Transaction Date],H3478)</f>
        <v>1</v>
      </c>
      <c r="L3478"/>
    </row>
    <row r="3479" spans="1:12" x14ac:dyDescent="0.3">
      <c r="A3479" t="s">
        <v>3485</v>
      </c>
      <c r="B3479" t="s">
        <v>10014</v>
      </c>
      <c r="C3479">
        <v>5</v>
      </c>
      <c r="D3479" t="s">
        <v>10015</v>
      </c>
      <c r="E3479">
        <v>20</v>
      </c>
      <c r="F3479" t="s">
        <v>10019</v>
      </c>
      <c r="G3479" t="s">
        <v>10021</v>
      </c>
      <c r="H3479" s="6">
        <v>45043</v>
      </c>
      <c r="I3479">
        <f t="shared" si="108"/>
        <v>1</v>
      </c>
      <c r="J3479" t="str">
        <f t="shared" si="109"/>
        <v>Complete</v>
      </c>
      <c r="K3479">
        <f>COUNTIFS(RawData[Item], B3479,RawData[Quantity],C3479,RawData[Price Per Unit],D3479,RawData[Total Spent],E3479,RawData[Payment Method],F3479,RawData[Location],G3479,RawData[Transaction Date],H3479)</f>
        <v>1</v>
      </c>
      <c r="L3479"/>
    </row>
    <row r="3480" spans="1:12" x14ac:dyDescent="0.3">
      <c r="A3480" t="s">
        <v>3486</v>
      </c>
      <c r="B3480" t="s">
        <v>10014</v>
      </c>
      <c r="C3480">
        <v>2</v>
      </c>
      <c r="D3480">
        <v>4</v>
      </c>
      <c r="E3480">
        <v>8</v>
      </c>
      <c r="F3480" t="s">
        <v>10018</v>
      </c>
      <c r="G3480" t="s">
        <v>10069</v>
      </c>
      <c r="H3480" s="6">
        <v>45273</v>
      </c>
      <c r="I3480">
        <f t="shared" si="108"/>
        <v>0</v>
      </c>
      <c r="J3480" t="str">
        <f t="shared" si="109"/>
        <v>Complete</v>
      </c>
      <c r="K3480">
        <f>COUNTIFS(RawData[Item], B3480,RawData[Quantity],C3480,RawData[Price Per Unit],D3480,RawData[Total Spent],E3480,RawData[Payment Method],F3480,RawData[Location],G3480,RawData[Transaction Date],H3480)</f>
        <v>1</v>
      </c>
      <c r="L3480"/>
    </row>
    <row r="3481" spans="1:12" x14ac:dyDescent="0.3">
      <c r="A3481" t="s">
        <v>3487</v>
      </c>
      <c r="B3481" t="s">
        <v>10069</v>
      </c>
      <c r="C3481">
        <v>3</v>
      </c>
      <c r="D3481">
        <v>3</v>
      </c>
      <c r="E3481">
        <v>9</v>
      </c>
      <c r="F3481" t="s">
        <v>10020</v>
      </c>
      <c r="G3481" t="s">
        <v>10102</v>
      </c>
      <c r="H3481" s="6">
        <v>45264</v>
      </c>
      <c r="I3481">
        <f t="shared" si="108"/>
        <v>0</v>
      </c>
      <c r="J3481" t="str">
        <f t="shared" si="109"/>
        <v>Complete</v>
      </c>
      <c r="K3481">
        <f>COUNTIFS(RawData[Item], B3481,RawData[Quantity],C3481,RawData[Price Per Unit],D3481,RawData[Total Spent],E3481,RawData[Payment Method],F3481,RawData[Location],G3481,RawData[Transaction Date],H3481)</f>
        <v>1</v>
      </c>
      <c r="L3481"/>
    </row>
    <row r="3482" spans="1:12" x14ac:dyDescent="0.3">
      <c r="A3482" t="s">
        <v>3488</v>
      </c>
      <c r="B3482" t="s">
        <v>10009</v>
      </c>
      <c r="C3482">
        <v>5</v>
      </c>
      <c r="D3482">
        <v>3</v>
      </c>
      <c r="E3482">
        <v>15</v>
      </c>
      <c r="F3482" t="s">
        <v>10018</v>
      </c>
      <c r="G3482" t="s">
        <v>10102</v>
      </c>
      <c r="H3482" s="6">
        <v>45148</v>
      </c>
      <c r="I3482">
        <f t="shared" si="108"/>
        <v>0</v>
      </c>
      <c r="J3482" t="str">
        <f t="shared" si="109"/>
        <v>Complete</v>
      </c>
      <c r="K3482">
        <f>COUNTIFS(RawData[Item], B3482,RawData[Quantity],C3482,RawData[Price Per Unit],D3482,RawData[Total Spent],E3482,RawData[Payment Method],F3482,RawData[Location],G3482,RawData[Transaction Date],H3482)</f>
        <v>1</v>
      </c>
      <c r="L3482"/>
    </row>
    <row r="3483" spans="1:12" x14ac:dyDescent="0.3">
      <c r="A3483" t="s">
        <v>3489</v>
      </c>
      <c r="B3483" t="s">
        <v>10012</v>
      </c>
      <c r="C3483">
        <v>5</v>
      </c>
      <c r="D3483">
        <v>4</v>
      </c>
      <c r="E3483">
        <v>20</v>
      </c>
      <c r="F3483" t="s">
        <v>10020</v>
      </c>
      <c r="G3483" t="s">
        <v>10021</v>
      </c>
      <c r="H3483" s="6">
        <v>45249</v>
      </c>
      <c r="I3483">
        <f t="shared" si="108"/>
        <v>0</v>
      </c>
      <c r="J3483" t="str">
        <f t="shared" si="109"/>
        <v>Complete</v>
      </c>
      <c r="K3483">
        <f>COUNTIFS(RawData[Item], B3483,RawData[Quantity],C3483,RawData[Price Per Unit],D3483,RawData[Total Spent],E3483,RawData[Payment Method],F3483,RawData[Location],G3483,RawData[Transaction Date],H3483)</f>
        <v>1</v>
      </c>
      <c r="L3483"/>
    </row>
    <row r="3484" spans="1:12" x14ac:dyDescent="0.3">
      <c r="A3484" t="s">
        <v>3490</v>
      </c>
      <c r="B3484" t="s">
        <v>10009</v>
      </c>
      <c r="C3484">
        <v>1</v>
      </c>
      <c r="D3484">
        <v>3</v>
      </c>
      <c r="E3484">
        <v>3</v>
      </c>
      <c r="F3484" t="s">
        <v>10069</v>
      </c>
      <c r="G3484" t="s">
        <v>10021</v>
      </c>
      <c r="H3484" s="6">
        <v>45116</v>
      </c>
      <c r="I3484">
        <f t="shared" si="108"/>
        <v>0</v>
      </c>
      <c r="J3484" t="str">
        <f t="shared" si="109"/>
        <v>Complete</v>
      </c>
      <c r="K3484">
        <f>COUNTIFS(RawData[Item], B3484,RawData[Quantity],C3484,RawData[Price Per Unit],D3484,RawData[Total Spent],E3484,RawData[Payment Method],F3484,RawData[Location],G3484,RawData[Transaction Date],H3484)</f>
        <v>1</v>
      </c>
      <c r="L3484"/>
    </row>
    <row r="3485" spans="1:12" x14ac:dyDescent="0.3">
      <c r="A3485" t="s">
        <v>3491</v>
      </c>
      <c r="B3485" t="s">
        <v>10017</v>
      </c>
      <c r="C3485">
        <v>2</v>
      </c>
      <c r="D3485">
        <v>1.5</v>
      </c>
      <c r="E3485">
        <v>3</v>
      </c>
      <c r="F3485" t="s">
        <v>10018</v>
      </c>
      <c r="G3485" t="s">
        <v>10069</v>
      </c>
      <c r="H3485" s="6">
        <v>45150</v>
      </c>
      <c r="I3485">
        <f t="shared" si="108"/>
        <v>0</v>
      </c>
      <c r="J3485" t="str">
        <f t="shared" si="109"/>
        <v>Complete</v>
      </c>
      <c r="K3485">
        <f>COUNTIFS(RawData[Item], B3485,RawData[Quantity],C3485,RawData[Price Per Unit],D3485,RawData[Total Spent],E3485,RawData[Payment Method],F3485,RawData[Location],G3485,RawData[Transaction Date],H3485)</f>
        <v>1</v>
      </c>
      <c r="L3485"/>
    </row>
    <row r="3486" spans="1:12" x14ac:dyDescent="0.3">
      <c r="A3486" t="s">
        <v>3492</v>
      </c>
      <c r="B3486" t="s">
        <v>10016</v>
      </c>
      <c r="C3486">
        <v>4</v>
      </c>
      <c r="D3486">
        <v>3</v>
      </c>
      <c r="E3486">
        <v>12</v>
      </c>
      <c r="F3486" t="s">
        <v>10018</v>
      </c>
      <c r="G3486" t="s">
        <v>10102</v>
      </c>
      <c r="H3486" s="6" t="s">
        <v>10112</v>
      </c>
      <c r="I3486">
        <f t="shared" si="108"/>
        <v>1</v>
      </c>
      <c r="J3486" t="str">
        <f t="shared" si="109"/>
        <v>Incomplete</v>
      </c>
      <c r="K3486">
        <f>COUNTIFS(RawData[Item], B3486,RawData[Quantity],C3486,RawData[Price Per Unit],D3486,RawData[Total Spent],E3486,RawData[Payment Method],F3486,RawData[Location],G3486,RawData[Transaction Date],H3486)</f>
        <v>1</v>
      </c>
      <c r="L3486"/>
    </row>
    <row r="3487" spans="1:12" x14ac:dyDescent="0.3">
      <c r="A3487" t="s">
        <v>3493</v>
      </c>
      <c r="B3487" t="s">
        <v>10008</v>
      </c>
      <c r="C3487">
        <v>5</v>
      </c>
      <c r="D3487">
        <v>2</v>
      </c>
      <c r="E3487">
        <v>10</v>
      </c>
      <c r="F3487" t="s">
        <v>10018</v>
      </c>
      <c r="G3487" t="s">
        <v>10021</v>
      </c>
      <c r="H3487" s="6">
        <v>45065</v>
      </c>
      <c r="I3487">
        <f t="shared" si="108"/>
        <v>0</v>
      </c>
      <c r="J3487" t="str">
        <f t="shared" si="109"/>
        <v>Complete</v>
      </c>
      <c r="K3487">
        <f>COUNTIFS(RawData[Item], B3487,RawData[Quantity],C3487,RawData[Price Per Unit],D3487,RawData[Total Spent],E3487,RawData[Payment Method],F3487,RawData[Location],G3487,RawData[Transaction Date],H3487)</f>
        <v>1</v>
      </c>
      <c r="L3487"/>
    </row>
    <row r="3488" spans="1:12" x14ac:dyDescent="0.3">
      <c r="A3488" t="s">
        <v>3494</v>
      </c>
      <c r="B3488" t="s">
        <v>10008</v>
      </c>
      <c r="C3488">
        <v>5</v>
      </c>
      <c r="D3488">
        <v>2</v>
      </c>
      <c r="E3488">
        <v>10</v>
      </c>
      <c r="F3488" t="s">
        <v>10020</v>
      </c>
      <c r="G3488" t="s">
        <v>10069</v>
      </c>
      <c r="H3488" s="6">
        <v>45244</v>
      </c>
      <c r="I3488">
        <f t="shared" si="108"/>
        <v>0</v>
      </c>
      <c r="J3488" t="str">
        <f t="shared" si="109"/>
        <v>Complete</v>
      </c>
      <c r="K3488">
        <f>COUNTIFS(RawData[Item], B3488,RawData[Quantity],C3488,RawData[Price Per Unit],D3488,RawData[Total Spent],E3488,RawData[Payment Method],F3488,RawData[Location],G3488,RawData[Transaction Date],H3488)</f>
        <v>1</v>
      </c>
      <c r="L3488"/>
    </row>
    <row r="3489" spans="1:12" x14ac:dyDescent="0.3">
      <c r="A3489" t="s">
        <v>3495</v>
      </c>
      <c r="B3489" t="s">
        <v>10069</v>
      </c>
      <c r="C3489">
        <v>5</v>
      </c>
      <c r="D3489">
        <v>1</v>
      </c>
      <c r="E3489">
        <v>5</v>
      </c>
      <c r="F3489" t="s">
        <v>10019</v>
      </c>
      <c r="G3489" t="s">
        <v>10102</v>
      </c>
      <c r="H3489" s="6">
        <v>45093</v>
      </c>
      <c r="I3489">
        <f t="shared" si="108"/>
        <v>0</v>
      </c>
      <c r="J3489" t="str">
        <f t="shared" si="109"/>
        <v>Complete</v>
      </c>
      <c r="K3489">
        <f>COUNTIFS(RawData[Item], B3489,RawData[Quantity],C3489,RawData[Price Per Unit],D3489,RawData[Total Spent],E3489,RawData[Payment Method],F3489,RawData[Location],G3489,RawData[Transaction Date],H3489)</f>
        <v>1</v>
      </c>
      <c r="L3489"/>
    </row>
    <row r="3490" spans="1:12" x14ac:dyDescent="0.3">
      <c r="A3490" t="s">
        <v>3496</v>
      </c>
      <c r="B3490" t="s">
        <v>10010</v>
      </c>
      <c r="C3490">
        <v>2</v>
      </c>
      <c r="D3490">
        <v>1</v>
      </c>
      <c r="E3490">
        <v>2</v>
      </c>
      <c r="F3490" t="s">
        <v>10020</v>
      </c>
      <c r="G3490" t="s">
        <v>10021</v>
      </c>
      <c r="H3490" s="6">
        <v>45223</v>
      </c>
      <c r="I3490">
        <f t="shared" si="108"/>
        <v>0</v>
      </c>
      <c r="J3490" t="str">
        <f t="shared" si="109"/>
        <v>Complete</v>
      </c>
      <c r="K3490">
        <f>COUNTIFS(RawData[Item], B3490,RawData[Quantity],C3490,RawData[Price Per Unit],D3490,RawData[Total Spent],E3490,RawData[Payment Method],F3490,RawData[Location],G3490,RawData[Transaction Date],H3490)</f>
        <v>1</v>
      </c>
      <c r="L3490"/>
    </row>
    <row r="3491" spans="1:12" x14ac:dyDescent="0.3">
      <c r="A3491" t="s">
        <v>3497</v>
      </c>
      <c r="B3491" t="s">
        <v>10016</v>
      </c>
      <c r="C3491">
        <v>4</v>
      </c>
      <c r="D3491">
        <v>3</v>
      </c>
      <c r="E3491">
        <v>12</v>
      </c>
      <c r="F3491" t="s">
        <v>10020</v>
      </c>
      <c r="G3491" t="s">
        <v>10069</v>
      </c>
      <c r="H3491" s="6">
        <v>45130</v>
      </c>
      <c r="I3491">
        <f t="shared" si="108"/>
        <v>0</v>
      </c>
      <c r="J3491" t="str">
        <f t="shared" si="109"/>
        <v>Complete</v>
      </c>
      <c r="K3491">
        <f>COUNTIFS(RawData[Item], B3491,RawData[Quantity],C3491,RawData[Price Per Unit],D3491,RawData[Total Spent],E3491,RawData[Payment Method],F3491,RawData[Location],G3491,RawData[Transaction Date],H3491)</f>
        <v>1</v>
      </c>
      <c r="L3491"/>
    </row>
    <row r="3492" spans="1:12" x14ac:dyDescent="0.3">
      <c r="A3492" t="s">
        <v>3498</v>
      </c>
      <c r="B3492" t="s">
        <v>10008</v>
      </c>
      <c r="C3492">
        <v>3</v>
      </c>
      <c r="D3492">
        <v>2</v>
      </c>
      <c r="E3492" t="s">
        <v>10013</v>
      </c>
      <c r="F3492" t="s">
        <v>10069</v>
      </c>
      <c r="G3492" t="s">
        <v>10069</v>
      </c>
      <c r="H3492" s="6">
        <v>45136</v>
      </c>
      <c r="I3492">
        <f t="shared" si="108"/>
        <v>1</v>
      </c>
      <c r="J3492" t="str">
        <f t="shared" si="109"/>
        <v>Complete</v>
      </c>
      <c r="K3492">
        <f>COUNTIFS(RawData[Item], B3492,RawData[Quantity],C3492,RawData[Price Per Unit],D3492,RawData[Total Spent],E3492,RawData[Payment Method],F3492,RawData[Location],G3492,RawData[Transaction Date],H3492)</f>
        <v>1</v>
      </c>
      <c r="L3492"/>
    </row>
    <row r="3493" spans="1:12" x14ac:dyDescent="0.3">
      <c r="A3493" t="s">
        <v>3499</v>
      </c>
      <c r="B3493" t="s">
        <v>10017</v>
      </c>
      <c r="C3493">
        <v>4</v>
      </c>
      <c r="D3493">
        <v>1.5</v>
      </c>
      <c r="E3493">
        <v>6</v>
      </c>
      <c r="F3493" t="s">
        <v>10069</v>
      </c>
      <c r="G3493" t="s">
        <v>10021</v>
      </c>
      <c r="H3493" s="6">
        <v>45276</v>
      </c>
      <c r="I3493">
        <f t="shared" si="108"/>
        <v>0</v>
      </c>
      <c r="J3493" t="str">
        <f t="shared" si="109"/>
        <v>Complete</v>
      </c>
      <c r="K3493">
        <f>COUNTIFS(RawData[Item], B3493,RawData[Quantity],C3493,RawData[Price Per Unit],D3493,RawData[Total Spent],E3493,RawData[Payment Method],F3493,RawData[Location],G3493,RawData[Transaction Date],H3493)</f>
        <v>1</v>
      </c>
      <c r="L3493"/>
    </row>
    <row r="3494" spans="1:12" x14ac:dyDescent="0.3">
      <c r="A3494" t="s">
        <v>3500</v>
      </c>
      <c r="B3494" t="s">
        <v>10009</v>
      </c>
      <c r="C3494">
        <v>4</v>
      </c>
      <c r="D3494">
        <v>3</v>
      </c>
      <c r="E3494">
        <v>12</v>
      </c>
      <c r="F3494" t="s">
        <v>10019</v>
      </c>
      <c r="G3494" t="s">
        <v>10021</v>
      </c>
      <c r="H3494" s="6">
        <v>45093</v>
      </c>
      <c r="I3494">
        <f t="shared" si="108"/>
        <v>0</v>
      </c>
      <c r="J3494" t="str">
        <f t="shared" si="109"/>
        <v>Complete</v>
      </c>
      <c r="K3494">
        <f>COUNTIFS(RawData[Item], B3494,RawData[Quantity],C3494,RawData[Price Per Unit],D3494,RawData[Total Spent],E3494,RawData[Payment Method],F3494,RawData[Location],G3494,RawData[Transaction Date],H3494)</f>
        <v>1</v>
      </c>
      <c r="L3494"/>
    </row>
    <row r="3495" spans="1:12" x14ac:dyDescent="0.3">
      <c r="A3495" t="s">
        <v>3501</v>
      </c>
      <c r="B3495" t="s">
        <v>10009</v>
      </c>
      <c r="C3495">
        <v>4</v>
      </c>
      <c r="D3495">
        <v>3</v>
      </c>
      <c r="E3495">
        <v>12</v>
      </c>
      <c r="F3495" t="s">
        <v>10104</v>
      </c>
      <c r="G3495" t="s">
        <v>10021</v>
      </c>
      <c r="H3495" s="6">
        <v>45052</v>
      </c>
      <c r="I3495">
        <f t="shared" si="108"/>
        <v>1</v>
      </c>
      <c r="J3495" t="str">
        <f t="shared" si="109"/>
        <v>Complete</v>
      </c>
      <c r="K3495">
        <f>COUNTIFS(RawData[Item], B3495,RawData[Quantity],C3495,RawData[Price Per Unit],D3495,RawData[Total Spent],E3495,RawData[Payment Method],F3495,RawData[Location],G3495,RawData[Transaction Date],H3495)</f>
        <v>1</v>
      </c>
      <c r="L3495"/>
    </row>
    <row r="3496" spans="1:12" x14ac:dyDescent="0.3">
      <c r="A3496" t="s">
        <v>3502</v>
      </c>
      <c r="B3496" t="s">
        <v>10017</v>
      </c>
      <c r="C3496">
        <v>5</v>
      </c>
      <c r="D3496">
        <v>1.5</v>
      </c>
      <c r="E3496">
        <v>0</v>
      </c>
      <c r="F3496" t="s">
        <v>10020</v>
      </c>
      <c r="G3496" t="s">
        <v>10102</v>
      </c>
      <c r="H3496" s="6">
        <v>45284</v>
      </c>
      <c r="I3496">
        <f t="shared" si="108"/>
        <v>0</v>
      </c>
      <c r="J3496" t="str">
        <f t="shared" si="109"/>
        <v>Complete</v>
      </c>
      <c r="K3496">
        <f>COUNTIFS(RawData[Item], B3496,RawData[Quantity],C3496,RawData[Price Per Unit],D3496,RawData[Total Spent],E3496,RawData[Payment Method],F3496,RawData[Location],G3496,RawData[Transaction Date],H3496)</f>
        <v>1</v>
      </c>
      <c r="L3496"/>
    </row>
    <row r="3497" spans="1:12" x14ac:dyDescent="0.3">
      <c r="A3497" t="s">
        <v>3503</v>
      </c>
      <c r="B3497" t="s">
        <v>10016</v>
      </c>
      <c r="C3497">
        <v>3</v>
      </c>
      <c r="D3497">
        <v>3</v>
      </c>
      <c r="E3497">
        <v>9</v>
      </c>
      <c r="F3497" t="s">
        <v>10069</v>
      </c>
      <c r="G3497" t="s">
        <v>10069</v>
      </c>
      <c r="H3497" s="6">
        <v>45175</v>
      </c>
      <c r="I3497">
        <f t="shared" si="108"/>
        <v>0</v>
      </c>
      <c r="J3497" t="str">
        <f t="shared" si="109"/>
        <v>Complete</v>
      </c>
      <c r="K3497">
        <f>COUNTIFS(RawData[Item], B3497,RawData[Quantity],C3497,RawData[Price Per Unit],D3497,RawData[Total Spent],E3497,RawData[Payment Method],F3497,RawData[Location],G3497,RawData[Transaction Date],H3497)</f>
        <v>1</v>
      </c>
      <c r="L3497"/>
    </row>
    <row r="3498" spans="1:12" x14ac:dyDescent="0.3">
      <c r="A3498" t="s">
        <v>3504</v>
      </c>
      <c r="B3498" t="s">
        <v>10010</v>
      </c>
      <c r="C3498">
        <v>4</v>
      </c>
      <c r="D3498">
        <v>1</v>
      </c>
      <c r="E3498">
        <v>4</v>
      </c>
      <c r="F3498" t="s">
        <v>10018</v>
      </c>
      <c r="G3498" t="s">
        <v>10102</v>
      </c>
      <c r="H3498" s="6">
        <v>44987</v>
      </c>
      <c r="I3498">
        <f t="shared" si="108"/>
        <v>0</v>
      </c>
      <c r="J3498" t="str">
        <f t="shared" si="109"/>
        <v>Complete</v>
      </c>
      <c r="K3498">
        <f>COUNTIFS(RawData[Item], B3498,RawData[Quantity],C3498,RawData[Price Per Unit],D3498,RawData[Total Spent],E3498,RawData[Payment Method],F3498,RawData[Location],G3498,RawData[Transaction Date],H3498)</f>
        <v>1</v>
      </c>
      <c r="L3498"/>
    </row>
    <row r="3499" spans="1:12" x14ac:dyDescent="0.3">
      <c r="A3499" t="s">
        <v>3505</v>
      </c>
      <c r="B3499" t="s">
        <v>10012</v>
      </c>
      <c r="C3499">
        <v>3</v>
      </c>
      <c r="D3499">
        <v>4</v>
      </c>
      <c r="E3499">
        <v>12</v>
      </c>
      <c r="F3499" t="s">
        <v>10020</v>
      </c>
      <c r="G3499" t="s">
        <v>10021</v>
      </c>
      <c r="H3499" s="6" t="s">
        <v>10112</v>
      </c>
      <c r="I3499">
        <f t="shared" si="108"/>
        <v>1</v>
      </c>
      <c r="J3499" t="str">
        <f t="shared" si="109"/>
        <v>Incomplete</v>
      </c>
      <c r="K3499">
        <f>COUNTIFS(RawData[Item], B3499,RawData[Quantity],C3499,RawData[Price Per Unit],D3499,RawData[Total Spent],E3499,RawData[Payment Method],F3499,RawData[Location],G3499,RawData[Transaction Date],H3499)</f>
        <v>1</v>
      </c>
      <c r="L3499"/>
    </row>
    <row r="3500" spans="1:12" x14ac:dyDescent="0.3">
      <c r="A3500" t="s">
        <v>3506</v>
      </c>
      <c r="B3500" t="s">
        <v>10013</v>
      </c>
      <c r="C3500">
        <v>4</v>
      </c>
      <c r="D3500">
        <v>3</v>
      </c>
      <c r="E3500">
        <v>12</v>
      </c>
      <c r="F3500" t="s">
        <v>10019</v>
      </c>
      <c r="G3500" t="s">
        <v>10021</v>
      </c>
      <c r="H3500" s="6">
        <v>45045</v>
      </c>
      <c r="I3500">
        <f t="shared" si="108"/>
        <v>1</v>
      </c>
      <c r="J3500" t="str">
        <f t="shared" si="109"/>
        <v>Complete</v>
      </c>
      <c r="K3500">
        <f>COUNTIFS(RawData[Item], B3500,RawData[Quantity],C3500,RawData[Price Per Unit],D3500,RawData[Total Spent],E3500,RawData[Payment Method],F3500,RawData[Location],G3500,RawData[Transaction Date],H3500)</f>
        <v>1</v>
      </c>
      <c r="L3500"/>
    </row>
    <row r="3501" spans="1:12" x14ac:dyDescent="0.3">
      <c r="A3501" t="s">
        <v>3507</v>
      </c>
      <c r="B3501" t="s">
        <v>10014</v>
      </c>
      <c r="C3501">
        <v>1</v>
      </c>
      <c r="D3501">
        <v>4</v>
      </c>
      <c r="E3501">
        <v>4</v>
      </c>
      <c r="F3501" t="s">
        <v>10020</v>
      </c>
      <c r="G3501" t="s">
        <v>10104</v>
      </c>
      <c r="H3501" s="6">
        <v>45235</v>
      </c>
      <c r="I3501">
        <f t="shared" si="108"/>
        <v>1</v>
      </c>
      <c r="J3501" t="str">
        <f t="shared" si="109"/>
        <v>Complete</v>
      </c>
      <c r="K3501">
        <f>COUNTIFS(RawData[Item], B3501,RawData[Quantity],C3501,RawData[Price Per Unit],D3501,RawData[Total Spent],E3501,RawData[Payment Method],F3501,RawData[Location],G3501,RawData[Transaction Date],H3501)</f>
        <v>1</v>
      </c>
      <c r="L3501"/>
    </row>
    <row r="3502" spans="1:12" x14ac:dyDescent="0.3">
      <c r="A3502" t="s">
        <v>3508</v>
      </c>
      <c r="B3502" t="s">
        <v>10017</v>
      </c>
      <c r="C3502">
        <v>3</v>
      </c>
      <c r="D3502">
        <v>1.5</v>
      </c>
      <c r="E3502">
        <v>4.5</v>
      </c>
      <c r="F3502" t="s">
        <v>10019</v>
      </c>
      <c r="G3502" t="s">
        <v>10021</v>
      </c>
      <c r="H3502" s="6">
        <v>45171</v>
      </c>
      <c r="I3502">
        <f t="shared" si="108"/>
        <v>0</v>
      </c>
      <c r="J3502" t="str">
        <f t="shared" si="109"/>
        <v>Complete</v>
      </c>
      <c r="K3502">
        <f>COUNTIFS(RawData[Item], B3502,RawData[Quantity],C3502,RawData[Price Per Unit],D3502,RawData[Total Spent],E3502,RawData[Payment Method],F3502,RawData[Location],G3502,RawData[Transaction Date],H3502)</f>
        <v>1</v>
      </c>
      <c r="L3502"/>
    </row>
    <row r="3503" spans="1:12" x14ac:dyDescent="0.3">
      <c r="A3503" t="s">
        <v>3509</v>
      </c>
      <c r="B3503" t="s">
        <v>10009</v>
      </c>
      <c r="C3503">
        <v>1</v>
      </c>
      <c r="D3503">
        <v>3</v>
      </c>
      <c r="E3503">
        <v>3</v>
      </c>
      <c r="F3503" t="s">
        <v>10018</v>
      </c>
      <c r="G3503" t="s">
        <v>10102</v>
      </c>
      <c r="H3503" s="6">
        <v>45086</v>
      </c>
      <c r="I3503">
        <f t="shared" si="108"/>
        <v>0</v>
      </c>
      <c r="J3503" t="str">
        <f t="shared" si="109"/>
        <v>Complete</v>
      </c>
      <c r="K3503">
        <f>COUNTIFS(RawData[Item], B3503,RawData[Quantity],C3503,RawData[Price Per Unit],D3503,RawData[Total Spent],E3503,RawData[Payment Method],F3503,RawData[Location],G3503,RawData[Transaction Date],H3503)</f>
        <v>1</v>
      </c>
      <c r="L3503"/>
    </row>
    <row r="3504" spans="1:12" x14ac:dyDescent="0.3">
      <c r="A3504" t="s">
        <v>3510</v>
      </c>
      <c r="B3504" t="s">
        <v>10008</v>
      </c>
      <c r="C3504">
        <v>5</v>
      </c>
      <c r="D3504">
        <v>2</v>
      </c>
      <c r="E3504">
        <v>10</v>
      </c>
      <c r="F3504" t="s">
        <v>10018</v>
      </c>
      <c r="G3504" t="s">
        <v>10069</v>
      </c>
      <c r="H3504" s="6">
        <v>45207</v>
      </c>
      <c r="I3504">
        <f t="shared" si="108"/>
        <v>0</v>
      </c>
      <c r="J3504" t="str">
        <f t="shared" si="109"/>
        <v>Complete</v>
      </c>
      <c r="K3504">
        <f>COUNTIFS(RawData[Item], B3504,RawData[Quantity],C3504,RawData[Price Per Unit],D3504,RawData[Total Spent],E3504,RawData[Payment Method],F3504,RawData[Location],G3504,RawData[Transaction Date],H3504)</f>
        <v>1</v>
      </c>
      <c r="L3504"/>
    </row>
    <row r="3505" spans="1:12" x14ac:dyDescent="0.3">
      <c r="A3505" t="s">
        <v>3511</v>
      </c>
      <c r="B3505" t="s">
        <v>10012</v>
      </c>
      <c r="C3505">
        <v>3</v>
      </c>
      <c r="D3505">
        <v>4</v>
      </c>
      <c r="E3505">
        <v>12</v>
      </c>
      <c r="F3505" t="s">
        <v>10069</v>
      </c>
      <c r="G3505" t="s">
        <v>10069</v>
      </c>
      <c r="H3505" s="6">
        <v>45133</v>
      </c>
      <c r="I3505">
        <f t="shared" si="108"/>
        <v>0</v>
      </c>
      <c r="J3505" t="str">
        <f t="shared" si="109"/>
        <v>Complete</v>
      </c>
      <c r="K3505">
        <f>COUNTIFS(RawData[Item], B3505,RawData[Quantity],C3505,RawData[Price Per Unit],D3505,RawData[Total Spent],E3505,RawData[Payment Method],F3505,RawData[Location],G3505,RawData[Transaction Date],H3505)</f>
        <v>1</v>
      </c>
      <c r="L3505"/>
    </row>
    <row r="3506" spans="1:12" x14ac:dyDescent="0.3">
      <c r="A3506" t="s">
        <v>3512</v>
      </c>
      <c r="B3506" t="s">
        <v>10014</v>
      </c>
      <c r="C3506">
        <v>4</v>
      </c>
      <c r="D3506">
        <v>4</v>
      </c>
      <c r="E3506">
        <v>16</v>
      </c>
      <c r="F3506" t="s">
        <v>10019</v>
      </c>
      <c r="G3506" t="s">
        <v>10103</v>
      </c>
      <c r="H3506" s="6">
        <v>45217</v>
      </c>
      <c r="I3506">
        <f t="shared" si="108"/>
        <v>1</v>
      </c>
      <c r="J3506" t="str">
        <f t="shared" si="109"/>
        <v>Complete</v>
      </c>
      <c r="K3506">
        <f>COUNTIFS(RawData[Item], B3506,RawData[Quantity],C3506,RawData[Price Per Unit],D3506,RawData[Total Spent],E3506,RawData[Payment Method],F3506,RawData[Location],G3506,RawData[Transaction Date],H3506)</f>
        <v>1</v>
      </c>
      <c r="L3506"/>
    </row>
    <row r="3507" spans="1:12" x14ac:dyDescent="0.3">
      <c r="A3507" t="s">
        <v>3513</v>
      </c>
      <c r="B3507" t="s">
        <v>10008</v>
      </c>
      <c r="C3507">
        <v>1</v>
      </c>
      <c r="D3507">
        <v>2</v>
      </c>
      <c r="E3507">
        <v>2</v>
      </c>
      <c r="F3507" t="s">
        <v>10020</v>
      </c>
      <c r="G3507" t="s">
        <v>10069</v>
      </c>
      <c r="H3507" s="6">
        <v>45032</v>
      </c>
      <c r="I3507">
        <f t="shared" si="108"/>
        <v>0</v>
      </c>
      <c r="J3507" t="str">
        <f t="shared" si="109"/>
        <v>Complete</v>
      </c>
      <c r="K3507">
        <f>COUNTIFS(RawData[Item], B3507,RawData[Quantity],C3507,RawData[Price Per Unit],D3507,RawData[Total Spent],E3507,RawData[Payment Method],F3507,RawData[Location],G3507,RawData[Transaction Date],H3507)</f>
        <v>1</v>
      </c>
      <c r="L3507"/>
    </row>
    <row r="3508" spans="1:12" x14ac:dyDescent="0.3">
      <c r="A3508" t="s">
        <v>3514</v>
      </c>
      <c r="B3508" t="s">
        <v>10009</v>
      </c>
      <c r="C3508">
        <v>2</v>
      </c>
      <c r="D3508">
        <v>3</v>
      </c>
      <c r="E3508">
        <v>6</v>
      </c>
      <c r="F3508" t="s">
        <v>10019</v>
      </c>
      <c r="G3508" t="s">
        <v>10069</v>
      </c>
      <c r="H3508" s="6">
        <v>45288</v>
      </c>
      <c r="I3508">
        <f t="shared" si="108"/>
        <v>0</v>
      </c>
      <c r="J3508" t="str">
        <f t="shared" si="109"/>
        <v>Complete</v>
      </c>
      <c r="K3508">
        <f>COUNTIFS(RawData[Item], B3508,RawData[Quantity],C3508,RawData[Price Per Unit],D3508,RawData[Total Spent],E3508,RawData[Payment Method],F3508,RawData[Location],G3508,RawData[Transaction Date],H3508)</f>
        <v>1</v>
      </c>
      <c r="L3508"/>
    </row>
    <row r="3509" spans="1:12" x14ac:dyDescent="0.3">
      <c r="A3509" t="s">
        <v>3515</v>
      </c>
      <c r="B3509" t="s">
        <v>10017</v>
      </c>
      <c r="C3509">
        <v>4</v>
      </c>
      <c r="D3509">
        <v>0</v>
      </c>
      <c r="E3509">
        <v>6</v>
      </c>
      <c r="F3509" t="s">
        <v>10018</v>
      </c>
      <c r="G3509" t="s">
        <v>10102</v>
      </c>
      <c r="H3509" s="6">
        <v>44972</v>
      </c>
      <c r="I3509">
        <f t="shared" si="108"/>
        <v>0</v>
      </c>
      <c r="J3509" t="str">
        <f t="shared" si="109"/>
        <v>Complete</v>
      </c>
      <c r="K3509">
        <f>COUNTIFS(RawData[Item], B3509,RawData[Quantity],C3509,RawData[Price Per Unit],D3509,RawData[Total Spent],E3509,RawData[Payment Method],F3509,RawData[Location],G3509,RawData[Transaction Date],H3509)</f>
        <v>1</v>
      </c>
      <c r="L3509"/>
    </row>
    <row r="3510" spans="1:12" x14ac:dyDescent="0.3">
      <c r="A3510" t="s">
        <v>3516</v>
      </c>
      <c r="B3510" t="s">
        <v>10013</v>
      </c>
      <c r="C3510">
        <v>2</v>
      </c>
      <c r="D3510">
        <v>1</v>
      </c>
      <c r="E3510">
        <v>2</v>
      </c>
      <c r="F3510" t="s">
        <v>10020</v>
      </c>
      <c r="G3510" t="s">
        <v>10021</v>
      </c>
      <c r="H3510" s="6">
        <v>45233</v>
      </c>
      <c r="I3510">
        <f t="shared" si="108"/>
        <v>1</v>
      </c>
      <c r="J3510" t="str">
        <f t="shared" si="109"/>
        <v>Complete</v>
      </c>
      <c r="K3510">
        <f>COUNTIFS(RawData[Item], B3510,RawData[Quantity],C3510,RawData[Price Per Unit],D3510,RawData[Total Spent],E3510,RawData[Payment Method],F3510,RawData[Location],G3510,RawData[Transaction Date],H3510)</f>
        <v>1</v>
      </c>
      <c r="L3510"/>
    </row>
    <row r="3511" spans="1:12" x14ac:dyDescent="0.3">
      <c r="A3511" t="s">
        <v>3517</v>
      </c>
      <c r="B3511" t="s">
        <v>10017</v>
      </c>
      <c r="C3511">
        <v>1</v>
      </c>
      <c r="D3511">
        <v>1.5</v>
      </c>
      <c r="E3511">
        <v>1.5</v>
      </c>
      <c r="F3511" t="s">
        <v>10019</v>
      </c>
      <c r="G3511" t="s">
        <v>10021</v>
      </c>
      <c r="H3511" s="6">
        <v>45005</v>
      </c>
      <c r="I3511">
        <f t="shared" si="108"/>
        <v>0</v>
      </c>
      <c r="J3511" t="str">
        <f t="shared" si="109"/>
        <v>Complete</v>
      </c>
      <c r="K3511">
        <f>COUNTIFS(RawData[Item], B3511,RawData[Quantity],C3511,RawData[Price Per Unit],D3511,RawData[Total Spent],E3511,RawData[Payment Method],F3511,RawData[Location],G3511,RawData[Transaction Date],H3511)</f>
        <v>1</v>
      </c>
      <c r="L3511"/>
    </row>
    <row r="3512" spans="1:12" x14ac:dyDescent="0.3">
      <c r="A3512" t="s">
        <v>3518</v>
      </c>
      <c r="B3512" t="s">
        <v>10012</v>
      </c>
      <c r="C3512">
        <v>5</v>
      </c>
      <c r="D3512">
        <v>4</v>
      </c>
      <c r="E3512">
        <v>20</v>
      </c>
      <c r="F3512" t="s">
        <v>10018</v>
      </c>
      <c r="G3512" t="s">
        <v>10069</v>
      </c>
      <c r="H3512" s="6">
        <v>45143</v>
      </c>
      <c r="I3512">
        <f t="shared" si="108"/>
        <v>0</v>
      </c>
      <c r="J3512" t="str">
        <f t="shared" si="109"/>
        <v>Complete</v>
      </c>
      <c r="K3512">
        <f>COUNTIFS(RawData[Item], B3512,RawData[Quantity],C3512,RawData[Price Per Unit],D3512,RawData[Total Spent],E3512,RawData[Payment Method],F3512,RawData[Location],G3512,RawData[Transaction Date],H3512)</f>
        <v>1</v>
      </c>
      <c r="L3512"/>
    </row>
    <row r="3513" spans="1:12" x14ac:dyDescent="0.3">
      <c r="A3513" t="s">
        <v>3519</v>
      </c>
      <c r="B3513" t="s">
        <v>10012</v>
      </c>
      <c r="C3513">
        <v>5</v>
      </c>
      <c r="D3513">
        <v>4</v>
      </c>
      <c r="E3513">
        <v>20</v>
      </c>
      <c r="F3513" t="s">
        <v>10020</v>
      </c>
      <c r="G3513" t="s">
        <v>10021</v>
      </c>
      <c r="H3513" s="6">
        <v>45033</v>
      </c>
      <c r="I3513">
        <f t="shared" si="108"/>
        <v>0</v>
      </c>
      <c r="J3513" t="str">
        <f t="shared" si="109"/>
        <v>Complete</v>
      </c>
      <c r="K3513">
        <f>COUNTIFS(RawData[Item], B3513,RawData[Quantity],C3513,RawData[Price Per Unit],D3513,RawData[Total Spent],E3513,RawData[Payment Method],F3513,RawData[Location],G3513,RawData[Transaction Date],H3513)</f>
        <v>1</v>
      </c>
      <c r="L3513"/>
    </row>
    <row r="3514" spans="1:12" x14ac:dyDescent="0.3">
      <c r="A3514" t="s">
        <v>3520</v>
      </c>
      <c r="B3514" t="s">
        <v>10012</v>
      </c>
      <c r="C3514">
        <v>3</v>
      </c>
      <c r="D3514">
        <v>4</v>
      </c>
      <c r="E3514">
        <v>12</v>
      </c>
      <c r="F3514" t="s">
        <v>10020</v>
      </c>
      <c r="G3514" t="s">
        <v>10069</v>
      </c>
      <c r="H3514" s="6">
        <v>45047</v>
      </c>
      <c r="I3514">
        <f t="shared" si="108"/>
        <v>0</v>
      </c>
      <c r="J3514" t="str">
        <f t="shared" si="109"/>
        <v>Complete</v>
      </c>
      <c r="K3514">
        <f>COUNTIFS(RawData[Item], B3514,RawData[Quantity],C3514,RawData[Price Per Unit],D3514,RawData[Total Spent],E3514,RawData[Payment Method],F3514,RawData[Location],G3514,RawData[Transaction Date],H3514)</f>
        <v>1</v>
      </c>
      <c r="L3514"/>
    </row>
    <row r="3515" spans="1:12" x14ac:dyDescent="0.3">
      <c r="A3515" t="s">
        <v>3521</v>
      </c>
      <c r="B3515" t="s">
        <v>10016</v>
      </c>
      <c r="C3515">
        <v>4</v>
      </c>
      <c r="D3515">
        <v>3</v>
      </c>
      <c r="E3515">
        <v>0</v>
      </c>
      <c r="F3515" t="s">
        <v>10020</v>
      </c>
      <c r="G3515" t="s">
        <v>10021</v>
      </c>
      <c r="H3515" s="6">
        <v>45030</v>
      </c>
      <c r="I3515">
        <f t="shared" si="108"/>
        <v>0</v>
      </c>
      <c r="J3515" t="str">
        <f t="shared" si="109"/>
        <v>Complete</v>
      </c>
      <c r="K3515">
        <f>COUNTIFS(RawData[Item], B3515,RawData[Quantity],C3515,RawData[Price Per Unit],D3515,RawData[Total Spent],E3515,RawData[Payment Method],F3515,RawData[Location],G3515,RawData[Transaction Date],H3515)</f>
        <v>1</v>
      </c>
      <c r="L3515"/>
    </row>
    <row r="3516" spans="1:12" x14ac:dyDescent="0.3">
      <c r="A3516" t="s">
        <v>3522</v>
      </c>
      <c r="B3516" t="s">
        <v>10017</v>
      </c>
      <c r="C3516">
        <v>3</v>
      </c>
      <c r="D3516">
        <v>1.5</v>
      </c>
      <c r="E3516">
        <v>4.5</v>
      </c>
      <c r="F3516" t="s">
        <v>10019</v>
      </c>
      <c r="G3516" t="s">
        <v>10069</v>
      </c>
      <c r="H3516" s="6">
        <v>45210</v>
      </c>
      <c r="I3516">
        <f t="shared" si="108"/>
        <v>0</v>
      </c>
      <c r="J3516" t="str">
        <f t="shared" si="109"/>
        <v>Complete</v>
      </c>
      <c r="K3516">
        <f>COUNTIFS(RawData[Item], B3516,RawData[Quantity],C3516,RawData[Price Per Unit],D3516,RawData[Total Spent],E3516,RawData[Payment Method],F3516,RawData[Location],G3516,RawData[Transaction Date],H3516)</f>
        <v>1</v>
      </c>
      <c r="L3516"/>
    </row>
    <row r="3517" spans="1:12" x14ac:dyDescent="0.3">
      <c r="A3517" t="s">
        <v>3523</v>
      </c>
      <c r="B3517" t="s">
        <v>10010</v>
      </c>
      <c r="C3517">
        <v>3</v>
      </c>
      <c r="D3517">
        <v>1</v>
      </c>
      <c r="E3517" t="s">
        <v>10013</v>
      </c>
      <c r="F3517" t="s">
        <v>10069</v>
      </c>
      <c r="G3517" t="s">
        <v>10069</v>
      </c>
      <c r="H3517" s="6">
        <v>45190</v>
      </c>
      <c r="I3517">
        <f t="shared" si="108"/>
        <v>1</v>
      </c>
      <c r="J3517" t="str">
        <f t="shared" si="109"/>
        <v>Complete</v>
      </c>
      <c r="K3517">
        <f>COUNTIFS(RawData[Item], B3517,RawData[Quantity],C3517,RawData[Price Per Unit],D3517,RawData[Total Spent],E3517,RawData[Payment Method],F3517,RawData[Location],G3517,RawData[Transaction Date],H3517)</f>
        <v>1</v>
      </c>
      <c r="L3517"/>
    </row>
    <row r="3518" spans="1:12" x14ac:dyDescent="0.3">
      <c r="A3518" t="s">
        <v>3524</v>
      </c>
      <c r="B3518" t="s">
        <v>10012</v>
      </c>
      <c r="C3518">
        <v>3</v>
      </c>
      <c r="D3518">
        <v>4</v>
      </c>
      <c r="E3518" t="s">
        <v>10015</v>
      </c>
      <c r="F3518" t="s">
        <v>10069</v>
      </c>
      <c r="G3518" t="s">
        <v>10102</v>
      </c>
      <c r="H3518" s="6">
        <v>45055</v>
      </c>
      <c r="I3518">
        <f t="shared" si="108"/>
        <v>1</v>
      </c>
      <c r="J3518" t="str">
        <f t="shared" si="109"/>
        <v>Complete</v>
      </c>
      <c r="K3518">
        <f>COUNTIFS(RawData[Item], B3518,RawData[Quantity],C3518,RawData[Price Per Unit],D3518,RawData[Total Spent],E3518,RawData[Payment Method],F3518,RawData[Location],G3518,RawData[Transaction Date],H3518)</f>
        <v>1</v>
      </c>
      <c r="L3518"/>
    </row>
    <row r="3519" spans="1:12" x14ac:dyDescent="0.3">
      <c r="A3519" t="s">
        <v>3525</v>
      </c>
      <c r="B3519" t="s">
        <v>10011</v>
      </c>
      <c r="C3519">
        <v>5</v>
      </c>
      <c r="D3519">
        <v>5</v>
      </c>
      <c r="E3519">
        <v>25</v>
      </c>
      <c r="F3519" t="s">
        <v>10069</v>
      </c>
      <c r="G3519" t="s">
        <v>10021</v>
      </c>
      <c r="H3519" s="6">
        <v>44956</v>
      </c>
      <c r="I3519">
        <f t="shared" si="108"/>
        <v>0</v>
      </c>
      <c r="J3519" t="str">
        <f t="shared" si="109"/>
        <v>Complete</v>
      </c>
      <c r="K3519">
        <f>COUNTIFS(RawData[Item], B3519,RawData[Quantity],C3519,RawData[Price Per Unit],D3519,RawData[Total Spent],E3519,RawData[Payment Method],F3519,RawData[Location],G3519,RawData[Transaction Date],H3519)</f>
        <v>2</v>
      </c>
      <c r="L3519"/>
    </row>
    <row r="3520" spans="1:12" x14ac:dyDescent="0.3">
      <c r="A3520" t="s">
        <v>3526</v>
      </c>
      <c r="B3520" t="s">
        <v>10069</v>
      </c>
      <c r="C3520">
        <v>5</v>
      </c>
      <c r="D3520">
        <v>2</v>
      </c>
      <c r="E3520">
        <v>10</v>
      </c>
      <c r="F3520" t="s">
        <v>10020</v>
      </c>
      <c r="G3520" t="s">
        <v>10069</v>
      </c>
      <c r="H3520" s="6">
        <v>45032</v>
      </c>
      <c r="I3520">
        <f t="shared" si="108"/>
        <v>0</v>
      </c>
      <c r="J3520" t="str">
        <f t="shared" si="109"/>
        <v>Complete</v>
      </c>
      <c r="K3520">
        <f>COUNTIFS(RawData[Item], B3520,RawData[Quantity],C3520,RawData[Price Per Unit],D3520,RawData[Total Spent],E3520,RawData[Payment Method],F3520,RawData[Location],G3520,RawData[Transaction Date],H3520)</f>
        <v>1</v>
      </c>
      <c r="L3520"/>
    </row>
    <row r="3521" spans="1:12" x14ac:dyDescent="0.3">
      <c r="A3521" t="s">
        <v>3527</v>
      </c>
      <c r="B3521" t="s">
        <v>10017</v>
      </c>
      <c r="C3521">
        <v>4</v>
      </c>
      <c r="D3521" t="s">
        <v>10013</v>
      </c>
      <c r="E3521">
        <v>6</v>
      </c>
      <c r="F3521" t="s">
        <v>10019</v>
      </c>
      <c r="G3521" t="s">
        <v>10069</v>
      </c>
      <c r="H3521" s="6">
        <v>45228</v>
      </c>
      <c r="I3521">
        <f t="shared" si="108"/>
        <v>1</v>
      </c>
      <c r="J3521" t="str">
        <f t="shared" si="109"/>
        <v>Complete</v>
      </c>
      <c r="K3521">
        <f>COUNTIFS(RawData[Item], B3521,RawData[Quantity],C3521,RawData[Price Per Unit],D3521,RawData[Total Spent],E3521,RawData[Payment Method],F3521,RawData[Location],G3521,RawData[Transaction Date],H3521)</f>
        <v>1</v>
      </c>
      <c r="L3521"/>
    </row>
    <row r="3522" spans="1:12" x14ac:dyDescent="0.3">
      <c r="A3522" t="s">
        <v>3528</v>
      </c>
      <c r="B3522" t="s">
        <v>10015</v>
      </c>
      <c r="C3522" t="s">
        <v>10015</v>
      </c>
      <c r="D3522">
        <v>1.5</v>
      </c>
      <c r="E3522">
        <v>1.5</v>
      </c>
      <c r="F3522" t="s">
        <v>10019</v>
      </c>
      <c r="G3522" t="s">
        <v>10102</v>
      </c>
      <c r="H3522" s="6">
        <v>45190</v>
      </c>
      <c r="I3522">
        <f t="shared" ref="I3522:I3585" si="110">(B3522="Unknown")+(B3522="Error")+(C3522="Unknown")+(C3522="Error")+(D3522="Unknown")+(D3522="Error")+(E3522="Unknown")+(E3522="Error")+(F3522="Unknown")+(F3522="Error")+(G3522="Unknown")+(G3522="Error")+(H3522="No Date")</f>
        <v>2</v>
      </c>
      <c r="J3522" t="str">
        <f t="shared" ref="J3522:J3585" si="111">IF((H3522="No Date"),"Incomplete","Complete")</f>
        <v>Complete</v>
      </c>
      <c r="K3522">
        <f>COUNTIFS(RawData[Item], B3522,RawData[Quantity],C3522,RawData[Price Per Unit],D3522,RawData[Total Spent],E3522,RawData[Payment Method],F3522,RawData[Location],G3522,RawData[Transaction Date],H3522)</f>
        <v>1</v>
      </c>
      <c r="L3522"/>
    </row>
    <row r="3523" spans="1:12" x14ac:dyDescent="0.3">
      <c r="A3523" t="s">
        <v>3529</v>
      </c>
      <c r="B3523" t="s">
        <v>10011</v>
      </c>
      <c r="C3523">
        <v>4</v>
      </c>
      <c r="D3523">
        <v>5</v>
      </c>
      <c r="E3523">
        <v>20</v>
      </c>
      <c r="F3523" t="s">
        <v>10019</v>
      </c>
      <c r="G3523" t="s">
        <v>10069</v>
      </c>
      <c r="H3523" s="6">
        <v>45146</v>
      </c>
      <c r="I3523">
        <f t="shared" si="110"/>
        <v>0</v>
      </c>
      <c r="J3523" t="str">
        <f t="shared" si="111"/>
        <v>Complete</v>
      </c>
      <c r="K3523">
        <f>COUNTIFS(RawData[Item], B3523,RawData[Quantity],C3523,RawData[Price Per Unit],D3523,RawData[Total Spent],E3523,RawData[Payment Method],F3523,RawData[Location],G3523,RawData[Transaction Date],H3523)</f>
        <v>1</v>
      </c>
      <c r="L3523"/>
    </row>
    <row r="3524" spans="1:12" x14ac:dyDescent="0.3">
      <c r="A3524" t="s">
        <v>3530</v>
      </c>
      <c r="B3524" t="s">
        <v>10017</v>
      </c>
      <c r="C3524">
        <v>3</v>
      </c>
      <c r="D3524">
        <v>1.5</v>
      </c>
      <c r="E3524">
        <v>4.5</v>
      </c>
      <c r="F3524" t="s">
        <v>10020</v>
      </c>
      <c r="G3524" t="s">
        <v>10069</v>
      </c>
      <c r="H3524" s="6">
        <v>44974</v>
      </c>
      <c r="I3524">
        <f t="shared" si="110"/>
        <v>0</v>
      </c>
      <c r="J3524" t="str">
        <f t="shared" si="111"/>
        <v>Complete</v>
      </c>
      <c r="K3524">
        <f>COUNTIFS(RawData[Item], B3524,RawData[Quantity],C3524,RawData[Price Per Unit],D3524,RawData[Total Spent],E3524,RawData[Payment Method],F3524,RawData[Location],G3524,RawData[Transaction Date],H3524)</f>
        <v>1</v>
      </c>
      <c r="L3524"/>
    </row>
    <row r="3525" spans="1:12" x14ac:dyDescent="0.3">
      <c r="A3525" t="s">
        <v>3531</v>
      </c>
      <c r="B3525" t="s">
        <v>10010</v>
      </c>
      <c r="C3525">
        <v>5</v>
      </c>
      <c r="D3525">
        <v>1</v>
      </c>
      <c r="E3525">
        <v>5</v>
      </c>
      <c r="F3525" t="s">
        <v>10019</v>
      </c>
      <c r="G3525" t="s">
        <v>10069</v>
      </c>
      <c r="H3525" s="6">
        <v>45081</v>
      </c>
      <c r="I3525">
        <f t="shared" si="110"/>
        <v>0</v>
      </c>
      <c r="J3525" t="str">
        <f t="shared" si="111"/>
        <v>Complete</v>
      </c>
      <c r="K3525">
        <f>COUNTIFS(RawData[Item], B3525,RawData[Quantity],C3525,RawData[Price Per Unit],D3525,RawData[Total Spent],E3525,RawData[Payment Method],F3525,RawData[Location],G3525,RawData[Transaction Date],H3525)</f>
        <v>1</v>
      </c>
      <c r="L3525"/>
    </row>
    <row r="3526" spans="1:12" x14ac:dyDescent="0.3">
      <c r="A3526" t="s">
        <v>3532</v>
      </c>
      <c r="B3526" t="s">
        <v>10011</v>
      </c>
      <c r="C3526">
        <v>2</v>
      </c>
      <c r="D3526">
        <v>5</v>
      </c>
      <c r="E3526">
        <v>10</v>
      </c>
      <c r="F3526" t="s">
        <v>10018</v>
      </c>
      <c r="G3526" t="s">
        <v>10102</v>
      </c>
      <c r="H3526" s="6">
        <v>45175</v>
      </c>
      <c r="I3526">
        <f t="shared" si="110"/>
        <v>0</v>
      </c>
      <c r="J3526" t="str">
        <f t="shared" si="111"/>
        <v>Complete</v>
      </c>
      <c r="K3526">
        <f>COUNTIFS(RawData[Item], B3526,RawData[Quantity],C3526,RawData[Price Per Unit],D3526,RawData[Total Spent],E3526,RawData[Payment Method],F3526,RawData[Location],G3526,RawData[Transaction Date],H3526)</f>
        <v>1</v>
      </c>
      <c r="L3526"/>
    </row>
    <row r="3527" spans="1:12" x14ac:dyDescent="0.3">
      <c r="A3527" t="s">
        <v>3533</v>
      </c>
      <c r="B3527" t="s">
        <v>10011</v>
      </c>
      <c r="C3527">
        <v>3</v>
      </c>
      <c r="D3527">
        <v>5</v>
      </c>
      <c r="E3527">
        <v>15</v>
      </c>
      <c r="F3527" t="s">
        <v>10018</v>
      </c>
      <c r="G3527" t="s">
        <v>10102</v>
      </c>
      <c r="H3527" s="6">
        <v>45072</v>
      </c>
      <c r="I3527">
        <f t="shared" si="110"/>
        <v>0</v>
      </c>
      <c r="J3527" t="str">
        <f t="shared" si="111"/>
        <v>Complete</v>
      </c>
      <c r="K3527">
        <f>COUNTIFS(RawData[Item], B3527,RawData[Quantity],C3527,RawData[Price Per Unit],D3527,RawData[Total Spent],E3527,RawData[Payment Method],F3527,RawData[Location],G3527,RawData[Transaction Date],H3527)</f>
        <v>1</v>
      </c>
      <c r="L3527"/>
    </row>
    <row r="3528" spans="1:12" x14ac:dyDescent="0.3">
      <c r="A3528" t="s">
        <v>3534</v>
      </c>
      <c r="B3528" t="s">
        <v>10069</v>
      </c>
      <c r="C3528">
        <v>3</v>
      </c>
      <c r="D3528">
        <v>5</v>
      </c>
      <c r="E3528">
        <v>15</v>
      </c>
      <c r="F3528" t="s">
        <v>10020</v>
      </c>
      <c r="G3528" t="s">
        <v>10069</v>
      </c>
      <c r="H3528" s="6">
        <v>45111</v>
      </c>
      <c r="I3528">
        <f t="shared" si="110"/>
        <v>0</v>
      </c>
      <c r="J3528" t="str">
        <f t="shared" si="111"/>
        <v>Complete</v>
      </c>
      <c r="K3528">
        <f>COUNTIFS(RawData[Item], B3528,RawData[Quantity],C3528,RawData[Price Per Unit],D3528,RawData[Total Spent],E3528,RawData[Payment Method],F3528,RawData[Location],G3528,RawData[Transaction Date],H3528)</f>
        <v>1</v>
      </c>
      <c r="L3528"/>
    </row>
    <row r="3529" spans="1:12" x14ac:dyDescent="0.3">
      <c r="A3529" t="s">
        <v>3535</v>
      </c>
      <c r="B3529" t="s">
        <v>10009</v>
      </c>
      <c r="C3529">
        <v>1</v>
      </c>
      <c r="D3529">
        <v>3</v>
      </c>
      <c r="E3529">
        <v>3</v>
      </c>
      <c r="F3529" t="s">
        <v>10018</v>
      </c>
      <c r="G3529" t="s">
        <v>10103</v>
      </c>
      <c r="H3529" s="6">
        <v>44992</v>
      </c>
      <c r="I3529">
        <f t="shared" si="110"/>
        <v>1</v>
      </c>
      <c r="J3529" t="str">
        <f t="shared" si="111"/>
        <v>Complete</v>
      </c>
      <c r="K3529">
        <f>COUNTIFS(RawData[Item], B3529,RawData[Quantity],C3529,RawData[Price Per Unit],D3529,RawData[Total Spent],E3529,RawData[Payment Method],F3529,RawData[Location],G3529,RawData[Transaction Date],H3529)</f>
        <v>1</v>
      </c>
      <c r="L3529"/>
    </row>
    <row r="3530" spans="1:12" x14ac:dyDescent="0.3">
      <c r="A3530" t="s">
        <v>3536</v>
      </c>
      <c r="B3530" t="s">
        <v>10011</v>
      </c>
      <c r="C3530">
        <v>2</v>
      </c>
      <c r="D3530" t="s">
        <v>10013</v>
      </c>
      <c r="E3530">
        <v>10</v>
      </c>
      <c r="F3530" t="s">
        <v>10069</v>
      </c>
      <c r="G3530" t="s">
        <v>10021</v>
      </c>
      <c r="H3530" s="6">
        <v>45167</v>
      </c>
      <c r="I3530">
        <f t="shared" si="110"/>
        <v>1</v>
      </c>
      <c r="J3530" t="str">
        <f t="shared" si="111"/>
        <v>Complete</v>
      </c>
      <c r="K3530">
        <f>COUNTIFS(RawData[Item], B3530,RawData[Quantity],C3530,RawData[Price Per Unit],D3530,RawData[Total Spent],E3530,RawData[Payment Method],F3530,RawData[Location],G3530,RawData[Transaction Date],H3530)</f>
        <v>1</v>
      </c>
      <c r="L3530"/>
    </row>
    <row r="3531" spans="1:12" x14ac:dyDescent="0.3">
      <c r="A3531" t="s">
        <v>3537</v>
      </c>
      <c r="B3531" t="s">
        <v>10014</v>
      </c>
      <c r="C3531">
        <v>5</v>
      </c>
      <c r="D3531">
        <v>4</v>
      </c>
      <c r="E3531">
        <v>20</v>
      </c>
      <c r="F3531" t="s">
        <v>10019</v>
      </c>
      <c r="G3531" t="s">
        <v>10021</v>
      </c>
      <c r="H3531" s="6">
        <v>44942</v>
      </c>
      <c r="I3531">
        <f t="shared" si="110"/>
        <v>0</v>
      </c>
      <c r="J3531" t="str">
        <f t="shared" si="111"/>
        <v>Complete</v>
      </c>
      <c r="K3531">
        <f>COUNTIFS(RawData[Item], B3531,RawData[Quantity],C3531,RawData[Price Per Unit],D3531,RawData[Total Spent],E3531,RawData[Payment Method],F3531,RawData[Location],G3531,RawData[Transaction Date],H3531)</f>
        <v>1</v>
      </c>
      <c r="L3531"/>
    </row>
    <row r="3532" spans="1:12" x14ac:dyDescent="0.3">
      <c r="A3532" t="s">
        <v>3538</v>
      </c>
      <c r="B3532" t="s">
        <v>10010</v>
      </c>
      <c r="C3532">
        <v>4</v>
      </c>
      <c r="D3532">
        <v>1</v>
      </c>
      <c r="E3532">
        <v>4</v>
      </c>
      <c r="F3532" t="s">
        <v>10020</v>
      </c>
      <c r="G3532" t="s">
        <v>10021</v>
      </c>
      <c r="H3532" s="6">
        <v>45022</v>
      </c>
      <c r="I3532">
        <f t="shared" si="110"/>
        <v>0</v>
      </c>
      <c r="J3532" t="str">
        <f t="shared" si="111"/>
        <v>Complete</v>
      </c>
      <c r="K3532">
        <f>COUNTIFS(RawData[Item], B3532,RawData[Quantity],C3532,RawData[Price Per Unit],D3532,RawData[Total Spent],E3532,RawData[Payment Method],F3532,RawData[Location],G3532,RawData[Transaction Date],H3532)</f>
        <v>1</v>
      </c>
      <c r="L3532"/>
    </row>
    <row r="3533" spans="1:12" x14ac:dyDescent="0.3">
      <c r="A3533" t="s">
        <v>3539</v>
      </c>
      <c r="B3533" t="s">
        <v>10010</v>
      </c>
      <c r="C3533">
        <v>2</v>
      </c>
      <c r="D3533">
        <v>1</v>
      </c>
      <c r="E3533">
        <v>2</v>
      </c>
      <c r="F3533" t="s">
        <v>10018</v>
      </c>
      <c r="G3533" t="s">
        <v>10069</v>
      </c>
      <c r="H3533" s="6">
        <v>45115</v>
      </c>
      <c r="I3533">
        <f t="shared" si="110"/>
        <v>0</v>
      </c>
      <c r="J3533" t="str">
        <f t="shared" si="111"/>
        <v>Complete</v>
      </c>
      <c r="K3533">
        <f>COUNTIFS(RawData[Item], B3533,RawData[Quantity],C3533,RawData[Price Per Unit],D3533,RawData[Total Spent],E3533,RawData[Payment Method],F3533,RawData[Location],G3533,RawData[Transaction Date],H3533)</f>
        <v>1</v>
      </c>
      <c r="L3533"/>
    </row>
    <row r="3534" spans="1:12" x14ac:dyDescent="0.3">
      <c r="A3534" t="s">
        <v>3540</v>
      </c>
      <c r="B3534" t="s">
        <v>10009</v>
      </c>
      <c r="C3534">
        <v>1</v>
      </c>
      <c r="D3534">
        <v>3</v>
      </c>
      <c r="E3534">
        <v>3</v>
      </c>
      <c r="F3534" t="s">
        <v>10104</v>
      </c>
      <c r="G3534" t="s">
        <v>10102</v>
      </c>
      <c r="H3534" s="6">
        <v>45280</v>
      </c>
      <c r="I3534">
        <f t="shared" si="110"/>
        <v>1</v>
      </c>
      <c r="J3534" t="str">
        <f t="shared" si="111"/>
        <v>Complete</v>
      </c>
      <c r="K3534">
        <f>COUNTIFS(RawData[Item], B3534,RawData[Quantity],C3534,RawData[Price Per Unit],D3534,RawData[Total Spent],E3534,RawData[Payment Method],F3534,RawData[Location],G3534,RawData[Transaction Date],H3534)</f>
        <v>1</v>
      </c>
      <c r="L3534"/>
    </row>
    <row r="3535" spans="1:12" x14ac:dyDescent="0.3">
      <c r="A3535" t="s">
        <v>3541</v>
      </c>
      <c r="B3535" t="s">
        <v>10010</v>
      </c>
      <c r="C3535">
        <v>3</v>
      </c>
      <c r="D3535">
        <v>1</v>
      </c>
      <c r="E3535">
        <v>3</v>
      </c>
      <c r="F3535" t="s">
        <v>10069</v>
      </c>
      <c r="G3535" t="s">
        <v>10104</v>
      </c>
      <c r="H3535" s="6">
        <v>45108</v>
      </c>
      <c r="I3535">
        <f t="shared" si="110"/>
        <v>1</v>
      </c>
      <c r="J3535" t="str">
        <f t="shared" si="111"/>
        <v>Complete</v>
      </c>
      <c r="K3535">
        <f>COUNTIFS(RawData[Item], B3535,RawData[Quantity],C3535,RawData[Price Per Unit],D3535,RawData[Total Spent],E3535,RawData[Payment Method],F3535,RawData[Location],G3535,RawData[Transaction Date],H3535)</f>
        <v>1</v>
      </c>
      <c r="L3535"/>
    </row>
    <row r="3536" spans="1:12" x14ac:dyDescent="0.3">
      <c r="A3536" t="s">
        <v>3542</v>
      </c>
      <c r="B3536" t="s">
        <v>10011</v>
      </c>
      <c r="C3536">
        <v>1</v>
      </c>
      <c r="D3536" t="s">
        <v>10015</v>
      </c>
      <c r="E3536">
        <v>5</v>
      </c>
      <c r="F3536" t="s">
        <v>10069</v>
      </c>
      <c r="G3536" t="s">
        <v>10069</v>
      </c>
      <c r="H3536" s="6">
        <v>45073</v>
      </c>
      <c r="I3536">
        <f t="shared" si="110"/>
        <v>1</v>
      </c>
      <c r="J3536" t="str">
        <f t="shared" si="111"/>
        <v>Complete</v>
      </c>
      <c r="K3536">
        <f>COUNTIFS(RawData[Item], B3536,RawData[Quantity],C3536,RawData[Price Per Unit],D3536,RawData[Total Spent],E3536,RawData[Payment Method],F3536,RawData[Location],G3536,RawData[Transaction Date],H3536)</f>
        <v>1</v>
      </c>
      <c r="L3536"/>
    </row>
    <row r="3537" spans="1:12" x14ac:dyDescent="0.3">
      <c r="A3537" t="s">
        <v>3543</v>
      </c>
      <c r="B3537" t="s">
        <v>10011</v>
      </c>
      <c r="C3537">
        <v>2</v>
      </c>
      <c r="D3537">
        <v>5</v>
      </c>
      <c r="E3537">
        <v>0</v>
      </c>
      <c r="F3537" t="s">
        <v>10069</v>
      </c>
      <c r="G3537" t="s">
        <v>10021</v>
      </c>
      <c r="H3537" s="6">
        <v>44954</v>
      </c>
      <c r="I3537">
        <f t="shared" si="110"/>
        <v>0</v>
      </c>
      <c r="J3537" t="str">
        <f t="shared" si="111"/>
        <v>Complete</v>
      </c>
      <c r="K3537">
        <f>COUNTIFS(RawData[Item], B3537,RawData[Quantity],C3537,RawData[Price Per Unit],D3537,RawData[Total Spent],E3537,RawData[Payment Method],F3537,RawData[Location],G3537,RawData[Transaction Date],H3537)</f>
        <v>1</v>
      </c>
      <c r="L3537"/>
    </row>
    <row r="3538" spans="1:12" x14ac:dyDescent="0.3">
      <c r="A3538" t="s">
        <v>3544</v>
      </c>
      <c r="B3538" t="s">
        <v>10011</v>
      </c>
      <c r="C3538">
        <v>4</v>
      </c>
      <c r="D3538">
        <v>5</v>
      </c>
      <c r="E3538">
        <v>20</v>
      </c>
      <c r="F3538" t="s">
        <v>10020</v>
      </c>
      <c r="G3538" t="s">
        <v>10021</v>
      </c>
      <c r="H3538" s="6">
        <v>45066</v>
      </c>
      <c r="I3538">
        <f t="shared" si="110"/>
        <v>0</v>
      </c>
      <c r="J3538" t="str">
        <f t="shared" si="111"/>
        <v>Complete</v>
      </c>
      <c r="K3538">
        <f>COUNTIFS(RawData[Item], B3538,RawData[Quantity],C3538,RawData[Price Per Unit],D3538,RawData[Total Spent],E3538,RawData[Payment Method],F3538,RawData[Location],G3538,RawData[Transaction Date],H3538)</f>
        <v>1</v>
      </c>
      <c r="L3538"/>
    </row>
    <row r="3539" spans="1:12" x14ac:dyDescent="0.3">
      <c r="A3539" t="s">
        <v>3545</v>
      </c>
      <c r="B3539" t="s">
        <v>10014</v>
      </c>
      <c r="C3539">
        <v>2</v>
      </c>
      <c r="D3539">
        <v>4</v>
      </c>
      <c r="E3539">
        <v>8</v>
      </c>
      <c r="F3539" t="s">
        <v>10020</v>
      </c>
      <c r="G3539" t="s">
        <v>10021</v>
      </c>
      <c r="H3539" s="6">
        <v>45228</v>
      </c>
      <c r="I3539">
        <f t="shared" si="110"/>
        <v>0</v>
      </c>
      <c r="J3539" t="str">
        <f t="shared" si="111"/>
        <v>Complete</v>
      </c>
      <c r="K3539">
        <f>COUNTIFS(RawData[Item], B3539,RawData[Quantity],C3539,RawData[Price Per Unit],D3539,RawData[Total Spent],E3539,RawData[Payment Method],F3539,RawData[Location],G3539,RawData[Transaction Date],H3539)</f>
        <v>1</v>
      </c>
      <c r="L3539"/>
    </row>
    <row r="3540" spans="1:12" x14ac:dyDescent="0.3">
      <c r="A3540" t="s">
        <v>3546</v>
      </c>
      <c r="B3540" t="s">
        <v>10008</v>
      </c>
      <c r="C3540">
        <v>2</v>
      </c>
      <c r="D3540">
        <v>2</v>
      </c>
      <c r="E3540">
        <v>4</v>
      </c>
      <c r="F3540" t="s">
        <v>10019</v>
      </c>
      <c r="G3540" t="s">
        <v>10102</v>
      </c>
      <c r="H3540" s="6">
        <v>45233</v>
      </c>
      <c r="I3540">
        <f t="shared" si="110"/>
        <v>0</v>
      </c>
      <c r="J3540" t="str">
        <f t="shared" si="111"/>
        <v>Complete</v>
      </c>
      <c r="K3540">
        <f>COUNTIFS(RawData[Item], B3540,RawData[Quantity],C3540,RawData[Price Per Unit],D3540,RawData[Total Spent],E3540,RawData[Payment Method],F3540,RawData[Location],G3540,RawData[Transaction Date],H3540)</f>
        <v>1</v>
      </c>
      <c r="L3540"/>
    </row>
    <row r="3541" spans="1:12" x14ac:dyDescent="0.3">
      <c r="A3541" t="s">
        <v>3547</v>
      </c>
      <c r="B3541" t="s">
        <v>10010</v>
      </c>
      <c r="C3541">
        <v>1</v>
      </c>
      <c r="D3541">
        <v>1</v>
      </c>
      <c r="E3541">
        <v>1</v>
      </c>
      <c r="F3541" t="s">
        <v>10069</v>
      </c>
      <c r="G3541" t="s">
        <v>10021</v>
      </c>
      <c r="H3541" s="6">
        <v>45068</v>
      </c>
      <c r="I3541">
        <f t="shared" si="110"/>
        <v>0</v>
      </c>
      <c r="J3541" t="str">
        <f t="shared" si="111"/>
        <v>Complete</v>
      </c>
      <c r="K3541">
        <f>COUNTIFS(RawData[Item], B3541,RawData[Quantity],C3541,RawData[Price Per Unit],D3541,RawData[Total Spent],E3541,RawData[Payment Method],F3541,RawData[Location],G3541,RawData[Transaction Date],H3541)</f>
        <v>1</v>
      </c>
      <c r="L3541"/>
    </row>
    <row r="3542" spans="1:12" x14ac:dyDescent="0.3">
      <c r="A3542" t="s">
        <v>3548</v>
      </c>
      <c r="B3542" t="s">
        <v>10012</v>
      </c>
      <c r="C3542">
        <v>1</v>
      </c>
      <c r="D3542">
        <v>4</v>
      </c>
      <c r="E3542" t="s">
        <v>10013</v>
      </c>
      <c r="F3542" t="s">
        <v>10020</v>
      </c>
      <c r="G3542" t="s">
        <v>10069</v>
      </c>
      <c r="H3542" s="6">
        <v>45198</v>
      </c>
      <c r="I3542">
        <f t="shared" si="110"/>
        <v>1</v>
      </c>
      <c r="J3542" t="str">
        <f t="shared" si="111"/>
        <v>Complete</v>
      </c>
      <c r="K3542">
        <f>COUNTIFS(RawData[Item], B3542,RawData[Quantity],C3542,RawData[Price Per Unit],D3542,RawData[Total Spent],E3542,RawData[Payment Method],F3542,RawData[Location],G3542,RawData[Transaction Date],H3542)</f>
        <v>1</v>
      </c>
      <c r="L3542"/>
    </row>
    <row r="3543" spans="1:12" x14ac:dyDescent="0.3">
      <c r="A3543" t="s">
        <v>3549</v>
      </c>
      <c r="B3543" t="s">
        <v>10016</v>
      </c>
      <c r="C3543">
        <v>5</v>
      </c>
      <c r="D3543">
        <v>3</v>
      </c>
      <c r="E3543">
        <v>15</v>
      </c>
      <c r="F3543" t="s">
        <v>10020</v>
      </c>
      <c r="G3543" t="s">
        <v>10069</v>
      </c>
      <c r="H3543" s="6">
        <v>45086</v>
      </c>
      <c r="I3543">
        <f t="shared" si="110"/>
        <v>0</v>
      </c>
      <c r="J3543" t="str">
        <f t="shared" si="111"/>
        <v>Complete</v>
      </c>
      <c r="K3543">
        <f>COUNTIFS(RawData[Item], B3543,RawData[Quantity],C3543,RawData[Price Per Unit],D3543,RawData[Total Spent],E3543,RawData[Payment Method],F3543,RawData[Location],G3543,RawData[Transaction Date],H3543)</f>
        <v>1</v>
      </c>
      <c r="L3543"/>
    </row>
    <row r="3544" spans="1:12" x14ac:dyDescent="0.3">
      <c r="A3544" t="s">
        <v>3550</v>
      </c>
      <c r="B3544" t="s">
        <v>10014</v>
      </c>
      <c r="C3544">
        <v>1</v>
      </c>
      <c r="D3544">
        <v>4</v>
      </c>
      <c r="E3544">
        <v>4</v>
      </c>
      <c r="F3544" t="s">
        <v>10019</v>
      </c>
      <c r="G3544" t="s">
        <v>10069</v>
      </c>
      <c r="H3544" s="6">
        <v>45160</v>
      </c>
      <c r="I3544">
        <f t="shared" si="110"/>
        <v>0</v>
      </c>
      <c r="J3544" t="str">
        <f t="shared" si="111"/>
        <v>Complete</v>
      </c>
      <c r="K3544">
        <f>COUNTIFS(RawData[Item], B3544,RawData[Quantity],C3544,RawData[Price Per Unit],D3544,RawData[Total Spent],E3544,RawData[Payment Method],F3544,RawData[Location],G3544,RawData[Transaction Date],H3544)</f>
        <v>1</v>
      </c>
      <c r="L3544"/>
    </row>
    <row r="3545" spans="1:12" x14ac:dyDescent="0.3">
      <c r="A3545" t="s">
        <v>3551</v>
      </c>
      <c r="B3545" t="s">
        <v>10008</v>
      </c>
      <c r="C3545">
        <v>3</v>
      </c>
      <c r="D3545">
        <v>2</v>
      </c>
      <c r="E3545">
        <v>6</v>
      </c>
      <c r="F3545" t="s">
        <v>10018</v>
      </c>
      <c r="G3545" t="s">
        <v>10069</v>
      </c>
      <c r="H3545" s="6">
        <v>45251</v>
      </c>
      <c r="I3545">
        <f t="shared" si="110"/>
        <v>0</v>
      </c>
      <c r="J3545" t="str">
        <f t="shared" si="111"/>
        <v>Complete</v>
      </c>
      <c r="K3545">
        <f>COUNTIFS(RawData[Item], B3545,RawData[Quantity],C3545,RawData[Price Per Unit],D3545,RawData[Total Spent],E3545,RawData[Payment Method],F3545,RawData[Location],G3545,RawData[Transaction Date],H3545)</f>
        <v>1</v>
      </c>
      <c r="L3545"/>
    </row>
    <row r="3546" spans="1:12" x14ac:dyDescent="0.3">
      <c r="A3546" t="s">
        <v>3552</v>
      </c>
      <c r="B3546" t="s">
        <v>10012</v>
      </c>
      <c r="C3546">
        <v>1</v>
      </c>
      <c r="D3546" t="s">
        <v>10015</v>
      </c>
      <c r="E3546">
        <v>4</v>
      </c>
      <c r="F3546" t="s">
        <v>10019</v>
      </c>
      <c r="G3546" t="s">
        <v>10102</v>
      </c>
      <c r="H3546" s="6">
        <v>45190</v>
      </c>
      <c r="I3546">
        <f t="shared" si="110"/>
        <v>1</v>
      </c>
      <c r="J3546" t="str">
        <f t="shared" si="111"/>
        <v>Complete</v>
      </c>
      <c r="K3546">
        <f>COUNTIFS(RawData[Item], B3546,RawData[Quantity],C3546,RawData[Price Per Unit],D3546,RawData[Total Spent],E3546,RawData[Payment Method],F3546,RawData[Location],G3546,RawData[Transaction Date],H3546)</f>
        <v>1</v>
      </c>
      <c r="L3546"/>
    </row>
    <row r="3547" spans="1:12" x14ac:dyDescent="0.3">
      <c r="A3547" t="s">
        <v>3553</v>
      </c>
      <c r="B3547" t="s">
        <v>10069</v>
      </c>
      <c r="C3547">
        <v>1</v>
      </c>
      <c r="D3547">
        <v>4</v>
      </c>
      <c r="E3547">
        <v>4</v>
      </c>
      <c r="F3547" t="s">
        <v>10019</v>
      </c>
      <c r="G3547" t="s">
        <v>10069</v>
      </c>
      <c r="H3547" s="6">
        <v>45186</v>
      </c>
      <c r="I3547">
        <f t="shared" si="110"/>
        <v>0</v>
      </c>
      <c r="J3547" t="str">
        <f t="shared" si="111"/>
        <v>Complete</v>
      </c>
      <c r="K3547">
        <f>COUNTIFS(RawData[Item], B3547,RawData[Quantity],C3547,RawData[Price Per Unit],D3547,RawData[Total Spent],E3547,RawData[Payment Method],F3547,RawData[Location],G3547,RawData[Transaction Date],H3547)</f>
        <v>1</v>
      </c>
      <c r="L3547"/>
    </row>
    <row r="3548" spans="1:12" x14ac:dyDescent="0.3">
      <c r="A3548" t="s">
        <v>3554</v>
      </c>
      <c r="B3548" t="s">
        <v>10013</v>
      </c>
      <c r="C3548">
        <v>1</v>
      </c>
      <c r="D3548">
        <v>2</v>
      </c>
      <c r="E3548">
        <v>2</v>
      </c>
      <c r="F3548" t="s">
        <v>10069</v>
      </c>
      <c r="G3548" t="s">
        <v>10103</v>
      </c>
      <c r="H3548" s="6">
        <v>45012</v>
      </c>
      <c r="I3548">
        <f t="shared" si="110"/>
        <v>2</v>
      </c>
      <c r="J3548" t="str">
        <f t="shared" si="111"/>
        <v>Complete</v>
      </c>
      <c r="K3548">
        <f>COUNTIFS(RawData[Item], B3548,RawData[Quantity],C3548,RawData[Price Per Unit],D3548,RawData[Total Spent],E3548,RawData[Payment Method],F3548,RawData[Location],G3548,RawData[Transaction Date],H3548)</f>
        <v>1</v>
      </c>
      <c r="L3548"/>
    </row>
    <row r="3549" spans="1:12" x14ac:dyDescent="0.3">
      <c r="A3549" t="s">
        <v>3555</v>
      </c>
      <c r="B3549" t="s">
        <v>10010</v>
      </c>
      <c r="C3549">
        <v>3</v>
      </c>
      <c r="D3549">
        <v>1</v>
      </c>
      <c r="E3549">
        <v>3</v>
      </c>
      <c r="F3549" t="s">
        <v>10020</v>
      </c>
      <c r="G3549" t="s">
        <v>10069</v>
      </c>
      <c r="H3549" s="6">
        <v>44995</v>
      </c>
      <c r="I3549">
        <f t="shared" si="110"/>
        <v>0</v>
      </c>
      <c r="J3549" t="str">
        <f t="shared" si="111"/>
        <v>Complete</v>
      </c>
      <c r="K3549">
        <f>COUNTIFS(RawData[Item], B3549,RawData[Quantity],C3549,RawData[Price Per Unit],D3549,RawData[Total Spent],E3549,RawData[Payment Method],F3549,RawData[Location],G3549,RawData[Transaction Date],H3549)</f>
        <v>1</v>
      </c>
      <c r="L3549"/>
    </row>
    <row r="3550" spans="1:12" x14ac:dyDescent="0.3">
      <c r="A3550" t="s">
        <v>3556</v>
      </c>
      <c r="B3550" t="s">
        <v>10012</v>
      </c>
      <c r="C3550">
        <v>5</v>
      </c>
      <c r="D3550">
        <v>4</v>
      </c>
      <c r="E3550">
        <v>20</v>
      </c>
      <c r="F3550" t="s">
        <v>10020</v>
      </c>
      <c r="G3550" t="s">
        <v>10021</v>
      </c>
      <c r="H3550" s="6">
        <v>45262</v>
      </c>
      <c r="I3550">
        <f t="shared" si="110"/>
        <v>0</v>
      </c>
      <c r="J3550" t="str">
        <f t="shared" si="111"/>
        <v>Complete</v>
      </c>
      <c r="K3550">
        <f>COUNTIFS(RawData[Item], B3550,RawData[Quantity],C3550,RawData[Price Per Unit],D3550,RawData[Total Spent],E3550,RawData[Payment Method],F3550,RawData[Location],G3550,RawData[Transaction Date],H3550)</f>
        <v>1</v>
      </c>
      <c r="L3550"/>
    </row>
    <row r="3551" spans="1:12" x14ac:dyDescent="0.3">
      <c r="A3551" t="s">
        <v>3557</v>
      </c>
      <c r="B3551" t="s">
        <v>10008</v>
      </c>
      <c r="C3551">
        <v>2</v>
      </c>
      <c r="D3551">
        <v>2</v>
      </c>
      <c r="E3551">
        <v>4</v>
      </c>
      <c r="F3551" t="s">
        <v>10019</v>
      </c>
      <c r="G3551" t="s">
        <v>10021</v>
      </c>
      <c r="H3551" s="6">
        <v>45265</v>
      </c>
      <c r="I3551">
        <f t="shared" si="110"/>
        <v>0</v>
      </c>
      <c r="J3551" t="str">
        <f t="shared" si="111"/>
        <v>Complete</v>
      </c>
      <c r="K3551">
        <f>COUNTIFS(RawData[Item], B3551,RawData[Quantity],C3551,RawData[Price Per Unit],D3551,RawData[Total Spent],E3551,RawData[Payment Method],F3551,RawData[Location],G3551,RawData[Transaction Date],H3551)</f>
        <v>1</v>
      </c>
      <c r="L3551"/>
    </row>
    <row r="3552" spans="1:12" x14ac:dyDescent="0.3">
      <c r="A3552" t="s">
        <v>3558</v>
      </c>
      <c r="B3552" t="s">
        <v>10009</v>
      </c>
      <c r="C3552">
        <v>4</v>
      </c>
      <c r="D3552">
        <v>3</v>
      </c>
      <c r="E3552">
        <v>12</v>
      </c>
      <c r="F3552" t="s">
        <v>10018</v>
      </c>
      <c r="G3552" t="s">
        <v>10021</v>
      </c>
      <c r="H3552" s="6">
        <v>45219</v>
      </c>
      <c r="I3552">
        <f t="shared" si="110"/>
        <v>0</v>
      </c>
      <c r="J3552" t="str">
        <f t="shared" si="111"/>
        <v>Complete</v>
      </c>
      <c r="K3552">
        <f>COUNTIFS(RawData[Item], B3552,RawData[Quantity],C3552,RawData[Price Per Unit],D3552,RawData[Total Spent],E3552,RawData[Payment Method],F3552,RawData[Location],G3552,RawData[Transaction Date],H3552)</f>
        <v>1</v>
      </c>
      <c r="L3552"/>
    </row>
    <row r="3553" spans="1:12" x14ac:dyDescent="0.3">
      <c r="A3553" t="s">
        <v>3559</v>
      </c>
      <c r="B3553" t="s">
        <v>10014</v>
      </c>
      <c r="C3553">
        <v>1</v>
      </c>
      <c r="D3553">
        <v>4</v>
      </c>
      <c r="E3553">
        <v>4</v>
      </c>
      <c r="F3553" t="s">
        <v>10069</v>
      </c>
      <c r="G3553" t="s">
        <v>10069</v>
      </c>
      <c r="H3553" s="6">
        <v>44995</v>
      </c>
      <c r="I3553">
        <f t="shared" si="110"/>
        <v>0</v>
      </c>
      <c r="J3553" t="str">
        <f t="shared" si="111"/>
        <v>Complete</v>
      </c>
      <c r="K3553">
        <f>COUNTIFS(RawData[Item], B3553,RawData[Quantity],C3553,RawData[Price Per Unit],D3553,RawData[Total Spent],E3553,RawData[Payment Method],F3553,RawData[Location],G3553,RawData[Transaction Date],H3553)</f>
        <v>1</v>
      </c>
      <c r="L3553"/>
    </row>
    <row r="3554" spans="1:12" x14ac:dyDescent="0.3">
      <c r="A3554" t="s">
        <v>3560</v>
      </c>
      <c r="B3554" t="s">
        <v>10008</v>
      </c>
      <c r="C3554">
        <v>3</v>
      </c>
      <c r="D3554">
        <v>2</v>
      </c>
      <c r="E3554">
        <v>6</v>
      </c>
      <c r="F3554" t="s">
        <v>10069</v>
      </c>
      <c r="G3554" t="s">
        <v>10103</v>
      </c>
      <c r="H3554" s="6">
        <v>45066</v>
      </c>
      <c r="I3554">
        <f t="shared" si="110"/>
        <v>1</v>
      </c>
      <c r="J3554" t="str">
        <f t="shared" si="111"/>
        <v>Complete</v>
      </c>
      <c r="K3554">
        <f>COUNTIFS(RawData[Item], B3554,RawData[Quantity],C3554,RawData[Price Per Unit],D3554,RawData[Total Spent],E3554,RawData[Payment Method],F3554,RawData[Location],G3554,RawData[Transaction Date],H3554)</f>
        <v>1</v>
      </c>
      <c r="L3554"/>
    </row>
    <row r="3555" spans="1:12" x14ac:dyDescent="0.3">
      <c r="A3555" t="s">
        <v>3561</v>
      </c>
      <c r="B3555" t="s">
        <v>10010</v>
      </c>
      <c r="C3555">
        <v>4</v>
      </c>
      <c r="D3555">
        <v>1</v>
      </c>
      <c r="E3555">
        <v>4</v>
      </c>
      <c r="F3555" t="s">
        <v>10069</v>
      </c>
      <c r="G3555" t="s">
        <v>10021</v>
      </c>
      <c r="H3555" s="6">
        <v>45078</v>
      </c>
      <c r="I3555">
        <f t="shared" si="110"/>
        <v>0</v>
      </c>
      <c r="J3555" t="str">
        <f t="shared" si="111"/>
        <v>Complete</v>
      </c>
      <c r="K3555">
        <f>COUNTIFS(RawData[Item], B3555,RawData[Quantity],C3555,RawData[Price Per Unit],D3555,RawData[Total Spent],E3555,RawData[Payment Method],F3555,RawData[Location],G3555,RawData[Transaction Date],H3555)</f>
        <v>1</v>
      </c>
      <c r="L3555"/>
    </row>
    <row r="3556" spans="1:12" x14ac:dyDescent="0.3">
      <c r="A3556" t="s">
        <v>3562</v>
      </c>
      <c r="B3556" t="s">
        <v>10013</v>
      </c>
      <c r="C3556">
        <v>4</v>
      </c>
      <c r="D3556">
        <v>1</v>
      </c>
      <c r="E3556">
        <v>4</v>
      </c>
      <c r="F3556" t="s">
        <v>10069</v>
      </c>
      <c r="G3556" t="s">
        <v>10069</v>
      </c>
      <c r="H3556" s="6">
        <v>45034</v>
      </c>
      <c r="I3556">
        <f t="shared" si="110"/>
        <v>1</v>
      </c>
      <c r="J3556" t="str">
        <f t="shared" si="111"/>
        <v>Complete</v>
      </c>
      <c r="K3556">
        <f>COUNTIFS(RawData[Item], B3556,RawData[Quantity],C3556,RawData[Price Per Unit],D3556,RawData[Total Spent],E3556,RawData[Payment Method],F3556,RawData[Location],G3556,RawData[Transaction Date],H3556)</f>
        <v>1</v>
      </c>
      <c r="L3556"/>
    </row>
    <row r="3557" spans="1:12" x14ac:dyDescent="0.3">
      <c r="A3557" t="s">
        <v>3563</v>
      </c>
      <c r="B3557" t="s">
        <v>10017</v>
      </c>
      <c r="C3557">
        <v>3</v>
      </c>
      <c r="D3557">
        <v>1.5</v>
      </c>
      <c r="E3557">
        <v>4.5</v>
      </c>
      <c r="F3557" t="s">
        <v>10104</v>
      </c>
      <c r="G3557" t="s">
        <v>10102</v>
      </c>
      <c r="H3557" s="6">
        <v>44949</v>
      </c>
      <c r="I3557">
        <f t="shared" si="110"/>
        <v>1</v>
      </c>
      <c r="J3557" t="str">
        <f t="shared" si="111"/>
        <v>Complete</v>
      </c>
      <c r="K3557">
        <f>COUNTIFS(RawData[Item], B3557,RawData[Quantity],C3557,RawData[Price Per Unit],D3557,RawData[Total Spent],E3557,RawData[Payment Method],F3557,RawData[Location],G3557,RawData[Transaction Date],H3557)</f>
        <v>1</v>
      </c>
      <c r="L3557"/>
    </row>
    <row r="3558" spans="1:12" x14ac:dyDescent="0.3">
      <c r="A3558" t="s">
        <v>3564</v>
      </c>
      <c r="B3558" t="s">
        <v>10011</v>
      </c>
      <c r="C3558">
        <v>3</v>
      </c>
      <c r="D3558">
        <v>5</v>
      </c>
      <c r="E3558">
        <v>15</v>
      </c>
      <c r="F3558" t="s">
        <v>10020</v>
      </c>
      <c r="G3558" t="s">
        <v>10102</v>
      </c>
      <c r="H3558" s="6">
        <v>45221</v>
      </c>
      <c r="I3558">
        <f t="shared" si="110"/>
        <v>0</v>
      </c>
      <c r="J3558" t="str">
        <f t="shared" si="111"/>
        <v>Complete</v>
      </c>
      <c r="K3558">
        <f>COUNTIFS(RawData[Item], B3558,RawData[Quantity],C3558,RawData[Price Per Unit],D3558,RawData[Total Spent],E3558,RawData[Payment Method],F3558,RawData[Location],G3558,RawData[Transaction Date],H3558)</f>
        <v>1</v>
      </c>
      <c r="L3558"/>
    </row>
    <row r="3559" spans="1:12" x14ac:dyDescent="0.3">
      <c r="A3559" t="s">
        <v>3565</v>
      </c>
      <c r="B3559" t="s">
        <v>10010</v>
      </c>
      <c r="C3559">
        <v>1</v>
      </c>
      <c r="D3559">
        <v>1</v>
      </c>
      <c r="E3559">
        <v>1</v>
      </c>
      <c r="F3559" t="s">
        <v>10103</v>
      </c>
      <c r="G3559" t="s">
        <v>10069</v>
      </c>
      <c r="H3559" s="6">
        <v>45280</v>
      </c>
      <c r="I3559">
        <f t="shared" si="110"/>
        <v>1</v>
      </c>
      <c r="J3559" t="str">
        <f t="shared" si="111"/>
        <v>Complete</v>
      </c>
      <c r="K3559">
        <f>COUNTIFS(RawData[Item], B3559,RawData[Quantity],C3559,RawData[Price Per Unit],D3559,RawData[Total Spent],E3559,RawData[Payment Method],F3559,RawData[Location],G3559,RawData[Transaction Date],H3559)</f>
        <v>1</v>
      </c>
      <c r="L3559"/>
    </row>
    <row r="3560" spans="1:12" x14ac:dyDescent="0.3">
      <c r="A3560" t="s">
        <v>3566</v>
      </c>
      <c r="B3560" t="s">
        <v>10010</v>
      </c>
      <c r="C3560">
        <v>4</v>
      </c>
      <c r="D3560">
        <v>1</v>
      </c>
      <c r="E3560">
        <v>4</v>
      </c>
      <c r="F3560" t="s">
        <v>10069</v>
      </c>
      <c r="G3560" t="s">
        <v>10021</v>
      </c>
      <c r="H3560" s="6">
        <v>45206</v>
      </c>
      <c r="I3560">
        <f t="shared" si="110"/>
        <v>0</v>
      </c>
      <c r="J3560" t="str">
        <f t="shared" si="111"/>
        <v>Complete</v>
      </c>
      <c r="K3560">
        <f>COUNTIFS(RawData[Item], B3560,RawData[Quantity],C3560,RawData[Price Per Unit],D3560,RawData[Total Spent],E3560,RawData[Payment Method],F3560,RawData[Location],G3560,RawData[Transaction Date],H3560)</f>
        <v>1</v>
      </c>
      <c r="L3560"/>
    </row>
    <row r="3561" spans="1:12" x14ac:dyDescent="0.3">
      <c r="A3561" t="s">
        <v>3567</v>
      </c>
      <c r="B3561" t="s">
        <v>10013</v>
      </c>
      <c r="C3561">
        <v>1</v>
      </c>
      <c r="D3561">
        <v>1</v>
      </c>
      <c r="E3561">
        <v>1</v>
      </c>
      <c r="F3561" t="s">
        <v>10020</v>
      </c>
      <c r="G3561" t="s">
        <v>10069</v>
      </c>
      <c r="H3561" s="6">
        <v>44943</v>
      </c>
      <c r="I3561">
        <f t="shared" si="110"/>
        <v>1</v>
      </c>
      <c r="J3561" t="str">
        <f t="shared" si="111"/>
        <v>Complete</v>
      </c>
      <c r="K3561">
        <f>COUNTIFS(RawData[Item], B3561,RawData[Quantity],C3561,RawData[Price Per Unit],D3561,RawData[Total Spent],E3561,RawData[Payment Method],F3561,RawData[Location],G3561,RawData[Transaction Date],H3561)</f>
        <v>1</v>
      </c>
      <c r="L3561"/>
    </row>
    <row r="3562" spans="1:12" x14ac:dyDescent="0.3">
      <c r="A3562" t="s">
        <v>3568</v>
      </c>
      <c r="B3562" t="s">
        <v>10008</v>
      </c>
      <c r="C3562">
        <v>2</v>
      </c>
      <c r="D3562">
        <v>2</v>
      </c>
      <c r="E3562">
        <v>4</v>
      </c>
      <c r="F3562" t="s">
        <v>10069</v>
      </c>
      <c r="G3562" t="s">
        <v>10069</v>
      </c>
      <c r="H3562" s="6">
        <v>45026</v>
      </c>
      <c r="I3562">
        <f t="shared" si="110"/>
        <v>0</v>
      </c>
      <c r="J3562" t="str">
        <f t="shared" si="111"/>
        <v>Complete</v>
      </c>
      <c r="K3562">
        <f>COUNTIFS(RawData[Item], B3562,RawData[Quantity],C3562,RawData[Price Per Unit],D3562,RawData[Total Spent],E3562,RawData[Payment Method],F3562,RawData[Location],G3562,RawData[Transaction Date],H3562)</f>
        <v>1</v>
      </c>
      <c r="L3562"/>
    </row>
    <row r="3563" spans="1:12" x14ac:dyDescent="0.3">
      <c r="A3563" t="s">
        <v>3569</v>
      </c>
      <c r="B3563" t="s">
        <v>10011</v>
      </c>
      <c r="C3563">
        <v>3</v>
      </c>
      <c r="D3563">
        <v>5</v>
      </c>
      <c r="E3563">
        <v>15</v>
      </c>
      <c r="F3563" t="s">
        <v>10069</v>
      </c>
      <c r="G3563" t="s">
        <v>10102</v>
      </c>
      <c r="H3563" s="6">
        <v>45149</v>
      </c>
      <c r="I3563">
        <f t="shared" si="110"/>
        <v>0</v>
      </c>
      <c r="J3563" t="str">
        <f t="shared" si="111"/>
        <v>Complete</v>
      </c>
      <c r="K3563">
        <f>COUNTIFS(RawData[Item], B3563,RawData[Quantity],C3563,RawData[Price Per Unit],D3563,RawData[Total Spent],E3563,RawData[Payment Method],F3563,RawData[Location],G3563,RawData[Transaction Date],H3563)</f>
        <v>1</v>
      </c>
      <c r="L3563"/>
    </row>
    <row r="3564" spans="1:12" x14ac:dyDescent="0.3">
      <c r="A3564" t="s">
        <v>3570</v>
      </c>
      <c r="B3564" t="s">
        <v>10010</v>
      </c>
      <c r="C3564">
        <v>2</v>
      </c>
      <c r="D3564" t="s">
        <v>10013</v>
      </c>
      <c r="E3564">
        <v>2</v>
      </c>
      <c r="F3564" t="s">
        <v>10020</v>
      </c>
      <c r="G3564" t="s">
        <v>10069</v>
      </c>
      <c r="H3564" s="6">
        <v>45238</v>
      </c>
      <c r="I3564">
        <f t="shared" si="110"/>
        <v>1</v>
      </c>
      <c r="J3564" t="str">
        <f t="shared" si="111"/>
        <v>Complete</v>
      </c>
      <c r="K3564">
        <f>COUNTIFS(RawData[Item], B3564,RawData[Quantity],C3564,RawData[Price Per Unit],D3564,RawData[Total Spent],E3564,RawData[Payment Method],F3564,RawData[Location],G3564,RawData[Transaction Date],H3564)</f>
        <v>1</v>
      </c>
      <c r="L3564"/>
    </row>
    <row r="3565" spans="1:12" x14ac:dyDescent="0.3">
      <c r="A3565" t="s">
        <v>3571</v>
      </c>
      <c r="B3565" t="s">
        <v>10014</v>
      </c>
      <c r="C3565">
        <v>2</v>
      </c>
      <c r="D3565">
        <v>4</v>
      </c>
      <c r="E3565">
        <v>8</v>
      </c>
      <c r="F3565" t="s">
        <v>10069</v>
      </c>
      <c r="G3565" t="s">
        <v>10102</v>
      </c>
      <c r="H3565" s="6">
        <v>45185</v>
      </c>
      <c r="I3565">
        <f t="shared" si="110"/>
        <v>0</v>
      </c>
      <c r="J3565" t="str">
        <f t="shared" si="111"/>
        <v>Complete</v>
      </c>
      <c r="K3565">
        <f>COUNTIFS(RawData[Item], B3565,RawData[Quantity],C3565,RawData[Price Per Unit],D3565,RawData[Total Spent],E3565,RawData[Payment Method],F3565,RawData[Location],G3565,RawData[Transaction Date],H3565)</f>
        <v>1</v>
      </c>
      <c r="L3565"/>
    </row>
    <row r="3566" spans="1:12" x14ac:dyDescent="0.3">
      <c r="A3566" t="s">
        <v>3572</v>
      </c>
      <c r="B3566" t="s">
        <v>10017</v>
      </c>
      <c r="C3566">
        <v>2</v>
      </c>
      <c r="D3566">
        <v>1.5</v>
      </c>
      <c r="E3566">
        <v>3</v>
      </c>
      <c r="F3566" t="s">
        <v>10020</v>
      </c>
      <c r="G3566" t="s">
        <v>10021</v>
      </c>
      <c r="H3566" s="6">
        <v>45136</v>
      </c>
      <c r="I3566">
        <f t="shared" si="110"/>
        <v>0</v>
      </c>
      <c r="J3566" t="str">
        <f t="shared" si="111"/>
        <v>Complete</v>
      </c>
      <c r="K3566">
        <f>COUNTIFS(RawData[Item], B3566,RawData[Quantity],C3566,RawData[Price Per Unit],D3566,RawData[Total Spent],E3566,RawData[Payment Method],F3566,RawData[Location],G3566,RawData[Transaction Date],H3566)</f>
        <v>1</v>
      </c>
      <c r="L3566"/>
    </row>
    <row r="3567" spans="1:12" x14ac:dyDescent="0.3">
      <c r="A3567" t="s">
        <v>3573</v>
      </c>
      <c r="B3567" t="s">
        <v>10017</v>
      </c>
      <c r="C3567">
        <v>3</v>
      </c>
      <c r="D3567">
        <v>1.5</v>
      </c>
      <c r="E3567">
        <v>4.5</v>
      </c>
      <c r="F3567" t="s">
        <v>10019</v>
      </c>
      <c r="G3567" t="s">
        <v>10104</v>
      </c>
      <c r="H3567" s="6">
        <v>45199</v>
      </c>
      <c r="I3567">
        <f t="shared" si="110"/>
        <v>1</v>
      </c>
      <c r="J3567" t="str">
        <f t="shared" si="111"/>
        <v>Complete</v>
      </c>
      <c r="K3567">
        <f>COUNTIFS(RawData[Item], B3567,RawData[Quantity],C3567,RawData[Price Per Unit],D3567,RawData[Total Spent],E3567,RawData[Payment Method],F3567,RawData[Location],G3567,RawData[Transaction Date],H3567)</f>
        <v>1</v>
      </c>
      <c r="L3567"/>
    </row>
    <row r="3568" spans="1:12" x14ac:dyDescent="0.3">
      <c r="A3568" t="s">
        <v>3574</v>
      </c>
      <c r="B3568" t="s">
        <v>10011</v>
      </c>
      <c r="C3568">
        <v>5</v>
      </c>
      <c r="D3568">
        <v>5</v>
      </c>
      <c r="E3568">
        <v>25</v>
      </c>
      <c r="F3568" t="s">
        <v>10019</v>
      </c>
      <c r="G3568" t="s">
        <v>10021</v>
      </c>
      <c r="H3568" s="6">
        <v>45178</v>
      </c>
      <c r="I3568">
        <f t="shared" si="110"/>
        <v>0</v>
      </c>
      <c r="J3568" t="str">
        <f t="shared" si="111"/>
        <v>Complete</v>
      </c>
      <c r="K3568">
        <f>COUNTIFS(RawData[Item], B3568,RawData[Quantity],C3568,RawData[Price Per Unit],D3568,RawData[Total Spent],E3568,RawData[Payment Method],F3568,RawData[Location],G3568,RawData[Transaction Date],H3568)</f>
        <v>1</v>
      </c>
      <c r="L3568"/>
    </row>
    <row r="3569" spans="1:12" x14ac:dyDescent="0.3">
      <c r="A3569" t="s">
        <v>3575</v>
      </c>
      <c r="B3569" t="s">
        <v>10008</v>
      </c>
      <c r="C3569">
        <v>3</v>
      </c>
      <c r="D3569">
        <v>2</v>
      </c>
      <c r="E3569">
        <v>6</v>
      </c>
      <c r="F3569" t="s">
        <v>10069</v>
      </c>
      <c r="G3569" t="s">
        <v>10103</v>
      </c>
      <c r="H3569" s="6">
        <v>45287</v>
      </c>
      <c r="I3569">
        <f t="shared" si="110"/>
        <v>1</v>
      </c>
      <c r="J3569" t="str">
        <f t="shared" si="111"/>
        <v>Complete</v>
      </c>
      <c r="K3569">
        <f>COUNTIFS(RawData[Item], B3569,RawData[Quantity],C3569,RawData[Price Per Unit],D3569,RawData[Total Spent],E3569,RawData[Payment Method],F3569,RawData[Location],G3569,RawData[Transaction Date],H3569)</f>
        <v>1</v>
      </c>
      <c r="L3569"/>
    </row>
    <row r="3570" spans="1:12" x14ac:dyDescent="0.3">
      <c r="A3570" t="s">
        <v>3576</v>
      </c>
      <c r="B3570" t="s">
        <v>10017</v>
      </c>
      <c r="C3570">
        <v>2</v>
      </c>
      <c r="D3570">
        <v>1.5</v>
      </c>
      <c r="E3570">
        <v>3</v>
      </c>
      <c r="F3570" t="s">
        <v>10020</v>
      </c>
      <c r="G3570" t="s">
        <v>10102</v>
      </c>
      <c r="H3570" s="6">
        <v>45012</v>
      </c>
      <c r="I3570">
        <f t="shared" si="110"/>
        <v>0</v>
      </c>
      <c r="J3570" t="str">
        <f t="shared" si="111"/>
        <v>Complete</v>
      </c>
      <c r="K3570">
        <f>COUNTIFS(RawData[Item], B3570,RawData[Quantity],C3570,RawData[Price Per Unit],D3570,RawData[Total Spent],E3570,RawData[Payment Method],F3570,RawData[Location],G3570,RawData[Transaction Date],H3570)</f>
        <v>1</v>
      </c>
      <c r="L3570"/>
    </row>
    <row r="3571" spans="1:12" x14ac:dyDescent="0.3">
      <c r="A3571" t="s">
        <v>3577</v>
      </c>
      <c r="B3571" t="s">
        <v>10008</v>
      </c>
      <c r="C3571">
        <v>3</v>
      </c>
      <c r="D3571">
        <v>2</v>
      </c>
      <c r="E3571">
        <v>6</v>
      </c>
      <c r="F3571" t="s">
        <v>10020</v>
      </c>
      <c r="G3571" t="s">
        <v>10069</v>
      </c>
      <c r="H3571" s="6">
        <v>45041</v>
      </c>
      <c r="I3571">
        <f t="shared" si="110"/>
        <v>0</v>
      </c>
      <c r="J3571" t="str">
        <f t="shared" si="111"/>
        <v>Complete</v>
      </c>
      <c r="K3571">
        <f>COUNTIFS(RawData[Item], B3571,RawData[Quantity],C3571,RawData[Price Per Unit],D3571,RawData[Total Spent],E3571,RawData[Payment Method],F3571,RawData[Location],G3571,RawData[Transaction Date],H3571)</f>
        <v>1</v>
      </c>
      <c r="L3571"/>
    </row>
    <row r="3572" spans="1:12" x14ac:dyDescent="0.3">
      <c r="A3572" t="s">
        <v>3578</v>
      </c>
      <c r="B3572" t="s">
        <v>10009</v>
      </c>
      <c r="C3572">
        <v>5</v>
      </c>
      <c r="D3572">
        <v>3</v>
      </c>
      <c r="E3572">
        <v>15</v>
      </c>
      <c r="F3572" t="s">
        <v>10020</v>
      </c>
      <c r="G3572" t="s">
        <v>10069</v>
      </c>
      <c r="H3572" s="6">
        <v>45068</v>
      </c>
      <c r="I3572">
        <f t="shared" si="110"/>
        <v>0</v>
      </c>
      <c r="J3572" t="str">
        <f t="shared" si="111"/>
        <v>Complete</v>
      </c>
      <c r="K3572">
        <f>COUNTIFS(RawData[Item], B3572,RawData[Quantity],C3572,RawData[Price Per Unit],D3572,RawData[Total Spent],E3572,RawData[Payment Method],F3572,RawData[Location],G3572,RawData[Transaction Date],H3572)</f>
        <v>1</v>
      </c>
      <c r="L3572"/>
    </row>
    <row r="3573" spans="1:12" x14ac:dyDescent="0.3">
      <c r="A3573" t="s">
        <v>3579</v>
      </c>
      <c r="B3573" t="s">
        <v>10011</v>
      </c>
      <c r="C3573">
        <v>1</v>
      </c>
      <c r="D3573">
        <v>5</v>
      </c>
      <c r="E3573">
        <v>5</v>
      </c>
      <c r="F3573" t="s">
        <v>10019</v>
      </c>
      <c r="G3573" t="s">
        <v>10102</v>
      </c>
      <c r="H3573" s="6">
        <v>45163</v>
      </c>
      <c r="I3573">
        <f t="shared" si="110"/>
        <v>0</v>
      </c>
      <c r="J3573" t="str">
        <f t="shared" si="111"/>
        <v>Complete</v>
      </c>
      <c r="K3573">
        <f>COUNTIFS(RawData[Item], B3573,RawData[Quantity],C3573,RawData[Price Per Unit],D3573,RawData[Total Spent],E3573,RawData[Payment Method],F3573,RawData[Location],G3573,RawData[Transaction Date],H3573)</f>
        <v>1</v>
      </c>
      <c r="L3573"/>
    </row>
    <row r="3574" spans="1:12" x14ac:dyDescent="0.3">
      <c r="A3574" t="s">
        <v>3580</v>
      </c>
      <c r="B3574" t="s">
        <v>10012</v>
      </c>
      <c r="C3574">
        <v>4</v>
      </c>
      <c r="D3574">
        <v>4</v>
      </c>
      <c r="E3574">
        <v>16</v>
      </c>
      <c r="F3574" t="s">
        <v>10019</v>
      </c>
      <c r="G3574" t="s">
        <v>10102</v>
      </c>
      <c r="H3574" s="6">
        <v>45189</v>
      </c>
      <c r="I3574">
        <f t="shared" si="110"/>
        <v>0</v>
      </c>
      <c r="J3574" t="str">
        <f t="shared" si="111"/>
        <v>Complete</v>
      </c>
      <c r="K3574">
        <f>COUNTIFS(RawData[Item], B3574,RawData[Quantity],C3574,RawData[Price Per Unit],D3574,RawData[Total Spent],E3574,RawData[Payment Method],F3574,RawData[Location],G3574,RawData[Transaction Date],H3574)</f>
        <v>1</v>
      </c>
      <c r="L3574"/>
    </row>
    <row r="3575" spans="1:12" x14ac:dyDescent="0.3">
      <c r="A3575" t="s">
        <v>3581</v>
      </c>
      <c r="B3575" t="s">
        <v>10011</v>
      </c>
      <c r="C3575">
        <v>5</v>
      </c>
      <c r="D3575" t="s">
        <v>10015</v>
      </c>
      <c r="E3575">
        <v>25</v>
      </c>
      <c r="F3575" t="s">
        <v>10020</v>
      </c>
      <c r="G3575" t="s">
        <v>10069</v>
      </c>
      <c r="H3575" s="6">
        <v>44967</v>
      </c>
      <c r="I3575">
        <f t="shared" si="110"/>
        <v>1</v>
      </c>
      <c r="J3575" t="str">
        <f t="shared" si="111"/>
        <v>Complete</v>
      </c>
      <c r="K3575">
        <f>COUNTIFS(RawData[Item], B3575,RawData[Quantity],C3575,RawData[Price Per Unit],D3575,RawData[Total Spent],E3575,RawData[Payment Method],F3575,RawData[Location],G3575,RawData[Transaction Date],H3575)</f>
        <v>1</v>
      </c>
      <c r="L3575"/>
    </row>
    <row r="3576" spans="1:12" x14ac:dyDescent="0.3">
      <c r="A3576" t="s">
        <v>3582</v>
      </c>
      <c r="B3576" t="s">
        <v>10011</v>
      </c>
      <c r="C3576">
        <v>5</v>
      </c>
      <c r="D3576">
        <v>5</v>
      </c>
      <c r="E3576">
        <v>25</v>
      </c>
      <c r="F3576" t="s">
        <v>10020</v>
      </c>
      <c r="G3576" t="s">
        <v>10069</v>
      </c>
      <c r="H3576" s="6">
        <v>45115</v>
      </c>
      <c r="I3576">
        <f t="shared" si="110"/>
        <v>0</v>
      </c>
      <c r="J3576" t="str">
        <f t="shared" si="111"/>
        <v>Complete</v>
      </c>
      <c r="K3576">
        <f>COUNTIFS(RawData[Item], B3576,RawData[Quantity],C3576,RawData[Price Per Unit],D3576,RawData[Total Spent],E3576,RawData[Payment Method],F3576,RawData[Location],G3576,RawData[Transaction Date],H3576)</f>
        <v>1</v>
      </c>
      <c r="L3576"/>
    </row>
    <row r="3577" spans="1:12" x14ac:dyDescent="0.3">
      <c r="A3577" t="s">
        <v>3583</v>
      </c>
      <c r="B3577" t="s">
        <v>10015</v>
      </c>
      <c r="C3577">
        <v>2</v>
      </c>
      <c r="D3577">
        <v>4</v>
      </c>
      <c r="E3577">
        <v>8</v>
      </c>
      <c r="F3577" t="s">
        <v>10019</v>
      </c>
      <c r="G3577" t="s">
        <v>10069</v>
      </c>
      <c r="H3577" s="6">
        <v>44944</v>
      </c>
      <c r="I3577">
        <f t="shared" si="110"/>
        <v>1</v>
      </c>
      <c r="J3577" t="str">
        <f t="shared" si="111"/>
        <v>Complete</v>
      </c>
      <c r="K3577">
        <f>COUNTIFS(RawData[Item], B3577,RawData[Quantity],C3577,RawData[Price Per Unit],D3577,RawData[Total Spent],E3577,RawData[Payment Method],F3577,RawData[Location],G3577,RawData[Transaction Date],H3577)</f>
        <v>1</v>
      </c>
      <c r="L3577"/>
    </row>
    <row r="3578" spans="1:12" x14ac:dyDescent="0.3">
      <c r="A3578" t="s">
        <v>3584</v>
      </c>
      <c r="B3578" t="s">
        <v>10010</v>
      </c>
      <c r="C3578" t="s">
        <v>10013</v>
      </c>
      <c r="D3578">
        <v>1</v>
      </c>
      <c r="E3578">
        <v>2</v>
      </c>
      <c r="F3578" t="s">
        <v>10104</v>
      </c>
      <c r="G3578" t="s">
        <v>10103</v>
      </c>
      <c r="H3578" s="6">
        <v>45064</v>
      </c>
      <c r="I3578">
        <f t="shared" si="110"/>
        <v>3</v>
      </c>
      <c r="J3578" t="str">
        <f t="shared" si="111"/>
        <v>Complete</v>
      </c>
      <c r="K3578">
        <f>COUNTIFS(RawData[Item], B3578,RawData[Quantity],C3578,RawData[Price Per Unit],D3578,RawData[Total Spent],E3578,RawData[Payment Method],F3578,RawData[Location],G3578,RawData[Transaction Date],H3578)</f>
        <v>1</v>
      </c>
      <c r="L3578"/>
    </row>
    <row r="3579" spans="1:12" x14ac:dyDescent="0.3">
      <c r="A3579" t="s">
        <v>3585</v>
      </c>
      <c r="B3579" t="s">
        <v>10008</v>
      </c>
      <c r="C3579">
        <v>2</v>
      </c>
      <c r="D3579">
        <v>2</v>
      </c>
      <c r="E3579">
        <v>4</v>
      </c>
      <c r="F3579" t="s">
        <v>10069</v>
      </c>
      <c r="G3579" t="s">
        <v>10021</v>
      </c>
      <c r="H3579" s="6">
        <v>45179</v>
      </c>
      <c r="I3579">
        <f t="shared" si="110"/>
        <v>0</v>
      </c>
      <c r="J3579" t="str">
        <f t="shared" si="111"/>
        <v>Complete</v>
      </c>
      <c r="K3579">
        <f>COUNTIFS(RawData[Item], B3579,RawData[Quantity],C3579,RawData[Price Per Unit],D3579,RawData[Total Spent],E3579,RawData[Payment Method],F3579,RawData[Location],G3579,RawData[Transaction Date],H3579)</f>
        <v>1</v>
      </c>
      <c r="L3579"/>
    </row>
    <row r="3580" spans="1:12" x14ac:dyDescent="0.3">
      <c r="A3580" t="s">
        <v>3586</v>
      </c>
      <c r="B3580" t="s">
        <v>10010</v>
      </c>
      <c r="C3580">
        <v>4</v>
      </c>
      <c r="D3580">
        <v>1</v>
      </c>
      <c r="E3580">
        <v>4</v>
      </c>
      <c r="F3580" t="s">
        <v>10069</v>
      </c>
      <c r="G3580" t="s">
        <v>10102</v>
      </c>
      <c r="H3580" s="6">
        <v>44950</v>
      </c>
      <c r="I3580">
        <f t="shared" si="110"/>
        <v>0</v>
      </c>
      <c r="J3580" t="str">
        <f t="shared" si="111"/>
        <v>Complete</v>
      </c>
      <c r="K3580">
        <f>COUNTIFS(RawData[Item], B3580,RawData[Quantity],C3580,RawData[Price Per Unit],D3580,RawData[Total Spent],E3580,RawData[Payment Method],F3580,RawData[Location],G3580,RawData[Transaction Date],H3580)</f>
        <v>1</v>
      </c>
      <c r="L3580"/>
    </row>
    <row r="3581" spans="1:12" x14ac:dyDescent="0.3">
      <c r="A3581" t="s">
        <v>3587</v>
      </c>
      <c r="B3581" t="s">
        <v>10014</v>
      </c>
      <c r="C3581">
        <v>4</v>
      </c>
      <c r="D3581">
        <v>4</v>
      </c>
      <c r="E3581">
        <v>16</v>
      </c>
      <c r="F3581" t="s">
        <v>10069</v>
      </c>
      <c r="G3581" t="s">
        <v>10069</v>
      </c>
      <c r="H3581" s="6">
        <v>44996</v>
      </c>
      <c r="I3581">
        <f t="shared" si="110"/>
        <v>0</v>
      </c>
      <c r="J3581" t="str">
        <f t="shared" si="111"/>
        <v>Complete</v>
      </c>
      <c r="K3581">
        <f>COUNTIFS(RawData[Item], B3581,RawData[Quantity],C3581,RawData[Price Per Unit],D3581,RawData[Total Spent],E3581,RawData[Payment Method],F3581,RawData[Location],G3581,RawData[Transaction Date],H3581)</f>
        <v>1</v>
      </c>
      <c r="L3581"/>
    </row>
    <row r="3582" spans="1:12" x14ac:dyDescent="0.3">
      <c r="A3582" t="s">
        <v>3588</v>
      </c>
      <c r="B3582" t="s">
        <v>10008</v>
      </c>
      <c r="C3582">
        <v>2</v>
      </c>
      <c r="D3582">
        <v>2</v>
      </c>
      <c r="E3582">
        <v>4</v>
      </c>
      <c r="F3582" t="s">
        <v>10020</v>
      </c>
      <c r="G3582" t="s">
        <v>10021</v>
      </c>
      <c r="H3582" s="6">
        <v>45103</v>
      </c>
      <c r="I3582">
        <f t="shared" si="110"/>
        <v>0</v>
      </c>
      <c r="J3582" t="str">
        <f t="shared" si="111"/>
        <v>Complete</v>
      </c>
      <c r="K3582">
        <f>COUNTIFS(RawData[Item], B3582,RawData[Quantity],C3582,RawData[Price Per Unit],D3582,RawData[Total Spent],E3582,RawData[Payment Method],F3582,RawData[Location],G3582,RawData[Transaction Date],H3582)</f>
        <v>1</v>
      </c>
      <c r="L3582"/>
    </row>
    <row r="3583" spans="1:12" x14ac:dyDescent="0.3">
      <c r="A3583" t="s">
        <v>3589</v>
      </c>
      <c r="B3583" t="s">
        <v>10011</v>
      </c>
      <c r="C3583">
        <v>5</v>
      </c>
      <c r="D3583">
        <v>5</v>
      </c>
      <c r="E3583">
        <v>25</v>
      </c>
      <c r="F3583" t="s">
        <v>10019</v>
      </c>
      <c r="G3583" t="s">
        <v>10102</v>
      </c>
      <c r="H3583" s="6">
        <v>45240</v>
      </c>
      <c r="I3583">
        <f t="shared" si="110"/>
        <v>0</v>
      </c>
      <c r="J3583" t="str">
        <f t="shared" si="111"/>
        <v>Complete</v>
      </c>
      <c r="K3583">
        <f>COUNTIFS(RawData[Item], B3583,RawData[Quantity],C3583,RawData[Price Per Unit],D3583,RawData[Total Spent],E3583,RawData[Payment Method],F3583,RawData[Location],G3583,RawData[Transaction Date],H3583)</f>
        <v>1</v>
      </c>
      <c r="L3583"/>
    </row>
    <row r="3584" spans="1:12" x14ac:dyDescent="0.3">
      <c r="A3584" t="s">
        <v>3590</v>
      </c>
      <c r="B3584" t="s">
        <v>10013</v>
      </c>
      <c r="C3584">
        <v>3</v>
      </c>
      <c r="D3584">
        <v>2</v>
      </c>
      <c r="E3584">
        <v>6</v>
      </c>
      <c r="F3584" t="s">
        <v>10069</v>
      </c>
      <c r="G3584" t="s">
        <v>10069</v>
      </c>
      <c r="H3584" s="6">
        <v>45272</v>
      </c>
      <c r="I3584">
        <f t="shared" si="110"/>
        <v>1</v>
      </c>
      <c r="J3584" t="str">
        <f t="shared" si="111"/>
        <v>Complete</v>
      </c>
      <c r="K3584">
        <f>COUNTIFS(RawData[Item], B3584,RawData[Quantity],C3584,RawData[Price Per Unit],D3584,RawData[Total Spent],E3584,RawData[Payment Method],F3584,RawData[Location],G3584,RawData[Transaction Date],H3584)</f>
        <v>1</v>
      </c>
      <c r="L3584"/>
    </row>
    <row r="3585" spans="1:12" x14ac:dyDescent="0.3">
      <c r="A3585" t="s">
        <v>3591</v>
      </c>
      <c r="B3585" t="s">
        <v>10013</v>
      </c>
      <c r="C3585">
        <v>4</v>
      </c>
      <c r="D3585">
        <v>1.5</v>
      </c>
      <c r="E3585">
        <v>6</v>
      </c>
      <c r="F3585" t="s">
        <v>10020</v>
      </c>
      <c r="G3585" t="s">
        <v>10069</v>
      </c>
      <c r="H3585" s="6">
        <v>45181</v>
      </c>
      <c r="I3585">
        <f t="shared" si="110"/>
        <v>1</v>
      </c>
      <c r="J3585" t="str">
        <f t="shared" si="111"/>
        <v>Complete</v>
      </c>
      <c r="K3585">
        <f>COUNTIFS(RawData[Item], B3585,RawData[Quantity],C3585,RawData[Price Per Unit],D3585,RawData[Total Spent],E3585,RawData[Payment Method],F3585,RawData[Location],G3585,RawData[Transaction Date],H3585)</f>
        <v>1</v>
      </c>
      <c r="L3585"/>
    </row>
    <row r="3586" spans="1:12" x14ac:dyDescent="0.3">
      <c r="A3586" t="s">
        <v>3592</v>
      </c>
      <c r="B3586" t="s">
        <v>10010</v>
      </c>
      <c r="C3586">
        <v>2</v>
      </c>
      <c r="D3586">
        <v>1</v>
      </c>
      <c r="E3586">
        <v>2</v>
      </c>
      <c r="F3586" t="s">
        <v>10069</v>
      </c>
      <c r="G3586" t="s">
        <v>10102</v>
      </c>
      <c r="H3586" s="6">
        <v>44955</v>
      </c>
      <c r="I3586">
        <f t="shared" ref="I3586:I3649" si="112">(B3586="Unknown")+(B3586="Error")+(C3586="Unknown")+(C3586="Error")+(D3586="Unknown")+(D3586="Error")+(E3586="Unknown")+(E3586="Error")+(F3586="Unknown")+(F3586="Error")+(G3586="Unknown")+(G3586="Error")+(H3586="No Date")</f>
        <v>0</v>
      </c>
      <c r="J3586" t="str">
        <f t="shared" ref="J3586:J3649" si="113">IF((H3586="No Date"),"Incomplete","Complete")</f>
        <v>Complete</v>
      </c>
      <c r="K3586">
        <f>COUNTIFS(RawData[Item], B3586,RawData[Quantity],C3586,RawData[Price Per Unit],D3586,RawData[Total Spent],E3586,RawData[Payment Method],F3586,RawData[Location],G3586,RawData[Transaction Date],H3586)</f>
        <v>1</v>
      </c>
      <c r="L3586"/>
    </row>
    <row r="3587" spans="1:12" x14ac:dyDescent="0.3">
      <c r="A3587" t="s">
        <v>3593</v>
      </c>
      <c r="B3587" t="s">
        <v>10010</v>
      </c>
      <c r="C3587">
        <v>2</v>
      </c>
      <c r="D3587">
        <v>0</v>
      </c>
      <c r="E3587">
        <v>2</v>
      </c>
      <c r="F3587" t="s">
        <v>10018</v>
      </c>
      <c r="G3587" t="s">
        <v>10102</v>
      </c>
      <c r="H3587" s="6">
        <v>45112</v>
      </c>
      <c r="I3587">
        <f t="shared" si="112"/>
        <v>0</v>
      </c>
      <c r="J3587" t="str">
        <f t="shared" si="113"/>
        <v>Complete</v>
      </c>
      <c r="K3587">
        <f>COUNTIFS(RawData[Item], B3587,RawData[Quantity],C3587,RawData[Price Per Unit],D3587,RawData[Total Spent],E3587,RawData[Payment Method],F3587,RawData[Location],G3587,RawData[Transaction Date],H3587)</f>
        <v>1</v>
      </c>
      <c r="L3587"/>
    </row>
    <row r="3588" spans="1:12" x14ac:dyDescent="0.3">
      <c r="A3588" t="s">
        <v>3594</v>
      </c>
      <c r="B3588" t="s">
        <v>10015</v>
      </c>
      <c r="C3588">
        <v>2</v>
      </c>
      <c r="D3588">
        <v>1.5</v>
      </c>
      <c r="E3588">
        <v>3</v>
      </c>
      <c r="F3588" t="s">
        <v>10069</v>
      </c>
      <c r="G3588" t="s">
        <v>10021</v>
      </c>
      <c r="H3588" s="6">
        <v>45227</v>
      </c>
      <c r="I3588">
        <f t="shared" si="112"/>
        <v>1</v>
      </c>
      <c r="J3588" t="str">
        <f t="shared" si="113"/>
        <v>Complete</v>
      </c>
      <c r="K3588">
        <f>COUNTIFS(RawData[Item], B3588,RawData[Quantity],C3588,RawData[Price Per Unit],D3588,RawData[Total Spent],E3588,RawData[Payment Method],F3588,RawData[Location],G3588,RawData[Transaction Date],H3588)</f>
        <v>1</v>
      </c>
      <c r="L3588"/>
    </row>
    <row r="3589" spans="1:12" x14ac:dyDescent="0.3">
      <c r="A3589" t="s">
        <v>3595</v>
      </c>
      <c r="B3589" t="s">
        <v>10015</v>
      </c>
      <c r="C3589">
        <v>4</v>
      </c>
      <c r="D3589">
        <v>1</v>
      </c>
      <c r="E3589">
        <v>4</v>
      </c>
      <c r="F3589" t="s">
        <v>10018</v>
      </c>
      <c r="G3589" t="s">
        <v>10021</v>
      </c>
      <c r="H3589" s="6">
        <v>45006</v>
      </c>
      <c r="I3589">
        <f t="shared" si="112"/>
        <v>1</v>
      </c>
      <c r="J3589" t="str">
        <f t="shared" si="113"/>
        <v>Complete</v>
      </c>
      <c r="K3589">
        <f>COUNTIFS(RawData[Item], B3589,RawData[Quantity],C3589,RawData[Price Per Unit],D3589,RawData[Total Spent],E3589,RawData[Payment Method],F3589,RawData[Location],G3589,RawData[Transaction Date],H3589)</f>
        <v>1</v>
      </c>
      <c r="L3589"/>
    </row>
    <row r="3590" spans="1:12" x14ac:dyDescent="0.3">
      <c r="A3590" t="s">
        <v>3596</v>
      </c>
      <c r="B3590" t="s">
        <v>10009</v>
      </c>
      <c r="C3590">
        <v>4</v>
      </c>
      <c r="D3590">
        <v>3</v>
      </c>
      <c r="E3590">
        <v>12</v>
      </c>
      <c r="F3590" t="s">
        <v>10019</v>
      </c>
      <c r="G3590" t="s">
        <v>10103</v>
      </c>
      <c r="H3590" s="6">
        <v>45109</v>
      </c>
      <c r="I3590">
        <f t="shared" si="112"/>
        <v>1</v>
      </c>
      <c r="J3590" t="str">
        <f t="shared" si="113"/>
        <v>Complete</v>
      </c>
      <c r="K3590">
        <f>COUNTIFS(RawData[Item], B3590,RawData[Quantity],C3590,RawData[Price Per Unit],D3590,RawData[Total Spent],E3590,RawData[Payment Method],F3590,RawData[Location],G3590,RawData[Transaction Date],H3590)</f>
        <v>1</v>
      </c>
      <c r="L3590"/>
    </row>
    <row r="3591" spans="1:12" x14ac:dyDescent="0.3">
      <c r="A3591" t="s">
        <v>3597</v>
      </c>
      <c r="B3591" t="s">
        <v>10014</v>
      </c>
      <c r="C3591">
        <v>5</v>
      </c>
      <c r="D3591" t="s">
        <v>10013</v>
      </c>
      <c r="E3591">
        <v>20</v>
      </c>
      <c r="F3591" t="s">
        <v>10018</v>
      </c>
      <c r="G3591" t="s">
        <v>10069</v>
      </c>
      <c r="H3591" s="6">
        <v>45153</v>
      </c>
      <c r="I3591">
        <f t="shared" si="112"/>
        <v>1</v>
      </c>
      <c r="J3591" t="str">
        <f t="shared" si="113"/>
        <v>Complete</v>
      </c>
      <c r="K3591">
        <f>COUNTIFS(RawData[Item], B3591,RawData[Quantity],C3591,RawData[Price Per Unit],D3591,RawData[Total Spent],E3591,RawData[Payment Method],F3591,RawData[Location],G3591,RawData[Transaction Date],H3591)</f>
        <v>1</v>
      </c>
      <c r="L3591"/>
    </row>
    <row r="3592" spans="1:12" x14ac:dyDescent="0.3">
      <c r="A3592" t="s">
        <v>3598</v>
      </c>
      <c r="B3592" t="s">
        <v>10010</v>
      </c>
      <c r="C3592">
        <v>1</v>
      </c>
      <c r="D3592" t="s">
        <v>10013</v>
      </c>
      <c r="E3592">
        <v>1</v>
      </c>
      <c r="F3592" t="s">
        <v>10019</v>
      </c>
      <c r="G3592" t="s">
        <v>10069</v>
      </c>
      <c r="H3592" s="6">
        <v>45095</v>
      </c>
      <c r="I3592">
        <f t="shared" si="112"/>
        <v>1</v>
      </c>
      <c r="J3592" t="str">
        <f t="shared" si="113"/>
        <v>Complete</v>
      </c>
      <c r="K3592">
        <f>COUNTIFS(RawData[Item], B3592,RawData[Quantity],C3592,RawData[Price Per Unit],D3592,RawData[Total Spent],E3592,RawData[Payment Method],F3592,RawData[Location],G3592,RawData[Transaction Date],H3592)</f>
        <v>1</v>
      </c>
      <c r="L3592"/>
    </row>
    <row r="3593" spans="1:12" x14ac:dyDescent="0.3">
      <c r="A3593" t="s">
        <v>3599</v>
      </c>
      <c r="B3593" t="s">
        <v>10012</v>
      </c>
      <c r="C3593">
        <v>3</v>
      </c>
      <c r="D3593">
        <v>4</v>
      </c>
      <c r="E3593">
        <v>12</v>
      </c>
      <c r="F3593" t="s">
        <v>10020</v>
      </c>
      <c r="G3593" t="s">
        <v>10021</v>
      </c>
      <c r="H3593" s="6">
        <v>45172</v>
      </c>
      <c r="I3593">
        <f t="shared" si="112"/>
        <v>0</v>
      </c>
      <c r="J3593" t="str">
        <f t="shared" si="113"/>
        <v>Complete</v>
      </c>
      <c r="K3593">
        <f>COUNTIFS(RawData[Item], B3593,RawData[Quantity],C3593,RawData[Price Per Unit],D3593,RawData[Total Spent],E3593,RawData[Payment Method],F3593,RawData[Location],G3593,RawData[Transaction Date],H3593)</f>
        <v>1</v>
      </c>
      <c r="L3593"/>
    </row>
    <row r="3594" spans="1:12" x14ac:dyDescent="0.3">
      <c r="A3594" t="s">
        <v>3600</v>
      </c>
      <c r="B3594" t="s">
        <v>10010</v>
      </c>
      <c r="C3594">
        <v>1</v>
      </c>
      <c r="D3594">
        <v>1</v>
      </c>
      <c r="E3594">
        <v>1</v>
      </c>
      <c r="F3594" t="s">
        <v>10018</v>
      </c>
      <c r="G3594" t="s">
        <v>10021</v>
      </c>
      <c r="H3594" s="6">
        <v>45119</v>
      </c>
      <c r="I3594">
        <f t="shared" si="112"/>
        <v>0</v>
      </c>
      <c r="J3594" t="str">
        <f t="shared" si="113"/>
        <v>Complete</v>
      </c>
      <c r="K3594">
        <f>COUNTIFS(RawData[Item], B3594,RawData[Quantity],C3594,RawData[Price Per Unit],D3594,RawData[Total Spent],E3594,RawData[Payment Method],F3594,RawData[Location],G3594,RawData[Transaction Date],H3594)</f>
        <v>1</v>
      </c>
      <c r="L3594"/>
    </row>
    <row r="3595" spans="1:12" x14ac:dyDescent="0.3">
      <c r="A3595" t="s">
        <v>3601</v>
      </c>
      <c r="B3595" t="s">
        <v>10011</v>
      </c>
      <c r="C3595">
        <v>4</v>
      </c>
      <c r="D3595">
        <v>5</v>
      </c>
      <c r="E3595">
        <v>20</v>
      </c>
      <c r="F3595" t="s">
        <v>10018</v>
      </c>
      <c r="G3595" t="s">
        <v>10102</v>
      </c>
      <c r="H3595" s="6">
        <v>45202</v>
      </c>
      <c r="I3595">
        <f t="shared" si="112"/>
        <v>0</v>
      </c>
      <c r="J3595" t="str">
        <f t="shared" si="113"/>
        <v>Complete</v>
      </c>
      <c r="K3595">
        <f>COUNTIFS(RawData[Item], B3595,RawData[Quantity],C3595,RawData[Price Per Unit],D3595,RawData[Total Spent],E3595,RawData[Payment Method],F3595,RawData[Location],G3595,RawData[Transaction Date],H3595)</f>
        <v>1</v>
      </c>
      <c r="L3595"/>
    </row>
    <row r="3596" spans="1:12" x14ac:dyDescent="0.3">
      <c r="A3596" t="s">
        <v>3602</v>
      </c>
      <c r="B3596" t="s">
        <v>10016</v>
      </c>
      <c r="C3596">
        <v>4</v>
      </c>
      <c r="D3596">
        <v>3</v>
      </c>
      <c r="E3596">
        <v>12</v>
      </c>
      <c r="F3596" t="s">
        <v>10019</v>
      </c>
      <c r="G3596" t="s">
        <v>10021</v>
      </c>
      <c r="H3596" s="6">
        <v>45155</v>
      </c>
      <c r="I3596">
        <f t="shared" si="112"/>
        <v>0</v>
      </c>
      <c r="J3596" t="str">
        <f t="shared" si="113"/>
        <v>Complete</v>
      </c>
      <c r="K3596">
        <f>COUNTIFS(RawData[Item], B3596,RawData[Quantity],C3596,RawData[Price Per Unit],D3596,RawData[Total Spent],E3596,RawData[Payment Method],F3596,RawData[Location],G3596,RawData[Transaction Date],H3596)</f>
        <v>1</v>
      </c>
      <c r="L3596"/>
    </row>
    <row r="3597" spans="1:12" x14ac:dyDescent="0.3">
      <c r="A3597" t="s">
        <v>3603</v>
      </c>
      <c r="B3597" t="s">
        <v>10013</v>
      </c>
      <c r="C3597">
        <v>4</v>
      </c>
      <c r="D3597">
        <v>5</v>
      </c>
      <c r="E3597">
        <v>20</v>
      </c>
      <c r="F3597" t="s">
        <v>10019</v>
      </c>
      <c r="G3597" t="s">
        <v>10102</v>
      </c>
      <c r="H3597" s="6">
        <v>45083</v>
      </c>
      <c r="I3597">
        <f t="shared" si="112"/>
        <v>1</v>
      </c>
      <c r="J3597" t="str">
        <f t="shared" si="113"/>
        <v>Complete</v>
      </c>
      <c r="K3597">
        <f>COUNTIFS(RawData[Item], B3597,RawData[Quantity],C3597,RawData[Price Per Unit],D3597,RawData[Total Spent],E3597,RawData[Payment Method],F3597,RawData[Location],G3597,RawData[Transaction Date],H3597)</f>
        <v>1</v>
      </c>
      <c r="L3597"/>
    </row>
    <row r="3598" spans="1:12" x14ac:dyDescent="0.3">
      <c r="A3598" t="s">
        <v>3604</v>
      </c>
      <c r="B3598" t="s">
        <v>10011</v>
      </c>
      <c r="C3598">
        <v>2</v>
      </c>
      <c r="D3598">
        <v>5</v>
      </c>
      <c r="E3598">
        <v>10</v>
      </c>
      <c r="F3598" t="s">
        <v>10018</v>
      </c>
      <c r="G3598" t="s">
        <v>10069</v>
      </c>
      <c r="H3598" s="6">
        <v>45145</v>
      </c>
      <c r="I3598">
        <f t="shared" si="112"/>
        <v>0</v>
      </c>
      <c r="J3598" t="str">
        <f t="shared" si="113"/>
        <v>Complete</v>
      </c>
      <c r="K3598">
        <f>COUNTIFS(RawData[Item], B3598,RawData[Quantity],C3598,RawData[Price Per Unit],D3598,RawData[Total Spent],E3598,RawData[Payment Method],F3598,RawData[Location],G3598,RawData[Transaction Date],H3598)</f>
        <v>1</v>
      </c>
      <c r="L3598"/>
    </row>
    <row r="3599" spans="1:12" x14ac:dyDescent="0.3">
      <c r="A3599" t="s">
        <v>3605</v>
      </c>
      <c r="B3599" t="s">
        <v>10012</v>
      </c>
      <c r="C3599">
        <v>4</v>
      </c>
      <c r="D3599">
        <v>4</v>
      </c>
      <c r="E3599">
        <v>16</v>
      </c>
      <c r="F3599" t="s">
        <v>10019</v>
      </c>
      <c r="G3599" t="s">
        <v>10102</v>
      </c>
      <c r="H3599" s="6" t="s">
        <v>10112</v>
      </c>
      <c r="I3599">
        <f t="shared" si="112"/>
        <v>1</v>
      </c>
      <c r="J3599" t="str">
        <f t="shared" si="113"/>
        <v>Incomplete</v>
      </c>
      <c r="K3599">
        <f>COUNTIFS(RawData[Item], B3599,RawData[Quantity],C3599,RawData[Price Per Unit],D3599,RawData[Total Spent],E3599,RawData[Payment Method],F3599,RawData[Location],G3599,RawData[Transaction Date],H3599)</f>
        <v>1</v>
      </c>
      <c r="L3599"/>
    </row>
    <row r="3600" spans="1:12" x14ac:dyDescent="0.3">
      <c r="A3600" t="s">
        <v>3606</v>
      </c>
      <c r="B3600" t="s">
        <v>10012</v>
      </c>
      <c r="C3600">
        <v>1</v>
      </c>
      <c r="D3600" t="s">
        <v>10015</v>
      </c>
      <c r="E3600" t="s">
        <v>10015</v>
      </c>
      <c r="F3600" t="s">
        <v>10019</v>
      </c>
      <c r="G3600" t="s">
        <v>10021</v>
      </c>
      <c r="H3600" s="6">
        <v>45056</v>
      </c>
      <c r="I3600">
        <f t="shared" si="112"/>
        <v>2</v>
      </c>
      <c r="J3600" t="str">
        <f t="shared" si="113"/>
        <v>Complete</v>
      </c>
      <c r="K3600">
        <f>COUNTIFS(RawData[Item], B3600,RawData[Quantity],C3600,RawData[Price Per Unit],D3600,RawData[Total Spent],E3600,RawData[Payment Method],F3600,RawData[Location],G3600,RawData[Transaction Date],H3600)</f>
        <v>1</v>
      </c>
      <c r="L3600"/>
    </row>
    <row r="3601" spans="1:12" x14ac:dyDescent="0.3">
      <c r="A3601" t="s">
        <v>3607</v>
      </c>
      <c r="B3601" t="s">
        <v>10016</v>
      </c>
      <c r="C3601">
        <v>4</v>
      </c>
      <c r="D3601">
        <v>3</v>
      </c>
      <c r="E3601">
        <v>12</v>
      </c>
      <c r="F3601" t="s">
        <v>10020</v>
      </c>
      <c r="G3601" t="s">
        <v>10102</v>
      </c>
      <c r="H3601" s="6">
        <v>44999</v>
      </c>
      <c r="I3601">
        <f t="shared" si="112"/>
        <v>0</v>
      </c>
      <c r="J3601" t="str">
        <f t="shared" si="113"/>
        <v>Complete</v>
      </c>
      <c r="K3601">
        <f>COUNTIFS(RawData[Item], B3601,RawData[Quantity],C3601,RawData[Price Per Unit],D3601,RawData[Total Spent],E3601,RawData[Payment Method],F3601,RawData[Location],G3601,RawData[Transaction Date],H3601)</f>
        <v>1</v>
      </c>
      <c r="L3601"/>
    </row>
    <row r="3602" spans="1:12" x14ac:dyDescent="0.3">
      <c r="A3602" t="s">
        <v>3608</v>
      </c>
      <c r="B3602" t="s">
        <v>10013</v>
      </c>
      <c r="C3602">
        <v>3</v>
      </c>
      <c r="D3602">
        <v>1</v>
      </c>
      <c r="E3602">
        <v>0</v>
      </c>
      <c r="F3602" t="s">
        <v>10069</v>
      </c>
      <c r="G3602" t="s">
        <v>10069</v>
      </c>
      <c r="H3602" s="6">
        <v>44995</v>
      </c>
      <c r="I3602">
        <f t="shared" si="112"/>
        <v>1</v>
      </c>
      <c r="J3602" t="str">
        <f t="shared" si="113"/>
        <v>Complete</v>
      </c>
      <c r="K3602">
        <f>COUNTIFS(RawData[Item], B3602,RawData[Quantity],C3602,RawData[Price Per Unit],D3602,RawData[Total Spent],E3602,RawData[Payment Method],F3602,RawData[Location],G3602,RawData[Transaction Date],H3602)</f>
        <v>1</v>
      </c>
      <c r="L3602"/>
    </row>
    <row r="3603" spans="1:12" x14ac:dyDescent="0.3">
      <c r="A3603" t="s">
        <v>3609</v>
      </c>
      <c r="B3603" t="s">
        <v>10016</v>
      </c>
      <c r="C3603">
        <v>2</v>
      </c>
      <c r="D3603">
        <v>3</v>
      </c>
      <c r="E3603">
        <v>6</v>
      </c>
      <c r="F3603" t="s">
        <v>10020</v>
      </c>
      <c r="G3603" t="s">
        <v>10021</v>
      </c>
      <c r="H3603" s="6">
        <v>45004</v>
      </c>
      <c r="I3603">
        <f t="shared" si="112"/>
        <v>0</v>
      </c>
      <c r="J3603" t="str">
        <f t="shared" si="113"/>
        <v>Complete</v>
      </c>
      <c r="K3603">
        <f>COUNTIFS(RawData[Item], B3603,RawData[Quantity],C3603,RawData[Price Per Unit],D3603,RawData[Total Spent],E3603,RawData[Payment Method],F3603,RawData[Location],G3603,RawData[Transaction Date],H3603)</f>
        <v>1</v>
      </c>
      <c r="L3603"/>
    </row>
    <row r="3604" spans="1:12" x14ac:dyDescent="0.3">
      <c r="A3604" t="s">
        <v>3610</v>
      </c>
      <c r="B3604" t="s">
        <v>10008</v>
      </c>
      <c r="C3604">
        <v>1</v>
      </c>
      <c r="D3604">
        <v>2</v>
      </c>
      <c r="E3604">
        <v>2</v>
      </c>
      <c r="F3604" t="s">
        <v>10018</v>
      </c>
      <c r="G3604" t="s">
        <v>10102</v>
      </c>
      <c r="H3604" s="6">
        <v>45205</v>
      </c>
      <c r="I3604">
        <f t="shared" si="112"/>
        <v>0</v>
      </c>
      <c r="J3604" t="str">
        <f t="shared" si="113"/>
        <v>Complete</v>
      </c>
      <c r="K3604">
        <f>COUNTIFS(RawData[Item], B3604,RawData[Quantity],C3604,RawData[Price Per Unit],D3604,RawData[Total Spent],E3604,RawData[Payment Method],F3604,RawData[Location],G3604,RawData[Transaction Date],H3604)</f>
        <v>1</v>
      </c>
      <c r="L3604"/>
    </row>
    <row r="3605" spans="1:12" x14ac:dyDescent="0.3">
      <c r="A3605" t="s">
        <v>3611</v>
      </c>
      <c r="B3605" t="s">
        <v>10011</v>
      </c>
      <c r="C3605">
        <v>2</v>
      </c>
      <c r="D3605">
        <v>5</v>
      </c>
      <c r="E3605">
        <v>10</v>
      </c>
      <c r="F3605" t="s">
        <v>10069</v>
      </c>
      <c r="G3605" t="s">
        <v>10069</v>
      </c>
      <c r="H3605" s="6">
        <v>45105</v>
      </c>
      <c r="I3605">
        <f t="shared" si="112"/>
        <v>0</v>
      </c>
      <c r="J3605" t="str">
        <f t="shared" si="113"/>
        <v>Complete</v>
      </c>
      <c r="K3605">
        <f>COUNTIFS(RawData[Item], B3605,RawData[Quantity],C3605,RawData[Price Per Unit],D3605,RawData[Total Spent],E3605,RawData[Payment Method],F3605,RawData[Location],G3605,RawData[Transaction Date],H3605)</f>
        <v>1</v>
      </c>
      <c r="L3605"/>
    </row>
    <row r="3606" spans="1:12" x14ac:dyDescent="0.3">
      <c r="A3606" t="s">
        <v>3612</v>
      </c>
      <c r="B3606" t="s">
        <v>10008</v>
      </c>
      <c r="C3606">
        <v>5</v>
      </c>
      <c r="D3606">
        <v>2</v>
      </c>
      <c r="E3606">
        <v>10</v>
      </c>
      <c r="F3606" t="s">
        <v>10104</v>
      </c>
      <c r="G3606" t="s">
        <v>10102</v>
      </c>
      <c r="H3606" s="6">
        <v>45211</v>
      </c>
      <c r="I3606">
        <f t="shared" si="112"/>
        <v>1</v>
      </c>
      <c r="J3606" t="str">
        <f t="shared" si="113"/>
        <v>Complete</v>
      </c>
      <c r="K3606">
        <f>COUNTIFS(RawData[Item], B3606,RawData[Quantity],C3606,RawData[Price Per Unit],D3606,RawData[Total Spent],E3606,RawData[Payment Method],F3606,RawData[Location],G3606,RawData[Transaction Date],H3606)</f>
        <v>1</v>
      </c>
      <c r="L3606"/>
    </row>
    <row r="3607" spans="1:12" x14ac:dyDescent="0.3">
      <c r="A3607" t="s">
        <v>3613</v>
      </c>
      <c r="B3607" t="s">
        <v>10016</v>
      </c>
      <c r="C3607">
        <v>2</v>
      </c>
      <c r="D3607">
        <v>3</v>
      </c>
      <c r="E3607">
        <v>6</v>
      </c>
      <c r="F3607" t="s">
        <v>10020</v>
      </c>
      <c r="G3607" t="s">
        <v>10021</v>
      </c>
      <c r="H3607" s="6">
        <v>45050</v>
      </c>
      <c r="I3607">
        <f t="shared" si="112"/>
        <v>0</v>
      </c>
      <c r="J3607" t="str">
        <f t="shared" si="113"/>
        <v>Complete</v>
      </c>
      <c r="K3607">
        <f>COUNTIFS(RawData[Item], B3607,RawData[Quantity],C3607,RawData[Price Per Unit],D3607,RawData[Total Spent],E3607,RawData[Payment Method],F3607,RawData[Location],G3607,RawData[Transaction Date],H3607)</f>
        <v>1</v>
      </c>
      <c r="L3607"/>
    </row>
    <row r="3608" spans="1:12" x14ac:dyDescent="0.3">
      <c r="A3608" t="s">
        <v>3614</v>
      </c>
      <c r="B3608" t="s">
        <v>10009</v>
      </c>
      <c r="C3608">
        <v>4</v>
      </c>
      <c r="D3608">
        <v>3</v>
      </c>
      <c r="E3608">
        <v>12</v>
      </c>
      <c r="F3608" t="s">
        <v>10069</v>
      </c>
      <c r="G3608" t="s">
        <v>10021</v>
      </c>
      <c r="H3608" s="6">
        <v>45171</v>
      </c>
      <c r="I3608">
        <f t="shared" si="112"/>
        <v>0</v>
      </c>
      <c r="J3608" t="str">
        <f t="shared" si="113"/>
        <v>Complete</v>
      </c>
      <c r="K3608">
        <f>COUNTIFS(RawData[Item], B3608,RawData[Quantity],C3608,RawData[Price Per Unit],D3608,RawData[Total Spent],E3608,RawData[Payment Method],F3608,RawData[Location],G3608,RawData[Transaction Date],H3608)</f>
        <v>1</v>
      </c>
      <c r="L3608"/>
    </row>
    <row r="3609" spans="1:12" x14ac:dyDescent="0.3">
      <c r="A3609" t="s">
        <v>3615</v>
      </c>
      <c r="B3609" t="s">
        <v>10011</v>
      </c>
      <c r="C3609">
        <v>5</v>
      </c>
      <c r="D3609">
        <v>5</v>
      </c>
      <c r="E3609">
        <v>25</v>
      </c>
      <c r="F3609" t="s">
        <v>10069</v>
      </c>
      <c r="G3609" t="s">
        <v>10069</v>
      </c>
      <c r="H3609" s="6">
        <v>45103</v>
      </c>
      <c r="I3609">
        <f t="shared" si="112"/>
        <v>0</v>
      </c>
      <c r="J3609" t="str">
        <f t="shared" si="113"/>
        <v>Complete</v>
      </c>
      <c r="K3609">
        <f>COUNTIFS(RawData[Item], B3609,RawData[Quantity],C3609,RawData[Price Per Unit],D3609,RawData[Total Spent],E3609,RawData[Payment Method],F3609,RawData[Location],G3609,RawData[Transaction Date],H3609)</f>
        <v>1</v>
      </c>
      <c r="L3609"/>
    </row>
    <row r="3610" spans="1:12" x14ac:dyDescent="0.3">
      <c r="A3610" t="s">
        <v>3616</v>
      </c>
      <c r="B3610" t="s">
        <v>10010</v>
      </c>
      <c r="C3610">
        <v>3</v>
      </c>
      <c r="D3610">
        <v>0</v>
      </c>
      <c r="E3610">
        <v>3</v>
      </c>
      <c r="F3610" t="s">
        <v>10020</v>
      </c>
      <c r="G3610" t="s">
        <v>10021</v>
      </c>
      <c r="H3610" s="6">
        <v>45213</v>
      </c>
      <c r="I3610">
        <f t="shared" si="112"/>
        <v>0</v>
      </c>
      <c r="J3610" t="str">
        <f t="shared" si="113"/>
        <v>Complete</v>
      </c>
      <c r="K3610">
        <f>COUNTIFS(RawData[Item], B3610,RawData[Quantity],C3610,RawData[Price Per Unit],D3610,RawData[Total Spent],E3610,RawData[Payment Method],F3610,RawData[Location],G3610,RawData[Transaction Date],H3610)</f>
        <v>1</v>
      </c>
      <c r="L3610"/>
    </row>
    <row r="3611" spans="1:12" x14ac:dyDescent="0.3">
      <c r="A3611" t="s">
        <v>3617</v>
      </c>
      <c r="B3611" t="s">
        <v>10069</v>
      </c>
      <c r="C3611">
        <v>4</v>
      </c>
      <c r="D3611">
        <v>2</v>
      </c>
      <c r="E3611">
        <v>8</v>
      </c>
      <c r="F3611" t="s">
        <v>10020</v>
      </c>
      <c r="G3611" t="s">
        <v>10102</v>
      </c>
      <c r="H3611" s="6">
        <v>45176</v>
      </c>
      <c r="I3611">
        <f t="shared" si="112"/>
        <v>0</v>
      </c>
      <c r="J3611" t="str">
        <f t="shared" si="113"/>
        <v>Complete</v>
      </c>
      <c r="K3611">
        <f>COUNTIFS(RawData[Item], B3611,RawData[Quantity],C3611,RawData[Price Per Unit],D3611,RawData[Total Spent],E3611,RawData[Payment Method],F3611,RawData[Location],G3611,RawData[Transaction Date],H3611)</f>
        <v>1</v>
      </c>
      <c r="L3611"/>
    </row>
    <row r="3612" spans="1:12" x14ac:dyDescent="0.3">
      <c r="A3612" t="s">
        <v>3618</v>
      </c>
      <c r="B3612" t="s">
        <v>10010</v>
      </c>
      <c r="C3612">
        <v>3</v>
      </c>
      <c r="D3612">
        <v>1</v>
      </c>
      <c r="E3612" t="s">
        <v>10015</v>
      </c>
      <c r="F3612" t="s">
        <v>10019</v>
      </c>
      <c r="G3612" t="s">
        <v>10102</v>
      </c>
      <c r="H3612" s="6">
        <v>45248</v>
      </c>
      <c r="I3612">
        <f t="shared" si="112"/>
        <v>1</v>
      </c>
      <c r="J3612" t="str">
        <f t="shared" si="113"/>
        <v>Complete</v>
      </c>
      <c r="K3612">
        <f>COUNTIFS(RawData[Item], B3612,RawData[Quantity],C3612,RawData[Price Per Unit],D3612,RawData[Total Spent],E3612,RawData[Payment Method],F3612,RawData[Location],G3612,RawData[Transaction Date],H3612)</f>
        <v>1</v>
      </c>
      <c r="L3612"/>
    </row>
    <row r="3613" spans="1:12" x14ac:dyDescent="0.3">
      <c r="A3613" t="s">
        <v>3619</v>
      </c>
      <c r="B3613" t="s">
        <v>10012</v>
      </c>
      <c r="C3613">
        <v>2</v>
      </c>
      <c r="D3613">
        <v>4</v>
      </c>
      <c r="E3613">
        <v>8</v>
      </c>
      <c r="F3613" t="s">
        <v>10018</v>
      </c>
      <c r="G3613" t="s">
        <v>10021</v>
      </c>
      <c r="H3613" s="6">
        <v>44957</v>
      </c>
      <c r="I3613">
        <f t="shared" si="112"/>
        <v>0</v>
      </c>
      <c r="J3613" t="str">
        <f t="shared" si="113"/>
        <v>Complete</v>
      </c>
      <c r="K3613">
        <f>COUNTIFS(RawData[Item], B3613,RawData[Quantity],C3613,RawData[Price Per Unit],D3613,RawData[Total Spent],E3613,RawData[Payment Method],F3613,RawData[Location],G3613,RawData[Transaction Date],H3613)</f>
        <v>1</v>
      </c>
      <c r="L3613"/>
    </row>
    <row r="3614" spans="1:12" x14ac:dyDescent="0.3">
      <c r="A3614" t="s">
        <v>3620</v>
      </c>
      <c r="B3614" t="s">
        <v>10008</v>
      </c>
      <c r="C3614">
        <v>2</v>
      </c>
      <c r="D3614">
        <v>2</v>
      </c>
      <c r="E3614">
        <v>4</v>
      </c>
      <c r="F3614" t="s">
        <v>10019</v>
      </c>
      <c r="G3614" t="s">
        <v>10104</v>
      </c>
      <c r="H3614" s="6">
        <v>45267</v>
      </c>
      <c r="I3614">
        <f t="shared" si="112"/>
        <v>1</v>
      </c>
      <c r="J3614" t="str">
        <f t="shared" si="113"/>
        <v>Complete</v>
      </c>
      <c r="K3614">
        <f>COUNTIFS(RawData[Item], B3614,RawData[Quantity],C3614,RawData[Price Per Unit],D3614,RawData[Total Spent],E3614,RawData[Payment Method],F3614,RawData[Location],G3614,RawData[Transaction Date],H3614)</f>
        <v>1</v>
      </c>
      <c r="L3614"/>
    </row>
    <row r="3615" spans="1:12" x14ac:dyDescent="0.3">
      <c r="A3615" t="s">
        <v>3621</v>
      </c>
      <c r="B3615" t="s">
        <v>10008</v>
      </c>
      <c r="C3615">
        <v>1</v>
      </c>
      <c r="D3615">
        <v>2</v>
      </c>
      <c r="E3615">
        <v>2</v>
      </c>
      <c r="F3615" t="s">
        <v>10018</v>
      </c>
      <c r="G3615" t="s">
        <v>10069</v>
      </c>
      <c r="H3615" s="6">
        <v>45066</v>
      </c>
      <c r="I3615">
        <f t="shared" si="112"/>
        <v>0</v>
      </c>
      <c r="J3615" t="str">
        <f t="shared" si="113"/>
        <v>Complete</v>
      </c>
      <c r="K3615">
        <f>COUNTIFS(RawData[Item], B3615,RawData[Quantity],C3615,RawData[Price Per Unit],D3615,RawData[Total Spent],E3615,RawData[Payment Method],F3615,RawData[Location],G3615,RawData[Transaction Date],H3615)</f>
        <v>1</v>
      </c>
      <c r="L3615"/>
    </row>
    <row r="3616" spans="1:12" x14ac:dyDescent="0.3">
      <c r="A3616" t="s">
        <v>3622</v>
      </c>
      <c r="B3616" t="s">
        <v>10008</v>
      </c>
      <c r="C3616">
        <v>3</v>
      </c>
      <c r="D3616">
        <v>2</v>
      </c>
      <c r="E3616">
        <v>6</v>
      </c>
      <c r="F3616" t="s">
        <v>10020</v>
      </c>
      <c r="G3616" t="s">
        <v>10021</v>
      </c>
      <c r="H3616" s="6">
        <v>45072</v>
      </c>
      <c r="I3616">
        <f t="shared" si="112"/>
        <v>0</v>
      </c>
      <c r="J3616" t="str">
        <f t="shared" si="113"/>
        <v>Complete</v>
      </c>
      <c r="K3616">
        <f>COUNTIFS(RawData[Item], B3616,RawData[Quantity],C3616,RawData[Price Per Unit],D3616,RawData[Total Spent],E3616,RawData[Payment Method],F3616,RawData[Location],G3616,RawData[Transaction Date],H3616)</f>
        <v>1</v>
      </c>
      <c r="L3616"/>
    </row>
    <row r="3617" spans="1:12" x14ac:dyDescent="0.3">
      <c r="A3617" t="s">
        <v>3623</v>
      </c>
      <c r="B3617" t="s">
        <v>10012</v>
      </c>
      <c r="C3617">
        <v>5</v>
      </c>
      <c r="D3617">
        <v>4</v>
      </c>
      <c r="E3617">
        <v>20</v>
      </c>
      <c r="F3617" t="s">
        <v>10020</v>
      </c>
      <c r="G3617" t="s">
        <v>10102</v>
      </c>
      <c r="H3617" s="6">
        <v>45004</v>
      </c>
      <c r="I3617">
        <f t="shared" si="112"/>
        <v>0</v>
      </c>
      <c r="J3617" t="str">
        <f t="shared" si="113"/>
        <v>Complete</v>
      </c>
      <c r="K3617">
        <f>COUNTIFS(RawData[Item], B3617,RawData[Quantity],C3617,RawData[Price Per Unit],D3617,RawData[Total Spent],E3617,RawData[Payment Method],F3617,RawData[Location],G3617,RawData[Transaction Date],H3617)</f>
        <v>1</v>
      </c>
      <c r="L3617"/>
    </row>
    <row r="3618" spans="1:12" x14ac:dyDescent="0.3">
      <c r="A3618" t="s">
        <v>3624</v>
      </c>
      <c r="B3618" t="s">
        <v>10011</v>
      </c>
      <c r="C3618" t="s">
        <v>10015</v>
      </c>
      <c r="D3618">
        <v>5</v>
      </c>
      <c r="E3618">
        <v>20</v>
      </c>
      <c r="F3618" t="s">
        <v>10018</v>
      </c>
      <c r="G3618" t="s">
        <v>10102</v>
      </c>
      <c r="H3618" s="6" t="s">
        <v>10112</v>
      </c>
      <c r="I3618">
        <f t="shared" si="112"/>
        <v>2</v>
      </c>
      <c r="J3618" t="str">
        <f t="shared" si="113"/>
        <v>Incomplete</v>
      </c>
      <c r="K3618">
        <f>COUNTIFS(RawData[Item], B3618,RawData[Quantity],C3618,RawData[Price Per Unit],D3618,RawData[Total Spent],E3618,RawData[Payment Method],F3618,RawData[Location],G3618,RawData[Transaction Date],H3618)</f>
        <v>1</v>
      </c>
      <c r="L3618"/>
    </row>
    <row r="3619" spans="1:12" x14ac:dyDescent="0.3">
      <c r="A3619" t="s">
        <v>3625</v>
      </c>
      <c r="B3619" t="s">
        <v>10017</v>
      </c>
      <c r="C3619">
        <v>5</v>
      </c>
      <c r="D3619">
        <v>1.5</v>
      </c>
      <c r="E3619">
        <v>7.5</v>
      </c>
      <c r="F3619" t="s">
        <v>10019</v>
      </c>
      <c r="G3619" t="s">
        <v>10021</v>
      </c>
      <c r="H3619" s="6">
        <v>45113</v>
      </c>
      <c r="I3619">
        <f t="shared" si="112"/>
        <v>0</v>
      </c>
      <c r="J3619" t="str">
        <f t="shared" si="113"/>
        <v>Complete</v>
      </c>
      <c r="K3619">
        <f>COUNTIFS(RawData[Item], B3619,RawData[Quantity],C3619,RawData[Price Per Unit],D3619,RawData[Total Spent],E3619,RawData[Payment Method],F3619,RawData[Location],G3619,RawData[Transaction Date],H3619)</f>
        <v>1</v>
      </c>
      <c r="L3619"/>
    </row>
    <row r="3620" spans="1:12" x14ac:dyDescent="0.3">
      <c r="A3620" t="s">
        <v>3626</v>
      </c>
      <c r="B3620" t="s">
        <v>10017</v>
      </c>
      <c r="C3620">
        <v>5</v>
      </c>
      <c r="D3620">
        <v>1.5</v>
      </c>
      <c r="E3620" t="s">
        <v>10013</v>
      </c>
      <c r="F3620" t="s">
        <v>10018</v>
      </c>
      <c r="G3620" t="s">
        <v>10021</v>
      </c>
      <c r="H3620" s="6">
        <v>45263</v>
      </c>
      <c r="I3620">
        <f t="shared" si="112"/>
        <v>1</v>
      </c>
      <c r="J3620" t="str">
        <f t="shared" si="113"/>
        <v>Complete</v>
      </c>
      <c r="K3620">
        <f>COUNTIFS(RawData[Item], B3620,RawData[Quantity],C3620,RawData[Price Per Unit],D3620,RawData[Total Spent],E3620,RawData[Payment Method],F3620,RawData[Location],G3620,RawData[Transaction Date],H3620)</f>
        <v>1</v>
      </c>
      <c r="L3620"/>
    </row>
    <row r="3621" spans="1:12" x14ac:dyDescent="0.3">
      <c r="A3621" t="s">
        <v>3627</v>
      </c>
      <c r="B3621" t="s">
        <v>10009</v>
      </c>
      <c r="C3621">
        <v>5</v>
      </c>
      <c r="D3621">
        <v>3</v>
      </c>
      <c r="E3621">
        <v>15</v>
      </c>
      <c r="F3621" t="s">
        <v>10018</v>
      </c>
      <c r="G3621" t="s">
        <v>10069</v>
      </c>
      <c r="H3621" s="6">
        <v>45288</v>
      </c>
      <c r="I3621">
        <f t="shared" si="112"/>
        <v>0</v>
      </c>
      <c r="J3621" t="str">
        <f t="shared" si="113"/>
        <v>Complete</v>
      </c>
      <c r="K3621">
        <f>COUNTIFS(RawData[Item], B3621,RawData[Quantity],C3621,RawData[Price Per Unit],D3621,RawData[Total Spent],E3621,RawData[Payment Method],F3621,RawData[Location],G3621,RawData[Transaction Date],H3621)</f>
        <v>1</v>
      </c>
      <c r="L3621"/>
    </row>
    <row r="3622" spans="1:12" x14ac:dyDescent="0.3">
      <c r="A3622" t="s">
        <v>3628</v>
      </c>
      <c r="B3622" t="s">
        <v>10010</v>
      </c>
      <c r="C3622">
        <v>3</v>
      </c>
      <c r="D3622">
        <v>1</v>
      </c>
      <c r="E3622">
        <v>3</v>
      </c>
      <c r="F3622" t="s">
        <v>10020</v>
      </c>
      <c r="G3622" t="s">
        <v>10069</v>
      </c>
      <c r="H3622" s="6" t="s">
        <v>10112</v>
      </c>
      <c r="I3622">
        <f t="shared" si="112"/>
        <v>1</v>
      </c>
      <c r="J3622" t="str">
        <f t="shared" si="113"/>
        <v>Incomplete</v>
      </c>
      <c r="K3622">
        <f>COUNTIFS(RawData[Item], B3622,RawData[Quantity],C3622,RawData[Price Per Unit],D3622,RawData[Total Spent],E3622,RawData[Payment Method],F3622,RawData[Location],G3622,RawData[Transaction Date],H3622)</f>
        <v>1</v>
      </c>
      <c r="L3622"/>
    </row>
    <row r="3623" spans="1:12" x14ac:dyDescent="0.3">
      <c r="A3623" t="s">
        <v>3629</v>
      </c>
      <c r="B3623" t="s">
        <v>10017</v>
      </c>
      <c r="C3623">
        <v>3</v>
      </c>
      <c r="D3623">
        <v>1.5</v>
      </c>
      <c r="E3623">
        <v>4.5</v>
      </c>
      <c r="F3623" t="s">
        <v>10020</v>
      </c>
      <c r="G3623" t="s">
        <v>10069</v>
      </c>
      <c r="H3623" s="6">
        <v>44947</v>
      </c>
      <c r="I3623">
        <f t="shared" si="112"/>
        <v>0</v>
      </c>
      <c r="J3623" t="str">
        <f t="shared" si="113"/>
        <v>Complete</v>
      </c>
      <c r="K3623">
        <f>COUNTIFS(RawData[Item], B3623,RawData[Quantity],C3623,RawData[Price Per Unit],D3623,RawData[Total Spent],E3623,RawData[Payment Method],F3623,RawData[Location],G3623,RawData[Transaction Date],H3623)</f>
        <v>1</v>
      </c>
      <c r="L3623"/>
    </row>
    <row r="3624" spans="1:12" x14ac:dyDescent="0.3">
      <c r="A3624" t="s">
        <v>3630</v>
      </c>
      <c r="B3624" t="s">
        <v>10016</v>
      </c>
      <c r="C3624">
        <v>3</v>
      </c>
      <c r="D3624">
        <v>3</v>
      </c>
      <c r="E3624">
        <v>9</v>
      </c>
      <c r="F3624" t="s">
        <v>10018</v>
      </c>
      <c r="G3624" t="s">
        <v>10102</v>
      </c>
      <c r="H3624" s="6">
        <v>45143</v>
      </c>
      <c r="I3624">
        <f t="shared" si="112"/>
        <v>0</v>
      </c>
      <c r="J3624" t="str">
        <f t="shared" si="113"/>
        <v>Complete</v>
      </c>
      <c r="K3624">
        <f>COUNTIFS(RawData[Item], B3624,RawData[Quantity],C3624,RawData[Price Per Unit],D3624,RawData[Total Spent],E3624,RawData[Payment Method],F3624,RawData[Location],G3624,RawData[Transaction Date],H3624)</f>
        <v>1</v>
      </c>
      <c r="L3624"/>
    </row>
    <row r="3625" spans="1:12" x14ac:dyDescent="0.3">
      <c r="A3625" t="s">
        <v>3631</v>
      </c>
      <c r="B3625" t="s">
        <v>10014</v>
      </c>
      <c r="C3625">
        <v>1</v>
      </c>
      <c r="D3625">
        <v>4</v>
      </c>
      <c r="E3625">
        <v>4</v>
      </c>
      <c r="F3625" t="s">
        <v>10069</v>
      </c>
      <c r="G3625" t="s">
        <v>10021</v>
      </c>
      <c r="H3625" s="6" t="s">
        <v>10112</v>
      </c>
      <c r="I3625">
        <f t="shared" si="112"/>
        <v>1</v>
      </c>
      <c r="J3625" t="str">
        <f t="shared" si="113"/>
        <v>Incomplete</v>
      </c>
      <c r="K3625">
        <f>COUNTIFS(RawData[Item], B3625,RawData[Quantity],C3625,RawData[Price Per Unit],D3625,RawData[Total Spent],E3625,RawData[Payment Method],F3625,RawData[Location],G3625,RawData[Transaction Date],H3625)</f>
        <v>1</v>
      </c>
      <c r="L3625"/>
    </row>
    <row r="3626" spans="1:12" x14ac:dyDescent="0.3">
      <c r="A3626" t="s">
        <v>3632</v>
      </c>
      <c r="B3626" t="s">
        <v>10008</v>
      </c>
      <c r="C3626">
        <v>5</v>
      </c>
      <c r="D3626">
        <v>2</v>
      </c>
      <c r="E3626">
        <v>10</v>
      </c>
      <c r="F3626" t="s">
        <v>10069</v>
      </c>
      <c r="G3626" t="s">
        <v>10069</v>
      </c>
      <c r="H3626" s="6">
        <v>45269</v>
      </c>
      <c r="I3626">
        <f t="shared" si="112"/>
        <v>0</v>
      </c>
      <c r="J3626" t="str">
        <f t="shared" si="113"/>
        <v>Complete</v>
      </c>
      <c r="K3626">
        <f>COUNTIFS(RawData[Item], B3626,RawData[Quantity],C3626,RawData[Price Per Unit],D3626,RawData[Total Spent],E3626,RawData[Payment Method],F3626,RawData[Location],G3626,RawData[Transaction Date],H3626)</f>
        <v>1</v>
      </c>
      <c r="L3626"/>
    </row>
    <row r="3627" spans="1:12" x14ac:dyDescent="0.3">
      <c r="A3627" t="s">
        <v>3633</v>
      </c>
      <c r="B3627" t="s">
        <v>10008</v>
      </c>
      <c r="C3627" t="s">
        <v>10013</v>
      </c>
      <c r="D3627">
        <v>2</v>
      </c>
      <c r="E3627">
        <v>8</v>
      </c>
      <c r="F3627" t="s">
        <v>10018</v>
      </c>
      <c r="G3627" t="s">
        <v>10021</v>
      </c>
      <c r="H3627" s="6">
        <v>45051</v>
      </c>
      <c r="I3627">
        <f t="shared" si="112"/>
        <v>1</v>
      </c>
      <c r="J3627" t="str">
        <f t="shared" si="113"/>
        <v>Complete</v>
      </c>
      <c r="K3627">
        <f>COUNTIFS(RawData[Item], B3627,RawData[Quantity],C3627,RawData[Price Per Unit],D3627,RawData[Total Spent],E3627,RawData[Payment Method],F3627,RawData[Location],G3627,RawData[Transaction Date],H3627)</f>
        <v>1</v>
      </c>
      <c r="L3627"/>
    </row>
    <row r="3628" spans="1:12" x14ac:dyDescent="0.3">
      <c r="A3628" t="s">
        <v>3634</v>
      </c>
      <c r="B3628" t="s">
        <v>10009</v>
      </c>
      <c r="C3628">
        <v>2</v>
      </c>
      <c r="D3628">
        <v>3</v>
      </c>
      <c r="E3628">
        <v>6</v>
      </c>
      <c r="F3628" t="s">
        <v>10069</v>
      </c>
      <c r="G3628" t="s">
        <v>10069</v>
      </c>
      <c r="H3628" s="6">
        <v>45099</v>
      </c>
      <c r="I3628">
        <f t="shared" si="112"/>
        <v>0</v>
      </c>
      <c r="J3628" t="str">
        <f t="shared" si="113"/>
        <v>Complete</v>
      </c>
      <c r="K3628">
        <f>COUNTIFS(RawData[Item], B3628,RawData[Quantity],C3628,RawData[Price Per Unit],D3628,RawData[Total Spent],E3628,RawData[Payment Method],F3628,RawData[Location],G3628,RawData[Transaction Date],H3628)</f>
        <v>1</v>
      </c>
      <c r="L3628"/>
    </row>
    <row r="3629" spans="1:12" x14ac:dyDescent="0.3">
      <c r="A3629" t="s">
        <v>3635</v>
      </c>
      <c r="B3629" t="s">
        <v>10017</v>
      </c>
      <c r="C3629">
        <v>4</v>
      </c>
      <c r="D3629">
        <v>1.5</v>
      </c>
      <c r="E3629">
        <v>6</v>
      </c>
      <c r="F3629" t="s">
        <v>10018</v>
      </c>
      <c r="G3629" t="s">
        <v>10104</v>
      </c>
      <c r="H3629" s="6">
        <v>45097</v>
      </c>
      <c r="I3629">
        <f t="shared" si="112"/>
        <v>1</v>
      </c>
      <c r="J3629" t="str">
        <f t="shared" si="113"/>
        <v>Complete</v>
      </c>
      <c r="K3629">
        <f>COUNTIFS(RawData[Item], B3629,RawData[Quantity],C3629,RawData[Price Per Unit],D3629,RawData[Total Spent],E3629,RawData[Payment Method],F3629,RawData[Location],G3629,RawData[Transaction Date],H3629)</f>
        <v>1</v>
      </c>
      <c r="L3629"/>
    </row>
    <row r="3630" spans="1:12" x14ac:dyDescent="0.3">
      <c r="A3630" t="s">
        <v>3636</v>
      </c>
      <c r="B3630" t="s">
        <v>10009</v>
      </c>
      <c r="C3630">
        <v>3</v>
      </c>
      <c r="D3630">
        <v>3</v>
      </c>
      <c r="E3630">
        <v>9</v>
      </c>
      <c r="F3630" t="s">
        <v>10019</v>
      </c>
      <c r="G3630" t="s">
        <v>10069</v>
      </c>
      <c r="H3630" s="6">
        <v>45268</v>
      </c>
      <c r="I3630">
        <f t="shared" si="112"/>
        <v>0</v>
      </c>
      <c r="J3630" t="str">
        <f t="shared" si="113"/>
        <v>Complete</v>
      </c>
      <c r="K3630">
        <f>COUNTIFS(RawData[Item], B3630,RawData[Quantity],C3630,RawData[Price Per Unit],D3630,RawData[Total Spent],E3630,RawData[Payment Method],F3630,RawData[Location],G3630,RawData[Transaction Date],H3630)</f>
        <v>1</v>
      </c>
      <c r="L3630"/>
    </row>
    <row r="3631" spans="1:12" x14ac:dyDescent="0.3">
      <c r="A3631" t="s">
        <v>3637</v>
      </c>
      <c r="B3631" t="s">
        <v>10014</v>
      </c>
      <c r="C3631">
        <v>4</v>
      </c>
      <c r="D3631">
        <v>4</v>
      </c>
      <c r="E3631">
        <v>16</v>
      </c>
      <c r="F3631" t="s">
        <v>10018</v>
      </c>
      <c r="G3631" t="s">
        <v>10021</v>
      </c>
      <c r="H3631" s="6">
        <v>45070</v>
      </c>
      <c r="I3631">
        <f t="shared" si="112"/>
        <v>0</v>
      </c>
      <c r="J3631" t="str">
        <f t="shared" si="113"/>
        <v>Complete</v>
      </c>
      <c r="K3631">
        <f>COUNTIFS(RawData[Item], B3631,RawData[Quantity],C3631,RawData[Price Per Unit],D3631,RawData[Total Spent],E3631,RawData[Payment Method],F3631,RawData[Location],G3631,RawData[Transaction Date],H3631)</f>
        <v>1</v>
      </c>
      <c r="L3631"/>
    </row>
    <row r="3632" spans="1:12" x14ac:dyDescent="0.3">
      <c r="A3632" t="s">
        <v>3638</v>
      </c>
      <c r="B3632" t="s">
        <v>10017</v>
      </c>
      <c r="C3632">
        <v>2</v>
      </c>
      <c r="D3632">
        <v>1.5</v>
      </c>
      <c r="E3632">
        <v>3</v>
      </c>
      <c r="F3632" t="s">
        <v>10020</v>
      </c>
      <c r="G3632" t="s">
        <v>10102</v>
      </c>
      <c r="H3632" s="6">
        <v>45026</v>
      </c>
      <c r="I3632">
        <f t="shared" si="112"/>
        <v>0</v>
      </c>
      <c r="J3632" t="str">
        <f t="shared" si="113"/>
        <v>Complete</v>
      </c>
      <c r="K3632">
        <f>COUNTIFS(RawData[Item], B3632,RawData[Quantity],C3632,RawData[Price Per Unit],D3632,RawData[Total Spent],E3632,RawData[Payment Method],F3632,RawData[Location],G3632,RawData[Transaction Date],H3632)</f>
        <v>1</v>
      </c>
      <c r="L3632"/>
    </row>
    <row r="3633" spans="1:12" x14ac:dyDescent="0.3">
      <c r="A3633" t="s">
        <v>3639</v>
      </c>
      <c r="B3633" t="s">
        <v>10008</v>
      </c>
      <c r="C3633">
        <v>3</v>
      </c>
      <c r="D3633">
        <v>2</v>
      </c>
      <c r="E3633">
        <v>6</v>
      </c>
      <c r="F3633" t="s">
        <v>10069</v>
      </c>
      <c r="G3633" t="s">
        <v>10021</v>
      </c>
      <c r="H3633" s="6">
        <v>45160</v>
      </c>
      <c r="I3633">
        <f t="shared" si="112"/>
        <v>0</v>
      </c>
      <c r="J3633" t="str">
        <f t="shared" si="113"/>
        <v>Complete</v>
      </c>
      <c r="K3633">
        <f>COUNTIFS(RawData[Item], B3633,RawData[Quantity],C3633,RawData[Price Per Unit],D3633,RawData[Total Spent],E3633,RawData[Payment Method],F3633,RawData[Location],G3633,RawData[Transaction Date],H3633)</f>
        <v>1</v>
      </c>
      <c r="L3633"/>
    </row>
    <row r="3634" spans="1:12" x14ac:dyDescent="0.3">
      <c r="A3634" t="s">
        <v>3640</v>
      </c>
      <c r="B3634" t="s">
        <v>10014</v>
      </c>
      <c r="C3634">
        <v>1</v>
      </c>
      <c r="D3634">
        <v>4</v>
      </c>
      <c r="E3634">
        <v>4</v>
      </c>
      <c r="F3634" t="s">
        <v>10069</v>
      </c>
      <c r="G3634" t="s">
        <v>10102</v>
      </c>
      <c r="H3634" s="6">
        <v>45286</v>
      </c>
      <c r="I3634">
        <f t="shared" si="112"/>
        <v>0</v>
      </c>
      <c r="J3634" t="str">
        <f t="shared" si="113"/>
        <v>Complete</v>
      </c>
      <c r="K3634">
        <f>COUNTIFS(RawData[Item], B3634,RawData[Quantity],C3634,RawData[Price Per Unit],D3634,RawData[Total Spent],E3634,RawData[Payment Method],F3634,RawData[Location],G3634,RawData[Transaction Date],H3634)</f>
        <v>1</v>
      </c>
      <c r="L3634"/>
    </row>
    <row r="3635" spans="1:12" x14ac:dyDescent="0.3">
      <c r="A3635" t="s">
        <v>3641</v>
      </c>
      <c r="B3635" t="s">
        <v>10016</v>
      </c>
      <c r="C3635" t="s">
        <v>10013</v>
      </c>
      <c r="D3635">
        <v>3</v>
      </c>
      <c r="E3635">
        <v>15</v>
      </c>
      <c r="F3635" t="s">
        <v>10069</v>
      </c>
      <c r="G3635" t="s">
        <v>10102</v>
      </c>
      <c r="H3635" s="6">
        <v>45002</v>
      </c>
      <c r="I3635">
        <f t="shared" si="112"/>
        <v>1</v>
      </c>
      <c r="J3635" t="str">
        <f t="shared" si="113"/>
        <v>Complete</v>
      </c>
      <c r="K3635">
        <f>COUNTIFS(RawData[Item], B3635,RawData[Quantity],C3635,RawData[Price Per Unit],D3635,RawData[Total Spent],E3635,RawData[Payment Method],F3635,RawData[Location],G3635,RawData[Transaction Date],H3635)</f>
        <v>1</v>
      </c>
      <c r="L3635"/>
    </row>
    <row r="3636" spans="1:12" x14ac:dyDescent="0.3">
      <c r="A3636" t="s">
        <v>3642</v>
      </c>
      <c r="B3636" t="s">
        <v>10013</v>
      </c>
      <c r="C3636">
        <v>5</v>
      </c>
      <c r="D3636">
        <v>5</v>
      </c>
      <c r="E3636">
        <v>25</v>
      </c>
      <c r="F3636" t="s">
        <v>10020</v>
      </c>
      <c r="G3636" t="s">
        <v>10069</v>
      </c>
      <c r="H3636" s="6">
        <v>45280</v>
      </c>
      <c r="I3636">
        <f t="shared" si="112"/>
        <v>1</v>
      </c>
      <c r="J3636" t="str">
        <f t="shared" si="113"/>
        <v>Complete</v>
      </c>
      <c r="K3636">
        <f>COUNTIFS(RawData[Item], B3636,RawData[Quantity],C3636,RawData[Price Per Unit],D3636,RawData[Total Spent],E3636,RawData[Payment Method],F3636,RawData[Location],G3636,RawData[Transaction Date],H3636)</f>
        <v>1</v>
      </c>
      <c r="L3636"/>
    </row>
    <row r="3637" spans="1:12" x14ac:dyDescent="0.3">
      <c r="A3637" t="s">
        <v>3643</v>
      </c>
      <c r="B3637" t="s">
        <v>10010</v>
      </c>
      <c r="C3637" t="s">
        <v>10015</v>
      </c>
      <c r="D3637" t="s">
        <v>10013</v>
      </c>
      <c r="E3637">
        <v>1</v>
      </c>
      <c r="F3637" t="s">
        <v>10019</v>
      </c>
      <c r="G3637" t="s">
        <v>10104</v>
      </c>
      <c r="H3637" s="6">
        <v>45133</v>
      </c>
      <c r="I3637">
        <f t="shared" si="112"/>
        <v>3</v>
      </c>
      <c r="J3637" t="str">
        <f t="shared" si="113"/>
        <v>Complete</v>
      </c>
      <c r="K3637">
        <f>COUNTIFS(RawData[Item], B3637,RawData[Quantity],C3637,RawData[Price Per Unit],D3637,RawData[Total Spent],E3637,RawData[Payment Method],F3637,RawData[Location],G3637,RawData[Transaction Date],H3637)</f>
        <v>1</v>
      </c>
      <c r="L3637"/>
    </row>
    <row r="3638" spans="1:12" x14ac:dyDescent="0.3">
      <c r="A3638" t="s">
        <v>3644</v>
      </c>
      <c r="B3638" t="s">
        <v>10014</v>
      </c>
      <c r="C3638">
        <v>5</v>
      </c>
      <c r="D3638">
        <v>4</v>
      </c>
      <c r="E3638">
        <v>20</v>
      </c>
      <c r="F3638" t="s">
        <v>10069</v>
      </c>
      <c r="G3638" t="s">
        <v>10104</v>
      </c>
      <c r="H3638" s="6">
        <v>45066</v>
      </c>
      <c r="I3638">
        <f t="shared" si="112"/>
        <v>1</v>
      </c>
      <c r="J3638" t="str">
        <f t="shared" si="113"/>
        <v>Complete</v>
      </c>
      <c r="K3638">
        <f>COUNTIFS(RawData[Item], B3638,RawData[Quantity],C3638,RawData[Price Per Unit],D3638,RawData[Total Spent],E3638,RawData[Payment Method],F3638,RawData[Location],G3638,RawData[Transaction Date],H3638)</f>
        <v>1</v>
      </c>
      <c r="L3638"/>
    </row>
    <row r="3639" spans="1:12" x14ac:dyDescent="0.3">
      <c r="A3639" t="s">
        <v>3645</v>
      </c>
      <c r="B3639" t="s">
        <v>10015</v>
      </c>
      <c r="C3639">
        <v>4</v>
      </c>
      <c r="D3639">
        <v>2</v>
      </c>
      <c r="E3639">
        <v>8</v>
      </c>
      <c r="F3639" t="s">
        <v>10069</v>
      </c>
      <c r="G3639" t="s">
        <v>10103</v>
      </c>
      <c r="H3639" s="6">
        <v>45019</v>
      </c>
      <c r="I3639">
        <f t="shared" si="112"/>
        <v>2</v>
      </c>
      <c r="J3639" t="str">
        <f t="shared" si="113"/>
        <v>Complete</v>
      </c>
      <c r="K3639">
        <f>COUNTIFS(RawData[Item], B3639,RawData[Quantity],C3639,RawData[Price Per Unit],D3639,RawData[Total Spent],E3639,RawData[Payment Method],F3639,RawData[Location],G3639,RawData[Transaction Date],H3639)</f>
        <v>1</v>
      </c>
      <c r="L3639"/>
    </row>
    <row r="3640" spans="1:12" x14ac:dyDescent="0.3">
      <c r="A3640" t="s">
        <v>3646</v>
      </c>
      <c r="B3640" t="s">
        <v>10016</v>
      </c>
      <c r="C3640">
        <v>5</v>
      </c>
      <c r="D3640">
        <v>3</v>
      </c>
      <c r="E3640">
        <v>15</v>
      </c>
      <c r="F3640" t="s">
        <v>10069</v>
      </c>
      <c r="G3640" t="s">
        <v>10069</v>
      </c>
      <c r="H3640" s="6">
        <v>44950</v>
      </c>
      <c r="I3640">
        <f t="shared" si="112"/>
        <v>0</v>
      </c>
      <c r="J3640" t="str">
        <f t="shared" si="113"/>
        <v>Complete</v>
      </c>
      <c r="K3640">
        <f>COUNTIFS(RawData[Item], B3640,RawData[Quantity],C3640,RawData[Price Per Unit],D3640,RawData[Total Spent],E3640,RawData[Payment Method],F3640,RawData[Location],G3640,RawData[Transaction Date],H3640)</f>
        <v>1</v>
      </c>
      <c r="L3640"/>
    </row>
    <row r="3641" spans="1:12" x14ac:dyDescent="0.3">
      <c r="A3641" t="s">
        <v>3647</v>
      </c>
      <c r="B3641" t="s">
        <v>10017</v>
      </c>
      <c r="C3641">
        <v>5</v>
      </c>
      <c r="D3641">
        <v>1.5</v>
      </c>
      <c r="E3641">
        <v>7.5</v>
      </c>
      <c r="F3641" t="s">
        <v>10018</v>
      </c>
      <c r="G3641" t="s">
        <v>10102</v>
      </c>
      <c r="H3641" s="6">
        <v>44964</v>
      </c>
      <c r="I3641">
        <f t="shared" si="112"/>
        <v>0</v>
      </c>
      <c r="J3641" t="str">
        <f t="shared" si="113"/>
        <v>Complete</v>
      </c>
      <c r="K3641">
        <f>COUNTIFS(RawData[Item], B3641,RawData[Quantity],C3641,RawData[Price Per Unit],D3641,RawData[Total Spent],E3641,RawData[Payment Method],F3641,RawData[Location],G3641,RawData[Transaction Date],H3641)</f>
        <v>1</v>
      </c>
      <c r="L3641"/>
    </row>
    <row r="3642" spans="1:12" x14ac:dyDescent="0.3">
      <c r="A3642" t="s">
        <v>3648</v>
      </c>
      <c r="B3642" t="s">
        <v>10017</v>
      </c>
      <c r="C3642">
        <v>5</v>
      </c>
      <c r="D3642">
        <v>1.5</v>
      </c>
      <c r="E3642">
        <v>7.5</v>
      </c>
      <c r="F3642" t="s">
        <v>10018</v>
      </c>
      <c r="G3642" t="s">
        <v>10069</v>
      </c>
      <c r="H3642" s="6">
        <v>45074</v>
      </c>
      <c r="I3642">
        <f t="shared" si="112"/>
        <v>0</v>
      </c>
      <c r="J3642" t="str">
        <f t="shared" si="113"/>
        <v>Complete</v>
      </c>
      <c r="K3642">
        <f>COUNTIFS(RawData[Item], B3642,RawData[Quantity],C3642,RawData[Price Per Unit],D3642,RawData[Total Spent],E3642,RawData[Payment Method],F3642,RawData[Location],G3642,RawData[Transaction Date],H3642)</f>
        <v>1</v>
      </c>
      <c r="L3642"/>
    </row>
    <row r="3643" spans="1:12" x14ac:dyDescent="0.3">
      <c r="A3643" t="s">
        <v>3649</v>
      </c>
      <c r="B3643" t="s">
        <v>10017</v>
      </c>
      <c r="C3643">
        <v>2</v>
      </c>
      <c r="D3643">
        <v>1.5</v>
      </c>
      <c r="E3643">
        <v>3</v>
      </c>
      <c r="F3643" t="s">
        <v>10019</v>
      </c>
      <c r="G3643" t="s">
        <v>10102</v>
      </c>
      <c r="H3643" s="6">
        <v>45085</v>
      </c>
      <c r="I3643">
        <f t="shared" si="112"/>
        <v>0</v>
      </c>
      <c r="J3643" t="str">
        <f t="shared" si="113"/>
        <v>Complete</v>
      </c>
      <c r="K3643">
        <f>COUNTIFS(RawData[Item], B3643,RawData[Quantity],C3643,RawData[Price Per Unit],D3643,RawData[Total Spent],E3643,RawData[Payment Method],F3643,RawData[Location],G3643,RawData[Transaction Date],H3643)</f>
        <v>1</v>
      </c>
      <c r="L3643"/>
    </row>
    <row r="3644" spans="1:12" x14ac:dyDescent="0.3">
      <c r="A3644" t="s">
        <v>3650</v>
      </c>
      <c r="B3644" t="s">
        <v>10016</v>
      </c>
      <c r="C3644">
        <v>4</v>
      </c>
      <c r="D3644">
        <v>3</v>
      </c>
      <c r="E3644">
        <v>12</v>
      </c>
      <c r="F3644" t="s">
        <v>10019</v>
      </c>
      <c r="G3644" t="s">
        <v>10069</v>
      </c>
      <c r="H3644" s="6">
        <v>45088</v>
      </c>
      <c r="I3644">
        <f t="shared" si="112"/>
        <v>0</v>
      </c>
      <c r="J3644" t="str">
        <f t="shared" si="113"/>
        <v>Complete</v>
      </c>
      <c r="K3644">
        <f>COUNTIFS(RawData[Item], B3644,RawData[Quantity],C3644,RawData[Price Per Unit],D3644,RawData[Total Spent],E3644,RawData[Payment Method],F3644,RawData[Location],G3644,RawData[Transaction Date],H3644)</f>
        <v>1</v>
      </c>
      <c r="L3644"/>
    </row>
    <row r="3645" spans="1:12" x14ac:dyDescent="0.3">
      <c r="A3645" t="s">
        <v>3651</v>
      </c>
      <c r="B3645" t="s">
        <v>10069</v>
      </c>
      <c r="C3645">
        <v>2</v>
      </c>
      <c r="D3645">
        <v>3</v>
      </c>
      <c r="E3645">
        <v>6</v>
      </c>
      <c r="F3645" t="s">
        <v>10020</v>
      </c>
      <c r="G3645" t="s">
        <v>10021</v>
      </c>
      <c r="H3645" s="6">
        <v>45093</v>
      </c>
      <c r="I3645">
        <f t="shared" si="112"/>
        <v>0</v>
      </c>
      <c r="J3645" t="str">
        <f t="shared" si="113"/>
        <v>Complete</v>
      </c>
      <c r="K3645">
        <f>COUNTIFS(RawData[Item], B3645,RawData[Quantity],C3645,RawData[Price Per Unit],D3645,RawData[Total Spent],E3645,RawData[Payment Method],F3645,RawData[Location],G3645,RawData[Transaction Date],H3645)</f>
        <v>1</v>
      </c>
      <c r="L3645"/>
    </row>
    <row r="3646" spans="1:12" x14ac:dyDescent="0.3">
      <c r="A3646" t="s">
        <v>3652</v>
      </c>
      <c r="B3646" t="s">
        <v>10011</v>
      </c>
      <c r="C3646">
        <v>3</v>
      </c>
      <c r="D3646">
        <v>5</v>
      </c>
      <c r="E3646">
        <v>15</v>
      </c>
      <c r="F3646" t="s">
        <v>10018</v>
      </c>
      <c r="G3646" t="s">
        <v>10102</v>
      </c>
      <c r="H3646" s="6">
        <v>45246</v>
      </c>
      <c r="I3646">
        <f t="shared" si="112"/>
        <v>0</v>
      </c>
      <c r="J3646" t="str">
        <f t="shared" si="113"/>
        <v>Complete</v>
      </c>
      <c r="K3646">
        <f>COUNTIFS(RawData[Item], B3646,RawData[Quantity],C3646,RawData[Price Per Unit],D3646,RawData[Total Spent],E3646,RawData[Payment Method],F3646,RawData[Location],G3646,RawData[Transaction Date],H3646)</f>
        <v>1</v>
      </c>
      <c r="L3646"/>
    </row>
    <row r="3647" spans="1:12" x14ac:dyDescent="0.3">
      <c r="A3647" t="s">
        <v>3653</v>
      </c>
      <c r="B3647" t="s">
        <v>10017</v>
      </c>
      <c r="C3647">
        <v>2</v>
      </c>
      <c r="D3647">
        <v>1.5</v>
      </c>
      <c r="E3647">
        <v>3</v>
      </c>
      <c r="F3647" t="s">
        <v>10018</v>
      </c>
      <c r="G3647" t="s">
        <v>10102</v>
      </c>
      <c r="H3647" s="6">
        <v>45159</v>
      </c>
      <c r="I3647">
        <f t="shared" si="112"/>
        <v>0</v>
      </c>
      <c r="J3647" t="str">
        <f t="shared" si="113"/>
        <v>Complete</v>
      </c>
      <c r="K3647">
        <f>COUNTIFS(RawData[Item], B3647,RawData[Quantity],C3647,RawData[Price Per Unit],D3647,RawData[Total Spent],E3647,RawData[Payment Method],F3647,RawData[Location],G3647,RawData[Transaction Date],H3647)</f>
        <v>1</v>
      </c>
      <c r="L3647"/>
    </row>
    <row r="3648" spans="1:12" x14ac:dyDescent="0.3">
      <c r="A3648" t="s">
        <v>3654</v>
      </c>
      <c r="B3648" t="s">
        <v>10008</v>
      </c>
      <c r="C3648">
        <v>1</v>
      </c>
      <c r="D3648">
        <v>2</v>
      </c>
      <c r="E3648">
        <v>2</v>
      </c>
      <c r="F3648" t="s">
        <v>10104</v>
      </c>
      <c r="G3648" t="s">
        <v>10069</v>
      </c>
      <c r="H3648" s="6">
        <v>44945</v>
      </c>
      <c r="I3648">
        <f t="shared" si="112"/>
        <v>1</v>
      </c>
      <c r="J3648" t="str">
        <f t="shared" si="113"/>
        <v>Complete</v>
      </c>
      <c r="K3648">
        <f>COUNTIFS(RawData[Item], B3648,RawData[Quantity],C3648,RawData[Price Per Unit],D3648,RawData[Total Spent],E3648,RawData[Payment Method],F3648,RawData[Location],G3648,RawData[Transaction Date],H3648)</f>
        <v>1</v>
      </c>
      <c r="L3648"/>
    </row>
    <row r="3649" spans="1:12" x14ac:dyDescent="0.3">
      <c r="A3649" t="s">
        <v>3655</v>
      </c>
      <c r="B3649" t="s">
        <v>10009</v>
      </c>
      <c r="C3649">
        <v>1</v>
      </c>
      <c r="D3649">
        <v>3</v>
      </c>
      <c r="E3649">
        <v>3</v>
      </c>
      <c r="F3649" t="s">
        <v>10018</v>
      </c>
      <c r="G3649" t="s">
        <v>10069</v>
      </c>
      <c r="H3649" s="6">
        <v>45141</v>
      </c>
      <c r="I3649">
        <f t="shared" si="112"/>
        <v>0</v>
      </c>
      <c r="J3649" t="str">
        <f t="shared" si="113"/>
        <v>Complete</v>
      </c>
      <c r="K3649">
        <f>COUNTIFS(RawData[Item], B3649,RawData[Quantity],C3649,RawData[Price Per Unit],D3649,RawData[Total Spent],E3649,RawData[Payment Method],F3649,RawData[Location],G3649,RawData[Transaction Date],H3649)</f>
        <v>1</v>
      </c>
      <c r="L3649"/>
    </row>
    <row r="3650" spans="1:12" x14ac:dyDescent="0.3">
      <c r="A3650" t="s">
        <v>3656</v>
      </c>
      <c r="B3650" t="s">
        <v>10012</v>
      </c>
      <c r="C3650">
        <v>5</v>
      </c>
      <c r="D3650">
        <v>4</v>
      </c>
      <c r="E3650">
        <v>20</v>
      </c>
      <c r="F3650" t="s">
        <v>10018</v>
      </c>
      <c r="G3650" t="s">
        <v>10069</v>
      </c>
      <c r="H3650" s="6">
        <v>44930</v>
      </c>
      <c r="I3650">
        <f t="shared" ref="I3650:I3713" si="114">(B3650="Unknown")+(B3650="Error")+(C3650="Unknown")+(C3650="Error")+(D3650="Unknown")+(D3650="Error")+(E3650="Unknown")+(E3650="Error")+(F3650="Unknown")+(F3650="Error")+(G3650="Unknown")+(G3650="Error")+(H3650="No Date")</f>
        <v>0</v>
      </c>
      <c r="J3650" t="str">
        <f t="shared" ref="J3650:J3713" si="115">IF((H3650="No Date"),"Incomplete","Complete")</f>
        <v>Complete</v>
      </c>
      <c r="K3650">
        <f>COUNTIFS(RawData[Item], B3650,RawData[Quantity],C3650,RawData[Price Per Unit],D3650,RawData[Total Spent],E3650,RawData[Payment Method],F3650,RawData[Location],G3650,RawData[Transaction Date],H3650)</f>
        <v>1</v>
      </c>
      <c r="L3650"/>
    </row>
    <row r="3651" spans="1:12" x14ac:dyDescent="0.3">
      <c r="A3651" t="s">
        <v>3657</v>
      </c>
      <c r="B3651" t="s">
        <v>10013</v>
      </c>
      <c r="C3651">
        <v>5</v>
      </c>
      <c r="D3651">
        <v>4</v>
      </c>
      <c r="E3651">
        <v>20</v>
      </c>
      <c r="F3651" t="s">
        <v>10018</v>
      </c>
      <c r="G3651" t="s">
        <v>10021</v>
      </c>
      <c r="H3651" s="6">
        <v>45140</v>
      </c>
      <c r="I3651">
        <f t="shared" si="114"/>
        <v>1</v>
      </c>
      <c r="J3651" t="str">
        <f t="shared" si="115"/>
        <v>Complete</v>
      </c>
      <c r="K3651">
        <f>COUNTIFS(RawData[Item], B3651,RawData[Quantity],C3651,RawData[Price Per Unit],D3651,RawData[Total Spent],E3651,RawData[Payment Method],F3651,RawData[Location],G3651,RawData[Transaction Date],H3651)</f>
        <v>1</v>
      </c>
      <c r="L3651"/>
    </row>
    <row r="3652" spans="1:12" x14ac:dyDescent="0.3">
      <c r="A3652" t="s">
        <v>3658</v>
      </c>
      <c r="B3652" t="s">
        <v>10014</v>
      </c>
      <c r="C3652">
        <v>3</v>
      </c>
      <c r="D3652">
        <v>4</v>
      </c>
      <c r="E3652">
        <v>12</v>
      </c>
      <c r="F3652" t="s">
        <v>10020</v>
      </c>
      <c r="G3652" t="s">
        <v>10102</v>
      </c>
      <c r="H3652" s="6">
        <v>45106</v>
      </c>
      <c r="I3652">
        <f t="shared" si="114"/>
        <v>0</v>
      </c>
      <c r="J3652" t="str">
        <f t="shared" si="115"/>
        <v>Complete</v>
      </c>
      <c r="K3652">
        <f>COUNTIFS(RawData[Item], B3652,RawData[Quantity],C3652,RawData[Price Per Unit],D3652,RawData[Total Spent],E3652,RawData[Payment Method],F3652,RawData[Location],G3652,RawData[Transaction Date],H3652)</f>
        <v>1</v>
      </c>
      <c r="L3652"/>
    </row>
    <row r="3653" spans="1:12" x14ac:dyDescent="0.3">
      <c r="A3653" t="s">
        <v>3659</v>
      </c>
      <c r="B3653" t="s">
        <v>10014</v>
      </c>
      <c r="C3653">
        <v>4</v>
      </c>
      <c r="D3653">
        <v>4</v>
      </c>
      <c r="E3653">
        <v>16</v>
      </c>
      <c r="F3653" t="s">
        <v>10020</v>
      </c>
      <c r="G3653" t="s">
        <v>10102</v>
      </c>
      <c r="H3653" s="6">
        <v>44938</v>
      </c>
      <c r="I3653">
        <f t="shared" si="114"/>
        <v>0</v>
      </c>
      <c r="J3653" t="str">
        <f t="shared" si="115"/>
        <v>Complete</v>
      </c>
      <c r="K3653">
        <f>COUNTIFS(RawData[Item], B3653,RawData[Quantity],C3653,RawData[Price Per Unit],D3653,RawData[Total Spent],E3653,RawData[Payment Method],F3653,RawData[Location],G3653,RawData[Transaction Date],H3653)</f>
        <v>1</v>
      </c>
      <c r="L3653"/>
    </row>
    <row r="3654" spans="1:12" x14ac:dyDescent="0.3">
      <c r="A3654" t="s">
        <v>3660</v>
      </c>
      <c r="B3654" t="s">
        <v>10009</v>
      </c>
      <c r="C3654">
        <v>4</v>
      </c>
      <c r="D3654">
        <v>3</v>
      </c>
      <c r="E3654">
        <v>0</v>
      </c>
      <c r="F3654" t="s">
        <v>10018</v>
      </c>
      <c r="G3654" t="s">
        <v>10021</v>
      </c>
      <c r="H3654" s="6">
        <v>45197</v>
      </c>
      <c r="I3654">
        <f t="shared" si="114"/>
        <v>0</v>
      </c>
      <c r="J3654" t="str">
        <f t="shared" si="115"/>
        <v>Complete</v>
      </c>
      <c r="K3654">
        <f>COUNTIFS(RawData[Item], B3654,RawData[Quantity],C3654,RawData[Price Per Unit],D3654,RawData[Total Spent],E3654,RawData[Payment Method],F3654,RawData[Location],G3654,RawData[Transaction Date],H3654)</f>
        <v>1</v>
      </c>
      <c r="L3654"/>
    </row>
    <row r="3655" spans="1:12" x14ac:dyDescent="0.3">
      <c r="A3655" t="s">
        <v>3661</v>
      </c>
      <c r="B3655" t="s">
        <v>10008</v>
      </c>
      <c r="C3655" t="s">
        <v>10015</v>
      </c>
      <c r="D3655">
        <v>2</v>
      </c>
      <c r="E3655">
        <v>10</v>
      </c>
      <c r="F3655" t="s">
        <v>10018</v>
      </c>
      <c r="G3655" t="s">
        <v>10021</v>
      </c>
      <c r="H3655" s="6">
        <v>45062</v>
      </c>
      <c r="I3655">
        <f t="shared" si="114"/>
        <v>1</v>
      </c>
      <c r="J3655" t="str">
        <f t="shared" si="115"/>
        <v>Complete</v>
      </c>
      <c r="K3655">
        <f>COUNTIFS(RawData[Item], B3655,RawData[Quantity],C3655,RawData[Price Per Unit],D3655,RawData[Total Spent],E3655,RawData[Payment Method],F3655,RawData[Location],G3655,RawData[Transaction Date],H3655)</f>
        <v>1</v>
      </c>
      <c r="L3655"/>
    </row>
    <row r="3656" spans="1:12" x14ac:dyDescent="0.3">
      <c r="A3656" t="s">
        <v>3662</v>
      </c>
      <c r="B3656" t="s">
        <v>10012</v>
      </c>
      <c r="C3656">
        <v>2</v>
      </c>
      <c r="D3656">
        <v>4</v>
      </c>
      <c r="E3656">
        <v>8</v>
      </c>
      <c r="F3656" t="s">
        <v>10103</v>
      </c>
      <c r="G3656" t="s">
        <v>10021</v>
      </c>
      <c r="H3656" s="6">
        <v>45057</v>
      </c>
      <c r="I3656">
        <f t="shared" si="114"/>
        <v>1</v>
      </c>
      <c r="J3656" t="str">
        <f t="shared" si="115"/>
        <v>Complete</v>
      </c>
      <c r="K3656">
        <f>COUNTIFS(RawData[Item], B3656,RawData[Quantity],C3656,RawData[Price Per Unit],D3656,RawData[Total Spent],E3656,RawData[Payment Method],F3656,RawData[Location],G3656,RawData[Transaction Date],H3656)</f>
        <v>1</v>
      </c>
      <c r="L3656"/>
    </row>
    <row r="3657" spans="1:12" x14ac:dyDescent="0.3">
      <c r="A3657" t="s">
        <v>3663</v>
      </c>
      <c r="B3657" t="s">
        <v>10012</v>
      </c>
      <c r="C3657" t="s">
        <v>10013</v>
      </c>
      <c r="D3657">
        <v>4</v>
      </c>
      <c r="E3657">
        <v>12</v>
      </c>
      <c r="F3657" t="s">
        <v>10018</v>
      </c>
      <c r="G3657" t="s">
        <v>10104</v>
      </c>
      <c r="H3657" s="6">
        <v>45156</v>
      </c>
      <c r="I3657">
        <f t="shared" si="114"/>
        <v>2</v>
      </c>
      <c r="J3657" t="str">
        <f t="shared" si="115"/>
        <v>Complete</v>
      </c>
      <c r="K3657">
        <f>COUNTIFS(RawData[Item], B3657,RawData[Quantity],C3657,RawData[Price Per Unit],D3657,RawData[Total Spent],E3657,RawData[Payment Method],F3657,RawData[Location],G3657,RawData[Transaction Date],H3657)</f>
        <v>1</v>
      </c>
      <c r="L3657"/>
    </row>
    <row r="3658" spans="1:12" x14ac:dyDescent="0.3">
      <c r="A3658" t="s">
        <v>3664</v>
      </c>
      <c r="B3658" t="s">
        <v>10013</v>
      </c>
      <c r="C3658">
        <v>4</v>
      </c>
      <c r="D3658">
        <v>3</v>
      </c>
      <c r="E3658">
        <v>12</v>
      </c>
      <c r="F3658" t="s">
        <v>10103</v>
      </c>
      <c r="G3658" t="s">
        <v>10102</v>
      </c>
      <c r="H3658" s="6">
        <v>45086</v>
      </c>
      <c r="I3658">
        <f t="shared" si="114"/>
        <v>2</v>
      </c>
      <c r="J3658" t="str">
        <f t="shared" si="115"/>
        <v>Complete</v>
      </c>
      <c r="K3658">
        <f>COUNTIFS(RawData[Item], B3658,RawData[Quantity],C3658,RawData[Price Per Unit],D3658,RawData[Total Spent],E3658,RawData[Payment Method],F3658,RawData[Location],G3658,RawData[Transaction Date],H3658)</f>
        <v>1</v>
      </c>
      <c r="L3658"/>
    </row>
    <row r="3659" spans="1:12" x14ac:dyDescent="0.3">
      <c r="A3659" t="s">
        <v>3665</v>
      </c>
      <c r="B3659" t="s">
        <v>10012</v>
      </c>
      <c r="C3659">
        <v>1</v>
      </c>
      <c r="D3659">
        <v>4</v>
      </c>
      <c r="E3659">
        <v>4</v>
      </c>
      <c r="F3659" t="s">
        <v>10020</v>
      </c>
      <c r="G3659" t="s">
        <v>10102</v>
      </c>
      <c r="H3659" s="6">
        <v>45195</v>
      </c>
      <c r="I3659">
        <f t="shared" si="114"/>
        <v>0</v>
      </c>
      <c r="J3659" t="str">
        <f t="shared" si="115"/>
        <v>Complete</v>
      </c>
      <c r="K3659">
        <f>COUNTIFS(RawData[Item], B3659,RawData[Quantity],C3659,RawData[Price Per Unit],D3659,RawData[Total Spent],E3659,RawData[Payment Method],F3659,RawData[Location],G3659,RawData[Transaction Date],H3659)</f>
        <v>1</v>
      </c>
      <c r="L3659"/>
    </row>
    <row r="3660" spans="1:12" x14ac:dyDescent="0.3">
      <c r="A3660" t="s">
        <v>3666</v>
      </c>
      <c r="B3660" t="s">
        <v>10013</v>
      </c>
      <c r="C3660">
        <v>1</v>
      </c>
      <c r="D3660">
        <v>3</v>
      </c>
      <c r="E3660">
        <v>3</v>
      </c>
      <c r="F3660" t="s">
        <v>10019</v>
      </c>
      <c r="G3660" t="s">
        <v>10069</v>
      </c>
      <c r="H3660" s="6">
        <v>45161</v>
      </c>
      <c r="I3660">
        <f t="shared" si="114"/>
        <v>1</v>
      </c>
      <c r="J3660" t="str">
        <f t="shared" si="115"/>
        <v>Complete</v>
      </c>
      <c r="K3660">
        <f>COUNTIFS(RawData[Item], B3660,RawData[Quantity],C3660,RawData[Price Per Unit],D3660,RawData[Total Spent],E3660,RawData[Payment Method],F3660,RawData[Location],G3660,RawData[Transaction Date],H3660)</f>
        <v>1</v>
      </c>
      <c r="L3660"/>
    </row>
    <row r="3661" spans="1:12" x14ac:dyDescent="0.3">
      <c r="A3661" t="s">
        <v>3667</v>
      </c>
      <c r="B3661" t="s">
        <v>10015</v>
      </c>
      <c r="C3661">
        <v>4</v>
      </c>
      <c r="D3661">
        <v>4</v>
      </c>
      <c r="E3661">
        <v>0</v>
      </c>
      <c r="F3661" t="s">
        <v>10018</v>
      </c>
      <c r="G3661" t="s">
        <v>10021</v>
      </c>
      <c r="H3661" s="6">
        <v>45188</v>
      </c>
      <c r="I3661">
        <f t="shared" si="114"/>
        <v>1</v>
      </c>
      <c r="J3661" t="str">
        <f t="shared" si="115"/>
        <v>Complete</v>
      </c>
      <c r="K3661">
        <f>COUNTIFS(RawData[Item], B3661,RawData[Quantity],C3661,RawData[Price Per Unit],D3661,RawData[Total Spent],E3661,RawData[Payment Method],F3661,RawData[Location],G3661,RawData[Transaction Date],H3661)</f>
        <v>1</v>
      </c>
      <c r="L3661"/>
    </row>
    <row r="3662" spans="1:12" x14ac:dyDescent="0.3">
      <c r="A3662" t="s">
        <v>3668</v>
      </c>
      <c r="B3662" t="s">
        <v>10009</v>
      </c>
      <c r="C3662">
        <v>4</v>
      </c>
      <c r="D3662">
        <v>3</v>
      </c>
      <c r="E3662">
        <v>12</v>
      </c>
      <c r="F3662" t="s">
        <v>10018</v>
      </c>
      <c r="G3662" t="s">
        <v>10102</v>
      </c>
      <c r="H3662" s="6" t="s">
        <v>10112</v>
      </c>
      <c r="I3662">
        <f t="shared" si="114"/>
        <v>1</v>
      </c>
      <c r="J3662" t="str">
        <f t="shared" si="115"/>
        <v>Incomplete</v>
      </c>
      <c r="K3662">
        <f>COUNTIFS(RawData[Item], B3662,RawData[Quantity],C3662,RawData[Price Per Unit],D3662,RawData[Total Spent],E3662,RawData[Payment Method],F3662,RawData[Location],G3662,RawData[Transaction Date],H3662)</f>
        <v>1</v>
      </c>
      <c r="L3662"/>
    </row>
    <row r="3663" spans="1:12" x14ac:dyDescent="0.3">
      <c r="A3663" t="s">
        <v>3669</v>
      </c>
      <c r="B3663" t="s">
        <v>10016</v>
      </c>
      <c r="C3663">
        <v>4</v>
      </c>
      <c r="D3663">
        <v>3</v>
      </c>
      <c r="E3663">
        <v>12</v>
      </c>
      <c r="F3663" t="s">
        <v>10019</v>
      </c>
      <c r="G3663" t="s">
        <v>10069</v>
      </c>
      <c r="H3663" s="6">
        <v>44963</v>
      </c>
      <c r="I3663">
        <f t="shared" si="114"/>
        <v>0</v>
      </c>
      <c r="J3663" t="str">
        <f t="shared" si="115"/>
        <v>Complete</v>
      </c>
      <c r="K3663">
        <f>COUNTIFS(RawData[Item], B3663,RawData[Quantity],C3663,RawData[Price Per Unit],D3663,RawData[Total Spent],E3663,RawData[Payment Method],F3663,RawData[Location],G3663,RawData[Transaction Date],H3663)</f>
        <v>1</v>
      </c>
      <c r="L3663"/>
    </row>
    <row r="3664" spans="1:12" x14ac:dyDescent="0.3">
      <c r="A3664" t="s">
        <v>3670</v>
      </c>
      <c r="B3664" t="s">
        <v>10013</v>
      </c>
      <c r="C3664">
        <v>5</v>
      </c>
      <c r="D3664">
        <v>3</v>
      </c>
      <c r="E3664">
        <v>15</v>
      </c>
      <c r="F3664" t="s">
        <v>10069</v>
      </c>
      <c r="G3664" t="s">
        <v>10021</v>
      </c>
      <c r="H3664" s="6">
        <v>45104</v>
      </c>
      <c r="I3664">
        <f t="shared" si="114"/>
        <v>1</v>
      </c>
      <c r="J3664" t="str">
        <f t="shared" si="115"/>
        <v>Complete</v>
      </c>
      <c r="K3664">
        <f>COUNTIFS(RawData[Item], B3664,RawData[Quantity],C3664,RawData[Price Per Unit],D3664,RawData[Total Spent],E3664,RawData[Payment Method],F3664,RawData[Location],G3664,RawData[Transaction Date],H3664)</f>
        <v>1</v>
      </c>
      <c r="L3664"/>
    </row>
    <row r="3665" spans="1:12" x14ac:dyDescent="0.3">
      <c r="A3665" t="s">
        <v>3671</v>
      </c>
      <c r="B3665" t="s">
        <v>10009</v>
      </c>
      <c r="C3665">
        <v>4</v>
      </c>
      <c r="D3665">
        <v>3</v>
      </c>
      <c r="E3665">
        <v>12</v>
      </c>
      <c r="F3665" t="s">
        <v>10069</v>
      </c>
      <c r="G3665" t="s">
        <v>10021</v>
      </c>
      <c r="H3665" s="6">
        <v>45029</v>
      </c>
      <c r="I3665">
        <f t="shared" si="114"/>
        <v>0</v>
      </c>
      <c r="J3665" t="str">
        <f t="shared" si="115"/>
        <v>Complete</v>
      </c>
      <c r="K3665">
        <f>COUNTIFS(RawData[Item], B3665,RawData[Quantity],C3665,RawData[Price Per Unit],D3665,RawData[Total Spent],E3665,RawData[Payment Method],F3665,RawData[Location],G3665,RawData[Transaction Date],H3665)</f>
        <v>1</v>
      </c>
      <c r="L3665"/>
    </row>
    <row r="3666" spans="1:12" x14ac:dyDescent="0.3">
      <c r="A3666" t="s">
        <v>3672</v>
      </c>
      <c r="B3666" t="s">
        <v>10008</v>
      </c>
      <c r="C3666">
        <v>1</v>
      </c>
      <c r="D3666">
        <v>2</v>
      </c>
      <c r="E3666">
        <v>2</v>
      </c>
      <c r="F3666" t="s">
        <v>10018</v>
      </c>
      <c r="G3666" t="s">
        <v>10069</v>
      </c>
      <c r="H3666" s="6">
        <v>45085</v>
      </c>
      <c r="I3666">
        <f t="shared" si="114"/>
        <v>0</v>
      </c>
      <c r="J3666" t="str">
        <f t="shared" si="115"/>
        <v>Complete</v>
      </c>
      <c r="K3666">
        <f>COUNTIFS(RawData[Item], B3666,RawData[Quantity],C3666,RawData[Price Per Unit],D3666,RawData[Total Spent],E3666,RawData[Payment Method],F3666,RawData[Location],G3666,RawData[Transaction Date],H3666)</f>
        <v>1</v>
      </c>
      <c r="L3666"/>
    </row>
    <row r="3667" spans="1:12" x14ac:dyDescent="0.3">
      <c r="A3667" t="s">
        <v>3673</v>
      </c>
      <c r="B3667" t="s">
        <v>10010</v>
      </c>
      <c r="C3667">
        <v>4</v>
      </c>
      <c r="D3667">
        <v>1</v>
      </c>
      <c r="E3667">
        <v>4</v>
      </c>
      <c r="F3667" t="s">
        <v>10018</v>
      </c>
      <c r="G3667" t="s">
        <v>10021</v>
      </c>
      <c r="H3667" s="6">
        <v>45198</v>
      </c>
      <c r="I3667">
        <f t="shared" si="114"/>
        <v>0</v>
      </c>
      <c r="J3667" t="str">
        <f t="shared" si="115"/>
        <v>Complete</v>
      </c>
      <c r="K3667">
        <f>COUNTIFS(RawData[Item], B3667,RawData[Quantity],C3667,RawData[Price Per Unit],D3667,RawData[Total Spent],E3667,RawData[Payment Method],F3667,RawData[Location],G3667,RawData[Transaction Date],H3667)</f>
        <v>1</v>
      </c>
      <c r="L3667"/>
    </row>
    <row r="3668" spans="1:12" x14ac:dyDescent="0.3">
      <c r="A3668" t="s">
        <v>3674</v>
      </c>
      <c r="B3668" t="s">
        <v>10013</v>
      </c>
      <c r="C3668">
        <v>2</v>
      </c>
      <c r="D3668" t="s">
        <v>10013</v>
      </c>
      <c r="E3668">
        <v>3</v>
      </c>
      <c r="F3668" t="s">
        <v>10020</v>
      </c>
      <c r="G3668" t="s">
        <v>10021</v>
      </c>
      <c r="H3668" s="6">
        <v>45129</v>
      </c>
      <c r="I3668">
        <f t="shared" si="114"/>
        <v>2</v>
      </c>
      <c r="J3668" t="str">
        <f t="shared" si="115"/>
        <v>Complete</v>
      </c>
      <c r="K3668">
        <f>COUNTIFS(RawData[Item], B3668,RawData[Quantity],C3668,RawData[Price Per Unit],D3668,RawData[Total Spent],E3668,RawData[Payment Method],F3668,RawData[Location],G3668,RawData[Transaction Date],H3668)</f>
        <v>1</v>
      </c>
      <c r="L3668"/>
    </row>
    <row r="3669" spans="1:12" x14ac:dyDescent="0.3">
      <c r="A3669" t="s">
        <v>3675</v>
      </c>
      <c r="B3669" t="s">
        <v>10010</v>
      </c>
      <c r="C3669">
        <v>4</v>
      </c>
      <c r="D3669">
        <v>1</v>
      </c>
      <c r="E3669">
        <v>4</v>
      </c>
      <c r="F3669" t="s">
        <v>10069</v>
      </c>
      <c r="G3669" t="s">
        <v>10069</v>
      </c>
      <c r="H3669" s="6">
        <v>45017</v>
      </c>
      <c r="I3669">
        <f t="shared" si="114"/>
        <v>0</v>
      </c>
      <c r="J3669" t="str">
        <f t="shared" si="115"/>
        <v>Complete</v>
      </c>
      <c r="K3669">
        <f>COUNTIFS(RawData[Item], B3669,RawData[Quantity],C3669,RawData[Price Per Unit],D3669,RawData[Total Spent],E3669,RawData[Payment Method],F3669,RawData[Location],G3669,RawData[Transaction Date],H3669)</f>
        <v>1</v>
      </c>
      <c r="L3669"/>
    </row>
    <row r="3670" spans="1:12" x14ac:dyDescent="0.3">
      <c r="A3670" t="s">
        <v>3676</v>
      </c>
      <c r="B3670" t="s">
        <v>10016</v>
      </c>
      <c r="C3670">
        <v>1</v>
      </c>
      <c r="D3670">
        <v>3</v>
      </c>
      <c r="E3670">
        <v>3</v>
      </c>
      <c r="F3670" t="s">
        <v>10018</v>
      </c>
      <c r="G3670" t="s">
        <v>10069</v>
      </c>
      <c r="H3670" s="6">
        <v>45233</v>
      </c>
      <c r="I3670">
        <f t="shared" si="114"/>
        <v>0</v>
      </c>
      <c r="J3670" t="str">
        <f t="shared" si="115"/>
        <v>Complete</v>
      </c>
      <c r="K3670">
        <f>COUNTIFS(RawData[Item], B3670,RawData[Quantity],C3670,RawData[Price Per Unit],D3670,RawData[Total Spent],E3670,RawData[Payment Method],F3670,RawData[Location],G3670,RawData[Transaction Date],H3670)</f>
        <v>1</v>
      </c>
      <c r="L3670"/>
    </row>
    <row r="3671" spans="1:12" x14ac:dyDescent="0.3">
      <c r="A3671" t="s">
        <v>3677</v>
      </c>
      <c r="B3671" t="s">
        <v>10010</v>
      </c>
      <c r="C3671">
        <v>3</v>
      </c>
      <c r="D3671">
        <v>1</v>
      </c>
      <c r="E3671">
        <v>3</v>
      </c>
      <c r="F3671" t="s">
        <v>10018</v>
      </c>
      <c r="G3671" t="s">
        <v>10021</v>
      </c>
      <c r="H3671" s="6">
        <v>45258</v>
      </c>
      <c r="I3671">
        <f t="shared" si="114"/>
        <v>0</v>
      </c>
      <c r="J3671" t="str">
        <f t="shared" si="115"/>
        <v>Complete</v>
      </c>
      <c r="K3671">
        <f>COUNTIFS(RawData[Item], B3671,RawData[Quantity],C3671,RawData[Price Per Unit],D3671,RawData[Total Spent],E3671,RawData[Payment Method],F3671,RawData[Location],G3671,RawData[Transaction Date],H3671)</f>
        <v>1</v>
      </c>
      <c r="L3671"/>
    </row>
    <row r="3672" spans="1:12" x14ac:dyDescent="0.3">
      <c r="A3672" t="s">
        <v>3678</v>
      </c>
      <c r="B3672" t="s">
        <v>10009</v>
      </c>
      <c r="C3672">
        <v>4</v>
      </c>
      <c r="D3672">
        <v>3</v>
      </c>
      <c r="E3672">
        <v>12</v>
      </c>
      <c r="F3672" t="s">
        <v>10020</v>
      </c>
      <c r="G3672" t="s">
        <v>10102</v>
      </c>
      <c r="H3672" s="6">
        <v>45244</v>
      </c>
      <c r="I3672">
        <f t="shared" si="114"/>
        <v>0</v>
      </c>
      <c r="J3672" t="str">
        <f t="shared" si="115"/>
        <v>Complete</v>
      </c>
      <c r="K3672">
        <f>COUNTIFS(RawData[Item], B3672,RawData[Quantity],C3672,RawData[Price Per Unit],D3672,RawData[Total Spent],E3672,RawData[Payment Method],F3672,RawData[Location],G3672,RawData[Transaction Date],H3672)</f>
        <v>1</v>
      </c>
      <c r="L3672"/>
    </row>
    <row r="3673" spans="1:12" x14ac:dyDescent="0.3">
      <c r="A3673" t="s">
        <v>3679</v>
      </c>
      <c r="B3673" t="s">
        <v>10011</v>
      </c>
      <c r="C3673">
        <v>2</v>
      </c>
      <c r="D3673">
        <v>5</v>
      </c>
      <c r="E3673">
        <v>10</v>
      </c>
      <c r="F3673" t="s">
        <v>10018</v>
      </c>
      <c r="G3673" t="s">
        <v>10102</v>
      </c>
      <c r="H3673" s="6">
        <v>45064</v>
      </c>
      <c r="I3673">
        <f t="shared" si="114"/>
        <v>0</v>
      </c>
      <c r="J3673" t="str">
        <f t="shared" si="115"/>
        <v>Complete</v>
      </c>
      <c r="K3673">
        <f>COUNTIFS(RawData[Item], B3673,RawData[Quantity],C3673,RawData[Price Per Unit],D3673,RawData[Total Spent],E3673,RawData[Payment Method],F3673,RawData[Location],G3673,RawData[Transaction Date],H3673)</f>
        <v>1</v>
      </c>
      <c r="L3673"/>
    </row>
    <row r="3674" spans="1:12" x14ac:dyDescent="0.3">
      <c r="A3674" t="s">
        <v>3680</v>
      </c>
      <c r="B3674" t="s">
        <v>10017</v>
      </c>
      <c r="C3674">
        <v>5</v>
      </c>
      <c r="D3674">
        <v>1.5</v>
      </c>
      <c r="E3674">
        <v>7.5</v>
      </c>
      <c r="F3674" t="s">
        <v>10020</v>
      </c>
      <c r="G3674" t="s">
        <v>10021</v>
      </c>
      <c r="H3674" s="6">
        <v>45002</v>
      </c>
      <c r="I3674">
        <f t="shared" si="114"/>
        <v>0</v>
      </c>
      <c r="J3674" t="str">
        <f t="shared" si="115"/>
        <v>Complete</v>
      </c>
      <c r="K3674">
        <f>COUNTIFS(RawData[Item], B3674,RawData[Quantity],C3674,RawData[Price Per Unit],D3674,RawData[Total Spent],E3674,RawData[Payment Method],F3674,RawData[Location],G3674,RawData[Transaction Date],H3674)</f>
        <v>1</v>
      </c>
      <c r="L3674"/>
    </row>
    <row r="3675" spans="1:12" x14ac:dyDescent="0.3">
      <c r="A3675" t="s">
        <v>3681</v>
      </c>
      <c r="B3675" t="s">
        <v>10012</v>
      </c>
      <c r="C3675">
        <v>2</v>
      </c>
      <c r="D3675" t="s">
        <v>10013</v>
      </c>
      <c r="E3675" t="s">
        <v>10013</v>
      </c>
      <c r="F3675" t="s">
        <v>10069</v>
      </c>
      <c r="G3675" t="s">
        <v>10103</v>
      </c>
      <c r="H3675" s="6" t="s">
        <v>10112</v>
      </c>
      <c r="I3675">
        <f t="shared" si="114"/>
        <v>4</v>
      </c>
      <c r="J3675" t="str">
        <f t="shared" si="115"/>
        <v>Incomplete</v>
      </c>
      <c r="K3675">
        <f>COUNTIFS(RawData[Item], B3675,RawData[Quantity],C3675,RawData[Price Per Unit],D3675,RawData[Total Spent],E3675,RawData[Payment Method],F3675,RawData[Location],G3675,RawData[Transaction Date],H3675)</f>
        <v>1</v>
      </c>
      <c r="L3675"/>
    </row>
    <row r="3676" spans="1:12" x14ac:dyDescent="0.3">
      <c r="A3676" t="s">
        <v>3682</v>
      </c>
      <c r="B3676" t="s">
        <v>10010</v>
      </c>
      <c r="C3676" t="s">
        <v>10013</v>
      </c>
      <c r="D3676">
        <v>1</v>
      </c>
      <c r="E3676">
        <v>1</v>
      </c>
      <c r="F3676" t="s">
        <v>10069</v>
      </c>
      <c r="G3676" t="s">
        <v>10069</v>
      </c>
      <c r="H3676" s="6">
        <v>45094</v>
      </c>
      <c r="I3676">
        <f t="shared" si="114"/>
        <v>1</v>
      </c>
      <c r="J3676" t="str">
        <f t="shared" si="115"/>
        <v>Complete</v>
      </c>
      <c r="K3676">
        <f>COUNTIFS(RawData[Item], B3676,RawData[Quantity],C3676,RawData[Price Per Unit],D3676,RawData[Total Spent],E3676,RawData[Payment Method],F3676,RawData[Location],G3676,RawData[Transaction Date],H3676)</f>
        <v>1</v>
      </c>
      <c r="L3676"/>
    </row>
    <row r="3677" spans="1:12" x14ac:dyDescent="0.3">
      <c r="A3677" t="s">
        <v>3683</v>
      </c>
      <c r="B3677" t="s">
        <v>10017</v>
      </c>
      <c r="C3677" t="s">
        <v>10013</v>
      </c>
      <c r="D3677">
        <v>1.5</v>
      </c>
      <c r="E3677">
        <v>7.5</v>
      </c>
      <c r="F3677" t="s">
        <v>10019</v>
      </c>
      <c r="G3677" t="s">
        <v>10069</v>
      </c>
      <c r="H3677" s="6">
        <v>45019</v>
      </c>
      <c r="I3677">
        <f t="shared" si="114"/>
        <v>1</v>
      </c>
      <c r="J3677" t="str">
        <f t="shared" si="115"/>
        <v>Complete</v>
      </c>
      <c r="K3677">
        <f>COUNTIFS(RawData[Item], B3677,RawData[Quantity],C3677,RawData[Price Per Unit],D3677,RawData[Total Spent],E3677,RawData[Payment Method],F3677,RawData[Location],G3677,RawData[Transaction Date],H3677)</f>
        <v>1</v>
      </c>
      <c r="L3677"/>
    </row>
    <row r="3678" spans="1:12" x14ac:dyDescent="0.3">
      <c r="A3678" t="s">
        <v>3684</v>
      </c>
      <c r="B3678" t="s">
        <v>10008</v>
      </c>
      <c r="C3678">
        <v>3</v>
      </c>
      <c r="D3678">
        <v>2</v>
      </c>
      <c r="E3678">
        <v>6</v>
      </c>
      <c r="F3678" t="s">
        <v>10069</v>
      </c>
      <c r="G3678" t="s">
        <v>10103</v>
      </c>
      <c r="H3678" s="6">
        <v>45173</v>
      </c>
      <c r="I3678">
        <f t="shared" si="114"/>
        <v>1</v>
      </c>
      <c r="J3678" t="str">
        <f t="shared" si="115"/>
        <v>Complete</v>
      </c>
      <c r="K3678">
        <f>COUNTIFS(RawData[Item], B3678,RawData[Quantity],C3678,RawData[Price Per Unit],D3678,RawData[Total Spent],E3678,RawData[Payment Method],F3678,RawData[Location],G3678,RawData[Transaction Date],H3678)</f>
        <v>1</v>
      </c>
      <c r="L3678"/>
    </row>
    <row r="3679" spans="1:12" x14ac:dyDescent="0.3">
      <c r="A3679" t="s">
        <v>3685</v>
      </c>
      <c r="B3679" t="s">
        <v>10069</v>
      </c>
      <c r="C3679">
        <v>3</v>
      </c>
      <c r="D3679">
        <v>2</v>
      </c>
      <c r="E3679">
        <v>6</v>
      </c>
      <c r="F3679" t="s">
        <v>10018</v>
      </c>
      <c r="G3679" t="s">
        <v>10021</v>
      </c>
      <c r="H3679" s="6">
        <v>44963</v>
      </c>
      <c r="I3679">
        <f t="shared" si="114"/>
        <v>0</v>
      </c>
      <c r="J3679" t="str">
        <f t="shared" si="115"/>
        <v>Complete</v>
      </c>
      <c r="K3679">
        <f>COUNTIFS(RawData[Item], B3679,RawData[Quantity],C3679,RawData[Price Per Unit],D3679,RawData[Total Spent],E3679,RawData[Payment Method],F3679,RawData[Location],G3679,RawData[Transaction Date],H3679)</f>
        <v>1</v>
      </c>
      <c r="L3679"/>
    </row>
    <row r="3680" spans="1:12" x14ac:dyDescent="0.3">
      <c r="A3680" t="s">
        <v>3686</v>
      </c>
      <c r="B3680" t="s">
        <v>10010</v>
      </c>
      <c r="C3680">
        <v>2</v>
      </c>
      <c r="D3680">
        <v>1</v>
      </c>
      <c r="E3680">
        <v>2</v>
      </c>
      <c r="F3680" t="s">
        <v>10019</v>
      </c>
      <c r="G3680" t="s">
        <v>10021</v>
      </c>
      <c r="H3680" s="6">
        <v>45268</v>
      </c>
      <c r="I3680">
        <f t="shared" si="114"/>
        <v>0</v>
      </c>
      <c r="J3680" t="str">
        <f t="shared" si="115"/>
        <v>Complete</v>
      </c>
      <c r="K3680">
        <f>COUNTIFS(RawData[Item], B3680,RawData[Quantity],C3680,RawData[Price Per Unit],D3680,RawData[Total Spent],E3680,RawData[Payment Method],F3680,RawData[Location],G3680,RawData[Transaction Date],H3680)</f>
        <v>1</v>
      </c>
      <c r="L3680"/>
    </row>
    <row r="3681" spans="1:12" x14ac:dyDescent="0.3">
      <c r="A3681" t="s">
        <v>3687</v>
      </c>
      <c r="B3681" t="s">
        <v>10069</v>
      </c>
      <c r="C3681">
        <v>5</v>
      </c>
      <c r="D3681">
        <v>2</v>
      </c>
      <c r="E3681">
        <v>10</v>
      </c>
      <c r="F3681" t="s">
        <v>10020</v>
      </c>
      <c r="G3681" t="s">
        <v>10102</v>
      </c>
      <c r="H3681" s="6">
        <v>45257</v>
      </c>
      <c r="I3681">
        <f t="shared" si="114"/>
        <v>0</v>
      </c>
      <c r="J3681" t="str">
        <f t="shared" si="115"/>
        <v>Complete</v>
      </c>
      <c r="K3681">
        <f>COUNTIFS(RawData[Item], B3681,RawData[Quantity],C3681,RawData[Price Per Unit],D3681,RawData[Total Spent],E3681,RawData[Payment Method],F3681,RawData[Location],G3681,RawData[Transaction Date],H3681)</f>
        <v>1</v>
      </c>
      <c r="L3681"/>
    </row>
    <row r="3682" spans="1:12" x14ac:dyDescent="0.3">
      <c r="A3682" t="s">
        <v>3688</v>
      </c>
      <c r="B3682" t="s">
        <v>10017</v>
      </c>
      <c r="C3682">
        <v>2</v>
      </c>
      <c r="D3682">
        <v>1.5</v>
      </c>
      <c r="E3682">
        <v>3</v>
      </c>
      <c r="F3682" t="s">
        <v>10018</v>
      </c>
      <c r="G3682" t="s">
        <v>10102</v>
      </c>
      <c r="H3682" s="6">
        <v>45260</v>
      </c>
      <c r="I3682">
        <f t="shared" si="114"/>
        <v>0</v>
      </c>
      <c r="J3682" t="str">
        <f t="shared" si="115"/>
        <v>Complete</v>
      </c>
      <c r="K3682">
        <f>COUNTIFS(RawData[Item], B3682,RawData[Quantity],C3682,RawData[Price Per Unit],D3682,RawData[Total Spent],E3682,RawData[Payment Method],F3682,RawData[Location],G3682,RawData[Transaction Date],H3682)</f>
        <v>1</v>
      </c>
      <c r="L3682"/>
    </row>
    <row r="3683" spans="1:12" x14ac:dyDescent="0.3">
      <c r="A3683" t="s">
        <v>3689</v>
      </c>
      <c r="B3683" t="s">
        <v>10012</v>
      </c>
      <c r="C3683">
        <v>3</v>
      </c>
      <c r="D3683">
        <v>4</v>
      </c>
      <c r="E3683">
        <v>12</v>
      </c>
      <c r="F3683" t="s">
        <v>10069</v>
      </c>
      <c r="G3683" t="s">
        <v>10021</v>
      </c>
      <c r="H3683" s="6">
        <v>45075</v>
      </c>
      <c r="I3683">
        <f t="shared" si="114"/>
        <v>0</v>
      </c>
      <c r="J3683" t="str">
        <f t="shared" si="115"/>
        <v>Complete</v>
      </c>
      <c r="K3683">
        <f>COUNTIFS(RawData[Item], B3683,RawData[Quantity],C3683,RawData[Price Per Unit],D3683,RawData[Total Spent],E3683,RawData[Payment Method],F3683,RawData[Location],G3683,RawData[Transaction Date],H3683)</f>
        <v>1</v>
      </c>
      <c r="L3683"/>
    </row>
    <row r="3684" spans="1:12" x14ac:dyDescent="0.3">
      <c r="A3684" t="s">
        <v>3690</v>
      </c>
      <c r="B3684" t="s">
        <v>10014</v>
      </c>
      <c r="C3684">
        <v>4</v>
      </c>
      <c r="D3684">
        <v>4</v>
      </c>
      <c r="E3684">
        <v>16</v>
      </c>
      <c r="F3684" t="s">
        <v>10069</v>
      </c>
      <c r="G3684" t="s">
        <v>10021</v>
      </c>
      <c r="H3684" s="6">
        <v>45089</v>
      </c>
      <c r="I3684">
        <f t="shared" si="114"/>
        <v>0</v>
      </c>
      <c r="J3684" t="str">
        <f t="shared" si="115"/>
        <v>Complete</v>
      </c>
      <c r="K3684">
        <f>COUNTIFS(RawData[Item], B3684,RawData[Quantity],C3684,RawData[Price Per Unit],D3684,RawData[Total Spent],E3684,RawData[Payment Method],F3684,RawData[Location],G3684,RawData[Transaction Date],H3684)</f>
        <v>1</v>
      </c>
      <c r="L3684"/>
    </row>
    <row r="3685" spans="1:12" x14ac:dyDescent="0.3">
      <c r="A3685" t="s">
        <v>3691</v>
      </c>
      <c r="B3685" t="s">
        <v>10017</v>
      </c>
      <c r="C3685">
        <v>3</v>
      </c>
      <c r="D3685">
        <v>1.5</v>
      </c>
      <c r="E3685">
        <v>4.5</v>
      </c>
      <c r="F3685" t="s">
        <v>10020</v>
      </c>
      <c r="G3685" t="s">
        <v>10104</v>
      </c>
      <c r="H3685" s="6">
        <v>44935</v>
      </c>
      <c r="I3685">
        <f t="shared" si="114"/>
        <v>1</v>
      </c>
      <c r="J3685" t="str">
        <f t="shared" si="115"/>
        <v>Complete</v>
      </c>
      <c r="K3685">
        <f>COUNTIFS(RawData[Item], B3685,RawData[Quantity],C3685,RawData[Price Per Unit],D3685,RawData[Total Spent],E3685,RawData[Payment Method],F3685,RawData[Location],G3685,RawData[Transaction Date],H3685)</f>
        <v>1</v>
      </c>
      <c r="L3685"/>
    </row>
    <row r="3686" spans="1:12" x14ac:dyDescent="0.3">
      <c r="A3686" t="s">
        <v>3692</v>
      </c>
      <c r="B3686" t="s">
        <v>10010</v>
      </c>
      <c r="C3686">
        <v>1</v>
      </c>
      <c r="D3686">
        <v>1</v>
      </c>
      <c r="E3686">
        <v>1</v>
      </c>
      <c r="F3686" t="s">
        <v>10020</v>
      </c>
      <c r="G3686" t="s">
        <v>10104</v>
      </c>
      <c r="H3686" s="6">
        <v>45009</v>
      </c>
      <c r="I3686">
        <f t="shared" si="114"/>
        <v>1</v>
      </c>
      <c r="J3686" t="str">
        <f t="shared" si="115"/>
        <v>Complete</v>
      </c>
      <c r="K3686">
        <f>COUNTIFS(RawData[Item], B3686,RawData[Quantity],C3686,RawData[Price Per Unit],D3686,RawData[Total Spent],E3686,RawData[Payment Method],F3686,RawData[Location],G3686,RawData[Transaction Date],H3686)</f>
        <v>1</v>
      </c>
      <c r="L3686"/>
    </row>
    <row r="3687" spans="1:12" x14ac:dyDescent="0.3">
      <c r="A3687" t="s">
        <v>3693</v>
      </c>
      <c r="B3687" t="s">
        <v>10014</v>
      </c>
      <c r="C3687">
        <v>4</v>
      </c>
      <c r="D3687">
        <v>4</v>
      </c>
      <c r="E3687">
        <v>16</v>
      </c>
      <c r="F3687" t="s">
        <v>10019</v>
      </c>
      <c r="G3687" t="s">
        <v>10102</v>
      </c>
      <c r="H3687" s="6">
        <v>45031</v>
      </c>
      <c r="I3687">
        <f t="shared" si="114"/>
        <v>0</v>
      </c>
      <c r="J3687" t="str">
        <f t="shared" si="115"/>
        <v>Complete</v>
      </c>
      <c r="K3687">
        <f>COUNTIFS(RawData[Item], B3687,RawData[Quantity],C3687,RawData[Price Per Unit],D3687,RawData[Total Spent],E3687,RawData[Payment Method],F3687,RawData[Location],G3687,RawData[Transaction Date],H3687)</f>
        <v>1</v>
      </c>
      <c r="L3687"/>
    </row>
    <row r="3688" spans="1:12" x14ac:dyDescent="0.3">
      <c r="A3688" t="s">
        <v>3694</v>
      </c>
      <c r="B3688" t="s">
        <v>10011</v>
      </c>
      <c r="C3688">
        <v>5</v>
      </c>
      <c r="D3688">
        <v>5</v>
      </c>
      <c r="E3688">
        <v>25</v>
      </c>
      <c r="F3688" t="s">
        <v>10018</v>
      </c>
      <c r="G3688" t="s">
        <v>10069</v>
      </c>
      <c r="H3688" s="6">
        <v>44935</v>
      </c>
      <c r="I3688">
        <f t="shared" si="114"/>
        <v>0</v>
      </c>
      <c r="J3688" t="str">
        <f t="shared" si="115"/>
        <v>Complete</v>
      </c>
      <c r="K3688">
        <f>COUNTIFS(RawData[Item], B3688,RawData[Quantity],C3688,RawData[Price Per Unit],D3688,RawData[Total Spent],E3688,RawData[Payment Method],F3688,RawData[Location],G3688,RawData[Transaction Date],H3688)</f>
        <v>1</v>
      </c>
      <c r="L3688"/>
    </row>
    <row r="3689" spans="1:12" x14ac:dyDescent="0.3">
      <c r="A3689" t="s">
        <v>3695</v>
      </c>
      <c r="B3689" t="s">
        <v>10008</v>
      </c>
      <c r="C3689">
        <v>2</v>
      </c>
      <c r="D3689">
        <v>2</v>
      </c>
      <c r="E3689">
        <v>4</v>
      </c>
      <c r="F3689" t="s">
        <v>10103</v>
      </c>
      <c r="G3689" t="s">
        <v>10021</v>
      </c>
      <c r="H3689" s="6">
        <v>45162</v>
      </c>
      <c r="I3689">
        <f t="shared" si="114"/>
        <v>1</v>
      </c>
      <c r="J3689" t="str">
        <f t="shared" si="115"/>
        <v>Complete</v>
      </c>
      <c r="K3689">
        <f>COUNTIFS(RawData[Item], B3689,RawData[Quantity],C3689,RawData[Price Per Unit],D3689,RawData[Total Spent],E3689,RawData[Payment Method],F3689,RawData[Location],G3689,RawData[Transaction Date],H3689)</f>
        <v>1</v>
      </c>
      <c r="L3689"/>
    </row>
    <row r="3690" spans="1:12" x14ac:dyDescent="0.3">
      <c r="A3690" t="s">
        <v>3696</v>
      </c>
      <c r="B3690" t="s">
        <v>10009</v>
      </c>
      <c r="C3690">
        <v>4</v>
      </c>
      <c r="D3690">
        <v>3</v>
      </c>
      <c r="E3690">
        <v>12</v>
      </c>
      <c r="F3690" t="s">
        <v>10069</v>
      </c>
      <c r="G3690" t="s">
        <v>10021</v>
      </c>
      <c r="H3690" s="6">
        <v>45059</v>
      </c>
      <c r="I3690">
        <f t="shared" si="114"/>
        <v>0</v>
      </c>
      <c r="J3690" t="str">
        <f t="shared" si="115"/>
        <v>Complete</v>
      </c>
      <c r="K3690">
        <f>COUNTIFS(RawData[Item], B3690,RawData[Quantity],C3690,RawData[Price Per Unit],D3690,RawData[Total Spent],E3690,RawData[Payment Method],F3690,RawData[Location],G3690,RawData[Transaction Date],H3690)</f>
        <v>1</v>
      </c>
      <c r="L3690"/>
    </row>
    <row r="3691" spans="1:12" x14ac:dyDescent="0.3">
      <c r="A3691" t="s">
        <v>3697</v>
      </c>
      <c r="B3691" t="s">
        <v>10010</v>
      </c>
      <c r="C3691">
        <v>1</v>
      </c>
      <c r="D3691">
        <v>1</v>
      </c>
      <c r="E3691">
        <v>1</v>
      </c>
      <c r="F3691" t="s">
        <v>10018</v>
      </c>
      <c r="G3691" t="s">
        <v>10021</v>
      </c>
      <c r="H3691" s="6">
        <v>45204</v>
      </c>
      <c r="I3691">
        <f t="shared" si="114"/>
        <v>0</v>
      </c>
      <c r="J3691" t="str">
        <f t="shared" si="115"/>
        <v>Complete</v>
      </c>
      <c r="K3691">
        <f>COUNTIFS(RawData[Item], B3691,RawData[Quantity],C3691,RawData[Price Per Unit],D3691,RawData[Total Spent],E3691,RawData[Payment Method],F3691,RawData[Location],G3691,RawData[Transaction Date],H3691)</f>
        <v>1</v>
      </c>
      <c r="L3691"/>
    </row>
    <row r="3692" spans="1:12" x14ac:dyDescent="0.3">
      <c r="A3692" t="s">
        <v>3698</v>
      </c>
      <c r="B3692" t="s">
        <v>10069</v>
      </c>
      <c r="C3692">
        <v>1</v>
      </c>
      <c r="D3692">
        <v>1.5</v>
      </c>
      <c r="E3692">
        <v>1.5</v>
      </c>
      <c r="F3692" t="s">
        <v>10018</v>
      </c>
      <c r="G3692" t="s">
        <v>10021</v>
      </c>
      <c r="H3692" s="6">
        <v>45072</v>
      </c>
      <c r="I3692">
        <f t="shared" si="114"/>
        <v>0</v>
      </c>
      <c r="J3692" t="str">
        <f t="shared" si="115"/>
        <v>Complete</v>
      </c>
      <c r="K3692">
        <f>COUNTIFS(RawData[Item], B3692,RawData[Quantity],C3692,RawData[Price Per Unit],D3692,RawData[Total Spent],E3692,RawData[Payment Method],F3692,RawData[Location],G3692,RawData[Transaction Date],H3692)</f>
        <v>1</v>
      </c>
      <c r="L3692"/>
    </row>
    <row r="3693" spans="1:12" x14ac:dyDescent="0.3">
      <c r="A3693" t="s">
        <v>3699</v>
      </c>
      <c r="B3693" t="s">
        <v>10009</v>
      </c>
      <c r="C3693">
        <v>5</v>
      </c>
      <c r="D3693">
        <v>3</v>
      </c>
      <c r="E3693">
        <v>15</v>
      </c>
      <c r="F3693" t="s">
        <v>10069</v>
      </c>
      <c r="G3693" t="s">
        <v>10021</v>
      </c>
      <c r="H3693" s="6">
        <v>45249</v>
      </c>
      <c r="I3693">
        <f t="shared" si="114"/>
        <v>0</v>
      </c>
      <c r="J3693" t="str">
        <f t="shared" si="115"/>
        <v>Complete</v>
      </c>
      <c r="K3693">
        <f>COUNTIFS(RawData[Item], B3693,RawData[Quantity],C3693,RawData[Price Per Unit],D3693,RawData[Total Spent],E3693,RawData[Payment Method],F3693,RawData[Location],G3693,RawData[Transaction Date],H3693)</f>
        <v>1</v>
      </c>
      <c r="L3693"/>
    </row>
    <row r="3694" spans="1:12" x14ac:dyDescent="0.3">
      <c r="A3694" t="s">
        <v>3700</v>
      </c>
      <c r="B3694" t="s">
        <v>10011</v>
      </c>
      <c r="C3694">
        <v>4</v>
      </c>
      <c r="D3694">
        <v>5</v>
      </c>
      <c r="E3694">
        <v>20</v>
      </c>
      <c r="F3694" t="s">
        <v>10019</v>
      </c>
      <c r="G3694" t="s">
        <v>10102</v>
      </c>
      <c r="H3694" s="6">
        <v>45218</v>
      </c>
      <c r="I3694">
        <f t="shared" si="114"/>
        <v>0</v>
      </c>
      <c r="J3694" t="str">
        <f t="shared" si="115"/>
        <v>Complete</v>
      </c>
      <c r="K3694">
        <f>COUNTIFS(RawData[Item], B3694,RawData[Quantity],C3694,RawData[Price Per Unit],D3694,RawData[Total Spent],E3694,RawData[Payment Method],F3694,RawData[Location],G3694,RawData[Transaction Date],H3694)</f>
        <v>1</v>
      </c>
      <c r="L3694"/>
    </row>
    <row r="3695" spans="1:12" x14ac:dyDescent="0.3">
      <c r="A3695" t="s">
        <v>3701</v>
      </c>
      <c r="B3695" t="s">
        <v>10011</v>
      </c>
      <c r="C3695">
        <v>3</v>
      </c>
      <c r="D3695">
        <v>5</v>
      </c>
      <c r="E3695">
        <v>15</v>
      </c>
      <c r="F3695" t="s">
        <v>10020</v>
      </c>
      <c r="G3695" t="s">
        <v>10069</v>
      </c>
      <c r="H3695" s="6">
        <v>45154</v>
      </c>
      <c r="I3695">
        <f t="shared" si="114"/>
        <v>0</v>
      </c>
      <c r="J3695" t="str">
        <f t="shared" si="115"/>
        <v>Complete</v>
      </c>
      <c r="K3695">
        <f>COUNTIFS(RawData[Item], B3695,RawData[Quantity],C3695,RawData[Price Per Unit],D3695,RawData[Total Spent],E3695,RawData[Payment Method],F3695,RawData[Location],G3695,RawData[Transaction Date],H3695)</f>
        <v>1</v>
      </c>
      <c r="L3695"/>
    </row>
    <row r="3696" spans="1:12" x14ac:dyDescent="0.3">
      <c r="A3696" t="s">
        <v>3702</v>
      </c>
      <c r="B3696" t="s">
        <v>10017</v>
      </c>
      <c r="C3696">
        <v>1</v>
      </c>
      <c r="D3696">
        <v>1.5</v>
      </c>
      <c r="E3696">
        <v>1.5</v>
      </c>
      <c r="F3696" t="s">
        <v>10019</v>
      </c>
      <c r="G3696" t="s">
        <v>10069</v>
      </c>
      <c r="H3696" s="6">
        <v>44948</v>
      </c>
      <c r="I3696">
        <f t="shared" si="114"/>
        <v>0</v>
      </c>
      <c r="J3696" t="str">
        <f t="shared" si="115"/>
        <v>Complete</v>
      </c>
      <c r="K3696">
        <f>COUNTIFS(RawData[Item], B3696,RawData[Quantity],C3696,RawData[Price Per Unit],D3696,RawData[Total Spent],E3696,RawData[Payment Method],F3696,RawData[Location],G3696,RawData[Transaction Date],H3696)</f>
        <v>1</v>
      </c>
      <c r="L3696"/>
    </row>
    <row r="3697" spans="1:12" x14ac:dyDescent="0.3">
      <c r="A3697" t="s">
        <v>3703</v>
      </c>
      <c r="B3697" t="s">
        <v>10010</v>
      </c>
      <c r="C3697">
        <v>2</v>
      </c>
      <c r="D3697">
        <v>1</v>
      </c>
      <c r="E3697">
        <v>2</v>
      </c>
      <c r="F3697" t="s">
        <v>10018</v>
      </c>
      <c r="G3697" t="s">
        <v>10069</v>
      </c>
      <c r="H3697" s="6">
        <v>45167</v>
      </c>
      <c r="I3697">
        <f t="shared" si="114"/>
        <v>0</v>
      </c>
      <c r="J3697" t="str">
        <f t="shared" si="115"/>
        <v>Complete</v>
      </c>
      <c r="K3697">
        <f>COUNTIFS(RawData[Item], B3697,RawData[Quantity],C3697,RawData[Price Per Unit],D3697,RawData[Total Spent],E3697,RawData[Payment Method],F3697,RawData[Location],G3697,RawData[Transaction Date],H3697)</f>
        <v>1</v>
      </c>
      <c r="L3697"/>
    </row>
    <row r="3698" spans="1:12" x14ac:dyDescent="0.3">
      <c r="A3698" t="s">
        <v>3704</v>
      </c>
      <c r="B3698" t="s">
        <v>10012</v>
      </c>
      <c r="C3698">
        <v>1</v>
      </c>
      <c r="D3698">
        <v>4</v>
      </c>
      <c r="E3698">
        <v>4</v>
      </c>
      <c r="F3698" t="s">
        <v>10018</v>
      </c>
      <c r="G3698" t="s">
        <v>10021</v>
      </c>
      <c r="H3698" s="6">
        <v>45056</v>
      </c>
      <c r="I3698">
        <f t="shared" si="114"/>
        <v>0</v>
      </c>
      <c r="J3698" t="str">
        <f t="shared" si="115"/>
        <v>Complete</v>
      </c>
      <c r="K3698">
        <f>COUNTIFS(RawData[Item], B3698,RawData[Quantity],C3698,RawData[Price Per Unit],D3698,RawData[Total Spent],E3698,RawData[Payment Method],F3698,RawData[Location],G3698,RawData[Transaction Date],H3698)</f>
        <v>1</v>
      </c>
      <c r="L3698"/>
    </row>
    <row r="3699" spans="1:12" x14ac:dyDescent="0.3">
      <c r="A3699" t="s">
        <v>3705</v>
      </c>
      <c r="B3699" t="s">
        <v>10013</v>
      </c>
      <c r="C3699">
        <v>1</v>
      </c>
      <c r="D3699">
        <v>1.5</v>
      </c>
      <c r="E3699">
        <v>1.5</v>
      </c>
      <c r="F3699" t="s">
        <v>10103</v>
      </c>
      <c r="G3699" t="s">
        <v>10069</v>
      </c>
      <c r="H3699" s="6">
        <v>45246</v>
      </c>
      <c r="I3699">
        <f t="shared" si="114"/>
        <v>2</v>
      </c>
      <c r="J3699" t="str">
        <f t="shared" si="115"/>
        <v>Complete</v>
      </c>
      <c r="K3699">
        <f>COUNTIFS(RawData[Item], B3699,RawData[Quantity],C3699,RawData[Price Per Unit],D3699,RawData[Total Spent],E3699,RawData[Payment Method],F3699,RawData[Location],G3699,RawData[Transaction Date],H3699)</f>
        <v>1</v>
      </c>
      <c r="L3699"/>
    </row>
    <row r="3700" spans="1:12" x14ac:dyDescent="0.3">
      <c r="A3700" t="s">
        <v>3706</v>
      </c>
      <c r="B3700" t="s">
        <v>10008</v>
      </c>
      <c r="C3700">
        <v>2</v>
      </c>
      <c r="D3700">
        <v>2</v>
      </c>
      <c r="E3700">
        <v>4</v>
      </c>
      <c r="F3700" t="s">
        <v>10020</v>
      </c>
      <c r="G3700" t="s">
        <v>10021</v>
      </c>
      <c r="H3700" s="6">
        <v>45108</v>
      </c>
      <c r="I3700">
        <f t="shared" si="114"/>
        <v>0</v>
      </c>
      <c r="J3700" t="str">
        <f t="shared" si="115"/>
        <v>Complete</v>
      </c>
      <c r="K3700">
        <f>COUNTIFS(RawData[Item], B3700,RawData[Quantity],C3700,RawData[Price Per Unit],D3700,RawData[Total Spent],E3700,RawData[Payment Method],F3700,RawData[Location],G3700,RawData[Transaction Date],H3700)</f>
        <v>1</v>
      </c>
      <c r="L3700"/>
    </row>
    <row r="3701" spans="1:12" x14ac:dyDescent="0.3">
      <c r="A3701" t="s">
        <v>3707</v>
      </c>
      <c r="B3701" t="s">
        <v>10017</v>
      </c>
      <c r="C3701">
        <v>1</v>
      </c>
      <c r="D3701">
        <v>1.5</v>
      </c>
      <c r="E3701">
        <v>1.5</v>
      </c>
      <c r="F3701" t="s">
        <v>10020</v>
      </c>
      <c r="G3701" t="s">
        <v>10021</v>
      </c>
      <c r="H3701" s="6">
        <v>45039</v>
      </c>
      <c r="I3701">
        <f t="shared" si="114"/>
        <v>0</v>
      </c>
      <c r="J3701" t="str">
        <f t="shared" si="115"/>
        <v>Complete</v>
      </c>
      <c r="K3701">
        <f>COUNTIFS(RawData[Item], B3701,RawData[Quantity],C3701,RawData[Price Per Unit],D3701,RawData[Total Spent],E3701,RawData[Payment Method],F3701,RawData[Location],G3701,RawData[Transaction Date],H3701)</f>
        <v>1</v>
      </c>
      <c r="L3701"/>
    </row>
    <row r="3702" spans="1:12" x14ac:dyDescent="0.3">
      <c r="A3702" t="s">
        <v>3708</v>
      </c>
      <c r="B3702" t="s">
        <v>10017</v>
      </c>
      <c r="C3702">
        <v>1</v>
      </c>
      <c r="D3702">
        <v>1.5</v>
      </c>
      <c r="E3702">
        <v>1.5</v>
      </c>
      <c r="F3702" t="s">
        <v>10020</v>
      </c>
      <c r="G3702" t="s">
        <v>10021</v>
      </c>
      <c r="H3702" s="6">
        <v>44954</v>
      </c>
      <c r="I3702">
        <f t="shared" si="114"/>
        <v>0</v>
      </c>
      <c r="J3702" t="str">
        <f t="shared" si="115"/>
        <v>Complete</v>
      </c>
      <c r="K3702">
        <f>COUNTIFS(RawData[Item], B3702,RawData[Quantity],C3702,RawData[Price Per Unit],D3702,RawData[Total Spent],E3702,RawData[Payment Method],F3702,RawData[Location],G3702,RawData[Transaction Date],H3702)</f>
        <v>1</v>
      </c>
      <c r="L3702"/>
    </row>
    <row r="3703" spans="1:12" x14ac:dyDescent="0.3">
      <c r="A3703" t="s">
        <v>3709</v>
      </c>
      <c r="B3703" t="s">
        <v>10017</v>
      </c>
      <c r="C3703">
        <v>0</v>
      </c>
      <c r="D3703">
        <v>1.5</v>
      </c>
      <c r="E3703">
        <v>1.5</v>
      </c>
      <c r="F3703" t="s">
        <v>10069</v>
      </c>
      <c r="G3703" t="s">
        <v>10102</v>
      </c>
      <c r="H3703" s="6">
        <v>45081</v>
      </c>
      <c r="I3703">
        <f t="shared" si="114"/>
        <v>0</v>
      </c>
      <c r="J3703" t="str">
        <f t="shared" si="115"/>
        <v>Complete</v>
      </c>
      <c r="K3703">
        <f>COUNTIFS(RawData[Item], B3703,RawData[Quantity],C3703,RawData[Price Per Unit],D3703,RawData[Total Spent],E3703,RawData[Payment Method],F3703,RawData[Location],G3703,RawData[Transaction Date],H3703)</f>
        <v>1</v>
      </c>
      <c r="L3703"/>
    </row>
    <row r="3704" spans="1:12" x14ac:dyDescent="0.3">
      <c r="A3704" t="s">
        <v>3710</v>
      </c>
      <c r="B3704" t="s">
        <v>10011</v>
      </c>
      <c r="C3704">
        <v>5</v>
      </c>
      <c r="D3704">
        <v>5</v>
      </c>
      <c r="E3704">
        <v>25</v>
      </c>
      <c r="F3704" t="s">
        <v>10018</v>
      </c>
      <c r="G3704" t="s">
        <v>10021</v>
      </c>
      <c r="H3704" s="6">
        <v>44976</v>
      </c>
      <c r="I3704">
        <f t="shared" si="114"/>
        <v>0</v>
      </c>
      <c r="J3704" t="str">
        <f t="shared" si="115"/>
        <v>Complete</v>
      </c>
      <c r="K3704">
        <f>COUNTIFS(RawData[Item], B3704,RawData[Quantity],C3704,RawData[Price Per Unit],D3704,RawData[Total Spent],E3704,RawData[Payment Method],F3704,RawData[Location],G3704,RawData[Transaction Date],H3704)</f>
        <v>1</v>
      </c>
      <c r="L3704"/>
    </row>
    <row r="3705" spans="1:12" x14ac:dyDescent="0.3">
      <c r="A3705" t="s">
        <v>3711</v>
      </c>
      <c r="B3705" t="s">
        <v>10008</v>
      </c>
      <c r="C3705">
        <v>1</v>
      </c>
      <c r="D3705">
        <v>2</v>
      </c>
      <c r="E3705">
        <v>2</v>
      </c>
      <c r="F3705" t="s">
        <v>10069</v>
      </c>
      <c r="G3705" t="s">
        <v>10102</v>
      </c>
      <c r="H3705" s="6">
        <v>45255</v>
      </c>
      <c r="I3705">
        <f t="shared" si="114"/>
        <v>0</v>
      </c>
      <c r="J3705" t="str">
        <f t="shared" si="115"/>
        <v>Complete</v>
      </c>
      <c r="K3705">
        <f>COUNTIFS(RawData[Item], B3705,RawData[Quantity],C3705,RawData[Price Per Unit],D3705,RawData[Total Spent],E3705,RawData[Payment Method],F3705,RawData[Location],G3705,RawData[Transaction Date],H3705)</f>
        <v>1</v>
      </c>
      <c r="L3705"/>
    </row>
    <row r="3706" spans="1:12" x14ac:dyDescent="0.3">
      <c r="A3706" t="s">
        <v>3712</v>
      </c>
      <c r="B3706" t="s">
        <v>10017</v>
      </c>
      <c r="C3706">
        <v>4</v>
      </c>
      <c r="D3706">
        <v>1.5</v>
      </c>
      <c r="E3706">
        <v>6</v>
      </c>
      <c r="F3706" t="s">
        <v>10019</v>
      </c>
      <c r="G3706" t="s">
        <v>10021</v>
      </c>
      <c r="H3706" s="6">
        <v>45038</v>
      </c>
      <c r="I3706">
        <f t="shared" si="114"/>
        <v>0</v>
      </c>
      <c r="J3706" t="str">
        <f t="shared" si="115"/>
        <v>Complete</v>
      </c>
      <c r="K3706">
        <f>COUNTIFS(RawData[Item], B3706,RawData[Quantity],C3706,RawData[Price Per Unit],D3706,RawData[Total Spent],E3706,RawData[Payment Method],F3706,RawData[Location],G3706,RawData[Transaction Date],H3706)</f>
        <v>1</v>
      </c>
      <c r="L3706"/>
    </row>
    <row r="3707" spans="1:12" x14ac:dyDescent="0.3">
      <c r="A3707" t="s">
        <v>3713</v>
      </c>
      <c r="B3707" t="s">
        <v>10015</v>
      </c>
      <c r="C3707">
        <v>4</v>
      </c>
      <c r="D3707">
        <v>4</v>
      </c>
      <c r="E3707">
        <v>16</v>
      </c>
      <c r="F3707" t="s">
        <v>10019</v>
      </c>
      <c r="G3707" t="s">
        <v>10021</v>
      </c>
      <c r="H3707" s="6">
        <v>45255</v>
      </c>
      <c r="I3707">
        <f t="shared" si="114"/>
        <v>1</v>
      </c>
      <c r="J3707" t="str">
        <f t="shared" si="115"/>
        <v>Complete</v>
      </c>
      <c r="K3707">
        <f>COUNTIFS(RawData[Item], B3707,RawData[Quantity],C3707,RawData[Price Per Unit],D3707,RawData[Total Spent],E3707,RawData[Payment Method],F3707,RawData[Location],G3707,RawData[Transaction Date],H3707)</f>
        <v>1</v>
      </c>
      <c r="L3707"/>
    </row>
    <row r="3708" spans="1:12" x14ac:dyDescent="0.3">
      <c r="A3708" t="s">
        <v>3714</v>
      </c>
      <c r="B3708" t="s">
        <v>10012</v>
      </c>
      <c r="C3708">
        <v>4</v>
      </c>
      <c r="D3708">
        <v>4</v>
      </c>
      <c r="E3708">
        <v>16</v>
      </c>
      <c r="F3708" t="s">
        <v>10103</v>
      </c>
      <c r="G3708" t="s">
        <v>10102</v>
      </c>
      <c r="H3708" s="6">
        <v>45093</v>
      </c>
      <c r="I3708">
        <f t="shared" si="114"/>
        <v>1</v>
      </c>
      <c r="J3708" t="str">
        <f t="shared" si="115"/>
        <v>Complete</v>
      </c>
      <c r="K3708">
        <f>COUNTIFS(RawData[Item], B3708,RawData[Quantity],C3708,RawData[Price Per Unit],D3708,RawData[Total Spent],E3708,RawData[Payment Method],F3708,RawData[Location],G3708,RawData[Transaction Date],H3708)</f>
        <v>1</v>
      </c>
      <c r="L3708"/>
    </row>
    <row r="3709" spans="1:12" x14ac:dyDescent="0.3">
      <c r="A3709" t="s">
        <v>3715</v>
      </c>
      <c r="B3709" t="s">
        <v>10017</v>
      </c>
      <c r="C3709">
        <v>3</v>
      </c>
      <c r="D3709">
        <v>1.5</v>
      </c>
      <c r="E3709">
        <v>4.5</v>
      </c>
      <c r="F3709" t="s">
        <v>10018</v>
      </c>
      <c r="G3709" t="s">
        <v>10069</v>
      </c>
      <c r="H3709" s="6">
        <v>44987</v>
      </c>
      <c r="I3709">
        <f t="shared" si="114"/>
        <v>0</v>
      </c>
      <c r="J3709" t="str">
        <f t="shared" si="115"/>
        <v>Complete</v>
      </c>
      <c r="K3709">
        <f>COUNTIFS(RawData[Item], B3709,RawData[Quantity],C3709,RawData[Price Per Unit],D3709,RawData[Total Spent],E3709,RawData[Payment Method],F3709,RawData[Location],G3709,RawData[Transaction Date],H3709)</f>
        <v>1</v>
      </c>
      <c r="L3709"/>
    </row>
    <row r="3710" spans="1:12" x14ac:dyDescent="0.3">
      <c r="A3710" t="s">
        <v>3716</v>
      </c>
      <c r="B3710" t="s">
        <v>10016</v>
      </c>
      <c r="C3710">
        <v>5</v>
      </c>
      <c r="D3710">
        <v>3</v>
      </c>
      <c r="E3710">
        <v>15</v>
      </c>
      <c r="F3710" t="s">
        <v>10018</v>
      </c>
      <c r="G3710" t="s">
        <v>10069</v>
      </c>
      <c r="H3710" s="6">
        <v>45074</v>
      </c>
      <c r="I3710">
        <f t="shared" si="114"/>
        <v>0</v>
      </c>
      <c r="J3710" t="str">
        <f t="shared" si="115"/>
        <v>Complete</v>
      </c>
      <c r="K3710">
        <f>COUNTIFS(RawData[Item], B3710,RawData[Quantity],C3710,RawData[Price Per Unit],D3710,RawData[Total Spent],E3710,RawData[Payment Method],F3710,RawData[Location],G3710,RawData[Transaction Date],H3710)</f>
        <v>1</v>
      </c>
      <c r="L3710"/>
    </row>
    <row r="3711" spans="1:12" x14ac:dyDescent="0.3">
      <c r="A3711" t="s">
        <v>3717</v>
      </c>
      <c r="B3711" t="s">
        <v>10017</v>
      </c>
      <c r="C3711">
        <v>5</v>
      </c>
      <c r="D3711">
        <v>1.5</v>
      </c>
      <c r="E3711">
        <v>7.5</v>
      </c>
      <c r="F3711" t="s">
        <v>10018</v>
      </c>
      <c r="G3711" t="s">
        <v>10069</v>
      </c>
      <c r="H3711" s="6">
        <v>45052</v>
      </c>
      <c r="I3711">
        <f t="shared" si="114"/>
        <v>0</v>
      </c>
      <c r="J3711" t="str">
        <f t="shared" si="115"/>
        <v>Complete</v>
      </c>
      <c r="K3711">
        <f>COUNTIFS(RawData[Item], B3711,RawData[Quantity],C3711,RawData[Price Per Unit],D3711,RawData[Total Spent],E3711,RawData[Payment Method],F3711,RawData[Location],G3711,RawData[Transaction Date],H3711)</f>
        <v>1</v>
      </c>
      <c r="L3711"/>
    </row>
    <row r="3712" spans="1:12" x14ac:dyDescent="0.3">
      <c r="A3712" t="s">
        <v>3718</v>
      </c>
      <c r="B3712" t="s">
        <v>10013</v>
      </c>
      <c r="C3712">
        <v>1</v>
      </c>
      <c r="D3712">
        <v>5</v>
      </c>
      <c r="E3712">
        <v>5</v>
      </c>
      <c r="F3712" t="s">
        <v>10069</v>
      </c>
      <c r="G3712" t="s">
        <v>10069</v>
      </c>
      <c r="H3712" s="6">
        <v>44973</v>
      </c>
      <c r="I3712">
        <f t="shared" si="114"/>
        <v>1</v>
      </c>
      <c r="J3712" t="str">
        <f t="shared" si="115"/>
        <v>Complete</v>
      </c>
      <c r="K3712">
        <f>COUNTIFS(RawData[Item], B3712,RawData[Quantity],C3712,RawData[Price Per Unit],D3712,RawData[Total Spent],E3712,RawData[Payment Method],F3712,RawData[Location],G3712,RawData[Transaction Date],H3712)</f>
        <v>1</v>
      </c>
      <c r="L3712"/>
    </row>
    <row r="3713" spans="1:12" x14ac:dyDescent="0.3">
      <c r="A3713" t="s">
        <v>3719</v>
      </c>
      <c r="B3713" t="s">
        <v>10013</v>
      </c>
      <c r="C3713">
        <v>5</v>
      </c>
      <c r="D3713">
        <v>2</v>
      </c>
      <c r="E3713">
        <v>10</v>
      </c>
      <c r="F3713" t="s">
        <v>10103</v>
      </c>
      <c r="G3713" t="s">
        <v>10102</v>
      </c>
      <c r="H3713" s="6">
        <v>45244</v>
      </c>
      <c r="I3713">
        <f t="shared" si="114"/>
        <v>2</v>
      </c>
      <c r="J3713" t="str">
        <f t="shared" si="115"/>
        <v>Complete</v>
      </c>
      <c r="K3713">
        <f>COUNTIFS(RawData[Item], B3713,RawData[Quantity],C3713,RawData[Price Per Unit],D3713,RawData[Total Spent],E3713,RawData[Payment Method],F3713,RawData[Location],G3713,RawData[Transaction Date],H3713)</f>
        <v>1</v>
      </c>
      <c r="L3713"/>
    </row>
    <row r="3714" spans="1:12" x14ac:dyDescent="0.3">
      <c r="A3714" t="s">
        <v>3720</v>
      </c>
      <c r="B3714" t="s">
        <v>10008</v>
      </c>
      <c r="C3714">
        <v>3</v>
      </c>
      <c r="D3714">
        <v>2</v>
      </c>
      <c r="E3714">
        <v>6</v>
      </c>
      <c r="F3714" t="s">
        <v>10103</v>
      </c>
      <c r="G3714" t="s">
        <v>10021</v>
      </c>
      <c r="H3714" s="6">
        <v>45178</v>
      </c>
      <c r="I3714">
        <f t="shared" ref="I3714:I3777" si="116">(B3714="Unknown")+(B3714="Error")+(C3714="Unknown")+(C3714="Error")+(D3714="Unknown")+(D3714="Error")+(E3714="Unknown")+(E3714="Error")+(F3714="Unknown")+(F3714="Error")+(G3714="Unknown")+(G3714="Error")+(H3714="No Date")</f>
        <v>1</v>
      </c>
      <c r="J3714" t="str">
        <f t="shared" ref="J3714:J3777" si="117">IF((H3714="No Date"),"Incomplete","Complete")</f>
        <v>Complete</v>
      </c>
      <c r="K3714">
        <f>COUNTIFS(RawData[Item], B3714,RawData[Quantity],C3714,RawData[Price Per Unit],D3714,RawData[Total Spent],E3714,RawData[Payment Method],F3714,RawData[Location],G3714,RawData[Transaction Date],H3714)</f>
        <v>1</v>
      </c>
      <c r="L3714"/>
    </row>
    <row r="3715" spans="1:12" x14ac:dyDescent="0.3">
      <c r="A3715" t="s">
        <v>3721</v>
      </c>
      <c r="B3715" t="s">
        <v>10010</v>
      </c>
      <c r="C3715">
        <v>3</v>
      </c>
      <c r="D3715">
        <v>1</v>
      </c>
      <c r="E3715">
        <v>3</v>
      </c>
      <c r="F3715" t="s">
        <v>10018</v>
      </c>
      <c r="G3715" t="s">
        <v>10102</v>
      </c>
      <c r="H3715" s="6">
        <v>45067</v>
      </c>
      <c r="I3715">
        <f t="shared" si="116"/>
        <v>0</v>
      </c>
      <c r="J3715" t="str">
        <f t="shared" si="117"/>
        <v>Complete</v>
      </c>
      <c r="K3715">
        <f>COUNTIFS(RawData[Item], B3715,RawData[Quantity],C3715,RawData[Price Per Unit],D3715,RawData[Total Spent],E3715,RawData[Payment Method],F3715,RawData[Location],G3715,RawData[Transaction Date],H3715)</f>
        <v>1</v>
      </c>
      <c r="L3715"/>
    </row>
    <row r="3716" spans="1:12" x14ac:dyDescent="0.3">
      <c r="A3716" t="s">
        <v>3722</v>
      </c>
      <c r="B3716" t="s">
        <v>10014</v>
      </c>
      <c r="C3716">
        <v>2</v>
      </c>
      <c r="D3716">
        <v>0</v>
      </c>
      <c r="E3716">
        <v>8</v>
      </c>
      <c r="F3716" t="s">
        <v>10020</v>
      </c>
      <c r="G3716" t="s">
        <v>10102</v>
      </c>
      <c r="H3716" s="6">
        <v>45238</v>
      </c>
      <c r="I3716">
        <f t="shared" si="116"/>
        <v>0</v>
      </c>
      <c r="J3716" t="str">
        <f t="shared" si="117"/>
        <v>Complete</v>
      </c>
      <c r="K3716">
        <f>COUNTIFS(RawData[Item], B3716,RawData[Quantity],C3716,RawData[Price Per Unit],D3716,RawData[Total Spent],E3716,RawData[Payment Method],F3716,RawData[Location],G3716,RawData[Transaction Date],H3716)</f>
        <v>1</v>
      </c>
      <c r="L3716"/>
    </row>
    <row r="3717" spans="1:12" x14ac:dyDescent="0.3">
      <c r="A3717" t="s">
        <v>3723</v>
      </c>
      <c r="B3717" t="s">
        <v>10010</v>
      </c>
      <c r="C3717">
        <v>3</v>
      </c>
      <c r="D3717">
        <v>1</v>
      </c>
      <c r="E3717">
        <v>3</v>
      </c>
      <c r="F3717" t="s">
        <v>10019</v>
      </c>
      <c r="G3717" t="s">
        <v>10021</v>
      </c>
      <c r="H3717" s="6">
        <v>44955</v>
      </c>
      <c r="I3717">
        <f t="shared" si="116"/>
        <v>0</v>
      </c>
      <c r="J3717" t="str">
        <f t="shared" si="117"/>
        <v>Complete</v>
      </c>
      <c r="K3717">
        <f>COUNTIFS(RawData[Item], B3717,RawData[Quantity],C3717,RawData[Price Per Unit],D3717,RawData[Total Spent],E3717,RawData[Payment Method],F3717,RawData[Location],G3717,RawData[Transaction Date],H3717)</f>
        <v>1</v>
      </c>
      <c r="L3717"/>
    </row>
    <row r="3718" spans="1:12" x14ac:dyDescent="0.3">
      <c r="A3718" t="s">
        <v>3724</v>
      </c>
      <c r="B3718" t="s">
        <v>10010</v>
      </c>
      <c r="C3718">
        <v>1</v>
      </c>
      <c r="D3718" t="s">
        <v>10015</v>
      </c>
      <c r="E3718">
        <v>1</v>
      </c>
      <c r="F3718" t="s">
        <v>10020</v>
      </c>
      <c r="G3718" t="s">
        <v>10069</v>
      </c>
      <c r="H3718" s="6">
        <v>45232</v>
      </c>
      <c r="I3718">
        <f t="shared" si="116"/>
        <v>1</v>
      </c>
      <c r="J3718" t="str">
        <f t="shared" si="117"/>
        <v>Complete</v>
      </c>
      <c r="K3718">
        <f>COUNTIFS(RawData[Item], B3718,RawData[Quantity],C3718,RawData[Price Per Unit],D3718,RawData[Total Spent],E3718,RawData[Payment Method],F3718,RawData[Location],G3718,RawData[Transaction Date],H3718)</f>
        <v>1</v>
      </c>
      <c r="L3718"/>
    </row>
    <row r="3719" spans="1:12" x14ac:dyDescent="0.3">
      <c r="A3719" t="s">
        <v>3725</v>
      </c>
      <c r="B3719" t="s">
        <v>10015</v>
      </c>
      <c r="C3719">
        <v>3</v>
      </c>
      <c r="D3719">
        <v>4</v>
      </c>
      <c r="E3719">
        <v>12</v>
      </c>
      <c r="F3719" t="s">
        <v>10019</v>
      </c>
      <c r="G3719" t="s">
        <v>10104</v>
      </c>
      <c r="H3719" s="6">
        <v>45073</v>
      </c>
      <c r="I3719">
        <f t="shared" si="116"/>
        <v>2</v>
      </c>
      <c r="J3719" t="str">
        <f t="shared" si="117"/>
        <v>Complete</v>
      </c>
      <c r="K3719">
        <f>COUNTIFS(RawData[Item], B3719,RawData[Quantity],C3719,RawData[Price Per Unit],D3719,RawData[Total Spent],E3719,RawData[Payment Method],F3719,RawData[Location],G3719,RawData[Transaction Date],H3719)</f>
        <v>1</v>
      </c>
      <c r="L3719"/>
    </row>
    <row r="3720" spans="1:12" x14ac:dyDescent="0.3">
      <c r="A3720" t="s">
        <v>3726</v>
      </c>
      <c r="B3720" t="s">
        <v>10012</v>
      </c>
      <c r="C3720">
        <v>1</v>
      </c>
      <c r="D3720">
        <v>4</v>
      </c>
      <c r="E3720">
        <v>4</v>
      </c>
      <c r="F3720" t="s">
        <v>10019</v>
      </c>
      <c r="G3720" t="s">
        <v>10102</v>
      </c>
      <c r="H3720" s="6">
        <v>44992</v>
      </c>
      <c r="I3720">
        <f t="shared" si="116"/>
        <v>0</v>
      </c>
      <c r="J3720" t="str">
        <f t="shared" si="117"/>
        <v>Complete</v>
      </c>
      <c r="K3720">
        <f>COUNTIFS(RawData[Item], B3720,RawData[Quantity],C3720,RawData[Price Per Unit],D3720,RawData[Total Spent],E3720,RawData[Payment Method],F3720,RawData[Location],G3720,RawData[Transaction Date],H3720)</f>
        <v>1</v>
      </c>
      <c r="L3720"/>
    </row>
    <row r="3721" spans="1:12" x14ac:dyDescent="0.3">
      <c r="A3721" t="s">
        <v>3727</v>
      </c>
      <c r="B3721" t="s">
        <v>10017</v>
      </c>
      <c r="C3721">
        <v>2</v>
      </c>
      <c r="D3721">
        <v>1.5</v>
      </c>
      <c r="E3721">
        <v>3</v>
      </c>
      <c r="F3721" t="s">
        <v>10018</v>
      </c>
      <c r="G3721" t="s">
        <v>10103</v>
      </c>
      <c r="H3721" s="6">
        <v>45050</v>
      </c>
      <c r="I3721">
        <f t="shared" si="116"/>
        <v>1</v>
      </c>
      <c r="J3721" t="str">
        <f t="shared" si="117"/>
        <v>Complete</v>
      </c>
      <c r="K3721">
        <f>COUNTIFS(RawData[Item], B3721,RawData[Quantity],C3721,RawData[Price Per Unit],D3721,RawData[Total Spent],E3721,RawData[Payment Method],F3721,RawData[Location],G3721,RawData[Transaction Date],H3721)</f>
        <v>1</v>
      </c>
      <c r="L3721"/>
    </row>
    <row r="3722" spans="1:12" x14ac:dyDescent="0.3">
      <c r="A3722" t="s">
        <v>3728</v>
      </c>
      <c r="B3722" t="s">
        <v>10014</v>
      </c>
      <c r="C3722">
        <v>2</v>
      </c>
      <c r="D3722" t="s">
        <v>10013</v>
      </c>
      <c r="E3722">
        <v>8</v>
      </c>
      <c r="F3722" t="s">
        <v>10069</v>
      </c>
      <c r="G3722" t="s">
        <v>10103</v>
      </c>
      <c r="H3722" s="6">
        <v>45219</v>
      </c>
      <c r="I3722">
        <f t="shared" si="116"/>
        <v>2</v>
      </c>
      <c r="J3722" t="str">
        <f t="shared" si="117"/>
        <v>Complete</v>
      </c>
      <c r="K3722">
        <f>COUNTIFS(RawData[Item], B3722,RawData[Quantity],C3722,RawData[Price Per Unit],D3722,RawData[Total Spent],E3722,RawData[Payment Method],F3722,RawData[Location],G3722,RawData[Transaction Date],H3722)</f>
        <v>1</v>
      </c>
      <c r="L3722"/>
    </row>
    <row r="3723" spans="1:12" x14ac:dyDescent="0.3">
      <c r="A3723" t="s">
        <v>3729</v>
      </c>
      <c r="B3723" t="s">
        <v>10014</v>
      </c>
      <c r="C3723">
        <v>3</v>
      </c>
      <c r="D3723">
        <v>0</v>
      </c>
      <c r="E3723">
        <v>12</v>
      </c>
      <c r="F3723" t="s">
        <v>10069</v>
      </c>
      <c r="G3723" t="s">
        <v>10102</v>
      </c>
      <c r="H3723" s="6">
        <v>45123</v>
      </c>
      <c r="I3723">
        <f t="shared" si="116"/>
        <v>0</v>
      </c>
      <c r="J3723" t="str">
        <f t="shared" si="117"/>
        <v>Complete</v>
      </c>
      <c r="K3723">
        <f>COUNTIFS(RawData[Item], B3723,RawData[Quantity],C3723,RawData[Price Per Unit],D3723,RawData[Total Spent],E3723,RawData[Payment Method],F3723,RawData[Location],G3723,RawData[Transaction Date],H3723)</f>
        <v>1</v>
      </c>
      <c r="L3723"/>
    </row>
    <row r="3724" spans="1:12" x14ac:dyDescent="0.3">
      <c r="A3724" t="s">
        <v>3730</v>
      </c>
      <c r="B3724" t="s">
        <v>10011</v>
      </c>
      <c r="C3724">
        <v>5</v>
      </c>
      <c r="D3724">
        <v>5</v>
      </c>
      <c r="E3724">
        <v>25</v>
      </c>
      <c r="F3724" t="s">
        <v>10020</v>
      </c>
      <c r="G3724" t="s">
        <v>10102</v>
      </c>
      <c r="H3724" s="6">
        <v>45258</v>
      </c>
      <c r="I3724">
        <f t="shared" si="116"/>
        <v>0</v>
      </c>
      <c r="J3724" t="str">
        <f t="shared" si="117"/>
        <v>Complete</v>
      </c>
      <c r="K3724">
        <f>COUNTIFS(RawData[Item], B3724,RawData[Quantity],C3724,RawData[Price Per Unit],D3724,RawData[Total Spent],E3724,RawData[Payment Method],F3724,RawData[Location],G3724,RawData[Transaction Date],H3724)</f>
        <v>1</v>
      </c>
      <c r="L3724"/>
    </row>
    <row r="3725" spans="1:12" x14ac:dyDescent="0.3">
      <c r="A3725" t="s">
        <v>3731</v>
      </c>
      <c r="B3725" t="s">
        <v>10014</v>
      </c>
      <c r="C3725" t="s">
        <v>10015</v>
      </c>
      <c r="D3725">
        <v>4</v>
      </c>
      <c r="E3725">
        <v>20</v>
      </c>
      <c r="F3725" t="s">
        <v>10019</v>
      </c>
      <c r="G3725" t="s">
        <v>10021</v>
      </c>
      <c r="H3725" s="6">
        <v>44931</v>
      </c>
      <c r="I3725">
        <f t="shared" si="116"/>
        <v>1</v>
      </c>
      <c r="J3725" t="str">
        <f t="shared" si="117"/>
        <v>Complete</v>
      </c>
      <c r="K3725">
        <f>COUNTIFS(RawData[Item], B3725,RawData[Quantity],C3725,RawData[Price Per Unit],D3725,RawData[Total Spent],E3725,RawData[Payment Method],F3725,RawData[Location],G3725,RawData[Transaction Date],H3725)</f>
        <v>1</v>
      </c>
      <c r="L3725"/>
    </row>
    <row r="3726" spans="1:12" x14ac:dyDescent="0.3">
      <c r="A3726" t="s">
        <v>3732</v>
      </c>
      <c r="B3726" t="s">
        <v>10016</v>
      </c>
      <c r="C3726">
        <v>3</v>
      </c>
      <c r="D3726">
        <v>3</v>
      </c>
      <c r="E3726">
        <v>9</v>
      </c>
      <c r="F3726" t="s">
        <v>10018</v>
      </c>
      <c r="G3726" t="s">
        <v>10021</v>
      </c>
      <c r="H3726" s="6">
        <v>45226</v>
      </c>
      <c r="I3726">
        <f t="shared" si="116"/>
        <v>0</v>
      </c>
      <c r="J3726" t="str">
        <f t="shared" si="117"/>
        <v>Complete</v>
      </c>
      <c r="K3726">
        <f>COUNTIFS(RawData[Item], B3726,RawData[Quantity],C3726,RawData[Price Per Unit],D3726,RawData[Total Spent],E3726,RawData[Payment Method],F3726,RawData[Location],G3726,RawData[Transaction Date],H3726)</f>
        <v>1</v>
      </c>
      <c r="L3726"/>
    </row>
    <row r="3727" spans="1:12" x14ac:dyDescent="0.3">
      <c r="A3727" t="s">
        <v>3733</v>
      </c>
      <c r="B3727" t="s">
        <v>10016</v>
      </c>
      <c r="C3727">
        <v>4</v>
      </c>
      <c r="D3727">
        <v>3</v>
      </c>
      <c r="E3727">
        <v>12</v>
      </c>
      <c r="F3727" t="s">
        <v>10069</v>
      </c>
      <c r="G3727" t="s">
        <v>10021</v>
      </c>
      <c r="H3727" s="6">
        <v>44929</v>
      </c>
      <c r="I3727">
        <f t="shared" si="116"/>
        <v>0</v>
      </c>
      <c r="J3727" t="str">
        <f t="shared" si="117"/>
        <v>Complete</v>
      </c>
      <c r="K3727">
        <f>COUNTIFS(RawData[Item], B3727,RawData[Quantity],C3727,RawData[Price Per Unit],D3727,RawData[Total Spent],E3727,RawData[Payment Method],F3727,RawData[Location],G3727,RawData[Transaction Date],H3727)</f>
        <v>1</v>
      </c>
      <c r="L3727"/>
    </row>
    <row r="3728" spans="1:12" x14ac:dyDescent="0.3">
      <c r="A3728" t="s">
        <v>3734</v>
      </c>
      <c r="B3728" t="s">
        <v>10009</v>
      </c>
      <c r="C3728">
        <v>3</v>
      </c>
      <c r="D3728">
        <v>3</v>
      </c>
      <c r="E3728">
        <v>9</v>
      </c>
      <c r="F3728" t="s">
        <v>10019</v>
      </c>
      <c r="G3728" t="s">
        <v>10021</v>
      </c>
      <c r="H3728" s="6">
        <v>45256</v>
      </c>
      <c r="I3728">
        <f t="shared" si="116"/>
        <v>0</v>
      </c>
      <c r="J3728" t="str">
        <f t="shared" si="117"/>
        <v>Complete</v>
      </c>
      <c r="K3728">
        <f>COUNTIFS(RawData[Item], B3728,RawData[Quantity],C3728,RawData[Price Per Unit],D3728,RawData[Total Spent],E3728,RawData[Payment Method],F3728,RawData[Location],G3728,RawData[Transaction Date],H3728)</f>
        <v>1</v>
      </c>
      <c r="L3728"/>
    </row>
    <row r="3729" spans="1:12" x14ac:dyDescent="0.3">
      <c r="A3729" t="s">
        <v>3735</v>
      </c>
      <c r="B3729" t="s">
        <v>10011</v>
      </c>
      <c r="C3729">
        <v>5</v>
      </c>
      <c r="D3729">
        <v>0</v>
      </c>
      <c r="E3729">
        <v>25</v>
      </c>
      <c r="F3729" t="s">
        <v>10069</v>
      </c>
      <c r="G3729" t="s">
        <v>10104</v>
      </c>
      <c r="H3729" s="6">
        <v>44935</v>
      </c>
      <c r="I3729">
        <f t="shared" si="116"/>
        <v>1</v>
      </c>
      <c r="J3729" t="str">
        <f t="shared" si="117"/>
        <v>Complete</v>
      </c>
      <c r="K3729">
        <f>COUNTIFS(RawData[Item], B3729,RawData[Quantity],C3729,RawData[Price Per Unit],D3729,RawData[Total Spent],E3729,RawData[Payment Method],F3729,RawData[Location],G3729,RawData[Transaction Date],H3729)</f>
        <v>1</v>
      </c>
      <c r="L3729"/>
    </row>
    <row r="3730" spans="1:12" x14ac:dyDescent="0.3">
      <c r="A3730" t="s">
        <v>3736</v>
      </c>
      <c r="B3730" t="s">
        <v>10016</v>
      </c>
      <c r="C3730">
        <v>2</v>
      </c>
      <c r="D3730">
        <v>3</v>
      </c>
      <c r="E3730">
        <v>6</v>
      </c>
      <c r="F3730" t="s">
        <v>10020</v>
      </c>
      <c r="G3730" t="s">
        <v>10102</v>
      </c>
      <c r="H3730" s="6">
        <v>45001</v>
      </c>
      <c r="I3730">
        <f t="shared" si="116"/>
        <v>0</v>
      </c>
      <c r="J3730" t="str">
        <f t="shared" si="117"/>
        <v>Complete</v>
      </c>
      <c r="K3730">
        <f>COUNTIFS(RawData[Item], B3730,RawData[Quantity],C3730,RawData[Price Per Unit],D3730,RawData[Total Spent],E3730,RawData[Payment Method],F3730,RawData[Location],G3730,RawData[Transaction Date],H3730)</f>
        <v>1</v>
      </c>
      <c r="L3730"/>
    </row>
    <row r="3731" spans="1:12" x14ac:dyDescent="0.3">
      <c r="A3731" t="s">
        <v>3737</v>
      </c>
      <c r="B3731" t="s">
        <v>10017</v>
      </c>
      <c r="C3731">
        <v>1</v>
      </c>
      <c r="D3731">
        <v>1.5</v>
      </c>
      <c r="E3731">
        <v>1.5</v>
      </c>
      <c r="F3731" t="s">
        <v>10019</v>
      </c>
      <c r="G3731" t="s">
        <v>10069</v>
      </c>
      <c r="H3731" s="6">
        <v>45291</v>
      </c>
      <c r="I3731">
        <f t="shared" si="116"/>
        <v>0</v>
      </c>
      <c r="J3731" t="str">
        <f t="shared" si="117"/>
        <v>Complete</v>
      </c>
      <c r="K3731">
        <f>COUNTIFS(RawData[Item], B3731,RawData[Quantity],C3731,RawData[Price Per Unit],D3731,RawData[Total Spent],E3731,RawData[Payment Method],F3731,RawData[Location],G3731,RawData[Transaction Date],H3731)</f>
        <v>1</v>
      </c>
      <c r="L3731"/>
    </row>
    <row r="3732" spans="1:12" x14ac:dyDescent="0.3">
      <c r="A3732" t="s">
        <v>3738</v>
      </c>
      <c r="B3732" t="s">
        <v>10013</v>
      </c>
      <c r="C3732">
        <v>1</v>
      </c>
      <c r="D3732">
        <v>3</v>
      </c>
      <c r="E3732">
        <v>3</v>
      </c>
      <c r="F3732" t="s">
        <v>10069</v>
      </c>
      <c r="G3732" t="s">
        <v>10102</v>
      </c>
      <c r="H3732" s="6">
        <v>44935</v>
      </c>
      <c r="I3732">
        <f t="shared" si="116"/>
        <v>1</v>
      </c>
      <c r="J3732" t="str">
        <f t="shared" si="117"/>
        <v>Complete</v>
      </c>
      <c r="K3732">
        <f>COUNTIFS(RawData[Item], B3732,RawData[Quantity],C3732,RawData[Price Per Unit],D3732,RawData[Total Spent],E3732,RawData[Payment Method],F3732,RawData[Location],G3732,RawData[Transaction Date],H3732)</f>
        <v>1</v>
      </c>
      <c r="L3732"/>
    </row>
    <row r="3733" spans="1:12" x14ac:dyDescent="0.3">
      <c r="A3733" t="s">
        <v>3739</v>
      </c>
      <c r="B3733" t="s">
        <v>10011</v>
      </c>
      <c r="C3733">
        <v>5</v>
      </c>
      <c r="D3733">
        <v>5</v>
      </c>
      <c r="E3733">
        <v>25</v>
      </c>
      <c r="F3733" t="s">
        <v>10019</v>
      </c>
      <c r="G3733" t="s">
        <v>10069</v>
      </c>
      <c r="H3733" s="6">
        <v>45205</v>
      </c>
      <c r="I3733">
        <f t="shared" si="116"/>
        <v>0</v>
      </c>
      <c r="J3733" t="str">
        <f t="shared" si="117"/>
        <v>Complete</v>
      </c>
      <c r="K3733">
        <f>COUNTIFS(RawData[Item], B3733,RawData[Quantity],C3733,RawData[Price Per Unit],D3733,RawData[Total Spent],E3733,RawData[Payment Method],F3733,RawData[Location],G3733,RawData[Transaction Date],H3733)</f>
        <v>1</v>
      </c>
      <c r="L3733"/>
    </row>
    <row r="3734" spans="1:12" x14ac:dyDescent="0.3">
      <c r="A3734" t="s">
        <v>3740</v>
      </c>
      <c r="B3734" t="s">
        <v>10016</v>
      </c>
      <c r="C3734">
        <v>1</v>
      </c>
      <c r="D3734">
        <v>3</v>
      </c>
      <c r="E3734">
        <v>3</v>
      </c>
      <c r="F3734" t="s">
        <v>10018</v>
      </c>
      <c r="G3734" t="s">
        <v>10069</v>
      </c>
      <c r="H3734" s="6" t="s">
        <v>10112</v>
      </c>
      <c r="I3734">
        <f t="shared" si="116"/>
        <v>1</v>
      </c>
      <c r="J3734" t="str">
        <f t="shared" si="117"/>
        <v>Incomplete</v>
      </c>
      <c r="K3734">
        <f>COUNTIFS(RawData[Item], B3734,RawData[Quantity],C3734,RawData[Price Per Unit],D3734,RawData[Total Spent],E3734,RawData[Payment Method],F3734,RawData[Location],G3734,RawData[Transaction Date],H3734)</f>
        <v>2</v>
      </c>
      <c r="L3734"/>
    </row>
    <row r="3735" spans="1:12" x14ac:dyDescent="0.3">
      <c r="A3735" t="s">
        <v>3741</v>
      </c>
      <c r="B3735" t="s">
        <v>10008</v>
      </c>
      <c r="C3735" t="s">
        <v>10015</v>
      </c>
      <c r="D3735">
        <v>2</v>
      </c>
      <c r="E3735">
        <v>8</v>
      </c>
      <c r="F3735" t="s">
        <v>10019</v>
      </c>
      <c r="G3735" t="s">
        <v>10069</v>
      </c>
      <c r="H3735" s="6">
        <v>45263</v>
      </c>
      <c r="I3735">
        <f t="shared" si="116"/>
        <v>1</v>
      </c>
      <c r="J3735" t="str">
        <f t="shared" si="117"/>
        <v>Complete</v>
      </c>
      <c r="K3735">
        <f>COUNTIFS(RawData[Item], B3735,RawData[Quantity],C3735,RawData[Price Per Unit],D3735,RawData[Total Spent],E3735,RawData[Payment Method],F3735,RawData[Location],G3735,RawData[Transaction Date],H3735)</f>
        <v>1</v>
      </c>
      <c r="L3735"/>
    </row>
    <row r="3736" spans="1:12" x14ac:dyDescent="0.3">
      <c r="A3736" t="s">
        <v>3742</v>
      </c>
      <c r="B3736" t="s">
        <v>10009</v>
      </c>
      <c r="C3736">
        <v>1</v>
      </c>
      <c r="D3736">
        <v>3</v>
      </c>
      <c r="E3736">
        <v>3</v>
      </c>
      <c r="F3736" t="s">
        <v>10020</v>
      </c>
      <c r="G3736" t="s">
        <v>10021</v>
      </c>
      <c r="H3736" s="6">
        <v>45125</v>
      </c>
      <c r="I3736">
        <f t="shared" si="116"/>
        <v>0</v>
      </c>
      <c r="J3736" t="str">
        <f t="shared" si="117"/>
        <v>Complete</v>
      </c>
      <c r="K3736">
        <f>COUNTIFS(RawData[Item], B3736,RawData[Quantity],C3736,RawData[Price Per Unit],D3736,RawData[Total Spent],E3736,RawData[Payment Method],F3736,RawData[Location],G3736,RawData[Transaction Date],H3736)</f>
        <v>1</v>
      </c>
      <c r="L3736"/>
    </row>
    <row r="3737" spans="1:12" x14ac:dyDescent="0.3">
      <c r="A3737" t="s">
        <v>3743</v>
      </c>
      <c r="B3737" t="s">
        <v>10010</v>
      </c>
      <c r="C3737">
        <v>1</v>
      </c>
      <c r="D3737">
        <v>1</v>
      </c>
      <c r="E3737">
        <v>1</v>
      </c>
      <c r="F3737" t="s">
        <v>10069</v>
      </c>
      <c r="G3737" t="s">
        <v>10021</v>
      </c>
      <c r="H3737" s="6">
        <v>44929</v>
      </c>
      <c r="I3737">
        <f t="shared" si="116"/>
        <v>0</v>
      </c>
      <c r="J3737" t="str">
        <f t="shared" si="117"/>
        <v>Complete</v>
      </c>
      <c r="K3737">
        <f>COUNTIFS(RawData[Item], B3737,RawData[Quantity],C3737,RawData[Price Per Unit],D3737,RawData[Total Spent],E3737,RawData[Payment Method],F3737,RawData[Location],G3737,RawData[Transaction Date],H3737)</f>
        <v>1</v>
      </c>
      <c r="L3737"/>
    </row>
    <row r="3738" spans="1:12" x14ac:dyDescent="0.3">
      <c r="A3738" t="s">
        <v>3744</v>
      </c>
      <c r="B3738" t="s">
        <v>10009</v>
      </c>
      <c r="C3738">
        <v>1</v>
      </c>
      <c r="D3738">
        <v>3</v>
      </c>
      <c r="E3738">
        <v>3</v>
      </c>
      <c r="F3738" t="s">
        <v>10019</v>
      </c>
      <c r="G3738" t="s">
        <v>10102</v>
      </c>
      <c r="H3738" s="6">
        <v>45253</v>
      </c>
      <c r="I3738">
        <f t="shared" si="116"/>
        <v>0</v>
      </c>
      <c r="J3738" t="str">
        <f t="shared" si="117"/>
        <v>Complete</v>
      </c>
      <c r="K3738">
        <f>COUNTIFS(RawData[Item], B3738,RawData[Quantity],C3738,RawData[Price Per Unit],D3738,RawData[Total Spent],E3738,RawData[Payment Method],F3738,RawData[Location],G3738,RawData[Transaction Date],H3738)</f>
        <v>1</v>
      </c>
      <c r="L3738"/>
    </row>
    <row r="3739" spans="1:12" x14ac:dyDescent="0.3">
      <c r="A3739" t="s">
        <v>3745</v>
      </c>
      <c r="B3739" t="s">
        <v>10008</v>
      </c>
      <c r="C3739">
        <v>1</v>
      </c>
      <c r="D3739">
        <v>2</v>
      </c>
      <c r="E3739">
        <v>2</v>
      </c>
      <c r="F3739" t="s">
        <v>10019</v>
      </c>
      <c r="G3739" t="s">
        <v>10069</v>
      </c>
      <c r="H3739" s="6">
        <v>45213</v>
      </c>
      <c r="I3739">
        <f t="shared" si="116"/>
        <v>0</v>
      </c>
      <c r="J3739" t="str">
        <f t="shared" si="117"/>
        <v>Complete</v>
      </c>
      <c r="K3739">
        <f>COUNTIFS(RawData[Item], B3739,RawData[Quantity],C3739,RawData[Price Per Unit],D3739,RawData[Total Spent],E3739,RawData[Payment Method],F3739,RawData[Location],G3739,RawData[Transaction Date],H3739)</f>
        <v>1</v>
      </c>
      <c r="L3739"/>
    </row>
    <row r="3740" spans="1:12" x14ac:dyDescent="0.3">
      <c r="A3740" t="s">
        <v>3746</v>
      </c>
      <c r="B3740" t="s">
        <v>10017</v>
      </c>
      <c r="C3740">
        <v>1</v>
      </c>
      <c r="D3740">
        <v>1.5</v>
      </c>
      <c r="E3740">
        <v>1.5</v>
      </c>
      <c r="F3740" t="s">
        <v>10069</v>
      </c>
      <c r="G3740" t="s">
        <v>10021</v>
      </c>
      <c r="H3740" s="6">
        <v>44940</v>
      </c>
      <c r="I3740">
        <f t="shared" si="116"/>
        <v>0</v>
      </c>
      <c r="J3740" t="str">
        <f t="shared" si="117"/>
        <v>Complete</v>
      </c>
      <c r="K3740">
        <f>COUNTIFS(RawData[Item], B3740,RawData[Quantity],C3740,RawData[Price Per Unit],D3740,RawData[Total Spent],E3740,RawData[Payment Method],F3740,RawData[Location],G3740,RawData[Transaction Date],H3740)</f>
        <v>1</v>
      </c>
      <c r="L3740"/>
    </row>
    <row r="3741" spans="1:12" x14ac:dyDescent="0.3">
      <c r="A3741" t="s">
        <v>3747</v>
      </c>
      <c r="B3741" t="s">
        <v>10013</v>
      </c>
      <c r="C3741">
        <v>5</v>
      </c>
      <c r="D3741">
        <v>0</v>
      </c>
      <c r="E3741">
        <v>15</v>
      </c>
      <c r="F3741" t="s">
        <v>10018</v>
      </c>
      <c r="G3741" t="s">
        <v>10102</v>
      </c>
      <c r="H3741" s="6">
        <v>45213</v>
      </c>
      <c r="I3741">
        <f t="shared" si="116"/>
        <v>1</v>
      </c>
      <c r="J3741" t="str">
        <f t="shared" si="117"/>
        <v>Complete</v>
      </c>
      <c r="K3741">
        <f>COUNTIFS(RawData[Item], B3741,RawData[Quantity],C3741,RawData[Price Per Unit],D3741,RawData[Total Spent],E3741,RawData[Payment Method],F3741,RawData[Location],G3741,RawData[Transaction Date],H3741)</f>
        <v>1</v>
      </c>
      <c r="L3741"/>
    </row>
    <row r="3742" spans="1:12" x14ac:dyDescent="0.3">
      <c r="A3742" t="s">
        <v>3748</v>
      </c>
      <c r="B3742" t="s">
        <v>10009</v>
      </c>
      <c r="C3742">
        <v>4</v>
      </c>
      <c r="D3742">
        <v>3</v>
      </c>
      <c r="E3742">
        <v>12</v>
      </c>
      <c r="F3742" t="s">
        <v>10018</v>
      </c>
      <c r="G3742" t="s">
        <v>10021</v>
      </c>
      <c r="H3742" s="6">
        <v>45229</v>
      </c>
      <c r="I3742">
        <f t="shared" si="116"/>
        <v>0</v>
      </c>
      <c r="J3742" t="str">
        <f t="shared" si="117"/>
        <v>Complete</v>
      </c>
      <c r="K3742">
        <f>COUNTIFS(RawData[Item], B3742,RawData[Quantity],C3742,RawData[Price Per Unit],D3742,RawData[Total Spent],E3742,RawData[Payment Method],F3742,RawData[Location],G3742,RawData[Transaction Date],H3742)</f>
        <v>1</v>
      </c>
      <c r="L3742"/>
    </row>
    <row r="3743" spans="1:12" x14ac:dyDescent="0.3">
      <c r="A3743" t="s">
        <v>3749</v>
      </c>
      <c r="B3743" t="s">
        <v>10016</v>
      </c>
      <c r="C3743">
        <v>1</v>
      </c>
      <c r="D3743">
        <v>3</v>
      </c>
      <c r="E3743">
        <v>3</v>
      </c>
      <c r="F3743" t="s">
        <v>10018</v>
      </c>
      <c r="G3743" t="s">
        <v>10102</v>
      </c>
      <c r="H3743" s="6">
        <v>44955</v>
      </c>
      <c r="I3743">
        <f t="shared" si="116"/>
        <v>0</v>
      </c>
      <c r="J3743" t="str">
        <f t="shared" si="117"/>
        <v>Complete</v>
      </c>
      <c r="K3743">
        <f>COUNTIFS(RawData[Item], B3743,RawData[Quantity],C3743,RawData[Price Per Unit],D3743,RawData[Total Spent],E3743,RawData[Payment Method],F3743,RawData[Location],G3743,RawData[Transaction Date],H3743)</f>
        <v>1</v>
      </c>
      <c r="L3743"/>
    </row>
    <row r="3744" spans="1:12" x14ac:dyDescent="0.3">
      <c r="A3744" t="s">
        <v>3750</v>
      </c>
      <c r="B3744" t="s">
        <v>10011</v>
      </c>
      <c r="C3744">
        <v>5</v>
      </c>
      <c r="D3744">
        <v>5</v>
      </c>
      <c r="E3744">
        <v>25</v>
      </c>
      <c r="F3744" t="s">
        <v>10103</v>
      </c>
      <c r="G3744" t="s">
        <v>10103</v>
      </c>
      <c r="H3744" s="6">
        <v>45218</v>
      </c>
      <c r="I3744">
        <f t="shared" si="116"/>
        <v>2</v>
      </c>
      <c r="J3744" t="str">
        <f t="shared" si="117"/>
        <v>Complete</v>
      </c>
      <c r="K3744">
        <f>COUNTIFS(RawData[Item], B3744,RawData[Quantity],C3744,RawData[Price Per Unit],D3744,RawData[Total Spent],E3744,RawData[Payment Method],F3744,RawData[Location],G3744,RawData[Transaction Date],H3744)</f>
        <v>1</v>
      </c>
      <c r="L3744"/>
    </row>
    <row r="3745" spans="1:12" x14ac:dyDescent="0.3">
      <c r="A3745" t="s">
        <v>3751</v>
      </c>
      <c r="B3745" t="s">
        <v>10010</v>
      </c>
      <c r="C3745">
        <v>1</v>
      </c>
      <c r="D3745">
        <v>1</v>
      </c>
      <c r="E3745">
        <v>1</v>
      </c>
      <c r="F3745" t="s">
        <v>10020</v>
      </c>
      <c r="G3745" t="s">
        <v>10069</v>
      </c>
      <c r="H3745" s="6">
        <v>45083</v>
      </c>
      <c r="I3745">
        <f t="shared" si="116"/>
        <v>0</v>
      </c>
      <c r="J3745" t="str">
        <f t="shared" si="117"/>
        <v>Complete</v>
      </c>
      <c r="K3745">
        <f>COUNTIFS(RawData[Item], B3745,RawData[Quantity],C3745,RawData[Price Per Unit],D3745,RawData[Total Spent],E3745,RawData[Payment Method],F3745,RawData[Location],G3745,RawData[Transaction Date],H3745)</f>
        <v>1</v>
      </c>
      <c r="L3745"/>
    </row>
    <row r="3746" spans="1:12" x14ac:dyDescent="0.3">
      <c r="A3746" t="s">
        <v>3752</v>
      </c>
      <c r="B3746" t="s">
        <v>10010</v>
      </c>
      <c r="C3746">
        <v>5</v>
      </c>
      <c r="D3746">
        <v>1</v>
      </c>
      <c r="E3746">
        <v>0</v>
      </c>
      <c r="F3746" t="s">
        <v>10069</v>
      </c>
      <c r="G3746" t="s">
        <v>10021</v>
      </c>
      <c r="H3746" s="6">
        <v>44952</v>
      </c>
      <c r="I3746">
        <f t="shared" si="116"/>
        <v>0</v>
      </c>
      <c r="J3746" t="str">
        <f t="shared" si="117"/>
        <v>Complete</v>
      </c>
      <c r="K3746">
        <f>COUNTIFS(RawData[Item], B3746,RawData[Quantity],C3746,RawData[Price Per Unit],D3746,RawData[Total Spent],E3746,RawData[Payment Method],F3746,RawData[Location],G3746,RawData[Transaction Date],H3746)</f>
        <v>1</v>
      </c>
      <c r="L3746"/>
    </row>
    <row r="3747" spans="1:12" x14ac:dyDescent="0.3">
      <c r="A3747" t="s">
        <v>3753</v>
      </c>
      <c r="B3747" t="s">
        <v>10011</v>
      </c>
      <c r="C3747">
        <v>5</v>
      </c>
      <c r="D3747">
        <v>5</v>
      </c>
      <c r="E3747">
        <v>25</v>
      </c>
      <c r="F3747" t="s">
        <v>10069</v>
      </c>
      <c r="G3747" t="s">
        <v>10069</v>
      </c>
      <c r="H3747" s="6">
        <v>45222</v>
      </c>
      <c r="I3747">
        <f t="shared" si="116"/>
        <v>0</v>
      </c>
      <c r="J3747" t="str">
        <f t="shared" si="117"/>
        <v>Complete</v>
      </c>
      <c r="K3747">
        <f>COUNTIFS(RawData[Item], B3747,RawData[Quantity],C3747,RawData[Price Per Unit],D3747,RawData[Total Spent],E3747,RawData[Payment Method],F3747,RawData[Location],G3747,RawData[Transaction Date],H3747)</f>
        <v>1</v>
      </c>
      <c r="L3747"/>
    </row>
    <row r="3748" spans="1:12" x14ac:dyDescent="0.3">
      <c r="A3748" t="s">
        <v>3754</v>
      </c>
      <c r="B3748" t="s">
        <v>10009</v>
      </c>
      <c r="C3748">
        <v>5</v>
      </c>
      <c r="D3748">
        <v>3</v>
      </c>
      <c r="E3748">
        <v>15</v>
      </c>
      <c r="F3748" t="s">
        <v>10018</v>
      </c>
      <c r="G3748" t="s">
        <v>10069</v>
      </c>
      <c r="H3748" s="6">
        <v>45241</v>
      </c>
      <c r="I3748">
        <f t="shared" si="116"/>
        <v>0</v>
      </c>
      <c r="J3748" t="str">
        <f t="shared" si="117"/>
        <v>Complete</v>
      </c>
      <c r="K3748">
        <f>COUNTIFS(RawData[Item], B3748,RawData[Quantity],C3748,RawData[Price Per Unit],D3748,RawData[Total Spent],E3748,RawData[Payment Method],F3748,RawData[Location],G3748,RawData[Transaction Date],H3748)</f>
        <v>1</v>
      </c>
      <c r="L3748"/>
    </row>
    <row r="3749" spans="1:12" x14ac:dyDescent="0.3">
      <c r="A3749" t="s">
        <v>3755</v>
      </c>
      <c r="B3749" t="s">
        <v>10010</v>
      </c>
      <c r="C3749">
        <v>4</v>
      </c>
      <c r="D3749">
        <v>1</v>
      </c>
      <c r="E3749">
        <v>4</v>
      </c>
      <c r="F3749" t="s">
        <v>10069</v>
      </c>
      <c r="G3749" t="s">
        <v>10069</v>
      </c>
      <c r="H3749" s="6">
        <v>45003</v>
      </c>
      <c r="I3749">
        <f t="shared" si="116"/>
        <v>0</v>
      </c>
      <c r="J3749" t="str">
        <f t="shared" si="117"/>
        <v>Complete</v>
      </c>
      <c r="K3749">
        <f>COUNTIFS(RawData[Item], B3749,RawData[Quantity],C3749,RawData[Price Per Unit],D3749,RawData[Total Spent],E3749,RawData[Payment Method],F3749,RawData[Location],G3749,RawData[Transaction Date],H3749)</f>
        <v>1</v>
      </c>
      <c r="L3749"/>
    </row>
    <row r="3750" spans="1:12" x14ac:dyDescent="0.3">
      <c r="A3750" t="s">
        <v>3756</v>
      </c>
      <c r="B3750" t="s">
        <v>10010</v>
      </c>
      <c r="C3750">
        <v>2</v>
      </c>
      <c r="D3750">
        <v>1</v>
      </c>
      <c r="E3750" t="s">
        <v>10013</v>
      </c>
      <c r="F3750" t="s">
        <v>10019</v>
      </c>
      <c r="G3750" t="s">
        <v>10069</v>
      </c>
      <c r="H3750" s="6">
        <v>45022</v>
      </c>
      <c r="I3750">
        <f t="shared" si="116"/>
        <v>1</v>
      </c>
      <c r="J3750" t="str">
        <f t="shared" si="117"/>
        <v>Complete</v>
      </c>
      <c r="K3750">
        <f>COUNTIFS(RawData[Item], B3750,RawData[Quantity],C3750,RawData[Price Per Unit],D3750,RawData[Total Spent],E3750,RawData[Payment Method],F3750,RawData[Location],G3750,RawData[Transaction Date],H3750)</f>
        <v>1</v>
      </c>
      <c r="L3750"/>
    </row>
    <row r="3751" spans="1:12" x14ac:dyDescent="0.3">
      <c r="A3751" t="s">
        <v>3757</v>
      </c>
      <c r="B3751" t="s">
        <v>10012</v>
      </c>
      <c r="C3751">
        <v>5</v>
      </c>
      <c r="D3751">
        <v>4</v>
      </c>
      <c r="E3751">
        <v>20</v>
      </c>
      <c r="F3751" t="s">
        <v>10069</v>
      </c>
      <c r="G3751" t="s">
        <v>10069</v>
      </c>
      <c r="H3751" s="6">
        <v>45118</v>
      </c>
      <c r="I3751">
        <f t="shared" si="116"/>
        <v>0</v>
      </c>
      <c r="J3751" t="str">
        <f t="shared" si="117"/>
        <v>Complete</v>
      </c>
      <c r="K3751">
        <f>COUNTIFS(RawData[Item], B3751,RawData[Quantity],C3751,RawData[Price Per Unit],D3751,RawData[Total Spent],E3751,RawData[Payment Method],F3751,RawData[Location],G3751,RawData[Transaction Date],H3751)</f>
        <v>1</v>
      </c>
      <c r="L3751"/>
    </row>
    <row r="3752" spans="1:12" x14ac:dyDescent="0.3">
      <c r="A3752" t="s">
        <v>3758</v>
      </c>
      <c r="B3752" t="s">
        <v>10009</v>
      </c>
      <c r="C3752">
        <v>4</v>
      </c>
      <c r="D3752">
        <v>3</v>
      </c>
      <c r="E3752">
        <v>12</v>
      </c>
      <c r="F3752" t="s">
        <v>10019</v>
      </c>
      <c r="G3752" t="s">
        <v>10069</v>
      </c>
      <c r="H3752" s="6">
        <v>45148</v>
      </c>
      <c r="I3752">
        <f t="shared" si="116"/>
        <v>0</v>
      </c>
      <c r="J3752" t="str">
        <f t="shared" si="117"/>
        <v>Complete</v>
      </c>
      <c r="K3752">
        <f>COUNTIFS(RawData[Item], B3752,RawData[Quantity],C3752,RawData[Price Per Unit],D3752,RawData[Total Spent],E3752,RawData[Payment Method],F3752,RawData[Location],G3752,RawData[Transaction Date],H3752)</f>
        <v>1</v>
      </c>
      <c r="L3752"/>
    </row>
    <row r="3753" spans="1:12" x14ac:dyDescent="0.3">
      <c r="A3753" t="s">
        <v>3759</v>
      </c>
      <c r="B3753" t="s">
        <v>10014</v>
      </c>
      <c r="C3753">
        <v>3</v>
      </c>
      <c r="D3753">
        <v>4</v>
      </c>
      <c r="E3753">
        <v>12</v>
      </c>
      <c r="F3753" t="s">
        <v>10020</v>
      </c>
      <c r="G3753" t="s">
        <v>10104</v>
      </c>
      <c r="H3753" s="6">
        <v>45249</v>
      </c>
      <c r="I3753">
        <f t="shared" si="116"/>
        <v>1</v>
      </c>
      <c r="J3753" t="str">
        <f t="shared" si="117"/>
        <v>Complete</v>
      </c>
      <c r="K3753">
        <f>COUNTIFS(RawData[Item], B3753,RawData[Quantity],C3753,RawData[Price Per Unit],D3753,RawData[Total Spent],E3753,RawData[Payment Method],F3753,RawData[Location],G3753,RawData[Transaction Date],H3753)</f>
        <v>1</v>
      </c>
      <c r="L3753"/>
    </row>
    <row r="3754" spans="1:12" x14ac:dyDescent="0.3">
      <c r="A3754" t="s">
        <v>3760</v>
      </c>
      <c r="B3754" t="s">
        <v>10012</v>
      </c>
      <c r="C3754">
        <v>2</v>
      </c>
      <c r="D3754">
        <v>4</v>
      </c>
      <c r="E3754">
        <v>8</v>
      </c>
      <c r="F3754" t="s">
        <v>10020</v>
      </c>
      <c r="G3754" t="s">
        <v>10102</v>
      </c>
      <c r="H3754" s="6">
        <v>44945</v>
      </c>
      <c r="I3754">
        <f t="shared" si="116"/>
        <v>0</v>
      </c>
      <c r="J3754" t="str">
        <f t="shared" si="117"/>
        <v>Complete</v>
      </c>
      <c r="K3754">
        <f>COUNTIFS(RawData[Item], B3754,RawData[Quantity],C3754,RawData[Price Per Unit],D3754,RawData[Total Spent],E3754,RawData[Payment Method],F3754,RawData[Location],G3754,RawData[Transaction Date],H3754)</f>
        <v>1</v>
      </c>
      <c r="L3754"/>
    </row>
    <row r="3755" spans="1:12" x14ac:dyDescent="0.3">
      <c r="A3755" t="s">
        <v>3761</v>
      </c>
      <c r="B3755" t="s">
        <v>10016</v>
      </c>
      <c r="C3755">
        <v>1</v>
      </c>
      <c r="D3755">
        <v>3</v>
      </c>
      <c r="E3755">
        <v>3</v>
      </c>
      <c r="F3755" t="s">
        <v>10020</v>
      </c>
      <c r="G3755" t="s">
        <v>10069</v>
      </c>
      <c r="H3755" s="6">
        <v>45078</v>
      </c>
      <c r="I3755">
        <f t="shared" si="116"/>
        <v>0</v>
      </c>
      <c r="J3755" t="str">
        <f t="shared" si="117"/>
        <v>Complete</v>
      </c>
      <c r="K3755">
        <f>COUNTIFS(RawData[Item], B3755,RawData[Quantity],C3755,RawData[Price Per Unit],D3755,RawData[Total Spent],E3755,RawData[Payment Method],F3755,RawData[Location],G3755,RawData[Transaction Date],H3755)</f>
        <v>1</v>
      </c>
      <c r="L3755"/>
    </row>
    <row r="3756" spans="1:12" x14ac:dyDescent="0.3">
      <c r="A3756" t="s">
        <v>3762</v>
      </c>
      <c r="B3756" t="s">
        <v>10010</v>
      </c>
      <c r="C3756">
        <v>4</v>
      </c>
      <c r="D3756">
        <v>1</v>
      </c>
      <c r="E3756">
        <v>4</v>
      </c>
      <c r="F3756" t="s">
        <v>10104</v>
      </c>
      <c r="G3756" t="s">
        <v>10021</v>
      </c>
      <c r="H3756" s="6">
        <v>45095</v>
      </c>
      <c r="I3756">
        <f t="shared" si="116"/>
        <v>1</v>
      </c>
      <c r="J3756" t="str">
        <f t="shared" si="117"/>
        <v>Complete</v>
      </c>
      <c r="K3756">
        <f>COUNTIFS(RawData[Item], B3756,RawData[Quantity],C3756,RawData[Price Per Unit],D3756,RawData[Total Spent],E3756,RawData[Payment Method],F3756,RawData[Location],G3756,RawData[Transaction Date],H3756)</f>
        <v>1</v>
      </c>
      <c r="L3756"/>
    </row>
    <row r="3757" spans="1:12" x14ac:dyDescent="0.3">
      <c r="A3757" t="s">
        <v>3763</v>
      </c>
      <c r="B3757" t="s">
        <v>10014</v>
      </c>
      <c r="C3757">
        <v>4</v>
      </c>
      <c r="D3757">
        <v>4</v>
      </c>
      <c r="E3757">
        <v>16</v>
      </c>
      <c r="F3757" t="s">
        <v>10019</v>
      </c>
      <c r="G3757" t="s">
        <v>10102</v>
      </c>
      <c r="H3757" s="6" t="s">
        <v>10112</v>
      </c>
      <c r="I3757">
        <f t="shared" si="116"/>
        <v>1</v>
      </c>
      <c r="J3757" t="str">
        <f t="shared" si="117"/>
        <v>Incomplete</v>
      </c>
      <c r="K3757">
        <f>COUNTIFS(RawData[Item], B3757,RawData[Quantity],C3757,RawData[Price Per Unit],D3757,RawData[Total Spent],E3757,RawData[Payment Method],F3757,RawData[Location],G3757,RawData[Transaction Date],H3757)</f>
        <v>1</v>
      </c>
      <c r="L3757"/>
    </row>
    <row r="3758" spans="1:12" x14ac:dyDescent="0.3">
      <c r="A3758" t="s">
        <v>3764</v>
      </c>
      <c r="B3758" t="s">
        <v>10009</v>
      </c>
      <c r="C3758">
        <v>4</v>
      </c>
      <c r="D3758">
        <v>3</v>
      </c>
      <c r="E3758">
        <v>12</v>
      </c>
      <c r="F3758" t="s">
        <v>10069</v>
      </c>
      <c r="G3758" t="s">
        <v>10069</v>
      </c>
      <c r="H3758" s="6">
        <v>45036</v>
      </c>
      <c r="I3758">
        <f t="shared" si="116"/>
        <v>0</v>
      </c>
      <c r="J3758" t="str">
        <f t="shared" si="117"/>
        <v>Complete</v>
      </c>
      <c r="K3758">
        <f>COUNTIFS(RawData[Item], B3758,RawData[Quantity],C3758,RawData[Price Per Unit],D3758,RawData[Total Spent],E3758,RawData[Payment Method],F3758,RawData[Location],G3758,RawData[Transaction Date],H3758)</f>
        <v>1</v>
      </c>
      <c r="L3758"/>
    </row>
    <row r="3759" spans="1:12" x14ac:dyDescent="0.3">
      <c r="A3759" t="s">
        <v>3765</v>
      </c>
      <c r="B3759" t="s">
        <v>10013</v>
      </c>
      <c r="C3759">
        <v>3</v>
      </c>
      <c r="D3759">
        <v>2</v>
      </c>
      <c r="E3759">
        <v>6</v>
      </c>
      <c r="F3759" t="s">
        <v>10069</v>
      </c>
      <c r="G3759" t="s">
        <v>10102</v>
      </c>
      <c r="H3759" s="6">
        <v>44941</v>
      </c>
      <c r="I3759">
        <f t="shared" si="116"/>
        <v>1</v>
      </c>
      <c r="J3759" t="str">
        <f t="shared" si="117"/>
        <v>Complete</v>
      </c>
      <c r="K3759">
        <f>COUNTIFS(RawData[Item], B3759,RawData[Quantity],C3759,RawData[Price Per Unit],D3759,RawData[Total Spent],E3759,RawData[Payment Method],F3759,RawData[Location],G3759,RawData[Transaction Date],H3759)</f>
        <v>1</v>
      </c>
      <c r="L3759"/>
    </row>
    <row r="3760" spans="1:12" x14ac:dyDescent="0.3">
      <c r="A3760" t="s">
        <v>3766</v>
      </c>
      <c r="B3760" t="s">
        <v>10014</v>
      </c>
      <c r="C3760">
        <v>2</v>
      </c>
      <c r="D3760">
        <v>4</v>
      </c>
      <c r="E3760">
        <v>8</v>
      </c>
      <c r="F3760" t="s">
        <v>10018</v>
      </c>
      <c r="G3760" t="s">
        <v>10069</v>
      </c>
      <c r="H3760" s="6">
        <v>45151</v>
      </c>
      <c r="I3760">
        <f t="shared" si="116"/>
        <v>0</v>
      </c>
      <c r="J3760" t="str">
        <f t="shared" si="117"/>
        <v>Complete</v>
      </c>
      <c r="K3760">
        <f>COUNTIFS(RawData[Item], B3760,RawData[Quantity],C3760,RawData[Price Per Unit],D3760,RawData[Total Spent],E3760,RawData[Payment Method],F3760,RawData[Location],G3760,RawData[Transaction Date],H3760)</f>
        <v>1</v>
      </c>
      <c r="L3760"/>
    </row>
    <row r="3761" spans="1:12" x14ac:dyDescent="0.3">
      <c r="A3761" t="s">
        <v>3767</v>
      </c>
      <c r="B3761" t="s">
        <v>10069</v>
      </c>
      <c r="C3761">
        <v>2</v>
      </c>
      <c r="D3761">
        <v>5</v>
      </c>
      <c r="E3761">
        <v>10</v>
      </c>
      <c r="F3761" t="s">
        <v>10020</v>
      </c>
      <c r="G3761" t="s">
        <v>10069</v>
      </c>
      <c r="H3761" s="6">
        <v>44960</v>
      </c>
      <c r="I3761">
        <f t="shared" si="116"/>
        <v>0</v>
      </c>
      <c r="J3761" t="str">
        <f t="shared" si="117"/>
        <v>Complete</v>
      </c>
      <c r="K3761">
        <f>COUNTIFS(RawData[Item], B3761,RawData[Quantity],C3761,RawData[Price Per Unit],D3761,RawData[Total Spent],E3761,RawData[Payment Method],F3761,RawData[Location],G3761,RawData[Transaction Date],H3761)</f>
        <v>1</v>
      </c>
      <c r="L3761"/>
    </row>
    <row r="3762" spans="1:12" x14ac:dyDescent="0.3">
      <c r="A3762" t="s">
        <v>3768</v>
      </c>
      <c r="B3762" t="s">
        <v>10014</v>
      </c>
      <c r="C3762">
        <v>2</v>
      </c>
      <c r="D3762">
        <v>4</v>
      </c>
      <c r="E3762">
        <v>8</v>
      </c>
      <c r="F3762" t="s">
        <v>10018</v>
      </c>
      <c r="G3762" t="s">
        <v>10021</v>
      </c>
      <c r="H3762" s="6">
        <v>45214</v>
      </c>
      <c r="I3762">
        <f t="shared" si="116"/>
        <v>0</v>
      </c>
      <c r="J3762" t="str">
        <f t="shared" si="117"/>
        <v>Complete</v>
      </c>
      <c r="K3762">
        <f>COUNTIFS(RawData[Item], B3762,RawData[Quantity],C3762,RawData[Price Per Unit],D3762,RawData[Total Spent],E3762,RawData[Payment Method],F3762,RawData[Location],G3762,RawData[Transaction Date],H3762)</f>
        <v>1</v>
      </c>
      <c r="L3762"/>
    </row>
    <row r="3763" spans="1:12" x14ac:dyDescent="0.3">
      <c r="A3763" t="s">
        <v>3769</v>
      </c>
      <c r="B3763" t="s">
        <v>10013</v>
      </c>
      <c r="C3763">
        <v>5</v>
      </c>
      <c r="D3763">
        <v>2</v>
      </c>
      <c r="E3763">
        <v>10</v>
      </c>
      <c r="F3763" t="s">
        <v>10020</v>
      </c>
      <c r="G3763" t="s">
        <v>10021</v>
      </c>
      <c r="H3763" s="6">
        <v>45139</v>
      </c>
      <c r="I3763">
        <f t="shared" si="116"/>
        <v>1</v>
      </c>
      <c r="J3763" t="str">
        <f t="shared" si="117"/>
        <v>Complete</v>
      </c>
      <c r="K3763">
        <f>COUNTIFS(RawData[Item], B3763,RawData[Quantity],C3763,RawData[Price Per Unit],D3763,RawData[Total Spent],E3763,RawData[Payment Method],F3763,RawData[Location],G3763,RawData[Transaction Date],H3763)</f>
        <v>1</v>
      </c>
      <c r="L3763"/>
    </row>
    <row r="3764" spans="1:12" x14ac:dyDescent="0.3">
      <c r="A3764" t="s">
        <v>3770</v>
      </c>
      <c r="B3764" t="s">
        <v>10011</v>
      </c>
      <c r="C3764" t="s">
        <v>10015</v>
      </c>
      <c r="D3764">
        <v>5</v>
      </c>
      <c r="E3764">
        <v>20</v>
      </c>
      <c r="F3764" t="s">
        <v>10019</v>
      </c>
      <c r="G3764" t="s">
        <v>10021</v>
      </c>
      <c r="H3764" s="6">
        <v>45004</v>
      </c>
      <c r="I3764">
        <f t="shared" si="116"/>
        <v>1</v>
      </c>
      <c r="J3764" t="str">
        <f t="shared" si="117"/>
        <v>Complete</v>
      </c>
      <c r="K3764">
        <f>COUNTIFS(RawData[Item], B3764,RawData[Quantity],C3764,RawData[Price Per Unit],D3764,RawData[Total Spent],E3764,RawData[Payment Method],F3764,RawData[Location],G3764,RawData[Transaction Date],H3764)</f>
        <v>1</v>
      </c>
      <c r="L3764"/>
    </row>
    <row r="3765" spans="1:12" x14ac:dyDescent="0.3">
      <c r="A3765" t="s">
        <v>3771</v>
      </c>
      <c r="B3765" t="s">
        <v>10017</v>
      </c>
      <c r="C3765">
        <v>3</v>
      </c>
      <c r="D3765">
        <v>1.5</v>
      </c>
      <c r="E3765">
        <v>4.5</v>
      </c>
      <c r="F3765" t="s">
        <v>10020</v>
      </c>
      <c r="G3765" t="s">
        <v>10021</v>
      </c>
      <c r="H3765" s="6">
        <v>45089</v>
      </c>
      <c r="I3765">
        <f t="shared" si="116"/>
        <v>0</v>
      </c>
      <c r="J3765" t="str">
        <f t="shared" si="117"/>
        <v>Complete</v>
      </c>
      <c r="K3765">
        <f>COUNTIFS(RawData[Item], B3765,RawData[Quantity],C3765,RawData[Price Per Unit],D3765,RawData[Total Spent],E3765,RawData[Payment Method],F3765,RawData[Location],G3765,RawData[Transaction Date],H3765)</f>
        <v>1</v>
      </c>
      <c r="L3765"/>
    </row>
    <row r="3766" spans="1:12" x14ac:dyDescent="0.3">
      <c r="A3766" t="s">
        <v>3772</v>
      </c>
      <c r="B3766" t="s">
        <v>10013</v>
      </c>
      <c r="C3766">
        <v>3</v>
      </c>
      <c r="D3766">
        <v>2</v>
      </c>
      <c r="E3766">
        <v>6</v>
      </c>
      <c r="F3766" t="s">
        <v>10019</v>
      </c>
      <c r="G3766" t="s">
        <v>10069</v>
      </c>
      <c r="H3766" s="6">
        <v>45112</v>
      </c>
      <c r="I3766">
        <f t="shared" si="116"/>
        <v>1</v>
      </c>
      <c r="J3766" t="str">
        <f t="shared" si="117"/>
        <v>Complete</v>
      </c>
      <c r="K3766">
        <f>COUNTIFS(RawData[Item], B3766,RawData[Quantity],C3766,RawData[Price Per Unit],D3766,RawData[Total Spent],E3766,RawData[Payment Method],F3766,RawData[Location],G3766,RawData[Transaction Date],H3766)</f>
        <v>1</v>
      </c>
      <c r="L3766"/>
    </row>
    <row r="3767" spans="1:12" x14ac:dyDescent="0.3">
      <c r="A3767" t="s">
        <v>3773</v>
      </c>
      <c r="B3767" t="s">
        <v>10011</v>
      </c>
      <c r="C3767">
        <v>1</v>
      </c>
      <c r="D3767">
        <v>5</v>
      </c>
      <c r="E3767">
        <v>5</v>
      </c>
      <c r="F3767" t="s">
        <v>10018</v>
      </c>
      <c r="G3767" t="s">
        <v>10069</v>
      </c>
      <c r="H3767" s="6">
        <v>44981</v>
      </c>
      <c r="I3767">
        <f t="shared" si="116"/>
        <v>0</v>
      </c>
      <c r="J3767" t="str">
        <f t="shared" si="117"/>
        <v>Complete</v>
      </c>
      <c r="K3767">
        <f>COUNTIFS(RawData[Item], B3767,RawData[Quantity],C3767,RawData[Price Per Unit],D3767,RawData[Total Spent],E3767,RawData[Payment Method],F3767,RawData[Location],G3767,RawData[Transaction Date],H3767)</f>
        <v>1</v>
      </c>
      <c r="L3767"/>
    </row>
    <row r="3768" spans="1:12" x14ac:dyDescent="0.3">
      <c r="A3768" t="s">
        <v>3774</v>
      </c>
      <c r="B3768" t="s">
        <v>10017</v>
      </c>
      <c r="C3768">
        <v>5</v>
      </c>
      <c r="D3768">
        <v>1.5</v>
      </c>
      <c r="E3768">
        <v>7.5</v>
      </c>
      <c r="F3768" t="s">
        <v>10018</v>
      </c>
      <c r="G3768" t="s">
        <v>10102</v>
      </c>
      <c r="H3768" s="6">
        <v>45276</v>
      </c>
      <c r="I3768">
        <f t="shared" si="116"/>
        <v>0</v>
      </c>
      <c r="J3768" t="str">
        <f t="shared" si="117"/>
        <v>Complete</v>
      </c>
      <c r="K3768">
        <f>COUNTIFS(RawData[Item], B3768,RawData[Quantity],C3768,RawData[Price Per Unit],D3768,RawData[Total Spent],E3768,RawData[Payment Method],F3768,RawData[Location],G3768,RawData[Transaction Date],H3768)</f>
        <v>1</v>
      </c>
      <c r="L3768"/>
    </row>
    <row r="3769" spans="1:12" x14ac:dyDescent="0.3">
      <c r="A3769" t="s">
        <v>3775</v>
      </c>
      <c r="B3769" t="s">
        <v>10017</v>
      </c>
      <c r="C3769">
        <v>5</v>
      </c>
      <c r="D3769">
        <v>1.5</v>
      </c>
      <c r="E3769">
        <v>7.5</v>
      </c>
      <c r="F3769" t="s">
        <v>10019</v>
      </c>
      <c r="G3769" t="s">
        <v>10069</v>
      </c>
      <c r="H3769" s="6">
        <v>45087</v>
      </c>
      <c r="I3769">
        <f t="shared" si="116"/>
        <v>0</v>
      </c>
      <c r="J3769" t="str">
        <f t="shared" si="117"/>
        <v>Complete</v>
      </c>
      <c r="K3769">
        <f>COUNTIFS(RawData[Item], B3769,RawData[Quantity],C3769,RawData[Price Per Unit],D3769,RawData[Total Spent],E3769,RawData[Payment Method],F3769,RawData[Location],G3769,RawData[Transaction Date],H3769)</f>
        <v>1</v>
      </c>
      <c r="L3769"/>
    </row>
    <row r="3770" spans="1:12" x14ac:dyDescent="0.3">
      <c r="A3770" t="s">
        <v>3776</v>
      </c>
      <c r="B3770" t="s">
        <v>10017</v>
      </c>
      <c r="C3770">
        <v>4</v>
      </c>
      <c r="D3770">
        <v>1.5</v>
      </c>
      <c r="E3770">
        <v>6</v>
      </c>
      <c r="F3770" t="s">
        <v>10020</v>
      </c>
      <c r="G3770" t="s">
        <v>10021</v>
      </c>
      <c r="H3770" s="6">
        <v>45070</v>
      </c>
      <c r="I3770">
        <f t="shared" si="116"/>
        <v>0</v>
      </c>
      <c r="J3770" t="str">
        <f t="shared" si="117"/>
        <v>Complete</v>
      </c>
      <c r="K3770">
        <f>COUNTIFS(RawData[Item], B3770,RawData[Quantity],C3770,RawData[Price Per Unit],D3770,RawData[Total Spent],E3770,RawData[Payment Method],F3770,RawData[Location],G3770,RawData[Transaction Date],H3770)</f>
        <v>1</v>
      </c>
      <c r="L3770"/>
    </row>
    <row r="3771" spans="1:12" x14ac:dyDescent="0.3">
      <c r="A3771" t="s">
        <v>3777</v>
      </c>
      <c r="B3771" t="s">
        <v>10017</v>
      </c>
      <c r="C3771">
        <v>5</v>
      </c>
      <c r="D3771">
        <v>1.5</v>
      </c>
      <c r="E3771">
        <v>7.5</v>
      </c>
      <c r="F3771" t="s">
        <v>10069</v>
      </c>
      <c r="G3771" t="s">
        <v>10102</v>
      </c>
      <c r="H3771" s="6" t="s">
        <v>10112</v>
      </c>
      <c r="I3771">
        <f t="shared" si="116"/>
        <v>1</v>
      </c>
      <c r="J3771" t="str">
        <f t="shared" si="117"/>
        <v>Incomplete</v>
      </c>
      <c r="K3771">
        <f>COUNTIFS(RawData[Item], B3771,RawData[Quantity],C3771,RawData[Price Per Unit],D3771,RawData[Total Spent],E3771,RawData[Payment Method],F3771,RawData[Location],G3771,RawData[Transaction Date],H3771)</f>
        <v>2</v>
      </c>
      <c r="L3771"/>
    </row>
    <row r="3772" spans="1:12" x14ac:dyDescent="0.3">
      <c r="A3772" t="s">
        <v>3778</v>
      </c>
      <c r="B3772" t="s">
        <v>10016</v>
      </c>
      <c r="C3772">
        <v>3</v>
      </c>
      <c r="D3772">
        <v>3</v>
      </c>
      <c r="E3772">
        <v>9</v>
      </c>
      <c r="F3772" t="s">
        <v>10018</v>
      </c>
      <c r="G3772" t="s">
        <v>10021</v>
      </c>
      <c r="H3772" s="6">
        <v>44998</v>
      </c>
      <c r="I3772">
        <f t="shared" si="116"/>
        <v>0</v>
      </c>
      <c r="J3772" t="str">
        <f t="shared" si="117"/>
        <v>Complete</v>
      </c>
      <c r="K3772">
        <f>COUNTIFS(RawData[Item], B3772,RawData[Quantity],C3772,RawData[Price Per Unit],D3772,RawData[Total Spent],E3772,RawData[Payment Method],F3772,RawData[Location],G3772,RawData[Transaction Date],H3772)</f>
        <v>1</v>
      </c>
      <c r="L3772"/>
    </row>
    <row r="3773" spans="1:12" x14ac:dyDescent="0.3">
      <c r="A3773" t="s">
        <v>3779</v>
      </c>
      <c r="B3773" t="s">
        <v>10011</v>
      </c>
      <c r="C3773">
        <v>2</v>
      </c>
      <c r="D3773">
        <v>5</v>
      </c>
      <c r="E3773">
        <v>10</v>
      </c>
      <c r="F3773" t="s">
        <v>10020</v>
      </c>
      <c r="G3773" t="s">
        <v>10069</v>
      </c>
      <c r="H3773" s="6">
        <v>45130</v>
      </c>
      <c r="I3773">
        <f t="shared" si="116"/>
        <v>0</v>
      </c>
      <c r="J3773" t="str">
        <f t="shared" si="117"/>
        <v>Complete</v>
      </c>
      <c r="K3773">
        <f>COUNTIFS(RawData[Item], B3773,RawData[Quantity],C3773,RawData[Price Per Unit],D3773,RawData[Total Spent],E3773,RawData[Payment Method],F3773,RawData[Location],G3773,RawData[Transaction Date],H3773)</f>
        <v>1</v>
      </c>
      <c r="L3773"/>
    </row>
    <row r="3774" spans="1:12" x14ac:dyDescent="0.3">
      <c r="A3774" t="s">
        <v>3780</v>
      </c>
      <c r="B3774" t="s">
        <v>10014</v>
      </c>
      <c r="C3774">
        <v>4</v>
      </c>
      <c r="D3774">
        <v>4</v>
      </c>
      <c r="E3774">
        <v>16</v>
      </c>
      <c r="F3774" t="s">
        <v>10069</v>
      </c>
      <c r="G3774" t="s">
        <v>10021</v>
      </c>
      <c r="H3774" s="6">
        <v>45142</v>
      </c>
      <c r="I3774">
        <f t="shared" si="116"/>
        <v>0</v>
      </c>
      <c r="J3774" t="str">
        <f t="shared" si="117"/>
        <v>Complete</v>
      </c>
      <c r="K3774">
        <f>COUNTIFS(RawData[Item], B3774,RawData[Quantity],C3774,RawData[Price Per Unit],D3774,RawData[Total Spent],E3774,RawData[Payment Method],F3774,RawData[Location],G3774,RawData[Transaction Date],H3774)</f>
        <v>1</v>
      </c>
      <c r="L3774"/>
    </row>
    <row r="3775" spans="1:12" x14ac:dyDescent="0.3">
      <c r="A3775" t="s">
        <v>3781</v>
      </c>
      <c r="B3775" t="s">
        <v>10011</v>
      </c>
      <c r="C3775" t="s">
        <v>10015</v>
      </c>
      <c r="D3775">
        <v>5</v>
      </c>
      <c r="E3775">
        <v>20</v>
      </c>
      <c r="F3775" t="s">
        <v>10018</v>
      </c>
      <c r="G3775" t="s">
        <v>10102</v>
      </c>
      <c r="H3775" s="6">
        <v>44989</v>
      </c>
      <c r="I3775">
        <f t="shared" si="116"/>
        <v>1</v>
      </c>
      <c r="J3775" t="str">
        <f t="shared" si="117"/>
        <v>Complete</v>
      </c>
      <c r="K3775">
        <f>COUNTIFS(RawData[Item], B3775,RawData[Quantity],C3775,RawData[Price Per Unit],D3775,RawData[Total Spent],E3775,RawData[Payment Method],F3775,RawData[Location],G3775,RawData[Transaction Date],H3775)</f>
        <v>1</v>
      </c>
      <c r="L3775"/>
    </row>
    <row r="3776" spans="1:12" x14ac:dyDescent="0.3">
      <c r="A3776" t="s">
        <v>3782</v>
      </c>
      <c r="B3776" t="s">
        <v>10069</v>
      </c>
      <c r="C3776">
        <v>3</v>
      </c>
      <c r="D3776">
        <v>2</v>
      </c>
      <c r="E3776">
        <v>6</v>
      </c>
      <c r="F3776" t="s">
        <v>10018</v>
      </c>
      <c r="G3776" t="s">
        <v>10069</v>
      </c>
      <c r="H3776" s="6">
        <v>45221</v>
      </c>
      <c r="I3776">
        <f t="shared" si="116"/>
        <v>0</v>
      </c>
      <c r="J3776" t="str">
        <f t="shared" si="117"/>
        <v>Complete</v>
      </c>
      <c r="K3776">
        <f>COUNTIFS(RawData[Item], B3776,RawData[Quantity],C3776,RawData[Price Per Unit],D3776,RawData[Total Spent],E3776,RawData[Payment Method],F3776,RawData[Location],G3776,RawData[Transaction Date],H3776)</f>
        <v>1</v>
      </c>
      <c r="L3776"/>
    </row>
    <row r="3777" spans="1:12" x14ac:dyDescent="0.3">
      <c r="A3777" t="s">
        <v>3783</v>
      </c>
      <c r="B3777" t="s">
        <v>10011</v>
      </c>
      <c r="C3777">
        <v>5</v>
      </c>
      <c r="D3777">
        <v>5</v>
      </c>
      <c r="E3777" t="s">
        <v>10015</v>
      </c>
      <c r="F3777" t="s">
        <v>10020</v>
      </c>
      <c r="G3777" t="s">
        <v>10102</v>
      </c>
      <c r="H3777" s="6">
        <v>45239</v>
      </c>
      <c r="I3777">
        <f t="shared" si="116"/>
        <v>1</v>
      </c>
      <c r="J3777" t="str">
        <f t="shared" si="117"/>
        <v>Complete</v>
      </c>
      <c r="K3777">
        <f>COUNTIFS(RawData[Item], B3777,RawData[Quantity],C3777,RawData[Price Per Unit],D3777,RawData[Total Spent],E3777,RawData[Payment Method],F3777,RawData[Location],G3777,RawData[Transaction Date],H3777)</f>
        <v>1</v>
      </c>
      <c r="L3777"/>
    </row>
    <row r="3778" spans="1:12" x14ac:dyDescent="0.3">
      <c r="A3778" t="s">
        <v>3784</v>
      </c>
      <c r="B3778" t="s">
        <v>10008</v>
      </c>
      <c r="C3778">
        <v>5</v>
      </c>
      <c r="D3778">
        <v>2</v>
      </c>
      <c r="E3778">
        <v>10</v>
      </c>
      <c r="F3778" t="s">
        <v>10104</v>
      </c>
      <c r="G3778" t="s">
        <v>10021</v>
      </c>
      <c r="H3778" s="6">
        <v>44979</v>
      </c>
      <c r="I3778">
        <f t="shared" ref="I3778:I3841" si="118">(B3778="Unknown")+(B3778="Error")+(C3778="Unknown")+(C3778="Error")+(D3778="Unknown")+(D3778="Error")+(E3778="Unknown")+(E3778="Error")+(F3778="Unknown")+(F3778="Error")+(G3778="Unknown")+(G3778="Error")+(H3778="No Date")</f>
        <v>1</v>
      </c>
      <c r="J3778" t="str">
        <f t="shared" ref="J3778:J3841" si="119">IF((H3778="No Date"),"Incomplete","Complete")</f>
        <v>Complete</v>
      </c>
      <c r="K3778">
        <f>COUNTIFS(RawData[Item], B3778,RawData[Quantity],C3778,RawData[Price Per Unit],D3778,RawData[Total Spent],E3778,RawData[Payment Method],F3778,RawData[Location],G3778,RawData[Transaction Date],H3778)</f>
        <v>1</v>
      </c>
      <c r="L3778"/>
    </row>
    <row r="3779" spans="1:12" x14ac:dyDescent="0.3">
      <c r="A3779" t="s">
        <v>3785</v>
      </c>
      <c r="B3779" t="s">
        <v>10009</v>
      </c>
      <c r="C3779">
        <v>3</v>
      </c>
      <c r="D3779">
        <v>3</v>
      </c>
      <c r="E3779">
        <v>9</v>
      </c>
      <c r="F3779" t="s">
        <v>10020</v>
      </c>
      <c r="G3779" t="s">
        <v>10021</v>
      </c>
      <c r="H3779" s="6">
        <v>44956</v>
      </c>
      <c r="I3779">
        <f t="shared" si="118"/>
        <v>0</v>
      </c>
      <c r="J3779" t="str">
        <f t="shared" si="119"/>
        <v>Complete</v>
      </c>
      <c r="K3779">
        <f>COUNTIFS(RawData[Item], B3779,RawData[Quantity],C3779,RawData[Price Per Unit],D3779,RawData[Total Spent],E3779,RawData[Payment Method],F3779,RawData[Location],G3779,RawData[Transaction Date],H3779)</f>
        <v>1</v>
      </c>
      <c r="L3779"/>
    </row>
    <row r="3780" spans="1:12" x14ac:dyDescent="0.3">
      <c r="A3780" t="s">
        <v>3786</v>
      </c>
      <c r="B3780" t="s">
        <v>10011</v>
      </c>
      <c r="C3780">
        <v>2</v>
      </c>
      <c r="D3780">
        <v>5</v>
      </c>
      <c r="E3780">
        <v>10</v>
      </c>
      <c r="F3780" t="s">
        <v>10069</v>
      </c>
      <c r="G3780" t="s">
        <v>10102</v>
      </c>
      <c r="H3780" s="6">
        <v>45153</v>
      </c>
      <c r="I3780">
        <f t="shared" si="118"/>
        <v>0</v>
      </c>
      <c r="J3780" t="str">
        <f t="shared" si="119"/>
        <v>Complete</v>
      </c>
      <c r="K3780">
        <f>COUNTIFS(RawData[Item], B3780,RawData[Quantity],C3780,RawData[Price Per Unit],D3780,RawData[Total Spent],E3780,RawData[Payment Method],F3780,RawData[Location],G3780,RawData[Transaction Date],H3780)</f>
        <v>1</v>
      </c>
      <c r="L3780"/>
    </row>
    <row r="3781" spans="1:12" x14ac:dyDescent="0.3">
      <c r="A3781" t="s">
        <v>3787</v>
      </c>
      <c r="B3781" t="s">
        <v>10013</v>
      </c>
      <c r="C3781" t="s">
        <v>10013</v>
      </c>
      <c r="D3781" t="s">
        <v>10013</v>
      </c>
      <c r="E3781">
        <v>25</v>
      </c>
      <c r="F3781" t="s">
        <v>10069</v>
      </c>
      <c r="G3781" t="s">
        <v>10102</v>
      </c>
      <c r="H3781" s="6">
        <v>45073</v>
      </c>
      <c r="I3781">
        <f t="shared" si="118"/>
        <v>3</v>
      </c>
      <c r="J3781" t="str">
        <f t="shared" si="119"/>
        <v>Complete</v>
      </c>
      <c r="K3781">
        <f>COUNTIFS(RawData[Item], B3781,RawData[Quantity],C3781,RawData[Price Per Unit],D3781,RawData[Total Spent],E3781,RawData[Payment Method],F3781,RawData[Location],G3781,RawData[Transaction Date],H3781)</f>
        <v>1</v>
      </c>
      <c r="L3781"/>
    </row>
    <row r="3782" spans="1:12" x14ac:dyDescent="0.3">
      <c r="A3782" t="s">
        <v>3788</v>
      </c>
      <c r="B3782" t="s">
        <v>10010</v>
      </c>
      <c r="C3782">
        <v>2</v>
      </c>
      <c r="D3782">
        <v>1</v>
      </c>
      <c r="E3782">
        <v>2</v>
      </c>
      <c r="F3782" t="s">
        <v>10020</v>
      </c>
      <c r="G3782" t="s">
        <v>10104</v>
      </c>
      <c r="H3782" s="6">
        <v>45151</v>
      </c>
      <c r="I3782">
        <f t="shared" si="118"/>
        <v>1</v>
      </c>
      <c r="J3782" t="str">
        <f t="shared" si="119"/>
        <v>Complete</v>
      </c>
      <c r="K3782">
        <f>COUNTIFS(RawData[Item], B3782,RawData[Quantity],C3782,RawData[Price Per Unit],D3782,RawData[Total Spent],E3782,RawData[Payment Method],F3782,RawData[Location],G3782,RawData[Transaction Date],H3782)</f>
        <v>1</v>
      </c>
      <c r="L3782"/>
    </row>
    <row r="3783" spans="1:12" x14ac:dyDescent="0.3">
      <c r="A3783" t="s">
        <v>3789</v>
      </c>
      <c r="B3783" t="s">
        <v>10008</v>
      </c>
      <c r="C3783">
        <v>2</v>
      </c>
      <c r="D3783">
        <v>2</v>
      </c>
      <c r="E3783">
        <v>4</v>
      </c>
      <c r="F3783" t="s">
        <v>10104</v>
      </c>
      <c r="G3783" t="s">
        <v>10104</v>
      </c>
      <c r="H3783" s="6">
        <v>44977</v>
      </c>
      <c r="I3783">
        <f t="shared" si="118"/>
        <v>2</v>
      </c>
      <c r="J3783" t="str">
        <f t="shared" si="119"/>
        <v>Complete</v>
      </c>
      <c r="K3783">
        <f>COUNTIFS(RawData[Item], B3783,RawData[Quantity],C3783,RawData[Price Per Unit],D3783,RawData[Total Spent],E3783,RawData[Payment Method],F3783,RawData[Location],G3783,RawData[Transaction Date],H3783)</f>
        <v>1</v>
      </c>
      <c r="L3783"/>
    </row>
    <row r="3784" spans="1:12" x14ac:dyDescent="0.3">
      <c r="A3784" t="s">
        <v>3790</v>
      </c>
      <c r="B3784" t="s">
        <v>10014</v>
      </c>
      <c r="C3784">
        <v>4</v>
      </c>
      <c r="D3784">
        <v>4</v>
      </c>
      <c r="E3784">
        <v>16</v>
      </c>
      <c r="F3784" t="s">
        <v>10069</v>
      </c>
      <c r="G3784" t="s">
        <v>10069</v>
      </c>
      <c r="H3784" s="6">
        <v>45274</v>
      </c>
      <c r="I3784">
        <f t="shared" si="118"/>
        <v>0</v>
      </c>
      <c r="J3784" t="str">
        <f t="shared" si="119"/>
        <v>Complete</v>
      </c>
      <c r="K3784">
        <f>COUNTIFS(RawData[Item], B3784,RawData[Quantity],C3784,RawData[Price Per Unit],D3784,RawData[Total Spent],E3784,RawData[Payment Method],F3784,RawData[Location],G3784,RawData[Transaction Date],H3784)</f>
        <v>1</v>
      </c>
      <c r="L3784"/>
    </row>
    <row r="3785" spans="1:12" x14ac:dyDescent="0.3">
      <c r="A3785" t="s">
        <v>3791</v>
      </c>
      <c r="B3785" t="s">
        <v>10014</v>
      </c>
      <c r="C3785">
        <v>4</v>
      </c>
      <c r="D3785">
        <v>4</v>
      </c>
      <c r="E3785">
        <v>16</v>
      </c>
      <c r="F3785" t="s">
        <v>10069</v>
      </c>
      <c r="G3785" t="s">
        <v>10069</v>
      </c>
      <c r="H3785" s="6">
        <v>45075</v>
      </c>
      <c r="I3785">
        <f t="shared" si="118"/>
        <v>0</v>
      </c>
      <c r="J3785" t="str">
        <f t="shared" si="119"/>
        <v>Complete</v>
      </c>
      <c r="K3785">
        <f>COUNTIFS(RawData[Item], B3785,RawData[Quantity],C3785,RawData[Price Per Unit],D3785,RawData[Total Spent],E3785,RawData[Payment Method],F3785,RawData[Location],G3785,RawData[Transaction Date],H3785)</f>
        <v>1</v>
      </c>
      <c r="L3785"/>
    </row>
    <row r="3786" spans="1:12" x14ac:dyDescent="0.3">
      <c r="A3786" t="s">
        <v>3792</v>
      </c>
      <c r="B3786" t="s">
        <v>10008</v>
      </c>
      <c r="C3786">
        <v>5</v>
      </c>
      <c r="D3786">
        <v>2</v>
      </c>
      <c r="E3786">
        <v>10</v>
      </c>
      <c r="F3786" t="s">
        <v>10069</v>
      </c>
      <c r="G3786" t="s">
        <v>10021</v>
      </c>
      <c r="H3786" s="6">
        <v>45131</v>
      </c>
      <c r="I3786">
        <f t="shared" si="118"/>
        <v>0</v>
      </c>
      <c r="J3786" t="str">
        <f t="shared" si="119"/>
        <v>Complete</v>
      </c>
      <c r="K3786">
        <f>COUNTIFS(RawData[Item], B3786,RawData[Quantity],C3786,RawData[Price Per Unit],D3786,RawData[Total Spent],E3786,RawData[Payment Method],F3786,RawData[Location],G3786,RawData[Transaction Date],H3786)</f>
        <v>1</v>
      </c>
      <c r="L3786"/>
    </row>
    <row r="3787" spans="1:12" x14ac:dyDescent="0.3">
      <c r="A3787" t="s">
        <v>3793</v>
      </c>
      <c r="B3787" t="s">
        <v>10014</v>
      </c>
      <c r="C3787">
        <v>3</v>
      </c>
      <c r="D3787">
        <v>4</v>
      </c>
      <c r="E3787">
        <v>12</v>
      </c>
      <c r="F3787" t="s">
        <v>10020</v>
      </c>
      <c r="G3787" t="s">
        <v>10069</v>
      </c>
      <c r="H3787" s="6">
        <v>45263</v>
      </c>
      <c r="I3787">
        <f t="shared" si="118"/>
        <v>0</v>
      </c>
      <c r="J3787" t="str">
        <f t="shared" si="119"/>
        <v>Complete</v>
      </c>
      <c r="K3787">
        <f>COUNTIFS(RawData[Item], B3787,RawData[Quantity],C3787,RawData[Price Per Unit],D3787,RawData[Total Spent],E3787,RawData[Payment Method],F3787,RawData[Location],G3787,RawData[Transaction Date],H3787)</f>
        <v>1</v>
      </c>
      <c r="L3787"/>
    </row>
    <row r="3788" spans="1:12" x14ac:dyDescent="0.3">
      <c r="A3788" t="s">
        <v>3794</v>
      </c>
      <c r="B3788" t="s">
        <v>10012</v>
      </c>
      <c r="C3788">
        <v>3</v>
      </c>
      <c r="D3788">
        <v>4</v>
      </c>
      <c r="E3788">
        <v>12</v>
      </c>
      <c r="F3788" t="s">
        <v>10069</v>
      </c>
      <c r="G3788" t="s">
        <v>10021</v>
      </c>
      <c r="H3788" s="6">
        <v>45246</v>
      </c>
      <c r="I3788">
        <f t="shared" si="118"/>
        <v>0</v>
      </c>
      <c r="J3788" t="str">
        <f t="shared" si="119"/>
        <v>Complete</v>
      </c>
      <c r="K3788">
        <f>COUNTIFS(RawData[Item], B3788,RawData[Quantity],C3788,RawData[Price Per Unit],D3788,RawData[Total Spent],E3788,RawData[Payment Method],F3788,RawData[Location],G3788,RawData[Transaction Date],H3788)</f>
        <v>1</v>
      </c>
      <c r="L3788"/>
    </row>
    <row r="3789" spans="1:12" x14ac:dyDescent="0.3">
      <c r="A3789" t="s">
        <v>3795</v>
      </c>
      <c r="B3789" t="s">
        <v>10016</v>
      </c>
      <c r="C3789">
        <v>3</v>
      </c>
      <c r="D3789">
        <v>3</v>
      </c>
      <c r="E3789">
        <v>9</v>
      </c>
      <c r="F3789" t="s">
        <v>10018</v>
      </c>
      <c r="G3789" t="s">
        <v>10069</v>
      </c>
      <c r="H3789" s="6">
        <v>45253</v>
      </c>
      <c r="I3789">
        <f t="shared" si="118"/>
        <v>0</v>
      </c>
      <c r="J3789" t="str">
        <f t="shared" si="119"/>
        <v>Complete</v>
      </c>
      <c r="K3789">
        <f>COUNTIFS(RawData[Item], B3789,RawData[Quantity],C3789,RawData[Price Per Unit],D3789,RawData[Total Spent],E3789,RawData[Payment Method],F3789,RawData[Location],G3789,RawData[Transaction Date],H3789)</f>
        <v>1</v>
      </c>
      <c r="L3789"/>
    </row>
    <row r="3790" spans="1:12" x14ac:dyDescent="0.3">
      <c r="A3790" t="s">
        <v>3796</v>
      </c>
      <c r="B3790" t="s">
        <v>10011</v>
      </c>
      <c r="C3790">
        <v>5</v>
      </c>
      <c r="D3790">
        <v>5</v>
      </c>
      <c r="E3790">
        <v>25</v>
      </c>
      <c r="F3790" t="s">
        <v>10018</v>
      </c>
      <c r="G3790" t="s">
        <v>10102</v>
      </c>
      <c r="H3790" s="6">
        <v>45182</v>
      </c>
      <c r="I3790">
        <f t="shared" si="118"/>
        <v>0</v>
      </c>
      <c r="J3790" t="str">
        <f t="shared" si="119"/>
        <v>Complete</v>
      </c>
      <c r="K3790">
        <f>COUNTIFS(RawData[Item], B3790,RawData[Quantity],C3790,RawData[Price Per Unit],D3790,RawData[Total Spent],E3790,RawData[Payment Method],F3790,RawData[Location],G3790,RawData[Transaction Date],H3790)</f>
        <v>1</v>
      </c>
      <c r="L3790"/>
    </row>
    <row r="3791" spans="1:12" x14ac:dyDescent="0.3">
      <c r="A3791" t="s">
        <v>3797</v>
      </c>
      <c r="B3791" t="s">
        <v>10016</v>
      </c>
      <c r="C3791">
        <v>4</v>
      </c>
      <c r="D3791">
        <v>3</v>
      </c>
      <c r="E3791">
        <v>12</v>
      </c>
      <c r="F3791" t="s">
        <v>10020</v>
      </c>
      <c r="G3791" t="s">
        <v>10102</v>
      </c>
      <c r="H3791" s="6">
        <v>45249</v>
      </c>
      <c r="I3791">
        <f t="shared" si="118"/>
        <v>0</v>
      </c>
      <c r="J3791" t="str">
        <f t="shared" si="119"/>
        <v>Complete</v>
      </c>
      <c r="K3791">
        <f>COUNTIFS(RawData[Item], B3791,RawData[Quantity],C3791,RawData[Price Per Unit],D3791,RawData[Total Spent],E3791,RawData[Payment Method],F3791,RawData[Location],G3791,RawData[Transaction Date],H3791)</f>
        <v>1</v>
      </c>
      <c r="L3791"/>
    </row>
    <row r="3792" spans="1:12" x14ac:dyDescent="0.3">
      <c r="A3792" t="s">
        <v>3798</v>
      </c>
      <c r="B3792" t="s">
        <v>10011</v>
      </c>
      <c r="C3792">
        <v>4</v>
      </c>
      <c r="D3792">
        <v>5</v>
      </c>
      <c r="E3792">
        <v>20</v>
      </c>
      <c r="F3792" t="s">
        <v>10020</v>
      </c>
      <c r="G3792" t="s">
        <v>10021</v>
      </c>
      <c r="H3792" s="6">
        <v>45018</v>
      </c>
      <c r="I3792">
        <f t="shared" si="118"/>
        <v>0</v>
      </c>
      <c r="J3792" t="str">
        <f t="shared" si="119"/>
        <v>Complete</v>
      </c>
      <c r="K3792">
        <f>COUNTIFS(RawData[Item], B3792,RawData[Quantity],C3792,RawData[Price Per Unit],D3792,RawData[Total Spent],E3792,RawData[Payment Method],F3792,RawData[Location],G3792,RawData[Transaction Date],H3792)</f>
        <v>1</v>
      </c>
      <c r="L3792"/>
    </row>
    <row r="3793" spans="1:12" x14ac:dyDescent="0.3">
      <c r="A3793" t="s">
        <v>3799</v>
      </c>
      <c r="B3793" t="s">
        <v>10012</v>
      </c>
      <c r="C3793">
        <v>1</v>
      </c>
      <c r="D3793">
        <v>4</v>
      </c>
      <c r="E3793">
        <v>4</v>
      </c>
      <c r="F3793" t="s">
        <v>10020</v>
      </c>
      <c r="G3793" t="s">
        <v>10102</v>
      </c>
      <c r="H3793" s="6">
        <v>45002</v>
      </c>
      <c r="I3793">
        <f t="shared" si="118"/>
        <v>0</v>
      </c>
      <c r="J3793" t="str">
        <f t="shared" si="119"/>
        <v>Complete</v>
      </c>
      <c r="K3793">
        <f>COUNTIFS(RawData[Item], B3793,RawData[Quantity],C3793,RawData[Price Per Unit],D3793,RawData[Total Spent],E3793,RawData[Payment Method],F3793,RawData[Location],G3793,RawData[Transaction Date],H3793)</f>
        <v>1</v>
      </c>
      <c r="L3793"/>
    </row>
    <row r="3794" spans="1:12" x14ac:dyDescent="0.3">
      <c r="A3794" t="s">
        <v>3800</v>
      </c>
      <c r="B3794" t="s">
        <v>10011</v>
      </c>
      <c r="C3794">
        <v>4</v>
      </c>
      <c r="D3794">
        <v>5</v>
      </c>
      <c r="E3794">
        <v>20</v>
      </c>
      <c r="F3794" t="s">
        <v>10018</v>
      </c>
      <c r="G3794" t="s">
        <v>10069</v>
      </c>
      <c r="H3794" s="6">
        <v>44960</v>
      </c>
      <c r="I3794">
        <f t="shared" si="118"/>
        <v>0</v>
      </c>
      <c r="J3794" t="str">
        <f t="shared" si="119"/>
        <v>Complete</v>
      </c>
      <c r="K3794">
        <f>COUNTIFS(RawData[Item], B3794,RawData[Quantity],C3794,RawData[Price Per Unit],D3794,RawData[Total Spent],E3794,RawData[Payment Method],F3794,RawData[Location],G3794,RawData[Transaction Date],H3794)</f>
        <v>1</v>
      </c>
      <c r="L3794"/>
    </row>
    <row r="3795" spans="1:12" x14ac:dyDescent="0.3">
      <c r="A3795" t="s">
        <v>3801</v>
      </c>
      <c r="B3795" t="s">
        <v>10012</v>
      </c>
      <c r="C3795">
        <v>3</v>
      </c>
      <c r="D3795">
        <v>4</v>
      </c>
      <c r="E3795">
        <v>12</v>
      </c>
      <c r="F3795" t="s">
        <v>10020</v>
      </c>
      <c r="G3795" t="s">
        <v>10069</v>
      </c>
      <c r="H3795" s="6">
        <v>45023</v>
      </c>
      <c r="I3795">
        <f t="shared" si="118"/>
        <v>0</v>
      </c>
      <c r="J3795" t="str">
        <f t="shared" si="119"/>
        <v>Complete</v>
      </c>
      <c r="K3795">
        <f>COUNTIFS(RawData[Item], B3795,RawData[Quantity],C3795,RawData[Price Per Unit],D3795,RawData[Total Spent],E3795,RawData[Payment Method],F3795,RawData[Location],G3795,RawData[Transaction Date],H3795)</f>
        <v>1</v>
      </c>
      <c r="L3795"/>
    </row>
    <row r="3796" spans="1:12" x14ac:dyDescent="0.3">
      <c r="A3796" t="s">
        <v>3802</v>
      </c>
      <c r="B3796" t="s">
        <v>10010</v>
      </c>
      <c r="C3796">
        <v>4</v>
      </c>
      <c r="D3796">
        <v>1</v>
      </c>
      <c r="E3796">
        <v>4</v>
      </c>
      <c r="F3796" t="s">
        <v>10020</v>
      </c>
      <c r="G3796" t="s">
        <v>10021</v>
      </c>
      <c r="H3796" s="6">
        <v>45107</v>
      </c>
      <c r="I3796">
        <f t="shared" si="118"/>
        <v>0</v>
      </c>
      <c r="J3796" t="str">
        <f t="shared" si="119"/>
        <v>Complete</v>
      </c>
      <c r="K3796">
        <f>COUNTIFS(RawData[Item], B3796,RawData[Quantity],C3796,RawData[Price Per Unit],D3796,RawData[Total Spent],E3796,RawData[Payment Method],F3796,RawData[Location],G3796,RawData[Transaction Date],H3796)</f>
        <v>1</v>
      </c>
      <c r="L3796"/>
    </row>
    <row r="3797" spans="1:12" x14ac:dyDescent="0.3">
      <c r="A3797" t="s">
        <v>3803</v>
      </c>
      <c r="B3797" t="s">
        <v>10009</v>
      </c>
      <c r="C3797">
        <v>5</v>
      </c>
      <c r="D3797">
        <v>3</v>
      </c>
      <c r="E3797">
        <v>15</v>
      </c>
      <c r="F3797" t="s">
        <v>10018</v>
      </c>
      <c r="G3797" t="s">
        <v>10104</v>
      </c>
      <c r="H3797" s="6" t="s">
        <v>10112</v>
      </c>
      <c r="I3797">
        <f t="shared" si="118"/>
        <v>2</v>
      </c>
      <c r="J3797" t="str">
        <f t="shared" si="119"/>
        <v>Incomplete</v>
      </c>
      <c r="K3797">
        <f>COUNTIFS(RawData[Item], B3797,RawData[Quantity],C3797,RawData[Price Per Unit],D3797,RawData[Total Spent],E3797,RawData[Payment Method],F3797,RawData[Location],G3797,RawData[Transaction Date],H3797)</f>
        <v>1</v>
      </c>
      <c r="L3797"/>
    </row>
    <row r="3798" spans="1:12" x14ac:dyDescent="0.3">
      <c r="A3798" t="s">
        <v>3804</v>
      </c>
      <c r="B3798" t="s">
        <v>10069</v>
      </c>
      <c r="C3798">
        <v>2</v>
      </c>
      <c r="D3798">
        <v>1.5</v>
      </c>
      <c r="E3798">
        <v>3</v>
      </c>
      <c r="F3798" t="s">
        <v>10018</v>
      </c>
      <c r="G3798" t="s">
        <v>10021</v>
      </c>
      <c r="H3798" s="6">
        <v>45016</v>
      </c>
      <c r="I3798">
        <f t="shared" si="118"/>
        <v>0</v>
      </c>
      <c r="J3798" t="str">
        <f t="shared" si="119"/>
        <v>Complete</v>
      </c>
      <c r="K3798">
        <f>COUNTIFS(RawData[Item], B3798,RawData[Quantity],C3798,RawData[Price Per Unit],D3798,RawData[Total Spent],E3798,RawData[Payment Method],F3798,RawData[Location],G3798,RawData[Transaction Date],H3798)</f>
        <v>1</v>
      </c>
      <c r="L3798"/>
    </row>
    <row r="3799" spans="1:12" x14ac:dyDescent="0.3">
      <c r="A3799" t="s">
        <v>3805</v>
      </c>
      <c r="B3799" t="s">
        <v>10012</v>
      </c>
      <c r="C3799">
        <v>2</v>
      </c>
      <c r="D3799">
        <v>4</v>
      </c>
      <c r="E3799">
        <v>8</v>
      </c>
      <c r="F3799" t="s">
        <v>10018</v>
      </c>
      <c r="G3799" t="s">
        <v>10102</v>
      </c>
      <c r="H3799" s="6">
        <v>45191</v>
      </c>
      <c r="I3799">
        <f t="shared" si="118"/>
        <v>0</v>
      </c>
      <c r="J3799" t="str">
        <f t="shared" si="119"/>
        <v>Complete</v>
      </c>
      <c r="K3799">
        <f>COUNTIFS(RawData[Item], B3799,RawData[Quantity],C3799,RawData[Price Per Unit],D3799,RawData[Total Spent],E3799,RawData[Payment Method],F3799,RawData[Location],G3799,RawData[Transaction Date],H3799)</f>
        <v>1</v>
      </c>
      <c r="L3799"/>
    </row>
    <row r="3800" spans="1:12" x14ac:dyDescent="0.3">
      <c r="A3800" t="s">
        <v>3806</v>
      </c>
      <c r="B3800" t="s">
        <v>10009</v>
      </c>
      <c r="C3800">
        <v>5</v>
      </c>
      <c r="D3800">
        <v>3</v>
      </c>
      <c r="E3800">
        <v>15</v>
      </c>
      <c r="F3800" t="s">
        <v>10019</v>
      </c>
      <c r="G3800" t="s">
        <v>10069</v>
      </c>
      <c r="H3800" s="6">
        <v>45086</v>
      </c>
      <c r="I3800">
        <f t="shared" si="118"/>
        <v>0</v>
      </c>
      <c r="J3800" t="str">
        <f t="shared" si="119"/>
        <v>Complete</v>
      </c>
      <c r="K3800">
        <f>COUNTIFS(RawData[Item], B3800,RawData[Quantity],C3800,RawData[Price Per Unit],D3800,RawData[Total Spent],E3800,RawData[Payment Method],F3800,RawData[Location],G3800,RawData[Transaction Date],H3800)</f>
        <v>1</v>
      </c>
      <c r="L3800"/>
    </row>
    <row r="3801" spans="1:12" x14ac:dyDescent="0.3">
      <c r="A3801" t="s">
        <v>3807</v>
      </c>
      <c r="B3801" t="s">
        <v>10010</v>
      </c>
      <c r="C3801">
        <v>1</v>
      </c>
      <c r="D3801">
        <v>1</v>
      </c>
      <c r="E3801">
        <v>1</v>
      </c>
      <c r="F3801" t="s">
        <v>10020</v>
      </c>
      <c r="G3801" t="s">
        <v>10102</v>
      </c>
      <c r="H3801" s="6">
        <v>45084</v>
      </c>
      <c r="I3801">
        <f t="shared" si="118"/>
        <v>0</v>
      </c>
      <c r="J3801" t="str">
        <f t="shared" si="119"/>
        <v>Complete</v>
      </c>
      <c r="K3801">
        <f>COUNTIFS(RawData[Item], B3801,RawData[Quantity],C3801,RawData[Price Per Unit],D3801,RawData[Total Spent],E3801,RawData[Payment Method],F3801,RawData[Location],G3801,RawData[Transaction Date],H3801)</f>
        <v>1</v>
      </c>
      <c r="L3801"/>
    </row>
    <row r="3802" spans="1:12" x14ac:dyDescent="0.3">
      <c r="A3802" t="s">
        <v>3808</v>
      </c>
      <c r="B3802" t="s">
        <v>10010</v>
      </c>
      <c r="C3802">
        <v>3</v>
      </c>
      <c r="D3802">
        <v>1</v>
      </c>
      <c r="E3802">
        <v>3</v>
      </c>
      <c r="F3802" t="s">
        <v>10018</v>
      </c>
      <c r="G3802" t="s">
        <v>10102</v>
      </c>
      <c r="H3802" s="6">
        <v>45138</v>
      </c>
      <c r="I3802">
        <f t="shared" si="118"/>
        <v>0</v>
      </c>
      <c r="J3802" t="str">
        <f t="shared" si="119"/>
        <v>Complete</v>
      </c>
      <c r="K3802">
        <f>COUNTIFS(RawData[Item], B3802,RawData[Quantity],C3802,RawData[Price Per Unit],D3802,RawData[Total Spent],E3802,RawData[Payment Method],F3802,RawData[Location],G3802,RawData[Transaction Date],H3802)</f>
        <v>1</v>
      </c>
      <c r="L3802"/>
    </row>
    <row r="3803" spans="1:12" x14ac:dyDescent="0.3">
      <c r="A3803" t="s">
        <v>3809</v>
      </c>
      <c r="B3803" t="s">
        <v>10017</v>
      </c>
      <c r="C3803">
        <v>3</v>
      </c>
      <c r="D3803">
        <v>1.5</v>
      </c>
      <c r="E3803">
        <v>4.5</v>
      </c>
      <c r="F3803" t="s">
        <v>10069</v>
      </c>
      <c r="G3803" t="s">
        <v>10069</v>
      </c>
      <c r="H3803" s="6" t="s">
        <v>10112</v>
      </c>
      <c r="I3803">
        <f t="shared" si="118"/>
        <v>1</v>
      </c>
      <c r="J3803" t="str">
        <f t="shared" si="119"/>
        <v>Incomplete</v>
      </c>
      <c r="K3803">
        <f>COUNTIFS(RawData[Item], B3803,RawData[Quantity],C3803,RawData[Price Per Unit],D3803,RawData[Total Spent],E3803,RawData[Payment Method],F3803,RawData[Location],G3803,RawData[Transaction Date],H3803)</f>
        <v>1</v>
      </c>
      <c r="L3803"/>
    </row>
    <row r="3804" spans="1:12" x14ac:dyDescent="0.3">
      <c r="A3804" t="s">
        <v>3810</v>
      </c>
      <c r="B3804" t="s">
        <v>10016</v>
      </c>
      <c r="C3804">
        <v>3</v>
      </c>
      <c r="D3804">
        <v>3</v>
      </c>
      <c r="E3804">
        <v>9</v>
      </c>
      <c r="F3804" t="s">
        <v>10069</v>
      </c>
      <c r="G3804" t="s">
        <v>10069</v>
      </c>
      <c r="H3804" s="6">
        <v>44978</v>
      </c>
      <c r="I3804">
        <f t="shared" si="118"/>
        <v>0</v>
      </c>
      <c r="J3804" t="str">
        <f t="shared" si="119"/>
        <v>Complete</v>
      </c>
      <c r="K3804">
        <f>COUNTIFS(RawData[Item], B3804,RawData[Quantity],C3804,RawData[Price Per Unit],D3804,RawData[Total Spent],E3804,RawData[Payment Method],F3804,RawData[Location],G3804,RawData[Transaction Date],H3804)</f>
        <v>1</v>
      </c>
      <c r="L3804"/>
    </row>
    <row r="3805" spans="1:12" x14ac:dyDescent="0.3">
      <c r="A3805" t="s">
        <v>3811</v>
      </c>
      <c r="B3805" t="s">
        <v>10012</v>
      </c>
      <c r="C3805">
        <v>2</v>
      </c>
      <c r="D3805">
        <v>4</v>
      </c>
      <c r="E3805">
        <v>0</v>
      </c>
      <c r="F3805" t="s">
        <v>10019</v>
      </c>
      <c r="G3805" t="s">
        <v>10069</v>
      </c>
      <c r="H3805" s="6">
        <v>45069</v>
      </c>
      <c r="I3805">
        <f t="shared" si="118"/>
        <v>0</v>
      </c>
      <c r="J3805" t="str">
        <f t="shared" si="119"/>
        <v>Complete</v>
      </c>
      <c r="K3805">
        <f>COUNTIFS(RawData[Item], B3805,RawData[Quantity],C3805,RawData[Price Per Unit],D3805,RawData[Total Spent],E3805,RawData[Payment Method],F3805,RawData[Location],G3805,RawData[Transaction Date],H3805)</f>
        <v>1</v>
      </c>
      <c r="L3805"/>
    </row>
    <row r="3806" spans="1:12" x14ac:dyDescent="0.3">
      <c r="A3806" t="s">
        <v>3812</v>
      </c>
      <c r="B3806" t="s">
        <v>10008</v>
      </c>
      <c r="C3806">
        <v>2</v>
      </c>
      <c r="D3806" t="s">
        <v>10013</v>
      </c>
      <c r="E3806">
        <v>4</v>
      </c>
      <c r="F3806" t="s">
        <v>10020</v>
      </c>
      <c r="G3806" t="s">
        <v>10102</v>
      </c>
      <c r="H3806" s="6">
        <v>45259</v>
      </c>
      <c r="I3806">
        <f t="shared" si="118"/>
        <v>1</v>
      </c>
      <c r="J3806" t="str">
        <f t="shared" si="119"/>
        <v>Complete</v>
      </c>
      <c r="K3806">
        <f>COUNTIFS(RawData[Item], B3806,RawData[Quantity],C3806,RawData[Price Per Unit],D3806,RawData[Total Spent],E3806,RawData[Payment Method],F3806,RawData[Location],G3806,RawData[Transaction Date],H3806)</f>
        <v>1</v>
      </c>
      <c r="L3806"/>
    </row>
    <row r="3807" spans="1:12" x14ac:dyDescent="0.3">
      <c r="A3807" t="s">
        <v>3813</v>
      </c>
      <c r="B3807" t="s">
        <v>10015</v>
      </c>
      <c r="C3807" t="s">
        <v>10015</v>
      </c>
      <c r="D3807">
        <v>4</v>
      </c>
      <c r="E3807">
        <v>12</v>
      </c>
      <c r="F3807" t="s">
        <v>10069</v>
      </c>
      <c r="G3807" t="s">
        <v>10069</v>
      </c>
      <c r="H3807" s="6">
        <v>45266</v>
      </c>
      <c r="I3807">
        <f t="shared" si="118"/>
        <v>2</v>
      </c>
      <c r="J3807" t="str">
        <f t="shared" si="119"/>
        <v>Complete</v>
      </c>
      <c r="K3807">
        <f>COUNTIFS(RawData[Item], B3807,RawData[Quantity],C3807,RawData[Price Per Unit],D3807,RawData[Total Spent],E3807,RawData[Payment Method],F3807,RawData[Location],G3807,RawData[Transaction Date],H3807)</f>
        <v>1</v>
      </c>
      <c r="L3807"/>
    </row>
    <row r="3808" spans="1:12" x14ac:dyDescent="0.3">
      <c r="A3808" t="s">
        <v>3814</v>
      </c>
      <c r="B3808" t="s">
        <v>10008</v>
      </c>
      <c r="C3808">
        <v>3</v>
      </c>
      <c r="D3808" t="s">
        <v>10013</v>
      </c>
      <c r="E3808">
        <v>6</v>
      </c>
      <c r="F3808" t="s">
        <v>10020</v>
      </c>
      <c r="G3808" t="s">
        <v>10069</v>
      </c>
      <c r="H3808" s="6">
        <v>45116</v>
      </c>
      <c r="I3808">
        <f t="shared" si="118"/>
        <v>1</v>
      </c>
      <c r="J3808" t="str">
        <f t="shared" si="119"/>
        <v>Complete</v>
      </c>
      <c r="K3808">
        <f>COUNTIFS(RawData[Item], B3808,RawData[Quantity],C3808,RawData[Price Per Unit],D3808,RawData[Total Spent],E3808,RawData[Payment Method],F3808,RawData[Location],G3808,RawData[Transaction Date],H3808)</f>
        <v>1</v>
      </c>
      <c r="L3808"/>
    </row>
    <row r="3809" spans="1:12" x14ac:dyDescent="0.3">
      <c r="A3809" t="s">
        <v>3815</v>
      </c>
      <c r="B3809" t="s">
        <v>10008</v>
      </c>
      <c r="C3809">
        <v>2</v>
      </c>
      <c r="D3809">
        <v>2</v>
      </c>
      <c r="E3809">
        <v>4</v>
      </c>
      <c r="F3809" t="s">
        <v>10018</v>
      </c>
      <c r="G3809" t="s">
        <v>10021</v>
      </c>
      <c r="H3809" s="6">
        <v>45003</v>
      </c>
      <c r="I3809">
        <f t="shared" si="118"/>
        <v>0</v>
      </c>
      <c r="J3809" t="str">
        <f t="shared" si="119"/>
        <v>Complete</v>
      </c>
      <c r="K3809">
        <f>COUNTIFS(RawData[Item], B3809,RawData[Quantity],C3809,RawData[Price Per Unit],D3809,RawData[Total Spent],E3809,RawData[Payment Method],F3809,RawData[Location],G3809,RawData[Transaction Date],H3809)</f>
        <v>1</v>
      </c>
      <c r="L3809"/>
    </row>
    <row r="3810" spans="1:12" x14ac:dyDescent="0.3">
      <c r="A3810" t="s">
        <v>3816</v>
      </c>
      <c r="B3810" t="s">
        <v>10015</v>
      </c>
      <c r="C3810">
        <v>1</v>
      </c>
      <c r="D3810">
        <v>5</v>
      </c>
      <c r="E3810">
        <v>5</v>
      </c>
      <c r="F3810" t="s">
        <v>10069</v>
      </c>
      <c r="G3810" t="s">
        <v>10102</v>
      </c>
      <c r="H3810" s="6">
        <v>45214</v>
      </c>
      <c r="I3810">
        <f t="shared" si="118"/>
        <v>1</v>
      </c>
      <c r="J3810" t="str">
        <f t="shared" si="119"/>
        <v>Complete</v>
      </c>
      <c r="K3810">
        <f>COUNTIFS(RawData[Item], B3810,RawData[Quantity],C3810,RawData[Price Per Unit],D3810,RawData[Total Spent],E3810,RawData[Payment Method],F3810,RawData[Location],G3810,RawData[Transaction Date],H3810)</f>
        <v>1</v>
      </c>
      <c r="L3810"/>
    </row>
    <row r="3811" spans="1:12" x14ac:dyDescent="0.3">
      <c r="A3811" t="s">
        <v>3817</v>
      </c>
      <c r="B3811" t="s">
        <v>10017</v>
      </c>
      <c r="C3811">
        <v>4</v>
      </c>
      <c r="D3811">
        <v>1.5</v>
      </c>
      <c r="E3811">
        <v>6</v>
      </c>
      <c r="F3811" t="s">
        <v>10069</v>
      </c>
      <c r="G3811" t="s">
        <v>10102</v>
      </c>
      <c r="H3811" s="6" t="s">
        <v>10112</v>
      </c>
      <c r="I3811">
        <f t="shared" si="118"/>
        <v>1</v>
      </c>
      <c r="J3811" t="str">
        <f t="shared" si="119"/>
        <v>Incomplete</v>
      </c>
      <c r="K3811">
        <f>COUNTIFS(RawData[Item], B3811,RawData[Quantity],C3811,RawData[Price Per Unit],D3811,RawData[Total Spent],E3811,RawData[Payment Method],F3811,RawData[Location],G3811,RawData[Transaction Date],H3811)</f>
        <v>3</v>
      </c>
      <c r="L3811"/>
    </row>
    <row r="3812" spans="1:12" x14ac:dyDescent="0.3">
      <c r="A3812" t="s">
        <v>3818</v>
      </c>
      <c r="B3812" t="s">
        <v>10014</v>
      </c>
      <c r="C3812">
        <v>1</v>
      </c>
      <c r="D3812">
        <v>4</v>
      </c>
      <c r="E3812">
        <v>4</v>
      </c>
      <c r="F3812" t="s">
        <v>10020</v>
      </c>
      <c r="G3812" t="s">
        <v>10021</v>
      </c>
      <c r="H3812" s="6">
        <v>45126</v>
      </c>
      <c r="I3812">
        <f t="shared" si="118"/>
        <v>0</v>
      </c>
      <c r="J3812" t="str">
        <f t="shared" si="119"/>
        <v>Complete</v>
      </c>
      <c r="K3812">
        <f>COUNTIFS(RawData[Item], B3812,RawData[Quantity],C3812,RawData[Price Per Unit],D3812,RawData[Total Spent],E3812,RawData[Payment Method],F3812,RawData[Location],G3812,RawData[Transaction Date],H3812)</f>
        <v>1</v>
      </c>
      <c r="L3812"/>
    </row>
    <row r="3813" spans="1:12" x14ac:dyDescent="0.3">
      <c r="A3813" t="s">
        <v>3819</v>
      </c>
      <c r="B3813" t="s">
        <v>10016</v>
      </c>
      <c r="C3813">
        <v>4</v>
      </c>
      <c r="D3813">
        <v>3</v>
      </c>
      <c r="E3813">
        <v>12</v>
      </c>
      <c r="F3813" t="s">
        <v>10069</v>
      </c>
      <c r="G3813" t="s">
        <v>10102</v>
      </c>
      <c r="H3813" s="6">
        <v>45150</v>
      </c>
      <c r="I3813">
        <f t="shared" si="118"/>
        <v>0</v>
      </c>
      <c r="J3813" t="str">
        <f t="shared" si="119"/>
        <v>Complete</v>
      </c>
      <c r="K3813">
        <f>COUNTIFS(RawData[Item], B3813,RawData[Quantity],C3813,RawData[Price Per Unit],D3813,RawData[Total Spent],E3813,RawData[Payment Method],F3813,RawData[Location],G3813,RawData[Transaction Date],H3813)</f>
        <v>1</v>
      </c>
      <c r="L3813"/>
    </row>
    <row r="3814" spans="1:12" x14ac:dyDescent="0.3">
      <c r="A3814" t="s">
        <v>3820</v>
      </c>
      <c r="B3814" t="s">
        <v>10017</v>
      </c>
      <c r="C3814">
        <v>3</v>
      </c>
      <c r="D3814">
        <v>1.5</v>
      </c>
      <c r="E3814">
        <v>4.5</v>
      </c>
      <c r="F3814" t="s">
        <v>10018</v>
      </c>
      <c r="G3814" t="s">
        <v>10069</v>
      </c>
      <c r="H3814" s="6">
        <v>44963</v>
      </c>
      <c r="I3814">
        <f t="shared" si="118"/>
        <v>0</v>
      </c>
      <c r="J3814" t="str">
        <f t="shared" si="119"/>
        <v>Complete</v>
      </c>
      <c r="K3814">
        <f>COUNTIFS(RawData[Item], B3814,RawData[Quantity],C3814,RawData[Price Per Unit],D3814,RawData[Total Spent],E3814,RawData[Payment Method],F3814,RawData[Location],G3814,RawData[Transaction Date],H3814)</f>
        <v>1</v>
      </c>
      <c r="L3814"/>
    </row>
    <row r="3815" spans="1:12" x14ac:dyDescent="0.3">
      <c r="A3815" t="s">
        <v>3821</v>
      </c>
      <c r="B3815" t="s">
        <v>10016</v>
      </c>
      <c r="C3815">
        <v>2</v>
      </c>
      <c r="D3815">
        <v>3</v>
      </c>
      <c r="E3815">
        <v>6</v>
      </c>
      <c r="F3815" t="s">
        <v>10020</v>
      </c>
      <c r="G3815" t="s">
        <v>10021</v>
      </c>
      <c r="H3815" s="6">
        <v>45057</v>
      </c>
      <c r="I3815">
        <f t="shared" si="118"/>
        <v>0</v>
      </c>
      <c r="J3815" t="str">
        <f t="shared" si="119"/>
        <v>Complete</v>
      </c>
      <c r="K3815">
        <f>COUNTIFS(RawData[Item], B3815,RawData[Quantity],C3815,RawData[Price Per Unit],D3815,RawData[Total Spent],E3815,RawData[Payment Method],F3815,RawData[Location],G3815,RawData[Transaction Date],H3815)</f>
        <v>1</v>
      </c>
      <c r="L3815"/>
    </row>
    <row r="3816" spans="1:12" x14ac:dyDescent="0.3">
      <c r="A3816" t="s">
        <v>3822</v>
      </c>
      <c r="B3816" t="s">
        <v>10014</v>
      </c>
      <c r="C3816">
        <v>4</v>
      </c>
      <c r="D3816">
        <v>4</v>
      </c>
      <c r="E3816">
        <v>16</v>
      </c>
      <c r="F3816" t="s">
        <v>10018</v>
      </c>
      <c r="G3816" t="s">
        <v>10102</v>
      </c>
      <c r="H3816" s="6">
        <v>45134</v>
      </c>
      <c r="I3816">
        <f t="shared" si="118"/>
        <v>0</v>
      </c>
      <c r="J3816" t="str">
        <f t="shared" si="119"/>
        <v>Complete</v>
      </c>
      <c r="K3816">
        <f>COUNTIFS(RawData[Item], B3816,RawData[Quantity],C3816,RawData[Price Per Unit],D3816,RawData[Total Spent],E3816,RawData[Payment Method],F3816,RawData[Location],G3816,RawData[Transaction Date],H3816)</f>
        <v>1</v>
      </c>
      <c r="L3816"/>
    </row>
    <row r="3817" spans="1:12" x14ac:dyDescent="0.3">
      <c r="A3817" t="s">
        <v>3823</v>
      </c>
      <c r="B3817" t="s">
        <v>10008</v>
      </c>
      <c r="C3817">
        <v>1</v>
      </c>
      <c r="D3817">
        <v>2</v>
      </c>
      <c r="E3817">
        <v>2</v>
      </c>
      <c r="F3817" t="s">
        <v>10018</v>
      </c>
      <c r="G3817" t="s">
        <v>10102</v>
      </c>
      <c r="H3817" s="6">
        <v>45266</v>
      </c>
      <c r="I3817">
        <f t="shared" si="118"/>
        <v>0</v>
      </c>
      <c r="J3817" t="str">
        <f t="shared" si="119"/>
        <v>Complete</v>
      </c>
      <c r="K3817">
        <f>COUNTIFS(RawData[Item], B3817,RawData[Quantity],C3817,RawData[Price Per Unit],D3817,RawData[Total Spent],E3817,RawData[Payment Method],F3817,RawData[Location],G3817,RawData[Transaction Date],H3817)</f>
        <v>1</v>
      </c>
      <c r="L3817"/>
    </row>
    <row r="3818" spans="1:12" x14ac:dyDescent="0.3">
      <c r="A3818" t="s">
        <v>3824</v>
      </c>
      <c r="B3818" t="s">
        <v>10010</v>
      </c>
      <c r="C3818">
        <v>5</v>
      </c>
      <c r="D3818">
        <v>1</v>
      </c>
      <c r="E3818">
        <v>5</v>
      </c>
      <c r="F3818" t="s">
        <v>10019</v>
      </c>
      <c r="G3818" t="s">
        <v>10102</v>
      </c>
      <c r="H3818" s="6">
        <v>45275</v>
      </c>
      <c r="I3818">
        <f t="shared" si="118"/>
        <v>0</v>
      </c>
      <c r="J3818" t="str">
        <f t="shared" si="119"/>
        <v>Complete</v>
      </c>
      <c r="K3818">
        <f>COUNTIFS(RawData[Item], B3818,RawData[Quantity],C3818,RawData[Price Per Unit],D3818,RawData[Total Spent],E3818,RawData[Payment Method],F3818,RawData[Location],G3818,RawData[Transaction Date],H3818)</f>
        <v>1</v>
      </c>
      <c r="L3818"/>
    </row>
    <row r="3819" spans="1:12" x14ac:dyDescent="0.3">
      <c r="A3819" t="s">
        <v>3825</v>
      </c>
      <c r="B3819" t="s">
        <v>10069</v>
      </c>
      <c r="C3819">
        <v>2</v>
      </c>
      <c r="D3819">
        <v>5</v>
      </c>
      <c r="E3819">
        <v>10</v>
      </c>
      <c r="F3819" t="s">
        <v>10069</v>
      </c>
      <c r="G3819" t="s">
        <v>10069</v>
      </c>
      <c r="H3819" s="6">
        <v>45127</v>
      </c>
      <c r="I3819">
        <f t="shared" si="118"/>
        <v>0</v>
      </c>
      <c r="J3819" t="str">
        <f t="shared" si="119"/>
        <v>Complete</v>
      </c>
      <c r="K3819">
        <f>COUNTIFS(RawData[Item], B3819,RawData[Quantity],C3819,RawData[Price Per Unit],D3819,RawData[Total Spent],E3819,RawData[Payment Method],F3819,RawData[Location],G3819,RawData[Transaction Date],H3819)</f>
        <v>1</v>
      </c>
      <c r="L3819"/>
    </row>
    <row r="3820" spans="1:12" x14ac:dyDescent="0.3">
      <c r="A3820" t="s">
        <v>3826</v>
      </c>
      <c r="B3820" t="s">
        <v>10013</v>
      </c>
      <c r="C3820">
        <v>4</v>
      </c>
      <c r="D3820">
        <v>2</v>
      </c>
      <c r="E3820">
        <v>8</v>
      </c>
      <c r="F3820" t="s">
        <v>10018</v>
      </c>
      <c r="G3820" t="s">
        <v>10021</v>
      </c>
      <c r="H3820" s="6">
        <v>45023</v>
      </c>
      <c r="I3820">
        <f t="shared" si="118"/>
        <v>1</v>
      </c>
      <c r="J3820" t="str">
        <f t="shared" si="119"/>
        <v>Complete</v>
      </c>
      <c r="K3820">
        <f>COUNTIFS(RawData[Item], B3820,RawData[Quantity],C3820,RawData[Price Per Unit],D3820,RawData[Total Spent],E3820,RawData[Payment Method],F3820,RawData[Location],G3820,RawData[Transaction Date],H3820)</f>
        <v>1</v>
      </c>
      <c r="L3820"/>
    </row>
    <row r="3821" spans="1:12" x14ac:dyDescent="0.3">
      <c r="A3821" t="s">
        <v>3827</v>
      </c>
      <c r="B3821" t="s">
        <v>10009</v>
      </c>
      <c r="C3821">
        <v>5</v>
      </c>
      <c r="D3821">
        <v>3</v>
      </c>
      <c r="E3821">
        <v>15</v>
      </c>
      <c r="F3821" t="s">
        <v>10069</v>
      </c>
      <c r="G3821" t="s">
        <v>10069</v>
      </c>
      <c r="H3821" s="6" t="s">
        <v>10112</v>
      </c>
      <c r="I3821">
        <f t="shared" si="118"/>
        <v>1</v>
      </c>
      <c r="J3821" t="str">
        <f t="shared" si="119"/>
        <v>Incomplete</v>
      </c>
      <c r="K3821">
        <f>COUNTIFS(RawData[Item], B3821,RawData[Quantity],C3821,RawData[Price Per Unit],D3821,RawData[Total Spent],E3821,RawData[Payment Method],F3821,RawData[Location],G3821,RawData[Transaction Date],H3821)</f>
        <v>2</v>
      </c>
      <c r="L3821"/>
    </row>
    <row r="3822" spans="1:12" x14ac:dyDescent="0.3">
      <c r="A3822" t="s">
        <v>3828</v>
      </c>
      <c r="B3822" t="s">
        <v>10009</v>
      </c>
      <c r="C3822">
        <v>2</v>
      </c>
      <c r="D3822">
        <v>3</v>
      </c>
      <c r="E3822">
        <v>6</v>
      </c>
      <c r="F3822" t="s">
        <v>10020</v>
      </c>
      <c r="G3822" t="s">
        <v>10103</v>
      </c>
      <c r="H3822" s="6">
        <v>45010</v>
      </c>
      <c r="I3822">
        <f t="shared" si="118"/>
        <v>1</v>
      </c>
      <c r="J3822" t="str">
        <f t="shared" si="119"/>
        <v>Complete</v>
      </c>
      <c r="K3822">
        <f>COUNTIFS(RawData[Item], B3822,RawData[Quantity],C3822,RawData[Price Per Unit],D3822,RawData[Total Spent],E3822,RawData[Payment Method],F3822,RawData[Location],G3822,RawData[Transaction Date],H3822)</f>
        <v>1</v>
      </c>
      <c r="L3822"/>
    </row>
    <row r="3823" spans="1:12" x14ac:dyDescent="0.3">
      <c r="A3823" t="s">
        <v>3829</v>
      </c>
      <c r="B3823" t="s">
        <v>10015</v>
      </c>
      <c r="C3823">
        <v>3</v>
      </c>
      <c r="D3823">
        <v>1.5</v>
      </c>
      <c r="E3823">
        <v>4.5</v>
      </c>
      <c r="F3823" t="s">
        <v>10018</v>
      </c>
      <c r="G3823" t="s">
        <v>10069</v>
      </c>
      <c r="H3823" s="6">
        <v>45250</v>
      </c>
      <c r="I3823">
        <f t="shared" si="118"/>
        <v>1</v>
      </c>
      <c r="J3823" t="str">
        <f t="shared" si="119"/>
        <v>Complete</v>
      </c>
      <c r="K3823">
        <f>COUNTIFS(RawData[Item], B3823,RawData[Quantity],C3823,RawData[Price Per Unit],D3823,RawData[Total Spent],E3823,RawData[Payment Method],F3823,RawData[Location],G3823,RawData[Transaction Date],H3823)</f>
        <v>1</v>
      </c>
      <c r="L3823"/>
    </row>
    <row r="3824" spans="1:12" x14ac:dyDescent="0.3">
      <c r="A3824" t="s">
        <v>3830</v>
      </c>
      <c r="B3824" t="s">
        <v>10010</v>
      </c>
      <c r="C3824">
        <v>5</v>
      </c>
      <c r="D3824">
        <v>1</v>
      </c>
      <c r="E3824">
        <v>5</v>
      </c>
      <c r="F3824" t="s">
        <v>10020</v>
      </c>
      <c r="G3824" t="s">
        <v>10021</v>
      </c>
      <c r="H3824" s="6">
        <v>45050</v>
      </c>
      <c r="I3824">
        <f t="shared" si="118"/>
        <v>0</v>
      </c>
      <c r="J3824" t="str">
        <f t="shared" si="119"/>
        <v>Complete</v>
      </c>
      <c r="K3824">
        <f>COUNTIFS(RawData[Item], B3824,RawData[Quantity],C3824,RawData[Price Per Unit],D3824,RawData[Total Spent],E3824,RawData[Payment Method],F3824,RawData[Location],G3824,RawData[Transaction Date],H3824)</f>
        <v>1</v>
      </c>
      <c r="L3824"/>
    </row>
    <row r="3825" spans="1:12" x14ac:dyDescent="0.3">
      <c r="A3825" t="s">
        <v>3831</v>
      </c>
      <c r="B3825" t="s">
        <v>10011</v>
      </c>
      <c r="C3825">
        <v>5</v>
      </c>
      <c r="D3825">
        <v>5</v>
      </c>
      <c r="E3825">
        <v>25</v>
      </c>
      <c r="F3825" t="s">
        <v>10020</v>
      </c>
      <c r="G3825" t="s">
        <v>10069</v>
      </c>
      <c r="H3825" s="6">
        <v>45110</v>
      </c>
      <c r="I3825">
        <f t="shared" si="118"/>
        <v>0</v>
      </c>
      <c r="J3825" t="str">
        <f t="shared" si="119"/>
        <v>Complete</v>
      </c>
      <c r="K3825">
        <f>COUNTIFS(RawData[Item], B3825,RawData[Quantity],C3825,RawData[Price Per Unit],D3825,RawData[Total Spent],E3825,RawData[Payment Method],F3825,RawData[Location],G3825,RawData[Transaction Date],H3825)</f>
        <v>1</v>
      </c>
      <c r="L3825"/>
    </row>
    <row r="3826" spans="1:12" x14ac:dyDescent="0.3">
      <c r="A3826" t="s">
        <v>3832</v>
      </c>
      <c r="B3826" t="s">
        <v>10069</v>
      </c>
      <c r="C3826">
        <v>1</v>
      </c>
      <c r="D3826">
        <v>3</v>
      </c>
      <c r="E3826">
        <v>3</v>
      </c>
      <c r="F3826" t="s">
        <v>10069</v>
      </c>
      <c r="G3826" t="s">
        <v>10069</v>
      </c>
      <c r="H3826" s="6">
        <v>45145</v>
      </c>
      <c r="I3826">
        <f t="shared" si="118"/>
        <v>0</v>
      </c>
      <c r="J3826" t="str">
        <f t="shared" si="119"/>
        <v>Complete</v>
      </c>
      <c r="K3826">
        <f>COUNTIFS(RawData[Item], B3826,RawData[Quantity],C3826,RawData[Price Per Unit],D3826,RawData[Total Spent],E3826,RawData[Payment Method],F3826,RawData[Location],G3826,RawData[Transaction Date],H3826)</f>
        <v>1</v>
      </c>
      <c r="L3826"/>
    </row>
    <row r="3827" spans="1:12" x14ac:dyDescent="0.3">
      <c r="A3827" t="s">
        <v>3833</v>
      </c>
      <c r="B3827" t="s">
        <v>10012</v>
      </c>
      <c r="C3827">
        <v>3</v>
      </c>
      <c r="D3827">
        <v>4</v>
      </c>
      <c r="E3827">
        <v>12</v>
      </c>
      <c r="F3827" t="s">
        <v>10020</v>
      </c>
      <c r="G3827" t="s">
        <v>10021</v>
      </c>
      <c r="H3827" s="6">
        <v>44957</v>
      </c>
      <c r="I3827">
        <f t="shared" si="118"/>
        <v>0</v>
      </c>
      <c r="J3827" t="str">
        <f t="shared" si="119"/>
        <v>Complete</v>
      </c>
      <c r="K3827">
        <f>COUNTIFS(RawData[Item], B3827,RawData[Quantity],C3827,RawData[Price Per Unit],D3827,RawData[Total Spent],E3827,RawData[Payment Method],F3827,RawData[Location],G3827,RawData[Transaction Date],H3827)</f>
        <v>1</v>
      </c>
      <c r="L3827"/>
    </row>
    <row r="3828" spans="1:12" x14ac:dyDescent="0.3">
      <c r="A3828" t="s">
        <v>3834</v>
      </c>
      <c r="B3828" t="s">
        <v>10017</v>
      </c>
      <c r="C3828">
        <v>1</v>
      </c>
      <c r="D3828">
        <v>1.5</v>
      </c>
      <c r="E3828">
        <v>0</v>
      </c>
      <c r="F3828" t="s">
        <v>10019</v>
      </c>
      <c r="G3828" t="s">
        <v>10069</v>
      </c>
      <c r="H3828" s="6">
        <v>44938</v>
      </c>
      <c r="I3828">
        <f t="shared" si="118"/>
        <v>0</v>
      </c>
      <c r="J3828" t="str">
        <f t="shared" si="119"/>
        <v>Complete</v>
      </c>
      <c r="K3828">
        <f>COUNTIFS(RawData[Item], B3828,RawData[Quantity],C3828,RawData[Price Per Unit],D3828,RawData[Total Spent],E3828,RawData[Payment Method],F3828,RawData[Location],G3828,RawData[Transaction Date],H3828)</f>
        <v>1</v>
      </c>
      <c r="L3828"/>
    </row>
    <row r="3829" spans="1:12" x14ac:dyDescent="0.3">
      <c r="A3829" t="s">
        <v>3835</v>
      </c>
      <c r="B3829" t="s">
        <v>10009</v>
      </c>
      <c r="C3829">
        <v>5</v>
      </c>
      <c r="D3829">
        <v>3</v>
      </c>
      <c r="E3829">
        <v>15</v>
      </c>
      <c r="F3829" t="s">
        <v>10020</v>
      </c>
      <c r="G3829" t="s">
        <v>10021</v>
      </c>
      <c r="H3829" s="6">
        <v>44933</v>
      </c>
      <c r="I3829">
        <f t="shared" si="118"/>
        <v>0</v>
      </c>
      <c r="J3829" t="str">
        <f t="shared" si="119"/>
        <v>Complete</v>
      </c>
      <c r="K3829">
        <f>COUNTIFS(RawData[Item], B3829,RawData[Quantity],C3829,RawData[Price Per Unit],D3829,RawData[Total Spent],E3829,RawData[Payment Method],F3829,RawData[Location],G3829,RawData[Transaction Date],H3829)</f>
        <v>1</v>
      </c>
      <c r="L3829"/>
    </row>
    <row r="3830" spans="1:12" x14ac:dyDescent="0.3">
      <c r="A3830" t="s">
        <v>3836</v>
      </c>
      <c r="B3830" t="s">
        <v>10008</v>
      </c>
      <c r="C3830">
        <v>3</v>
      </c>
      <c r="D3830">
        <v>2</v>
      </c>
      <c r="E3830">
        <v>6</v>
      </c>
      <c r="F3830" t="s">
        <v>10019</v>
      </c>
      <c r="G3830" t="s">
        <v>10069</v>
      </c>
      <c r="H3830" s="6">
        <v>45225</v>
      </c>
      <c r="I3830">
        <f t="shared" si="118"/>
        <v>0</v>
      </c>
      <c r="J3830" t="str">
        <f t="shared" si="119"/>
        <v>Complete</v>
      </c>
      <c r="K3830">
        <f>COUNTIFS(RawData[Item], B3830,RawData[Quantity],C3830,RawData[Price Per Unit],D3830,RawData[Total Spent],E3830,RawData[Payment Method],F3830,RawData[Location],G3830,RawData[Transaction Date],H3830)</f>
        <v>1</v>
      </c>
      <c r="L3830"/>
    </row>
    <row r="3831" spans="1:12" x14ac:dyDescent="0.3">
      <c r="A3831" t="s">
        <v>3837</v>
      </c>
      <c r="B3831" t="s">
        <v>10010</v>
      </c>
      <c r="C3831">
        <v>4</v>
      </c>
      <c r="D3831">
        <v>1</v>
      </c>
      <c r="E3831">
        <v>4</v>
      </c>
      <c r="F3831" t="s">
        <v>10018</v>
      </c>
      <c r="G3831" t="s">
        <v>10102</v>
      </c>
      <c r="H3831" s="6">
        <v>45277</v>
      </c>
      <c r="I3831">
        <f t="shared" si="118"/>
        <v>0</v>
      </c>
      <c r="J3831" t="str">
        <f t="shared" si="119"/>
        <v>Complete</v>
      </c>
      <c r="K3831">
        <f>COUNTIFS(RawData[Item], B3831,RawData[Quantity],C3831,RawData[Price Per Unit],D3831,RawData[Total Spent],E3831,RawData[Payment Method],F3831,RawData[Location],G3831,RawData[Transaction Date],H3831)</f>
        <v>1</v>
      </c>
      <c r="L3831"/>
    </row>
    <row r="3832" spans="1:12" x14ac:dyDescent="0.3">
      <c r="A3832" t="s">
        <v>3838</v>
      </c>
      <c r="B3832" t="s">
        <v>10011</v>
      </c>
      <c r="C3832">
        <v>1</v>
      </c>
      <c r="D3832">
        <v>5</v>
      </c>
      <c r="E3832">
        <v>5</v>
      </c>
      <c r="F3832" t="s">
        <v>10018</v>
      </c>
      <c r="G3832" t="s">
        <v>10102</v>
      </c>
      <c r="H3832" s="6">
        <v>44998</v>
      </c>
      <c r="I3832">
        <f t="shared" si="118"/>
        <v>0</v>
      </c>
      <c r="J3832" t="str">
        <f t="shared" si="119"/>
        <v>Complete</v>
      </c>
      <c r="K3832">
        <f>COUNTIFS(RawData[Item], B3832,RawData[Quantity],C3832,RawData[Price Per Unit],D3832,RawData[Total Spent],E3832,RawData[Payment Method],F3832,RawData[Location],G3832,RawData[Transaction Date],H3832)</f>
        <v>1</v>
      </c>
      <c r="L3832"/>
    </row>
    <row r="3833" spans="1:12" x14ac:dyDescent="0.3">
      <c r="A3833" t="s">
        <v>3839</v>
      </c>
      <c r="B3833" t="s">
        <v>10013</v>
      </c>
      <c r="C3833">
        <v>3</v>
      </c>
      <c r="D3833">
        <v>1</v>
      </c>
      <c r="E3833">
        <v>3</v>
      </c>
      <c r="F3833" t="s">
        <v>10069</v>
      </c>
      <c r="G3833" t="s">
        <v>10021</v>
      </c>
      <c r="H3833" s="6">
        <v>45266</v>
      </c>
      <c r="I3833">
        <f t="shared" si="118"/>
        <v>1</v>
      </c>
      <c r="J3833" t="str">
        <f t="shared" si="119"/>
        <v>Complete</v>
      </c>
      <c r="K3833">
        <f>COUNTIFS(RawData[Item], B3833,RawData[Quantity],C3833,RawData[Price Per Unit],D3833,RawData[Total Spent],E3833,RawData[Payment Method],F3833,RawData[Location],G3833,RawData[Transaction Date],H3833)</f>
        <v>1</v>
      </c>
      <c r="L3833"/>
    </row>
    <row r="3834" spans="1:12" x14ac:dyDescent="0.3">
      <c r="A3834" t="s">
        <v>3840</v>
      </c>
      <c r="B3834" t="s">
        <v>10013</v>
      </c>
      <c r="C3834">
        <v>1</v>
      </c>
      <c r="D3834">
        <v>1.5</v>
      </c>
      <c r="E3834">
        <v>1.5</v>
      </c>
      <c r="F3834" t="s">
        <v>10018</v>
      </c>
      <c r="G3834" t="s">
        <v>10103</v>
      </c>
      <c r="H3834" s="6">
        <v>44941</v>
      </c>
      <c r="I3834">
        <f t="shared" si="118"/>
        <v>2</v>
      </c>
      <c r="J3834" t="str">
        <f t="shared" si="119"/>
        <v>Complete</v>
      </c>
      <c r="K3834">
        <f>COUNTIFS(RawData[Item], B3834,RawData[Quantity],C3834,RawData[Price Per Unit],D3834,RawData[Total Spent],E3834,RawData[Payment Method],F3834,RawData[Location],G3834,RawData[Transaction Date],H3834)</f>
        <v>1</v>
      </c>
      <c r="L3834"/>
    </row>
    <row r="3835" spans="1:12" x14ac:dyDescent="0.3">
      <c r="A3835" t="s">
        <v>3841</v>
      </c>
      <c r="B3835" t="s">
        <v>10015</v>
      </c>
      <c r="C3835">
        <v>2</v>
      </c>
      <c r="D3835">
        <v>1</v>
      </c>
      <c r="E3835">
        <v>2</v>
      </c>
      <c r="F3835" t="s">
        <v>10019</v>
      </c>
      <c r="G3835" t="s">
        <v>10021</v>
      </c>
      <c r="H3835" s="6">
        <v>44986</v>
      </c>
      <c r="I3835">
        <f t="shared" si="118"/>
        <v>1</v>
      </c>
      <c r="J3835" t="str">
        <f t="shared" si="119"/>
        <v>Complete</v>
      </c>
      <c r="K3835">
        <f>COUNTIFS(RawData[Item], B3835,RawData[Quantity],C3835,RawData[Price Per Unit],D3835,RawData[Total Spent],E3835,RawData[Payment Method],F3835,RawData[Location],G3835,RawData[Transaction Date],H3835)</f>
        <v>1</v>
      </c>
      <c r="L3835"/>
    </row>
    <row r="3836" spans="1:12" x14ac:dyDescent="0.3">
      <c r="A3836" t="s">
        <v>3842</v>
      </c>
      <c r="B3836" t="s">
        <v>10008</v>
      </c>
      <c r="C3836">
        <v>1</v>
      </c>
      <c r="D3836">
        <v>2</v>
      </c>
      <c r="E3836">
        <v>2</v>
      </c>
      <c r="F3836" t="s">
        <v>10103</v>
      </c>
      <c r="G3836" t="s">
        <v>10069</v>
      </c>
      <c r="H3836" s="6">
        <v>45129</v>
      </c>
      <c r="I3836">
        <f t="shared" si="118"/>
        <v>1</v>
      </c>
      <c r="J3836" t="str">
        <f t="shared" si="119"/>
        <v>Complete</v>
      </c>
      <c r="K3836">
        <f>COUNTIFS(RawData[Item], B3836,RawData[Quantity],C3836,RawData[Price Per Unit],D3836,RawData[Total Spent],E3836,RawData[Payment Method],F3836,RawData[Location],G3836,RawData[Transaction Date],H3836)</f>
        <v>1</v>
      </c>
      <c r="L3836"/>
    </row>
    <row r="3837" spans="1:12" x14ac:dyDescent="0.3">
      <c r="A3837" t="s">
        <v>3843</v>
      </c>
      <c r="B3837" t="s">
        <v>10009</v>
      </c>
      <c r="C3837">
        <v>4</v>
      </c>
      <c r="D3837">
        <v>3</v>
      </c>
      <c r="E3837">
        <v>12</v>
      </c>
      <c r="F3837" t="s">
        <v>10069</v>
      </c>
      <c r="G3837" t="s">
        <v>10103</v>
      </c>
      <c r="H3837" s="6">
        <v>44992</v>
      </c>
      <c r="I3837">
        <f t="shared" si="118"/>
        <v>1</v>
      </c>
      <c r="J3837" t="str">
        <f t="shared" si="119"/>
        <v>Complete</v>
      </c>
      <c r="K3837">
        <f>COUNTIFS(RawData[Item], B3837,RawData[Quantity],C3837,RawData[Price Per Unit],D3837,RawData[Total Spent],E3837,RawData[Payment Method],F3837,RawData[Location],G3837,RawData[Transaction Date],H3837)</f>
        <v>1</v>
      </c>
      <c r="L3837"/>
    </row>
    <row r="3838" spans="1:12" x14ac:dyDescent="0.3">
      <c r="A3838" t="s">
        <v>3844</v>
      </c>
      <c r="B3838" t="s">
        <v>10011</v>
      </c>
      <c r="C3838">
        <v>2</v>
      </c>
      <c r="D3838">
        <v>5</v>
      </c>
      <c r="E3838">
        <v>10</v>
      </c>
      <c r="F3838" t="s">
        <v>10019</v>
      </c>
      <c r="G3838" t="s">
        <v>10069</v>
      </c>
      <c r="H3838" s="6">
        <v>44997</v>
      </c>
      <c r="I3838">
        <f t="shared" si="118"/>
        <v>0</v>
      </c>
      <c r="J3838" t="str">
        <f t="shared" si="119"/>
        <v>Complete</v>
      </c>
      <c r="K3838">
        <f>COUNTIFS(RawData[Item], B3838,RawData[Quantity],C3838,RawData[Price Per Unit],D3838,RawData[Total Spent],E3838,RawData[Payment Method],F3838,RawData[Location],G3838,RawData[Transaction Date],H3838)</f>
        <v>1</v>
      </c>
      <c r="L3838"/>
    </row>
    <row r="3839" spans="1:12" x14ac:dyDescent="0.3">
      <c r="A3839" t="s">
        <v>3845</v>
      </c>
      <c r="B3839" t="s">
        <v>10011</v>
      </c>
      <c r="C3839">
        <v>2</v>
      </c>
      <c r="D3839" t="s">
        <v>10015</v>
      </c>
      <c r="E3839">
        <v>10</v>
      </c>
      <c r="F3839" t="s">
        <v>10019</v>
      </c>
      <c r="G3839" t="s">
        <v>10069</v>
      </c>
      <c r="H3839" s="6">
        <v>45069</v>
      </c>
      <c r="I3839">
        <f t="shared" si="118"/>
        <v>1</v>
      </c>
      <c r="J3839" t="str">
        <f t="shared" si="119"/>
        <v>Complete</v>
      </c>
      <c r="K3839">
        <f>COUNTIFS(RawData[Item], B3839,RawData[Quantity],C3839,RawData[Price Per Unit],D3839,RawData[Total Spent],E3839,RawData[Payment Method],F3839,RawData[Location],G3839,RawData[Transaction Date],H3839)</f>
        <v>1</v>
      </c>
      <c r="L3839"/>
    </row>
    <row r="3840" spans="1:12" x14ac:dyDescent="0.3">
      <c r="A3840" t="s">
        <v>3846</v>
      </c>
      <c r="B3840" t="s">
        <v>10009</v>
      </c>
      <c r="C3840" t="s">
        <v>10015</v>
      </c>
      <c r="D3840">
        <v>3</v>
      </c>
      <c r="E3840">
        <v>3</v>
      </c>
      <c r="F3840" t="s">
        <v>10069</v>
      </c>
      <c r="G3840" t="s">
        <v>10102</v>
      </c>
      <c r="H3840" s="6">
        <v>45285</v>
      </c>
      <c r="I3840">
        <f t="shared" si="118"/>
        <v>1</v>
      </c>
      <c r="J3840" t="str">
        <f t="shared" si="119"/>
        <v>Complete</v>
      </c>
      <c r="K3840">
        <f>COUNTIFS(RawData[Item], B3840,RawData[Quantity],C3840,RawData[Price Per Unit],D3840,RawData[Total Spent],E3840,RawData[Payment Method],F3840,RawData[Location],G3840,RawData[Transaction Date],H3840)</f>
        <v>1</v>
      </c>
      <c r="L3840"/>
    </row>
    <row r="3841" spans="1:12" x14ac:dyDescent="0.3">
      <c r="A3841" t="s">
        <v>3847</v>
      </c>
      <c r="B3841" t="s">
        <v>10010</v>
      </c>
      <c r="C3841">
        <v>4</v>
      </c>
      <c r="D3841">
        <v>1</v>
      </c>
      <c r="E3841">
        <v>4</v>
      </c>
      <c r="F3841" t="s">
        <v>10069</v>
      </c>
      <c r="G3841" t="s">
        <v>10021</v>
      </c>
      <c r="H3841" s="6">
        <v>44993</v>
      </c>
      <c r="I3841">
        <f t="shared" si="118"/>
        <v>0</v>
      </c>
      <c r="J3841" t="str">
        <f t="shared" si="119"/>
        <v>Complete</v>
      </c>
      <c r="K3841">
        <f>COUNTIFS(RawData[Item], B3841,RawData[Quantity],C3841,RawData[Price Per Unit],D3841,RawData[Total Spent],E3841,RawData[Payment Method],F3841,RawData[Location],G3841,RawData[Transaction Date],H3841)</f>
        <v>1</v>
      </c>
      <c r="L3841"/>
    </row>
    <row r="3842" spans="1:12" x14ac:dyDescent="0.3">
      <c r="A3842" t="s">
        <v>3848</v>
      </c>
      <c r="B3842" t="s">
        <v>10009</v>
      </c>
      <c r="C3842">
        <v>4</v>
      </c>
      <c r="D3842">
        <v>3</v>
      </c>
      <c r="E3842">
        <v>12</v>
      </c>
      <c r="F3842" t="s">
        <v>10019</v>
      </c>
      <c r="G3842" t="s">
        <v>10021</v>
      </c>
      <c r="H3842" s="6">
        <v>44963</v>
      </c>
      <c r="I3842">
        <f t="shared" ref="I3842:I3905" si="120">(B3842="Unknown")+(B3842="Error")+(C3842="Unknown")+(C3842="Error")+(D3842="Unknown")+(D3842="Error")+(E3842="Unknown")+(E3842="Error")+(F3842="Unknown")+(F3842="Error")+(G3842="Unknown")+(G3842="Error")+(H3842="No Date")</f>
        <v>0</v>
      </c>
      <c r="J3842" t="str">
        <f t="shared" ref="J3842:J3905" si="121">IF((H3842="No Date"),"Incomplete","Complete")</f>
        <v>Complete</v>
      </c>
      <c r="K3842">
        <f>COUNTIFS(RawData[Item], B3842,RawData[Quantity],C3842,RawData[Price Per Unit],D3842,RawData[Total Spent],E3842,RawData[Payment Method],F3842,RawData[Location],G3842,RawData[Transaction Date],H3842)</f>
        <v>1</v>
      </c>
      <c r="L3842"/>
    </row>
    <row r="3843" spans="1:12" x14ac:dyDescent="0.3">
      <c r="A3843" t="s">
        <v>3849</v>
      </c>
      <c r="B3843" t="s">
        <v>10012</v>
      </c>
      <c r="C3843">
        <v>5</v>
      </c>
      <c r="D3843">
        <v>4</v>
      </c>
      <c r="E3843">
        <v>20</v>
      </c>
      <c r="F3843" t="s">
        <v>10020</v>
      </c>
      <c r="G3843" t="s">
        <v>10021</v>
      </c>
      <c r="H3843" s="6">
        <v>45084</v>
      </c>
      <c r="I3843">
        <f t="shared" si="120"/>
        <v>0</v>
      </c>
      <c r="J3843" t="str">
        <f t="shared" si="121"/>
        <v>Complete</v>
      </c>
      <c r="K3843">
        <f>COUNTIFS(RawData[Item], B3843,RawData[Quantity],C3843,RawData[Price Per Unit],D3843,RawData[Total Spent],E3843,RawData[Payment Method],F3843,RawData[Location],G3843,RawData[Transaction Date],H3843)</f>
        <v>1</v>
      </c>
      <c r="L3843"/>
    </row>
    <row r="3844" spans="1:12" x14ac:dyDescent="0.3">
      <c r="A3844" t="s">
        <v>3850</v>
      </c>
      <c r="B3844" t="s">
        <v>10011</v>
      </c>
      <c r="C3844">
        <v>4</v>
      </c>
      <c r="D3844">
        <v>0</v>
      </c>
      <c r="E3844">
        <v>20</v>
      </c>
      <c r="F3844" t="s">
        <v>10020</v>
      </c>
      <c r="G3844" t="s">
        <v>10069</v>
      </c>
      <c r="H3844" s="6">
        <v>44957</v>
      </c>
      <c r="I3844">
        <f t="shared" si="120"/>
        <v>0</v>
      </c>
      <c r="J3844" t="str">
        <f t="shared" si="121"/>
        <v>Complete</v>
      </c>
      <c r="K3844">
        <f>COUNTIFS(RawData[Item], B3844,RawData[Quantity],C3844,RawData[Price Per Unit],D3844,RawData[Total Spent],E3844,RawData[Payment Method],F3844,RawData[Location],G3844,RawData[Transaction Date],H3844)</f>
        <v>1</v>
      </c>
      <c r="L3844"/>
    </row>
    <row r="3845" spans="1:12" x14ac:dyDescent="0.3">
      <c r="A3845" t="s">
        <v>3851</v>
      </c>
      <c r="B3845" t="s">
        <v>10008</v>
      </c>
      <c r="C3845">
        <v>1</v>
      </c>
      <c r="D3845">
        <v>2</v>
      </c>
      <c r="E3845">
        <v>2</v>
      </c>
      <c r="F3845" t="s">
        <v>10020</v>
      </c>
      <c r="G3845" t="s">
        <v>10102</v>
      </c>
      <c r="H3845" s="6">
        <v>45022</v>
      </c>
      <c r="I3845">
        <f t="shared" si="120"/>
        <v>0</v>
      </c>
      <c r="J3845" t="str">
        <f t="shared" si="121"/>
        <v>Complete</v>
      </c>
      <c r="K3845">
        <f>COUNTIFS(RawData[Item], B3845,RawData[Quantity],C3845,RawData[Price Per Unit],D3845,RawData[Total Spent],E3845,RawData[Payment Method],F3845,RawData[Location],G3845,RawData[Transaction Date],H3845)</f>
        <v>1</v>
      </c>
      <c r="L3845"/>
    </row>
    <row r="3846" spans="1:12" x14ac:dyDescent="0.3">
      <c r="A3846" t="s">
        <v>3852</v>
      </c>
      <c r="B3846" t="s">
        <v>10011</v>
      </c>
      <c r="C3846">
        <v>2</v>
      </c>
      <c r="D3846">
        <v>5</v>
      </c>
      <c r="E3846">
        <v>10</v>
      </c>
      <c r="F3846" t="s">
        <v>10020</v>
      </c>
      <c r="G3846" t="s">
        <v>10069</v>
      </c>
      <c r="H3846" s="6">
        <v>45066</v>
      </c>
      <c r="I3846">
        <f t="shared" si="120"/>
        <v>0</v>
      </c>
      <c r="J3846" t="str">
        <f t="shared" si="121"/>
        <v>Complete</v>
      </c>
      <c r="K3846">
        <f>COUNTIFS(RawData[Item], B3846,RawData[Quantity],C3846,RawData[Price Per Unit],D3846,RawData[Total Spent],E3846,RawData[Payment Method],F3846,RawData[Location],G3846,RawData[Transaction Date],H3846)</f>
        <v>1</v>
      </c>
      <c r="L3846"/>
    </row>
    <row r="3847" spans="1:12" x14ac:dyDescent="0.3">
      <c r="A3847" t="s">
        <v>3853</v>
      </c>
      <c r="B3847" t="s">
        <v>10014</v>
      </c>
      <c r="C3847">
        <v>5</v>
      </c>
      <c r="D3847">
        <v>4</v>
      </c>
      <c r="E3847">
        <v>20</v>
      </c>
      <c r="F3847" t="s">
        <v>10018</v>
      </c>
      <c r="G3847" t="s">
        <v>10102</v>
      </c>
      <c r="H3847" s="6">
        <v>44977</v>
      </c>
      <c r="I3847">
        <f t="shared" si="120"/>
        <v>0</v>
      </c>
      <c r="J3847" t="str">
        <f t="shared" si="121"/>
        <v>Complete</v>
      </c>
      <c r="K3847">
        <f>COUNTIFS(RawData[Item], B3847,RawData[Quantity],C3847,RawData[Price Per Unit],D3847,RawData[Total Spent],E3847,RawData[Payment Method],F3847,RawData[Location],G3847,RawData[Transaction Date],H3847)</f>
        <v>1</v>
      </c>
      <c r="L3847"/>
    </row>
    <row r="3848" spans="1:12" x14ac:dyDescent="0.3">
      <c r="A3848" t="s">
        <v>3854</v>
      </c>
      <c r="B3848" t="s">
        <v>10017</v>
      </c>
      <c r="C3848">
        <v>2</v>
      </c>
      <c r="D3848">
        <v>1.5</v>
      </c>
      <c r="E3848">
        <v>3</v>
      </c>
      <c r="F3848" t="s">
        <v>10020</v>
      </c>
      <c r="G3848" t="s">
        <v>10021</v>
      </c>
      <c r="H3848" s="6">
        <v>45244</v>
      </c>
      <c r="I3848">
        <f t="shared" si="120"/>
        <v>0</v>
      </c>
      <c r="J3848" t="str">
        <f t="shared" si="121"/>
        <v>Complete</v>
      </c>
      <c r="K3848">
        <f>COUNTIFS(RawData[Item], B3848,RawData[Quantity],C3848,RawData[Price Per Unit],D3848,RawData[Total Spent],E3848,RawData[Payment Method],F3848,RawData[Location],G3848,RawData[Transaction Date],H3848)</f>
        <v>1</v>
      </c>
      <c r="L3848"/>
    </row>
    <row r="3849" spans="1:12" x14ac:dyDescent="0.3">
      <c r="A3849" t="s">
        <v>3855</v>
      </c>
      <c r="B3849" t="s">
        <v>10013</v>
      </c>
      <c r="C3849">
        <v>5</v>
      </c>
      <c r="D3849">
        <v>2</v>
      </c>
      <c r="E3849">
        <v>10</v>
      </c>
      <c r="F3849" t="s">
        <v>10018</v>
      </c>
      <c r="G3849" t="s">
        <v>10069</v>
      </c>
      <c r="H3849" s="6">
        <v>44995</v>
      </c>
      <c r="I3849">
        <f t="shared" si="120"/>
        <v>1</v>
      </c>
      <c r="J3849" t="str">
        <f t="shared" si="121"/>
        <v>Complete</v>
      </c>
      <c r="K3849">
        <f>COUNTIFS(RawData[Item], B3849,RawData[Quantity],C3849,RawData[Price Per Unit],D3849,RawData[Total Spent],E3849,RawData[Payment Method],F3849,RawData[Location],G3849,RawData[Transaction Date],H3849)</f>
        <v>1</v>
      </c>
      <c r="L3849"/>
    </row>
    <row r="3850" spans="1:12" x14ac:dyDescent="0.3">
      <c r="A3850" t="s">
        <v>3856</v>
      </c>
      <c r="B3850" t="s">
        <v>10015</v>
      </c>
      <c r="C3850">
        <v>0</v>
      </c>
      <c r="D3850">
        <v>1.5</v>
      </c>
      <c r="E3850">
        <v>4.5</v>
      </c>
      <c r="F3850" t="s">
        <v>10018</v>
      </c>
      <c r="G3850" t="s">
        <v>10102</v>
      </c>
      <c r="H3850" s="6">
        <v>45007</v>
      </c>
      <c r="I3850">
        <f t="shared" si="120"/>
        <v>1</v>
      </c>
      <c r="J3850" t="str">
        <f t="shared" si="121"/>
        <v>Complete</v>
      </c>
      <c r="K3850">
        <f>COUNTIFS(RawData[Item], B3850,RawData[Quantity],C3850,RawData[Price Per Unit],D3850,RawData[Total Spent],E3850,RawData[Payment Method],F3850,RawData[Location],G3850,RawData[Transaction Date],H3850)</f>
        <v>1</v>
      </c>
      <c r="L3850"/>
    </row>
    <row r="3851" spans="1:12" x14ac:dyDescent="0.3">
      <c r="A3851" t="s">
        <v>3857</v>
      </c>
      <c r="B3851" t="s">
        <v>10016</v>
      </c>
      <c r="C3851">
        <v>5</v>
      </c>
      <c r="D3851">
        <v>3</v>
      </c>
      <c r="E3851">
        <v>15</v>
      </c>
      <c r="F3851" t="s">
        <v>10018</v>
      </c>
      <c r="G3851" t="s">
        <v>10069</v>
      </c>
      <c r="H3851" s="6">
        <v>45121</v>
      </c>
      <c r="I3851">
        <f t="shared" si="120"/>
        <v>0</v>
      </c>
      <c r="J3851" t="str">
        <f t="shared" si="121"/>
        <v>Complete</v>
      </c>
      <c r="K3851">
        <f>COUNTIFS(RawData[Item], B3851,RawData[Quantity],C3851,RawData[Price Per Unit],D3851,RawData[Total Spent],E3851,RawData[Payment Method],F3851,RawData[Location],G3851,RawData[Transaction Date],H3851)</f>
        <v>1</v>
      </c>
      <c r="L3851"/>
    </row>
    <row r="3852" spans="1:12" x14ac:dyDescent="0.3">
      <c r="A3852" t="s">
        <v>3858</v>
      </c>
      <c r="B3852" t="s">
        <v>10009</v>
      </c>
      <c r="C3852">
        <v>2</v>
      </c>
      <c r="D3852">
        <v>0</v>
      </c>
      <c r="E3852">
        <v>6</v>
      </c>
      <c r="F3852" t="s">
        <v>10018</v>
      </c>
      <c r="G3852" t="s">
        <v>10069</v>
      </c>
      <c r="H3852" s="6">
        <v>45104</v>
      </c>
      <c r="I3852">
        <f t="shared" si="120"/>
        <v>0</v>
      </c>
      <c r="J3852" t="str">
        <f t="shared" si="121"/>
        <v>Complete</v>
      </c>
      <c r="K3852">
        <f>COUNTIFS(RawData[Item], B3852,RawData[Quantity],C3852,RawData[Price Per Unit],D3852,RawData[Total Spent],E3852,RawData[Payment Method],F3852,RawData[Location],G3852,RawData[Transaction Date],H3852)</f>
        <v>1</v>
      </c>
      <c r="L3852"/>
    </row>
    <row r="3853" spans="1:12" x14ac:dyDescent="0.3">
      <c r="A3853" t="s">
        <v>3859</v>
      </c>
      <c r="B3853" t="s">
        <v>10012</v>
      </c>
      <c r="C3853">
        <v>4</v>
      </c>
      <c r="D3853">
        <v>4</v>
      </c>
      <c r="E3853">
        <v>16</v>
      </c>
      <c r="F3853" t="s">
        <v>10069</v>
      </c>
      <c r="G3853" t="s">
        <v>10021</v>
      </c>
      <c r="H3853" s="6">
        <v>45029</v>
      </c>
      <c r="I3853">
        <f t="shared" si="120"/>
        <v>0</v>
      </c>
      <c r="J3853" t="str">
        <f t="shared" si="121"/>
        <v>Complete</v>
      </c>
      <c r="K3853">
        <f>COUNTIFS(RawData[Item], B3853,RawData[Quantity],C3853,RawData[Price Per Unit],D3853,RawData[Total Spent],E3853,RawData[Payment Method],F3853,RawData[Location],G3853,RawData[Transaction Date],H3853)</f>
        <v>1</v>
      </c>
      <c r="L3853"/>
    </row>
    <row r="3854" spans="1:12" x14ac:dyDescent="0.3">
      <c r="A3854" t="s">
        <v>3860</v>
      </c>
      <c r="B3854" t="s">
        <v>10017</v>
      </c>
      <c r="C3854">
        <v>3</v>
      </c>
      <c r="D3854">
        <v>1.5</v>
      </c>
      <c r="E3854">
        <v>4.5</v>
      </c>
      <c r="F3854" t="s">
        <v>10069</v>
      </c>
      <c r="G3854" t="s">
        <v>10069</v>
      </c>
      <c r="H3854" s="6">
        <v>45216</v>
      </c>
      <c r="I3854">
        <f t="shared" si="120"/>
        <v>0</v>
      </c>
      <c r="J3854" t="str">
        <f t="shared" si="121"/>
        <v>Complete</v>
      </c>
      <c r="K3854">
        <f>COUNTIFS(RawData[Item], B3854,RawData[Quantity],C3854,RawData[Price Per Unit],D3854,RawData[Total Spent],E3854,RawData[Payment Method],F3854,RawData[Location],G3854,RawData[Transaction Date],H3854)</f>
        <v>1</v>
      </c>
      <c r="L3854"/>
    </row>
    <row r="3855" spans="1:12" x14ac:dyDescent="0.3">
      <c r="A3855" t="s">
        <v>3861</v>
      </c>
      <c r="B3855" t="s">
        <v>10008</v>
      </c>
      <c r="C3855">
        <v>3</v>
      </c>
      <c r="D3855">
        <v>2</v>
      </c>
      <c r="E3855">
        <v>6</v>
      </c>
      <c r="F3855" t="s">
        <v>10103</v>
      </c>
      <c r="G3855" t="s">
        <v>10021</v>
      </c>
      <c r="H3855" s="6">
        <v>44979</v>
      </c>
      <c r="I3855">
        <f t="shared" si="120"/>
        <v>1</v>
      </c>
      <c r="J3855" t="str">
        <f t="shared" si="121"/>
        <v>Complete</v>
      </c>
      <c r="K3855">
        <f>COUNTIFS(RawData[Item], B3855,RawData[Quantity],C3855,RawData[Price Per Unit],D3855,RawData[Total Spent],E3855,RawData[Payment Method],F3855,RawData[Location],G3855,RawData[Transaction Date],H3855)</f>
        <v>1</v>
      </c>
      <c r="L3855"/>
    </row>
    <row r="3856" spans="1:12" x14ac:dyDescent="0.3">
      <c r="A3856" t="s">
        <v>3862</v>
      </c>
      <c r="B3856" t="s">
        <v>10016</v>
      </c>
      <c r="C3856">
        <v>2</v>
      </c>
      <c r="D3856">
        <v>3</v>
      </c>
      <c r="E3856">
        <v>6</v>
      </c>
      <c r="F3856" t="s">
        <v>10020</v>
      </c>
      <c r="G3856" t="s">
        <v>10069</v>
      </c>
      <c r="H3856" s="6">
        <v>45190</v>
      </c>
      <c r="I3856">
        <f t="shared" si="120"/>
        <v>0</v>
      </c>
      <c r="J3856" t="str">
        <f t="shared" si="121"/>
        <v>Complete</v>
      </c>
      <c r="K3856">
        <f>COUNTIFS(RawData[Item], B3856,RawData[Quantity],C3856,RawData[Price Per Unit],D3856,RawData[Total Spent],E3856,RawData[Payment Method],F3856,RawData[Location],G3856,RawData[Transaction Date],H3856)</f>
        <v>1</v>
      </c>
      <c r="L3856"/>
    </row>
    <row r="3857" spans="1:12" x14ac:dyDescent="0.3">
      <c r="A3857" t="s">
        <v>3863</v>
      </c>
      <c r="B3857" t="s">
        <v>10016</v>
      </c>
      <c r="C3857">
        <v>4</v>
      </c>
      <c r="D3857">
        <v>3</v>
      </c>
      <c r="E3857">
        <v>12</v>
      </c>
      <c r="F3857" t="s">
        <v>10020</v>
      </c>
      <c r="G3857" t="s">
        <v>10021</v>
      </c>
      <c r="H3857" s="6">
        <v>44968</v>
      </c>
      <c r="I3857">
        <f t="shared" si="120"/>
        <v>0</v>
      </c>
      <c r="J3857" t="str">
        <f t="shared" si="121"/>
        <v>Complete</v>
      </c>
      <c r="K3857">
        <f>COUNTIFS(RawData[Item], B3857,RawData[Quantity],C3857,RawData[Price Per Unit],D3857,RawData[Total Spent],E3857,RawData[Payment Method],F3857,RawData[Location],G3857,RawData[Transaction Date],H3857)</f>
        <v>1</v>
      </c>
      <c r="L3857"/>
    </row>
    <row r="3858" spans="1:12" x14ac:dyDescent="0.3">
      <c r="A3858" t="s">
        <v>3864</v>
      </c>
      <c r="B3858" t="s">
        <v>10016</v>
      </c>
      <c r="C3858">
        <v>2</v>
      </c>
      <c r="D3858">
        <v>3</v>
      </c>
      <c r="E3858">
        <v>6</v>
      </c>
      <c r="F3858" t="s">
        <v>10103</v>
      </c>
      <c r="G3858" t="s">
        <v>10102</v>
      </c>
      <c r="H3858" s="6">
        <v>45207</v>
      </c>
      <c r="I3858">
        <f t="shared" si="120"/>
        <v>1</v>
      </c>
      <c r="J3858" t="str">
        <f t="shared" si="121"/>
        <v>Complete</v>
      </c>
      <c r="K3858">
        <f>COUNTIFS(RawData[Item], B3858,RawData[Quantity],C3858,RawData[Price Per Unit],D3858,RawData[Total Spent],E3858,RawData[Payment Method],F3858,RawData[Location],G3858,RawData[Transaction Date],H3858)</f>
        <v>1</v>
      </c>
      <c r="L3858"/>
    </row>
    <row r="3859" spans="1:12" x14ac:dyDescent="0.3">
      <c r="A3859" t="s">
        <v>3865</v>
      </c>
      <c r="B3859" t="s">
        <v>10016</v>
      </c>
      <c r="C3859">
        <v>5</v>
      </c>
      <c r="D3859">
        <v>3</v>
      </c>
      <c r="E3859">
        <v>15</v>
      </c>
      <c r="F3859" t="s">
        <v>10019</v>
      </c>
      <c r="G3859" t="s">
        <v>10069</v>
      </c>
      <c r="H3859" s="6">
        <v>44945</v>
      </c>
      <c r="I3859">
        <f t="shared" si="120"/>
        <v>0</v>
      </c>
      <c r="J3859" t="str">
        <f t="shared" si="121"/>
        <v>Complete</v>
      </c>
      <c r="K3859">
        <f>COUNTIFS(RawData[Item], B3859,RawData[Quantity],C3859,RawData[Price Per Unit],D3859,RawData[Total Spent],E3859,RawData[Payment Method],F3859,RawData[Location],G3859,RawData[Transaction Date],H3859)</f>
        <v>1</v>
      </c>
      <c r="L3859"/>
    </row>
    <row r="3860" spans="1:12" x14ac:dyDescent="0.3">
      <c r="A3860" t="s">
        <v>3866</v>
      </c>
      <c r="B3860" t="s">
        <v>10009</v>
      </c>
      <c r="C3860">
        <v>4</v>
      </c>
      <c r="D3860">
        <v>3</v>
      </c>
      <c r="E3860">
        <v>12</v>
      </c>
      <c r="F3860" t="s">
        <v>10018</v>
      </c>
      <c r="G3860" t="s">
        <v>10021</v>
      </c>
      <c r="H3860" s="6">
        <v>45221</v>
      </c>
      <c r="I3860">
        <f t="shared" si="120"/>
        <v>0</v>
      </c>
      <c r="J3860" t="str">
        <f t="shared" si="121"/>
        <v>Complete</v>
      </c>
      <c r="K3860">
        <f>COUNTIFS(RawData[Item], B3860,RawData[Quantity],C3860,RawData[Price Per Unit],D3860,RawData[Total Spent],E3860,RawData[Payment Method],F3860,RawData[Location],G3860,RawData[Transaction Date],H3860)</f>
        <v>1</v>
      </c>
      <c r="L3860"/>
    </row>
    <row r="3861" spans="1:12" x14ac:dyDescent="0.3">
      <c r="A3861" t="s">
        <v>3867</v>
      </c>
      <c r="B3861" t="s">
        <v>10009</v>
      </c>
      <c r="C3861">
        <v>2</v>
      </c>
      <c r="D3861">
        <v>3</v>
      </c>
      <c r="E3861">
        <v>6</v>
      </c>
      <c r="F3861" t="s">
        <v>10018</v>
      </c>
      <c r="G3861" t="s">
        <v>10069</v>
      </c>
      <c r="H3861" s="6">
        <v>45210</v>
      </c>
      <c r="I3861">
        <f t="shared" si="120"/>
        <v>0</v>
      </c>
      <c r="J3861" t="str">
        <f t="shared" si="121"/>
        <v>Complete</v>
      </c>
      <c r="K3861">
        <f>COUNTIFS(RawData[Item], B3861,RawData[Quantity],C3861,RawData[Price Per Unit],D3861,RawData[Total Spent],E3861,RawData[Payment Method],F3861,RawData[Location],G3861,RawData[Transaction Date],H3861)</f>
        <v>1</v>
      </c>
      <c r="L3861"/>
    </row>
    <row r="3862" spans="1:12" x14ac:dyDescent="0.3">
      <c r="A3862" t="s">
        <v>3868</v>
      </c>
      <c r="B3862" t="s">
        <v>10010</v>
      </c>
      <c r="C3862">
        <v>1</v>
      </c>
      <c r="D3862">
        <v>1</v>
      </c>
      <c r="E3862">
        <v>1</v>
      </c>
      <c r="F3862" t="s">
        <v>10020</v>
      </c>
      <c r="G3862" t="s">
        <v>10021</v>
      </c>
      <c r="H3862" s="6">
        <v>45170</v>
      </c>
      <c r="I3862">
        <f t="shared" si="120"/>
        <v>0</v>
      </c>
      <c r="J3862" t="str">
        <f t="shared" si="121"/>
        <v>Complete</v>
      </c>
      <c r="K3862">
        <f>COUNTIFS(RawData[Item], B3862,RawData[Quantity],C3862,RawData[Price Per Unit],D3862,RawData[Total Spent],E3862,RawData[Payment Method],F3862,RawData[Location],G3862,RawData[Transaction Date],H3862)</f>
        <v>1</v>
      </c>
      <c r="L3862"/>
    </row>
    <row r="3863" spans="1:12" x14ac:dyDescent="0.3">
      <c r="A3863" t="s">
        <v>3869</v>
      </c>
      <c r="B3863" t="s">
        <v>10009</v>
      </c>
      <c r="C3863">
        <v>1</v>
      </c>
      <c r="D3863">
        <v>3</v>
      </c>
      <c r="E3863">
        <v>3</v>
      </c>
      <c r="F3863" t="s">
        <v>10019</v>
      </c>
      <c r="G3863" t="s">
        <v>10102</v>
      </c>
      <c r="H3863" s="6">
        <v>45185</v>
      </c>
      <c r="I3863">
        <f t="shared" si="120"/>
        <v>0</v>
      </c>
      <c r="J3863" t="str">
        <f t="shared" si="121"/>
        <v>Complete</v>
      </c>
      <c r="K3863">
        <f>COUNTIFS(RawData[Item], B3863,RawData[Quantity],C3863,RawData[Price Per Unit],D3863,RawData[Total Spent],E3863,RawData[Payment Method],F3863,RawData[Location],G3863,RawData[Transaction Date],H3863)</f>
        <v>1</v>
      </c>
      <c r="L3863"/>
    </row>
    <row r="3864" spans="1:12" x14ac:dyDescent="0.3">
      <c r="A3864" t="s">
        <v>3870</v>
      </c>
      <c r="B3864" t="s">
        <v>10009</v>
      </c>
      <c r="C3864">
        <v>1</v>
      </c>
      <c r="D3864">
        <v>3</v>
      </c>
      <c r="E3864">
        <v>3</v>
      </c>
      <c r="F3864" t="s">
        <v>10019</v>
      </c>
      <c r="G3864" t="s">
        <v>10021</v>
      </c>
      <c r="H3864" s="6">
        <v>45233</v>
      </c>
      <c r="I3864">
        <f t="shared" si="120"/>
        <v>0</v>
      </c>
      <c r="J3864" t="str">
        <f t="shared" si="121"/>
        <v>Complete</v>
      </c>
      <c r="K3864">
        <f>COUNTIFS(RawData[Item], B3864,RawData[Quantity],C3864,RawData[Price Per Unit],D3864,RawData[Total Spent],E3864,RawData[Payment Method],F3864,RawData[Location],G3864,RawData[Transaction Date],H3864)</f>
        <v>1</v>
      </c>
      <c r="L3864"/>
    </row>
    <row r="3865" spans="1:12" x14ac:dyDescent="0.3">
      <c r="A3865" t="s">
        <v>3871</v>
      </c>
      <c r="B3865" t="s">
        <v>10008</v>
      </c>
      <c r="C3865">
        <v>5</v>
      </c>
      <c r="D3865">
        <v>2</v>
      </c>
      <c r="E3865">
        <v>10</v>
      </c>
      <c r="F3865" t="s">
        <v>10069</v>
      </c>
      <c r="G3865" t="s">
        <v>10021</v>
      </c>
      <c r="H3865" s="6">
        <v>45065</v>
      </c>
      <c r="I3865">
        <f t="shared" si="120"/>
        <v>0</v>
      </c>
      <c r="J3865" t="str">
        <f t="shared" si="121"/>
        <v>Complete</v>
      </c>
      <c r="K3865">
        <f>COUNTIFS(RawData[Item], B3865,RawData[Quantity],C3865,RawData[Price Per Unit],D3865,RawData[Total Spent],E3865,RawData[Payment Method],F3865,RawData[Location],G3865,RawData[Transaction Date],H3865)</f>
        <v>1</v>
      </c>
      <c r="L3865"/>
    </row>
    <row r="3866" spans="1:12" x14ac:dyDescent="0.3">
      <c r="A3866" t="s">
        <v>3872</v>
      </c>
      <c r="B3866" t="s">
        <v>10009</v>
      </c>
      <c r="C3866">
        <v>3</v>
      </c>
      <c r="D3866">
        <v>3</v>
      </c>
      <c r="E3866">
        <v>9</v>
      </c>
      <c r="F3866" t="s">
        <v>10018</v>
      </c>
      <c r="G3866" t="s">
        <v>10104</v>
      </c>
      <c r="H3866" s="6">
        <v>44991</v>
      </c>
      <c r="I3866">
        <f t="shared" si="120"/>
        <v>1</v>
      </c>
      <c r="J3866" t="str">
        <f t="shared" si="121"/>
        <v>Complete</v>
      </c>
      <c r="K3866">
        <f>COUNTIFS(RawData[Item], B3866,RawData[Quantity],C3866,RawData[Price Per Unit],D3866,RawData[Total Spent],E3866,RawData[Payment Method],F3866,RawData[Location],G3866,RawData[Transaction Date],H3866)</f>
        <v>1</v>
      </c>
      <c r="L3866"/>
    </row>
    <row r="3867" spans="1:12" x14ac:dyDescent="0.3">
      <c r="A3867" t="s">
        <v>3873</v>
      </c>
      <c r="B3867" t="s">
        <v>10008</v>
      </c>
      <c r="C3867">
        <v>1</v>
      </c>
      <c r="D3867">
        <v>2</v>
      </c>
      <c r="E3867">
        <v>2</v>
      </c>
      <c r="F3867" t="s">
        <v>10069</v>
      </c>
      <c r="G3867" t="s">
        <v>10069</v>
      </c>
      <c r="H3867" s="6">
        <v>45283</v>
      </c>
      <c r="I3867">
        <f t="shared" si="120"/>
        <v>0</v>
      </c>
      <c r="J3867" t="str">
        <f t="shared" si="121"/>
        <v>Complete</v>
      </c>
      <c r="K3867">
        <f>COUNTIFS(RawData[Item], B3867,RawData[Quantity],C3867,RawData[Price Per Unit],D3867,RawData[Total Spent],E3867,RawData[Payment Method],F3867,RawData[Location],G3867,RawData[Transaction Date],H3867)</f>
        <v>1</v>
      </c>
      <c r="L3867"/>
    </row>
    <row r="3868" spans="1:12" x14ac:dyDescent="0.3">
      <c r="A3868" t="s">
        <v>3874</v>
      </c>
      <c r="B3868" t="s">
        <v>10008</v>
      </c>
      <c r="C3868">
        <v>1</v>
      </c>
      <c r="D3868">
        <v>2</v>
      </c>
      <c r="E3868">
        <v>2</v>
      </c>
      <c r="F3868" t="s">
        <v>10018</v>
      </c>
      <c r="G3868" t="s">
        <v>10021</v>
      </c>
      <c r="H3868" s="6">
        <v>45234</v>
      </c>
      <c r="I3868">
        <f t="shared" si="120"/>
        <v>0</v>
      </c>
      <c r="J3868" t="str">
        <f t="shared" si="121"/>
        <v>Complete</v>
      </c>
      <c r="K3868">
        <f>COUNTIFS(RawData[Item], B3868,RawData[Quantity],C3868,RawData[Price Per Unit],D3868,RawData[Total Spent],E3868,RawData[Payment Method],F3868,RawData[Location],G3868,RawData[Transaction Date],H3868)</f>
        <v>1</v>
      </c>
      <c r="L3868"/>
    </row>
    <row r="3869" spans="1:12" x14ac:dyDescent="0.3">
      <c r="A3869" t="s">
        <v>3875</v>
      </c>
      <c r="B3869" t="s">
        <v>10010</v>
      </c>
      <c r="C3869">
        <v>3</v>
      </c>
      <c r="D3869">
        <v>1</v>
      </c>
      <c r="E3869">
        <v>3</v>
      </c>
      <c r="F3869" t="s">
        <v>10019</v>
      </c>
      <c r="G3869" t="s">
        <v>10102</v>
      </c>
      <c r="H3869" s="6">
        <v>44958</v>
      </c>
      <c r="I3869">
        <f t="shared" si="120"/>
        <v>0</v>
      </c>
      <c r="J3869" t="str">
        <f t="shared" si="121"/>
        <v>Complete</v>
      </c>
      <c r="K3869">
        <f>COUNTIFS(RawData[Item], B3869,RawData[Quantity],C3869,RawData[Price Per Unit],D3869,RawData[Total Spent],E3869,RawData[Payment Method],F3869,RawData[Location],G3869,RawData[Transaction Date],H3869)</f>
        <v>1</v>
      </c>
      <c r="L3869"/>
    </row>
    <row r="3870" spans="1:12" x14ac:dyDescent="0.3">
      <c r="A3870" t="s">
        <v>3876</v>
      </c>
      <c r="B3870" t="s">
        <v>10008</v>
      </c>
      <c r="C3870">
        <v>5</v>
      </c>
      <c r="D3870">
        <v>2</v>
      </c>
      <c r="E3870">
        <v>10</v>
      </c>
      <c r="F3870" t="s">
        <v>10020</v>
      </c>
      <c r="G3870" t="s">
        <v>10021</v>
      </c>
      <c r="H3870" s="6">
        <v>45085</v>
      </c>
      <c r="I3870">
        <f t="shared" si="120"/>
        <v>0</v>
      </c>
      <c r="J3870" t="str">
        <f t="shared" si="121"/>
        <v>Complete</v>
      </c>
      <c r="K3870">
        <f>COUNTIFS(RawData[Item], B3870,RawData[Quantity],C3870,RawData[Price Per Unit],D3870,RawData[Total Spent],E3870,RawData[Payment Method],F3870,RawData[Location],G3870,RawData[Transaction Date],H3870)</f>
        <v>1</v>
      </c>
      <c r="L3870"/>
    </row>
    <row r="3871" spans="1:12" x14ac:dyDescent="0.3">
      <c r="A3871" t="s">
        <v>3877</v>
      </c>
      <c r="B3871" t="s">
        <v>10017</v>
      </c>
      <c r="C3871">
        <v>1</v>
      </c>
      <c r="D3871">
        <v>1.5</v>
      </c>
      <c r="E3871">
        <v>1.5</v>
      </c>
      <c r="F3871" t="s">
        <v>10069</v>
      </c>
      <c r="G3871" t="s">
        <v>10102</v>
      </c>
      <c r="H3871" s="6">
        <v>44937</v>
      </c>
      <c r="I3871">
        <f t="shared" si="120"/>
        <v>0</v>
      </c>
      <c r="J3871" t="str">
        <f t="shared" si="121"/>
        <v>Complete</v>
      </c>
      <c r="K3871">
        <f>COUNTIFS(RawData[Item], B3871,RawData[Quantity],C3871,RawData[Price Per Unit],D3871,RawData[Total Spent],E3871,RawData[Payment Method],F3871,RawData[Location],G3871,RawData[Transaction Date],H3871)</f>
        <v>1</v>
      </c>
      <c r="L3871"/>
    </row>
    <row r="3872" spans="1:12" x14ac:dyDescent="0.3">
      <c r="A3872" t="s">
        <v>3878</v>
      </c>
      <c r="B3872" t="s">
        <v>10017</v>
      </c>
      <c r="C3872">
        <v>2</v>
      </c>
      <c r="D3872">
        <v>1.5</v>
      </c>
      <c r="E3872">
        <v>3</v>
      </c>
      <c r="F3872" t="s">
        <v>10069</v>
      </c>
      <c r="G3872" t="s">
        <v>10069</v>
      </c>
      <c r="H3872" s="6">
        <v>44935</v>
      </c>
      <c r="I3872">
        <f t="shared" si="120"/>
        <v>0</v>
      </c>
      <c r="J3872" t="str">
        <f t="shared" si="121"/>
        <v>Complete</v>
      </c>
      <c r="K3872">
        <f>COUNTIFS(RawData[Item], B3872,RawData[Quantity],C3872,RawData[Price Per Unit],D3872,RawData[Total Spent],E3872,RawData[Payment Method],F3872,RawData[Location],G3872,RawData[Transaction Date],H3872)</f>
        <v>1</v>
      </c>
      <c r="L3872"/>
    </row>
    <row r="3873" spans="1:12" x14ac:dyDescent="0.3">
      <c r="A3873" t="s">
        <v>3879</v>
      </c>
      <c r="B3873" t="s">
        <v>10009</v>
      </c>
      <c r="C3873">
        <v>5</v>
      </c>
      <c r="D3873">
        <v>3</v>
      </c>
      <c r="E3873">
        <v>15</v>
      </c>
      <c r="F3873" t="s">
        <v>10069</v>
      </c>
      <c r="G3873" t="s">
        <v>10102</v>
      </c>
      <c r="H3873" s="6">
        <v>45203</v>
      </c>
      <c r="I3873">
        <f t="shared" si="120"/>
        <v>0</v>
      </c>
      <c r="J3873" t="str">
        <f t="shared" si="121"/>
        <v>Complete</v>
      </c>
      <c r="K3873">
        <f>COUNTIFS(RawData[Item], B3873,RawData[Quantity],C3873,RawData[Price Per Unit],D3873,RawData[Total Spent],E3873,RawData[Payment Method],F3873,RawData[Location],G3873,RawData[Transaction Date],H3873)</f>
        <v>1</v>
      </c>
      <c r="L3873"/>
    </row>
    <row r="3874" spans="1:12" x14ac:dyDescent="0.3">
      <c r="A3874" t="s">
        <v>3880</v>
      </c>
      <c r="B3874" t="s">
        <v>10014</v>
      </c>
      <c r="C3874">
        <v>3</v>
      </c>
      <c r="D3874">
        <v>4</v>
      </c>
      <c r="E3874">
        <v>12</v>
      </c>
      <c r="F3874" t="s">
        <v>10069</v>
      </c>
      <c r="G3874" t="s">
        <v>10102</v>
      </c>
      <c r="H3874" s="6">
        <v>45176</v>
      </c>
      <c r="I3874">
        <f t="shared" si="120"/>
        <v>0</v>
      </c>
      <c r="J3874" t="str">
        <f t="shared" si="121"/>
        <v>Complete</v>
      </c>
      <c r="K3874">
        <f>COUNTIFS(RawData[Item], B3874,RawData[Quantity],C3874,RawData[Price Per Unit],D3874,RawData[Total Spent],E3874,RawData[Payment Method],F3874,RawData[Location],G3874,RawData[Transaction Date],H3874)</f>
        <v>1</v>
      </c>
      <c r="L3874"/>
    </row>
    <row r="3875" spans="1:12" x14ac:dyDescent="0.3">
      <c r="A3875" t="s">
        <v>3881</v>
      </c>
      <c r="B3875" t="s">
        <v>10017</v>
      </c>
      <c r="C3875">
        <v>4</v>
      </c>
      <c r="D3875">
        <v>1.5</v>
      </c>
      <c r="E3875">
        <v>6</v>
      </c>
      <c r="F3875" t="s">
        <v>10019</v>
      </c>
      <c r="G3875" t="s">
        <v>10021</v>
      </c>
      <c r="H3875" s="6">
        <v>44976</v>
      </c>
      <c r="I3875">
        <f t="shared" si="120"/>
        <v>0</v>
      </c>
      <c r="J3875" t="str">
        <f t="shared" si="121"/>
        <v>Complete</v>
      </c>
      <c r="K3875">
        <f>COUNTIFS(RawData[Item], B3875,RawData[Quantity],C3875,RawData[Price Per Unit],D3875,RawData[Total Spent],E3875,RawData[Payment Method],F3875,RawData[Location],G3875,RawData[Transaction Date],H3875)</f>
        <v>1</v>
      </c>
      <c r="L3875"/>
    </row>
    <row r="3876" spans="1:12" x14ac:dyDescent="0.3">
      <c r="A3876" t="s">
        <v>3882</v>
      </c>
      <c r="B3876" t="s">
        <v>10010</v>
      </c>
      <c r="C3876">
        <v>1</v>
      </c>
      <c r="D3876">
        <v>1</v>
      </c>
      <c r="E3876">
        <v>1</v>
      </c>
      <c r="F3876" t="s">
        <v>10069</v>
      </c>
      <c r="G3876" t="s">
        <v>10102</v>
      </c>
      <c r="H3876" s="6">
        <v>45275</v>
      </c>
      <c r="I3876">
        <f t="shared" si="120"/>
        <v>0</v>
      </c>
      <c r="J3876" t="str">
        <f t="shared" si="121"/>
        <v>Complete</v>
      </c>
      <c r="K3876">
        <f>COUNTIFS(RawData[Item], B3876,RawData[Quantity],C3876,RawData[Price Per Unit],D3876,RawData[Total Spent],E3876,RawData[Payment Method],F3876,RawData[Location],G3876,RawData[Transaction Date],H3876)</f>
        <v>1</v>
      </c>
      <c r="L3876"/>
    </row>
    <row r="3877" spans="1:12" x14ac:dyDescent="0.3">
      <c r="A3877" t="s">
        <v>3883</v>
      </c>
      <c r="B3877" t="s">
        <v>10008</v>
      </c>
      <c r="C3877">
        <v>5</v>
      </c>
      <c r="D3877">
        <v>2</v>
      </c>
      <c r="E3877">
        <v>10</v>
      </c>
      <c r="F3877" t="s">
        <v>10069</v>
      </c>
      <c r="G3877" t="s">
        <v>10069</v>
      </c>
      <c r="H3877" s="6">
        <v>44960</v>
      </c>
      <c r="I3877">
        <f t="shared" si="120"/>
        <v>0</v>
      </c>
      <c r="J3877" t="str">
        <f t="shared" si="121"/>
        <v>Complete</v>
      </c>
      <c r="K3877">
        <f>COUNTIFS(RawData[Item], B3877,RawData[Quantity],C3877,RawData[Price Per Unit],D3877,RawData[Total Spent],E3877,RawData[Payment Method],F3877,RawData[Location],G3877,RawData[Transaction Date],H3877)</f>
        <v>1</v>
      </c>
      <c r="L3877"/>
    </row>
    <row r="3878" spans="1:12" x14ac:dyDescent="0.3">
      <c r="A3878" t="s">
        <v>3884</v>
      </c>
      <c r="B3878" t="s">
        <v>10017</v>
      </c>
      <c r="C3878">
        <v>3</v>
      </c>
      <c r="D3878">
        <v>1.5</v>
      </c>
      <c r="E3878">
        <v>4.5</v>
      </c>
      <c r="F3878" t="s">
        <v>10069</v>
      </c>
      <c r="G3878" t="s">
        <v>10021</v>
      </c>
      <c r="H3878" s="6">
        <v>45034</v>
      </c>
      <c r="I3878">
        <f t="shared" si="120"/>
        <v>0</v>
      </c>
      <c r="J3878" t="str">
        <f t="shared" si="121"/>
        <v>Complete</v>
      </c>
      <c r="K3878">
        <f>COUNTIFS(RawData[Item], B3878,RawData[Quantity],C3878,RawData[Price Per Unit],D3878,RawData[Total Spent],E3878,RawData[Payment Method],F3878,RawData[Location],G3878,RawData[Transaction Date],H3878)</f>
        <v>1</v>
      </c>
      <c r="L3878"/>
    </row>
    <row r="3879" spans="1:12" x14ac:dyDescent="0.3">
      <c r="A3879" t="s">
        <v>3885</v>
      </c>
      <c r="B3879" t="s">
        <v>10069</v>
      </c>
      <c r="C3879">
        <v>2</v>
      </c>
      <c r="D3879">
        <v>4</v>
      </c>
      <c r="E3879">
        <v>8</v>
      </c>
      <c r="F3879" t="s">
        <v>10019</v>
      </c>
      <c r="G3879" t="s">
        <v>10102</v>
      </c>
      <c r="H3879" s="6">
        <v>45099</v>
      </c>
      <c r="I3879">
        <f t="shared" si="120"/>
        <v>0</v>
      </c>
      <c r="J3879" t="str">
        <f t="shared" si="121"/>
        <v>Complete</v>
      </c>
      <c r="K3879">
        <f>COUNTIFS(RawData[Item], B3879,RawData[Quantity],C3879,RawData[Price Per Unit],D3879,RawData[Total Spent],E3879,RawData[Payment Method],F3879,RawData[Location],G3879,RawData[Transaction Date],H3879)</f>
        <v>1</v>
      </c>
      <c r="L3879"/>
    </row>
    <row r="3880" spans="1:12" x14ac:dyDescent="0.3">
      <c r="A3880" t="s">
        <v>3886</v>
      </c>
      <c r="B3880" t="s">
        <v>10069</v>
      </c>
      <c r="C3880">
        <v>3</v>
      </c>
      <c r="D3880">
        <v>1.5</v>
      </c>
      <c r="E3880">
        <v>4.5</v>
      </c>
      <c r="F3880" t="s">
        <v>10069</v>
      </c>
      <c r="G3880" t="s">
        <v>10069</v>
      </c>
      <c r="H3880" s="6">
        <v>45063</v>
      </c>
      <c r="I3880">
        <f t="shared" si="120"/>
        <v>0</v>
      </c>
      <c r="J3880" t="str">
        <f t="shared" si="121"/>
        <v>Complete</v>
      </c>
      <c r="K3880">
        <f>COUNTIFS(RawData[Item], B3880,RawData[Quantity],C3880,RawData[Price Per Unit],D3880,RawData[Total Spent],E3880,RawData[Payment Method],F3880,RawData[Location],G3880,RawData[Transaction Date],H3880)</f>
        <v>1</v>
      </c>
      <c r="L3880"/>
    </row>
    <row r="3881" spans="1:12" x14ac:dyDescent="0.3">
      <c r="A3881" t="s">
        <v>3887</v>
      </c>
      <c r="B3881" t="s">
        <v>10008</v>
      </c>
      <c r="C3881">
        <v>5</v>
      </c>
      <c r="D3881">
        <v>2</v>
      </c>
      <c r="E3881">
        <v>10</v>
      </c>
      <c r="F3881" t="s">
        <v>10019</v>
      </c>
      <c r="G3881" t="s">
        <v>10103</v>
      </c>
      <c r="H3881" s="6">
        <v>45288</v>
      </c>
      <c r="I3881">
        <f t="shared" si="120"/>
        <v>1</v>
      </c>
      <c r="J3881" t="str">
        <f t="shared" si="121"/>
        <v>Complete</v>
      </c>
      <c r="K3881">
        <f>COUNTIFS(RawData[Item], B3881,RawData[Quantity],C3881,RawData[Price Per Unit],D3881,RawData[Total Spent],E3881,RawData[Payment Method],F3881,RawData[Location],G3881,RawData[Transaction Date],H3881)</f>
        <v>1</v>
      </c>
      <c r="L3881"/>
    </row>
    <row r="3882" spans="1:12" x14ac:dyDescent="0.3">
      <c r="A3882" t="s">
        <v>3888</v>
      </c>
      <c r="B3882" t="s">
        <v>10008</v>
      </c>
      <c r="C3882">
        <v>5</v>
      </c>
      <c r="D3882">
        <v>2</v>
      </c>
      <c r="E3882">
        <v>10</v>
      </c>
      <c r="F3882" t="s">
        <v>10069</v>
      </c>
      <c r="G3882" t="s">
        <v>10069</v>
      </c>
      <c r="H3882" s="6">
        <v>45265</v>
      </c>
      <c r="I3882">
        <f t="shared" si="120"/>
        <v>0</v>
      </c>
      <c r="J3882" t="str">
        <f t="shared" si="121"/>
        <v>Complete</v>
      </c>
      <c r="K3882">
        <f>COUNTIFS(RawData[Item], B3882,RawData[Quantity],C3882,RawData[Price Per Unit],D3882,RawData[Total Spent],E3882,RawData[Payment Method],F3882,RawData[Location],G3882,RawData[Transaction Date],H3882)</f>
        <v>1</v>
      </c>
      <c r="L3882"/>
    </row>
    <row r="3883" spans="1:12" x14ac:dyDescent="0.3">
      <c r="A3883" t="s">
        <v>3889</v>
      </c>
      <c r="B3883" t="s">
        <v>10008</v>
      </c>
      <c r="C3883">
        <v>5</v>
      </c>
      <c r="D3883">
        <v>2</v>
      </c>
      <c r="E3883">
        <v>0</v>
      </c>
      <c r="F3883" t="s">
        <v>10069</v>
      </c>
      <c r="G3883" t="s">
        <v>10021</v>
      </c>
      <c r="H3883" s="6">
        <v>44987</v>
      </c>
      <c r="I3883">
        <f t="shared" si="120"/>
        <v>0</v>
      </c>
      <c r="J3883" t="str">
        <f t="shared" si="121"/>
        <v>Complete</v>
      </c>
      <c r="K3883">
        <f>COUNTIFS(RawData[Item], B3883,RawData[Quantity],C3883,RawData[Price Per Unit],D3883,RawData[Total Spent],E3883,RawData[Payment Method],F3883,RawData[Location],G3883,RawData[Transaction Date],H3883)</f>
        <v>1</v>
      </c>
      <c r="L3883"/>
    </row>
    <row r="3884" spans="1:12" x14ac:dyDescent="0.3">
      <c r="A3884" t="s">
        <v>3890</v>
      </c>
      <c r="B3884" t="s">
        <v>10010</v>
      </c>
      <c r="C3884">
        <v>4</v>
      </c>
      <c r="D3884">
        <v>1</v>
      </c>
      <c r="E3884">
        <v>4</v>
      </c>
      <c r="F3884" t="s">
        <v>10019</v>
      </c>
      <c r="G3884" t="s">
        <v>10102</v>
      </c>
      <c r="H3884" s="6">
        <v>44952</v>
      </c>
      <c r="I3884">
        <f t="shared" si="120"/>
        <v>0</v>
      </c>
      <c r="J3884" t="str">
        <f t="shared" si="121"/>
        <v>Complete</v>
      </c>
      <c r="K3884">
        <f>COUNTIFS(RawData[Item], B3884,RawData[Quantity],C3884,RawData[Price Per Unit],D3884,RawData[Total Spent],E3884,RawData[Payment Method],F3884,RawData[Location],G3884,RawData[Transaction Date],H3884)</f>
        <v>1</v>
      </c>
      <c r="L3884"/>
    </row>
    <row r="3885" spans="1:12" x14ac:dyDescent="0.3">
      <c r="A3885" t="s">
        <v>3891</v>
      </c>
      <c r="B3885" t="s">
        <v>10014</v>
      </c>
      <c r="C3885">
        <v>3</v>
      </c>
      <c r="D3885" t="s">
        <v>10013</v>
      </c>
      <c r="E3885">
        <v>12</v>
      </c>
      <c r="F3885" t="s">
        <v>10069</v>
      </c>
      <c r="G3885" t="s">
        <v>10021</v>
      </c>
      <c r="H3885" s="6">
        <v>45114</v>
      </c>
      <c r="I3885">
        <f t="shared" si="120"/>
        <v>1</v>
      </c>
      <c r="J3885" t="str">
        <f t="shared" si="121"/>
        <v>Complete</v>
      </c>
      <c r="K3885">
        <f>COUNTIFS(RawData[Item], B3885,RawData[Quantity],C3885,RawData[Price Per Unit],D3885,RawData[Total Spent],E3885,RawData[Payment Method],F3885,RawData[Location],G3885,RawData[Transaction Date],H3885)</f>
        <v>1</v>
      </c>
      <c r="L3885"/>
    </row>
    <row r="3886" spans="1:12" x14ac:dyDescent="0.3">
      <c r="A3886" t="s">
        <v>3892</v>
      </c>
      <c r="B3886" t="s">
        <v>10016</v>
      </c>
      <c r="C3886">
        <v>4</v>
      </c>
      <c r="D3886">
        <v>3</v>
      </c>
      <c r="E3886">
        <v>12</v>
      </c>
      <c r="F3886" t="s">
        <v>10019</v>
      </c>
      <c r="G3886" t="s">
        <v>10102</v>
      </c>
      <c r="H3886" s="6">
        <v>45027</v>
      </c>
      <c r="I3886">
        <f t="shared" si="120"/>
        <v>0</v>
      </c>
      <c r="J3886" t="str">
        <f t="shared" si="121"/>
        <v>Complete</v>
      </c>
      <c r="K3886">
        <f>COUNTIFS(RawData[Item], B3886,RawData[Quantity],C3886,RawData[Price Per Unit],D3886,RawData[Total Spent],E3886,RawData[Payment Method],F3886,RawData[Location],G3886,RawData[Transaction Date],H3886)</f>
        <v>1</v>
      </c>
      <c r="L3886"/>
    </row>
    <row r="3887" spans="1:12" x14ac:dyDescent="0.3">
      <c r="A3887" t="s">
        <v>3893</v>
      </c>
      <c r="B3887" t="s">
        <v>10010</v>
      </c>
      <c r="C3887">
        <v>1</v>
      </c>
      <c r="D3887">
        <v>1</v>
      </c>
      <c r="E3887">
        <v>1</v>
      </c>
      <c r="F3887" t="s">
        <v>10018</v>
      </c>
      <c r="G3887" t="s">
        <v>10021</v>
      </c>
      <c r="H3887" s="6">
        <v>45185</v>
      </c>
      <c r="I3887">
        <f t="shared" si="120"/>
        <v>0</v>
      </c>
      <c r="J3887" t="str">
        <f t="shared" si="121"/>
        <v>Complete</v>
      </c>
      <c r="K3887">
        <f>COUNTIFS(RawData[Item], B3887,RawData[Quantity],C3887,RawData[Price Per Unit],D3887,RawData[Total Spent],E3887,RawData[Payment Method],F3887,RawData[Location],G3887,RawData[Transaction Date],H3887)</f>
        <v>1</v>
      </c>
      <c r="L3887"/>
    </row>
    <row r="3888" spans="1:12" x14ac:dyDescent="0.3">
      <c r="A3888" t="s">
        <v>3894</v>
      </c>
      <c r="B3888" t="s">
        <v>10014</v>
      </c>
      <c r="C3888">
        <v>1</v>
      </c>
      <c r="D3888">
        <v>4</v>
      </c>
      <c r="E3888">
        <v>4</v>
      </c>
      <c r="F3888" t="s">
        <v>10069</v>
      </c>
      <c r="G3888" t="s">
        <v>10069</v>
      </c>
      <c r="H3888" s="6">
        <v>44935</v>
      </c>
      <c r="I3888">
        <f t="shared" si="120"/>
        <v>0</v>
      </c>
      <c r="J3888" t="str">
        <f t="shared" si="121"/>
        <v>Complete</v>
      </c>
      <c r="K3888">
        <f>COUNTIFS(RawData[Item], B3888,RawData[Quantity],C3888,RawData[Price Per Unit],D3888,RawData[Total Spent],E3888,RawData[Payment Method],F3888,RawData[Location],G3888,RawData[Transaction Date],H3888)</f>
        <v>1</v>
      </c>
      <c r="L3888"/>
    </row>
    <row r="3889" spans="1:12" x14ac:dyDescent="0.3">
      <c r="A3889" t="s">
        <v>3895</v>
      </c>
      <c r="B3889" t="s">
        <v>10012</v>
      </c>
      <c r="C3889">
        <v>3</v>
      </c>
      <c r="D3889">
        <v>4</v>
      </c>
      <c r="E3889">
        <v>12</v>
      </c>
      <c r="F3889" t="s">
        <v>10019</v>
      </c>
      <c r="G3889" t="s">
        <v>10102</v>
      </c>
      <c r="H3889" s="6" t="s">
        <v>10112</v>
      </c>
      <c r="I3889">
        <f t="shared" si="120"/>
        <v>1</v>
      </c>
      <c r="J3889" t="str">
        <f t="shared" si="121"/>
        <v>Incomplete</v>
      </c>
      <c r="K3889">
        <f>COUNTIFS(RawData[Item], B3889,RawData[Quantity],C3889,RawData[Price Per Unit],D3889,RawData[Total Spent],E3889,RawData[Payment Method],F3889,RawData[Location],G3889,RawData[Transaction Date],H3889)</f>
        <v>3</v>
      </c>
      <c r="L3889"/>
    </row>
    <row r="3890" spans="1:12" x14ac:dyDescent="0.3">
      <c r="A3890" t="s">
        <v>3896</v>
      </c>
      <c r="B3890" t="s">
        <v>10016</v>
      </c>
      <c r="C3890">
        <v>4</v>
      </c>
      <c r="D3890">
        <v>3</v>
      </c>
      <c r="E3890">
        <v>12</v>
      </c>
      <c r="F3890" t="s">
        <v>10019</v>
      </c>
      <c r="G3890" t="s">
        <v>10102</v>
      </c>
      <c r="H3890" s="6">
        <v>44956</v>
      </c>
      <c r="I3890">
        <f t="shared" si="120"/>
        <v>0</v>
      </c>
      <c r="J3890" t="str">
        <f t="shared" si="121"/>
        <v>Complete</v>
      </c>
      <c r="K3890">
        <f>COUNTIFS(RawData[Item], B3890,RawData[Quantity],C3890,RawData[Price Per Unit],D3890,RawData[Total Spent],E3890,RawData[Payment Method],F3890,RawData[Location],G3890,RawData[Transaction Date],H3890)</f>
        <v>1</v>
      </c>
      <c r="L3890"/>
    </row>
    <row r="3891" spans="1:12" x14ac:dyDescent="0.3">
      <c r="A3891" t="s">
        <v>3897</v>
      </c>
      <c r="B3891" t="s">
        <v>10008</v>
      </c>
      <c r="C3891">
        <v>2</v>
      </c>
      <c r="D3891">
        <v>2</v>
      </c>
      <c r="E3891">
        <v>4</v>
      </c>
      <c r="F3891" t="s">
        <v>10069</v>
      </c>
      <c r="G3891" t="s">
        <v>10103</v>
      </c>
      <c r="H3891" s="6">
        <v>45063</v>
      </c>
      <c r="I3891">
        <f t="shared" si="120"/>
        <v>1</v>
      </c>
      <c r="J3891" t="str">
        <f t="shared" si="121"/>
        <v>Complete</v>
      </c>
      <c r="K3891">
        <f>COUNTIFS(RawData[Item], B3891,RawData[Quantity],C3891,RawData[Price Per Unit],D3891,RawData[Total Spent],E3891,RawData[Payment Method],F3891,RawData[Location],G3891,RawData[Transaction Date],H3891)</f>
        <v>1</v>
      </c>
      <c r="L3891"/>
    </row>
    <row r="3892" spans="1:12" x14ac:dyDescent="0.3">
      <c r="A3892" t="s">
        <v>3898</v>
      </c>
      <c r="B3892" t="s">
        <v>10008</v>
      </c>
      <c r="C3892">
        <v>4</v>
      </c>
      <c r="D3892">
        <v>2</v>
      </c>
      <c r="E3892">
        <v>8</v>
      </c>
      <c r="F3892" t="s">
        <v>10018</v>
      </c>
      <c r="G3892" t="s">
        <v>10021</v>
      </c>
      <c r="H3892" s="6">
        <v>45131</v>
      </c>
      <c r="I3892">
        <f t="shared" si="120"/>
        <v>0</v>
      </c>
      <c r="J3892" t="str">
        <f t="shared" si="121"/>
        <v>Complete</v>
      </c>
      <c r="K3892">
        <f>COUNTIFS(RawData[Item], B3892,RawData[Quantity],C3892,RawData[Price Per Unit],D3892,RawData[Total Spent],E3892,RawData[Payment Method],F3892,RawData[Location],G3892,RawData[Transaction Date],H3892)</f>
        <v>1</v>
      </c>
      <c r="L3892"/>
    </row>
    <row r="3893" spans="1:12" x14ac:dyDescent="0.3">
      <c r="A3893" t="s">
        <v>3899</v>
      </c>
      <c r="B3893" t="s">
        <v>10011</v>
      </c>
      <c r="C3893">
        <v>1</v>
      </c>
      <c r="D3893">
        <v>5</v>
      </c>
      <c r="E3893">
        <v>5</v>
      </c>
      <c r="F3893" t="s">
        <v>10069</v>
      </c>
      <c r="G3893" t="s">
        <v>10103</v>
      </c>
      <c r="H3893" s="6">
        <v>45204</v>
      </c>
      <c r="I3893">
        <f t="shared" si="120"/>
        <v>1</v>
      </c>
      <c r="J3893" t="str">
        <f t="shared" si="121"/>
        <v>Complete</v>
      </c>
      <c r="K3893">
        <f>COUNTIFS(RawData[Item], B3893,RawData[Quantity],C3893,RawData[Price Per Unit],D3893,RawData[Total Spent],E3893,RawData[Payment Method],F3893,RawData[Location],G3893,RawData[Transaction Date],H3893)</f>
        <v>1</v>
      </c>
      <c r="L3893"/>
    </row>
    <row r="3894" spans="1:12" x14ac:dyDescent="0.3">
      <c r="A3894" t="s">
        <v>3900</v>
      </c>
      <c r="B3894" t="s">
        <v>10014</v>
      </c>
      <c r="C3894">
        <v>4</v>
      </c>
      <c r="D3894">
        <v>4</v>
      </c>
      <c r="E3894">
        <v>16</v>
      </c>
      <c r="F3894" t="s">
        <v>10069</v>
      </c>
      <c r="G3894" t="s">
        <v>10102</v>
      </c>
      <c r="H3894" s="6">
        <v>44959</v>
      </c>
      <c r="I3894">
        <f t="shared" si="120"/>
        <v>0</v>
      </c>
      <c r="J3894" t="str">
        <f t="shared" si="121"/>
        <v>Complete</v>
      </c>
      <c r="K3894">
        <f>COUNTIFS(RawData[Item], B3894,RawData[Quantity],C3894,RawData[Price Per Unit],D3894,RawData[Total Spent],E3894,RawData[Payment Method],F3894,RawData[Location],G3894,RawData[Transaction Date],H3894)</f>
        <v>1</v>
      </c>
      <c r="L3894"/>
    </row>
    <row r="3895" spans="1:12" x14ac:dyDescent="0.3">
      <c r="A3895" t="s">
        <v>3901</v>
      </c>
      <c r="B3895" t="s">
        <v>10009</v>
      </c>
      <c r="C3895">
        <v>3</v>
      </c>
      <c r="D3895">
        <v>3</v>
      </c>
      <c r="E3895">
        <v>9</v>
      </c>
      <c r="F3895" t="s">
        <v>10019</v>
      </c>
      <c r="G3895" t="s">
        <v>10102</v>
      </c>
      <c r="H3895" s="6">
        <v>45143</v>
      </c>
      <c r="I3895">
        <f t="shared" si="120"/>
        <v>0</v>
      </c>
      <c r="J3895" t="str">
        <f t="shared" si="121"/>
        <v>Complete</v>
      </c>
      <c r="K3895">
        <f>COUNTIFS(RawData[Item], B3895,RawData[Quantity],C3895,RawData[Price Per Unit],D3895,RawData[Total Spent],E3895,RawData[Payment Method],F3895,RawData[Location],G3895,RawData[Transaction Date],H3895)</f>
        <v>1</v>
      </c>
      <c r="L3895"/>
    </row>
    <row r="3896" spans="1:12" x14ac:dyDescent="0.3">
      <c r="A3896" t="s">
        <v>3902</v>
      </c>
      <c r="B3896" t="s">
        <v>10014</v>
      </c>
      <c r="C3896">
        <v>5</v>
      </c>
      <c r="D3896">
        <v>4</v>
      </c>
      <c r="E3896">
        <v>20</v>
      </c>
      <c r="F3896" t="s">
        <v>10104</v>
      </c>
      <c r="G3896" t="s">
        <v>10021</v>
      </c>
      <c r="H3896" s="6">
        <v>45042</v>
      </c>
      <c r="I3896">
        <f t="shared" si="120"/>
        <v>1</v>
      </c>
      <c r="J3896" t="str">
        <f t="shared" si="121"/>
        <v>Complete</v>
      </c>
      <c r="K3896">
        <f>COUNTIFS(RawData[Item], B3896,RawData[Quantity],C3896,RawData[Price Per Unit],D3896,RawData[Total Spent],E3896,RawData[Payment Method],F3896,RawData[Location],G3896,RawData[Transaction Date],H3896)</f>
        <v>1</v>
      </c>
      <c r="L3896"/>
    </row>
    <row r="3897" spans="1:12" x14ac:dyDescent="0.3">
      <c r="A3897" t="s">
        <v>3903</v>
      </c>
      <c r="B3897" t="s">
        <v>10014</v>
      </c>
      <c r="C3897">
        <v>5</v>
      </c>
      <c r="D3897">
        <v>4</v>
      </c>
      <c r="E3897">
        <v>20</v>
      </c>
      <c r="F3897" t="s">
        <v>10020</v>
      </c>
      <c r="G3897" t="s">
        <v>10069</v>
      </c>
      <c r="H3897" s="6">
        <v>44930</v>
      </c>
      <c r="I3897">
        <f t="shared" si="120"/>
        <v>0</v>
      </c>
      <c r="J3897" t="str">
        <f t="shared" si="121"/>
        <v>Complete</v>
      </c>
      <c r="K3897">
        <f>COUNTIFS(RawData[Item], B3897,RawData[Quantity],C3897,RawData[Price Per Unit],D3897,RawData[Total Spent],E3897,RawData[Payment Method],F3897,RawData[Location],G3897,RawData[Transaction Date],H3897)</f>
        <v>1</v>
      </c>
      <c r="L3897"/>
    </row>
    <row r="3898" spans="1:12" x14ac:dyDescent="0.3">
      <c r="A3898" t="s">
        <v>3904</v>
      </c>
      <c r="B3898" t="s">
        <v>10012</v>
      </c>
      <c r="C3898">
        <v>5</v>
      </c>
      <c r="D3898">
        <v>4</v>
      </c>
      <c r="E3898">
        <v>20</v>
      </c>
      <c r="F3898" t="s">
        <v>10019</v>
      </c>
      <c r="G3898" t="s">
        <v>10069</v>
      </c>
      <c r="H3898" s="6">
        <v>45090</v>
      </c>
      <c r="I3898">
        <f t="shared" si="120"/>
        <v>0</v>
      </c>
      <c r="J3898" t="str">
        <f t="shared" si="121"/>
        <v>Complete</v>
      </c>
      <c r="K3898">
        <f>COUNTIFS(RawData[Item], B3898,RawData[Quantity],C3898,RawData[Price Per Unit],D3898,RawData[Total Spent],E3898,RawData[Payment Method],F3898,RawData[Location],G3898,RawData[Transaction Date],H3898)</f>
        <v>1</v>
      </c>
      <c r="L3898"/>
    </row>
    <row r="3899" spans="1:12" x14ac:dyDescent="0.3">
      <c r="A3899" t="s">
        <v>3905</v>
      </c>
      <c r="B3899" t="s">
        <v>10008</v>
      </c>
      <c r="C3899">
        <v>2</v>
      </c>
      <c r="D3899">
        <v>2</v>
      </c>
      <c r="E3899">
        <v>4</v>
      </c>
      <c r="F3899" t="s">
        <v>10020</v>
      </c>
      <c r="G3899" t="s">
        <v>10069</v>
      </c>
      <c r="H3899" s="6">
        <v>44963</v>
      </c>
      <c r="I3899">
        <f t="shared" si="120"/>
        <v>0</v>
      </c>
      <c r="J3899" t="str">
        <f t="shared" si="121"/>
        <v>Complete</v>
      </c>
      <c r="K3899">
        <f>COUNTIFS(RawData[Item], B3899,RawData[Quantity],C3899,RawData[Price Per Unit],D3899,RawData[Total Spent],E3899,RawData[Payment Method],F3899,RawData[Location],G3899,RawData[Transaction Date],H3899)</f>
        <v>1</v>
      </c>
      <c r="L3899"/>
    </row>
    <row r="3900" spans="1:12" x14ac:dyDescent="0.3">
      <c r="A3900" t="s">
        <v>3906</v>
      </c>
      <c r="B3900" t="s">
        <v>10010</v>
      </c>
      <c r="C3900">
        <v>3</v>
      </c>
      <c r="D3900">
        <v>1</v>
      </c>
      <c r="E3900">
        <v>0</v>
      </c>
      <c r="F3900" t="s">
        <v>10020</v>
      </c>
      <c r="G3900" t="s">
        <v>10104</v>
      </c>
      <c r="H3900" s="6">
        <v>45222</v>
      </c>
      <c r="I3900">
        <f t="shared" si="120"/>
        <v>1</v>
      </c>
      <c r="J3900" t="str">
        <f t="shared" si="121"/>
        <v>Complete</v>
      </c>
      <c r="K3900">
        <f>COUNTIFS(RawData[Item], B3900,RawData[Quantity],C3900,RawData[Price Per Unit],D3900,RawData[Total Spent],E3900,RawData[Payment Method],F3900,RawData[Location],G3900,RawData[Transaction Date],H3900)</f>
        <v>1</v>
      </c>
      <c r="L3900"/>
    </row>
    <row r="3901" spans="1:12" x14ac:dyDescent="0.3">
      <c r="A3901" t="s">
        <v>3907</v>
      </c>
      <c r="B3901" t="s">
        <v>10009</v>
      </c>
      <c r="C3901">
        <v>5</v>
      </c>
      <c r="D3901">
        <v>3</v>
      </c>
      <c r="E3901">
        <v>15</v>
      </c>
      <c r="F3901" t="s">
        <v>10020</v>
      </c>
      <c r="G3901" t="s">
        <v>10069</v>
      </c>
      <c r="H3901" s="6">
        <v>45052</v>
      </c>
      <c r="I3901">
        <f t="shared" si="120"/>
        <v>0</v>
      </c>
      <c r="J3901" t="str">
        <f t="shared" si="121"/>
        <v>Complete</v>
      </c>
      <c r="K3901">
        <f>COUNTIFS(RawData[Item], B3901,RawData[Quantity],C3901,RawData[Price Per Unit],D3901,RawData[Total Spent],E3901,RawData[Payment Method],F3901,RawData[Location],G3901,RawData[Transaction Date],H3901)</f>
        <v>1</v>
      </c>
      <c r="L3901"/>
    </row>
    <row r="3902" spans="1:12" x14ac:dyDescent="0.3">
      <c r="A3902" t="s">
        <v>3908</v>
      </c>
      <c r="B3902" t="s">
        <v>10069</v>
      </c>
      <c r="C3902">
        <v>4</v>
      </c>
      <c r="D3902" t="s">
        <v>10015</v>
      </c>
      <c r="E3902">
        <v>6</v>
      </c>
      <c r="F3902" t="s">
        <v>10019</v>
      </c>
      <c r="G3902" t="s">
        <v>10021</v>
      </c>
      <c r="H3902" s="6">
        <v>45253</v>
      </c>
      <c r="I3902">
        <f t="shared" si="120"/>
        <v>1</v>
      </c>
      <c r="J3902" t="str">
        <f t="shared" si="121"/>
        <v>Complete</v>
      </c>
      <c r="K3902">
        <f>COUNTIFS(RawData[Item], B3902,RawData[Quantity],C3902,RawData[Price Per Unit],D3902,RawData[Total Spent],E3902,RawData[Payment Method],F3902,RawData[Location],G3902,RawData[Transaction Date],H3902)</f>
        <v>1</v>
      </c>
      <c r="L3902"/>
    </row>
    <row r="3903" spans="1:12" x14ac:dyDescent="0.3">
      <c r="A3903" t="s">
        <v>3909</v>
      </c>
      <c r="B3903" t="s">
        <v>10015</v>
      </c>
      <c r="C3903">
        <v>4</v>
      </c>
      <c r="D3903">
        <v>1</v>
      </c>
      <c r="E3903">
        <v>4</v>
      </c>
      <c r="F3903" t="s">
        <v>10018</v>
      </c>
      <c r="G3903" t="s">
        <v>10102</v>
      </c>
      <c r="H3903" s="6">
        <v>44940</v>
      </c>
      <c r="I3903">
        <f t="shared" si="120"/>
        <v>1</v>
      </c>
      <c r="J3903" t="str">
        <f t="shared" si="121"/>
        <v>Complete</v>
      </c>
      <c r="K3903">
        <f>COUNTIFS(RawData[Item], B3903,RawData[Quantity],C3903,RawData[Price Per Unit],D3903,RawData[Total Spent],E3903,RawData[Payment Method],F3903,RawData[Location],G3903,RawData[Transaction Date],H3903)</f>
        <v>1</v>
      </c>
      <c r="L3903"/>
    </row>
    <row r="3904" spans="1:12" x14ac:dyDescent="0.3">
      <c r="A3904" t="s">
        <v>3910</v>
      </c>
      <c r="B3904" t="s">
        <v>10012</v>
      </c>
      <c r="C3904">
        <v>5</v>
      </c>
      <c r="D3904">
        <v>4</v>
      </c>
      <c r="E3904">
        <v>20</v>
      </c>
      <c r="F3904" t="s">
        <v>10018</v>
      </c>
      <c r="G3904" t="s">
        <v>10069</v>
      </c>
      <c r="H3904" s="6">
        <v>45133</v>
      </c>
      <c r="I3904">
        <f t="shared" si="120"/>
        <v>0</v>
      </c>
      <c r="J3904" t="str">
        <f t="shared" si="121"/>
        <v>Complete</v>
      </c>
      <c r="K3904">
        <f>COUNTIFS(RawData[Item], B3904,RawData[Quantity],C3904,RawData[Price Per Unit],D3904,RawData[Total Spent],E3904,RawData[Payment Method],F3904,RawData[Location],G3904,RawData[Transaction Date],H3904)</f>
        <v>1</v>
      </c>
      <c r="L3904"/>
    </row>
    <row r="3905" spans="1:12" x14ac:dyDescent="0.3">
      <c r="A3905" t="s">
        <v>3911</v>
      </c>
      <c r="B3905" t="s">
        <v>10008</v>
      </c>
      <c r="C3905">
        <v>4</v>
      </c>
      <c r="D3905">
        <v>2</v>
      </c>
      <c r="E3905">
        <v>8</v>
      </c>
      <c r="F3905" t="s">
        <v>10020</v>
      </c>
      <c r="G3905" t="s">
        <v>10021</v>
      </c>
      <c r="H3905" s="6">
        <v>45134</v>
      </c>
      <c r="I3905">
        <f t="shared" si="120"/>
        <v>0</v>
      </c>
      <c r="J3905" t="str">
        <f t="shared" si="121"/>
        <v>Complete</v>
      </c>
      <c r="K3905">
        <f>COUNTIFS(RawData[Item], B3905,RawData[Quantity],C3905,RawData[Price Per Unit],D3905,RawData[Total Spent],E3905,RawData[Payment Method],F3905,RawData[Location],G3905,RawData[Transaction Date],H3905)</f>
        <v>1</v>
      </c>
      <c r="L3905"/>
    </row>
    <row r="3906" spans="1:12" x14ac:dyDescent="0.3">
      <c r="A3906" t="s">
        <v>3912</v>
      </c>
      <c r="B3906" t="s">
        <v>10010</v>
      </c>
      <c r="C3906">
        <v>0</v>
      </c>
      <c r="D3906">
        <v>1</v>
      </c>
      <c r="E3906">
        <v>1</v>
      </c>
      <c r="F3906" t="s">
        <v>10018</v>
      </c>
      <c r="G3906" t="s">
        <v>10102</v>
      </c>
      <c r="H3906" s="6">
        <v>45109</v>
      </c>
      <c r="I3906">
        <f t="shared" ref="I3906:I3969" si="122">(B3906="Unknown")+(B3906="Error")+(C3906="Unknown")+(C3906="Error")+(D3906="Unknown")+(D3906="Error")+(E3906="Unknown")+(E3906="Error")+(F3906="Unknown")+(F3906="Error")+(G3906="Unknown")+(G3906="Error")+(H3906="No Date")</f>
        <v>0</v>
      </c>
      <c r="J3906" t="str">
        <f t="shared" ref="J3906:J3969" si="123">IF((H3906="No Date"),"Incomplete","Complete")</f>
        <v>Complete</v>
      </c>
      <c r="K3906">
        <f>COUNTIFS(RawData[Item], B3906,RawData[Quantity],C3906,RawData[Price Per Unit],D3906,RawData[Total Spent],E3906,RawData[Payment Method],F3906,RawData[Location],G3906,RawData[Transaction Date],H3906)</f>
        <v>1</v>
      </c>
      <c r="L3906"/>
    </row>
    <row r="3907" spans="1:12" x14ac:dyDescent="0.3">
      <c r="A3907" t="s">
        <v>3913</v>
      </c>
      <c r="B3907" t="s">
        <v>10011</v>
      </c>
      <c r="C3907">
        <v>2</v>
      </c>
      <c r="D3907">
        <v>5</v>
      </c>
      <c r="E3907">
        <v>10</v>
      </c>
      <c r="F3907" t="s">
        <v>10019</v>
      </c>
      <c r="G3907" t="s">
        <v>10021</v>
      </c>
      <c r="H3907" s="6">
        <v>44941</v>
      </c>
      <c r="I3907">
        <f t="shared" si="122"/>
        <v>0</v>
      </c>
      <c r="J3907" t="str">
        <f t="shared" si="123"/>
        <v>Complete</v>
      </c>
      <c r="K3907">
        <f>COUNTIFS(RawData[Item], B3907,RawData[Quantity],C3907,RawData[Price Per Unit],D3907,RawData[Total Spent],E3907,RawData[Payment Method],F3907,RawData[Location],G3907,RawData[Transaction Date],H3907)</f>
        <v>1</v>
      </c>
      <c r="L3907"/>
    </row>
    <row r="3908" spans="1:12" x14ac:dyDescent="0.3">
      <c r="A3908" t="s">
        <v>3914</v>
      </c>
      <c r="B3908" t="s">
        <v>10014</v>
      </c>
      <c r="C3908">
        <v>1</v>
      </c>
      <c r="D3908">
        <v>4</v>
      </c>
      <c r="E3908">
        <v>4</v>
      </c>
      <c r="F3908" t="s">
        <v>10018</v>
      </c>
      <c r="G3908" t="s">
        <v>10102</v>
      </c>
      <c r="H3908" s="6">
        <v>45158</v>
      </c>
      <c r="I3908">
        <f t="shared" si="122"/>
        <v>0</v>
      </c>
      <c r="J3908" t="str">
        <f t="shared" si="123"/>
        <v>Complete</v>
      </c>
      <c r="K3908">
        <f>COUNTIFS(RawData[Item], B3908,RawData[Quantity],C3908,RawData[Price Per Unit],D3908,RawData[Total Spent],E3908,RawData[Payment Method],F3908,RawData[Location],G3908,RawData[Transaction Date],H3908)</f>
        <v>1</v>
      </c>
      <c r="L3908"/>
    </row>
    <row r="3909" spans="1:12" x14ac:dyDescent="0.3">
      <c r="A3909" t="s">
        <v>3915</v>
      </c>
      <c r="B3909" t="s">
        <v>10016</v>
      </c>
      <c r="C3909">
        <v>3</v>
      </c>
      <c r="D3909">
        <v>3</v>
      </c>
      <c r="E3909">
        <v>9</v>
      </c>
      <c r="F3909" t="s">
        <v>10020</v>
      </c>
      <c r="G3909" t="s">
        <v>10102</v>
      </c>
      <c r="H3909" s="6">
        <v>45188</v>
      </c>
      <c r="I3909">
        <f t="shared" si="122"/>
        <v>0</v>
      </c>
      <c r="J3909" t="str">
        <f t="shared" si="123"/>
        <v>Complete</v>
      </c>
      <c r="K3909">
        <f>COUNTIFS(RawData[Item], B3909,RawData[Quantity],C3909,RawData[Price Per Unit],D3909,RawData[Total Spent],E3909,RawData[Payment Method],F3909,RawData[Location],G3909,RawData[Transaction Date],H3909)</f>
        <v>1</v>
      </c>
      <c r="L3909"/>
    </row>
    <row r="3910" spans="1:12" x14ac:dyDescent="0.3">
      <c r="A3910" t="s">
        <v>3916</v>
      </c>
      <c r="B3910" t="s">
        <v>10011</v>
      </c>
      <c r="C3910">
        <v>3</v>
      </c>
      <c r="D3910">
        <v>5</v>
      </c>
      <c r="E3910">
        <v>15</v>
      </c>
      <c r="F3910" t="s">
        <v>10020</v>
      </c>
      <c r="G3910" t="s">
        <v>10102</v>
      </c>
      <c r="H3910" s="6">
        <v>45116</v>
      </c>
      <c r="I3910">
        <f t="shared" si="122"/>
        <v>0</v>
      </c>
      <c r="J3910" t="str">
        <f t="shared" si="123"/>
        <v>Complete</v>
      </c>
      <c r="K3910">
        <f>COUNTIFS(RawData[Item], B3910,RawData[Quantity],C3910,RawData[Price Per Unit],D3910,RawData[Total Spent],E3910,RawData[Payment Method],F3910,RawData[Location],G3910,RawData[Transaction Date],H3910)</f>
        <v>1</v>
      </c>
      <c r="L3910"/>
    </row>
    <row r="3911" spans="1:12" x14ac:dyDescent="0.3">
      <c r="A3911" t="s">
        <v>3917</v>
      </c>
      <c r="B3911" t="s">
        <v>10014</v>
      </c>
      <c r="C3911">
        <v>2</v>
      </c>
      <c r="D3911">
        <v>4</v>
      </c>
      <c r="E3911">
        <v>0</v>
      </c>
      <c r="F3911" t="s">
        <v>10020</v>
      </c>
      <c r="G3911" t="s">
        <v>10069</v>
      </c>
      <c r="H3911" s="6">
        <v>45044</v>
      </c>
      <c r="I3911">
        <f t="shared" si="122"/>
        <v>0</v>
      </c>
      <c r="J3911" t="str">
        <f t="shared" si="123"/>
        <v>Complete</v>
      </c>
      <c r="K3911">
        <f>COUNTIFS(RawData[Item], B3911,RawData[Quantity],C3911,RawData[Price Per Unit],D3911,RawData[Total Spent],E3911,RawData[Payment Method],F3911,RawData[Location],G3911,RawData[Transaction Date],H3911)</f>
        <v>1</v>
      </c>
      <c r="L3911"/>
    </row>
    <row r="3912" spans="1:12" x14ac:dyDescent="0.3">
      <c r="A3912" t="s">
        <v>3918</v>
      </c>
      <c r="B3912" t="s">
        <v>10009</v>
      </c>
      <c r="C3912">
        <v>3</v>
      </c>
      <c r="D3912">
        <v>3</v>
      </c>
      <c r="E3912">
        <v>9</v>
      </c>
      <c r="F3912" t="s">
        <v>10020</v>
      </c>
      <c r="G3912" t="s">
        <v>10069</v>
      </c>
      <c r="H3912" s="6">
        <v>45177</v>
      </c>
      <c r="I3912">
        <f t="shared" si="122"/>
        <v>0</v>
      </c>
      <c r="J3912" t="str">
        <f t="shared" si="123"/>
        <v>Complete</v>
      </c>
      <c r="K3912">
        <f>COUNTIFS(RawData[Item], B3912,RawData[Quantity],C3912,RawData[Price Per Unit],D3912,RawData[Total Spent],E3912,RawData[Payment Method],F3912,RawData[Location],G3912,RawData[Transaction Date],H3912)</f>
        <v>2</v>
      </c>
      <c r="L3912"/>
    </row>
    <row r="3913" spans="1:12" x14ac:dyDescent="0.3">
      <c r="A3913" t="s">
        <v>3919</v>
      </c>
      <c r="B3913" t="s">
        <v>10010</v>
      </c>
      <c r="C3913">
        <v>5</v>
      </c>
      <c r="D3913">
        <v>1</v>
      </c>
      <c r="E3913">
        <v>5</v>
      </c>
      <c r="F3913" t="s">
        <v>10018</v>
      </c>
      <c r="G3913" t="s">
        <v>10069</v>
      </c>
      <c r="H3913" s="6">
        <v>45143</v>
      </c>
      <c r="I3913">
        <f t="shared" si="122"/>
        <v>0</v>
      </c>
      <c r="J3913" t="str">
        <f t="shared" si="123"/>
        <v>Complete</v>
      </c>
      <c r="K3913">
        <f>COUNTIFS(RawData[Item], B3913,RawData[Quantity],C3913,RawData[Price Per Unit],D3913,RawData[Total Spent],E3913,RawData[Payment Method],F3913,RawData[Location],G3913,RawData[Transaction Date],H3913)</f>
        <v>1</v>
      </c>
      <c r="L3913"/>
    </row>
    <row r="3914" spans="1:12" x14ac:dyDescent="0.3">
      <c r="A3914" t="s">
        <v>3920</v>
      </c>
      <c r="B3914" t="s">
        <v>10009</v>
      </c>
      <c r="C3914">
        <v>1</v>
      </c>
      <c r="D3914">
        <v>3</v>
      </c>
      <c r="E3914">
        <v>3</v>
      </c>
      <c r="F3914" t="s">
        <v>10020</v>
      </c>
      <c r="G3914" t="s">
        <v>10069</v>
      </c>
      <c r="H3914" s="6">
        <v>45087</v>
      </c>
      <c r="I3914">
        <f t="shared" si="122"/>
        <v>0</v>
      </c>
      <c r="J3914" t="str">
        <f t="shared" si="123"/>
        <v>Complete</v>
      </c>
      <c r="K3914">
        <f>COUNTIFS(RawData[Item], B3914,RawData[Quantity],C3914,RawData[Price Per Unit],D3914,RawData[Total Spent],E3914,RawData[Payment Method],F3914,RawData[Location],G3914,RawData[Transaction Date],H3914)</f>
        <v>1</v>
      </c>
      <c r="L3914"/>
    </row>
    <row r="3915" spans="1:12" x14ac:dyDescent="0.3">
      <c r="A3915" t="s">
        <v>3921</v>
      </c>
      <c r="B3915" t="s">
        <v>10069</v>
      </c>
      <c r="C3915">
        <v>4</v>
      </c>
      <c r="D3915">
        <v>4</v>
      </c>
      <c r="E3915">
        <v>16</v>
      </c>
      <c r="F3915" t="s">
        <v>10069</v>
      </c>
      <c r="G3915" t="s">
        <v>10021</v>
      </c>
      <c r="H3915" s="6">
        <v>45171</v>
      </c>
      <c r="I3915">
        <f t="shared" si="122"/>
        <v>0</v>
      </c>
      <c r="J3915" t="str">
        <f t="shared" si="123"/>
        <v>Complete</v>
      </c>
      <c r="K3915">
        <f>COUNTIFS(RawData[Item], B3915,RawData[Quantity],C3915,RawData[Price Per Unit],D3915,RawData[Total Spent],E3915,RawData[Payment Method],F3915,RawData[Location],G3915,RawData[Transaction Date],H3915)</f>
        <v>1</v>
      </c>
      <c r="L3915"/>
    </row>
    <row r="3916" spans="1:12" x14ac:dyDescent="0.3">
      <c r="A3916" t="s">
        <v>3922</v>
      </c>
      <c r="B3916" t="s">
        <v>10008</v>
      </c>
      <c r="C3916">
        <v>1</v>
      </c>
      <c r="D3916">
        <v>2</v>
      </c>
      <c r="E3916">
        <v>2</v>
      </c>
      <c r="F3916" t="s">
        <v>10020</v>
      </c>
      <c r="G3916" t="s">
        <v>10021</v>
      </c>
      <c r="H3916" s="6">
        <v>45225</v>
      </c>
      <c r="I3916">
        <f t="shared" si="122"/>
        <v>0</v>
      </c>
      <c r="J3916" t="str">
        <f t="shared" si="123"/>
        <v>Complete</v>
      </c>
      <c r="K3916">
        <f>COUNTIFS(RawData[Item], B3916,RawData[Quantity],C3916,RawData[Price Per Unit],D3916,RawData[Total Spent],E3916,RawData[Payment Method],F3916,RawData[Location],G3916,RawData[Transaction Date],H3916)</f>
        <v>1</v>
      </c>
      <c r="L3916"/>
    </row>
    <row r="3917" spans="1:12" x14ac:dyDescent="0.3">
      <c r="A3917" t="s">
        <v>3923</v>
      </c>
      <c r="B3917" t="s">
        <v>10009</v>
      </c>
      <c r="C3917">
        <v>5</v>
      </c>
      <c r="D3917">
        <v>3</v>
      </c>
      <c r="E3917">
        <v>15</v>
      </c>
      <c r="F3917" t="s">
        <v>10019</v>
      </c>
      <c r="G3917" t="s">
        <v>10102</v>
      </c>
      <c r="H3917" s="6">
        <v>45068</v>
      </c>
      <c r="I3917">
        <f t="shared" si="122"/>
        <v>0</v>
      </c>
      <c r="J3917" t="str">
        <f t="shared" si="123"/>
        <v>Complete</v>
      </c>
      <c r="K3917">
        <f>COUNTIFS(RawData[Item], B3917,RawData[Quantity],C3917,RawData[Price Per Unit],D3917,RawData[Total Spent],E3917,RawData[Payment Method],F3917,RawData[Location],G3917,RawData[Transaction Date],H3917)</f>
        <v>1</v>
      </c>
      <c r="L3917"/>
    </row>
    <row r="3918" spans="1:12" x14ac:dyDescent="0.3">
      <c r="A3918" t="s">
        <v>3924</v>
      </c>
      <c r="B3918" t="s">
        <v>10016</v>
      </c>
      <c r="C3918">
        <v>4</v>
      </c>
      <c r="D3918">
        <v>3</v>
      </c>
      <c r="E3918">
        <v>12</v>
      </c>
      <c r="F3918" t="s">
        <v>10019</v>
      </c>
      <c r="G3918" t="s">
        <v>10069</v>
      </c>
      <c r="H3918" s="6">
        <v>45027</v>
      </c>
      <c r="I3918">
        <f t="shared" si="122"/>
        <v>0</v>
      </c>
      <c r="J3918" t="str">
        <f t="shared" si="123"/>
        <v>Complete</v>
      </c>
      <c r="K3918">
        <f>COUNTIFS(RawData[Item], B3918,RawData[Quantity],C3918,RawData[Price Per Unit],D3918,RawData[Total Spent],E3918,RawData[Payment Method],F3918,RawData[Location],G3918,RawData[Transaction Date],H3918)</f>
        <v>1</v>
      </c>
      <c r="L3918"/>
    </row>
    <row r="3919" spans="1:12" x14ac:dyDescent="0.3">
      <c r="A3919" t="s">
        <v>3925</v>
      </c>
      <c r="B3919" t="s">
        <v>10013</v>
      </c>
      <c r="C3919">
        <v>4</v>
      </c>
      <c r="D3919">
        <v>5</v>
      </c>
      <c r="E3919">
        <v>0</v>
      </c>
      <c r="F3919" t="s">
        <v>10019</v>
      </c>
      <c r="G3919" t="s">
        <v>10069</v>
      </c>
      <c r="H3919" s="6">
        <v>45285</v>
      </c>
      <c r="I3919">
        <f t="shared" si="122"/>
        <v>1</v>
      </c>
      <c r="J3919" t="str">
        <f t="shared" si="123"/>
        <v>Complete</v>
      </c>
      <c r="K3919">
        <f>COUNTIFS(RawData[Item], B3919,RawData[Quantity],C3919,RawData[Price Per Unit],D3919,RawData[Total Spent],E3919,RawData[Payment Method],F3919,RawData[Location],G3919,RawData[Transaction Date],H3919)</f>
        <v>1</v>
      </c>
      <c r="L3919"/>
    </row>
    <row r="3920" spans="1:12" x14ac:dyDescent="0.3">
      <c r="A3920" t="s">
        <v>3926</v>
      </c>
      <c r="B3920" t="s">
        <v>10012</v>
      </c>
      <c r="C3920">
        <v>1</v>
      </c>
      <c r="D3920">
        <v>4</v>
      </c>
      <c r="E3920">
        <v>4</v>
      </c>
      <c r="F3920" t="s">
        <v>10020</v>
      </c>
      <c r="G3920" t="s">
        <v>10021</v>
      </c>
      <c r="H3920" s="6" t="s">
        <v>10112</v>
      </c>
      <c r="I3920">
        <f t="shared" si="122"/>
        <v>1</v>
      </c>
      <c r="J3920" t="str">
        <f t="shared" si="123"/>
        <v>Incomplete</v>
      </c>
      <c r="K3920">
        <f>COUNTIFS(RawData[Item], B3920,RawData[Quantity],C3920,RawData[Price Per Unit],D3920,RawData[Total Spent],E3920,RawData[Payment Method],F3920,RawData[Location],G3920,RawData[Transaction Date],H3920)</f>
        <v>1</v>
      </c>
      <c r="L3920"/>
    </row>
    <row r="3921" spans="1:12" x14ac:dyDescent="0.3">
      <c r="A3921" t="s">
        <v>3927</v>
      </c>
      <c r="B3921" t="s">
        <v>10011</v>
      </c>
      <c r="C3921">
        <v>2</v>
      </c>
      <c r="D3921">
        <v>5</v>
      </c>
      <c r="E3921">
        <v>10</v>
      </c>
      <c r="F3921" t="s">
        <v>10018</v>
      </c>
      <c r="G3921" t="s">
        <v>10103</v>
      </c>
      <c r="H3921" s="6">
        <v>44998</v>
      </c>
      <c r="I3921">
        <f t="shared" si="122"/>
        <v>1</v>
      </c>
      <c r="J3921" t="str">
        <f t="shared" si="123"/>
        <v>Complete</v>
      </c>
      <c r="K3921">
        <f>COUNTIFS(RawData[Item], B3921,RawData[Quantity],C3921,RawData[Price Per Unit],D3921,RawData[Total Spent],E3921,RawData[Payment Method],F3921,RawData[Location],G3921,RawData[Transaction Date],H3921)</f>
        <v>1</v>
      </c>
      <c r="L3921"/>
    </row>
    <row r="3922" spans="1:12" x14ac:dyDescent="0.3">
      <c r="A3922" t="s">
        <v>3928</v>
      </c>
      <c r="B3922" t="s">
        <v>10008</v>
      </c>
      <c r="C3922">
        <v>1</v>
      </c>
      <c r="D3922">
        <v>2</v>
      </c>
      <c r="E3922">
        <v>2</v>
      </c>
      <c r="F3922" t="s">
        <v>10018</v>
      </c>
      <c r="G3922" t="s">
        <v>10069</v>
      </c>
      <c r="H3922" s="6">
        <v>44938</v>
      </c>
      <c r="I3922">
        <f t="shared" si="122"/>
        <v>0</v>
      </c>
      <c r="J3922" t="str">
        <f t="shared" si="123"/>
        <v>Complete</v>
      </c>
      <c r="K3922">
        <f>COUNTIFS(RawData[Item], B3922,RawData[Quantity],C3922,RawData[Price Per Unit],D3922,RawData[Total Spent],E3922,RawData[Payment Method],F3922,RawData[Location],G3922,RawData[Transaction Date],H3922)</f>
        <v>1</v>
      </c>
      <c r="L3922"/>
    </row>
    <row r="3923" spans="1:12" x14ac:dyDescent="0.3">
      <c r="A3923" t="s">
        <v>3929</v>
      </c>
      <c r="B3923" t="s">
        <v>10015</v>
      </c>
      <c r="C3923">
        <v>2</v>
      </c>
      <c r="D3923">
        <v>3</v>
      </c>
      <c r="E3923">
        <v>6</v>
      </c>
      <c r="F3923" t="s">
        <v>10018</v>
      </c>
      <c r="G3923" t="s">
        <v>10021</v>
      </c>
      <c r="H3923" s="6">
        <v>44969</v>
      </c>
      <c r="I3923">
        <f t="shared" si="122"/>
        <v>1</v>
      </c>
      <c r="J3923" t="str">
        <f t="shared" si="123"/>
        <v>Complete</v>
      </c>
      <c r="K3923">
        <f>COUNTIFS(RawData[Item], B3923,RawData[Quantity],C3923,RawData[Price Per Unit],D3923,RawData[Total Spent],E3923,RawData[Payment Method],F3923,RawData[Location],G3923,RawData[Transaction Date],H3923)</f>
        <v>1</v>
      </c>
      <c r="L3923"/>
    </row>
    <row r="3924" spans="1:12" x14ac:dyDescent="0.3">
      <c r="A3924" t="s">
        <v>3930</v>
      </c>
      <c r="B3924" t="s">
        <v>10009</v>
      </c>
      <c r="C3924">
        <v>4</v>
      </c>
      <c r="D3924">
        <v>3</v>
      </c>
      <c r="E3924">
        <v>12</v>
      </c>
      <c r="F3924" t="s">
        <v>10069</v>
      </c>
      <c r="G3924" t="s">
        <v>10069</v>
      </c>
      <c r="H3924" s="6" t="s">
        <v>10112</v>
      </c>
      <c r="I3924">
        <f t="shared" si="122"/>
        <v>1</v>
      </c>
      <c r="J3924" t="str">
        <f t="shared" si="123"/>
        <v>Incomplete</v>
      </c>
      <c r="K3924">
        <f>COUNTIFS(RawData[Item], B3924,RawData[Quantity],C3924,RawData[Price Per Unit],D3924,RawData[Total Spent],E3924,RawData[Payment Method],F3924,RawData[Location],G3924,RawData[Transaction Date],H3924)</f>
        <v>1</v>
      </c>
      <c r="L3924"/>
    </row>
    <row r="3925" spans="1:12" x14ac:dyDescent="0.3">
      <c r="A3925" t="s">
        <v>3931</v>
      </c>
      <c r="B3925" t="s">
        <v>10011</v>
      </c>
      <c r="C3925">
        <v>2</v>
      </c>
      <c r="D3925">
        <v>5</v>
      </c>
      <c r="E3925">
        <v>10</v>
      </c>
      <c r="F3925" t="s">
        <v>10019</v>
      </c>
      <c r="G3925" t="s">
        <v>10102</v>
      </c>
      <c r="H3925" s="6">
        <v>44965</v>
      </c>
      <c r="I3925">
        <f t="shared" si="122"/>
        <v>0</v>
      </c>
      <c r="J3925" t="str">
        <f t="shared" si="123"/>
        <v>Complete</v>
      </c>
      <c r="K3925">
        <f>COUNTIFS(RawData[Item], B3925,RawData[Quantity],C3925,RawData[Price Per Unit],D3925,RawData[Total Spent],E3925,RawData[Payment Method],F3925,RawData[Location],G3925,RawData[Transaction Date],H3925)</f>
        <v>1</v>
      </c>
      <c r="L3925"/>
    </row>
    <row r="3926" spans="1:12" x14ac:dyDescent="0.3">
      <c r="A3926" t="s">
        <v>3932</v>
      </c>
      <c r="B3926" t="s">
        <v>10008</v>
      </c>
      <c r="C3926">
        <v>3</v>
      </c>
      <c r="D3926">
        <v>2</v>
      </c>
      <c r="E3926">
        <v>6</v>
      </c>
      <c r="F3926" t="s">
        <v>10020</v>
      </c>
      <c r="G3926" t="s">
        <v>10021</v>
      </c>
      <c r="H3926" s="6">
        <v>45163</v>
      </c>
      <c r="I3926">
        <f t="shared" si="122"/>
        <v>0</v>
      </c>
      <c r="J3926" t="str">
        <f t="shared" si="123"/>
        <v>Complete</v>
      </c>
      <c r="K3926">
        <f>COUNTIFS(RawData[Item], B3926,RawData[Quantity],C3926,RawData[Price Per Unit],D3926,RawData[Total Spent],E3926,RawData[Payment Method],F3926,RawData[Location],G3926,RawData[Transaction Date],H3926)</f>
        <v>1</v>
      </c>
      <c r="L3926"/>
    </row>
    <row r="3927" spans="1:12" x14ac:dyDescent="0.3">
      <c r="A3927" t="s">
        <v>3933</v>
      </c>
      <c r="B3927" t="s">
        <v>10016</v>
      </c>
      <c r="C3927">
        <v>3</v>
      </c>
      <c r="D3927">
        <v>3</v>
      </c>
      <c r="E3927">
        <v>9</v>
      </c>
      <c r="F3927" t="s">
        <v>10020</v>
      </c>
      <c r="G3927" t="s">
        <v>10069</v>
      </c>
      <c r="H3927" s="6">
        <v>44981</v>
      </c>
      <c r="I3927">
        <f t="shared" si="122"/>
        <v>0</v>
      </c>
      <c r="J3927" t="str">
        <f t="shared" si="123"/>
        <v>Complete</v>
      </c>
      <c r="K3927">
        <f>COUNTIFS(RawData[Item], B3927,RawData[Quantity],C3927,RawData[Price Per Unit],D3927,RawData[Total Spent],E3927,RawData[Payment Method],F3927,RawData[Location],G3927,RawData[Transaction Date],H3927)</f>
        <v>1</v>
      </c>
      <c r="L3927"/>
    </row>
    <row r="3928" spans="1:12" x14ac:dyDescent="0.3">
      <c r="A3928" t="s">
        <v>3934</v>
      </c>
      <c r="B3928" t="s">
        <v>10010</v>
      </c>
      <c r="C3928">
        <v>2</v>
      </c>
      <c r="D3928">
        <v>1</v>
      </c>
      <c r="E3928">
        <v>2</v>
      </c>
      <c r="F3928" t="s">
        <v>10020</v>
      </c>
      <c r="G3928" t="s">
        <v>10069</v>
      </c>
      <c r="H3928" s="6">
        <v>45232</v>
      </c>
      <c r="I3928">
        <f t="shared" si="122"/>
        <v>0</v>
      </c>
      <c r="J3928" t="str">
        <f t="shared" si="123"/>
        <v>Complete</v>
      </c>
      <c r="K3928">
        <f>COUNTIFS(RawData[Item], B3928,RawData[Quantity],C3928,RawData[Price Per Unit],D3928,RawData[Total Spent],E3928,RawData[Payment Method],F3928,RawData[Location],G3928,RawData[Transaction Date],H3928)</f>
        <v>1</v>
      </c>
      <c r="L3928"/>
    </row>
    <row r="3929" spans="1:12" x14ac:dyDescent="0.3">
      <c r="A3929" t="s">
        <v>3935</v>
      </c>
      <c r="B3929" t="s">
        <v>10011</v>
      </c>
      <c r="C3929">
        <v>1</v>
      </c>
      <c r="D3929" t="s">
        <v>10015</v>
      </c>
      <c r="E3929">
        <v>5</v>
      </c>
      <c r="F3929" t="s">
        <v>10069</v>
      </c>
      <c r="G3929" t="s">
        <v>10102</v>
      </c>
      <c r="H3929" s="6">
        <v>44969</v>
      </c>
      <c r="I3929">
        <f t="shared" si="122"/>
        <v>1</v>
      </c>
      <c r="J3929" t="str">
        <f t="shared" si="123"/>
        <v>Complete</v>
      </c>
      <c r="K3929">
        <f>COUNTIFS(RawData[Item], B3929,RawData[Quantity],C3929,RawData[Price Per Unit],D3929,RawData[Total Spent],E3929,RawData[Payment Method],F3929,RawData[Location],G3929,RawData[Transaction Date],H3929)</f>
        <v>1</v>
      </c>
      <c r="L3929"/>
    </row>
    <row r="3930" spans="1:12" x14ac:dyDescent="0.3">
      <c r="A3930" t="s">
        <v>3936</v>
      </c>
      <c r="B3930" t="s">
        <v>10014</v>
      </c>
      <c r="C3930">
        <v>3</v>
      </c>
      <c r="D3930">
        <v>4</v>
      </c>
      <c r="E3930">
        <v>12</v>
      </c>
      <c r="F3930" t="s">
        <v>10018</v>
      </c>
      <c r="G3930" t="s">
        <v>10069</v>
      </c>
      <c r="H3930" s="6">
        <v>45218</v>
      </c>
      <c r="I3930">
        <f t="shared" si="122"/>
        <v>0</v>
      </c>
      <c r="J3930" t="str">
        <f t="shared" si="123"/>
        <v>Complete</v>
      </c>
      <c r="K3930">
        <f>COUNTIFS(RawData[Item], B3930,RawData[Quantity],C3930,RawData[Price Per Unit],D3930,RawData[Total Spent],E3930,RawData[Payment Method],F3930,RawData[Location],G3930,RawData[Transaction Date],H3930)</f>
        <v>1</v>
      </c>
      <c r="L3930"/>
    </row>
    <row r="3931" spans="1:12" x14ac:dyDescent="0.3">
      <c r="A3931" t="s">
        <v>3937</v>
      </c>
      <c r="B3931" t="s">
        <v>10009</v>
      </c>
      <c r="C3931">
        <v>5</v>
      </c>
      <c r="D3931">
        <v>3</v>
      </c>
      <c r="E3931">
        <v>15</v>
      </c>
      <c r="F3931" t="s">
        <v>10020</v>
      </c>
      <c r="G3931" t="s">
        <v>10102</v>
      </c>
      <c r="H3931" s="6">
        <v>44954</v>
      </c>
      <c r="I3931">
        <f t="shared" si="122"/>
        <v>0</v>
      </c>
      <c r="J3931" t="str">
        <f t="shared" si="123"/>
        <v>Complete</v>
      </c>
      <c r="K3931">
        <f>COUNTIFS(RawData[Item], B3931,RawData[Quantity],C3931,RawData[Price Per Unit],D3931,RawData[Total Spent],E3931,RawData[Payment Method],F3931,RawData[Location],G3931,RawData[Transaction Date],H3931)</f>
        <v>1</v>
      </c>
      <c r="L3931"/>
    </row>
    <row r="3932" spans="1:12" x14ac:dyDescent="0.3">
      <c r="A3932" t="s">
        <v>3938</v>
      </c>
      <c r="B3932" t="s">
        <v>10011</v>
      </c>
      <c r="C3932">
        <v>0</v>
      </c>
      <c r="D3932">
        <v>5</v>
      </c>
      <c r="E3932">
        <v>10</v>
      </c>
      <c r="F3932" t="s">
        <v>10018</v>
      </c>
      <c r="G3932" t="s">
        <v>10069</v>
      </c>
      <c r="H3932" s="6">
        <v>45018</v>
      </c>
      <c r="I3932">
        <f t="shared" si="122"/>
        <v>0</v>
      </c>
      <c r="J3932" t="str">
        <f t="shared" si="123"/>
        <v>Complete</v>
      </c>
      <c r="K3932">
        <f>COUNTIFS(RawData[Item], B3932,RawData[Quantity],C3932,RawData[Price Per Unit],D3932,RawData[Total Spent],E3932,RawData[Payment Method],F3932,RawData[Location],G3932,RawData[Transaction Date],H3932)</f>
        <v>1</v>
      </c>
      <c r="L3932"/>
    </row>
    <row r="3933" spans="1:12" x14ac:dyDescent="0.3">
      <c r="A3933" t="s">
        <v>3939</v>
      </c>
      <c r="B3933" t="s">
        <v>10008</v>
      </c>
      <c r="C3933">
        <v>3</v>
      </c>
      <c r="D3933">
        <v>2</v>
      </c>
      <c r="E3933">
        <v>6</v>
      </c>
      <c r="F3933" t="s">
        <v>10069</v>
      </c>
      <c r="G3933" t="s">
        <v>10102</v>
      </c>
      <c r="H3933" s="6">
        <v>45284</v>
      </c>
      <c r="I3933">
        <f t="shared" si="122"/>
        <v>0</v>
      </c>
      <c r="J3933" t="str">
        <f t="shared" si="123"/>
        <v>Complete</v>
      </c>
      <c r="K3933">
        <f>COUNTIFS(RawData[Item], B3933,RawData[Quantity],C3933,RawData[Price Per Unit],D3933,RawData[Total Spent],E3933,RawData[Payment Method],F3933,RawData[Location],G3933,RawData[Transaction Date],H3933)</f>
        <v>1</v>
      </c>
      <c r="L3933"/>
    </row>
    <row r="3934" spans="1:12" x14ac:dyDescent="0.3">
      <c r="A3934" t="s">
        <v>3940</v>
      </c>
      <c r="B3934" t="s">
        <v>10009</v>
      </c>
      <c r="C3934">
        <v>2</v>
      </c>
      <c r="D3934">
        <v>3</v>
      </c>
      <c r="E3934">
        <v>6</v>
      </c>
      <c r="F3934" t="s">
        <v>10020</v>
      </c>
      <c r="G3934" t="s">
        <v>10102</v>
      </c>
      <c r="H3934" s="6">
        <v>45022</v>
      </c>
      <c r="I3934">
        <f t="shared" si="122"/>
        <v>0</v>
      </c>
      <c r="J3934" t="str">
        <f t="shared" si="123"/>
        <v>Complete</v>
      </c>
      <c r="K3934">
        <f>COUNTIFS(RawData[Item], B3934,RawData[Quantity],C3934,RawData[Price Per Unit],D3934,RawData[Total Spent],E3934,RawData[Payment Method],F3934,RawData[Location],G3934,RawData[Transaction Date],H3934)</f>
        <v>1</v>
      </c>
      <c r="L3934"/>
    </row>
    <row r="3935" spans="1:12" x14ac:dyDescent="0.3">
      <c r="A3935" t="s">
        <v>3941</v>
      </c>
      <c r="B3935" t="s">
        <v>10010</v>
      </c>
      <c r="C3935">
        <v>4</v>
      </c>
      <c r="D3935">
        <v>1</v>
      </c>
      <c r="E3935">
        <v>4</v>
      </c>
      <c r="F3935" t="s">
        <v>10069</v>
      </c>
      <c r="G3935" t="s">
        <v>10069</v>
      </c>
      <c r="H3935" s="6">
        <v>45286</v>
      </c>
      <c r="I3935">
        <f t="shared" si="122"/>
        <v>0</v>
      </c>
      <c r="J3935" t="str">
        <f t="shared" si="123"/>
        <v>Complete</v>
      </c>
      <c r="K3935">
        <f>COUNTIFS(RawData[Item], B3935,RawData[Quantity],C3935,RawData[Price Per Unit],D3935,RawData[Total Spent],E3935,RawData[Payment Method],F3935,RawData[Location],G3935,RawData[Transaction Date],H3935)</f>
        <v>1</v>
      </c>
      <c r="L3935"/>
    </row>
    <row r="3936" spans="1:12" x14ac:dyDescent="0.3">
      <c r="A3936" t="s">
        <v>3942</v>
      </c>
      <c r="B3936" t="s">
        <v>10011</v>
      </c>
      <c r="C3936">
        <v>4</v>
      </c>
      <c r="D3936">
        <v>5</v>
      </c>
      <c r="E3936">
        <v>20</v>
      </c>
      <c r="F3936" t="s">
        <v>10020</v>
      </c>
      <c r="G3936" t="s">
        <v>10021</v>
      </c>
      <c r="H3936" s="6">
        <v>45042</v>
      </c>
      <c r="I3936">
        <f t="shared" si="122"/>
        <v>0</v>
      </c>
      <c r="J3936" t="str">
        <f t="shared" si="123"/>
        <v>Complete</v>
      </c>
      <c r="K3936">
        <f>COUNTIFS(RawData[Item], B3936,RawData[Quantity],C3936,RawData[Price Per Unit],D3936,RawData[Total Spent],E3936,RawData[Payment Method],F3936,RawData[Location],G3936,RawData[Transaction Date],H3936)</f>
        <v>1</v>
      </c>
      <c r="L3936"/>
    </row>
    <row r="3937" spans="1:12" x14ac:dyDescent="0.3">
      <c r="A3937" t="s">
        <v>3943</v>
      </c>
      <c r="B3937" t="s">
        <v>10010</v>
      </c>
      <c r="C3937">
        <v>4</v>
      </c>
      <c r="D3937">
        <v>1</v>
      </c>
      <c r="E3937">
        <v>4</v>
      </c>
      <c r="F3937" t="s">
        <v>10104</v>
      </c>
      <c r="G3937" t="s">
        <v>10102</v>
      </c>
      <c r="H3937" s="6">
        <v>44961</v>
      </c>
      <c r="I3937">
        <f t="shared" si="122"/>
        <v>1</v>
      </c>
      <c r="J3937" t="str">
        <f t="shared" si="123"/>
        <v>Complete</v>
      </c>
      <c r="K3937">
        <f>COUNTIFS(RawData[Item], B3937,RawData[Quantity],C3937,RawData[Price Per Unit],D3937,RawData[Total Spent],E3937,RawData[Payment Method],F3937,RawData[Location],G3937,RawData[Transaction Date],H3937)</f>
        <v>1</v>
      </c>
      <c r="L3937"/>
    </row>
    <row r="3938" spans="1:12" x14ac:dyDescent="0.3">
      <c r="A3938" t="s">
        <v>3944</v>
      </c>
      <c r="B3938" t="s">
        <v>10009</v>
      </c>
      <c r="C3938">
        <v>4</v>
      </c>
      <c r="D3938">
        <v>3</v>
      </c>
      <c r="E3938">
        <v>12</v>
      </c>
      <c r="F3938" t="s">
        <v>10018</v>
      </c>
      <c r="G3938" t="s">
        <v>10069</v>
      </c>
      <c r="H3938" s="6">
        <v>45212</v>
      </c>
      <c r="I3938">
        <f t="shared" si="122"/>
        <v>0</v>
      </c>
      <c r="J3938" t="str">
        <f t="shared" si="123"/>
        <v>Complete</v>
      </c>
      <c r="K3938">
        <f>COUNTIFS(RawData[Item], B3938,RawData[Quantity],C3938,RawData[Price Per Unit],D3938,RawData[Total Spent],E3938,RawData[Payment Method],F3938,RawData[Location],G3938,RawData[Transaction Date],H3938)</f>
        <v>1</v>
      </c>
      <c r="L3938"/>
    </row>
    <row r="3939" spans="1:12" x14ac:dyDescent="0.3">
      <c r="A3939" t="s">
        <v>3945</v>
      </c>
      <c r="B3939" t="s">
        <v>10017</v>
      </c>
      <c r="C3939">
        <v>5</v>
      </c>
      <c r="D3939">
        <v>1.5</v>
      </c>
      <c r="E3939">
        <v>7.5</v>
      </c>
      <c r="F3939" t="s">
        <v>10019</v>
      </c>
      <c r="G3939" t="s">
        <v>10021</v>
      </c>
      <c r="H3939" s="6">
        <v>45229</v>
      </c>
      <c r="I3939">
        <f t="shared" si="122"/>
        <v>0</v>
      </c>
      <c r="J3939" t="str">
        <f t="shared" si="123"/>
        <v>Complete</v>
      </c>
      <c r="K3939">
        <f>COUNTIFS(RawData[Item], B3939,RawData[Quantity],C3939,RawData[Price Per Unit],D3939,RawData[Total Spent],E3939,RawData[Payment Method],F3939,RawData[Location],G3939,RawData[Transaction Date],H3939)</f>
        <v>1</v>
      </c>
      <c r="L3939"/>
    </row>
    <row r="3940" spans="1:12" x14ac:dyDescent="0.3">
      <c r="A3940" t="s">
        <v>3946</v>
      </c>
      <c r="B3940" t="s">
        <v>10017</v>
      </c>
      <c r="C3940">
        <v>3</v>
      </c>
      <c r="D3940">
        <v>1.5</v>
      </c>
      <c r="E3940">
        <v>4.5</v>
      </c>
      <c r="F3940" t="s">
        <v>10069</v>
      </c>
      <c r="G3940" t="s">
        <v>10103</v>
      </c>
      <c r="H3940" s="6">
        <v>45042</v>
      </c>
      <c r="I3940">
        <f t="shared" si="122"/>
        <v>1</v>
      </c>
      <c r="J3940" t="str">
        <f t="shared" si="123"/>
        <v>Complete</v>
      </c>
      <c r="K3940">
        <f>COUNTIFS(RawData[Item], B3940,RawData[Quantity],C3940,RawData[Price Per Unit],D3940,RawData[Total Spent],E3940,RawData[Payment Method],F3940,RawData[Location],G3940,RawData[Transaction Date],H3940)</f>
        <v>1</v>
      </c>
      <c r="L3940"/>
    </row>
    <row r="3941" spans="1:12" x14ac:dyDescent="0.3">
      <c r="A3941" t="s">
        <v>3947</v>
      </c>
      <c r="B3941" t="s">
        <v>10016</v>
      </c>
      <c r="C3941">
        <v>3</v>
      </c>
      <c r="D3941">
        <v>3</v>
      </c>
      <c r="E3941">
        <v>9</v>
      </c>
      <c r="F3941" t="s">
        <v>10020</v>
      </c>
      <c r="G3941" t="s">
        <v>10069</v>
      </c>
      <c r="H3941" s="6">
        <v>45121</v>
      </c>
      <c r="I3941">
        <f t="shared" si="122"/>
        <v>0</v>
      </c>
      <c r="J3941" t="str">
        <f t="shared" si="123"/>
        <v>Complete</v>
      </c>
      <c r="K3941">
        <f>COUNTIFS(RawData[Item], B3941,RawData[Quantity],C3941,RawData[Price Per Unit],D3941,RawData[Total Spent],E3941,RawData[Payment Method],F3941,RawData[Location],G3941,RawData[Transaction Date],H3941)</f>
        <v>1</v>
      </c>
      <c r="L3941"/>
    </row>
    <row r="3942" spans="1:12" x14ac:dyDescent="0.3">
      <c r="A3942" t="s">
        <v>3948</v>
      </c>
      <c r="B3942" t="s">
        <v>10008</v>
      </c>
      <c r="C3942">
        <v>5</v>
      </c>
      <c r="D3942">
        <v>2</v>
      </c>
      <c r="E3942">
        <v>10</v>
      </c>
      <c r="F3942" t="s">
        <v>10019</v>
      </c>
      <c r="G3942" t="s">
        <v>10102</v>
      </c>
      <c r="H3942" s="6" t="s">
        <v>10112</v>
      </c>
      <c r="I3942">
        <f t="shared" si="122"/>
        <v>1</v>
      </c>
      <c r="J3942" t="str">
        <f t="shared" si="123"/>
        <v>Incomplete</v>
      </c>
      <c r="K3942">
        <f>COUNTIFS(RawData[Item], B3942,RawData[Quantity],C3942,RawData[Price Per Unit],D3942,RawData[Total Spent],E3942,RawData[Payment Method],F3942,RawData[Location],G3942,RawData[Transaction Date],H3942)</f>
        <v>1</v>
      </c>
      <c r="L3942"/>
    </row>
    <row r="3943" spans="1:12" x14ac:dyDescent="0.3">
      <c r="A3943" t="s">
        <v>3949</v>
      </c>
      <c r="B3943" t="s">
        <v>10017</v>
      </c>
      <c r="C3943">
        <v>5</v>
      </c>
      <c r="D3943">
        <v>1.5</v>
      </c>
      <c r="E3943">
        <v>7.5</v>
      </c>
      <c r="F3943" t="s">
        <v>10019</v>
      </c>
      <c r="G3943" t="s">
        <v>10069</v>
      </c>
      <c r="H3943" s="6">
        <v>45112</v>
      </c>
      <c r="I3943">
        <f t="shared" si="122"/>
        <v>0</v>
      </c>
      <c r="J3943" t="str">
        <f t="shared" si="123"/>
        <v>Complete</v>
      </c>
      <c r="K3943">
        <f>COUNTIFS(RawData[Item], B3943,RawData[Quantity],C3943,RawData[Price Per Unit],D3943,RawData[Total Spent],E3943,RawData[Payment Method],F3943,RawData[Location],G3943,RawData[Transaction Date],H3943)</f>
        <v>1</v>
      </c>
      <c r="L3943"/>
    </row>
    <row r="3944" spans="1:12" x14ac:dyDescent="0.3">
      <c r="A3944" t="s">
        <v>3950</v>
      </c>
      <c r="B3944" t="s">
        <v>10010</v>
      </c>
      <c r="C3944">
        <v>3</v>
      </c>
      <c r="D3944">
        <v>1</v>
      </c>
      <c r="E3944">
        <v>3</v>
      </c>
      <c r="F3944" t="s">
        <v>10020</v>
      </c>
      <c r="G3944" t="s">
        <v>10102</v>
      </c>
      <c r="H3944" s="6">
        <v>45278</v>
      </c>
      <c r="I3944">
        <f t="shared" si="122"/>
        <v>0</v>
      </c>
      <c r="J3944" t="str">
        <f t="shared" si="123"/>
        <v>Complete</v>
      </c>
      <c r="K3944">
        <f>COUNTIFS(RawData[Item], B3944,RawData[Quantity],C3944,RawData[Price Per Unit],D3944,RawData[Total Spent],E3944,RawData[Payment Method],F3944,RawData[Location],G3944,RawData[Transaction Date],H3944)</f>
        <v>1</v>
      </c>
      <c r="L3944"/>
    </row>
    <row r="3945" spans="1:12" x14ac:dyDescent="0.3">
      <c r="A3945" t="s">
        <v>3951</v>
      </c>
      <c r="B3945" t="s">
        <v>10017</v>
      </c>
      <c r="C3945">
        <v>5</v>
      </c>
      <c r="D3945">
        <v>1.5</v>
      </c>
      <c r="E3945">
        <v>7.5</v>
      </c>
      <c r="F3945" t="s">
        <v>10018</v>
      </c>
      <c r="G3945" t="s">
        <v>10021</v>
      </c>
      <c r="H3945" s="6">
        <v>45208</v>
      </c>
      <c r="I3945">
        <f t="shared" si="122"/>
        <v>0</v>
      </c>
      <c r="J3945" t="str">
        <f t="shared" si="123"/>
        <v>Complete</v>
      </c>
      <c r="K3945">
        <f>COUNTIFS(RawData[Item], B3945,RawData[Quantity],C3945,RawData[Price Per Unit],D3945,RawData[Total Spent],E3945,RawData[Payment Method],F3945,RawData[Location],G3945,RawData[Transaction Date],H3945)</f>
        <v>1</v>
      </c>
      <c r="L3945"/>
    </row>
    <row r="3946" spans="1:12" x14ac:dyDescent="0.3">
      <c r="A3946" t="s">
        <v>3952</v>
      </c>
      <c r="B3946" t="s">
        <v>10017</v>
      </c>
      <c r="C3946">
        <v>1</v>
      </c>
      <c r="D3946">
        <v>1.5</v>
      </c>
      <c r="E3946">
        <v>1.5</v>
      </c>
      <c r="F3946" t="s">
        <v>10069</v>
      </c>
      <c r="G3946" t="s">
        <v>10069</v>
      </c>
      <c r="H3946" s="6">
        <v>45203</v>
      </c>
      <c r="I3946">
        <f t="shared" si="122"/>
        <v>0</v>
      </c>
      <c r="J3946" t="str">
        <f t="shared" si="123"/>
        <v>Complete</v>
      </c>
      <c r="K3946">
        <f>COUNTIFS(RawData[Item], B3946,RawData[Quantity],C3946,RawData[Price Per Unit],D3946,RawData[Total Spent],E3946,RawData[Payment Method],F3946,RawData[Location],G3946,RawData[Transaction Date],H3946)</f>
        <v>1</v>
      </c>
      <c r="L3946"/>
    </row>
    <row r="3947" spans="1:12" x14ac:dyDescent="0.3">
      <c r="A3947" t="s">
        <v>3953</v>
      </c>
      <c r="B3947" t="s">
        <v>10013</v>
      </c>
      <c r="C3947">
        <v>2</v>
      </c>
      <c r="D3947">
        <v>4</v>
      </c>
      <c r="E3947">
        <v>8</v>
      </c>
      <c r="F3947" t="s">
        <v>10018</v>
      </c>
      <c r="G3947" t="s">
        <v>10069</v>
      </c>
      <c r="H3947" s="6">
        <v>45164</v>
      </c>
      <c r="I3947">
        <f t="shared" si="122"/>
        <v>1</v>
      </c>
      <c r="J3947" t="str">
        <f t="shared" si="123"/>
        <v>Complete</v>
      </c>
      <c r="K3947">
        <f>COUNTIFS(RawData[Item], B3947,RawData[Quantity],C3947,RawData[Price Per Unit],D3947,RawData[Total Spent],E3947,RawData[Payment Method],F3947,RawData[Location],G3947,RawData[Transaction Date],H3947)</f>
        <v>1</v>
      </c>
      <c r="L3947"/>
    </row>
    <row r="3948" spans="1:12" x14ac:dyDescent="0.3">
      <c r="A3948" t="s">
        <v>3954</v>
      </c>
      <c r="B3948" t="s">
        <v>10014</v>
      </c>
      <c r="C3948">
        <v>4</v>
      </c>
      <c r="D3948">
        <v>4</v>
      </c>
      <c r="E3948" t="s">
        <v>10013</v>
      </c>
      <c r="F3948" t="s">
        <v>10069</v>
      </c>
      <c r="G3948" t="s">
        <v>10021</v>
      </c>
      <c r="H3948" s="6">
        <v>44970</v>
      </c>
      <c r="I3948">
        <f t="shared" si="122"/>
        <v>1</v>
      </c>
      <c r="J3948" t="str">
        <f t="shared" si="123"/>
        <v>Complete</v>
      </c>
      <c r="K3948">
        <f>COUNTIFS(RawData[Item], B3948,RawData[Quantity],C3948,RawData[Price Per Unit],D3948,RawData[Total Spent],E3948,RawData[Payment Method],F3948,RawData[Location],G3948,RawData[Transaction Date],H3948)</f>
        <v>1</v>
      </c>
      <c r="L3948"/>
    </row>
    <row r="3949" spans="1:12" x14ac:dyDescent="0.3">
      <c r="A3949" t="s">
        <v>3955</v>
      </c>
      <c r="B3949" t="s">
        <v>10012</v>
      </c>
      <c r="C3949">
        <v>1</v>
      </c>
      <c r="D3949">
        <v>4</v>
      </c>
      <c r="E3949">
        <v>4</v>
      </c>
      <c r="F3949" t="s">
        <v>10019</v>
      </c>
      <c r="G3949" t="s">
        <v>10021</v>
      </c>
      <c r="H3949" s="6">
        <v>45124</v>
      </c>
      <c r="I3949">
        <f t="shared" si="122"/>
        <v>0</v>
      </c>
      <c r="J3949" t="str">
        <f t="shared" si="123"/>
        <v>Complete</v>
      </c>
      <c r="K3949">
        <f>COUNTIFS(RawData[Item], B3949,RawData[Quantity],C3949,RawData[Price Per Unit],D3949,RawData[Total Spent],E3949,RawData[Payment Method],F3949,RawData[Location],G3949,RawData[Transaction Date],H3949)</f>
        <v>1</v>
      </c>
      <c r="L3949"/>
    </row>
    <row r="3950" spans="1:12" x14ac:dyDescent="0.3">
      <c r="A3950" t="s">
        <v>3956</v>
      </c>
      <c r="B3950" t="s">
        <v>10016</v>
      </c>
      <c r="C3950">
        <v>4</v>
      </c>
      <c r="D3950">
        <v>3</v>
      </c>
      <c r="E3950">
        <v>12</v>
      </c>
      <c r="F3950" t="s">
        <v>10020</v>
      </c>
      <c r="G3950" t="s">
        <v>10021</v>
      </c>
      <c r="H3950" s="6">
        <v>45143</v>
      </c>
      <c r="I3950">
        <f t="shared" si="122"/>
        <v>0</v>
      </c>
      <c r="J3950" t="str">
        <f t="shared" si="123"/>
        <v>Complete</v>
      </c>
      <c r="K3950">
        <f>COUNTIFS(RawData[Item], B3950,RawData[Quantity],C3950,RawData[Price Per Unit],D3950,RawData[Total Spent],E3950,RawData[Payment Method],F3950,RawData[Location],G3950,RawData[Transaction Date],H3950)</f>
        <v>1</v>
      </c>
      <c r="L3950"/>
    </row>
    <row r="3951" spans="1:12" x14ac:dyDescent="0.3">
      <c r="A3951" t="s">
        <v>3957</v>
      </c>
      <c r="B3951" t="s">
        <v>10016</v>
      </c>
      <c r="C3951">
        <v>3</v>
      </c>
      <c r="D3951">
        <v>3</v>
      </c>
      <c r="E3951">
        <v>9</v>
      </c>
      <c r="F3951" t="s">
        <v>10019</v>
      </c>
      <c r="G3951" t="s">
        <v>10102</v>
      </c>
      <c r="H3951" s="6">
        <v>45249</v>
      </c>
      <c r="I3951">
        <f t="shared" si="122"/>
        <v>0</v>
      </c>
      <c r="J3951" t="str">
        <f t="shared" si="123"/>
        <v>Complete</v>
      </c>
      <c r="K3951">
        <f>COUNTIFS(RawData[Item], B3951,RawData[Quantity],C3951,RawData[Price Per Unit],D3951,RawData[Total Spent],E3951,RawData[Payment Method],F3951,RawData[Location],G3951,RawData[Transaction Date],H3951)</f>
        <v>1</v>
      </c>
      <c r="L3951"/>
    </row>
    <row r="3952" spans="1:12" x14ac:dyDescent="0.3">
      <c r="A3952" t="s">
        <v>3958</v>
      </c>
      <c r="B3952" t="s">
        <v>10009</v>
      </c>
      <c r="C3952">
        <v>1</v>
      </c>
      <c r="D3952">
        <v>3</v>
      </c>
      <c r="E3952">
        <v>3</v>
      </c>
      <c r="F3952" t="s">
        <v>10069</v>
      </c>
      <c r="G3952" t="s">
        <v>10021</v>
      </c>
      <c r="H3952" s="6">
        <v>45061</v>
      </c>
      <c r="I3952">
        <f t="shared" si="122"/>
        <v>0</v>
      </c>
      <c r="J3952" t="str">
        <f t="shared" si="123"/>
        <v>Complete</v>
      </c>
      <c r="K3952">
        <f>COUNTIFS(RawData[Item], B3952,RawData[Quantity],C3952,RawData[Price Per Unit],D3952,RawData[Total Spent],E3952,RawData[Payment Method],F3952,RawData[Location],G3952,RawData[Transaction Date],H3952)</f>
        <v>1</v>
      </c>
      <c r="L3952"/>
    </row>
    <row r="3953" spans="1:12" x14ac:dyDescent="0.3">
      <c r="A3953" t="s">
        <v>3959</v>
      </c>
      <c r="B3953" t="s">
        <v>10010</v>
      </c>
      <c r="C3953">
        <v>5</v>
      </c>
      <c r="D3953">
        <v>1</v>
      </c>
      <c r="E3953">
        <v>5</v>
      </c>
      <c r="F3953" t="s">
        <v>10018</v>
      </c>
      <c r="G3953" t="s">
        <v>10102</v>
      </c>
      <c r="H3953" s="6">
        <v>45202</v>
      </c>
      <c r="I3953">
        <f t="shared" si="122"/>
        <v>0</v>
      </c>
      <c r="J3953" t="str">
        <f t="shared" si="123"/>
        <v>Complete</v>
      </c>
      <c r="K3953">
        <f>COUNTIFS(RawData[Item], B3953,RawData[Quantity],C3953,RawData[Price Per Unit],D3953,RawData[Total Spent],E3953,RawData[Payment Method],F3953,RawData[Location],G3953,RawData[Transaction Date],H3953)</f>
        <v>1</v>
      </c>
      <c r="L3953"/>
    </row>
    <row r="3954" spans="1:12" x14ac:dyDescent="0.3">
      <c r="A3954" t="s">
        <v>3960</v>
      </c>
      <c r="B3954" t="s">
        <v>10009</v>
      </c>
      <c r="C3954">
        <v>4</v>
      </c>
      <c r="D3954">
        <v>3</v>
      </c>
      <c r="E3954">
        <v>12</v>
      </c>
      <c r="F3954" t="s">
        <v>10020</v>
      </c>
      <c r="G3954" t="s">
        <v>10021</v>
      </c>
      <c r="H3954" s="6">
        <v>44949</v>
      </c>
      <c r="I3954">
        <f t="shared" si="122"/>
        <v>0</v>
      </c>
      <c r="J3954" t="str">
        <f t="shared" si="123"/>
        <v>Complete</v>
      </c>
      <c r="K3954">
        <f>COUNTIFS(RawData[Item], B3954,RawData[Quantity],C3954,RawData[Price Per Unit],D3954,RawData[Total Spent],E3954,RawData[Payment Method],F3954,RawData[Location],G3954,RawData[Transaction Date],H3954)</f>
        <v>1</v>
      </c>
      <c r="L3954"/>
    </row>
    <row r="3955" spans="1:12" x14ac:dyDescent="0.3">
      <c r="A3955" t="s">
        <v>3961</v>
      </c>
      <c r="B3955" t="s">
        <v>10011</v>
      </c>
      <c r="C3955">
        <v>1</v>
      </c>
      <c r="D3955">
        <v>5</v>
      </c>
      <c r="E3955">
        <v>5</v>
      </c>
      <c r="F3955" t="s">
        <v>10019</v>
      </c>
      <c r="G3955" t="s">
        <v>10102</v>
      </c>
      <c r="H3955" s="6">
        <v>45225</v>
      </c>
      <c r="I3955">
        <f t="shared" si="122"/>
        <v>0</v>
      </c>
      <c r="J3955" t="str">
        <f t="shared" si="123"/>
        <v>Complete</v>
      </c>
      <c r="K3955">
        <f>COUNTIFS(RawData[Item], B3955,RawData[Quantity],C3955,RawData[Price Per Unit],D3955,RawData[Total Spent],E3955,RawData[Payment Method],F3955,RawData[Location],G3955,RawData[Transaction Date],H3955)</f>
        <v>1</v>
      </c>
      <c r="L3955"/>
    </row>
    <row r="3956" spans="1:12" x14ac:dyDescent="0.3">
      <c r="A3956" t="s">
        <v>3962</v>
      </c>
      <c r="B3956" t="s">
        <v>10011</v>
      </c>
      <c r="C3956">
        <v>1</v>
      </c>
      <c r="D3956">
        <v>5</v>
      </c>
      <c r="E3956">
        <v>5</v>
      </c>
      <c r="F3956" t="s">
        <v>10018</v>
      </c>
      <c r="G3956" t="s">
        <v>10069</v>
      </c>
      <c r="H3956" s="6">
        <v>45167</v>
      </c>
      <c r="I3956">
        <f t="shared" si="122"/>
        <v>0</v>
      </c>
      <c r="J3956" t="str">
        <f t="shared" si="123"/>
        <v>Complete</v>
      </c>
      <c r="K3956">
        <f>COUNTIFS(RawData[Item], B3956,RawData[Quantity],C3956,RawData[Price Per Unit],D3956,RawData[Total Spent],E3956,RawData[Payment Method],F3956,RawData[Location],G3956,RawData[Transaction Date],H3956)</f>
        <v>1</v>
      </c>
      <c r="L3956"/>
    </row>
    <row r="3957" spans="1:12" x14ac:dyDescent="0.3">
      <c r="A3957" t="s">
        <v>3963</v>
      </c>
      <c r="B3957" t="s">
        <v>10010</v>
      </c>
      <c r="C3957">
        <v>1</v>
      </c>
      <c r="D3957">
        <v>1</v>
      </c>
      <c r="E3957">
        <v>1</v>
      </c>
      <c r="F3957" t="s">
        <v>10104</v>
      </c>
      <c r="G3957" t="s">
        <v>10021</v>
      </c>
      <c r="H3957" s="6">
        <v>45193</v>
      </c>
      <c r="I3957">
        <f t="shared" si="122"/>
        <v>1</v>
      </c>
      <c r="J3957" t="str">
        <f t="shared" si="123"/>
        <v>Complete</v>
      </c>
      <c r="K3957">
        <f>COUNTIFS(RawData[Item], B3957,RawData[Quantity],C3957,RawData[Price Per Unit],D3957,RawData[Total Spent],E3957,RawData[Payment Method],F3957,RawData[Location],G3957,RawData[Transaction Date],H3957)</f>
        <v>1</v>
      </c>
      <c r="L3957"/>
    </row>
    <row r="3958" spans="1:12" x14ac:dyDescent="0.3">
      <c r="A3958" t="s">
        <v>3964</v>
      </c>
      <c r="B3958" t="s">
        <v>10012</v>
      </c>
      <c r="C3958">
        <v>4</v>
      </c>
      <c r="D3958">
        <v>4</v>
      </c>
      <c r="E3958">
        <v>16</v>
      </c>
      <c r="F3958" t="s">
        <v>10018</v>
      </c>
      <c r="G3958" t="s">
        <v>10069</v>
      </c>
      <c r="H3958" s="6">
        <v>45211</v>
      </c>
      <c r="I3958">
        <f t="shared" si="122"/>
        <v>0</v>
      </c>
      <c r="J3958" t="str">
        <f t="shared" si="123"/>
        <v>Complete</v>
      </c>
      <c r="K3958">
        <f>COUNTIFS(RawData[Item], B3958,RawData[Quantity],C3958,RawData[Price Per Unit],D3958,RawData[Total Spent],E3958,RawData[Payment Method],F3958,RawData[Location],G3958,RawData[Transaction Date],H3958)</f>
        <v>1</v>
      </c>
      <c r="L3958"/>
    </row>
    <row r="3959" spans="1:12" x14ac:dyDescent="0.3">
      <c r="A3959" t="s">
        <v>3965</v>
      </c>
      <c r="B3959" t="s">
        <v>10008</v>
      </c>
      <c r="C3959">
        <v>4</v>
      </c>
      <c r="D3959">
        <v>2</v>
      </c>
      <c r="E3959">
        <v>8</v>
      </c>
      <c r="F3959" t="s">
        <v>10069</v>
      </c>
      <c r="G3959" t="s">
        <v>10069</v>
      </c>
      <c r="H3959" s="6">
        <v>45270</v>
      </c>
      <c r="I3959">
        <f t="shared" si="122"/>
        <v>0</v>
      </c>
      <c r="J3959" t="str">
        <f t="shared" si="123"/>
        <v>Complete</v>
      </c>
      <c r="K3959">
        <f>COUNTIFS(RawData[Item], B3959,RawData[Quantity],C3959,RawData[Price Per Unit],D3959,RawData[Total Spent],E3959,RawData[Payment Method],F3959,RawData[Location],G3959,RawData[Transaction Date],H3959)</f>
        <v>2</v>
      </c>
      <c r="L3959"/>
    </row>
    <row r="3960" spans="1:12" x14ac:dyDescent="0.3">
      <c r="A3960" t="s">
        <v>3966</v>
      </c>
      <c r="B3960" t="s">
        <v>10014</v>
      </c>
      <c r="C3960">
        <v>4</v>
      </c>
      <c r="D3960">
        <v>4</v>
      </c>
      <c r="E3960">
        <v>16</v>
      </c>
      <c r="F3960" t="s">
        <v>10019</v>
      </c>
      <c r="G3960" t="s">
        <v>10069</v>
      </c>
      <c r="H3960" s="6">
        <v>45115</v>
      </c>
      <c r="I3960">
        <f t="shared" si="122"/>
        <v>0</v>
      </c>
      <c r="J3960" t="str">
        <f t="shared" si="123"/>
        <v>Complete</v>
      </c>
      <c r="K3960">
        <f>COUNTIFS(RawData[Item], B3960,RawData[Quantity],C3960,RawData[Price Per Unit],D3960,RawData[Total Spent],E3960,RawData[Payment Method],F3960,RawData[Location],G3960,RawData[Transaction Date],H3960)</f>
        <v>1</v>
      </c>
      <c r="L3960"/>
    </row>
    <row r="3961" spans="1:12" x14ac:dyDescent="0.3">
      <c r="A3961" t="s">
        <v>3967</v>
      </c>
      <c r="B3961" t="s">
        <v>10008</v>
      </c>
      <c r="C3961">
        <v>5</v>
      </c>
      <c r="D3961">
        <v>0</v>
      </c>
      <c r="E3961">
        <v>10</v>
      </c>
      <c r="F3961" t="s">
        <v>10020</v>
      </c>
      <c r="G3961" t="s">
        <v>10021</v>
      </c>
      <c r="H3961" s="6">
        <v>45085</v>
      </c>
      <c r="I3961">
        <f t="shared" si="122"/>
        <v>0</v>
      </c>
      <c r="J3961" t="str">
        <f t="shared" si="123"/>
        <v>Complete</v>
      </c>
      <c r="K3961">
        <f>COUNTIFS(RawData[Item], B3961,RawData[Quantity],C3961,RawData[Price Per Unit],D3961,RawData[Total Spent],E3961,RawData[Payment Method],F3961,RawData[Location],G3961,RawData[Transaction Date],H3961)</f>
        <v>1</v>
      </c>
      <c r="L3961"/>
    </row>
    <row r="3962" spans="1:12" x14ac:dyDescent="0.3">
      <c r="A3962" t="s">
        <v>3968</v>
      </c>
      <c r="B3962" t="s">
        <v>10010</v>
      </c>
      <c r="C3962">
        <v>2</v>
      </c>
      <c r="D3962">
        <v>1</v>
      </c>
      <c r="E3962">
        <v>2</v>
      </c>
      <c r="F3962" t="s">
        <v>10018</v>
      </c>
      <c r="G3962" t="s">
        <v>10103</v>
      </c>
      <c r="H3962" s="6">
        <v>45238</v>
      </c>
      <c r="I3962">
        <f t="shared" si="122"/>
        <v>1</v>
      </c>
      <c r="J3962" t="str">
        <f t="shared" si="123"/>
        <v>Complete</v>
      </c>
      <c r="K3962">
        <f>COUNTIFS(RawData[Item], B3962,RawData[Quantity],C3962,RawData[Price Per Unit],D3962,RawData[Total Spent],E3962,RawData[Payment Method],F3962,RawData[Location],G3962,RawData[Transaction Date],H3962)</f>
        <v>1</v>
      </c>
      <c r="L3962"/>
    </row>
    <row r="3963" spans="1:12" x14ac:dyDescent="0.3">
      <c r="A3963" t="s">
        <v>3969</v>
      </c>
      <c r="B3963" t="s">
        <v>10014</v>
      </c>
      <c r="C3963" t="s">
        <v>10013</v>
      </c>
      <c r="D3963">
        <v>4</v>
      </c>
      <c r="E3963">
        <v>12</v>
      </c>
      <c r="F3963" t="s">
        <v>10018</v>
      </c>
      <c r="G3963" t="s">
        <v>10102</v>
      </c>
      <c r="H3963" s="6">
        <v>44985</v>
      </c>
      <c r="I3963">
        <f t="shared" si="122"/>
        <v>1</v>
      </c>
      <c r="J3963" t="str">
        <f t="shared" si="123"/>
        <v>Complete</v>
      </c>
      <c r="K3963">
        <f>COUNTIFS(RawData[Item], B3963,RawData[Quantity],C3963,RawData[Price Per Unit],D3963,RawData[Total Spent],E3963,RawData[Payment Method],F3963,RawData[Location],G3963,RawData[Transaction Date],H3963)</f>
        <v>1</v>
      </c>
      <c r="L3963"/>
    </row>
    <row r="3964" spans="1:12" x14ac:dyDescent="0.3">
      <c r="A3964" t="s">
        <v>3970</v>
      </c>
      <c r="B3964" t="s">
        <v>10009</v>
      </c>
      <c r="C3964">
        <v>1</v>
      </c>
      <c r="D3964">
        <v>3</v>
      </c>
      <c r="E3964">
        <v>3</v>
      </c>
      <c r="F3964" t="s">
        <v>10069</v>
      </c>
      <c r="G3964" t="s">
        <v>10069</v>
      </c>
      <c r="H3964" s="6">
        <v>45087</v>
      </c>
      <c r="I3964">
        <f t="shared" si="122"/>
        <v>0</v>
      </c>
      <c r="J3964" t="str">
        <f t="shared" si="123"/>
        <v>Complete</v>
      </c>
      <c r="K3964">
        <f>COUNTIFS(RawData[Item], B3964,RawData[Quantity],C3964,RawData[Price Per Unit],D3964,RawData[Total Spent],E3964,RawData[Payment Method],F3964,RawData[Location],G3964,RawData[Transaction Date],H3964)</f>
        <v>1</v>
      </c>
      <c r="L3964"/>
    </row>
    <row r="3965" spans="1:12" x14ac:dyDescent="0.3">
      <c r="A3965" t="s">
        <v>3971</v>
      </c>
      <c r="B3965" t="s">
        <v>10009</v>
      </c>
      <c r="C3965">
        <v>2</v>
      </c>
      <c r="D3965">
        <v>3</v>
      </c>
      <c r="E3965">
        <v>6</v>
      </c>
      <c r="F3965" t="s">
        <v>10018</v>
      </c>
      <c r="G3965" t="s">
        <v>10021</v>
      </c>
      <c r="H3965" s="6">
        <v>44991</v>
      </c>
      <c r="I3965">
        <f t="shared" si="122"/>
        <v>0</v>
      </c>
      <c r="J3965" t="str">
        <f t="shared" si="123"/>
        <v>Complete</v>
      </c>
      <c r="K3965">
        <f>COUNTIFS(RawData[Item], B3965,RawData[Quantity],C3965,RawData[Price Per Unit],D3965,RawData[Total Spent],E3965,RawData[Payment Method],F3965,RawData[Location],G3965,RawData[Transaction Date],H3965)</f>
        <v>1</v>
      </c>
      <c r="L3965"/>
    </row>
    <row r="3966" spans="1:12" x14ac:dyDescent="0.3">
      <c r="A3966" t="s">
        <v>3972</v>
      </c>
      <c r="B3966" t="s">
        <v>10069</v>
      </c>
      <c r="C3966">
        <v>4</v>
      </c>
      <c r="D3966">
        <v>1</v>
      </c>
      <c r="E3966">
        <v>4</v>
      </c>
      <c r="F3966" t="s">
        <v>10069</v>
      </c>
      <c r="G3966" t="s">
        <v>10021</v>
      </c>
      <c r="H3966" s="6">
        <v>44940</v>
      </c>
      <c r="I3966">
        <f t="shared" si="122"/>
        <v>0</v>
      </c>
      <c r="J3966" t="str">
        <f t="shared" si="123"/>
        <v>Complete</v>
      </c>
      <c r="K3966">
        <f>COUNTIFS(RawData[Item], B3966,RawData[Quantity],C3966,RawData[Price Per Unit],D3966,RawData[Total Spent],E3966,RawData[Payment Method],F3966,RawData[Location],G3966,RawData[Transaction Date],H3966)</f>
        <v>1</v>
      </c>
      <c r="L3966"/>
    </row>
    <row r="3967" spans="1:12" x14ac:dyDescent="0.3">
      <c r="A3967" t="s">
        <v>3973</v>
      </c>
      <c r="B3967" t="s">
        <v>10011</v>
      </c>
      <c r="C3967">
        <v>2</v>
      </c>
      <c r="D3967">
        <v>5</v>
      </c>
      <c r="E3967">
        <v>10</v>
      </c>
      <c r="F3967" t="s">
        <v>10019</v>
      </c>
      <c r="G3967" t="s">
        <v>10021</v>
      </c>
      <c r="H3967" s="6">
        <v>45133</v>
      </c>
      <c r="I3967">
        <f t="shared" si="122"/>
        <v>0</v>
      </c>
      <c r="J3967" t="str">
        <f t="shared" si="123"/>
        <v>Complete</v>
      </c>
      <c r="K3967">
        <f>COUNTIFS(RawData[Item], B3967,RawData[Quantity],C3967,RawData[Price Per Unit],D3967,RawData[Total Spent],E3967,RawData[Payment Method],F3967,RawData[Location],G3967,RawData[Transaction Date],H3967)</f>
        <v>1</v>
      </c>
      <c r="L3967"/>
    </row>
    <row r="3968" spans="1:12" x14ac:dyDescent="0.3">
      <c r="A3968" t="s">
        <v>3974</v>
      </c>
      <c r="B3968" t="s">
        <v>10012</v>
      </c>
      <c r="C3968">
        <v>4</v>
      </c>
      <c r="D3968">
        <v>4</v>
      </c>
      <c r="E3968">
        <v>16</v>
      </c>
      <c r="F3968" t="s">
        <v>10019</v>
      </c>
      <c r="G3968" t="s">
        <v>10021</v>
      </c>
      <c r="H3968" s="6">
        <v>45063</v>
      </c>
      <c r="I3968">
        <f t="shared" si="122"/>
        <v>0</v>
      </c>
      <c r="J3968" t="str">
        <f t="shared" si="123"/>
        <v>Complete</v>
      </c>
      <c r="K3968">
        <f>COUNTIFS(RawData[Item], B3968,RawData[Quantity],C3968,RawData[Price Per Unit],D3968,RawData[Total Spent],E3968,RawData[Payment Method],F3968,RawData[Location],G3968,RawData[Transaction Date],H3968)</f>
        <v>1</v>
      </c>
      <c r="L3968"/>
    </row>
    <row r="3969" spans="1:12" x14ac:dyDescent="0.3">
      <c r="A3969" t="s">
        <v>3975</v>
      </c>
      <c r="B3969" t="s">
        <v>10010</v>
      </c>
      <c r="C3969">
        <v>4</v>
      </c>
      <c r="D3969">
        <v>1</v>
      </c>
      <c r="E3969">
        <v>4</v>
      </c>
      <c r="F3969" t="s">
        <v>10019</v>
      </c>
      <c r="G3969" t="s">
        <v>10102</v>
      </c>
      <c r="H3969" s="6">
        <v>45100</v>
      </c>
      <c r="I3969">
        <f t="shared" si="122"/>
        <v>0</v>
      </c>
      <c r="J3969" t="str">
        <f t="shared" si="123"/>
        <v>Complete</v>
      </c>
      <c r="K3969">
        <f>COUNTIFS(RawData[Item], B3969,RawData[Quantity],C3969,RawData[Price Per Unit],D3969,RawData[Total Spent],E3969,RawData[Payment Method],F3969,RawData[Location],G3969,RawData[Transaction Date],H3969)</f>
        <v>1</v>
      </c>
      <c r="L3969"/>
    </row>
    <row r="3970" spans="1:12" x14ac:dyDescent="0.3">
      <c r="A3970" t="s">
        <v>3976</v>
      </c>
      <c r="B3970" t="s">
        <v>10010</v>
      </c>
      <c r="C3970">
        <v>4</v>
      </c>
      <c r="D3970">
        <v>1</v>
      </c>
      <c r="E3970">
        <v>4</v>
      </c>
      <c r="F3970" t="s">
        <v>10019</v>
      </c>
      <c r="G3970" t="s">
        <v>10069</v>
      </c>
      <c r="H3970" s="6">
        <v>45074</v>
      </c>
      <c r="I3970">
        <f t="shared" ref="I3970:I4033" si="124">(B3970="Unknown")+(B3970="Error")+(C3970="Unknown")+(C3970="Error")+(D3970="Unknown")+(D3970="Error")+(E3970="Unknown")+(E3970="Error")+(F3970="Unknown")+(F3970="Error")+(G3970="Unknown")+(G3970="Error")+(H3970="No Date")</f>
        <v>0</v>
      </c>
      <c r="J3970" t="str">
        <f t="shared" ref="J3970:J4033" si="125">IF((H3970="No Date"),"Incomplete","Complete")</f>
        <v>Complete</v>
      </c>
      <c r="K3970">
        <f>COUNTIFS(RawData[Item], B3970,RawData[Quantity],C3970,RawData[Price Per Unit],D3970,RawData[Total Spent],E3970,RawData[Payment Method],F3970,RawData[Location],G3970,RawData[Transaction Date],H3970)</f>
        <v>1</v>
      </c>
      <c r="L3970"/>
    </row>
    <row r="3971" spans="1:12" x14ac:dyDescent="0.3">
      <c r="A3971" t="s">
        <v>3977</v>
      </c>
      <c r="B3971" t="s">
        <v>10016</v>
      </c>
      <c r="C3971">
        <v>4</v>
      </c>
      <c r="D3971">
        <v>3</v>
      </c>
      <c r="E3971">
        <v>12</v>
      </c>
      <c r="F3971" t="s">
        <v>10018</v>
      </c>
      <c r="G3971" t="s">
        <v>10102</v>
      </c>
      <c r="H3971" s="6">
        <v>45067</v>
      </c>
      <c r="I3971">
        <f t="shared" si="124"/>
        <v>0</v>
      </c>
      <c r="J3971" t="str">
        <f t="shared" si="125"/>
        <v>Complete</v>
      </c>
      <c r="K3971">
        <f>COUNTIFS(RawData[Item], B3971,RawData[Quantity],C3971,RawData[Price Per Unit],D3971,RawData[Total Spent],E3971,RawData[Payment Method],F3971,RawData[Location],G3971,RawData[Transaction Date],H3971)</f>
        <v>1</v>
      </c>
      <c r="L3971"/>
    </row>
    <row r="3972" spans="1:12" x14ac:dyDescent="0.3">
      <c r="A3972" t="s">
        <v>3978</v>
      </c>
      <c r="B3972" t="s">
        <v>10017</v>
      </c>
      <c r="C3972">
        <v>5</v>
      </c>
      <c r="D3972">
        <v>1.5</v>
      </c>
      <c r="E3972">
        <v>7.5</v>
      </c>
      <c r="F3972" t="s">
        <v>10020</v>
      </c>
      <c r="G3972" t="s">
        <v>10021</v>
      </c>
      <c r="H3972" s="6">
        <v>45198</v>
      </c>
      <c r="I3972">
        <f t="shared" si="124"/>
        <v>0</v>
      </c>
      <c r="J3972" t="str">
        <f t="shared" si="125"/>
        <v>Complete</v>
      </c>
      <c r="K3972">
        <f>COUNTIFS(RawData[Item], B3972,RawData[Quantity],C3972,RawData[Price Per Unit],D3972,RawData[Total Spent],E3972,RawData[Payment Method],F3972,RawData[Location],G3972,RawData[Transaction Date],H3972)</f>
        <v>1</v>
      </c>
      <c r="L3972"/>
    </row>
    <row r="3973" spans="1:12" x14ac:dyDescent="0.3">
      <c r="A3973" t="s">
        <v>3979</v>
      </c>
      <c r="B3973" t="s">
        <v>10010</v>
      </c>
      <c r="C3973">
        <v>5</v>
      </c>
      <c r="D3973">
        <v>1</v>
      </c>
      <c r="E3973">
        <v>5</v>
      </c>
      <c r="F3973" t="s">
        <v>10020</v>
      </c>
      <c r="G3973" t="s">
        <v>10104</v>
      </c>
      <c r="H3973" s="6">
        <v>45196</v>
      </c>
      <c r="I3973">
        <f t="shared" si="124"/>
        <v>1</v>
      </c>
      <c r="J3973" t="str">
        <f t="shared" si="125"/>
        <v>Complete</v>
      </c>
      <c r="K3973">
        <f>COUNTIFS(RawData[Item], B3973,RawData[Quantity],C3973,RawData[Price Per Unit],D3973,RawData[Total Spent],E3973,RawData[Payment Method],F3973,RawData[Location],G3973,RawData[Transaction Date],H3973)</f>
        <v>1</v>
      </c>
      <c r="L3973"/>
    </row>
    <row r="3974" spans="1:12" x14ac:dyDescent="0.3">
      <c r="A3974" t="s">
        <v>3980</v>
      </c>
      <c r="B3974" t="s">
        <v>10009</v>
      </c>
      <c r="C3974">
        <v>3</v>
      </c>
      <c r="D3974">
        <v>3</v>
      </c>
      <c r="E3974">
        <v>9</v>
      </c>
      <c r="F3974" t="s">
        <v>10020</v>
      </c>
      <c r="G3974" t="s">
        <v>10102</v>
      </c>
      <c r="H3974" s="6">
        <v>44999</v>
      </c>
      <c r="I3974">
        <f t="shared" si="124"/>
        <v>0</v>
      </c>
      <c r="J3974" t="str">
        <f t="shared" si="125"/>
        <v>Complete</v>
      </c>
      <c r="K3974">
        <f>COUNTIFS(RawData[Item], B3974,RawData[Quantity],C3974,RawData[Price Per Unit],D3974,RawData[Total Spent],E3974,RawData[Payment Method],F3974,RawData[Location],G3974,RawData[Transaction Date],H3974)</f>
        <v>2</v>
      </c>
      <c r="L3974"/>
    </row>
    <row r="3975" spans="1:12" x14ac:dyDescent="0.3">
      <c r="A3975" t="s">
        <v>3981</v>
      </c>
      <c r="B3975" t="s">
        <v>10017</v>
      </c>
      <c r="C3975">
        <v>1</v>
      </c>
      <c r="D3975">
        <v>1.5</v>
      </c>
      <c r="E3975">
        <v>1.5</v>
      </c>
      <c r="F3975" t="s">
        <v>10069</v>
      </c>
      <c r="G3975" t="s">
        <v>10021</v>
      </c>
      <c r="H3975" s="6">
        <v>45221</v>
      </c>
      <c r="I3975">
        <f t="shared" si="124"/>
        <v>0</v>
      </c>
      <c r="J3975" t="str">
        <f t="shared" si="125"/>
        <v>Complete</v>
      </c>
      <c r="K3975">
        <f>COUNTIFS(RawData[Item], B3975,RawData[Quantity],C3975,RawData[Price Per Unit],D3975,RawData[Total Spent],E3975,RawData[Payment Method],F3975,RawData[Location],G3975,RawData[Transaction Date],H3975)</f>
        <v>1</v>
      </c>
      <c r="L3975"/>
    </row>
    <row r="3976" spans="1:12" x14ac:dyDescent="0.3">
      <c r="A3976" t="s">
        <v>3982</v>
      </c>
      <c r="B3976" t="s">
        <v>10013</v>
      </c>
      <c r="C3976">
        <v>0</v>
      </c>
      <c r="D3976">
        <v>4</v>
      </c>
      <c r="E3976">
        <v>12</v>
      </c>
      <c r="F3976" t="s">
        <v>10069</v>
      </c>
      <c r="G3976" t="s">
        <v>10102</v>
      </c>
      <c r="H3976" s="6">
        <v>45154</v>
      </c>
      <c r="I3976">
        <f t="shared" si="124"/>
        <v>1</v>
      </c>
      <c r="J3976" t="str">
        <f t="shared" si="125"/>
        <v>Complete</v>
      </c>
      <c r="K3976">
        <f>COUNTIFS(RawData[Item], B3976,RawData[Quantity],C3976,RawData[Price Per Unit],D3976,RawData[Total Spent],E3976,RawData[Payment Method],F3976,RawData[Location],G3976,RawData[Transaction Date],H3976)</f>
        <v>1</v>
      </c>
      <c r="L3976"/>
    </row>
    <row r="3977" spans="1:12" x14ac:dyDescent="0.3">
      <c r="A3977" t="s">
        <v>3983</v>
      </c>
      <c r="B3977" t="s">
        <v>10008</v>
      </c>
      <c r="C3977">
        <v>3</v>
      </c>
      <c r="D3977">
        <v>2</v>
      </c>
      <c r="E3977">
        <v>6</v>
      </c>
      <c r="F3977" t="s">
        <v>10020</v>
      </c>
      <c r="G3977" t="s">
        <v>10021</v>
      </c>
      <c r="H3977" s="6">
        <v>45271</v>
      </c>
      <c r="I3977">
        <f t="shared" si="124"/>
        <v>0</v>
      </c>
      <c r="J3977" t="str">
        <f t="shared" si="125"/>
        <v>Complete</v>
      </c>
      <c r="K3977">
        <f>COUNTIFS(RawData[Item], B3977,RawData[Quantity],C3977,RawData[Price Per Unit],D3977,RawData[Total Spent],E3977,RawData[Payment Method],F3977,RawData[Location],G3977,RawData[Transaction Date],H3977)</f>
        <v>1</v>
      </c>
      <c r="L3977"/>
    </row>
    <row r="3978" spans="1:12" x14ac:dyDescent="0.3">
      <c r="A3978" t="s">
        <v>3984</v>
      </c>
      <c r="B3978" t="s">
        <v>10011</v>
      </c>
      <c r="C3978">
        <v>3</v>
      </c>
      <c r="D3978">
        <v>5</v>
      </c>
      <c r="E3978">
        <v>15</v>
      </c>
      <c r="F3978" t="s">
        <v>10020</v>
      </c>
      <c r="G3978" t="s">
        <v>10069</v>
      </c>
      <c r="H3978" s="6">
        <v>45025</v>
      </c>
      <c r="I3978">
        <f t="shared" si="124"/>
        <v>0</v>
      </c>
      <c r="J3978" t="str">
        <f t="shared" si="125"/>
        <v>Complete</v>
      </c>
      <c r="K3978">
        <f>COUNTIFS(RawData[Item], B3978,RawData[Quantity],C3978,RawData[Price Per Unit],D3978,RawData[Total Spent],E3978,RawData[Payment Method],F3978,RawData[Location],G3978,RawData[Transaction Date],H3978)</f>
        <v>1</v>
      </c>
      <c r="L3978"/>
    </row>
    <row r="3979" spans="1:12" x14ac:dyDescent="0.3">
      <c r="A3979" t="s">
        <v>3985</v>
      </c>
      <c r="B3979" t="s">
        <v>10016</v>
      </c>
      <c r="C3979">
        <v>3</v>
      </c>
      <c r="D3979">
        <v>3</v>
      </c>
      <c r="E3979">
        <v>9</v>
      </c>
      <c r="F3979" t="s">
        <v>10069</v>
      </c>
      <c r="G3979" t="s">
        <v>10102</v>
      </c>
      <c r="H3979" s="6">
        <v>45095</v>
      </c>
      <c r="I3979">
        <f t="shared" si="124"/>
        <v>0</v>
      </c>
      <c r="J3979" t="str">
        <f t="shared" si="125"/>
        <v>Complete</v>
      </c>
      <c r="K3979">
        <f>COUNTIFS(RawData[Item], B3979,RawData[Quantity],C3979,RawData[Price Per Unit],D3979,RawData[Total Spent],E3979,RawData[Payment Method],F3979,RawData[Location],G3979,RawData[Transaction Date],H3979)</f>
        <v>1</v>
      </c>
      <c r="L3979"/>
    </row>
    <row r="3980" spans="1:12" x14ac:dyDescent="0.3">
      <c r="A3980" t="s">
        <v>3986</v>
      </c>
      <c r="B3980" t="s">
        <v>10014</v>
      </c>
      <c r="C3980">
        <v>4</v>
      </c>
      <c r="D3980">
        <v>4</v>
      </c>
      <c r="E3980">
        <v>16</v>
      </c>
      <c r="F3980" t="s">
        <v>10019</v>
      </c>
      <c r="G3980" t="s">
        <v>10021</v>
      </c>
      <c r="H3980" s="6">
        <v>45003</v>
      </c>
      <c r="I3980">
        <f t="shared" si="124"/>
        <v>0</v>
      </c>
      <c r="J3980" t="str">
        <f t="shared" si="125"/>
        <v>Complete</v>
      </c>
      <c r="K3980">
        <f>COUNTIFS(RawData[Item], B3980,RawData[Quantity],C3980,RawData[Price Per Unit],D3980,RawData[Total Spent],E3980,RawData[Payment Method],F3980,RawData[Location],G3980,RawData[Transaction Date],H3980)</f>
        <v>1</v>
      </c>
      <c r="L3980"/>
    </row>
    <row r="3981" spans="1:12" x14ac:dyDescent="0.3">
      <c r="A3981" t="s">
        <v>3987</v>
      </c>
      <c r="B3981" t="s">
        <v>10009</v>
      </c>
      <c r="C3981">
        <v>4</v>
      </c>
      <c r="D3981">
        <v>3</v>
      </c>
      <c r="E3981">
        <v>12</v>
      </c>
      <c r="F3981" t="s">
        <v>10018</v>
      </c>
      <c r="G3981" t="s">
        <v>10021</v>
      </c>
      <c r="H3981" s="6">
        <v>45239</v>
      </c>
      <c r="I3981">
        <f t="shared" si="124"/>
        <v>0</v>
      </c>
      <c r="J3981" t="str">
        <f t="shared" si="125"/>
        <v>Complete</v>
      </c>
      <c r="K3981">
        <f>COUNTIFS(RawData[Item], B3981,RawData[Quantity],C3981,RawData[Price Per Unit],D3981,RawData[Total Spent],E3981,RawData[Payment Method],F3981,RawData[Location],G3981,RawData[Transaction Date],H3981)</f>
        <v>1</v>
      </c>
      <c r="L3981"/>
    </row>
    <row r="3982" spans="1:12" x14ac:dyDescent="0.3">
      <c r="A3982" t="s">
        <v>3988</v>
      </c>
      <c r="B3982" t="s">
        <v>10011</v>
      </c>
      <c r="C3982">
        <v>3</v>
      </c>
      <c r="D3982">
        <v>5</v>
      </c>
      <c r="E3982">
        <v>15</v>
      </c>
      <c r="F3982" t="s">
        <v>10018</v>
      </c>
      <c r="G3982" t="s">
        <v>10021</v>
      </c>
      <c r="H3982" s="6">
        <v>45133</v>
      </c>
      <c r="I3982">
        <f t="shared" si="124"/>
        <v>0</v>
      </c>
      <c r="J3982" t="str">
        <f t="shared" si="125"/>
        <v>Complete</v>
      </c>
      <c r="K3982">
        <f>COUNTIFS(RawData[Item], B3982,RawData[Quantity],C3982,RawData[Price Per Unit],D3982,RawData[Total Spent],E3982,RawData[Payment Method],F3982,RawData[Location],G3982,RawData[Transaction Date],H3982)</f>
        <v>1</v>
      </c>
      <c r="L3982"/>
    </row>
    <row r="3983" spans="1:12" x14ac:dyDescent="0.3">
      <c r="A3983" t="s">
        <v>3989</v>
      </c>
      <c r="B3983" t="s">
        <v>10013</v>
      </c>
      <c r="C3983">
        <v>1</v>
      </c>
      <c r="D3983">
        <v>5</v>
      </c>
      <c r="E3983">
        <v>5</v>
      </c>
      <c r="F3983" t="s">
        <v>10069</v>
      </c>
      <c r="G3983" t="s">
        <v>10069</v>
      </c>
      <c r="H3983" s="6">
        <v>45066</v>
      </c>
      <c r="I3983">
        <f t="shared" si="124"/>
        <v>1</v>
      </c>
      <c r="J3983" t="str">
        <f t="shared" si="125"/>
        <v>Complete</v>
      </c>
      <c r="K3983">
        <f>COUNTIFS(RawData[Item], B3983,RawData[Quantity],C3983,RawData[Price Per Unit],D3983,RawData[Total Spent],E3983,RawData[Payment Method],F3983,RawData[Location],G3983,RawData[Transaction Date],H3983)</f>
        <v>1</v>
      </c>
      <c r="L3983"/>
    </row>
    <row r="3984" spans="1:12" x14ac:dyDescent="0.3">
      <c r="A3984" t="s">
        <v>3990</v>
      </c>
      <c r="B3984" t="s">
        <v>10011</v>
      </c>
      <c r="C3984">
        <v>2</v>
      </c>
      <c r="D3984">
        <v>5</v>
      </c>
      <c r="E3984">
        <v>10</v>
      </c>
      <c r="F3984" t="s">
        <v>10069</v>
      </c>
      <c r="G3984" t="s">
        <v>10102</v>
      </c>
      <c r="H3984" s="6">
        <v>45136</v>
      </c>
      <c r="I3984">
        <f t="shared" si="124"/>
        <v>0</v>
      </c>
      <c r="J3984" t="str">
        <f t="shared" si="125"/>
        <v>Complete</v>
      </c>
      <c r="K3984">
        <f>COUNTIFS(RawData[Item], B3984,RawData[Quantity],C3984,RawData[Price Per Unit],D3984,RawData[Total Spent],E3984,RawData[Payment Method],F3984,RawData[Location],G3984,RawData[Transaction Date],H3984)</f>
        <v>2</v>
      </c>
      <c r="L3984"/>
    </row>
    <row r="3985" spans="1:12" x14ac:dyDescent="0.3">
      <c r="A3985" t="s">
        <v>3991</v>
      </c>
      <c r="B3985" t="s">
        <v>10008</v>
      </c>
      <c r="C3985">
        <v>3</v>
      </c>
      <c r="D3985">
        <v>2</v>
      </c>
      <c r="E3985">
        <v>6</v>
      </c>
      <c r="F3985" t="s">
        <v>10069</v>
      </c>
      <c r="G3985" t="s">
        <v>10021</v>
      </c>
      <c r="H3985" s="6">
        <v>44966</v>
      </c>
      <c r="I3985">
        <f t="shared" si="124"/>
        <v>0</v>
      </c>
      <c r="J3985" t="str">
        <f t="shared" si="125"/>
        <v>Complete</v>
      </c>
      <c r="K3985">
        <f>COUNTIFS(RawData[Item], B3985,RawData[Quantity],C3985,RawData[Price Per Unit],D3985,RawData[Total Spent],E3985,RawData[Payment Method],F3985,RawData[Location],G3985,RawData[Transaction Date],H3985)</f>
        <v>1</v>
      </c>
      <c r="L3985"/>
    </row>
    <row r="3986" spans="1:12" x14ac:dyDescent="0.3">
      <c r="A3986" t="s">
        <v>3992</v>
      </c>
      <c r="B3986" t="s">
        <v>10014</v>
      </c>
      <c r="C3986">
        <v>1</v>
      </c>
      <c r="D3986" t="s">
        <v>10013</v>
      </c>
      <c r="E3986">
        <v>4</v>
      </c>
      <c r="F3986" t="s">
        <v>10020</v>
      </c>
      <c r="G3986" t="s">
        <v>10021</v>
      </c>
      <c r="H3986" s="6">
        <v>45273</v>
      </c>
      <c r="I3986">
        <f t="shared" si="124"/>
        <v>1</v>
      </c>
      <c r="J3986" t="str">
        <f t="shared" si="125"/>
        <v>Complete</v>
      </c>
      <c r="K3986">
        <f>COUNTIFS(RawData[Item], B3986,RawData[Quantity],C3986,RawData[Price Per Unit],D3986,RawData[Total Spent],E3986,RawData[Payment Method],F3986,RawData[Location],G3986,RawData[Transaction Date],H3986)</f>
        <v>1</v>
      </c>
      <c r="L3986"/>
    </row>
    <row r="3987" spans="1:12" x14ac:dyDescent="0.3">
      <c r="A3987" t="s">
        <v>3993</v>
      </c>
      <c r="B3987" t="s">
        <v>10014</v>
      </c>
      <c r="C3987">
        <v>2</v>
      </c>
      <c r="D3987">
        <v>4</v>
      </c>
      <c r="E3987">
        <v>8</v>
      </c>
      <c r="F3987" t="s">
        <v>10018</v>
      </c>
      <c r="G3987" t="s">
        <v>10069</v>
      </c>
      <c r="H3987" s="6">
        <v>45050</v>
      </c>
      <c r="I3987">
        <f t="shared" si="124"/>
        <v>0</v>
      </c>
      <c r="J3987" t="str">
        <f t="shared" si="125"/>
        <v>Complete</v>
      </c>
      <c r="K3987">
        <f>COUNTIFS(RawData[Item], B3987,RawData[Quantity],C3987,RawData[Price Per Unit],D3987,RawData[Total Spent],E3987,RawData[Payment Method],F3987,RawData[Location],G3987,RawData[Transaction Date],H3987)</f>
        <v>1</v>
      </c>
      <c r="L3987"/>
    </row>
    <row r="3988" spans="1:12" x14ac:dyDescent="0.3">
      <c r="A3988" t="s">
        <v>3994</v>
      </c>
      <c r="B3988" t="s">
        <v>10009</v>
      </c>
      <c r="C3988">
        <v>5</v>
      </c>
      <c r="D3988">
        <v>3</v>
      </c>
      <c r="E3988">
        <v>15</v>
      </c>
      <c r="F3988" t="s">
        <v>10020</v>
      </c>
      <c r="G3988" t="s">
        <v>10102</v>
      </c>
      <c r="H3988" s="6">
        <v>45223</v>
      </c>
      <c r="I3988">
        <f t="shared" si="124"/>
        <v>0</v>
      </c>
      <c r="J3988" t="str">
        <f t="shared" si="125"/>
        <v>Complete</v>
      </c>
      <c r="K3988">
        <f>COUNTIFS(RawData[Item], B3988,RawData[Quantity],C3988,RawData[Price Per Unit],D3988,RawData[Total Spent],E3988,RawData[Payment Method],F3988,RawData[Location],G3988,RawData[Transaction Date],H3988)</f>
        <v>1</v>
      </c>
      <c r="L3988"/>
    </row>
    <row r="3989" spans="1:12" x14ac:dyDescent="0.3">
      <c r="A3989" t="s">
        <v>3995</v>
      </c>
      <c r="B3989" t="s">
        <v>10014</v>
      </c>
      <c r="C3989">
        <v>1</v>
      </c>
      <c r="D3989">
        <v>4</v>
      </c>
      <c r="E3989">
        <v>4</v>
      </c>
      <c r="F3989" t="s">
        <v>10018</v>
      </c>
      <c r="G3989" t="s">
        <v>10021</v>
      </c>
      <c r="H3989" s="6">
        <v>45022</v>
      </c>
      <c r="I3989">
        <f t="shared" si="124"/>
        <v>0</v>
      </c>
      <c r="J3989" t="str">
        <f t="shared" si="125"/>
        <v>Complete</v>
      </c>
      <c r="K3989">
        <f>COUNTIFS(RawData[Item], B3989,RawData[Quantity],C3989,RawData[Price Per Unit],D3989,RawData[Total Spent],E3989,RawData[Payment Method],F3989,RawData[Location],G3989,RawData[Transaction Date],H3989)</f>
        <v>1</v>
      </c>
      <c r="L3989"/>
    </row>
    <row r="3990" spans="1:12" x14ac:dyDescent="0.3">
      <c r="A3990" t="s">
        <v>3996</v>
      </c>
      <c r="B3990" t="s">
        <v>10015</v>
      </c>
      <c r="C3990">
        <v>5</v>
      </c>
      <c r="D3990">
        <v>2</v>
      </c>
      <c r="E3990">
        <v>10</v>
      </c>
      <c r="F3990" t="s">
        <v>10069</v>
      </c>
      <c r="G3990" t="s">
        <v>10069</v>
      </c>
      <c r="H3990" s="6">
        <v>45225</v>
      </c>
      <c r="I3990">
        <f t="shared" si="124"/>
        <v>1</v>
      </c>
      <c r="J3990" t="str">
        <f t="shared" si="125"/>
        <v>Complete</v>
      </c>
      <c r="K3990">
        <f>COUNTIFS(RawData[Item], B3990,RawData[Quantity],C3990,RawData[Price Per Unit],D3990,RawData[Total Spent],E3990,RawData[Payment Method],F3990,RawData[Location],G3990,RawData[Transaction Date],H3990)</f>
        <v>1</v>
      </c>
      <c r="L3990"/>
    </row>
    <row r="3991" spans="1:12" x14ac:dyDescent="0.3">
      <c r="A3991" t="s">
        <v>3997</v>
      </c>
      <c r="B3991" t="s">
        <v>10008</v>
      </c>
      <c r="C3991">
        <v>4</v>
      </c>
      <c r="D3991">
        <v>2</v>
      </c>
      <c r="E3991">
        <v>8</v>
      </c>
      <c r="F3991" t="s">
        <v>10019</v>
      </c>
      <c r="G3991" t="s">
        <v>10021</v>
      </c>
      <c r="H3991" s="6">
        <v>45093</v>
      </c>
      <c r="I3991">
        <f t="shared" si="124"/>
        <v>0</v>
      </c>
      <c r="J3991" t="str">
        <f t="shared" si="125"/>
        <v>Complete</v>
      </c>
      <c r="K3991">
        <f>COUNTIFS(RawData[Item], B3991,RawData[Quantity],C3991,RawData[Price Per Unit],D3991,RawData[Total Spent],E3991,RawData[Payment Method],F3991,RawData[Location],G3991,RawData[Transaction Date],H3991)</f>
        <v>1</v>
      </c>
      <c r="L3991"/>
    </row>
    <row r="3992" spans="1:12" x14ac:dyDescent="0.3">
      <c r="A3992" t="s">
        <v>3998</v>
      </c>
      <c r="B3992" t="s">
        <v>10016</v>
      </c>
      <c r="C3992">
        <v>2</v>
      </c>
      <c r="D3992">
        <v>3</v>
      </c>
      <c r="E3992">
        <v>6</v>
      </c>
      <c r="F3992" t="s">
        <v>10104</v>
      </c>
      <c r="G3992" t="s">
        <v>10102</v>
      </c>
      <c r="H3992" s="6">
        <v>45284</v>
      </c>
      <c r="I3992">
        <f t="shared" si="124"/>
        <v>1</v>
      </c>
      <c r="J3992" t="str">
        <f t="shared" si="125"/>
        <v>Complete</v>
      </c>
      <c r="K3992">
        <f>COUNTIFS(RawData[Item], B3992,RawData[Quantity],C3992,RawData[Price Per Unit],D3992,RawData[Total Spent],E3992,RawData[Payment Method],F3992,RawData[Location],G3992,RawData[Transaction Date],H3992)</f>
        <v>1</v>
      </c>
      <c r="L3992"/>
    </row>
    <row r="3993" spans="1:12" x14ac:dyDescent="0.3">
      <c r="A3993" t="s">
        <v>3999</v>
      </c>
      <c r="B3993" t="s">
        <v>10069</v>
      </c>
      <c r="C3993">
        <v>4</v>
      </c>
      <c r="D3993">
        <v>4</v>
      </c>
      <c r="E3993">
        <v>16</v>
      </c>
      <c r="F3993" t="s">
        <v>10019</v>
      </c>
      <c r="G3993" t="s">
        <v>10069</v>
      </c>
      <c r="H3993" s="6">
        <v>45096</v>
      </c>
      <c r="I3993">
        <f t="shared" si="124"/>
        <v>0</v>
      </c>
      <c r="J3993" t="str">
        <f t="shared" si="125"/>
        <v>Complete</v>
      </c>
      <c r="K3993">
        <f>COUNTIFS(RawData[Item], B3993,RawData[Quantity],C3993,RawData[Price Per Unit],D3993,RawData[Total Spent],E3993,RawData[Payment Method],F3993,RawData[Location],G3993,RawData[Transaction Date],H3993)</f>
        <v>1</v>
      </c>
      <c r="L3993"/>
    </row>
    <row r="3994" spans="1:12" x14ac:dyDescent="0.3">
      <c r="A3994" t="s">
        <v>4000</v>
      </c>
      <c r="B3994" t="s">
        <v>10016</v>
      </c>
      <c r="C3994">
        <v>5</v>
      </c>
      <c r="D3994">
        <v>3</v>
      </c>
      <c r="E3994">
        <v>15</v>
      </c>
      <c r="F3994" t="s">
        <v>10069</v>
      </c>
      <c r="G3994" t="s">
        <v>10021</v>
      </c>
      <c r="H3994" s="6">
        <v>45018</v>
      </c>
      <c r="I3994">
        <f t="shared" si="124"/>
        <v>0</v>
      </c>
      <c r="J3994" t="str">
        <f t="shared" si="125"/>
        <v>Complete</v>
      </c>
      <c r="K3994">
        <f>COUNTIFS(RawData[Item], B3994,RawData[Quantity],C3994,RawData[Price Per Unit],D3994,RawData[Total Spent],E3994,RawData[Payment Method],F3994,RawData[Location],G3994,RawData[Transaction Date],H3994)</f>
        <v>1</v>
      </c>
      <c r="L3994"/>
    </row>
    <row r="3995" spans="1:12" x14ac:dyDescent="0.3">
      <c r="A3995" t="s">
        <v>4001</v>
      </c>
      <c r="B3995" t="s">
        <v>10008</v>
      </c>
      <c r="C3995">
        <v>5</v>
      </c>
      <c r="D3995">
        <v>2</v>
      </c>
      <c r="E3995">
        <v>10</v>
      </c>
      <c r="F3995" t="s">
        <v>10069</v>
      </c>
      <c r="G3995" t="s">
        <v>10102</v>
      </c>
      <c r="H3995" s="6">
        <v>45206</v>
      </c>
      <c r="I3995">
        <f t="shared" si="124"/>
        <v>0</v>
      </c>
      <c r="J3995" t="str">
        <f t="shared" si="125"/>
        <v>Complete</v>
      </c>
      <c r="K3995">
        <f>COUNTIFS(RawData[Item], B3995,RawData[Quantity],C3995,RawData[Price Per Unit],D3995,RawData[Total Spent],E3995,RawData[Payment Method],F3995,RawData[Location],G3995,RawData[Transaction Date],H3995)</f>
        <v>1</v>
      </c>
      <c r="L3995"/>
    </row>
    <row r="3996" spans="1:12" x14ac:dyDescent="0.3">
      <c r="A3996" t="s">
        <v>4002</v>
      </c>
      <c r="B3996" t="s">
        <v>10016</v>
      </c>
      <c r="C3996">
        <v>5</v>
      </c>
      <c r="D3996">
        <v>3</v>
      </c>
      <c r="E3996">
        <v>15</v>
      </c>
      <c r="F3996" t="s">
        <v>10019</v>
      </c>
      <c r="G3996" t="s">
        <v>10069</v>
      </c>
      <c r="H3996" s="6">
        <v>45272</v>
      </c>
      <c r="I3996">
        <f t="shared" si="124"/>
        <v>0</v>
      </c>
      <c r="J3996" t="str">
        <f t="shared" si="125"/>
        <v>Complete</v>
      </c>
      <c r="K3996">
        <f>COUNTIFS(RawData[Item], B3996,RawData[Quantity],C3996,RawData[Price Per Unit],D3996,RawData[Total Spent],E3996,RawData[Payment Method],F3996,RawData[Location],G3996,RawData[Transaction Date],H3996)</f>
        <v>1</v>
      </c>
      <c r="L3996"/>
    </row>
    <row r="3997" spans="1:12" x14ac:dyDescent="0.3">
      <c r="A3997" t="s">
        <v>4003</v>
      </c>
      <c r="B3997" t="s">
        <v>10017</v>
      </c>
      <c r="C3997">
        <v>5</v>
      </c>
      <c r="D3997">
        <v>1.5</v>
      </c>
      <c r="E3997">
        <v>7.5</v>
      </c>
      <c r="F3997" t="s">
        <v>10018</v>
      </c>
      <c r="G3997" t="s">
        <v>10102</v>
      </c>
      <c r="H3997" s="6">
        <v>45227</v>
      </c>
      <c r="I3997">
        <f t="shared" si="124"/>
        <v>0</v>
      </c>
      <c r="J3997" t="str">
        <f t="shared" si="125"/>
        <v>Complete</v>
      </c>
      <c r="K3997">
        <f>COUNTIFS(RawData[Item], B3997,RawData[Quantity],C3997,RawData[Price Per Unit],D3997,RawData[Total Spent],E3997,RawData[Payment Method],F3997,RawData[Location],G3997,RawData[Transaction Date],H3997)</f>
        <v>1</v>
      </c>
      <c r="L3997"/>
    </row>
    <row r="3998" spans="1:12" x14ac:dyDescent="0.3">
      <c r="A3998" t="s">
        <v>4004</v>
      </c>
      <c r="B3998" t="s">
        <v>10014</v>
      </c>
      <c r="C3998">
        <v>4</v>
      </c>
      <c r="D3998">
        <v>4</v>
      </c>
      <c r="E3998" t="s">
        <v>10013</v>
      </c>
      <c r="F3998" t="s">
        <v>10069</v>
      </c>
      <c r="G3998" t="s">
        <v>10069</v>
      </c>
      <c r="H3998" s="6">
        <v>45138</v>
      </c>
      <c r="I3998">
        <f t="shared" si="124"/>
        <v>1</v>
      </c>
      <c r="J3998" t="str">
        <f t="shared" si="125"/>
        <v>Complete</v>
      </c>
      <c r="K3998">
        <f>COUNTIFS(RawData[Item], B3998,RawData[Quantity],C3998,RawData[Price Per Unit],D3998,RawData[Total Spent],E3998,RawData[Payment Method],F3998,RawData[Location],G3998,RawData[Transaction Date],H3998)</f>
        <v>1</v>
      </c>
      <c r="L3998"/>
    </row>
    <row r="3999" spans="1:12" x14ac:dyDescent="0.3">
      <c r="A3999" t="s">
        <v>4005</v>
      </c>
      <c r="B3999" t="s">
        <v>10016</v>
      </c>
      <c r="C3999">
        <v>4</v>
      </c>
      <c r="D3999">
        <v>3</v>
      </c>
      <c r="E3999" t="s">
        <v>10015</v>
      </c>
      <c r="F3999" t="s">
        <v>10018</v>
      </c>
      <c r="G3999" t="s">
        <v>10069</v>
      </c>
      <c r="H3999" s="6">
        <v>45223</v>
      </c>
      <c r="I3999">
        <f t="shared" si="124"/>
        <v>1</v>
      </c>
      <c r="J3999" t="str">
        <f t="shared" si="125"/>
        <v>Complete</v>
      </c>
      <c r="K3999">
        <f>COUNTIFS(RawData[Item], B3999,RawData[Quantity],C3999,RawData[Price Per Unit],D3999,RawData[Total Spent],E3999,RawData[Payment Method],F3999,RawData[Location],G3999,RawData[Transaction Date],H3999)</f>
        <v>1</v>
      </c>
      <c r="L3999"/>
    </row>
    <row r="4000" spans="1:12" x14ac:dyDescent="0.3">
      <c r="A4000" t="s">
        <v>4006</v>
      </c>
      <c r="B4000" t="s">
        <v>10010</v>
      </c>
      <c r="C4000">
        <v>1</v>
      </c>
      <c r="D4000">
        <v>1</v>
      </c>
      <c r="E4000">
        <v>1</v>
      </c>
      <c r="F4000" t="s">
        <v>10018</v>
      </c>
      <c r="G4000" t="s">
        <v>10102</v>
      </c>
      <c r="H4000" s="6">
        <v>44964</v>
      </c>
      <c r="I4000">
        <f t="shared" si="124"/>
        <v>0</v>
      </c>
      <c r="J4000" t="str">
        <f t="shared" si="125"/>
        <v>Complete</v>
      </c>
      <c r="K4000">
        <f>COUNTIFS(RawData[Item], B4000,RawData[Quantity],C4000,RawData[Price Per Unit],D4000,RawData[Total Spent],E4000,RawData[Payment Method],F4000,RawData[Location],G4000,RawData[Transaction Date],H4000)</f>
        <v>1</v>
      </c>
      <c r="L4000"/>
    </row>
    <row r="4001" spans="1:12" x14ac:dyDescent="0.3">
      <c r="A4001" t="s">
        <v>4007</v>
      </c>
      <c r="B4001" t="s">
        <v>10010</v>
      </c>
      <c r="C4001">
        <v>5</v>
      </c>
      <c r="D4001">
        <v>1</v>
      </c>
      <c r="E4001">
        <v>5</v>
      </c>
      <c r="F4001" t="s">
        <v>10019</v>
      </c>
      <c r="G4001" t="s">
        <v>10102</v>
      </c>
      <c r="H4001" s="6">
        <v>44976</v>
      </c>
      <c r="I4001">
        <f t="shared" si="124"/>
        <v>0</v>
      </c>
      <c r="J4001" t="str">
        <f t="shared" si="125"/>
        <v>Complete</v>
      </c>
      <c r="K4001">
        <f>COUNTIFS(RawData[Item], B4001,RawData[Quantity],C4001,RawData[Price Per Unit],D4001,RawData[Total Spent],E4001,RawData[Payment Method],F4001,RawData[Location],G4001,RawData[Transaction Date],H4001)</f>
        <v>1</v>
      </c>
      <c r="L4001"/>
    </row>
    <row r="4002" spans="1:12" x14ac:dyDescent="0.3">
      <c r="A4002" t="s">
        <v>4008</v>
      </c>
      <c r="B4002" t="s">
        <v>10010</v>
      </c>
      <c r="C4002">
        <v>1</v>
      </c>
      <c r="D4002">
        <v>1</v>
      </c>
      <c r="E4002">
        <v>1</v>
      </c>
      <c r="F4002" t="s">
        <v>10018</v>
      </c>
      <c r="G4002" t="s">
        <v>10102</v>
      </c>
      <c r="H4002" s="6">
        <v>44998</v>
      </c>
      <c r="I4002">
        <f t="shared" si="124"/>
        <v>0</v>
      </c>
      <c r="J4002" t="str">
        <f t="shared" si="125"/>
        <v>Complete</v>
      </c>
      <c r="K4002">
        <f>COUNTIFS(RawData[Item], B4002,RawData[Quantity],C4002,RawData[Price Per Unit],D4002,RawData[Total Spent],E4002,RawData[Payment Method],F4002,RawData[Location],G4002,RawData[Transaction Date],H4002)</f>
        <v>1</v>
      </c>
      <c r="L4002"/>
    </row>
    <row r="4003" spans="1:12" x14ac:dyDescent="0.3">
      <c r="A4003" t="s">
        <v>4009</v>
      </c>
      <c r="B4003" t="s">
        <v>10009</v>
      </c>
      <c r="C4003">
        <v>4</v>
      </c>
      <c r="D4003">
        <v>3</v>
      </c>
      <c r="E4003">
        <v>12</v>
      </c>
      <c r="F4003" t="s">
        <v>10020</v>
      </c>
      <c r="G4003" t="s">
        <v>10069</v>
      </c>
      <c r="H4003" s="6">
        <v>45172</v>
      </c>
      <c r="I4003">
        <f t="shared" si="124"/>
        <v>0</v>
      </c>
      <c r="J4003" t="str">
        <f t="shared" si="125"/>
        <v>Complete</v>
      </c>
      <c r="K4003">
        <f>COUNTIFS(RawData[Item], B4003,RawData[Quantity],C4003,RawData[Price Per Unit],D4003,RawData[Total Spent],E4003,RawData[Payment Method],F4003,RawData[Location],G4003,RawData[Transaction Date],H4003)</f>
        <v>1</v>
      </c>
      <c r="L4003"/>
    </row>
    <row r="4004" spans="1:12" x14ac:dyDescent="0.3">
      <c r="A4004" t="s">
        <v>4010</v>
      </c>
      <c r="B4004" t="s">
        <v>10009</v>
      </c>
      <c r="C4004">
        <v>4</v>
      </c>
      <c r="D4004">
        <v>3</v>
      </c>
      <c r="E4004">
        <v>12</v>
      </c>
      <c r="F4004" t="s">
        <v>10018</v>
      </c>
      <c r="G4004" t="s">
        <v>10102</v>
      </c>
      <c r="H4004" s="6">
        <v>45103</v>
      </c>
      <c r="I4004">
        <f t="shared" si="124"/>
        <v>0</v>
      </c>
      <c r="J4004" t="str">
        <f t="shared" si="125"/>
        <v>Complete</v>
      </c>
      <c r="K4004">
        <f>COUNTIFS(RawData[Item], B4004,RawData[Quantity],C4004,RawData[Price Per Unit],D4004,RawData[Total Spent],E4004,RawData[Payment Method],F4004,RawData[Location],G4004,RawData[Transaction Date],H4004)</f>
        <v>1</v>
      </c>
      <c r="L4004"/>
    </row>
    <row r="4005" spans="1:12" x14ac:dyDescent="0.3">
      <c r="A4005" t="s">
        <v>4011</v>
      </c>
      <c r="B4005" t="s">
        <v>10069</v>
      </c>
      <c r="C4005">
        <v>3</v>
      </c>
      <c r="D4005">
        <v>3</v>
      </c>
      <c r="E4005" t="s">
        <v>10015</v>
      </c>
      <c r="F4005" t="s">
        <v>10019</v>
      </c>
      <c r="G4005" t="s">
        <v>10069</v>
      </c>
      <c r="H4005" s="6">
        <v>45285</v>
      </c>
      <c r="I4005">
        <f t="shared" si="124"/>
        <v>1</v>
      </c>
      <c r="J4005" t="str">
        <f t="shared" si="125"/>
        <v>Complete</v>
      </c>
      <c r="K4005">
        <f>COUNTIFS(RawData[Item], B4005,RawData[Quantity],C4005,RawData[Price Per Unit],D4005,RawData[Total Spent],E4005,RawData[Payment Method],F4005,RawData[Location],G4005,RawData[Transaction Date],H4005)</f>
        <v>1</v>
      </c>
      <c r="L4005"/>
    </row>
    <row r="4006" spans="1:12" x14ac:dyDescent="0.3">
      <c r="A4006" t="s">
        <v>4012</v>
      </c>
      <c r="B4006" t="s">
        <v>10017</v>
      </c>
      <c r="C4006">
        <v>1</v>
      </c>
      <c r="D4006">
        <v>1.5</v>
      </c>
      <c r="E4006">
        <v>1.5</v>
      </c>
      <c r="F4006" t="s">
        <v>10018</v>
      </c>
      <c r="G4006" t="s">
        <v>10069</v>
      </c>
      <c r="H4006" s="6">
        <v>45139</v>
      </c>
      <c r="I4006">
        <f t="shared" si="124"/>
        <v>0</v>
      </c>
      <c r="J4006" t="str">
        <f t="shared" si="125"/>
        <v>Complete</v>
      </c>
      <c r="K4006">
        <f>COUNTIFS(RawData[Item], B4006,RawData[Quantity],C4006,RawData[Price Per Unit],D4006,RawData[Total Spent],E4006,RawData[Payment Method],F4006,RawData[Location],G4006,RawData[Transaction Date],H4006)</f>
        <v>1</v>
      </c>
      <c r="L4006"/>
    </row>
    <row r="4007" spans="1:12" x14ac:dyDescent="0.3">
      <c r="A4007" t="s">
        <v>4013</v>
      </c>
      <c r="B4007" t="s">
        <v>10016</v>
      </c>
      <c r="C4007">
        <v>3</v>
      </c>
      <c r="D4007">
        <v>3</v>
      </c>
      <c r="E4007">
        <v>9</v>
      </c>
      <c r="F4007" t="s">
        <v>10020</v>
      </c>
      <c r="G4007" t="s">
        <v>10102</v>
      </c>
      <c r="H4007" s="6">
        <v>45140</v>
      </c>
      <c r="I4007">
        <f t="shared" si="124"/>
        <v>0</v>
      </c>
      <c r="J4007" t="str">
        <f t="shared" si="125"/>
        <v>Complete</v>
      </c>
      <c r="K4007">
        <f>COUNTIFS(RawData[Item], B4007,RawData[Quantity],C4007,RawData[Price Per Unit],D4007,RawData[Total Spent],E4007,RawData[Payment Method],F4007,RawData[Location],G4007,RawData[Transaction Date],H4007)</f>
        <v>1</v>
      </c>
      <c r="L4007"/>
    </row>
    <row r="4008" spans="1:12" x14ac:dyDescent="0.3">
      <c r="A4008" t="s">
        <v>4014</v>
      </c>
      <c r="B4008" t="s">
        <v>10011</v>
      </c>
      <c r="C4008">
        <v>2</v>
      </c>
      <c r="D4008" t="s">
        <v>10015</v>
      </c>
      <c r="E4008">
        <v>10</v>
      </c>
      <c r="F4008" t="s">
        <v>10069</v>
      </c>
      <c r="G4008" t="s">
        <v>10069</v>
      </c>
      <c r="H4008" s="6">
        <v>45106</v>
      </c>
      <c r="I4008">
        <f t="shared" si="124"/>
        <v>1</v>
      </c>
      <c r="J4008" t="str">
        <f t="shared" si="125"/>
        <v>Complete</v>
      </c>
      <c r="K4008">
        <f>COUNTIFS(RawData[Item], B4008,RawData[Quantity],C4008,RawData[Price Per Unit],D4008,RawData[Total Spent],E4008,RawData[Payment Method],F4008,RawData[Location],G4008,RawData[Transaction Date],H4008)</f>
        <v>1</v>
      </c>
      <c r="L4008"/>
    </row>
    <row r="4009" spans="1:12" x14ac:dyDescent="0.3">
      <c r="A4009" t="s">
        <v>4015</v>
      </c>
      <c r="B4009" t="s">
        <v>10011</v>
      </c>
      <c r="C4009">
        <v>2</v>
      </c>
      <c r="D4009">
        <v>5</v>
      </c>
      <c r="E4009">
        <v>10</v>
      </c>
      <c r="F4009" t="s">
        <v>10019</v>
      </c>
      <c r="G4009" t="s">
        <v>10102</v>
      </c>
      <c r="H4009" s="6">
        <v>45120</v>
      </c>
      <c r="I4009">
        <f t="shared" si="124"/>
        <v>0</v>
      </c>
      <c r="J4009" t="str">
        <f t="shared" si="125"/>
        <v>Complete</v>
      </c>
      <c r="K4009">
        <f>COUNTIFS(RawData[Item], B4009,RawData[Quantity],C4009,RawData[Price Per Unit],D4009,RawData[Total Spent],E4009,RawData[Payment Method],F4009,RawData[Location],G4009,RawData[Transaction Date],H4009)</f>
        <v>1</v>
      </c>
      <c r="L4009"/>
    </row>
    <row r="4010" spans="1:12" x14ac:dyDescent="0.3">
      <c r="A4010" t="s">
        <v>4016</v>
      </c>
      <c r="B4010" t="s">
        <v>10016</v>
      </c>
      <c r="C4010">
        <v>2</v>
      </c>
      <c r="D4010">
        <v>3</v>
      </c>
      <c r="E4010">
        <v>6</v>
      </c>
      <c r="F4010" t="s">
        <v>10018</v>
      </c>
      <c r="G4010" t="s">
        <v>10069</v>
      </c>
      <c r="H4010" s="6">
        <v>44986</v>
      </c>
      <c r="I4010">
        <f t="shared" si="124"/>
        <v>0</v>
      </c>
      <c r="J4010" t="str">
        <f t="shared" si="125"/>
        <v>Complete</v>
      </c>
      <c r="K4010">
        <f>COUNTIFS(RawData[Item], B4010,RawData[Quantity],C4010,RawData[Price Per Unit],D4010,RawData[Total Spent],E4010,RawData[Payment Method],F4010,RawData[Location],G4010,RawData[Transaction Date],H4010)</f>
        <v>1</v>
      </c>
      <c r="L4010"/>
    </row>
    <row r="4011" spans="1:12" x14ac:dyDescent="0.3">
      <c r="A4011" t="s">
        <v>4017</v>
      </c>
      <c r="B4011" t="s">
        <v>10017</v>
      </c>
      <c r="C4011">
        <v>2</v>
      </c>
      <c r="D4011">
        <v>1.5</v>
      </c>
      <c r="E4011">
        <v>3</v>
      </c>
      <c r="F4011" t="s">
        <v>10018</v>
      </c>
      <c r="G4011" t="s">
        <v>10021</v>
      </c>
      <c r="H4011" s="6">
        <v>45148</v>
      </c>
      <c r="I4011">
        <f t="shared" si="124"/>
        <v>0</v>
      </c>
      <c r="J4011" t="str">
        <f t="shared" si="125"/>
        <v>Complete</v>
      </c>
      <c r="K4011">
        <f>COUNTIFS(RawData[Item], B4011,RawData[Quantity],C4011,RawData[Price Per Unit],D4011,RawData[Total Spent],E4011,RawData[Payment Method],F4011,RawData[Location],G4011,RawData[Transaction Date],H4011)</f>
        <v>1</v>
      </c>
      <c r="L4011"/>
    </row>
    <row r="4012" spans="1:12" x14ac:dyDescent="0.3">
      <c r="A4012" t="s">
        <v>4018</v>
      </c>
      <c r="B4012" t="s">
        <v>10008</v>
      </c>
      <c r="C4012">
        <v>5</v>
      </c>
      <c r="D4012">
        <v>2</v>
      </c>
      <c r="E4012">
        <v>10</v>
      </c>
      <c r="F4012" t="s">
        <v>10020</v>
      </c>
      <c r="G4012" t="s">
        <v>10021</v>
      </c>
      <c r="H4012" s="6">
        <v>45005</v>
      </c>
      <c r="I4012">
        <f t="shared" si="124"/>
        <v>0</v>
      </c>
      <c r="J4012" t="str">
        <f t="shared" si="125"/>
        <v>Complete</v>
      </c>
      <c r="K4012">
        <f>COUNTIFS(RawData[Item], B4012,RawData[Quantity],C4012,RawData[Price Per Unit],D4012,RawData[Total Spent],E4012,RawData[Payment Method],F4012,RawData[Location],G4012,RawData[Transaction Date],H4012)</f>
        <v>1</v>
      </c>
      <c r="L4012"/>
    </row>
    <row r="4013" spans="1:12" x14ac:dyDescent="0.3">
      <c r="A4013" t="s">
        <v>4019</v>
      </c>
      <c r="B4013" t="s">
        <v>10012</v>
      </c>
      <c r="C4013">
        <v>5</v>
      </c>
      <c r="D4013">
        <v>4</v>
      </c>
      <c r="E4013">
        <v>20</v>
      </c>
      <c r="F4013" t="s">
        <v>10020</v>
      </c>
      <c r="G4013" t="s">
        <v>10021</v>
      </c>
      <c r="H4013" s="6">
        <v>45234</v>
      </c>
      <c r="I4013">
        <f t="shared" si="124"/>
        <v>0</v>
      </c>
      <c r="J4013" t="str">
        <f t="shared" si="125"/>
        <v>Complete</v>
      </c>
      <c r="K4013">
        <f>COUNTIFS(RawData[Item], B4013,RawData[Quantity],C4013,RawData[Price Per Unit],D4013,RawData[Total Spent],E4013,RawData[Payment Method],F4013,RawData[Location],G4013,RawData[Transaction Date],H4013)</f>
        <v>1</v>
      </c>
      <c r="L4013"/>
    </row>
    <row r="4014" spans="1:12" x14ac:dyDescent="0.3">
      <c r="A4014" t="s">
        <v>4020</v>
      </c>
      <c r="B4014" t="s">
        <v>10012</v>
      </c>
      <c r="C4014">
        <v>1</v>
      </c>
      <c r="D4014">
        <v>4</v>
      </c>
      <c r="E4014">
        <v>4</v>
      </c>
      <c r="F4014" t="s">
        <v>10069</v>
      </c>
      <c r="G4014" t="s">
        <v>10102</v>
      </c>
      <c r="H4014" s="6">
        <v>45118</v>
      </c>
      <c r="I4014">
        <f t="shared" si="124"/>
        <v>0</v>
      </c>
      <c r="J4014" t="str">
        <f t="shared" si="125"/>
        <v>Complete</v>
      </c>
      <c r="K4014">
        <f>COUNTIFS(RawData[Item], B4014,RawData[Quantity],C4014,RawData[Price Per Unit],D4014,RawData[Total Spent],E4014,RawData[Payment Method],F4014,RawData[Location],G4014,RawData[Transaction Date],H4014)</f>
        <v>1</v>
      </c>
      <c r="L4014"/>
    </row>
    <row r="4015" spans="1:12" x14ac:dyDescent="0.3">
      <c r="A4015" t="s">
        <v>4021</v>
      </c>
      <c r="B4015" t="s">
        <v>10011</v>
      </c>
      <c r="C4015">
        <v>3</v>
      </c>
      <c r="D4015">
        <v>5</v>
      </c>
      <c r="E4015">
        <v>15</v>
      </c>
      <c r="F4015" t="s">
        <v>10069</v>
      </c>
      <c r="G4015" t="s">
        <v>10021</v>
      </c>
      <c r="H4015" s="6">
        <v>45281</v>
      </c>
      <c r="I4015">
        <f t="shared" si="124"/>
        <v>0</v>
      </c>
      <c r="J4015" t="str">
        <f t="shared" si="125"/>
        <v>Complete</v>
      </c>
      <c r="K4015">
        <f>COUNTIFS(RawData[Item], B4015,RawData[Quantity],C4015,RawData[Price Per Unit],D4015,RawData[Total Spent],E4015,RawData[Payment Method],F4015,RawData[Location],G4015,RawData[Transaction Date],H4015)</f>
        <v>1</v>
      </c>
      <c r="L4015"/>
    </row>
    <row r="4016" spans="1:12" x14ac:dyDescent="0.3">
      <c r="A4016" t="s">
        <v>4022</v>
      </c>
      <c r="B4016" t="s">
        <v>10015</v>
      </c>
      <c r="C4016">
        <v>5</v>
      </c>
      <c r="D4016">
        <v>5</v>
      </c>
      <c r="E4016">
        <v>25</v>
      </c>
      <c r="F4016" t="s">
        <v>10018</v>
      </c>
      <c r="G4016" t="s">
        <v>10102</v>
      </c>
      <c r="H4016" s="6">
        <v>45017</v>
      </c>
      <c r="I4016">
        <f t="shared" si="124"/>
        <v>1</v>
      </c>
      <c r="J4016" t="str">
        <f t="shared" si="125"/>
        <v>Complete</v>
      </c>
      <c r="K4016">
        <f>COUNTIFS(RawData[Item], B4016,RawData[Quantity],C4016,RawData[Price Per Unit],D4016,RawData[Total Spent],E4016,RawData[Payment Method],F4016,RawData[Location],G4016,RawData[Transaction Date],H4016)</f>
        <v>1</v>
      </c>
      <c r="L4016"/>
    </row>
    <row r="4017" spans="1:12" x14ac:dyDescent="0.3">
      <c r="A4017" t="s">
        <v>4023</v>
      </c>
      <c r="B4017" t="s">
        <v>10016</v>
      </c>
      <c r="C4017">
        <v>1</v>
      </c>
      <c r="D4017">
        <v>3</v>
      </c>
      <c r="E4017">
        <v>3</v>
      </c>
      <c r="F4017" t="s">
        <v>10018</v>
      </c>
      <c r="G4017" t="s">
        <v>10102</v>
      </c>
      <c r="H4017" s="6">
        <v>45213</v>
      </c>
      <c r="I4017">
        <f t="shared" si="124"/>
        <v>0</v>
      </c>
      <c r="J4017" t="str">
        <f t="shared" si="125"/>
        <v>Complete</v>
      </c>
      <c r="K4017">
        <f>COUNTIFS(RawData[Item], B4017,RawData[Quantity],C4017,RawData[Price Per Unit],D4017,RawData[Total Spent],E4017,RawData[Payment Method],F4017,RawData[Location],G4017,RawData[Transaction Date],H4017)</f>
        <v>1</v>
      </c>
      <c r="L4017"/>
    </row>
    <row r="4018" spans="1:12" x14ac:dyDescent="0.3">
      <c r="A4018" t="s">
        <v>4024</v>
      </c>
      <c r="B4018" t="s">
        <v>10012</v>
      </c>
      <c r="C4018">
        <v>1</v>
      </c>
      <c r="D4018">
        <v>4</v>
      </c>
      <c r="E4018">
        <v>0</v>
      </c>
      <c r="F4018" t="s">
        <v>10069</v>
      </c>
      <c r="G4018" t="s">
        <v>10021</v>
      </c>
      <c r="H4018" s="6">
        <v>45248</v>
      </c>
      <c r="I4018">
        <f t="shared" si="124"/>
        <v>0</v>
      </c>
      <c r="J4018" t="str">
        <f t="shared" si="125"/>
        <v>Complete</v>
      </c>
      <c r="K4018">
        <f>COUNTIFS(RawData[Item], B4018,RawData[Quantity],C4018,RawData[Price Per Unit],D4018,RawData[Total Spent],E4018,RawData[Payment Method],F4018,RawData[Location],G4018,RawData[Transaction Date],H4018)</f>
        <v>1</v>
      </c>
      <c r="L4018"/>
    </row>
    <row r="4019" spans="1:12" x14ac:dyDescent="0.3">
      <c r="A4019" t="s">
        <v>4025</v>
      </c>
      <c r="B4019" t="s">
        <v>10010</v>
      </c>
      <c r="C4019">
        <v>3</v>
      </c>
      <c r="D4019">
        <v>1</v>
      </c>
      <c r="E4019">
        <v>3</v>
      </c>
      <c r="F4019" t="s">
        <v>10019</v>
      </c>
      <c r="G4019" t="s">
        <v>10102</v>
      </c>
      <c r="H4019" s="6">
        <v>45290</v>
      </c>
      <c r="I4019">
        <f t="shared" si="124"/>
        <v>0</v>
      </c>
      <c r="J4019" t="str">
        <f t="shared" si="125"/>
        <v>Complete</v>
      </c>
      <c r="K4019">
        <f>COUNTIFS(RawData[Item], B4019,RawData[Quantity],C4019,RawData[Price Per Unit],D4019,RawData[Total Spent],E4019,RawData[Payment Method],F4019,RawData[Location],G4019,RawData[Transaction Date],H4019)</f>
        <v>1</v>
      </c>
      <c r="L4019"/>
    </row>
    <row r="4020" spans="1:12" x14ac:dyDescent="0.3">
      <c r="A4020" t="s">
        <v>4026</v>
      </c>
      <c r="B4020" t="s">
        <v>10069</v>
      </c>
      <c r="C4020">
        <v>2</v>
      </c>
      <c r="D4020">
        <v>4</v>
      </c>
      <c r="E4020">
        <v>8</v>
      </c>
      <c r="F4020" t="s">
        <v>10019</v>
      </c>
      <c r="G4020" t="s">
        <v>10069</v>
      </c>
      <c r="H4020" s="6">
        <v>45106</v>
      </c>
      <c r="I4020">
        <f t="shared" si="124"/>
        <v>0</v>
      </c>
      <c r="J4020" t="str">
        <f t="shared" si="125"/>
        <v>Complete</v>
      </c>
      <c r="K4020">
        <f>COUNTIFS(RawData[Item], B4020,RawData[Quantity],C4020,RawData[Price Per Unit],D4020,RawData[Total Spent],E4020,RawData[Payment Method],F4020,RawData[Location],G4020,RawData[Transaction Date],H4020)</f>
        <v>1</v>
      </c>
      <c r="L4020"/>
    </row>
    <row r="4021" spans="1:12" x14ac:dyDescent="0.3">
      <c r="A4021" t="s">
        <v>4027</v>
      </c>
      <c r="B4021" t="s">
        <v>10008</v>
      </c>
      <c r="C4021">
        <v>1</v>
      </c>
      <c r="D4021">
        <v>2</v>
      </c>
      <c r="E4021">
        <v>2</v>
      </c>
      <c r="F4021" t="s">
        <v>10020</v>
      </c>
      <c r="G4021" t="s">
        <v>10021</v>
      </c>
      <c r="H4021" s="6">
        <v>45103</v>
      </c>
      <c r="I4021">
        <f t="shared" si="124"/>
        <v>0</v>
      </c>
      <c r="J4021" t="str">
        <f t="shared" si="125"/>
        <v>Complete</v>
      </c>
      <c r="K4021">
        <f>COUNTIFS(RawData[Item], B4021,RawData[Quantity],C4021,RawData[Price Per Unit],D4021,RawData[Total Spent],E4021,RawData[Payment Method],F4021,RawData[Location],G4021,RawData[Transaction Date],H4021)</f>
        <v>1</v>
      </c>
      <c r="L4021"/>
    </row>
    <row r="4022" spans="1:12" x14ac:dyDescent="0.3">
      <c r="A4022" t="s">
        <v>4028</v>
      </c>
      <c r="B4022" t="s">
        <v>10011</v>
      </c>
      <c r="C4022">
        <v>1</v>
      </c>
      <c r="D4022">
        <v>5</v>
      </c>
      <c r="E4022">
        <v>5</v>
      </c>
      <c r="F4022" t="s">
        <v>10019</v>
      </c>
      <c r="G4022" t="s">
        <v>10021</v>
      </c>
      <c r="H4022" s="6">
        <v>45065</v>
      </c>
      <c r="I4022">
        <f t="shared" si="124"/>
        <v>0</v>
      </c>
      <c r="J4022" t="str">
        <f t="shared" si="125"/>
        <v>Complete</v>
      </c>
      <c r="K4022">
        <f>COUNTIFS(RawData[Item], B4022,RawData[Quantity],C4022,RawData[Price Per Unit],D4022,RawData[Total Spent],E4022,RawData[Payment Method],F4022,RawData[Location],G4022,RawData[Transaction Date],H4022)</f>
        <v>1</v>
      </c>
      <c r="L4022"/>
    </row>
    <row r="4023" spans="1:12" x14ac:dyDescent="0.3">
      <c r="A4023" t="s">
        <v>4029</v>
      </c>
      <c r="B4023" t="s">
        <v>10010</v>
      </c>
      <c r="C4023">
        <v>2</v>
      </c>
      <c r="D4023" t="s">
        <v>10013</v>
      </c>
      <c r="E4023" t="s">
        <v>10013</v>
      </c>
      <c r="F4023" t="s">
        <v>10018</v>
      </c>
      <c r="G4023" t="s">
        <v>10102</v>
      </c>
      <c r="H4023" s="6">
        <v>45250</v>
      </c>
      <c r="I4023">
        <f t="shared" si="124"/>
        <v>2</v>
      </c>
      <c r="J4023" t="str">
        <f t="shared" si="125"/>
        <v>Complete</v>
      </c>
      <c r="K4023">
        <f>COUNTIFS(RawData[Item], B4023,RawData[Quantity],C4023,RawData[Price Per Unit],D4023,RawData[Total Spent],E4023,RawData[Payment Method],F4023,RawData[Location],G4023,RawData[Transaction Date],H4023)</f>
        <v>1</v>
      </c>
      <c r="L4023"/>
    </row>
    <row r="4024" spans="1:12" x14ac:dyDescent="0.3">
      <c r="A4024" t="s">
        <v>4030</v>
      </c>
      <c r="B4024" t="s">
        <v>10008</v>
      </c>
      <c r="C4024">
        <v>2</v>
      </c>
      <c r="D4024">
        <v>2</v>
      </c>
      <c r="E4024">
        <v>4</v>
      </c>
      <c r="F4024" t="s">
        <v>10019</v>
      </c>
      <c r="G4024" t="s">
        <v>10102</v>
      </c>
      <c r="H4024" s="6">
        <v>44956</v>
      </c>
      <c r="I4024">
        <f t="shared" si="124"/>
        <v>0</v>
      </c>
      <c r="J4024" t="str">
        <f t="shared" si="125"/>
        <v>Complete</v>
      </c>
      <c r="K4024">
        <f>COUNTIFS(RawData[Item], B4024,RawData[Quantity],C4024,RawData[Price Per Unit],D4024,RawData[Total Spent],E4024,RawData[Payment Method],F4024,RawData[Location],G4024,RawData[Transaction Date],H4024)</f>
        <v>1</v>
      </c>
      <c r="L4024"/>
    </row>
    <row r="4025" spans="1:12" x14ac:dyDescent="0.3">
      <c r="A4025" t="s">
        <v>4031</v>
      </c>
      <c r="B4025" t="s">
        <v>10009</v>
      </c>
      <c r="C4025">
        <v>1</v>
      </c>
      <c r="D4025">
        <v>3</v>
      </c>
      <c r="E4025">
        <v>3</v>
      </c>
      <c r="F4025" t="s">
        <v>10069</v>
      </c>
      <c r="G4025" t="s">
        <v>10102</v>
      </c>
      <c r="H4025" s="6">
        <v>45120</v>
      </c>
      <c r="I4025">
        <f t="shared" si="124"/>
        <v>0</v>
      </c>
      <c r="J4025" t="str">
        <f t="shared" si="125"/>
        <v>Complete</v>
      </c>
      <c r="K4025">
        <f>COUNTIFS(RawData[Item], B4025,RawData[Quantity],C4025,RawData[Price Per Unit],D4025,RawData[Total Spent],E4025,RawData[Payment Method],F4025,RawData[Location],G4025,RawData[Transaction Date],H4025)</f>
        <v>1</v>
      </c>
      <c r="L4025"/>
    </row>
    <row r="4026" spans="1:12" x14ac:dyDescent="0.3">
      <c r="A4026" t="s">
        <v>4032</v>
      </c>
      <c r="B4026" t="s">
        <v>10011</v>
      </c>
      <c r="C4026">
        <v>5</v>
      </c>
      <c r="D4026">
        <v>5</v>
      </c>
      <c r="E4026">
        <v>25</v>
      </c>
      <c r="F4026" t="s">
        <v>10019</v>
      </c>
      <c r="G4026" t="s">
        <v>10102</v>
      </c>
      <c r="H4026" s="6">
        <v>44943</v>
      </c>
      <c r="I4026">
        <f t="shared" si="124"/>
        <v>0</v>
      </c>
      <c r="J4026" t="str">
        <f t="shared" si="125"/>
        <v>Complete</v>
      </c>
      <c r="K4026">
        <f>COUNTIFS(RawData[Item], B4026,RawData[Quantity],C4026,RawData[Price Per Unit],D4026,RawData[Total Spent],E4026,RawData[Payment Method],F4026,RawData[Location],G4026,RawData[Transaction Date],H4026)</f>
        <v>1</v>
      </c>
      <c r="L4026"/>
    </row>
    <row r="4027" spans="1:12" x14ac:dyDescent="0.3">
      <c r="A4027" t="s">
        <v>4033</v>
      </c>
      <c r="B4027" t="s">
        <v>10016</v>
      </c>
      <c r="C4027">
        <v>3</v>
      </c>
      <c r="D4027">
        <v>0</v>
      </c>
      <c r="E4027">
        <v>9</v>
      </c>
      <c r="F4027" t="s">
        <v>10069</v>
      </c>
      <c r="G4027" t="s">
        <v>10021</v>
      </c>
      <c r="H4027" s="6">
        <v>45172</v>
      </c>
      <c r="I4027">
        <f t="shared" si="124"/>
        <v>0</v>
      </c>
      <c r="J4027" t="str">
        <f t="shared" si="125"/>
        <v>Complete</v>
      </c>
      <c r="K4027">
        <f>COUNTIFS(RawData[Item], B4027,RawData[Quantity],C4027,RawData[Price Per Unit],D4027,RawData[Total Spent],E4027,RawData[Payment Method],F4027,RawData[Location],G4027,RawData[Transaction Date],H4027)</f>
        <v>1</v>
      </c>
      <c r="L4027"/>
    </row>
    <row r="4028" spans="1:12" x14ac:dyDescent="0.3">
      <c r="A4028" t="s">
        <v>4034</v>
      </c>
      <c r="B4028" t="s">
        <v>10008</v>
      </c>
      <c r="C4028">
        <v>2</v>
      </c>
      <c r="D4028">
        <v>2</v>
      </c>
      <c r="E4028">
        <v>4</v>
      </c>
      <c r="F4028" t="s">
        <v>10018</v>
      </c>
      <c r="G4028" t="s">
        <v>10102</v>
      </c>
      <c r="H4028" s="6">
        <v>45279</v>
      </c>
      <c r="I4028">
        <f t="shared" si="124"/>
        <v>0</v>
      </c>
      <c r="J4028" t="str">
        <f t="shared" si="125"/>
        <v>Complete</v>
      </c>
      <c r="K4028">
        <f>COUNTIFS(RawData[Item], B4028,RawData[Quantity],C4028,RawData[Price Per Unit],D4028,RawData[Total Spent],E4028,RawData[Payment Method],F4028,RawData[Location],G4028,RawData[Transaction Date],H4028)</f>
        <v>1</v>
      </c>
      <c r="L4028"/>
    </row>
    <row r="4029" spans="1:12" x14ac:dyDescent="0.3">
      <c r="A4029" t="s">
        <v>4035</v>
      </c>
      <c r="B4029" t="s">
        <v>10010</v>
      </c>
      <c r="C4029">
        <v>4</v>
      </c>
      <c r="D4029">
        <v>1</v>
      </c>
      <c r="E4029">
        <v>4</v>
      </c>
      <c r="F4029" t="s">
        <v>10018</v>
      </c>
      <c r="G4029" t="s">
        <v>10102</v>
      </c>
      <c r="H4029" s="6">
        <v>44940</v>
      </c>
      <c r="I4029">
        <f t="shared" si="124"/>
        <v>0</v>
      </c>
      <c r="J4029" t="str">
        <f t="shared" si="125"/>
        <v>Complete</v>
      </c>
      <c r="K4029">
        <f>COUNTIFS(RawData[Item], B4029,RawData[Quantity],C4029,RawData[Price Per Unit],D4029,RawData[Total Spent],E4029,RawData[Payment Method],F4029,RawData[Location],G4029,RawData[Transaction Date],H4029)</f>
        <v>1</v>
      </c>
      <c r="L4029"/>
    </row>
    <row r="4030" spans="1:12" x14ac:dyDescent="0.3">
      <c r="A4030" t="s">
        <v>4036</v>
      </c>
      <c r="B4030" t="s">
        <v>10016</v>
      </c>
      <c r="C4030">
        <v>4</v>
      </c>
      <c r="D4030">
        <v>3</v>
      </c>
      <c r="E4030">
        <v>12</v>
      </c>
      <c r="F4030" t="s">
        <v>10069</v>
      </c>
      <c r="G4030" t="s">
        <v>10069</v>
      </c>
      <c r="H4030" s="6">
        <v>45160</v>
      </c>
      <c r="I4030">
        <f t="shared" si="124"/>
        <v>0</v>
      </c>
      <c r="J4030" t="str">
        <f t="shared" si="125"/>
        <v>Complete</v>
      </c>
      <c r="K4030">
        <f>COUNTIFS(RawData[Item], B4030,RawData[Quantity],C4030,RawData[Price Per Unit],D4030,RawData[Total Spent],E4030,RawData[Payment Method],F4030,RawData[Location],G4030,RawData[Transaction Date],H4030)</f>
        <v>1</v>
      </c>
      <c r="L4030"/>
    </row>
    <row r="4031" spans="1:12" x14ac:dyDescent="0.3">
      <c r="A4031" t="s">
        <v>4037</v>
      </c>
      <c r="B4031" t="s">
        <v>10017</v>
      </c>
      <c r="C4031">
        <v>5</v>
      </c>
      <c r="D4031">
        <v>1.5</v>
      </c>
      <c r="E4031">
        <v>7.5</v>
      </c>
      <c r="F4031" t="s">
        <v>10020</v>
      </c>
      <c r="G4031" t="s">
        <v>10021</v>
      </c>
      <c r="H4031" s="6">
        <v>44988</v>
      </c>
      <c r="I4031">
        <f t="shared" si="124"/>
        <v>0</v>
      </c>
      <c r="J4031" t="str">
        <f t="shared" si="125"/>
        <v>Complete</v>
      </c>
      <c r="K4031">
        <f>COUNTIFS(RawData[Item], B4031,RawData[Quantity],C4031,RawData[Price Per Unit],D4031,RawData[Total Spent],E4031,RawData[Payment Method],F4031,RawData[Location],G4031,RawData[Transaction Date],H4031)</f>
        <v>1</v>
      </c>
      <c r="L4031"/>
    </row>
    <row r="4032" spans="1:12" x14ac:dyDescent="0.3">
      <c r="A4032" t="s">
        <v>4038</v>
      </c>
      <c r="B4032" t="s">
        <v>10012</v>
      </c>
      <c r="C4032">
        <v>1</v>
      </c>
      <c r="D4032">
        <v>4</v>
      </c>
      <c r="E4032">
        <v>4</v>
      </c>
      <c r="F4032" t="s">
        <v>10069</v>
      </c>
      <c r="G4032" t="s">
        <v>10102</v>
      </c>
      <c r="H4032" s="6">
        <v>45291</v>
      </c>
      <c r="I4032">
        <f t="shared" si="124"/>
        <v>0</v>
      </c>
      <c r="J4032" t="str">
        <f t="shared" si="125"/>
        <v>Complete</v>
      </c>
      <c r="K4032">
        <f>COUNTIFS(RawData[Item], B4032,RawData[Quantity],C4032,RawData[Price Per Unit],D4032,RawData[Total Spent],E4032,RawData[Payment Method],F4032,RawData[Location],G4032,RawData[Transaction Date],H4032)</f>
        <v>1</v>
      </c>
      <c r="L4032"/>
    </row>
    <row r="4033" spans="1:12" x14ac:dyDescent="0.3">
      <c r="A4033" t="s">
        <v>4039</v>
      </c>
      <c r="B4033" t="s">
        <v>10014</v>
      </c>
      <c r="C4033">
        <v>5</v>
      </c>
      <c r="D4033">
        <v>4</v>
      </c>
      <c r="E4033">
        <v>20</v>
      </c>
      <c r="F4033" t="s">
        <v>10019</v>
      </c>
      <c r="G4033" t="s">
        <v>10069</v>
      </c>
      <c r="H4033" s="6">
        <v>44938</v>
      </c>
      <c r="I4033">
        <f t="shared" si="124"/>
        <v>0</v>
      </c>
      <c r="J4033" t="str">
        <f t="shared" si="125"/>
        <v>Complete</v>
      </c>
      <c r="K4033">
        <f>COUNTIFS(RawData[Item], B4033,RawData[Quantity],C4033,RawData[Price Per Unit],D4033,RawData[Total Spent],E4033,RawData[Payment Method],F4033,RawData[Location],G4033,RawData[Transaction Date],H4033)</f>
        <v>1</v>
      </c>
      <c r="L4033"/>
    </row>
    <row r="4034" spans="1:12" x14ac:dyDescent="0.3">
      <c r="A4034" t="s">
        <v>4040</v>
      </c>
      <c r="B4034" t="s">
        <v>10017</v>
      </c>
      <c r="C4034">
        <v>3</v>
      </c>
      <c r="D4034">
        <v>1.5</v>
      </c>
      <c r="E4034">
        <v>4.5</v>
      </c>
      <c r="F4034" t="s">
        <v>10018</v>
      </c>
      <c r="G4034" t="s">
        <v>10069</v>
      </c>
      <c r="H4034" s="6">
        <v>45277</v>
      </c>
      <c r="I4034">
        <f t="shared" ref="I4034:I4097" si="126">(B4034="Unknown")+(B4034="Error")+(C4034="Unknown")+(C4034="Error")+(D4034="Unknown")+(D4034="Error")+(E4034="Unknown")+(E4034="Error")+(F4034="Unknown")+(F4034="Error")+(G4034="Unknown")+(G4034="Error")+(H4034="No Date")</f>
        <v>0</v>
      </c>
      <c r="J4034" t="str">
        <f t="shared" ref="J4034:J4097" si="127">IF((H4034="No Date"),"Incomplete","Complete")</f>
        <v>Complete</v>
      </c>
      <c r="K4034">
        <f>COUNTIFS(RawData[Item], B4034,RawData[Quantity],C4034,RawData[Price Per Unit],D4034,RawData[Total Spent],E4034,RawData[Payment Method],F4034,RawData[Location],G4034,RawData[Transaction Date],H4034)</f>
        <v>1</v>
      </c>
      <c r="L4034"/>
    </row>
    <row r="4035" spans="1:12" x14ac:dyDescent="0.3">
      <c r="A4035" t="s">
        <v>4041</v>
      </c>
      <c r="B4035" t="s">
        <v>10009</v>
      </c>
      <c r="C4035">
        <v>3</v>
      </c>
      <c r="D4035">
        <v>3</v>
      </c>
      <c r="E4035">
        <v>9</v>
      </c>
      <c r="F4035" t="s">
        <v>10069</v>
      </c>
      <c r="G4035" t="s">
        <v>10021</v>
      </c>
      <c r="H4035" s="6">
        <v>44930</v>
      </c>
      <c r="I4035">
        <f t="shared" si="126"/>
        <v>0</v>
      </c>
      <c r="J4035" t="str">
        <f t="shared" si="127"/>
        <v>Complete</v>
      </c>
      <c r="K4035">
        <f>COUNTIFS(RawData[Item], B4035,RawData[Quantity],C4035,RawData[Price Per Unit],D4035,RawData[Total Spent],E4035,RawData[Payment Method],F4035,RawData[Location],G4035,RawData[Transaction Date],H4035)</f>
        <v>1</v>
      </c>
      <c r="L4035"/>
    </row>
    <row r="4036" spans="1:12" x14ac:dyDescent="0.3">
      <c r="A4036" t="s">
        <v>4042</v>
      </c>
      <c r="B4036" t="s">
        <v>10012</v>
      </c>
      <c r="C4036">
        <v>1</v>
      </c>
      <c r="D4036">
        <v>4</v>
      </c>
      <c r="E4036">
        <v>4</v>
      </c>
      <c r="F4036" t="s">
        <v>10018</v>
      </c>
      <c r="G4036" t="s">
        <v>10069</v>
      </c>
      <c r="H4036" s="6">
        <v>45204</v>
      </c>
      <c r="I4036">
        <f t="shared" si="126"/>
        <v>0</v>
      </c>
      <c r="J4036" t="str">
        <f t="shared" si="127"/>
        <v>Complete</v>
      </c>
      <c r="K4036">
        <f>COUNTIFS(RawData[Item], B4036,RawData[Quantity],C4036,RawData[Price Per Unit],D4036,RawData[Total Spent],E4036,RawData[Payment Method],F4036,RawData[Location],G4036,RawData[Transaction Date],H4036)</f>
        <v>1</v>
      </c>
      <c r="L4036"/>
    </row>
    <row r="4037" spans="1:12" x14ac:dyDescent="0.3">
      <c r="A4037" t="s">
        <v>4043</v>
      </c>
      <c r="B4037" t="s">
        <v>10016</v>
      </c>
      <c r="C4037">
        <v>3</v>
      </c>
      <c r="D4037">
        <v>3</v>
      </c>
      <c r="E4037">
        <v>9</v>
      </c>
      <c r="F4037" t="s">
        <v>10069</v>
      </c>
      <c r="G4037" t="s">
        <v>10021</v>
      </c>
      <c r="H4037" s="6">
        <v>45039</v>
      </c>
      <c r="I4037">
        <f t="shared" si="126"/>
        <v>0</v>
      </c>
      <c r="J4037" t="str">
        <f t="shared" si="127"/>
        <v>Complete</v>
      </c>
      <c r="K4037">
        <f>COUNTIFS(RawData[Item], B4037,RawData[Quantity],C4037,RawData[Price Per Unit],D4037,RawData[Total Spent],E4037,RawData[Payment Method],F4037,RawData[Location],G4037,RawData[Transaction Date],H4037)</f>
        <v>1</v>
      </c>
      <c r="L4037"/>
    </row>
    <row r="4038" spans="1:12" x14ac:dyDescent="0.3">
      <c r="A4038" t="s">
        <v>4044</v>
      </c>
      <c r="B4038" t="s">
        <v>10011</v>
      </c>
      <c r="C4038">
        <v>2</v>
      </c>
      <c r="D4038">
        <v>5</v>
      </c>
      <c r="E4038">
        <v>10</v>
      </c>
      <c r="F4038" t="s">
        <v>10018</v>
      </c>
      <c r="G4038" t="s">
        <v>10102</v>
      </c>
      <c r="H4038" s="6">
        <v>45290</v>
      </c>
      <c r="I4038">
        <f t="shared" si="126"/>
        <v>0</v>
      </c>
      <c r="J4038" t="str">
        <f t="shared" si="127"/>
        <v>Complete</v>
      </c>
      <c r="K4038">
        <f>COUNTIFS(RawData[Item], B4038,RawData[Quantity],C4038,RawData[Price Per Unit],D4038,RawData[Total Spent],E4038,RawData[Payment Method],F4038,RawData[Location],G4038,RawData[Transaction Date],H4038)</f>
        <v>1</v>
      </c>
      <c r="L4038"/>
    </row>
    <row r="4039" spans="1:12" x14ac:dyDescent="0.3">
      <c r="A4039" t="s">
        <v>4045</v>
      </c>
      <c r="B4039" t="s">
        <v>10012</v>
      </c>
      <c r="C4039">
        <v>2</v>
      </c>
      <c r="D4039">
        <v>4</v>
      </c>
      <c r="E4039">
        <v>8</v>
      </c>
      <c r="F4039" t="s">
        <v>10069</v>
      </c>
      <c r="G4039" t="s">
        <v>10021</v>
      </c>
      <c r="H4039" s="6">
        <v>44942</v>
      </c>
      <c r="I4039">
        <f t="shared" si="126"/>
        <v>0</v>
      </c>
      <c r="J4039" t="str">
        <f t="shared" si="127"/>
        <v>Complete</v>
      </c>
      <c r="K4039">
        <f>COUNTIFS(RawData[Item], B4039,RawData[Quantity],C4039,RawData[Price Per Unit],D4039,RawData[Total Spent],E4039,RawData[Payment Method],F4039,RawData[Location],G4039,RawData[Transaction Date],H4039)</f>
        <v>1</v>
      </c>
      <c r="L4039"/>
    </row>
    <row r="4040" spans="1:12" x14ac:dyDescent="0.3">
      <c r="A4040" t="s">
        <v>4046</v>
      </c>
      <c r="B4040" t="s">
        <v>10017</v>
      </c>
      <c r="C4040">
        <v>5</v>
      </c>
      <c r="D4040">
        <v>1.5</v>
      </c>
      <c r="E4040">
        <v>7.5</v>
      </c>
      <c r="F4040" t="s">
        <v>10018</v>
      </c>
      <c r="G4040" t="s">
        <v>10102</v>
      </c>
      <c r="H4040" s="6">
        <v>44945</v>
      </c>
      <c r="I4040">
        <f t="shared" si="126"/>
        <v>0</v>
      </c>
      <c r="J4040" t="str">
        <f t="shared" si="127"/>
        <v>Complete</v>
      </c>
      <c r="K4040">
        <f>COUNTIFS(RawData[Item], B4040,RawData[Quantity],C4040,RawData[Price Per Unit],D4040,RawData[Total Spent],E4040,RawData[Payment Method],F4040,RawData[Location],G4040,RawData[Transaction Date],H4040)</f>
        <v>1</v>
      </c>
      <c r="L4040"/>
    </row>
    <row r="4041" spans="1:12" x14ac:dyDescent="0.3">
      <c r="A4041" t="s">
        <v>4047</v>
      </c>
      <c r="B4041" t="s">
        <v>10014</v>
      </c>
      <c r="C4041">
        <v>2</v>
      </c>
      <c r="D4041">
        <v>4</v>
      </c>
      <c r="E4041">
        <v>0</v>
      </c>
      <c r="F4041" t="s">
        <v>10069</v>
      </c>
      <c r="G4041" t="s">
        <v>10069</v>
      </c>
      <c r="H4041" s="6">
        <v>45058</v>
      </c>
      <c r="I4041">
        <f t="shared" si="126"/>
        <v>0</v>
      </c>
      <c r="J4041" t="str">
        <f t="shared" si="127"/>
        <v>Complete</v>
      </c>
      <c r="K4041">
        <f>COUNTIFS(RawData[Item], B4041,RawData[Quantity],C4041,RawData[Price Per Unit],D4041,RawData[Total Spent],E4041,RawData[Payment Method],F4041,RawData[Location],G4041,RawData[Transaction Date],H4041)</f>
        <v>1</v>
      </c>
      <c r="L4041"/>
    </row>
    <row r="4042" spans="1:12" x14ac:dyDescent="0.3">
      <c r="A4042" t="s">
        <v>4048</v>
      </c>
      <c r="B4042" t="s">
        <v>10012</v>
      </c>
      <c r="C4042">
        <v>3</v>
      </c>
      <c r="D4042">
        <v>4</v>
      </c>
      <c r="E4042">
        <v>12</v>
      </c>
      <c r="F4042" t="s">
        <v>10020</v>
      </c>
      <c r="G4042" t="s">
        <v>10069</v>
      </c>
      <c r="H4042" s="6">
        <v>45212</v>
      </c>
      <c r="I4042">
        <f t="shared" si="126"/>
        <v>0</v>
      </c>
      <c r="J4042" t="str">
        <f t="shared" si="127"/>
        <v>Complete</v>
      </c>
      <c r="K4042">
        <f>COUNTIFS(RawData[Item], B4042,RawData[Quantity],C4042,RawData[Price Per Unit],D4042,RawData[Total Spent],E4042,RawData[Payment Method],F4042,RawData[Location],G4042,RawData[Transaction Date],H4042)</f>
        <v>1</v>
      </c>
      <c r="L4042"/>
    </row>
    <row r="4043" spans="1:12" x14ac:dyDescent="0.3">
      <c r="A4043" t="s">
        <v>4049</v>
      </c>
      <c r="B4043" t="s">
        <v>10010</v>
      </c>
      <c r="C4043">
        <v>2</v>
      </c>
      <c r="D4043">
        <v>1</v>
      </c>
      <c r="E4043">
        <v>2</v>
      </c>
      <c r="F4043" t="s">
        <v>10020</v>
      </c>
      <c r="G4043" t="s">
        <v>10021</v>
      </c>
      <c r="H4043" s="6">
        <v>45036</v>
      </c>
      <c r="I4043">
        <f t="shared" si="126"/>
        <v>0</v>
      </c>
      <c r="J4043" t="str">
        <f t="shared" si="127"/>
        <v>Complete</v>
      </c>
      <c r="K4043">
        <f>COUNTIFS(RawData[Item], B4043,RawData[Quantity],C4043,RawData[Price Per Unit],D4043,RawData[Total Spent],E4043,RawData[Payment Method],F4043,RawData[Location],G4043,RawData[Transaction Date],H4043)</f>
        <v>1</v>
      </c>
      <c r="L4043"/>
    </row>
    <row r="4044" spans="1:12" x14ac:dyDescent="0.3">
      <c r="A4044" t="s">
        <v>4050</v>
      </c>
      <c r="B4044" t="s">
        <v>10009</v>
      </c>
      <c r="C4044">
        <v>2</v>
      </c>
      <c r="D4044">
        <v>3</v>
      </c>
      <c r="E4044">
        <v>6</v>
      </c>
      <c r="F4044" t="s">
        <v>10069</v>
      </c>
      <c r="G4044" t="s">
        <v>10021</v>
      </c>
      <c r="H4044" s="6">
        <v>45170</v>
      </c>
      <c r="I4044">
        <f t="shared" si="126"/>
        <v>0</v>
      </c>
      <c r="J4044" t="str">
        <f t="shared" si="127"/>
        <v>Complete</v>
      </c>
      <c r="K4044">
        <f>COUNTIFS(RawData[Item], B4044,RawData[Quantity],C4044,RawData[Price Per Unit],D4044,RawData[Total Spent],E4044,RawData[Payment Method],F4044,RawData[Location],G4044,RawData[Transaction Date],H4044)</f>
        <v>1</v>
      </c>
      <c r="L4044"/>
    </row>
    <row r="4045" spans="1:12" x14ac:dyDescent="0.3">
      <c r="A4045" t="s">
        <v>4051</v>
      </c>
      <c r="B4045" t="s">
        <v>10012</v>
      </c>
      <c r="C4045">
        <v>5</v>
      </c>
      <c r="D4045">
        <v>4</v>
      </c>
      <c r="E4045" t="s">
        <v>10015</v>
      </c>
      <c r="F4045" t="s">
        <v>10020</v>
      </c>
      <c r="G4045" t="s">
        <v>10102</v>
      </c>
      <c r="H4045" s="6">
        <v>44976</v>
      </c>
      <c r="I4045">
        <f t="shared" si="126"/>
        <v>1</v>
      </c>
      <c r="J4045" t="str">
        <f t="shared" si="127"/>
        <v>Complete</v>
      </c>
      <c r="K4045">
        <f>COUNTIFS(RawData[Item], B4045,RawData[Quantity],C4045,RawData[Price Per Unit],D4045,RawData[Total Spent],E4045,RawData[Payment Method],F4045,RawData[Location],G4045,RawData[Transaction Date],H4045)</f>
        <v>1</v>
      </c>
      <c r="L4045"/>
    </row>
    <row r="4046" spans="1:12" x14ac:dyDescent="0.3">
      <c r="A4046" t="s">
        <v>4052</v>
      </c>
      <c r="B4046" t="s">
        <v>10016</v>
      </c>
      <c r="C4046">
        <v>4</v>
      </c>
      <c r="D4046">
        <v>3</v>
      </c>
      <c r="E4046">
        <v>12</v>
      </c>
      <c r="F4046" t="s">
        <v>10020</v>
      </c>
      <c r="G4046" t="s">
        <v>10102</v>
      </c>
      <c r="H4046" s="6">
        <v>45144</v>
      </c>
      <c r="I4046">
        <f t="shared" si="126"/>
        <v>0</v>
      </c>
      <c r="J4046" t="str">
        <f t="shared" si="127"/>
        <v>Complete</v>
      </c>
      <c r="K4046">
        <f>COUNTIFS(RawData[Item], B4046,RawData[Quantity],C4046,RawData[Price Per Unit],D4046,RawData[Total Spent],E4046,RawData[Payment Method],F4046,RawData[Location],G4046,RawData[Transaction Date],H4046)</f>
        <v>1</v>
      </c>
      <c r="L4046"/>
    </row>
    <row r="4047" spans="1:12" x14ac:dyDescent="0.3">
      <c r="A4047" t="s">
        <v>4053</v>
      </c>
      <c r="B4047" t="s">
        <v>10017</v>
      </c>
      <c r="C4047">
        <v>5</v>
      </c>
      <c r="D4047">
        <v>1.5</v>
      </c>
      <c r="E4047">
        <v>7.5</v>
      </c>
      <c r="F4047" t="s">
        <v>10069</v>
      </c>
      <c r="G4047" t="s">
        <v>10021</v>
      </c>
      <c r="H4047" s="6">
        <v>45130</v>
      </c>
      <c r="I4047">
        <f t="shared" si="126"/>
        <v>0</v>
      </c>
      <c r="J4047" t="str">
        <f t="shared" si="127"/>
        <v>Complete</v>
      </c>
      <c r="K4047">
        <f>COUNTIFS(RawData[Item], B4047,RawData[Quantity],C4047,RawData[Price Per Unit],D4047,RawData[Total Spent],E4047,RawData[Payment Method],F4047,RawData[Location],G4047,RawData[Transaction Date],H4047)</f>
        <v>1</v>
      </c>
      <c r="L4047"/>
    </row>
    <row r="4048" spans="1:12" x14ac:dyDescent="0.3">
      <c r="A4048" t="s">
        <v>4054</v>
      </c>
      <c r="B4048" t="s">
        <v>10014</v>
      </c>
      <c r="C4048">
        <v>0</v>
      </c>
      <c r="D4048">
        <v>4</v>
      </c>
      <c r="E4048">
        <v>20</v>
      </c>
      <c r="F4048" t="s">
        <v>10069</v>
      </c>
      <c r="G4048" t="s">
        <v>10102</v>
      </c>
      <c r="H4048" s="6">
        <v>45163</v>
      </c>
      <c r="I4048">
        <f t="shared" si="126"/>
        <v>0</v>
      </c>
      <c r="J4048" t="str">
        <f t="shared" si="127"/>
        <v>Complete</v>
      </c>
      <c r="K4048">
        <f>COUNTIFS(RawData[Item], B4048,RawData[Quantity],C4048,RawData[Price Per Unit],D4048,RawData[Total Spent],E4048,RawData[Payment Method],F4048,RawData[Location],G4048,RawData[Transaction Date],H4048)</f>
        <v>1</v>
      </c>
      <c r="L4048"/>
    </row>
    <row r="4049" spans="1:12" x14ac:dyDescent="0.3">
      <c r="A4049" t="s">
        <v>4055</v>
      </c>
      <c r="B4049" t="s">
        <v>10010</v>
      </c>
      <c r="C4049">
        <v>4</v>
      </c>
      <c r="D4049">
        <v>1</v>
      </c>
      <c r="E4049">
        <v>4</v>
      </c>
      <c r="F4049" t="s">
        <v>10069</v>
      </c>
      <c r="G4049" t="s">
        <v>10021</v>
      </c>
      <c r="H4049" s="6" t="s">
        <v>10112</v>
      </c>
      <c r="I4049">
        <f t="shared" si="126"/>
        <v>1</v>
      </c>
      <c r="J4049" t="str">
        <f t="shared" si="127"/>
        <v>Incomplete</v>
      </c>
      <c r="K4049">
        <f>COUNTIFS(RawData[Item], B4049,RawData[Quantity],C4049,RawData[Price Per Unit],D4049,RawData[Total Spent],E4049,RawData[Payment Method],F4049,RawData[Location],G4049,RawData[Transaction Date],H4049)</f>
        <v>1</v>
      </c>
      <c r="L4049"/>
    </row>
    <row r="4050" spans="1:12" x14ac:dyDescent="0.3">
      <c r="A4050" t="s">
        <v>4056</v>
      </c>
      <c r="B4050" t="s">
        <v>10014</v>
      </c>
      <c r="C4050">
        <v>4</v>
      </c>
      <c r="D4050">
        <v>4</v>
      </c>
      <c r="E4050">
        <v>16</v>
      </c>
      <c r="F4050" t="s">
        <v>10069</v>
      </c>
      <c r="G4050" t="s">
        <v>10021</v>
      </c>
      <c r="H4050" s="6">
        <v>45179</v>
      </c>
      <c r="I4050">
        <f t="shared" si="126"/>
        <v>0</v>
      </c>
      <c r="J4050" t="str">
        <f t="shared" si="127"/>
        <v>Complete</v>
      </c>
      <c r="K4050">
        <f>COUNTIFS(RawData[Item], B4050,RawData[Quantity],C4050,RawData[Price Per Unit],D4050,RawData[Total Spent],E4050,RawData[Payment Method],F4050,RawData[Location],G4050,RawData[Transaction Date],H4050)</f>
        <v>1</v>
      </c>
      <c r="L4050"/>
    </row>
    <row r="4051" spans="1:12" x14ac:dyDescent="0.3">
      <c r="A4051" t="s">
        <v>4057</v>
      </c>
      <c r="B4051" t="s">
        <v>10016</v>
      </c>
      <c r="C4051">
        <v>1</v>
      </c>
      <c r="D4051">
        <v>3</v>
      </c>
      <c r="E4051">
        <v>3</v>
      </c>
      <c r="F4051" t="s">
        <v>10018</v>
      </c>
      <c r="G4051" t="s">
        <v>10102</v>
      </c>
      <c r="H4051" s="6">
        <v>44995</v>
      </c>
      <c r="I4051">
        <f t="shared" si="126"/>
        <v>0</v>
      </c>
      <c r="J4051" t="str">
        <f t="shared" si="127"/>
        <v>Complete</v>
      </c>
      <c r="K4051">
        <f>COUNTIFS(RawData[Item], B4051,RawData[Quantity],C4051,RawData[Price Per Unit],D4051,RawData[Total Spent],E4051,RawData[Payment Method],F4051,RawData[Location],G4051,RawData[Transaction Date],H4051)</f>
        <v>1</v>
      </c>
      <c r="L4051"/>
    </row>
    <row r="4052" spans="1:12" x14ac:dyDescent="0.3">
      <c r="A4052" t="s">
        <v>4058</v>
      </c>
      <c r="B4052" t="s">
        <v>10010</v>
      </c>
      <c r="C4052">
        <v>2</v>
      </c>
      <c r="D4052">
        <v>1</v>
      </c>
      <c r="E4052">
        <v>2</v>
      </c>
      <c r="F4052" t="s">
        <v>10069</v>
      </c>
      <c r="G4052" t="s">
        <v>10102</v>
      </c>
      <c r="H4052" s="6">
        <v>45060</v>
      </c>
      <c r="I4052">
        <f t="shared" si="126"/>
        <v>0</v>
      </c>
      <c r="J4052" t="str">
        <f t="shared" si="127"/>
        <v>Complete</v>
      </c>
      <c r="K4052">
        <f>COUNTIFS(RawData[Item], B4052,RawData[Quantity],C4052,RawData[Price Per Unit],D4052,RawData[Total Spent],E4052,RawData[Payment Method],F4052,RawData[Location],G4052,RawData[Transaction Date],H4052)</f>
        <v>1</v>
      </c>
      <c r="L4052"/>
    </row>
    <row r="4053" spans="1:12" x14ac:dyDescent="0.3">
      <c r="A4053" t="s">
        <v>4059</v>
      </c>
      <c r="B4053" t="s">
        <v>10008</v>
      </c>
      <c r="C4053">
        <v>4</v>
      </c>
      <c r="D4053">
        <v>2</v>
      </c>
      <c r="E4053">
        <v>8</v>
      </c>
      <c r="F4053" t="s">
        <v>10069</v>
      </c>
      <c r="G4053" t="s">
        <v>10069</v>
      </c>
      <c r="H4053" s="6">
        <v>45123</v>
      </c>
      <c r="I4053">
        <f t="shared" si="126"/>
        <v>0</v>
      </c>
      <c r="J4053" t="str">
        <f t="shared" si="127"/>
        <v>Complete</v>
      </c>
      <c r="K4053">
        <f>COUNTIFS(RawData[Item], B4053,RawData[Quantity],C4053,RawData[Price Per Unit],D4053,RawData[Total Spent],E4053,RawData[Payment Method],F4053,RawData[Location],G4053,RawData[Transaction Date],H4053)</f>
        <v>1</v>
      </c>
      <c r="L4053"/>
    </row>
    <row r="4054" spans="1:12" x14ac:dyDescent="0.3">
      <c r="A4054" t="s">
        <v>4060</v>
      </c>
      <c r="B4054" t="s">
        <v>10009</v>
      </c>
      <c r="C4054">
        <v>3</v>
      </c>
      <c r="D4054">
        <v>3</v>
      </c>
      <c r="E4054">
        <v>9</v>
      </c>
      <c r="F4054" t="s">
        <v>10019</v>
      </c>
      <c r="G4054" t="s">
        <v>10102</v>
      </c>
      <c r="H4054" s="6">
        <v>45279</v>
      </c>
      <c r="I4054">
        <f t="shared" si="126"/>
        <v>0</v>
      </c>
      <c r="J4054" t="str">
        <f t="shared" si="127"/>
        <v>Complete</v>
      </c>
      <c r="K4054">
        <f>COUNTIFS(RawData[Item], B4054,RawData[Quantity],C4054,RawData[Price Per Unit],D4054,RawData[Total Spent],E4054,RawData[Payment Method],F4054,RawData[Location],G4054,RawData[Transaction Date],H4054)</f>
        <v>1</v>
      </c>
      <c r="L4054"/>
    </row>
    <row r="4055" spans="1:12" x14ac:dyDescent="0.3">
      <c r="A4055" t="s">
        <v>4061</v>
      </c>
      <c r="B4055" t="s">
        <v>10011</v>
      </c>
      <c r="C4055">
        <v>5</v>
      </c>
      <c r="D4055">
        <v>5</v>
      </c>
      <c r="E4055">
        <v>25</v>
      </c>
      <c r="F4055" t="s">
        <v>10019</v>
      </c>
      <c r="G4055" t="s">
        <v>10069</v>
      </c>
      <c r="H4055" s="6">
        <v>45216</v>
      </c>
      <c r="I4055">
        <f t="shared" si="126"/>
        <v>0</v>
      </c>
      <c r="J4055" t="str">
        <f t="shared" si="127"/>
        <v>Complete</v>
      </c>
      <c r="K4055">
        <f>COUNTIFS(RawData[Item], B4055,RawData[Quantity],C4055,RawData[Price Per Unit],D4055,RawData[Total Spent],E4055,RawData[Payment Method],F4055,RawData[Location],G4055,RawData[Transaction Date],H4055)</f>
        <v>1</v>
      </c>
      <c r="L4055"/>
    </row>
    <row r="4056" spans="1:12" x14ac:dyDescent="0.3">
      <c r="A4056" t="s">
        <v>4062</v>
      </c>
      <c r="B4056" t="s">
        <v>10008</v>
      </c>
      <c r="C4056">
        <v>2</v>
      </c>
      <c r="D4056">
        <v>2</v>
      </c>
      <c r="E4056">
        <v>4</v>
      </c>
      <c r="F4056" t="s">
        <v>10069</v>
      </c>
      <c r="G4056" t="s">
        <v>10069</v>
      </c>
      <c r="H4056" s="6">
        <v>45192</v>
      </c>
      <c r="I4056">
        <f t="shared" si="126"/>
        <v>0</v>
      </c>
      <c r="J4056" t="str">
        <f t="shared" si="127"/>
        <v>Complete</v>
      </c>
      <c r="K4056">
        <f>COUNTIFS(RawData[Item], B4056,RawData[Quantity],C4056,RawData[Price Per Unit],D4056,RawData[Total Spent],E4056,RawData[Payment Method],F4056,RawData[Location],G4056,RawData[Transaction Date],H4056)</f>
        <v>1</v>
      </c>
      <c r="L4056"/>
    </row>
    <row r="4057" spans="1:12" x14ac:dyDescent="0.3">
      <c r="A4057" t="s">
        <v>4063</v>
      </c>
      <c r="B4057" t="s">
        <v>10012</v>
      </c>
      <c r="C4057">
        <v>0</v>
      </c>
      <c r="D4057">
        <v>4</v>
      </c>
      <c r="E4057">
        <v>4</v>
      </c>
      <c r="F4057" t="s">
        <v>10020</v>
      </c>
      <c r="G4057" t="s">
        <v>10021</v>
      </c>
      <c r="H4057" s="6">
        <v>44997</v>
      </c>
      <c r="I4057">
        <f t="shared" si="126"/>
        <v>0</v>
      </c>
      <c r="J4057" t="str">
        <f t="shared" si="127"/>
        <v>Complete</v>
      </c>
      <c r="K4057">
        <f>COUNTIFS(RawData[Item], B4057,RawData[Quantity],C4057,RawData[Price Per Unit],D4057,RawData[Total Spent],E4057,RawData[Payment Method],F4057,RawData[Location],G4057,RawData[Transaction Date],H4057)</f>
        <v>1</v>
      </c>
      <c r="L4057"/>
    </row>
    <row r="4058" spans="1:12" x14ac:dyDescent="0.3">
      <c r="A4058" t="s">
        <v>4064</v>
      </c>
      <c r="B4058" t="s">
        <v>10011</v>
      </c>
      <c r="C4058">
        <v>1</v>
      </c>
      <c r="D4058">
        <v>5</v>
      </c>
      <c r="E4058" t="s">
        <v>10015</v>
      </c>
      <c r="F4058" t="s">
        <v>10069</v>
      </c>
      <c r="G4058" t="s">
        <v>10102</v>
      </c>
      <c r="H4058" s="6">
        <v>45079</v>
      </c>
      <c r="I4058">
        <f t="shared" si="126"/>
        <v>1</v>
      </c>
      <c r="J4058" t="str">
        <f t="shared" si="127"/>
        <v>Complete</v>
      </c>
      <c r="K4058">
        <f>COUNTIFS(RawData[Item], B4058,RawData[Quantity],C4058,RawData[Price Per Unit],D4058,RawData[Total Spent],E4058,RawData[Payment Method],F4058,RawData[Location],G4058,RawData[Transaction Date],H4058)</f>
        <v>1</v>
      </c>
      <c r="L4058"/>
    </row>
    <row r="4059" spans="1:12" x14ac:dyDescent="0.3">
      <c r="A4059" t="s">
        <v>4065</v>
      </c>
      <c r="B4059" t="s">
        <v>10010</v>
      </c>
      <c r="C4059">
        <v>3</v>
      </c>
      <c r="D4059">
        <v>1</v>
      </c>
      <c r="E4059">
        <v>3</v>
      </c>
      <c r="F4059" t="s">
        <v>10018</v>
      </c>
      <c r="G4059" t="s">
        <v>10069</v>
      </c>
      <c r="H4059" s="6">
        <v>45000</v>
      </c>
      <c r="I4059">
        <f t="shared" si="126"/>
        <v>0</v>
      </c>
      <c r="J4059" t="str">
        <f t="shared" si="127"/>
        <v>Complete</v>
      </c>
      <c r="K4059">
        <f>COUNTIFS(RawData[Item], B4059,RawData[Quantity],C4059,RawData[Price Per Unit],D4059,RawData[Total Spent],E4059,RawData[Payment Method],F4059,RawData[Location],G4059,RawData[Transaction Date],H4059)</f>
        <v>1</v>
      </c>
      <c r="L4059"/>
    </row>
    <row r="4060" spans="1:12" x14ac:dyDescent="0.3">
      <c r="A4060" t="s">
        <v>4066</v>
      </c>
      <c r="B4060" t="s">
        <v>10015</v>
      </c>
      <c r="C4060">
        <v>2</v>
      </c>
      <c r="D4060">
        <v>1.5</v>
      </c>
      <c r="E4060" t="s">
        <v>10013</v>
      </c>
      <c r="F4060" t="s">
        <v>10019</v>
      </c>
      <c r="G4060" t="s">
        <v>10021</v>
      </c>
      <c r="H4060" s="6">
        <v>45128</v>
      </c>
      <c r="I4060">
        <f t="shared" si="126"/>
        <v>2</v>
      </c>
      <c r="J4060" t="str">
        <f t="shared" si="127"/>
        <v>Complete</v>
      </c>
      <c r="K4060">
        <f>COUNTIFS(RawData[Item], B4060,RawData[Quantity],C4060,RawData[Price Per Unit],D4060,RawData[Total Spent],E4060,RawData[Payment Method],F4060,RawData[Location],G4060,RawData[Transaction Date],H4060)</f>
        <v>1</v>
      </c>
      <c r="L4060"/>
    </row>
    <row r="4061" spans="1:12" x14ac:dyDescent="0.3">
      <c r="A4061" t="s">
        <v>4067</v>
      </c>
      <c r="B4061" t="s">
        <v>10012</v>
      </c>
      <c r="C4061">
        <v>1</v>
      </c>
      <c r="D4061">
        <v>4</v>
      </c>
      <c r="E4061">
        <v>4</v>
      </c>
      <c r="F4061" t="s">
        <v>10020</v>
      </c>
      <c r="G4061" t="s">
        <v>10102</v>
      </c>
      <c r="H4061" s="6">
        <v>45169</v>
      </c>
      <c r="I4061">
        <f t="shared" si="126"/>
        <v>0</v>
      </c>
      <c r="J4061" t="str">
        <f t="shared" si="127"/>
        <v>Complete</v>
      </c>
      <c r="K4061">
        <f>COUNTIFS(RawData[Item], B4061,RawData[Quantity],C4061,RawData[Price Per Unit],D4061,RawData[Total Spent],E4061,RawData[Payment Method],F4061,RawData[Location],G4061,RawData[Transaction Date],H4061)</f>
        <v>1</v>
      </c>
      <c r="L4061"/>
    </row>
    <row r="4062" spans="1:12" x14ac:dyDescent="0.3">
      <c r="A4062" t="s">
        <v>4068</v>
      </c>
      <c r="B4062" t="s">
        <v>10014</v>
      </c>
      <c r="C4062">
        <v>5</v>
      </c>
      <c r="D4062">
        <v>4</v>
      </c>
      <c r="E4062">
        <v>20</v>
      </c>
      <c r="F4062" t="s">
        <v>10020</v>
      </c>
      <c r="G4062" t="s">
        <v>10102</v>
      </c>
      <c r="H4062" s="6">
        <v>45053</v>
      </c>
      <c r="I4062">
        <f t="shared" si="126"/>
        <v>0</v>
      </c>
      <c r="J4062" t="str">
        <f t="shared" si="127"/>
        <v>Complete</v>
      </c>
      <c r="K4062">
        <f>COUNTIFS(RawData[Item], B4062,RawData[Quantity],C4062,RawData[Price Per Unit],D4062,RawData[Total Spent],E4062,RawData[Payment Method],F4062,RawData[Location],G4062,RawData[Transaction Date],H4062)</f>
        <v>1</v>
      </c>
      <c r="L4062"/>
    </row>
    <row r="4063" spans="1:12" x14ac:dyDescent="0.3">
      <c r="A4063" t="s">
        <v>4069</v>
      </c>
      <c r="B4063" t="s">
        <v>10017</v>
      </c>
      <c r="C4063">
        <v>4</v>
      </c>
      <c r="D4063">
        <v>1.5</v>
      </c>
      <c r="E4063">
        <v>6</v>
      </c>
      <c r="F4063" t="s">
        <v>10103</v>
      </c>
      <c r="G4063" t="s">
        <v>10102</v>
      </c>
      <c r="H4063" s="6">
        <v>45020</v>
      </c>
      <c r="I4063">
        <f t="shared" si="126"/>
        <v>1</v>
      </c>
      <c r="J4063" t="str">
        <f t="shared" si="127"/>
        <v>Complete</v>
      </c>
      <c r="K4063">
        <f>COUNTIFS(RawData[Item], B4063,RawData[Quantity],C4063,RawData[Price Per Unit],D4063,RawData[Total Spent],E4063,RawData[Payment Method],F4063,RawData[Location],G4063,RawData[Transaction Date],H4063)</f>
        <v>1</v>
      </c>
      <c r="L4063"/>
    </row>
    <row r="4064" spans="1:12" x14ac:dyDescent="0.3">
      <c r="A4064" t="s">
        <v>4070</v>
      </c>
      <c r="B4064" t="s">
        <v>10012</v>
      </c>
      <c r="C4064">
        <v>5</v>
      </c>
      <c r="D4064">
        <v>4</v>
      </c>
      <c r="E4064">
        <v>20</v>
      </c>
      <c r="F4064" t="s">
        <v>10019</v>
      </c>
      <c r="G4064" t="s">
        <v>10069</v>
      </c>
      <c r="H4064" s="6">
        <v>45167</v>
      </c>
      <c r="I4064">
        <f t="shared" si="126"/>
        <v>0</v>
      </c>
      <c r="J4064" t="str">
        <f t="shared" si="127"/>
        <v>Complete</v>
      </c>
      <c r="K4064">
        <f>COUNTIFS(RawData[Item], B4064,RawData[Quantity],C4064,RawData[Price Per Unit],D4064,RawData[Total Spent],E4064,RawData[Payment Method],F4064,RawData[Location],G4064,RawData[Transaction Date],H4064)</f>
        <v>1</v>
      </c>
      <c r="L4064"/>
    </row>
    <row r="4065" spans="1:12" x14ac:dyDescent="0.3">
      <c r="A4065" t="s">
        <v>4071</v>
      </c>
      <c r="B4065" t="s">
        <v>10016</v>
      </c>
      <c r="C4065">
        <v>3</v>
      </c>
      <c r="D4065">
        <v>3</v>
      </c>
      <c r="E4065">
        <v>9</v>
      </c>
      <c r="F4065" t="s">
        <v>10018</v>
      </c>
      <c r="G4065" t="s">
        <v>10102</v>
      </c>
      <c r="H4065" s="6">
        <v>44957</v>
      </c>
      <c r="I4065">
        <f t="shared" si="126"/>
        <v>0</v>
      </c>
      <c r="J4065" t="str">
        <f t="shared" si="127"/>
        <v>Complete</v>
      </c>
      <c r="K4065">
        <f>COUNTIFS(RawData[Item], B4065,RawData[Quantity],C4065,RawData[Price Per Unit],D4065,RawData[Total Spent],E4065,RawData[Payment Method],F4065,RawData[Location],G4065,RawData[Transaction Date],H4065)</f>
        <v>1</v>
      </c>
      <c r="L4065"/>
    </row>
    <row r="4066" spans="1:12" x14ac:dyDescent="0.3">
      <c r="A4066" t="s">
        <v>4072</v>
      </c>
      <c r="B4066" t="s">
        <v>10010</v>
      </c>
      <c r="C4066">
        <v>1</v>
      </c>
      <c r="D4066">
        <v>1</v>
      </c>
      <c r="E4066" t="s">
        <v>10013</v>
      </c>
      <c r="F4066" t="s">
        <v>10018</v>
      </c>
      <c r="G4066" t="s">
        <v>10102</v>
      </c>
      <c r="H4066" s="6">
        <v>45227</v>
      </c>
      <c r="I4066">
        <f t="shared" si="126"/>
        <v>1</v>
      </c>
      <c r="J4066" t="str">
        <f t="shared" si="127"/>
        <v>Complete</v>
      </c>
      <c r="K4066">
        <f>COUNTIFS(RawData[Item], B4066,RawData[Quantity],C4066,RawData[Price Per Unit],D4066,RawData[Total Spent],E4066,RawData[Payment Method],F4066,RawData[Location],G4066,RawData[Transaction Date],H4066)</f>
        <v>1</v>
      </c>
      <c r="L4066"/>
    </row>
    <row r="4067" spans="1:12" x14ac:dyDescent="0.3">
      <c r="A4067" t="s">
        <v>4073</v>
      </c>
      <c r="B4067" t="s">
        <v>10008</v>
      </c>
      <c r="C4067">
        <v>2</v>
      </c>
      <c r="D4067">
        <v>2</v>
      </c>
      <c r="E4067">
        <v>4</v>
      </c>
      <c r="F4067" t="s">
        <v>10020</v>
      </c>
      <c r="G4067" t="s">
        <v>10102</v>
      </c>
      <c r="H4067" s="6">
        <v>44960</v>
      </c>
      <c r="I4067">
        <f t="shared" si="126"/>
        <v>0</v>
      </c>
      <c r="J4067" t="str">
        <f t="shared" si="127"/>
        <v>Complete</v>
      </c>
      <c r="K4067">
        <f>COUNTIFS(RawData[Item], B4067,RawData[Quantity],C4067,RawData[Price Per Unit],D4067,RawData[Total Spent],E4067,RawData[Payment Method],F4067,RawData[Location],G4067,RawData[Transaction Date],H4067)</f>
        <v>1</v>
      </c>
      <c r="L4067"/>
    </row>
    <row r="4068" spans="1:12" x14ac:dyDescent="0.3">
      <c r="A4068" t="s">
        <v>4074</v>
      </c>
      <c r="B4068" t="s">
        <v>10016</v>
      </c>
      <c r="C4068">
        <v>2</v>
      </c>
      <c r="D4068">
        <v>3</v>
      </c>
      <c r="E4068">
        <v>6</v>
      </c>
      <c r="F4068" t="s">
        <v>10020</v>
      </c>
      <c r="G4068" t="s">
        <v>10069</v>
      </c>
      <c r="H4068" s="6">
        <v>45027</v>
      </c>
      <c r="I4068">
        <f t="shared" si="126"/>
        <v>0</v>
      </c>
      <c r="J4068" t="str">
        <f t="shared" si="127"/>
        <v>Complete</v>
      </c>
      <c r="K4068">
        <f>COUNTIFS(RawData[Item], B4068,RawData[Quantity],C4068,RawData[Price Per Unit],D4068,RawData[Total Spent],E4068,RawData[Payment Method],F4068,RawData[Location],G4068,RawData[Transaction Date],H4068)</f>
        <v>1</v>
      </c>
      <c r="L4068"/>
    </row>
    <row r="4069" spans="1:12" x14ac:dyDescent="0.3">
      <c r="A4069" t="s">
        <v>4075</v>
      </c>
      <c r="B4069" t="s">
        <v>10010</v>
      </c>
      <c r="C4069">
        <v>3</v>
      </c>
      <c r="D4069">
        <v>1</v>
      </c>
      <c r="E4069">
        <v>3</v>
      </c>
      <c r="F4069" t="s">
        <v>10069</v>
      </c>
      <c r="G4069" t="s">
        <v>10102</v>
      </c>
      <c r="H4069" s="6">
        <v>44944</v>
      </c>
      <c r="I4069">
        <f t="shared" si="126"/>
        <v>0</v>
      </c>
      <c r="J4069" t="str">
        <f t="shared" si="127"/>
        <v>Complete</v>
      </c>
      <c r="K4069">
        <f>COUNTIFS(RawData[Item], B4069,RawData[Quantity],C4069,RawData[Price Per Unit],D4069,RawData[Total Spent],E4069,RawData[Payment Method],F4069,RawData[Location],G4069,RawData[Transaction Date],H4069)</f>
        <v>1</v>
      </c>
      <c r="L4069"/>
    </row>
    <row r="4070" spans="1:12" x14ac:dyDescent="0.3">
      <c r="A4070" t="s">
        <v>4076</v>
      </c>
      <c r="B4070" t="s">
        <v>10008</v>
      </c>
      <c r="C4070">
        <v>2</v>
      </c>
      <c r="D4070">
        <v>2</v>
      </c>
      <c r="E4070">
        <v>4</v>
      </c>
      <c r="F4070" t="s">
        <v>10020</v>
      </c>
      <c r="G4070" t="s">
        <v>10021</v>
      </c>
      <c r="H4070" s="6">
        <v>45261</v>
      </c>
      <c r="I4070">
        <f t="shared" si="126"/>
        <v>0</v>
      </c>
      <c r="J4070" t="str">
        <f t="shared" si="127"/>
        <v>Complete</v>
      </c>
      <c r="K4070">
        <f>COUNTIFS(RawData[Item], B4070,RawData[Quantity],C4070,RawData[Price Per Unit],D4070,RawData[Total Spent],E4070,RawData[Payment Method],F4070,RawData[Location],G4070,RawData[Transaction Date],H4070)</f>
        <v>1</v>
      </c>
      <c r="L4070"/>
    </row>
    <row r="4071" spans="1:12" x14ac:dyDescent="0.3">
      <c r="A4071" t="s">
        <v>4077</v>
      </c>
      <c r="B4071" t="s">
        <v>10015</v>
      </c>
      <c r="C4071">
        <v>4</v>
      </c>
      <c r="D4071">
        <v>5</v>
      </c>
      <c r="E4071">
        <v>20</v>
      </c>
      <c r="F4071" t="s">
        <v>10020</v>
      </c>
      <c r="G4071" t="s">
        <v>10069</v>
      </c>
      <c r="H4071" s="6">
        <v>45015</v>
      </c>
      <c r="I4071">
        <f t="shared" si="126"/>
        <v>1</v>
      </c>
      <c r="J4071" t="str">
        <f t="shared" si="127"/>
        <v>Complete</v>
      </c>
      <c r="K4071">
        <f>COUNTIFS(RawData[Item], B4071,RawData[Quantity],C4071,RawData[Price Per Unit],D4071,RawData[Total Spent],E4071,RawData[Payment Method],F4071,RawData[Location],G4071,RawData[Transaction Date],H4071)</f>
        <v>1</v>
      </c>
      <c r="L4071"/>
    </row>
    <row r="4072" spans="1:12" x14ac:dyDescent="0.3">
      <c r="A4072" t="s">
        <v>4078</v>
      </c>
      <c r="B4072" t="s">
        <v>10009</v>
      </c>
      <c r="C4072">
        <v>1</v>
      </c>
      <c r="D4072">
        <v>3</v>
      </c>
      <c r="E4072">
        <v>3</v>
      </c>
      <c r="F4072" t="s">
        <v>10019</v>
      </c>
      <c r="G4072" t="s">
        <v>10021</v>
      </c>
      <c r="H4072" s="6">
        <v>45161</v>
      </c>
      <c r="I4072">
        <f t="shared" si="126"/>
        <v>0</v>
      </c>
      <c r="J4072" t="str">
        <f t="shared" si="127"/>
        <v>Complete</v>
      </c>
      <c r="K4072">
        <f>COUNTIFS(RawData[Item], B4072,RawData[Quantity],C4072,RawData[Price Per Unit],D4072,RawData[Total Spent],E4072,RawData[Payment Method],F4072,RawData[Location],G4072,RawData[Transaction Date],H4072)</f>
        <v>1</v>
      </c>
      <c r="L4072"/>
    </row>
    <row r="4073" spans="1:12" x14ac:dyDescent="0.3">
      <c r="A4073" t="s">
        <v>4079</v>
      </c>
      <c r="B4073" t="s">
        <v>10017</v>
      </c>
      <c r="C4073">
        <v>4</v>
      </c>
      <c r="D4073">
        <v>1.5</v>
      </c>
      <c r="E4073">
        <v>6</v>
      </c>
      <c r="F4073" t="s">
        <v>10019</v>
      </c>
      <c r="G4073" t="s">
        <v>10069</v>
      </c>
      <c r="H4073" s="6">
        <v>45180</v>
      </c>
      <c r="I4073">
        <f t="shared" si="126"/>
        <v>0</v>
      </c>
      <c r="J4073" t="str">
        <f t="shared" si="127"/>
        <v>Complete</v>
      </c>
      <c r="K4073">
        <f>COUNTIFS(RawData[Item], B4073,RawData[Quantity],C4073,RawData[Price Per Unit],D4073,RawData[Total Spent],E4073,RawData[Payment Method],F4073,RawData[Location],G4073,RawData[Transaction Date],H4073)</f>
        <v>1</v>
      </c>
      <c r="L4073"/>
    </row>
    <row r="4074" spans="1:12" x14ac:dyDescent="0.3">
      <c r="A4074" t="s">
        <v>4080</v>
      </c>
      <c r="B4074" t="s">
        <v>10017</v>
      </c>
      <c r="C4074">
        <v>5</v>
      </c>
      <c r="D4074">
        <v>1.5</v>
      </c>
      <c r="E4074">
        <v>7.5</v>
      </c>
      <c r="F4074" t="s">
        <v>10069</v>
      </c>
      <c r="G4074" t="s">
        <v>10021</v>
      </c>
      <c r="H4074" s="6">
        <v>45159</v>
      </c>
      <c r="I4074">
        <f t="shared" si="126"/>
        <v>0</v>
      </c>
      <c r="J4074" t="str">
        <f t="shared" si="127"/>
        <v>Complete</v>
      </c>
      <c r="K4074">
        <f>COUNTIFS(RawData[Item], B4074,RawData[Quantity],C4074,RawData[Price Per Unit],D4074,RawData[Total Spent],E4074,RawData[Payment Method],F4074,RawData[Location],G4074,RawData[Transaction Date],H4074)</f>
        <v>1</v>
      </c>
      <c r="L4074"/>
    </row>
    <row r="4075" spans="1:12" x14ac:dyDescent="0.3">
      <c r="A4075" t="s">
        <v>4081</v>
      </c>
      <c r="B4075" t="s">
        <v>10016</v>
      </c>
      <c r="C4075">
        <v>2</v>
      </c>
      <c r="D4075">
        <v>3</v>
      </c>
      <c r="E4075">
        <v>6</v>
      </c>
      <c r="F4075" t="s">
        <v>10020</v>
      </c>
      <c r="G4075" t="s">
        <v>10069</v>
      </c>
      <c r="H4075" s="6">
        <v>45156</v>
      </c>
      <c r="I4075">
        <f t="shared" si="126"/>
        <v>0</v>
      </c>
      <c r="J4075" t="str">
        <f t="shared" si="127"/>
        <v>Complete</v>
      </c>
      <c r="K4075">
        <f>COUNTIFS(RawData[Item], B4075,RawData[Quantity],C4075,RawData[Price Per Unit],D4075,RawData[Total Spent],E4075,RawData[Payment Method],F4075,RawData[Location],G4075,RawData[Transaction Date],H4075)</f>
        <v>1</v>
      </c>
      <c r="L4075"/>
    </row>
    <row r="4076" spans="1:12" x14ac:dyDescent="0.3">
      <c r="A4076" t="s">
        <v>4082</v>
      </c>
      <c r="B4076" t="s">
        <v>10010</v>
      </c>
      <c r="C4076">
        <v>4</v>
      </c>
      <c r="D4076">
        <v>1</v>
      </c>
      <c r="E4076">
        <v>4</v>
      </c>
      <c r="F4076" t="s">
        <v>10018</v>
      </c>
      <c r="G4076" t="s">
        <v>10021</v>
      </c>
      <c r="H4076" s="6">
        <v>44941</v>
      </c>
      <c r="I4076">
        <f t="shared" si="126"/>
        <v>0</v>
      </c>
      <c r="J4076" t="str">
        <f t="shared" si="127"/>
        <v>Complete</v>
      </c>
      <c r="K4076">
        <f>COUNTIFS(RawData[Item], B4076,RawData[Quantity],C4076,RawData[Price Per Unit],D4076,RawData[Total Spent],E4076,RawData[Payment Method],F4076,RawData[Location],G4076,RawData[Transaction Date],H4076)</f>
        <v>1</v>
      </c>
      <c r="L4076"/>
    </row>
    <row r="4077" spans="1:12" x14ac:dyDescent="0.3">
      <c r="A4077" t="s">
        <v>4083</v>
      </c>
      <c r="B4077" t="s">
        <v>10069</v>
      </c>
      <c r="C4077">
        <v>4</v>
      </c>
      <c r="D4077">
        <v>1.5</v>
      </c>
      <c r="E4077">
        <v>6</v>
      </c>
      <c r="F4077" t="s">
        <v>10103</v>
      </c>
      <c r="G4077" t="s">
        <v>10102</v>
      </c>
      <c r="H4077" s="6">
        <v>45001</v>
      </c>
      <c r="I4077">
        <f t="shared" si="126"/>
        <v>1</v>
      </c>
      <c r="J4077" t="str">
        <f t="shared" si="127"/>
        <v>Complete</v>
      </c>
      <c r="K4077">
        <f>COUNTIFS(RawData[Item], B4077,RawData[Quantity],C4077,RawData[Price Per Unit],D4077,RawData[Total Spent],E4077,RawData[Payment Method],F4077,RawData[Location],G4077,RawData[Transaction Date],H4077)</f>
        <v>1</v>
      </c>
      <c r="L4077"/>
    </row>
    <row r="4078" spans="1:12" x14ac:dyDescent="0.3">
      <c r="A4078" t="s">
        <v>4084</v>
      </c>
      <c r="B4078" t="s">
        <v>10008</v>
      </c>
      <c r="C4078">
        <v>1</v>
      </c>
      <c r="D4078" t="s">
        <v>10013</v>
      </c>
      <c r="E4078">
        <v>2</v>
      </c>
      <c r="F4078" t="s">
        <v>10069</v>
      </c>
      <c r="G4078" t="s">
        <v>10069</v>
      </c>
      <c r="H4078" s="6">
        <v>44974</v>
      </c>
      <c r="I4078">
        <f t="shared" si="126"/>
        <v>1</v>
      </c>
      <c r="J4078" t="str">
        <f t="shared" si="127"/>
        <v>Complete</v>
      </c>
      <c r="K4078">
        <f>COUNTIFS(RawData[Item], B4078,RawData[Quantity],C4078,RawData[Price Per Unit],D4078,RawData[Total Spent],E4078,RawData[Payment Method],F4078,RawData[Location],G4078,RawData[Transaction Date],H4078)</f>
        <v>1</v>
      </c>
      <c r="L4078"/>
    </row>
    <row r="4079" spans="1:12" x14ac:dyDescent="0.3">
      <c r="A4079" t="s">
        <v>4085</v>
      </c>
      <c r="B4079" t="s">
        <v>10015</v>
      </c>
      <c r="C4079">
        <v>1</v>
      </c>
      <c r="D4079">
        <v>2</v>
      </c>
      <c r="E4079">
        <v>2</v>
      </c>
      <c r="F4079" t="s">
        <v>10020</v>
      </c>
      <c r="G4079" t="s">
        <v>10102</v>
      </c>
      <c r="H4079" s="6">
        <v>44947</v>
      </c>
      <c r="I4079">
        <f t="shared" si="126"/>
        <v>1</v>
      </c>
      <c r="J4079" t="str">
        <f t="shared" si="127"/>
        <v>Complete</v>
      </c>
      <c r="K4079">
        <f>COUNTIFS(RawData[Item], B4079,RawData[Quantity],C4079,RawData[Price Per Unit],D4079,RawData[Total Spent],E4079,RawData[Payment Method],F4079,RawData[Location],G4079,RawData[Transaction Date],H4079)</f>
        <v>1</v>
      </c>
      <c r="L4079"/>
    </row>
    <row r="4080" spans="1:12" x14ac:dyDescent="0.3">
      <c r="A4080" t="s">
        <v>4086</v>
      </c>
      <c r="B4080" t="s">
        <v>10014</v>
      </c>
      <c r="C4080">
        <v>1</v>
      </c>
      <c r="D4080">
        <v>4</v>
      </c>
      <c r="E4080">
        <v>4</v>
      </c>
      <c r="F4080" t="s">
        <v>10018</v>
      </c>
      <c r="G4080" t="s">
        <v>10069</v>
      </c>
      <c r="H4080" s="6">
        <v>45087</v>
      </c>
      <c r="I4080">
        <f t="shared" si="126"/>
        <v>0</v>
      </c>
      <c r="J4080" t="str">
        <f t="shared" si="127"/>
        <v>Complete</v>
      </c>
      <c r="K4080">
        <f>COUNTIFS(RawData[Item], B4080,RawData[Quantity],C4080,RawData[Price Per Unit],D4080,RawData[Total Spent],E4080,RawData[Payment Method],F4080,RawData[Location],G4080,RawData[Transaction Date],H4080)</f>
        <v>1</v>
      </c>
      <c r="L4080"/>
    </row>
    <row r="4081" spans="1:12" x14ac:dyDescent="0.3">
      <c r="A4081" t="s">
        <v>4087</v>
      </c>
      <c r="B4081" t="s">
        <v>10009</v>
      </c>
      <c r="C4081">
        <v>5</v>
      </c>
      <c r="D4081">
        <v>3</v>
      </c>
      <c r="E4081">
        <v>15</v>
      </c>
      <c r="F4081" t="s">
        <v>10069</v>
      </c>
      <c r="G4081" t="s">
        <v>10069</v>
      </c>
      <c r="H4081" s="6">
        <v>44962</v>
      </c>
      <c r="I4081">
        <f t="shared" si="126"/>
        <v>0</v>
      </c>
      <c r="J4081" t="str">
        <f t="shared" si="127"/>
        <v>Complete</v>
      </c>
      <c r="K4081">
        <f>COUNTIFS(RawData[Item], B4081,RawData[Quantity],C4081,RawData[Price Per Unit],D4081,RawData[Total Spent],E4081,RawData[Payment Method],F4081,RawData[Location],G4081,RawData[Transaction Date],H4081)</f>
        <v>1</v>
      </c>
      <c r="L4081"/>
    </row>
    <row r="4082" spans="1:12" x14ac:dyDescent="0.3">
      <c r="A4082" t="s">
        <v>4088</v>
      </c>
      <c r="B4082" t="s">
        <v>10017</v>
      </c>
      <c r="C4082">
        <v>4</v>
      </c>
      <c r="D4082">
        <v>1.5</v>
      </c>
      <c r="E4082">
        <v>6</v>
      </c>
      <c r="F4082" t="s">
        <v>10020</v>
      </c>
      <c r="G4082" t="s">
        <v>10021</v>
      </c>
      <c r="H4082" s="6">
        <v>45174</v>
      </c>
      <c r="I4082">
        <f t="shared" si="126"/>
        <v>0</v>
      </c>
      <c r="J4082" t="str">
        <f t="shared" si="127"/>
        <v>Complete</v>
      </c>
      <c r="K4082">
        <f>COUNTIFS(RawData[Item], B4082,RawData[Quantity],C4082,RawData[Price Per Unit],D4082,RawData[Total Spent],E4082,RawData[Payment Method],F4082,RawData[Location],G4082,RawData[Transaction Date],H4082)</f>
        <v>1</v>
      </c>
      <c r="L4082"/>
    </row>
    <row r="4083" spans="1:12" x14ac:dyDescent="0.3">
      <c r="A4083" t="s">
        <v>4089</v>
      </c>
      <c r="B4083" t="s">
        <v>10017</v>
      </c>
      <c r="C4083">
        <v>1</v>
      </c>
      <c r="D4083">
        <v>1.5</v>
      </c>
      <c r="E4083">
        <v>1.5</v>
      </c>
      <c r="F4083" t="s">
        <v>10019</v>
      </c>
      <c r="G4083" t="s">
        <v>10103</v>
      </c>
      <c r="H4083" s="6">
        <v>45156</v>
      </c>
      <c r="I4083">
        <f t="shared" si="126"/>
        <v>1</v>
      </c>
      <c r="J4083" t="str">
        <f t="shared" si="127"/>
        <v>Complete</v>
      </c>
      <c r="K4083">
        <f>COUNTIFS(RawData[Item], B4083,RawData[Quantity],C4083,RawData[Price Per Unit],D4083,RawData[Total Spent],E4083,RawData[Payment Method],F4083,RawData[Location],G4083,RawData[Transaction Date],H4083)</f>
        <v>1</v>
      </c>
      <c r="L4083"/>
    </row>
    <row r="4084" spans="1:12" x14ac:dyDescent="0.3">
      <c r="A4084" t="s">
        <v>4090</v>
      </c>
      <c r="B4084" t="s">
        <v>10008</v>
      </c>
      <c r="C4084">
        <v>3</v>
      </c>
      <c r="D4084">
        <v>2</v>
      </c>
      <c r="E4084">
        <v>6</v>
      </c>
      <c r="F4084" t="s">
        <v>10069</v>
      </c>
      <c r="G4084" t="s">
        <v>10069</v>
      </c>
      <c r="H4084" s="6">
        <v>45180</v>
      </c>
      <c r="I4084">
        <f t="shared" si="126"/>
        <v>0</v>
      </c>
      <c r="J4084" t="str">
        <f t="shared" si="127"/>
        <v>Complete</v>
      </c>
      <c r="K4084">
        <f>COUNTIFS(RawData[Item], B4084,RawData[Quantity],C4084,RawData[Price Per Unit],D4084,RawData[Total Spent],E4084,RawData[Payment Method],F4084,RawData[Location],G4084,RawData[Transaction Date],H4084)</f>
        <v>1</v>
      </c>
      <c r="L4084"/>
    </row>
    <row r="4085" spans="1:12" x14ac:dyDescent="0.3">
      <c r="A4085" t="s">
        <v>4091</v>
      </c>
      <c r="B4085" t="s">
        <v>10010</v>
      </c>
      <c r="C4085">
        <v>1</v>
      </c>
      <c r="D4085">
        <v>1</v>
      </c>
      <c r="E4085">
        <v>0</v>
      </c>
      <c r="F4085" t="s">
        <v>10019</v>
      </c>
      <c r="G4085" t="s">
        <v>10102</v>
      </c>
      <c r="H4085" s="6" t="s">
        <v>10112</v>
      </c>
      <c r="I4085">
        <f t="shared" si="126"/>
        <v>1</v>
      </c>
      <c r="J4085" t="str">
        <f t="shared" si="127"/>
        <v>Incomplete</v>
      </c>
      <c r="K4085">
        <f>COUNTIFS(RawData[Item], B4085,RawData[Quantity],C4085,RawData[Price Per Unit],D4085,RawData[Total Spent],E4085,RawData[Payment Method],F4085,RawData[Location],G4085,RawData[Transaction Date],H4085)</f>
        <v>1</v>
      </c>
      <c r="L4085"/>
    </row>
    <row r="4086" spans="1:12" x14ac:dyDescent="0.3">
      <c r="A4086" t="s">
        <v>4092</v>
      </c>
      <c r="B4086" t="s">
        <v>10012</v>
      </c>
      <c r="C4086">
        <v>4</v>
      </c>
      <c r="D4086">
        <v>4</v>
      </c>
      <c r="E4086">
        <v>16</v>
      </c>
      <c r="F4086" t="s">
        <v>10020</v>
      </c>
      <c r="G4086" t="s">
        <v>10102</v>
      </c>
      <c r="H4086" s="6">
        <v>45081</v>
      </c>
      <c r="I4086">
        <f t="shared" si="126"/>
        <v>0</v>
      </c>
      <c r="J4086" t="str">
        <f t="shared" si="127"/>
        <v>Complete</v>
      </c>
      <c r="K4086">
        <f>COUNTIFS(RawData[Item], B4086,RawData[Quantity],C4086,RawData[Price Per Unit],D4086,RawData[Total Spent],E4086,RawData[Payment Method],F4086,RawData[Location],G4086,RawData[Transaction Date],H4086)</f>
        <v>1</v>
      </c>
      <c r="L4086"/>
    </row>
    <row r="4087" spans="1:12" x14ac:dyDescent="0.3">
      <c r="A4087" t="s">
        <v>4093</v>
      </c>
      <c r="B4087" t="s">
        <v>10015</v>
      </c>
      <c r="C4087">
        <v>2</v>
      </c>
      <c r="D4087">
        <v>2</v>
      </c>
      <c r="E4087">
        <v>4</v>
      </c>
      <c r="F4087" t="s">
        <v>10019</v>
      </c>
      <c r="G4087" t="s">
        <v>10102</v>
      </c>
      <c r="H4087" s="6">
        <v>45219</v>
      </c>
      <c r="I4087">
        <f t="shared" si="126"/>
        <v>1</v>
      </c>
      <c r="J4087" t="str">
        <f t="shared" si="127"/>
        <v>Complete</v>
      </c>
      <c r="K4087">
        <f>COUNTIFS(RawData[Item], B4087,RawData[Quantity],C4087,RawData[Price Per Unit],D4087,RawData[Total Spent],E4087,RawData[Payment Method],F4087,RawData[Location],G4087,RawData[Transaction Date],H4087)</f>
        <v>1</v>
      </c>
      <c r="L4087"/>
    </row>
    <row r="4088" spans="1:12" x14ac:dyDescent="0.3">
      <c r="A4088" t="s">
        <v>4094</v>
      </c>
      <c r="B4088" t="s">
        <v>10069</v>
      </c>
      <c r="C4088">
        <v>3</v>
      </c>
      <c r="D4088">
        <v>3</v>
      </c>
      <c r="E4088">
        <v>9</v>
      </c>
      <c r="F4088" t="s">
        <v>10018</v>
      </c>
      <c r="G4088" t="s">
        <v>10069</v>
      </c>
      <c r="H4088" s="6">
        <v>45070</v>
      </c>
      <c r="I4088">
        <f t="shared" si="126"/>
        <v>0</v>
      </c>
      <c r="J4088" t="str">
        <f t="shared" si="127"/>
        <v>Complete</v>
      </c>
      <c r="K4088">
        <f>COUNTIFS(RawData[Item], B4088,RawData[Quantity],C4088,RawData[Price Per Unit],D4088,RawData[Total Spent],E4088,RawData[Payment Method],F4088,RawData[Location],G4088,RawData[Transaction Date],H4088)</f>
        <v>1</v>
      </c>
      <c r="L4088"/>
    </row>
    <row r="4089" spans="1:12" x14ac:dyDescent="0.3">
      <c r="A4089" t="s">
        <v>4095</v>
      </c>
      <c r="B4089" t="s">
        <v>10010</v>
      </c>
      <c r="C4089" t="s">
        <v>10013</v>
      </c>
      <c r="D4089">
        <v>1</v>
      </c>
      <c r="E4089">
        <v>1</v>
      </c>
      <c r="F4089" t="s">
        <v>10018</v>
      </c>
      <c r="G4089" t="s">
        <v>10102</v>
      </c>
      <c r="H4089" s="6">
        <v>45054</v>
      </c>
      <c r="I4089">
        <f t="shared" si="126"/>
        <v>1</v>
      </c>
      <c r="J4089" t="str">
        <f t="shared" si="127"/>
        <v>Complete</v>
      </c>
      <c r="K4089">
        <f>COUNTIFS(RawData[Item], B4089,RawData[Quantity],C4089,RawData[Price Per Unit],D4089,RawData[Total Spent],E4089,RawData[Payment Method],F4089,RawData[Location],G4089,RawData[Transaction Date],H4089)</f>
        <v>1</v>
      </c>
      <c r="L4089"/>
    </row>
    <row r="4090" spans="1:12" x14ac:dyDescent="0.3">
      <c r="A4090" t="s">
        <v>4096</v>
      </c>
      <c r="B4090" t="s">
        <v>10010</v>
      </c>
      <c r="C4090">
        <v>4</v>
      </c>
      <c r="D4090">
        <v>1</v>
      </c>
      <c r="E4090">
        <v>4</v>
      </c>
      <c r="F4090" t="s">
        <v>10069</v>
      </c>
      <c r="G4090" t="s">
        <v>10102</v>
      </c>
      <c r="H4090" s="6">
        <v>45257</v>
      </c>
      <c r="I4090">
        <f t="shared" si="126"/>
        <v>0</v>
      </c>
      <c r="J4090" t="str">
        <f t="shared" si="127"/>
        <v>Complete</v>
      </c>
      <c r="K4090">
        <f>COUNTIFS(RawData[Item], B4090,RawData[Quantity],C4090,RawData[Price Per Unit],D4090,RawData[Total Spent],E4090,RawData[Payment Method],F4090,RawData[Location],G4090,RawData[Transaction Date],H4090)</f>
        <v>1</v>
      </c>
      <c r="L4090"/>
    </row>
    <row r="4091" spans="1:12" x14ac:dyDescent="0.3">
      <c r="A4091" t="s">
        <v>4097</v>
      </c>
      <c r="B4091" t="s">
        <v>10014</v>
      </c>
      <c r="C4091">
        <v>1</v>
      </c>
      <c r="D4091">
        <v>4</v>
      </c>
      <c r="E4091">
        <v>4</v>
      </c>
      <c r="F4091" t="s">
        <v>10018</v>
      </c>
      <c r="G4091" t="s">
        <v>10102</v>
      </c>
      <c r="H4091" s="6">
        <v>45115</v>
      </c>
      <c r="I4091">
        <f t="shared" si="126"/>
        <v>0</v>
      </c>
      <c r="J4091" t="str">
        <f t="shared" si="127"/>
        <v>Complete</v>
      </c>
      <c r="K4091">
        <f>COUNTIFS(RawData[Item], B4091,RawData[Quantity],C4091,RawData[Price Per Unit],D4091,RawData[Total Spent],E4091,RawData[Payment Method],F4091,RawData[Location],G4091,RawData[Transaction Date],H4091)</f>
        <v>1</v>
      </c>
      <c r="L4091"/>
    </row>
    <row r="4092" spans="1:12" x14ac:dyDescent="0.3">
      <c r="A4092" t="s">
        <v>4098</v>
      </c>
      <c r="B4092" t="s">
        <v>10009</v>
      </c>
      <c r="C4092">
        <v>3</v>
      </c>
      <c r="D4092">
        <v>3</v>
      </c>
      <c r="E4092">
        <v>9</v>
      </c>
      <c r="F4092" t="s">
        <v>10019</v>
      </c>
      <c r="G4092" t="s">
        <v>10069</v>
      </c>
      <c r="H4092" s="6">
        <v>45269</v>
      </c>
      <c r="I4092">
        <f t="shared" si="126"/>
        <v>0</v>
      </c>
      <c r="J4092" t="str">
        <f t="shared" si="127"/>
        <v>Complete</v>
      </c>
      <c r="K4092">
        <f>COUNTIFS(RawData[Item], B4092,RawData[Quantity],C4092,RawData[Price Per Unit],D4092,RawData[Total Spent],E4092,RawData[Payment Method],F4092,RawData[Location],G4092,RawData[Transaction Date],H4092)</f>
        <v>1</v>
      </c>
      <c r="L4092"/>
    </row>
    <row r="4093" spans="1:12" x14ac:dyDescent="0.3">
      <c r="A4093" t="s">
        <v>4099</v>
      </c>
      <c r="B4093" t="s">
        <v>10017</v>
      </c>
      <c r="C4093">
        <v>4</v>
      </c>
      <c r="D4093">
        <v>1.5</v>
      </c>
      <c r="E4093">
        <v>6</v>
      </c>
      <c r="F4093" t="s">
        <v>10018</v>
      </c>
      <c r="G4093" t="s">
        <v>10102</v>
      </c>
      <c r="H4093" s="6">
        <v>45261</v>
      </c>
      <c r="I4093">
        <f t="shared" si="126"/>
        <v>0</v>
      </c>
      <c r="J4093" t="str">
        <f t="shared" si="127"/>
        <v>Complete</v>
      </c>
      <c r="K4093">
        <f>COUNTIFS(RawData[Item], B4093,RawData[Quantity],C4093,RawData[Price Per Unit],D4093,RawData[Total Spent],E4093,RawData[Payment Method],F4093,RawData[Location],G4093,RawData[Transaction Date],H4093)</f>
        <v>1</v>
      </c>
      <c r="L4093"/>
    </row>
    <row r="4094" spans="1:12" x14ac:dyDescent="0.3">
      <c r="A4094" t="s">
        <v>4100</v>
      </c>
      <c r="B4094" t="s">
        <v>10013</v>
      </c>
      <c r="C4094">
        <v>1</v>
      </c>
      <c r="D4094" t="s">
        <v>10013</v>
      </c>
      <c r="E4094">
        <v>5</v>
      </c>
      <c r="F4094" t="s">
        <v>10104</v>
      </c>
      <c r="G4094" t="s">
        <v>10069</v>
      </c>
      <c r="H4094" s="6">
        <v>45080</v>
      </c>
      <c r="I4094">
        <f t="shared" si="126"/>
        <v>3</v>
      </c>
      <c r="J4094" t="str">
        <f t="shared" si="127"/>
        <v>Complete</v>
      </c>
      <c r="K4094">
        <f>COUNTIFS(RawData[Item], B4094,RawData[Quantity],C4094,RawData[Price Per Unit],D4094,RawData[Total Spent],E4094,RawData[Payment Method],F4094,RawData[Location],G4094,RawData[Transaction Date],H4094)</f>
        <v>1</v>
      </c>
      <c r="L4094"/>
    </row>
    <row r="4095" spans="1:12" x14ac:dyDescent="0.3">
      <c r="A4095" t="s">
        <v>4101</v>
      </c>
      <c r="B4095" t="s">
        <v>10015</v>
      </c>
      <c r="C4095">
        <v>5</v>
      </c>
      <c r="D4095">
        <v>4</v>
      </c>
      <c r="E4095">
        <v>20</v>
      </c>
      <c r="F4095" t="s">
        <v>10020</v>
      </c>
      <c r="G4095" t="s">
        <v>10021</v>
      </c>
      <c r="H4095" s="6">
        <v>45110</v>
      </c>
      <c r="I4095">
        <f t="shared" si="126"/>
        <v>1</v>
      </c>
      <c r="J4095" t="str">
        <f t="shared" si="127"/>
        <v>Complete</v>
      </c>
      <c r="K4095">
        <f>COUNTIFS(RawData[Item], B4095,RawData[Quantity],C4095,RawData[Price Per Unit],D4095,RawData[Total Spent],E4095,RawData[Payment Method],F4095,RawData[Location],G4095,RawData[Transaction Date],H4095)</f>
        <v>1</v>
      </c>
      <c r="L4095"/>
    </row>
    <row r="4096" spans="1:12" x14ac:dyDescent="0.3">
      <c r="A4096" t="s">
        <v>4102</v>
      </c>
      <c r="B4096" t="s">
        <v>10011</v>
      </c>
      <c r="C4096">
        <v>1</v>
      </c>
      <c r="D4096">
        <v>5</v>
      </c>
      <c r="E4096">
        <v>0</v>
      </c>
      <c r="F4096" t="s">
        <v>10019</v>
      </c>
      <c r="G4096" t="s">
        <v>10021</v>
      </c>
      <c r="H4096" s="6">
        <v>45077</v>
      </c>
      <c r="I4096">
        <f t="shared" si="126"/>
        <v>0</v>
      </c>
      <c r="J4096" t="str">
        <f t="shared" si="127"/>
        <v>Complete</v>
      </c>
      <c r="K4096">
        <f>COUNTIFS(RawData[Item], B4096,RawData[Quantity],C4096,RawData[Price Per Unit],D4096,RawData[Total Spent],E4096,RawData[Payment Method],F4096,RawData[Location],G4096,RawData[Transaction Date],H4096)</f>
        <v>1</v>
      </c>
      <c r="L4096"/>
    </row>
    <row r="4097" spans="1:12" x14ac:dyDescent="0.3">
      <c r="A4097" t="s">
        <v>4103</v>
      </c>
      <c r="B4097" t="s">
        <v>10011</v>
      </c>
      <c r="C4097">
        <v>5</v>
      </c>
      <c r="D4097">
        <v>5</v>
      </c>
      <c r="E4097">
        <v>25</v>
      </c>
      <c r="F4097" t="s">
        <v>10069</v>
      </c>
      <c r="G4097" t="s">
        <v>10103</v>
      </c>
      <c r="H4097" s="6">
        <v>45153</v>
      </c>
      <c r="I4097">
        <f t="shared" si="126"/>
        <v>1</v>
      </c>
      <c r="J4097" t="str">
        <f t="shared" si="127"/>
        <v>Complete</v>
      </c>
      <c r="K4097">
        <f>COUNTIFS(RawData[Item], B4097,RawData[Quantity],C4097,RawData[Price Per Unit],D4097,RawData[Total Spent],E4097,RawData[Payment Method],F4097,RawData[Location],G4097,RawData[Transaction Date],H4097)</f>
        <v>1</v>
      </c>
      <c r="L4097"/>
    </row>
    <row r="4098" spans="1:12" x14ac:dyDescent="0.3">
      <c r="A4098" t="s">
        <v>4104</v>
      </c>
      <c r="B4098" t="s">
        <v>10009</v>
      </c>
      <c r="C4098">
        <v>5</v>
      </c>
      <c r="D4098">
        <v>3</v>
      </c>
      <c r="E4098">
        <v>15</v>
      </c>
      <c r="F4098" t="s">
        <v>10069</v>
      </c>
      <c r="G4098" t="s">
        <v>10069</v>
      </c>
      <c r="H4098" s="6">
        <v>45259</v>
      </c>
      <c r="I4098">
        <f t="shared" ref="I4098:I4161" si="128">(B4098="Unknown")+(B4098="Error")+(C4098="Unknown")+(C4098="Error")+(D4098="Unknown")+(D4098="Error")+(E4098="Unknown")+(E4098="Error")+(F4098="Unknown")+(F4098="Error")+(G4098="Unknown")+(G4098="Error")+(H4098="No Date")</f>
        <v>0</v>
      </c>
      <c r="J4098" t="str">
        <f t="shared" ref="J4098:J4161" si="129">IF((H4098="No Date"),"Incomplete","Complete")</f>
        <v>Complete</v>
      </c>
      <c r="K4098">
        <f>COUNTIFS(RawData[Item], B4098,RawData[Quantity],C4098,RawData[Price Per Unit],D4098,RawData[Total Spent],E4098,RawData[Payment Method],F4098,RawData[Location],G4098,RawData[Transaction Date],H4098)</f>
        <v>1</v>
      </c>
      <c r="L4098"/>
    </row>
    <row r="4099" spans="1:12" x14ac:dyDescent="0.3">
      <c r="A4099" t="s">
        <v>4105</v>
      </c>
      <c r="B4099" t="s">
        <v>10012</v>
      </c>
      <c r="C4099">
        <v>3</v>
      </c>
      <c r="D4099">
        <v>4</v>
      </c>
      <c r="E4099">
        <v>12</v>
      </c>
      <c r="F4099" t="s">
        <v>10104</v>
      </c>
      <c r="G4099" t="s">
        <v>10021</v>
      </c>
      <c r="H4099" s="6">
        <v>45041</v>
      </c>
      <c r="I4099">
        <f t="shared" si="128"/>
        <v>1</v>
      </c>
      <c r="J4099" t="str">
        <f t="shared" si="129"/>
        <v>Complete</v>
      </c>
      <c r="K4099">
        <f>COUNTIFS(RawData[Item], B4099,RawData[Quantity],C4099,RawData[Price Per Unit],D4099,RawData[Total Spent],E4099,RawData[Payment Method],F4099,RawData[Location],G4099,RawData[Transaction Date],H4099)</f>
        <v>1</v>
      </c>
      <c r="L4099"/>
    </row>
    <row r="4100" spans="1:12" x14ac:dyDescent="0.3">
      <c r="A4100" t="s">
        <v>4106</v>
      </c>
      <c r="B4100" t="s">
        <v>10017</v>
      </c>
      <c r="C4100">
        <v>4</v>
      </c>
      <c r="D4100">
        <v>1.5</v>
      </c>
      <c r="E4100">
        <v>6</v>
      </c>
      <c r="F4100" t="s">
        <v>10069</v>
      </c>
      <c r="G4100" t="s">
        <v>10102</v>
      </c>
      <c r="H4100" s="6">
        <v>44938</v>
      </c>
      <c r="I4100">
        <f t="shared" si="128"/>
        <v>0</v>
      </c>
      <c r="J4100" t="str">
        <f t="shared" si="129"/>
        <v>Complete</v>
      </c>
      <c r="K4100">
        <f>COUNTIFS(RawData[Item], B4100,RawData[Quantity],C4100,RawData[Price Per Unit],D4100,RawData[Total Spent],E4100,RawData[Payment Method],F4100,RawData[Location],G4100,RawData[Transaction Date],H4100)</f>
        <v>1</v>
      </c>
      <c r="L4100"/>
    </row>
    <row r="4101" spans="1:12" x14ac:dyDescent="0.3">
      <c r="A4101" t="s">
        <v>4107</v>
      </c>
      <c r="B4101" t="s">
        <v>10008</v>
      </c>
      <c r="C4101">
        <v>4</v>
      </c>
      <c r="D4101">
        <v>2</v>
      </c>
      <c r="E4101">
        <v>8</v>
      </c>
      <c r="F4101" t="s">
        <v>10069</v>
      </c>
      <c r="G4101" t="s">
        <v>10069</v>
      </c>
      <c r="H4101" s="6">
        <v>45219</v>
      </c>
      <c r="I4101">
        <f t="shared" si="128"/>
        <v>0</v>
      </c>
      <c r="J4101" t="str">
        <f t="shared" si="129"/>
        <v>Complete</v>
      </c>
      <c r="K4101">
        <f>COUNTIFS(RawData[Item], B4101,RawData[Quantity],C4101,RawData[Price Per Unit],D4101,RawData[Total Spent],E4101,RawData[Payment Method],F4101,RawData[Location],G4101,RawData[Transaction Date],H4101)</f>
        <v>1</v>
      </c>
      <c r="L4101"/>
    </row>
    <row r="4102" spans="1:12" x14ac:dyDescent="0.3">
      <c r="A4102" t="s">
        <v>4108</v>
      </c>
      <c r="B4102" t="s">
        <v>10013</v>
      </c>
      <c r="C4102" t="s">
        <v>10015</v>
      </c>
      <c r="D4102">
        <v>1</v>
      </c>
      <c r="E4102">
        <v>4</v>
      </c>
      <c r="F4102" t="s">
        <v>10069</v>
      </c>
      <c r="G4102" t="s">
        <v>10102</v>
      </c>
      <c r="H4102" s="6">
        <v>44938</v>
      </c>
      <c r="I4102">
        <f t="shared" si="128"/>
        <v>2</v>
      </c>
      <c r="J4102" t="str">
        <f t="shared" si="129"/>
        <v>Complete</v>
      </c>
      <c r="K4102">
        <f>COUNTIFS(RawData[Item], B4102,RawData[Quantity],C4102,RawData[Price Per Unit],D4102,RawData[Total Spent],E4102,RawData[Payment Method],F4102,RawData[Location],G4102,RawData[Transaction Date],H4102)</f>
        <v>1</v>
      </c>
      <c r="L4102"/>
    </row>
    <row r="4103" spans="1:12" x14ac:dyDescent="0.3">
      <c r="A4103" t="s">
        <v>4109</v>
      </c>
      <c r="B4103" t="s">
        <v>10010</v>
      </c>
      <c r="C4103">
        <v>1</v>
      </c>
      <c r="D4103">
        <v>1</v>
      </c>
      <c r="E4103">
        <v>1</v>
      </c>
      <c r="F4103" t="s">
        <v>10019</v>
      </c>
      <c r="G4103" t="s">
        <v>10021</v>
      </c>
      <c r="H4103" s="6">
        <v>45087</v>
      </c>
      <c r="I4103">
        <f t="shared" si="128"/>
        <v>0</v>
      </c>
      <c r="J4103" t="str">
        <f t="shared" si="129"/>
        <v>Complete</v>
      </c>
      <c r="K4103">
        <f>COUNTIFS(RawData[Item], B4103,RawData[Quantity],C4103,RawData[Price Per Unit],D4103,RawData[Total Spent],E4103,RawData[Payment Method],F4103,RawData[Location],G4103,RawData[Transaction Date],H4103)</f>
        <v>1</v>
      </c>
      <c r="L4103"/>
    </row>
    <row r="4104" spans="1:12" x14ac:dyDescent="0.3">
      <c r="A4104" t="s">
        <v>4110</v>
      </c>
      <c r="B4104" t="s">
        <v>10012</v>
      </c>
      <c r="C4104">
        <v>4</v>
      </c>
      <c r="D4104">
        <v>4</v>
      </c>
      <c r="E4104">
        <v>16</v>
      </c>
      <c r="F4104" t="s">
        <v>10019</v>
      </c>
      <c r="G4104" t="s">
        <v>10102</v>
      </c>
      <c r="H4104" s="6">
        <v>45181</v>
      </c>
      <c r="I4104">
        <f t="shared" si="128"/>
        <v>0</v>
      </c>
      <c r="J4104" t="str">
        <f t="shared" si="129"/>
        <v>Complete</v>
      </c>
      <c r="K4104">
        <f>COUNTIFS(RawData[Item], B4104,RawData[Quantity],C4104,RawData[Price Per Unit],D4104,RawData[Total Spent],E4104,RawData[Payment Method],F4104,RawData[Location],G4104,RawData[Transaction Date],H4104)</f>
        <v>1</v>
      </c>
      <c r="L4104"/>
    </row>
    <row r="4105" spans="1:12" x14ac:dyDescent="0.3">
      <c r="A4105" t="s">
        <v>4111</v>
      </c>
      <c r="B4105" t="s">
        <v>10016</v>
      </c>
      <c r="C4105">
        <v>1</v>
      </c>
      <c r="D4105">
        <v>3</v>
      </c>
      <c r="E4105">
        <v>3</v>
      </c>
      <c r="F4105" t="s">
        <v>10019</v>
      </c>
      <c r="G4105" t="s">
        <v>10102</v>
      </c>
      <c r="H4105" s="6">
        <v>45044</v>
      </c>
      <c r="I4105">
        <f t="shared" si="128"/>
        <v>0</v>
      </c>
      <c r="J4105" t="str">
        <f t="shared" si="129"/>
        <v>Complete</v>
      </c>
      <c r="K4105">
        <f>COUNTIFS(RawData[Item], B4105,RawData[Quantity],C4105,RawData[Price Per Unit],D4105,RawData[Total Spent],E4105,RawData[Payment Method],F4105,RawData[Location],G4105,RawData[Transaction Date],H4105)</f>
        <v>1</v>
      </c>
      <c r="L4105"/>
    </row>
    <row r="4106" spans="1:12" x14ac:dyDescent="0.3">
      <c r="A4106" t="s">
        <v>4112</v>
      </c>
      <c r="B4106" t="s">
        <v>10011</v>
      </c>
      <c r="C4106">
        <v>3</v>
      </c>
      <c r="D4106">
        <v>5</v>
      </c>
      <c r="E4106">
        <v>15</v>
      </c>
      <c r="F4106" t="s">
        <v>10069</v>
      </c>
      <c r="G4106" t="s">
        <v>10102</v>
      </c>
      <c r="H4106" s="6">
        <v>45046</v>
      </c>
      <c r="I4106">
        <f t="shared" si="128"/>
        <v>0</v>
      </c>
      <c r="J4106" t="str">
        <f t="shared" si="129"/>
        <v>Complete</v>
      </c>
      <c r="K4106">
        <f>COUNTIFS(RawData[Item], B4106,RawData[Quantity],C4106,RawData[Price Per Unit],D4106,RawData[Total Spent],E4106,RawData[Payment Method],F4106,RawData[Location],G4106,RawData[Transaction Date],H4106)</f>
        <v>1</v>
      </c>
      <c r="L4106"/>
    </row>
    <row r="4107" spans="1:12" x14ac:dyDescent="0.3">
      <c r="A4107" t="s">
        <v>4113</v>
      </c>
      <c r="B4107" t="s">
        <v>10011</v>
      </c>
      <c r="C4107">
        <v>4</v>
      </c>
      <c r="D4107">
        <v>5</v>
      </c>
      <c r="E4107">
        <v>20</v>
      </c>
      <c r="F4107" t="s">
        <v>10018</v>
      </c>
      <c r="G4107" t="s">
        <v>10103</v>
      </c>
      <c r="H4107" s="6">
        <v>45231</v>
      </c>
      <c r="I4107">
        <f t="shared" si="128"/>
        <v>1</v>
      </c>
      <c r="J4107" t="str">
        <f t="shared" si="129"/>
        <v>Complete</v>
      </c>
      <c r="K4107">
        <f>COUNTIFS(RawData[Item], B4107,RawData[Quantity],C4107,RawData[Price Per Unit],D4107,RawData[Total Spent],E4107,RawData[Payment Method],F4107,RawData[Location],G4107,RawData[Transaction Date],H4107)</f>
        <v>1</v>
      </c>
      <c r="L4107"/>
    </row>
    <row r="4108" spans="1:12" x14ac:dyDescent="0.3">
      <c r="A4108" t="s">
        <v>4114</v>
      </c>
      <c r="B4108" t="s">
        <v>10017</v>
      </c>
      <c r="C4108">
        <v>5</v>
      </c>
      <c r="D4108">
        <v>1.5</v>
      </c>
      <c r="E4108">
        <v>7.5</v>
      </c>
      <c r="F4108" t="s">
        <v>10069</v>
      </c>
      <c r="G4108" t="s">
        <v>10102</v>
      </c>
      <c r="H4108" s="6">
        <v>45041</v>
      </c>
      <c r="I4108">
        <f t="shared" si="128"/>
        <v>0</v>
      </c>
      <c r="J4108" t="str">
        <f t="shared" si="129"/>
        <v>Complete</v>
      </c>
      <c r="K4108">
        <f>COUNTIFS(RawData[Item], B4108,RawData[Quantity],C4108,RawData[Price Per Unit],D4108,RawData[Total Spent],E4108,RawData[Payment Method],F4108,RawData[Location],G4108,RawData[Transaction Date],H4108)</f>
        <v>1</v>
      </c>
      <c r="L4108"/>
    </row>
    <row r="4109" spans="1:12" x14ac:dyDescent="0.3">
      <c r="A4109" t="s">
        <v>4115</v>
      </c>
      <c r="B4109" t="s">
        <v>10016</v>
      </c>
      <c r="C4109">
        <v>4</v>
      </c>
      <c r="D4109" t="s">
        <v>10015</v>
      </c>
      <c r="E4109">
        <v>12</v>
      </c>
      <c r="F4109" t="s">
        <v>10018</v>
      </c>
      <c r="G4109" t="s">
        <v>10069</v>
      </c>
      <c r="H4109" s="6">
        <v>45024</v>
      </c>
      <c r="I4109">
        <f t="shared" si="128"/>
        <v>1</v>
      </c>
      <c r="J4109" t="str">
        <f t="shared" si="129"/>
        <v>Complete</v>
      </c>
      <c r="K4109">
        <f>COUNTIFS(RawData[Item], B4109,RawData[Quantity],C4109,RawData[Price Per Unit],D4109,RawData[Total Spent],E4109,RawData[Payment Method],F4109,RawData[Location],G4109,RawData[Transaction Date],H4109)</f>
        <v>1</v>
      </c>
      <c r="L4109"/>
    </row>
    <row r="4110" spans="1:12" x14ac:dyDescent="0.3">
      <c r="A4110" t="s">
        <v>4116</v>
      </c>
      <c r="B4110" t="s">
        <v>10008</v>
      </c>
      <c r="C4110">
        <v>3</v>
      </c>
      <c r="D4110">
        <v>2</v>
      </c>
      <c r="E4110">
        <v>6</v>
      </c>
      <c r="F4110" t="s">
        <v>10019</v>
      </c>
      <c r="G4110" t="s">
        <v>10021</v>
      </c>
      <c r="H4110" s="6">
        <v>45230</v>
      </c>
      <c r="I4110">
        <f t="shared" si="128"/>
        <v>0</v>
      </c>
      <c r="J4110" t="str">
        <f t="shared" si="129"/>
        <v>Complete</v>
      </c>
      <c r="K4110">
        <f>COUNTIFS(RawData[Item], B4110,RawData[Quantity],C4110,RawData[Price Per Unit],D4110,RawData[Total Spent],E4110,RawData[Payment Method],F4110,RawData[Location],G4110,RawData[Transaction Date],H4110)</f>
        <v>1</v>
      </c>
      <c r="L4110"/>
    </row>
    <row r="4111" spans="1:12" x14ac:dyDescent="0.3">
      <c r="A4111" t="s">
        <v>4117</v>
      </c>
      <c r="B4111" t="s">
        <v>10011</v>
      </c>
      <c r="C4111">
        <v>5</v>
      </c>
      <c r="D4111">
        <v>5</v>
      </c>
      <c r="E4111">
        <v>25</v>
      </c>
      <c r="F4111" t="s">
        <v>10020</v>
      </c>
      <c r="G4111" t="s">
        <v>10102</v>
      </c>
      <c r="H4111" s="6">
        <v>45095</v>
      </c>
      <c r="I4111">
        <f t="shared" si="128"/>
        <v>0</v>
      </c>
      <c r="J4111" t="str">
        <f t="shared" si="129"/>
        <v>Complete</v>
      </c>
      <c r="K4111">
        <f>COUNTIFS(RawData[Item], B4111,RawData[Quantity],C4111,RawData[Price Per Unit],D4111,RawData[Total Spent],E4111,RawData[Payment Method],F4111,RawData[Location],G4111,RawData[Transaction Date],H4111)</f>
        <v>1</v>
      </c>
      <c r="L4111"/>
    </row>
    <row r="4112" spans="1:12" x14ac:dyDescent="0.3">
      <c r="A4112" t="s">
        <v>4118</v>
      </c>
      <c r="B4112" t="s">
        <v>10008</v>
      </c>
      <c r="C4112">
        <v>1</v>
      </c>
      <c r="D4112">
        <v>2</v>
      </c>
      <c r="E4112">
        <v>2</v>
      </c>
      <c r="F4112" t="s">
        <v>10069</v>
      </c>
      <c r="G4112" t="s">
        <v>10069</v>
      </c>
      <c r="H4112" s="6">
        <v>45083</v>
      </c>
      <c r="I4112">
        <f t="shared" si="128"/>
        <v>0</v>
      </c>
      <c r="J4112" t="str">
        <f t="shared" si="129"/>
        <v>Complete</v>
      </c>
      <c r="K4112">
        <f>COUNTIFS(RawData[Item], B4112,RawData[Quantity],C4112,RawData[Price Per Unit],D4112,RawData[Total Spent],E4112,RawData[Payment Method],F4112,RawData[Location],G4112,RawData[Transaction Date],H4112)</f>
        <v>1</v>
      </c>
      <c r="L4112"/>
    </row>
    <row r="4113" spans="1:12" x14ac:dyDescent="0.3">
      <c r="A4113" t="s">
        <v>4119</v>
      </c>
      <c r="B4113" t="s">
        <v>10012</v>
      </c>
      <c r="C4113" t="s">
        <v>10013</v>
      </c>
      <c r="D4113">
        <v>4</v>
      </c>
      <c r="E4113">
        <v>4</v>
      </c>
      <c r="F4113" t="s">
        <v>10018</v>
      </c>
      <c r="G4113" t="s">
        <v>10103</v>
      </c>
      <c r="H4113" s="6">
        <v>45100</v>
      </c>
      <c r="I4113">
        <f t="shared" si="128"/>
        <v>2</v>
      </c>
      <c r="J4113" t="str">
        <f t="shared" si="129"/>
        <v>Complete</v>
      </c>
      <c r="K4113">
        <f>COUNTIFS(RawData[Item], B4113,RawData[Quantity],C4113,RawData[Price Per Unit],D4113,RawData[Total Spent],E4113,RawData[Payment Method],F4113,RawData[Location],G4113,RawData[Transaction Date],H4113)</f>
        <v>1</v>
      </c>
      <c r="L4113"/>
    </row>
    <row r="4114" spans="1:12" x14ac:dyDescent="0.3">
      <c r="A4114" t="s">
        <v>4120</v>
      </c>
      <c r="B4114" t="s">
        <v>10015</v>
      </c>
      <c r="C4114">
        <v>3</v>
      </c>
      <c r="D4114">
        <v>2</v>
      </c>
      <c r="E4114">
        <v>6</v>
      </c>
      <c r="F4114" t="s">
        <v>10018</v>
      </c>
      <c r="G4114" t="s">
        <v>10069</v>
      </c>
      <c r="H4114" s="6">
        <v>45113</v>
      </c>
      <c r="I4114">
        <f t="shared" si="128"/>
        <v>1</v>
      </c>
      <c r="J4114" t="str">
        <f t="shared" si="129"/>
        <v>Complete</v>
      </c>
      <c r="K4114">
        <f>COUNTIFS(RawData[Item], B4114,RawData[Quantity],C4114,RawData[Price Per Unit],D4114,RawData[Total Spent],E4114,RawData[Payment Method],F4114,RawData[Location],G4114,RawData[Transaction Date],H4114)</f>
        <v>1</v>
      </c>
      <c r="L4114"/>
    </row>
    <row r="4115" spans="1:12" x14ac:dyDescent="0.3">
      <c r="A4115" t="s">
        <v>4121</v>
      </c>
      <c r="B4115" t="s">
        <v>10017</v>
      </c>
      <c r="C4115">
        <v>5</v>
      </c>
      <c r="D4115">
        <v>1.5</v>
      </c>
      <c r="E4115">
        <v>7.5</v>
      </c>
      <c r="F4115" t="s">
        <v>10018</v>
      </c>
      <c r="G4115" t="s">
        <v>10021</v>
      </c>
      <c r="H4115" s="6">
        <v>44952</v>
      </c>
      <c r="I4115">
        <f t="shared" si="128"/>
        <v>0</v>
      </c>
      <c r="J4115" t="str">
        <f t="shared" si="129"/>
        <v>Complete</v>
      </c>
      <c r="K4115">
        <f>COUNTIFS(RawData[Item], B4115,RawData[Quantity],C4115,RawData[Price Per Unit],D4115,RawData[Total Spent],E4115,RawData[Payment Method],F4115,RawData[Location],G4115,RawData[Transaction Date],H4115)</f>
        <v>1</v>
      </c>
      <c r="L4115"/>
    </row>
    <row r="4116" spans="1:12" x14ac:dyDescent="0.3">
      <c r="A4116" t="s">
        <v>4122</v>
      </c>
      <c r="B4116" t="s">
        <v>10013</v>
      </c>
      <c r="C4116">
        <v>2</v>
      </c>
      <c r="D4116">
        <v>2</v>
      </c>
      <c r="E4116">
        <v>4</v>
      </c>
      <c r="F4116" t="s">
        <v>10018</v>
      </c>
      <c r="G4116" t="s">
        <v>10021</v>
      </c>
      <c r="H4116" s="6">
        <v>45094</v>
      </c>
      <c r="I4116">
        <f t="shared" si="128"/>
        <v>1</v>
      </c>
      <c r="J4116" t="str">
        <f t="shared" si="129"/>
        <v>Complete</v>
      </c>
      <c r="K4116">
        <f>COUNTIFS(RawData[Item], B4116,RawData[Quantity],C4116,RawData[Price Per Unit],D4116,RawData[Total Spent],E4116,RawData[Payment Method],F4116,RawData[Location],G4116,RawData[Transaction Date],H4116)</f>
        <v>1</v>
      </c>
      <c r="L4116"/>
    </row>
    <row r="4117" spans="1:12" x14ac:dyDescent="0.3">
      <c r="A4117" t="s">
        <v>4123</v>
      </c>
      <c r="B4117" t="s">
        <v>10013</v>
      </c>
      <c r="C4117">
        <v>5</v>
      </c>
      <c r="D4117">
        <v>4</v>
      </c>
      <c r="E4117">
        <v>20</v>
      </c>
      <c r="F4117" t="s">
        <v>10104</v>
      </c>
      <c r="G4117" t="s">
        <v>10102</v>
      </c>
      <c r="H4117" s="6">
        <v>45078</v>
      </c>
      <c r="I4117">
        <f t="shared" si="128"/>
        <v>2</v>
      </c>
      <c r="J4117" t="str">
        <f t="shared" si="129"/>
        <v>Complete</v>
      </c>
      <c r="K4117">
        <f>COUNTIFS(RawData[Item], B4117,RawData[Quantity],C4117,RawData[Price Per Unit],D4117,RawData[Total Spent],E4117,RawData[Payment Method],F4117,RawData[Location],G4117,RawData[Transaction Date],H4117)</f>
        <v>1</v>
      </c>
      <c r="L4117"/>
    </row>
    <row r="4118" spans="1:12" x14ac:dyDescent="0.3">
      <c r="A4118" t="s">
        <v>4124</v>
      </c>
      <c r="B4118" t="s">
        <v>10015</v>
      </c>
      <c r="C4118">
        <v>2</v>
      </c>
      <c r="D4118">
        <v>4</v>
      </c>
      <c r="E4118">
        <v>8</v>
      </c>
      <c r="F4118" t="s">
        <v>10019</v>
      </c>
      <c r="G4118" t="s">
        <v>10104</v>
      </c>
      <c r="H4118" s="6">
        <v>45288</v>
      </c>
      <c r="I4118">
        <f t="shared" si="128"/>
        <v>2</v>
      </c>
      <c r="J4118" t="str">
        <f t="shared" si="129"/>
        <v>Complete</v>
      </c>
      <c r="K4118">
        <f>COUNTIFS(RawData[Item], B4118,RawData[Quantity],C4118,RawData[Price Per Unit],D4118,RawData[Total Spent],E4118,RawData[Payment Method],F4118,RawData[Location],G4118,RawData[Transaction Date],H4118)</f>
        <v>1</v>
      </c>
      <c r="L4118"/>
    </row>
    <row r="4119" spans="1:12" x14ac:dyDescent="0.3">
      <c r="A4119" t="s">
        <v>4125</v>
      </c>
      <c r="B4119" t="s">
        <v>10009</v>
      </c>
      <c r="C4119">
        <v>1</v>
      </c>
      <c r="D4119">
        <v>3</v>
      </c>
      <c r="E4119">
        <v>3</v>
      </c>
      <c r="F4119" t="s">
        <v>10018</v>
      </c>
      <c r="G4119" t="s">
        <v>10103</v>
      </c>
      <c r="H4119" s="6">
        <v>45108</v>
      </c>
      <c r="I4119">
        <f t="shared" si="128"/>
        <v>1</v>
      </c>
      <c r="J4119" t="str">
        <f t="shared" si="129"/>
        <v>Complete</v>
      </c>
      <c r="K4119">
        <f>COUNTIFS(RawData[Item], B4119,RawData[Quantity],C4119,RawData[Price Per Unit],D4119,RawData[Total Spent],E4119,RawData[Payment Method],F4119,RawData[Location],G4119,RawData[Transaction Date],H4119)</f>
        <v>1</v>
      </c>
      <c r="L4119"/>
    </row>
    <row r="4120" spans="1:12" x14ac:dyDescent="0.3">
      <c r="A4120" t="s">
        <v>4126</v>
      </c>
      <c r="B4120" t="s">
        <v>10017</v>
      </c>
      <c r="C4120">
        <v>1</v>
      </c>
      <c r="D4120">
        <v>1.5</v>
      </c>
      <c r="E4120">
        <v>1.5</v>
      </c>
      <c r="F4120" t="s">
        <v>10019</v>
      </c>
      <c r="G4120" t="s">
        <v>10069</v>
      </c>
      <c r="H4120" s="6">
        <v>45278</v>
      </c>
      <c r="I4120">
        <f t="shared" si="128"/>
        <v>0</v>
      </c>
      <c r="J4120" t="str">
        <f t="shared" si="129"/>
        <v>Complete</v>
      </c>
      <c r="K4120">
        <f>COUNTIFS(RawData[Item], B4120,RawData[Quantity],C4120,RawData[Price Per Unit],D4120,RawData[Total Spent],E4120,RawData[Payment Method],F4120,RawData[Location],G4120,RawData[Transaction Date],H4120)</f>
        <v>1</v>
      </c>
      <c r="L4120"/>
    </row>
    <row r="4121" spans="1:12" x14ac:dyDescent="0.3">
      <c r="A4121" t="s">
        <v>4127</v>
      </c>
      <c r="B4121" t="s">
        <v>10069</v>
      </c>
      <c r="C4121">
        <v>5</v>
      </c>
      <c r="D4121">
        <v>3</v>
      </c>
      <c r="E4121">
        <v>15</v>
      </c>
      <c r="F4121" t="s">
        <v>10018</v>
      </c>
      <c r="G4121" t="s">
        <v>10021</v>
      </c>
      <c r="H4121" s="6">
        <v>45053</v>
      </c>
      <c r="I4121">
        <f t="shared" si="128"/>
        <v>0</v>
      </c>
      <c r="J4121" t="str">
        <f t="shared" si="129"/>
        <v>Complete</v>
      </c>
      <c r="K4121">
        <f>COUNTIFS(RawData[Item], B4121,RawData[Quantity],C4121,RawData[Price Per Unit],D4121,RawData[Total Spent],E4121,RawData[Payment Method],F4121,RawData[Location],G4121,RawData[Transaction Date],H4121)</f>
        <v>1</v>
      </c>
      <c r="L4121"/>
    </row>
    <row r="4122" spans="1:12" x14ac:dyDescent="0.3">
      <c r="A4122" t="s">
        <v>4128</v>
      </c>
      <c r="B4122" t="s">
        <v>10016</v>
      </c>
      <c r="C4122">
        <v>2</v>
      </c>
      <c r="D4122">
        <v>3</v>
      </c>
      <c r="E4122">
        <v>6</v>
      </c>
      <c r="F4122" t="s">
        <v>10020</v>
      </c>
      <c r="G4122" t="s">
        <v>10102</v>
      </c>
      <c r="H4122" s="6">
        <v>45241</v>
      </c>
      <c r="I4122">
        <f t="shared" si="128"/>
        <v>0</v>
      </c>
      <c r="J4122" t="str">
        <f t="shared" si="129"/>
        <v>Complete</v>
      </c>
      <c r="K4122">
        <f>COUNTIFS(RawData[Item], B4122,RawData[Quantity],C4122,RawData[Price Per Unit],D4122,RawData[Total Spent],E4122,RawData[Payment Method],F4122,RawData[Location],G4122,RawData[Transaction Date],H4122)</f>
        <v>1</v>
      </c>
      <c r="L4122"/>
    </row>
    <row r="4123" spans="1:12" x14ac:dyDescent="0.3">
      <c r="A4123" t="s">
        <v>4129</v>
      </c>
      <c r="B4123" t="s">
        <v>10014</v>
      </c>
      <c r="C4123">
        <v>3</v>
      </c>
      <c r="D4123">
        <v>4</v>
      </c>
      <c r="E4123">
        <v>12</v>
      </c>
      <c r="F4123" t="s">
        <v>10018</v>
      </c>
      <c r="G4123" t="s">
        <v>10021</v>
      </c>
      <c r="H4123" s="6">
        <v>45041</v>
      </c>
      <c r="I4123">
        <f t="shared" si="128"/>
        <v>0</v>
      </c>
      <c r="J4123" t="str">
        <f t="shared" si="129"/>
        <v>Complete</v>
      </c>
      <c r="K4123">
        <f>COUNTIFS(RawData[Item], B4123,RawData[Quantity],C4123,RawData[Price Per Unit],D4123,RawData[Total Spent],E4123,RawData[Payment Method],F4123,RawData[Location],G4123,RawData[Transaction Date],H4123)</f>
        <v>1</v>
      </c>
      <c r="L4123"/>
    </row>
    <row r="4124" spans="1:12" x14ac:dyDescent="0.3">
      <c r="A4124" t="s">
        <v>4130</v>
      </c>
      <c r="B4124" t="s">
        <v>10016</v>
      </c>
      <c r="C4124">
        <v>5</v>
      </c>
      <c r="D4124">
        <v>3</v>
      </c>
      <c r="E4124">
        <v>15</v>
      </c>
      <c r="F4124" t="s">
        <v>10019</v>
      </c>
      <c r="G4124" t="s">
        <v>10104</v>
      </c>
      <c r="H4124" s="6">
        <v>45049</v>
      </c>
      <c r="I4124">
        <f t="shared" si="128"/>
        <v>1</v>
      </c>
      <c r="J4124" t="str">
        <f t="shared" si="129"/>
        <v>Complete</v>
      </c>
      <c r="K4124">
        <f>COUNTIFS(RawData[Item], B4124,RawData[Quantity],C4124,RawData[Price Per Unit],D4124,RawData[Total Spent],E4124,RawData[Payment Method],F4124,RawData[Location],G4124,RawData[Transaction Date],H4124)</f>
        <v>1</v>
      </c>
      <c r="L4124"/>
    </row>
    <row r="4125" spans="1:12" x14ac:dyDescent="0.3">
      <c r="A4125" t="s">
        <v>4131</v>
      </c>
      <c r="B4125" t="s">
        <v>10010</v>
      </c>
      <c r="C4125">
        <v>3</v>
      </c>
      <c r="D4125" t="s">
        <v>10015</v>
      </c>
      <c r="E4125">
        <v>3</v>
      </c>
      <c r="F4125" t="s">
        <v>10069</v>
      </c>
      <c r="G4125" t="s">
        <v>10102</v>
      </c>
      <c r="H4125" s="6" t="s">
        <v>10112</v>
      </c>
      <c r="I4125">
        <f t="shared" si="128"/>
        <v>2</v>
      </c>
      <c r="J4125" t="str">
        <f t="shared" si="129"/>
        <v>Incomplete</v>
      </c>
      <c r="K4125">
        <f>COUNTIFS(RawData[Item], B4125,RawData[Quantity],C4125,RawData[Price Per Unit],D4125,RawData[Total Spent],E4125,RawData[Payment Method],F4125,RawData[Location],G4125,RawData[Transaction Date],H4125)</f>
        <v>1</v>
      </c>
      <c r="L4125"/>
    </row>
    <row r="4126" spans="1:12" x14ac:dyDescent="0.3">
      <c r="A4126" t="s">
        <v>4132</v>
      </c>
      <c r="B4126" t="s">
        <v>10012</v>
      </c>
      <c r="C4126">
        <v>4</v>
      </c>
      <c r="D4126">
        <v>4</v>
      </c>
      <c r="E4126">
        <v>16</v>
      </c>
      <c r="F4126" t="s">
        <v>10019</v>
      </c>
      <c r="G4126" t="s">
        <v>10021</v>
      </c>
      <c r="H4126" s="6">
        <v>45127</v>
      </c>
      <c r="I4126">
        <f t="shared" si="128"/>
        <v>0</v>
      </c>
      <c r="J4126" t="str">
        <f t="shared" si="129"/>
        <v>Complete</v>
      </c>
      <c r="K4126">
        <f>COUNTIFS(RawData[Item], B4126,RawData[Quantity],C4126,RawData[Price Per Unit],D4126,RawData[Total Spent],E4126,RawData[Payment Method],F4126,RawData[Location],G4126,RawData[Transaction Date],H4126)</f>
        <v>1</v>
      </c>
      <c r="L4126"/>
    </row>
    <row r="4127" spans="1:12" x14ac:dyDescent="0.3">
      <c r="A4127" t="s">
        <v>4133</v>
      </c>
      <c r="B4127" t="s">
        <v>10014</v>
      </c>
      <c r="C4127">
        <v>4</v>
      </c>
      <c r="D4127">
        <v>4</v>
      </c>
      <c r="E4127">
        <v>16</v>
      </c>
      <c r="F4127" t="s">
        <v>10069</v>
      </c>
      <c r="G4127" t="s">
        <v>10102</v>
      </c>
      <c r="H4127" s="6">
        <v>45257</v>
      </c>
      <c r="I4127">
        <f t="shared" si="128"/>
        <v>0</v>
      </c>
      <c r="J4127" t="str">
        <f t="shared" si="129"/>
        <v>Complete</v>
      </c>
      <c r="K4127">
        <f>COUNTIFS(RawData[Item], B4127,RawData[Quantity],C4127,RawData[Price Per Unit],D4127,RawData[Total Spent],E4127,RawData[Payment Method],F4127,RawData[Location],G4127,RawData[Transaction Date],H4127)</f>
        <v>1</v>
      </c>
      <c r="L4127"/>
    </row>
    <row r="4128" spans="1:12" x14ac:dyDescent="0.3">
      <c r="A4128" t="s">
        <v>4134</v>
      </c>
      <c r="B4128" t="s">
        <v>10010</v>
      </c>
      <c r="C4128">
        <v>5</v>
      </c>
      <c r="D4128">
        <v>1</v>
      </c>
      <c r="E4128">
        <v>5</v>
      </c>
      <c r="F4128" t="s">
        <v>10018</v>
      </c>
      <c r="G4128" t="s">
        <v>10021</v>
      </c>
      <c r="H4128" s="6">
        <v>45149</v>
      </c>
      <c r="I4128">
        <f t="shared" si="128"/>
        <v>0</v>
      </c>
      <c r="J4128" t="str">
        <f t="shared" si="129"/>
        <v>Complete</v>
      </c>
      <c r="K4128">
        <f>COUNTIFS(RawData[Item], B4128,RawData[Quantity],C4128,RawData[Price Per Unit],D4128,RawData[Total Spent],E4128,RawData[Payment Method],F4128,RawData[Location],G4128,RawData[Transaction Date],H4128)</f>
        <v>1</v>
      </c>
      <c r="L4128"/>
    </row>
    <row r="4129" spans="1:12" x14ac:dyDescent="0.3">
      <c r="A4129" t="s">
        <v>4135</v>
      </c>
      <c r="B4129" t="s">
        <v>10010</v>
      </c>
      <c r="C4129">
        <v>4</v>
      </c>
      <c r="D4129" t="s">
        <v>10015</v>
      </c>
      <c r="E4129">
        <v>4</v>
      </c>
      <c r="F4129" t="s">
        <v>10069</v>
      </c>
      <c r="G4129" t="s">
        <v>10021</v>
      </c>
      <c r="H4129" s="6">
        <v>45279</v>
      </c>
      <c r="I4129">
        <f t="shared" si="128"/>
        <v>1</v>
      </c>
      <c r="J4129" t="str">
        <f t="shared" si="129"/>
        <v>Complete</v>
      </c>
      <c r="K4129">
        <f>COUNTIFS(RawData[Item], B4129,RawData[Quantity],C4129,RawData[Price Per Unit],D4129,RawData[Total Spent],E4129,RawData[Payment Method],F4129,RawData[Location],G4129,RawData[Transaction Date],H4129)</f>
        <v>1</v>
      </c>
      <c r="L4129"/>
    </row>
    <row r="4130" spans="1:12" x14ac:dyDescent="0.3">
      <c r="A4130" t="s">
        <v>4136</v>
      </c>
      <c r="B4130" t="s">
        <v>10016</v>
      </c>
      <c r="C4130">
        <v>2</v>
      </c>
      <c r="D4130">
        <v>3</v>
      </c>
      <c r="E4130">
        <v>6</v>
      </c>
      <c r="F4130" t="s">
        <v>10019</v>
      </c>
      <c r="G4130" t="s">
        <v>10102</v>
      </c>
      <c r="H4130" s="6">
        <v>45282</v>
      </c>
      <c r="I4130">
        <f t="shared" si="128"/>
        <v>0</v>
      </c>
      <c r="J4130" t="str">
        <f t="shared" si="129"/>
        <v>Complete</v>
      </c>
      <c r="K4130">
        <f>COUNTIFS(RawData[Item], B4130,RawData[Quantity],C4130,RawData[Price Per Unit],D4130,RawData[Total Spent],E4130,RawData[Payment Method],F4130,RawData[Location],G4130,RawData[Transaction Date],H4130)</f>
        <v>1</v>
      </c>
      <c r="L4130"/>
    </row>
    <row r="4131" spans="1:12" x14ac:dyDescent="0.3">
      <c r="A4131" t="s">
        <v>4137</v>
      </c>
      <c r="B4131" t="s">
        <v>10015</v>
      </c>
      <c r="C4131">
        <v>3</v>
      </c>
      <c r="D4131">
        <v>5</v>
      </c>
      <c r="E4131">
        <v>15</v>
      </c>
      <c r="F4131" t="s">
        <v>10019</v>
      </c>
      <c r="G4131" t="s">
        <v>10021</v>
      </c>
      <c r="H4131" s="6">
        <v>45104</v>
      </c>
      <c r="I4131">
        <f t="shared" si="128"/>
        <v>1</v>
      </c>
      <c r="J4131" t="str">
        <f t="shared" si="129"/>
        <v>Complete</v>
      </c>
      <c r="K4131">
        <f>COUNTIFS(RawData[Item], B4131,RawData[Quantity],C4131,RawData[Price Per Unit],D4131,RawData[Total Spent],E4131,RawData[Payment Method],F4131,RawData[Location],G4131,RawData[Transaction Date],H4131)</f>
        <v>1</v>
      </c>
      <c r="L4131"/>
    </row>
    <row r="4132" spans="1:12" x14ac:dyDescent="0.3">
      <c r="A4132" t="s">
        <v>4138</v>
      </c>
      <c r="B4132" t="s">
        <v>10009</v>
      </c>
      <c r="C4132">
        <v>4</v>
      </c>
      <c r="D4132">
        <v>3</v>
      </c>
      <c r="E4132">
        <v>12</v>
      </c>
      <c r="F4132" t="s">
        <v>10069</v>
      </c>
      <c r="G4132" t="s">
        <v>10021</v>
      </c>
      <c r="H4132" s="6">
        <v>44978</v>
      </c>
      <c r="I4132">
        <f t="shared" si="128"/>
        <v>0</v>
      </c>
      <c r="J4132" t="str">
        <f t="shared" si="129"/>
        <v>Complete</v>
      </c>
      <c r="K4132">
        <f>COUNTIFS(RawData[Item], B4132,RawData[Quantity],C4132,RawData[Price Per Unit],D4132,RawData[Total Spent],E4132,RawData[Payment Method],F4132,RawData[Location],G4132,RawData[Transaction Date],H4132)</f>
        <v>1</v>
      </c>
      <c r="L4132"/>
    </row>
    <row r="4133" spans="1:12" x14ac:dyDescent="0.3">
      <c r="A4133" t="s">
        <v>4139</v>
      </c>
      <c r="B4133" t="s">
        <v>10017</v>
      </c>
      <c r="C4133">
        <v>3</v>
      </c>
      <c r="D4133">
        <v>1.5</v>
      </c>
      <c r="E4133">
        <v>4.5</v>
      </c>
      <c r="F4133" t="s">
        <v>10069</v>
      </c>
      <c r="G4133" t="s">
        <v>10069</v>
      </c>
      <c r="H4133" s="6">
        <v>45120</v>
      </c>
      <c r="I4133">
        <f t="shared" si="128"/>
        <v>0</v>
      </c>
      <c r="J4133" t="str">
        <f t="shared" si="129"/>
        <v>Complete</v>
      </c>
      <c r="K4133">
        <f>COUNTIFS(RawData[Item], B4133,RawData[Quantity],C4133,RawData[Price Per Unit],D4133,RawData[Total Spent],E4133,RawData[Payment Method],F4133,RawData[Location],G4133,RawData[Transaction Date],H4133)</f>
        <v>1</v>
      </c>
      <c r="L4133"/>
    </row>
    <row r="4134" spans="1:12" x14ac:dyDescent="0.3">
      <c r="A4134" t="s">
        <v>4140</v>
      </c>
      <c r="B4134" t="s">
        <v>10009</v>
      </c>
      <c r="C4134">
        <v>1</v>
      </c>
      <c r="D4134">
        <v>3</v>
      </c>
      <c r="E4134">
        <v>3</v>
      </c>
      <c r="F4134" t="s">
        <v>10069</v>
      </c>
      <c r="G4134" t="s">
        <v>10069</v>
      </c>
      <c r="H4134" s="6">
        <v>45282</v>
      </c>
      <c r="I4134">
        <f t="shared" si="128"/>
        <v>0</v>
      </c>
      <c r="J4134" t="str">
        <f t="shared" si="129"/>
        <v>Complete</v>
      </c>
      <c r="K4134">
        <f>COUNTIFS(RawData[Item], B4134,RawData[Quantity],C4134,RawData[Price Per Unit],D4134,RawData[Total Spent],E4134,RawData[Payment Method],F4134,RawData[Location],G4134,RawData[Transaction Date],H4134)</f>
        <v>1</v>
      </c>
      <c r="L4134"/>
    </row>
    <row r="4135" spans="1:12" x14ac:dyDescent="0.3">
      <c r="A4135" t="s">
        <v>4141</v>
      </c>
      <c r="B4135" t="s">
        <v>10016</v>
      </c>
      <c r="C4135">
        <v>1</v>
      </c>
      <c r="D4135">
        <v>3</v>
      </c>
      <c r="E4135">
        <v>3</v>
      </c>
      <c r="F4135" t="s">
        <v>10069</v>
      </c>
      <c r="G4135" t="s">
        <v>10069</v>
      </c>
      <c r="H4135" s="6">
        <v>45069</v>
      </c>
      <c r="I4135">
        <f t="shared" si="128"/>
        <v>0</v>
      </c>
      <c r="J4135" t="str">
        <f t="shared" si="129"/>
        <v>Complete</v>
      </c>
      <c r="K4135">
        <f>COUNTIFS(RawData[Item], B4135,RawData[Quantity],C4135,RawData[Price Per Unit],D4135,RawData[Total Spent],E4135,RawData[Payment Method],F4135,RawData[Location],G4135,RawData[Transaction Date],H4135)</f>
        <v>1</v>
      </c>
      <c r="L4135"/>
    </row>
    <row r="4136" spans="1:12" x14ac:dyDescent="0.3">
      <c r="A4136" t="s">
        <v>4142</v>
      </c>
      <c r="B4136" t="s">
        <v>10010</v>
      </c>
      <c r="C4136">
        <v>5</v>
      </c>
      <c r="D4136">
        <v>1</v>
      </c>
      <c r="E4136">
        <v>5</v>
      </c>
      <c r="F4136" t="s">
        <v>10018</v>
      </c>
      <c r="G4136" t="s">
        <v>10021</v>
      </c>
      <c r="H4136" s="6">
        <v>45056</v>
      </c>
      <c r="I4136">
        <f t="shared" si="128"/>
        <v>0</v>
      </c>
      <c r="J4136" t="str">
        <f t="shared" si="129"/>
        <v>Complete</v>
      </c>
      <c r="K4136">
        <f>COUNTIFS(RawData[Item], B4136,RawData[Quantity],C4136,RawData[Price Per Unit],D4136,RawData[Total Spent],E4136,RawData[Payment Method],F4136,RawData[Location],G4136,RawData[Transaction Date],H4136)</f>
        <v>1</v>
      </c>
      <c r="L4136"/>
    </row>
    <row r="4137" spans="1:12" x14ac:dyDescent="0.3">
      <c r="A4137" t="s">
        <v>4143</v>
      </c>
      <c r="B4137" t="s">
        <v>10009</v>
      </c>
      <c r="C4137">
        <v>3</v>
      </c>
      <c r="D4137">
        <v>3</v>
      </c>
      <c r="E4137">
        <v>9</v>
      </c>
      <c r="F4137" t="s">
        <v>10069</v>
      </c>
      <c r="G4137" t="s">
        <v>10021</v>
      </c>
      <c r="H4137" s="6">
        <v>45236</v>
      </c>
      <c r="I4137">
        <f t="shared" si="128"/>
        <v>0</v>
      </c>
      <c r="J4137" t="str">
        <f t="shared" si="129"/>
        <v>Complete</v>
      </c>
      <c r="K4137">
        <f>COUNTIFS(RawData[Item], B4137,RawData[Quantity],C4137,RawData[Price Per Unit],D4137,RawData[Total Spent],E4137,RawData[Payment Method],F4137,RawData[Location],G4137,RawData[Transaction Date],H4137)</f>
        <v>1</v>
      </c>
      <c r="L4137"/>
    </row>
    <row r="4138" spans="1:12" x14ac:dyDescent="0.3">
      <c r="A4138" t="s">
        <v>4144</v>
      </c>
      <c r="B4138" t="s">
        <v>10008</v>
      </c>
      <c r="C4138" t="s">
        <v>10015</v>
      </c>
      <c r="D4138">
        <v>2</v>
      </c>
      <c r="E4138">
        <v>2</v>
      </c>
      <c r="F4138" t="s">
        <v>10069</v>
      </c>
      <c r="G4138" t="s">
        <v>10021</v>
      </c>
      <c r="H4138" s="6">
        <v>45267</v>
      </c>
      <c r="I4138">
        <f t="shared" si="128"/>
        <v>1</v>
      </c>
      <c r="J4138" t="str">
        <f t="shared" si="129"/>
        <v>Complete</v>
      </c>
      <c r="K4138">
        <f>COUNTIFS(RawData[Item], B4138,RawData[Quantity],C4138,RawData[Price Per Unit],D4138,RawData[Total Spent],E4138,RawData[Payment Method],F4138,RawData[Location],G4138,RawData[Transaction Date],H4138)</f>
        <v>1</v>
      </c>
      <c r="L4138"/>
    </row>
    <row r="4139" spans="1:12" x14ac:dyDescent="0.3">
      <c r="A4139" t="s">
        <v>4145</v>
      </c>
      <c r="B4139" t="s">
        <v>10017</v>
      </c>
      <c r="C4139">
        <v>0</v>
      </c>
      <c r="D4139">
        <v>1.5</v>
      </c>
      <c r="E4139">
        <v>1.5</v>
      </c>
      <c r="F4139" t="s">
        <v>10019</v>
      </c>
      <c r="G4139" t="s">
        <v>10102</v>
      </c>
      <c r="H4139" s="6">
        <v>45188</v>
      </c>
      <c r="I4139">
        <f t="shared" si="128"/>
        <v>0</v>
      </c>
      <c r="J4139" t="str">
        <f t="shared" si="129"/>
        <v>Complete</v>
      </c>
      <c r="K4139">
        <f>COUNTIFS(RawData[Item], B4139,RawData[Quantity],C4139,RawData[Price Per Unit],D4139,RawData[Total Spent],E4139,RawData[Payment Method],F4139,RawData[Location],G4139,RawData[Transaction Date],H4139)</f>
        <v>1</v>
      </c>
      <c r="L4139"/>
    </row>
    <row r="4140" spans="1:12" x14ac:dyDescent="0.3">
      <c r="A4140" t="s">
        <v>4146</v>
      </c>
      <c r="B4140" t="s">
        <v>10008</v>
      </c>
      <c r="C4140">
        <v>1</v>
      </c>
      <c r="D4140">
        <v>2</v>
      </c>
      <c r="E4140">
        <v>2</v>
      </c>
      <c r="F4140" t="s">
        <v>10020</v>
      </c>
      <c r="G4140" t="s">
        <v>10102</v>
      </c>
      <c r="H4140" s="6">
        <v>45286</v>
      </c>
      <c r="I4140">
        <f t="shared" si="128"/>
        <v>0</v>
      </c>
      <c r="J4140" t="str">
        <f t="shared" si="129"/>
        <v>Complete</v>
      </c>
      <c r="K4140">
        <f>COUNTIFS(RawData[Item], B4140,RawData[Quantity],C4140,RawData[Price Per Unit],D4140,RawData[Total Spent],E4140,RawData[Payment Method],F4140,RawData[Location],G4140,RawData[Transaction Date],H4140)</f>
        <v>1</v>
      </c>
      <c r="L4140"/>
    </row>
    <row r="4141" spans="1:12" x14ac:dyDescent="0.3">
      <c r="A4141" t="s">
        <v>4147</v>
      </c>
      <c r="B4141" t="s">
        <v>10009</v>
      </c>
      <c r="C4141">
        <v>2</v>
      </c>
      <c r="D4141">
        <v>3</v>
      </c>
      <c r="E4141">
        <v>6</v>
      </c>
      <c r="F4141" t="s">
        <v>10104</v>
      </c>
      <c r="G4141" t="s">
        <v>10102</v>
      </c>
      <c r="H4141" s="6">
        <v>45167</v>
      </c>
      <c r="I4141">
        <f t="shared" si="128"/>
        <v>1</v>
      </c>
      <c r="J4141" t="str">
        <f t="shared" si="129"/>
        <v>Complete</v>
      </c>
      <c r="K4141">
        <f>COUNTIFS(RawData[Item], B4141,RawData[Quantity],C4141,RawData[Price Per Unit],D4141,RawData[Total Spent],E4141,RawData[Payment Method],F4141,RawData[Location],G4141,RawData[Transaction Date],H4141)</f>
        <v>1</v>
      </c>
      <c r="L4141"/>
    </row>
    <row r="4142" spans="1:12" x14ac:dyDescent="0.3">
      <c r="A4142" t="s">
        <v>4148</v>
      </c>
      <c r="B4142" t="s">
        <v>10011</v>
      </c>
      <c r="C4142">
        <v>3</v>
      </c>
      <c r="D4142">
        <v>5</v>
      </c>
      <c r="E4142">
        <v>15</v>
      </c>
      <c r="F4142" t="s">
        <v>10019</v>
      </c>
      <c r="G4142" t="s">
        <v>10021</v>
      </c>
      <c r="H4142" s="6">
        <v>45025</v>
      </c>
      <c r="I4142">
        <f t="shared" si="128"/>
        <v>0</v>
      </c>
      <c r="J4142" t="str">
        <f t="shared" si="129"/>
        <v>Complete</v>
      </c>
      <c r="K4142">
        <f>COUNTIFS(RawData[Item], B4142,RawData[Quantity],C4142,RawData[Price Per Unit],D4142,RawData[Total Spent],E4142,RawData[Payment Method],F4142,RawData[Location],G4142,RawData[Transaction Date],H4142)</f>
        <v>1</v>
      </c>
      <c r="L4142"/>
    </row>
    <row r="4143" spans="1:12" x14ac:dyDescent="0.3">
      <c r="A4143" t="s">
        <v>4149</v>
      </c>
      <c r="B4143" t="s">
        <v>10016</v>
      </c>
      <c r="C4143">
        <v>1</v>
      </c>
      <c r="D4143">
        <v>3</v>
      </c>
      <c r="E4143">
        <v>3</v>
      </c>
      <c r="F4143" t="s">
        <v>10020</v>
      </c>
      <c r="G4143" t="s">
        <v>10102</v>
      </c>
      <c r="H4143" s="6">
        <v>45253</v>
      </c>
      <c r="I4143">
        <f t="shared" si="128"/>
        <v>0</v>
      </c>
      <c r="J4143" t="str">
        <f t="shared" si="129"/>
        <v>Complete</v>
      </c>
      <c r="K4143">
        <f>COUNTIFS(RawData[Item], B4143,RawData[Quantity],C4143,RawData[Price Per Unit],D4143,RawData[Total Spent],E4143,RawData[Payment Method],F4143,RawData[Location],G4143,RawData[Transaction Date],H4143)</f>
        <v>1</v>
      </c>
      <c r="L4143"/>
    </row>
    <row r="4144" spans="1:12" x14ac:dyDescent="0.3">
      <c r="A4144" t="s">
        <v>4150</v>
      </c>
      <c r="B4144" t="s">
        <v>10014</v>
      </c>
      <c r="C4144">
        <v>4</v>
      </c>
      <c r="D4144">
        <v>4</v>
      </c>
      <c r="E4144">
        <v>16</v>
      </c>
      <c r="F4144" t="s">
        <v>10019</v>
      </c>
      <c r="G4144" t="s">
        <v>10102</v>
      </c>
      <c r="H4144" s="6">
        <v>44943</v>
      </c>
      <c r="I4144">
        <f t="shared" si="128"/>
        <v>0</v>
      </c>
      <c r="J4144" t="str">
        <f t="shared" si="129"/>
        <v>Complete</v>
      </c>
      <c r="K4144">
        <f>COUNTIFS(RawData[Item], B4144,RawData[Quantity],C4144,RawData[Price Per Unit],D4144,RawData[Total Spent],E4144,RawData[Payment Method],F4144,RawData[Location],G4144,RawData[Transaction Date],H4144)</f>
        <v>1</v>
      </c>
      <c r="L4144"/>
    </row>
    <row r="4145" spans="1:12" x14ac:dyDescent="0.3">
      <c r="A4145" t="s">
        <v>4151</v>
      </c>
      <c r="B4145" t="s">
        <v>10014</v>
      </c>
      <c r="C4145">
        <v>3</v>
      </c>
      <c r="D4145">
        <v>4</v>
      </c>
      <c r="E4145">
        <v>12</v>
      </c>
      <c r="F4145" t="s">
        <v>10069</v>
      </c>
      <c r="G4145" t="s">
        <v>10021</v>
      </c>
      <c r="H4145" s="6">
        <v>45087</v>
      </c>
      <c r="I4145">
        <f t="shared" si="128"/>
        <v>0</v>
      </c>
      <c r="J4145" t="str">
        <f t="shared" si="129"/>
        <v>Complete</v>
      </c>
      <c r="K4145">
        <f>COUNTIFS(RawData[Item], B4145,RawData[Quantity],C4145,RawData[Price Per Unit],D4145,RawData[Total Spent],E4145,RawData[Payment Method],F4145,RawData[Location],G4145,RawData[Transaction Date],H4145)</f>
        <v>1</v>
      </c>
      <c r="L4145"/>
    </row>
    <row r="4146" spans="1:12" x14ac:dyDescent="0.3">
      <c r="A4146" t="s">
        <v>4152</v>
      </c>
      <c r="B4146" t="s">
        <v>10008</v>
      </c>
      <c r="C4146">
        <v>2</v>
      </c>
      <c r="D4146">
        <v>2</v>
      </c>
      <c r="E4146">
        <v>4</v>
      </c>
      <c r="F4146" t="s">
        <v>10069</v>
      </c>
      <c r="G4146" t="s">
        <v>10103</v>
      </c>
      <c r="H4146" s="6">
        <v>45220</v>
      </c>
      <c r="I4146">
        <f t="shared" si="128"/>
        <v>1</v>
      </c>
      <c r="J4146" t="str">
        <f t="shared" si="129"/>
        <v>Complete</v>
      </c>
      <c r="K4146">
        <f>COUNTIFS(RawData[Item], B4146,RawData[Quantity],C4146,RawData[Price Per Unit],D4146,RawData[Total Spent],E4146,RawData[Payment Method],F4146,RawData[Location],G4146,RawData[Transaction Date],H4146)</f>
        <v>1</v>
      </c>
      <c r="L4146"/>
    </row>
    <row r="4147" spans="1:12" x14ac:dyDescent="0.3">
      <c r="A4147" t="s">
        <v>4153</v>
      </c>
      <c r="B4147" t="s">
        <v>10016</v>
      </c>
      <c r="C4147">
        <v>2</v>
      </c>
      <c r="D4147">
        <v>3</v>
      </c>
      <c r="E4147">
        <v>6</v>
      </c>
      <c r="F4147" t="s">
        <v>10069</v>
      </c>
      <c r="G4147" t="s">
        <v>10102</v>
      </c>
      <c r="H4147" s="6">
        <v>45210</v>
      </c>
      <c r="I4147">
        <f t="shared" si="128"/>
        <v>0</v>
      </c>
      <c r="J4147" t="str">
        <f t="shared" si="129"/>
        <v>Complete</v>
      </c>
      <c r="K4147">
        <f>COUNTIFS(RawData[Item], B4147,RawData[Quantity],C4147,RawData[Price Per Unit],D4147,RawData[Total Spent],E4147,RawData[Payment Method],F4147,RawData[Location],G4147,RawData[Transaction Date],H4147)</f>
        <v>1</v>
      </c>
      <c r="L4147"/>
    </row>
    <row r="4148" spans="1:12" x14ac:dyDescent="0.3">
      <c r="A4148" t="s">
        <v>4154</v>
      </c>
      <c r="B4148" t="s">
        <v>10016</v>
      </c>
      <c r="C4148">
        <v>3</v>
      </c>
      <c r="D4148">
        <v>3</v>
      </c>
      <c r="E4148">
        <v>9</v>
      </c>
      <c r="F4148" t="s">
        <v>10018</v>
      </c>
      <c r="G4148" t="s">
        <v>10069</v>
      </c>
      <c r="H4148" s="6">
        <v>45059</v>
      </c>
      <c r="I4148">
        <f t="shared" si="128"/>
        <v>0</v>
      </c>
      <c r="J4148" t="str">
        <f t="shared" si="129"/>
        <v>Complete</v>
      </c>
      <c r="K4148">
        <f>COUNTIFS(RawData[Item], B4148,RawData[Quantity],C4148,RawData[Price Per Unit],D4148,RawData[Total Spent],E4148,RawData[Payment Method],F4148,RawData[Location],G4148,RawData[Transaction Date],H4148)</f>
        <v>2</v>
      </c>
      <c r="L4148"/>
    </row>
    <row r="4149" spans="1:12" x14ac:dyDescent="0.3">
      <c r="A4149" t="s">
        <v>4155</v>
      </c>
      <c r="B4149" t="s">
        <v>10017</v>
      </c>
      <c r="C4149">
        <v>2</v>
      </c>
      <c r="D4149">
        <v>1.5</v>
      </c>
      <c r="E4149">
        <v>0</v>
      </c>
      <c r="F4149" t="s">
        <v>10018</v>
      </c>
      <c r="G4149" t="s">
        <v>10104</v>
      </c>
      <c r="H4149" s="6">
        <v>45166</v>
      </c>
      <c r="I4149">
        <f t="shared" si="128"/>
        <v>1</v>
      </c>
      <c r="J4149" t="str">
        <f t="shared" si="129"/>
        <v>Complete</v>
      </c>
      <c r="K4149">
        <f>COUNTIFS(RawData[Item], B4149,RawData[Quantity],C4149,RawData[Price Per Unit],D4149,RawData[Total Spent],E4149,RawData[Payment Method],F4149,RawData[Location],G4149,RawData[Transaction Date],H4149)</f>
        <v>1</v>
      </c>
      <c r="L4149"/>
    </row>
    <row r="4150" spans="1:12" x14ac:dyDescent="0.3">
      <c r="A4150" t="s">
        <v>4156</v>
      </c>
      <c r="B4150" t="s">
        <v>10009</v>
      </c>
      <c r="C4150">
        <v>2</v>
      </c>
      <c r="D4150">
        <v>3</v>
      </c>
      <c r="E4150">
        <v>6</v>
      </c>
      <c r="F4150" t="s">
        <v>10019</v>
      </c>
      <c r="G4150" t="s">
        <v>10021</v>
      </c>
      <c r="H4150" s="6">
        <v>45025</v>
      </c>
      <c r="I4150">
        <f t="shared" si="128"/>
        <v>0</v>
      </c>
      <c r="J4150" t="str">
        <f t="shared" si="129"/>
        <v>Complete</v>
      </c>
      <c r="K4150">
        <f>COUNTIFS(RawData[Item], B4150,RawData[Quantity],C4150,RawData[Price Per Unit],D4150,RawData[Total Spent],E4150,RawData[Payment Method],F4150,RawData[Location],G4150,RawData[Transaction Date],H4150)</f>
        <v>1</v>
      </c>
      <c r="L4150"/>
    </row>
    <row r="4151" spans="1:12" x14ac:dyDescent="0.3">
      <c r="A4151" t="s">
        <v>4157</v>
      </c>
      <c r="B4151" t="s">
        <v>10009</v>
      </c>
      <c r="C4151">
        <v>4</v>
      </c>
      <c r="D4151">
        <v>3</v>
      </c>
      <c r="E4151">
        <v>12</v>
      </c>
      <c r="F4151" t="s">
        <v>10019</v>
      </c>
      <c r="G4151" t="s">
        <v>10102</v>
      </c>
      <c r="H4151" s="6">
        <v>45093</v>
      </c>
      <c r="I4151">
        <f t="shared" si="128"/>
        <v>0</v>
      </c>
      <c r="J4151" t="str">
        <f t="shared" si="129"/>
        <v>Complete</v>
      </c>
      <c r="K4151">
        <f>COUNTIFS(RawData[Item], B4151,RawData[Quantity],C4151,RawData[Price Per Unit],D4151,RawData[Total Spent],E4151,RawData[Payment Method],F4151,RawData[Location],G4151,RawData[Transaction Date],H4151)</f>
        <v>1</v>
      </c>
      <c r="L4151"/>
    </row>
    <row r="4152" spans="1:12" x14ac:dyDescent="0.3">
      <c r="A4152" t="s">
        <v>4158</v>
      </c>
      <c r="B4152" t="s">
        <v>10011</v>
      </c>
      <c r="C4152">
        <v>1</v>
      </c>
      <c r="D4152">
        <v>5</v>
      </c>
      <c r="E4152">
        <v>5</v>
      </c>
      <c r="F4152" t="s">
        <v>10069</v>
      </c>
      <c r="G4152" t="s">
        <v>10102</v>
      </c>
      <c r="H4152" s="6">
        <v>45187</v>
      </c>
      <c r="I4152">
        <f t="shared" si="128"/>
        <v>0</v>
      </c>
      <c r="J4152" t="str">
        <f t="shared" si="129"/>
        <v>Complete</v>
      </c>
      <c r="K4152">
        <f>COUNTIFS(RawData[Item], B4152,RawData[Quantity],C4152,RawData[Price Per Unit],D4152,RawData[Total Spent],E4152,RawData[Payment Method],F4152,RawData[Location],G4152,RawData[Transaction Date],H4152)</f>
        <v>1</v>
      </c>
      <c r="L4152"/>
    </row>
    <row r="4153" spans="1:12" x14ac:dyDescent="0.3">
      <c r="A4153" t="s">
        <v>4159</v>
      </c>
      <c r="B4153" t="s">
        <v>10015</v>
      </c>
      <c r="C4153">
        <v>5</v>
      </c>
      <c r="D4153">
        <v>1.5</v>
      </c>
      <c r="E4153">
        <v>7.5</v>
      </c>
      <c r="F4153" t="s">
        <v>10069</v>
      </c>
      <c r="G4153" t="s">
        <v>10102</v>
      </c>
      <c r="H4153" s="6">
        <v>45204</v>
      </c>
      <c r="I4153">
        <f t="shared" si="128"/>
        <v>1</v>
      </c>
      <c r="J4153" t="str">
        <f t="shared" si="129"/>
        <v>Complete</v>
      </c>
      <c r="K4153">
        <f>COUNTIFS(RawData[Item], B4153,RawData[Quantity],C4153,RawData[Price Per Unit],D4153,RawData[Total Spent],E4153,RawData[Payment Method],F4153,RawData[Location],G4153,RawData[Transaction Date],H4153)</f>
        <v>1</v>
      </c>
      <c r="L4153"/>
    </row>
    <row r="4154" spans="1:12" x14ac:dyDescent="0.3">
      <c r="A4154" t="s">
        <v>4160</v>
      </c>
      <c r="B4154" t="s">
        <v>10015</v>
      </c>
      <c r="C4154">
        <v>2</v>
      </c>
      <c r="D4154" t="s">
        <v>10015</v>
      </c>
      <c r="E4154" t="s">
        <v>10013</v>
      </c>
      <c r="F4154" t="s">
        <v>10069</v>
      </c>
      <c r="G4154" t="s">
        <v>10102</v>
      </c>
      <c r="H4154" s="6">
        <v>45274</v>
      </c>
      <c r="I4154">
        <f t="shared" si="128"/>
        <v>3</v>
      </c>
      <c r="J4154" t="str">
        <f t="shared" si="129"/>
        <v>Complete</v>
      </c>
      <c r="K4154">
        <f>COUNTIFS(RawData[Item], B4154,RawData[Quantity],C4154,RawData[Price Per Unit],D4154,RawData[Total Spent],E4154,RawData[Payment Method],F4154,RawData[Location],G4154,RawData[Transaction Date],H4154)</f>
        <v>1</v>
      </c>
      <c r="L4154"/>
    </row>
    <row r="4155" spans="1:12" x14ac:dyDescent="0.3">
      <c r="A4155" t="s">
        <v>4161</v>
      </c>
      <c r="B4155" t="s">
        <v>10008</v>
      </c>
      <c r="C4155">
        <v>2</v>
      </c>
      <c r="D4155">
        <v>2</v>
      </c>
      <c r="E4155">
        <v>4</v>
      </c>
      <c r="F4155" t="s">
        <v>10069</v>
      </c>
      <c r="G4155" t="s">
        <v>10069</v>
      </c>
      <c r="H4155" s="6">
        <v>45053</v>
      </c>
      <c r="I4155">
        <f t="shared" si="128"/>
        <v>0</v>
      </c>
      <c r="J4155" t="str">
        <f t="shared" si="129"/>
        <v>Complete</v>
      </c>
      <c r="K4155">
        <f>COUNTIFS(RawData[Item], B4155,RawData[Quantity],C4155,RawData[Price Per Unit],D4155,RawData[Total Spent],E4155,RawData[Payment Method],F4155,RawData[Location],G4155,RawData[Transaction Date],H4155)</f>
        <v>1</v>
      </c>
      <c r="L4155"/>
    </row>
    <row r="4156" spans="1:12" x14ac:dyDescent="0.3">
      <c r="A4156" t="s">
        <v>4162</v>
      </c>
      <c r="B4156" t="s">
        <v>10010</v>
      </c>
      <c r="C4156">
        <v>5</v>
      </c>
      <c r="D4156">
        <v>1</v>
      </c>
      <c r="E4156">
        <v>5</v>
      </c>
      <c r="F4156" t="s">
        <v>10019</v>
      </c>
      <c r="G4156" t="s">
        <v>10021</v>
      </c>
      <c r="H4156" s="6">
        <v>44964</v>
      </c>
      <c r="I4156">
        <f t="shared" si="128"/>
        <v>0</v>
      </c>
      <c r="J4156" t="str">
        <f t="shared" si="129"/>
        <v>Complete</v>
      </c>
      <c r="K4156">
        <f>COUNTIFS(RawData[Item], B4156,RawData[Quantity],C4156,RawData[Price Per Unit],D4156,RawData[Total Spent],E4156,RawData[Payment Method],F4156,RawData[Location],G4156,RawData[Transaction Date],H4156)</f>
        <v>1</v>
      </c>
      <c r="L4156"/>
    </row>
    <row r="4157" spans="1:12" x14ac:dyDescent="0.3">
      <c r="A4157" t="s">
        <v>4163</v>
      </c>
      <c r="B4157" t="s">
        <v>10014</v>
      </c>
      <c r="C4157">
        <v>2</v>
      </c>
      <c r="D4157">
        <v>4</v>
      </c>
      <c r="E4157" t="s">
        <v>10015</v>
      </c>
      <c r="F4157" t="s">
        <v>10018</v>
      </c>
      <c r="G4157" t="s">
        <v>10069</v>
      </c>
      <c r="H4157" s="6">
        <v>44957</v>
      </c>
      <c r="I4157">
        <f t="shared" si="128"/>
        <v>1</v>
      </c>
      <c r="J4157" t="str">
        <f t="shared" si="129"/>
        <v>Complete</v>
      </c>
      <c r="K4157">
        <f>COUNTIFS(RawData[Item], B4157,RawData[Quantity],C4157,RawData[Price Per Unit],D4157,RawData[Total Spent],E4157,RawData[Payment Method],F4157,RawData[Location],G4157,RawData[Transaction Date],H4157)</f>
        <v>1</v>
      </c>
      <c r="L4157"/>
    </row>
    <row r="4158" spans="1:12" x14ac:dyDescent="0.3">
      <c r="A4158" t="s">
        <v>4164</v>
      </c>
      <c r="B4158" t="s">
        <v>10014</v>
      </c>
      <c r="C4158">
        <v>5</v>
      </c>
      <c r="D4158">
        <v>4</v>
      </c>
      <c r="E4158">
        <v>20</v>
      </c>
      <c r="F4158" t="s">
        <v>10020</v>
      </c>
      <c r="G4158" t="s">
        <v>10069</v>
      </c>
      <c r="H4158" s="6">
        <v>45195</v>
      </c>
      <c r="I4158">
        <f t="shared" si="128"/>
        <v>0</v>
      </c>
      <c r="J4158" t="str">
        <f t="shared" si="129"/>
        <v>Complete</v>
      </c>
      <c r="K4158">
        <f>COUNTIFS(RawData[Item], B4158,RawData[Quantity],C4158,RawData[Price Per Unit],D4158,RawData[Total Spent],E4158,RawData[Payment Method],F4158,RawData[Location],G4158,RawData[Transaction Date],H4158)</f>
        <v>1</v>
      </c>
      <c r="L4158"/>
    </row>
    <row r="4159" spans="1:12" x14ac:dyDescent="0.3">
      <c r="A4159" t="s">
        <v>4165</v>
      </c>
      <c r="B4159" t="s">
        <v>10012</v>
      </c>
      <c r="C4159">
        <v>2</v>
      </c>
      <c r="D4159">
        <v>4</v>
      </c>
      <c r="E4159">
        <v>8</v>
      </c>
      <c r="F4159" t="s">
        <v>10069</v>
      </c>
      <c r="G4159" t="s">
        <v>10102</v>
      </c>
      <c r="H4159" s="6">
        <v>44954</v>
      </c>
      <c r="I4159">
        <f t="shared" si="128"/>
        <v>0</v>
      </c>
      <c r="J4159" t="str">
        <f t="shared" si="129"/>
        <v>Complete</v>
      </c>
      <c r="K4159">
        <f>COUNTIFS(RawData[Item], B4159,RawData[Quantity],C4159,RawData[Price Per Unit],D4159,RawData[Total Spent],E4159,RawData[Payment Method],F4159,RawData[Location],G4159,RawData[Transaction Date],H4159)</f>
        <v>1</v>
      </c>
      <c r="L4159"/>
    </row>
    <row r="4160" spans="1:12" x14ac:dyDescent="0.3">
      <c r="A4160" t="s">
        <v>4166</v>
      </c>
      <c r="B4160" t="s">
        <v>10017</v>
      </c>
      <c r="C4160">
        <v>3</v>
      </c>
      <c r="D4160">
        <v>1.5</v>
      </c>
      <c r="E4160">
        <v>4.5</v>
      </c>
      <c r="F4160" t="s">
        <v>10069</v>
      </c>
      <c r="G4160" t="s">
        <v>10069</v>
      </c>
      <c r="H4160" s="6">
        <v>45047</v>
      </c>
      <c r="I4160">
        <f t="shared" si="128"/>
        <v>0</v>
      </c>
      <c r="J4160" t="str">
        <f t="shared" si="129"/>
        <v>Complete</v>
      </c>
      <c r="K4160">
        <f>COUNTIFS(RawData[Item], B4160,RawData[Quantity],C4160,RawData[Price Per Unit],D4160,RawData[Total Spent],E4160,RawData[Payment Method],F4160,RawData[Location],G4160,RawData[Transaction Date],H4160)</f>
        <v>1</v>
      </c>
      <c r="L4160"/>
    </row>
    <row r="4161" spans="1:12" x14ac:dyDescent="0.3">
      <c r="A4161" t="s">
        <v>4167</v>
      </c>
      <c r="B4161" t="s">
        <v>10014</v>
      </c>
      <c r="C4161">
        <v>2</v>
      </c>
      <c r="D4161">
        <v>4</v>
      </c>
      <c r="E4161">
        <v>8</v>
      </c>
      <c r="F4161" t="s">
        <v>10019</v>
      </c>
      <c r="G4161" t="s">
        <v>10102</v>
      </c>
      <c r="H4161" s="6">
        <v>45074</v>
      </c>
      <c r="I4161">
        <f t="shared" si="128"/>
        <v>0</v>
      </c>
      <c r="J4161" t="str">
        <f t="shared" si="129"/>
        <v>Complete</v>
      </c>
      <c r="K4161">
        <f>COUNTIFS(RawData[Item], B4161,RawData[Quantity],C4161,RawData[Price Per Unit],D4161,RawData[Total Spent],E4161,RawData[Payment Method],F4161,RawData[Location],G4161,RawData[Transaction Date],H4161)</f>
        <v>1</v>
      </c>
      <c r="L4161"/>
    </row>
    <row r="4162" spans="1:12" x14ac:dyDescent="0.3">
      <c r="A4162" t="s">
        <v>4168</v>
      </c>
      <c r="B4162" t="s">
        <v>10009</v>
      </c>
      <c r="C4162">
        <v>0</v>
      </c>
      <c r="D4162">
        <v>3</v>
      </c>
      <c r="E4162">
        <v>15</v>
      </c>
      <c r="F4162" t="s">
        <v>10018</v>
      </c>
      <c r="G4162" t="s">
        <v>10103</v>
      </c>
      <c r="H4162" s="6">
        <v>45234</v>
      </c>
      <c r="I4162">
        <f t="shared" ref="I4162:I4225" si="130">(B4162="Unknown")+(B4162="Error")+(C4162="Unknown")+(C4162="Error")+(D4162="Unknown")+(D4162="Error")+(E4162="Unknown")+(E4162="Error")+(F4162="Unknown")+(F4162="Error")+(G4162="Unknown")+(G4162="Error")+(H4162="No Date")</f>
        <v>1</v>
      </c>
      <c r="J4162" t="str">
        <f t="shared" ref="J4162:J4225" si="131">IF((H4162="No Date"),"Incomplete","Complete")</f>
        <v>Complete</v>
      </c>
      <c r="K4162">
        <f>COUNTIFS(RawData[Item], B4162,RawData[Quantity],C4162,RawData[Price Per Unit],D4162,RawData[Total Spent],E4162,RawData[Payment Method],F4162,RawData[Location],G4162,RawData[Transaction Date],H4162)</f>
        <v>1</v>
      </c>
      <c r="L4162"/>
    </row>
    <row r="4163" spans="1:12" x14ac:dyDescent="0.3">
      <c r="A4163" t="s">
        <v>4169</v>
      </c>
      <c r="B4163" t="s">
        <v>10010</v>
      </c>
      <c r="C4163">
        <v>4</v>
      </c>
      <c r="D4163">
        <v>1</v>
      </c>
      <c r="E4163">
        <v>4</v>
      </c>
      <c r="F4163" t="s">
        <v>10019</v>
      </c>
      <c r="G4163" t="s">
        <v>10021</v>
      </c>
      <c r="H4163" s="6">
        <v>45171</v>
      </c>
      <c r="I4163">
        <f t="shared" si="130"/>
        <v>0</v>
      </c>
      <c r="J4163" t="str">
        <f t="shared" si="131"/>
        <v>Complete</v>
      </c>
      <c r="K4163">
        <f>COUNTIFS(RawData[Item], B4163,RawData[Quantity],C4163,RawData[Price Per Unit],D4163,RawData[Total Spent],E4163,RawData[Payment Method],F4163,RawData[Location],G4163,RawData[Transaction Date],H4163)</f>
        <v>1</v>
      </c>
      <c r="L4163"/>
    </row>
    <row r="4164" spans="1:12" x14ac:dyDescent="0.3">
      <c r="A4164" t="s">
        <v>4170</v>
      </c>
      <c r="B4164" t="s">
        <v>10009</v>
      </c>
      <c r="C4164">
        <v>2</v>
      </c>
      <c r="D4164">
        <v>3</v>
      </c>
      <c r="E4164">
        <v>6</v>
      </c>
      <c r="F4164" t="s">
        <v>10019</v>
      </c>
      <c r="G4164" t="s">
        <v>10021</v>
      </c>
      <c r="H4164" s="6">
        <v>44928</v>
      </c>
      <c r="I4164">
        <f t="shared" si="130"/>
        <v>0</v>
      </c>
      <c r="J4164" t="str">
        <f t="shared" si="131"/>
        <v>Complete</v>
      </c>
      <c r="K4164">
        <f>COUNTIFS(RawData[Item], B4164,RawData[Quantity],C4164,RawData[Price Per Unit],D4164,RawData[Total Spent],E4164,RawData[Payment Method],F4164,RawData[Location],G4164,RawData[Transaction Date],H4164)</f>
        <v>1</v>
      </c>
      <c r="L4164"/>
    </row>
    <row r="4165" spans="1:12" x14ac:dyDescent="0.3">
      <c r="A4165" t="s">
        <v>4171</v>
      </c>
      <c r="B4165" t="s">
        <v>10017</v>
      </c>
      <c r="C4165">
        <v>1</v>
      </c>
      <c r="D4165">
        <v>1.5</v>
      </c>
      <c r="E4165">
        <v>1.5</v>
      </c>
      <c r="F4165" t="s">
        <v>10019</v>
      </c>
      <c r="G4165" t="s">
        <v>10069</v>
      </c>
      <c r="H4165" s="6">
        <v>45289</v>
      </c>
      <c r="I4165">
        <f t="shared" si="130"/>
        <v>0</v>
      </c>
      <c r="J4165" t="str">
        <f t="shared" si="131"/>
        <v>Complete</v>
      </c>
      <c r="K4165">
        <f>COUNTIFS(RawData[Item], B4165,RawData[Quantity],C4165,RawData[Price Per Unit],D4165,RawData[Total Spent],E4165,RawData[Payment Method],F4165,RawData[Location],G4165,RawData[Transaction Date],H4165)</f>
        <v>1</v>
      </c>
      <c r="L4165"/>
    </row>
    <row r="4166" spans="1:12" x14ac:dyDescent="0.3">
      <c r="A4166" t="s">
        <v>4172</v>
      </c>
      <c r="B4166" t="s">
        <v>10011</v>
      </c>
      <c r="C4166">
        <v>2</v>
      </c>
      <c r="D4166">
        <v>5</v>
      </c>
      <c r="E4166">
        <v>10</v>
      </c>
      <c r="F4166" t="s">
        <v>10018</v>
      </c>
      <c r="G4166" t="s">
        <v>10069</v>
      </c>
      <c r="H4166" s="6">
        <v>45054</v>
      </c>
      <c r="I4166">
        <f t="shared" si="130"/>
        <v>0</v>
      </c>
      <c r="J4166" t="str">
        <f t="shared" si="131"/>
        <v>Complete</v>
      </c>
      <c r="K4166">
        <f>COUNTIFS(RawData[Item], B4166,RawData[Quantity],C4166,RawData[Price Per Unit],D4166,RawData[Total Spent],E4166,RawData[Payment Method],F4166,RawData[Location],G4166,RawData[Transaction Date],H4166)</f>
        <v>1</v>
      </c>
      <c r="L4166"/>
    </row>
    <row r="4167" spans="1:12" x14ac:dyDescent="0.3">
      <c r="A4167" t="s">
        <v>4173</v>
      </c>
      <c r="B4167" t="s">
        <v>10011</v>
      </c>
      <c r="C4167">
        <v>2</v>
      </c>
      <c r="D4167">
        <v>5</v>
      </c>
      <c r="E4167">
        <v>10</v>
      </c>
      <c r="F4167" t="s">
        <v>10018</v>
      </c>
      <c r="G4167" t="s">
        <v>10102</v>
      </c>
      <c r="H4167" s="6">
        <v>45098</v>
      </c>
      <c r="I4167">
        <f t="shared" si="130"/>
        <v>0</v>
      </c>
      <c r="J4167" t="str">
        <f t="shared" si="131"/>
        <v>Complete</v>
      </c>
      <c r="K4167">
        <f>COUNTIFS(RawData[Item], B4167,RawData[Quantity],C4167,RawData[Price Per Unit],D4167,RawData[Total Spent],E4167,RawData[Payment Method],F4167,RawData[Location],G4167,RawData[Transaction Date],H4167)</f>
        <v>1</v>
      </c>
      <c r="L4167"/>
    </row>
    <row r="4168" spans="1:12" x14ac:dyDescent="0.3">
      <c r="A4168" t="s">
        <v>4174</v>
      </c>
      <c r="B4168" t="s">
        <v>10011</v>
      </c>
      <c r="C4168">
        <v>4</v>
      </c>
      <c r="D4168">
        <v>5</v>
      </c>
      <c r="E4168">
        <v>20</v>
      </c>
      <c r="F4168" t="s">
        <v>10019</v>
      </c>
      <c r="G4168" t="s">
        <v>10102</v>
      </c>
      <c r="H4168" s="6">
        <v>45075</v>
      </c>
      <c r="I4168">
        <f t="shared" si="130"/>
        <v>0</v>
      </c>
      <c r="J4168" t="str">
        <f t="shared" si="131"/>
        <v>Complete</v>
      </c>
      <c r="K4168">
        <f>COUNTIFS(RawData[Item], B4168,RawData[Quantity],C4168,RawData[Price Per Unit],D4168,RawData[Total Spent],E4168,RawData[Payment Method],F4168,RawData[Location],G4168,RawData[Transaction Date],H4168)</f>
        <v>1</v>
      </c>
      <c r="L4168"/>
    </row>
    <row r="4169" spans="1:12" x14ac:dyDescent="0.3">
      <c r="A4169" t="s">
        <v>4175</v>
      </c>
      <c r="B4169" t="s">
        <v>10010</v>
      </c>
      <c r="C4169">
        <v>2</v>
      </c>
      <c r="D4169">
        <v>1</v>
      </c>
      <c r="E4169">
        <v>2</v>
      </c>
      <c r="F4169" t="s">
        <v>10019</v>
      </c>
      <c r="G4169" t="s">
        <v>10069</v>
      </c>
      <c r="H4169" s="6">
        <v>45173</v>
      </c>
      <c r="I4169">
        <f t="shared" si="130"/>
        <v>0</v>
      </c>
      <c r="J4169" t="str">
        <f t="shared" si="131"/>
        <v>Complete</v>
      </c>
      <c r="K4169">
        <f>COUNTIFS(RawData[Item], B4169,RawData[Quantity],C4169,RawData[Price Per Unit],D4169,RawData[Total Spent],E4169,RawData[Payment Method],F4169,RawData[Location],G4169,RawData[Transaction Date],H4169)</f>
        <v>1</v>
      </c>
      <c r="L4169"/>
    </row>
    <row r="4170" spans="1:12" x14ac:dyDescent="0.3">
      <c r="A4170" t="s">
        <v>4176</v>
      </c>
      <c r="B4170" t="s">
        <v>10009</v>
      </c>
      <c r="C4170">
        <v>1</v>
      </c>
      <c r="D4170">
        <v>3</v>
      </c>
      <c r="E4170">
        <v>3</v>
      </c>
      <c r="F4170" t="s">
        <v>10018</v>
      </c>
      <c r="G4170" t="s">
        <v>10021</v>
      </c>
      <c r="H4170" s="6">
        <v>45070</v>
      </c>
      <c r="I4170">
        <f t="shared" si="130"/>
        <v>0</v>
      </c>
      <c r="J4170" t="str">
        <f t="shared" si="131"/>
        <v>Complete</v>
      </c>
      <c r="K4170">
        <f>COUNTIFS(RawData[Item], B4170,RawData[Quantity],C4170,RawData[Price Per Unit],D4170,RawData[Total Spent],E4170,RawData[Payment Method],F4170,RawData[Location],G4170,RawData[Transaction Date],H4170)</f>
        <v>1</v>
      </c>
      <c r="L4170"/>
    </row>
    <row r="4171" spans="1:12" x14ac:dyDescent="0.3">
      <c r="A4171" t="s">
        <v>4177</v>
      </c>
      <c r="B4171" t="s">
        <v>10016</v>
      </c>
      <c r="C4171">
        <v>3</v>
      </c>
      <c r="D4171">
        <v>3</v>
      </c>
      <c r="E4171">
        <v>9</v>
      </c>
      <c r="F4171" t="s">
        <v>10069</v>
      </c>
      <c r="G4171" t="s">
        <v>10021</v>
      </c>
      <c r="H4171" s="6">
        <v>45057</v>
      </c>
      <c r="I4171">
        <f t="shared" si="130"/>
        <v>0</v>
      </c>
      <c r="J4171" t="str">
        <f t="shared" si="131"/>
        <v>Complete</v>
      </c>
      <c r="K4171">
        <f>COUNTIFS(RawData[Item], B4171,RawData[Quantity],C4171,RawData[Price Per Unit],D4171,RawData[Total Spent],E4171,RawData[Payment Method],F4171,RawData[Location],G4171,RawData[Transaction Date],H4171)</f>
        <v>1</v>
      </c>
      <c r="L4171"/>
    </row>
    <row r="4172" spans="1:12" x14ac:dyDescent="0.3">
      <c r="A4172" t="s">
        <v>4178</v>
      </c>
      <c r="B4172" t="s">
        <v>10016</v>
      </c>
      <c r="C4172">
        <v>4</v>
      </c>
      <c r="D4172">
        <v>0</v>
      </c>
      <c r="E4172">
        <v>12</v>
      </c>
      <c r="F4172" t="s">
        <v>10018</v>
      </c>
      <c r="G4172" t="s">
        <v>10069</v>
      </c>
      <c r="H4172" s="6">
        <v>45117</v>
      </c>
      <c r="I4172">
        <f t="shared" si="130"/>
        <v>0</v>
      </c>
      <c r="J4172" t="str">
        <f t="shared" si="131"/>
        <v>Complete</v>
      </c>
      <c r="K4172">
        <f>COUNTIFS(RawData[Item], B4172,RawData[Quantity],C4172,RawData[Price Per Unit],D4172,RawData[Total Spent],E4172,RawData[Payment Method],F4172,RawData[Location],G4172,RawData[Transaction Date],H4172)</f>
        <v>1</v>
      </c>
      <c r="L4172"/>
    </row>
    <row r="4173" spans="1:12" x14ac:dyDescent="0.3">
      <c r="A4173" t="s">
        <v>4179</v>
      </c>
      <c r="B4173" t="s">
        <v>10011</v>
      </c>
      <c r="C4173">
        <v>3</v>
      </c>
      <c r="D4173">
        <v>5</v>
      </c>
      <c r="E4173">
        <v>15</v>
      </c>
      <c r="F4173" t="s">
        <v>10019</v>
      </c>
      <c r="G4173" t="s">
        <v>10104</v>
      </c>
      <c r="H4173" s="6">
        <v>45093</v>
      </c>
      <c r="I4173">
        <f t="shared" si="130"/>
        <v>1</v>
      </c>
      <c r="J4173" t="str">
        <f t="shared" si="131"/>
        <v>Complete</v>
      </c>
      <c r="K4173">
        <f>COUNTIFS(RawData[Item], B4173,RawData[Quantity],C4173,RawData[Price Per Unit],D4173,RawData[Total Spent],E4173,RawData[Payment Method],F4173,RawData[Location],G4173,RawData[Transaction Date],H4173)</f>
        <v>1</v>
      </c>
      <c r="L4173"/>
    </row>
    <row r="4174" spans="1:12" x14ac:dyDescent="0.3">
      <c r="A4174" t="s">
        <v>4180</v>
      </c>
      <c r="B4174" t="s">
        <v>10017</v>
      </c>
      <c r="C4174" t="s">
        <v>10013</v>
      </c>
      <c r="D4174">
        <v>1.5</v>
      </c>
      <c r="E4174">
        <v>1.5</v>
      </c>
      <c r="F4174" t="s">
        <v>10069</v>
      </c>
      <c r="G4174" t="s">
        <v>10069</v>
      </c>
      <c r="H4174" s="6">
        <v>45093</v>
      </c>
      <c r="I4174">
        <f t="shared" si="130"/>
        <v>1</v>
      </c>
      <c r="J4174" t="str">
        <f t="shared" si="131"/>
        <v>Complete</v>
      </c>
      <c r="K4174">
        <f>COUNTIFS(RawData[Item], B4174,RawData[Quantity],C4174,RawData[Price Per Unit],D4174,RawData[Total Spent],E4174,RawData[Payment Method],F4174,RawData[Location],G4174,RawData[Transaction Date],H4174)</f>
        <v>1</v>
      </c>
      <c r="L4174"/>
    </row>
    <row r="4175" spans="1:12" x14ac:dyDescent="0.3">
      <c r="A4175" t="s">
        <v>4181</v>
      </c>
      <c r="B4175" t="s">
        <v>10009</v>
      </c>
      <c r="C4175">
        <v>5</v>
      </c>
      <c r="D4175">
        <v>3</v>
      </c>
      <c r="E4175">
        <v>15</v>
      </c>
      <c r="F4175" t="s">
        <v>10020</v>
      </c>
      <c r="G4175" t="s">
        <v>10102</v>
      </c>
      <c r="H4175" s="6">
        <v>45068</v>
      </c>
      <c r="I4175">
        <f t="shared" si="130"/>
        <v>0</v>
      </c>
      <c r="J4175" t="str">
        <f t="shared" si="131"/>
        <v>Complete</v>
      </c>
      <c r="K4175">
        <f>COUNTIFS(RawData[Item], B4175,RawData[Quantity],C4175,RawData[Price Per Unit],D4175,RawData[Total Spent],E4175,RawData[Payment Method],F4175,RawData[Location],G4175,RawData[Transaction Date],H4175)</f>
        <v>1</v>
      </c>
      <c r="L4175"/>
    </row>
    <row r="4176" spans="1:12" x14ac:dyDescent="0.3">
      <c r="A4176" t="s">
        <v>4182</v>
      </c>
      <c r="B4176" t="s">
        <v>10014</v>
      </c>
      <c r="C4176">
        <v>5</v>
      </c>
      <c r="D4176">
        <v>4</v>
      </c>
      <c r="E4176">
        <v>20</v>
      </c>
      <c r="F4176" t="s">
        <v>10069</v>
      </c>
      <c r="G4176" t="s">
        <v>10069</v>
      </c>
      <c r="H4176" s="6">
        <v>45246</v>
      </c>
      <c r="I4176">
        <f t="shared" si="130"/>
        <v>0</v>
      </c>
      <c r="J4176" t="str">
        <f t="shared" si="131"/>
        <v>Complete</v>
      </c>
      <c r="K4176">
        <f>COUNTIFS(RawData[Item], B4176,RawData[Quantity],C4176,RawData[Price Per Unit],D4176,RawData[Total Spent],E4176,RawData[Payment Method],F4176,RawData[Location],G4176,RawData[Transaction Date],H4176)</f>
        <v>1</v>
      </c>
      <c r="L4176"/>
    </row>
    <row r="4177" spans="1:12" x14ac:dyDescent="0.3">
      <c r="A4177" t="s">
        <v>4183</v>
      </c>
      <c r="B4177" t="s">
        <v>10014</v>
      </c>
      <c r="C4177">
        <v>5</v>
      </c>
      <c r="D4177">
        <v>4</v>
      </c>
      <c r="E4177">
        <v>20</v>
      </c>
      <c r="F4177" t="s">
        <v>10020</v>
      </c>
      <c r="G4177" t="s">
        <v>10102</v>
      </c>
      <c r="H4177" s="6">
        <v>44969</v>
      </c>
      <c r="I4177">
        <f t="shared" si="130"/>
        <v>0</v>
      </c>
      <c r="J4177" t="str">
        <f t="shared" si="131"/>
        <v>Complete</v>
      </c>
      <c r="K4177">
        <f>COUNTIFS(RawData[Item], B4177,RawData[Quantity],C4177,RawData[Price Per Unit],D4177,RawData[Total Spent],E4177,RawData[Payment Method],F4177,RawData[Location],G4177,RawData[Transaction Date],H4177)</f>
        <v>2</v>
      </c>
      <c r="L4177"/>
    </row>
    <row r="4178" spans="1:12" x14ac:dyDescent="0.3">
      <c r="A4178" t="s">
        <v>4184</v>
      </c>
      <c r="B4178" t="s">
        <v>10016</v>
      </c>
      <c r="C4178">
        <v>2</v>
      </c>
      <c r="D4178">
        <v>3</v>
      </c>
      <c r="E4178">
        <v>6</v>
      </c>
      <c r="F4178" t="s">
        <v>10020</v>
      </c>
      <c r="G4178" t="s">
        <v>10021</v>
      </c>
      <c r="H4178" s="6">
        <v>45082</v>
      </c>
      <c r="I4178">
        <f t="shared" si="130"/>
        <v>0</v>
      </c>
      <c r="J4178" t="str">
        <f t="shared" si="131"/>
        <v>Complete</v>
      </c>
      <c r="K4178">
        <f>COUNTIFS(RawData[Item], B4178,RawData[Quantity],C4178,RawData[Price Per Unit],D4178,RawData[Total Spent],E4178,RawData[Payment Method],F4178,RawData[Location],G4178,RawData[Transaction Date],H4178)</f>
        <v>1</v>
      </c>
      <c r="L4178"/>
    </row>
    <row r="4179" spans="1:12" x14ac:dyDescent="0.3">
      <c r="A4179" t="s">
        <v>4185</v>
      </c>
      <c r="B4179" t="s">
        <v>10014</v>
      </c>
      <c r="C4179">
        <v>4</v>
      </c>
      <c r="D4179">
        <v>4</v>
      </c>
      <c r="E4179">
        <v>16</v>
      </c>
      <c r="F4179" t="s">
        <v>10020</v>
      </c>
      <c r="G4179" t="s">
        <v>10069</v>
      </c>
      <c r="H4179" s="6">
        <v>45022</v>
      </c>
      <c r="I4179">
        <f t="shared" si="130"/>
        <v>0</v>
      </c>
      <c r="J4179" t="str">
        <f t="shared" si="131"/>
        <v>Complete</v>
      </c>
      <c r="K4179">
        <f>COUNTIFS(RawData[Item], B4179,RawData[Quantity],C4179,RawData[Price Per Unit],D4179,RawData[Total Spent],E4179,RawData[Payment Method],F4179,RawData[Location],G4179,RawData[Transaction Date],H4179)</f>
        <v>1</v>
      </c>
      <c r="L4179"/>
    </row>
    <row r="4180" spans="1:12" x14ac:dyDescent="0.3">
      <c r="A4180" t="s">
        <v>4186</v>
      </c>
      <c r="B4180" t="s">
        <v>10010</v>
      </c>
      <c r="C4180">
        <v>5</v>
      </c>
      <c r="D4180">
        <v>1</v>
      </c>
      <c r="E4180">
        <v>5</v>
      </c>
      <c r="F4180" t="s">
        <v>10069</v>
      </c>
      <c r="G4180" t="s">
        <v>10021</v>
      </c>
      <c r="H4180" s="6">
        <v>45081</v>
      </c>
      <c r="I4180">
        <f t="shared" si="130"/>
        <v>0</v>
      </c>
      <c r="J4180" t="str">
        <f t="shared" si="131"/>
        <v>Complete</v>
      </c>
      <c r="K4180">
        <f>COUNTIFS(RawData[Item], B4180,RawData[Quantity],C4180,RawData[Price Per Unit],D4180,RawData[Total Spent],E4180,RawData[Payment Method],F4180,RawData[Location],G4180,RawData[Transaction Date],H4180)</f>
        <v>1</v>
      </c>
      <c r="L4180"/>
    </row>
    <row r="4181" spans="1:12" x14ac:dyDescent="0.3">
      <c r="A4181" t="s">
        <v>4187</v>
      </c>
      <c r="B4181" t="s">
        <v>10017</v>
      </c>
      <c r="C4181">
        <v>5</v>
      </c>
      <c r="D4181">
        <v>1.5</v>
      </c>
      <c r="E4181">
        <v>7.5</v>
      </c>
      <c r="F4181" t="s">
        <v>10069</v>
      </c>
      <c r="G4181" t="s">
        <v>10102</v>
      </c>
      <c r="H4181" s="6">
        <v>44992</v>
      </c>
      <c r="I4181">
        <f t="shared" si="130"/>
        <v>0</v>
      </c>
      <c r="J4181" t="str">
        <f t="shared" si="131"/>
        <v>Complete</v>
      </c>
      <c r="K4181">
        <f>COUNTIFS(RawData[Item], B4181,RawData[Quantity],C4181,RawData[Price Per Unit],D4181,RawData[Total Spent],E4181,RawData[Payment Method],F4181,RawData[Location],G4181,RawData[Transaction Date],H4181)</f>
        <v>1</v>
      </c>
      <c r="L4181"/>
    </row>
    <row r="4182" spans="1:12" x14ac:dyDescent="0.3">
      <c r="A4182" t="s">
        <v>4188</v>
      </c>
      <c r="B4182" t="s">
        <v>10012</v>
      </c>
      <c r="C4182">
        <v>4</v>
      </c>
      <c r="D4182">
        <v>4</v>
      </c>
      <c r="E4182">
        <v>16</v>
      </c>
      <c r="F4182" t="s">
        <v>10069</v>
      </c>
      <c r="G4182" t="s">
        <v>10021</v>
      </c>
      <c r="H4182" s="6">
        <v>45093</v>
      </c>
      <c r="I4182">
        <f t="shared" si="130"/>
        <v>0</v>
      </c>
      <c r="J4182" t="str">
        <f t="shared" si="131"/>
        <v>Complete</v>
      </c>
      <c r="K4182">
        <f>COUNTIFS(RawData[Item], B4182,RawData[Quantity],C4182,RawData[Price Per Unit],D4182,RawData[Total Spent],E4182,RawData[Payment Method],F4182,RawData[Location],G4182,RawData[Transaction Date],H4182)</f>
        <v>1</v>
      </c>
      <c r="L4182"/>
    </row>
    <row r="4183" spans="1:12" x14ac:dyDescent="0.3">
      <c r="A4183" t="s">
        <v>4189</v>
      </c>
      <c r="B4183" t="s">
        <v>10017</v>
      </c>
      <c r="C4183">
        <v>3</v>
      </c>
      <c r="D4183">
        <v>1.5</v>
      </c>
      <c r="E4183">
        <v>4.5</v>
      </c>
      <c r="F4183" t="s">
        <v>10018</v>
      </c>
      <c r="G4183" t="s">
        <v>10102</v>
      </c>
      <c r="H4183" s="6">
        <v>44979</v>
      </c>
      <c r="I4183">
        <f t="shared" si="130"/>
        <v>0</v>
      </c>
      <c r="J4183" t="str">
        <f t="shared" si="131"/>
        <v>Complete</v>
      </c>
      <c r="K4183">
        <f>COUNTIFS(RawData[Item], B4183,RawData[Quantity],C4183,RawData[Price Per Unit],D4183,RawData[Total Spent],E4183,RawData[Payment Method],F4183,RawData[Location],G4183,RawData[Transaction Date],H4183)</f>
        <v>1</v>
      </c>
      <c r="L4183"/>
    </row>
    <row r="4184" spans="1:12" x14ac:dyDescent="0.3">
      <c r="A4184" t="s">
        <v>4190</v>
      </c>
      <c r="B4184" t="s">
        <v>10012</v>
      </c>
      <c r="C4184">
        <v>3</v>
      </c>
      <c r="D4184">
        <v>4</v>
      </c>
      <c r="E4184">
        <v>12</v>
      </c>
      <c r="F4184" t="s">
        <v>10019</v>
      </c>
      <c r="G4184" t="s">
        <v>10021</v>
      </c>
      <c r="H4184" s="6">
        <v>45249</v>
      </c>
      <c r="I4184">
        <f t="shared" si="130"/>
        <v>0</v>
      </c>
      <c r="J4184" t="str">
        <f t="shared" si="131"/>
        <v>Complete</v>
      </c>
      <c r="K4184">
        <f>COUNTIFS(RawData[Item], B4184,RawData[Quantity],C4184,RawData[Price Per Unit],D4184,RawData[Total Spent],E4184,RawData[Payment Method],F4184,RawData[Location],G4184,RawData[Transaction Date],H4184)</f>
        <v>1</v>
      </c>
      <c r="L4184"/>
    </row>
    <row r="4185" spans="1:12" x14ac:dyDescent="0.3">
      <c r="A4185" t="s">
        <v>4191</v>
      </c>
      <c r="B4185" t="s">
        <v>10008</v>
      </c>
      <c r="C4185">
        <v>2</v>
      </c>
      <c r="D4185">
        <v>2</v>
      </c>
      <c r="E4185">
        <v>4</v>
      </c>
      <c r="F4185" t="s">
        <v>10019</v>
      </c>
      <c r="G4185" t="s">
        <v>10102</v>
      </c>
      <c r="H4185" s="6">
        <v>45226</v>
      </c>
      <c r="I4185">
        <f t="shared" si="130"/>
        <v>0</v>
      </c>
      <c r="J4185" t="str">
        <f t="shared" si="131"/>
        <v>Complete</v>
      </c>
      <c r="K4185">
        <f>COUNTIFS(RawData[Item], B4185,RawData[Quantity],C4185,RawData[Price Per Unit],D4185,RawData[Total Spent],E4185,RawData[Payment Method],F4185,RawData[Location],G4185,RawData[Transaction Date],H4185)</f>
        <v>1</v>
      </c>
      <c r="L4185"/>
    </row>
    <row r="4186" spans="1:12" x14ac:dyDescent="0.3">
      <c r="A4186" t="s">
        <v>4192</v>
      </c>
      <c r="B4186" t="s">
        <v>10009</v>
      </c>
      <c r="C4186">
        <v>1</v>
      </c>
      <c r="D4186">
        <v>3</v>
      </c>
      <c r="E4186">
        <v>3</v>
      </c>
      <c r="F4186" t="s">
        <v>10020</v>
      </c>
      <c r="G4186" t="s">
        <v>10102</v>
      </c>
      <c r="H4186" s="6">
        <v>45126</v>
      </c>
      <c r="I4186">
        <f t="shared" si="130"/>
        <v>0</v>
      </c>
      <c r="J4186" t="str">
        <f t="shared" si="131"/>
        <v>Complete</v>
      </c>
      <c r="K4186">
        <f>COUNTIFS(RawData[Item], B4186,RawData[Quantity],C4186,RawData[Price Per Unit],D4186,RawData[Total Spent],E4186,RawData[Payment Method],F4186,RawData[Location],G4186,RawData[Transaction Date],H4186)</f>
        <v>1</v>
      </c>
      <c r="L4186"/>
    </row>
    <row r="4187" spans="1:12" x14ac:dyDescent="0.3">
      <c r="A4187" t="s">
        <v>4193</v>
      </c>
      <c r="B4187" t="s">
        <v>10010</v>
      </c>
      <c r="C4187">
        <v>3</v>
      </c>
      <c r="D4187">
        <v>1</v>
      </c>
      <c r="E4187">
        <v>3</v>
      </c>
      <c r="F4187" t="s">
        <v>10019</v>
      </c>
      <c r="G4187" t="s">
        <v>10102</v>
      </c>
      <c r="H4187" s="6">
        <v>45036</v>
      </c>
      <c r="I4187">
        <f t="shared" si="130"/>
        <v>0</v>
      </c>
      <c r="J4187" t="str">
        <f t="shared" si="131"/>
        <v>Complete</v>
      </c>
      <c r="K4187">
        <f>COUNTIFS(RawData[Item], B4187,RawData[Quantity],C4187,RawData[Price Per Unit],D4187,RawData[Total Spent],E4187,RawData[Payment Method],F4187,RawData[Location],G4187,RawData[Transaction Date],H4187)</f>
        <v>1</v>
      </c>
      <c r="L4187"/>
    </row>
    <row r="4188" spans="1:12" x14ac:dyDescent="0.3">
      <c r="A4188" t="s">
        <v>4194</v>
      </c>
      <c r="B4188" t="s">
        <v>10009</v>
      </c>
      <c r="C4188">
        <v>3</v>
      </c>
      <c r="D4188">
        <v>3</v>
      </c>
      <c r="E4188">
        <v>9</v>
      </c>
      <c r="F4188" t="s">
        <v>10019</v>
      </c>
      <c r="G4188" t="s">
        <v>10103</v>
      </c>
      <c r="H4188" s="6">
        <v>44998</v>
      </c>
      <c r="I4188">
        <f t="shared" si="130"/>
        <v>1</v>
      </c>
      <c r="J4188" t="str">
        <f t="shared" si="131"/>
        <v>Complete</v>
      </c>
      <c r="K4188">
        <f>COUNTIFS(RawData[Item], B4188,RawData[Quantity],C4188,RawData[Price Per Unit],D4188,RawData[Total Spent],E4188,RawData[Payment Method],F4188,RawData[Location],G4188,RawData[Transaction Date],H4188)</f>
        <v>1</v>
      </c>
      <c r="L4188"/>
    </row>
    <row r="4189" spans="1:12" x14ac:dyDescent="0.3">
      <c r="A4189" t="s">
        <v>4195</v>
      </c>
      <c r="B4189" t="s">
        <v>10014</v>
      </c>
      <c r="C4189">
        <v>1</v>
      </c>
      <c r="D4189">
        <v>4</v>
      </c>
      <c r="E4189">
        <v>4</v>
      </c>
      <c r="F4189" t="s">
        <v>10020</v>
      </c>
      <c r="G4189" t="s">
        <v>10102</v>
      </c>
      <c r="H4189" s="6">
        <v>45115</v>
      </c>
      <c r="I4189">
        <f t="shared" si="130"/>
        <v>0</v>
      </c>
      <c r="J4189" t="str">
        <f t="shared" si="131"/>
        <v>Complete</v>
      </c>
      <c r="K4189">
        <f>COUNTIFS(RawData[Item], B4189,RawData[Quantity],C4189,RawData[Price Per Unit],D4189,RawData[Total Spent],E4189,RawData[Payment Method],F4189,RawData[Location],G4189,RawData[Transaction Date],H4189)</f>
        <v>1</v>
      </c>
      <c r="L4189"/>
    </row>
    <row r="4190" spans="1:12" x14ac:dyDescent="0.3">
      <c r="A4190" t="s">
        <v>4196</v>
      </c>
      <c r="B4190" t="s">
        <v>10010</v>
      </c>
      <c r="C4190">
        <v>0</v>
      </c>
      <c r="D4190">
        <v>1</v>
      </c>
      <c r="E4190">
        <v>3</v>
      </c>
      <c r="F4190" t="s">
        <v>10069</v>
      </c>
      <c r="G4190" t="s">
        <v>10102</v>
      </c>
      <c r="H4190" s="6">
        <v>45094</v>
      </c>
      <c r="I4190">
        <f t="shared" si="130"/>
        <v>0</v>
      </c>
      <c r="J4190" t="str">
        <f t="shared" si="131"/>
        <v>Complete</v>
      </c>
      <c r="K4190">
        <f>COUNTIFS(RawData[Item], B4190,RawData[Quantity],C4190,RawData[Price Per Unit],D4190,RawData[Total Spent],E4190,RawData[Payment Method],F4190,RawData[Location],G4190,RawData[Transaction Date],H4190)</f>
        <v>1</v>
      </c>
      <c r="L4190"/>
    </row>
    <row r="4191" spans="1:12" x14ac:dyDescent="0.3">
      <c r="A4191" t="s">
        <v>4197</v>
      </c>
      <c r="B4191" t="s">
        <v>10009</v>
      </c>
      <c r="C4191">
        <v>2</v>
      </c>
      <c r="D4191">
        <v>3</v>
      </c>
      <c r="E4191">
        <v>6</v>
      </c>
      <c r="F4191" t="s">
        <v>10020</v>
      </c>
      <c r="G4191" t="s">
        <v>10102</v>
      </c>
      <c r="H4191" s="6">
        <v>45127</v>
      </c>
      <c r="I4191">
        <f t="shared" si="130"/>
        <v>0</v>
      </c>
      <c r="J4191" t="str">
        <f t="shared" si="131"/>
        <v>Complete</v>
      </c>
      <c r="K4191">
        <f>COUNTIFS(RawData[Item], B4191,RawData[Quantity],C4191,RawData[Price Per Unit],D4191,RawData[Total Spent],E4191,RawData[Payment Method],F4191,RawData[Location],G4191,RawData[Transaction Date],H4191)</f>
        <v>1</v>
      </c>
      <c r="L4191"/>
    </row>
    <row r="4192" spans="1:12" x14ac:dyDescent="0.3">
      <c r="A4192" t="s">
        <v>4198</v>
      </c>
      <c r="B4192" t="s">
        <v>10011</v>
      </c>
      <c r="C4192">
        <v>3</v>
      </c>
      <c r="D4192">
        <v>5</v>
      </c>
      <c r="E4192">
        <v>15</v>
      </c>
      <c r="F4192" t="s">
        <v>10069</v>
      </c>
      <c r="G4192" t="s">
        <v>10069</v>
      </c>
      <c r="H4192" s="6">
        <v>45193</v>
      </c>
      <c r="I4192">
        <f t="shared" si="130"/>
        <v>0</v>
      </c>
      <c r="J4192" t="str">
        <f t="shared" si="131"/>
        <v>Complete</v>
      </c>
      <c r="K4192">
        <f>COUNTIFS(RawData[Item], B4192,RawData[Quantity],C4192,RawData[Price Per Unit],D4192,RawData[Total Spent],E4192,RawData[Payment Method],F4192,RawData[Location],G4192,RawData[Transaction Date],H4192)</f>
        <v>1</v>
      </c>
      <c r="L4192"/>
    </row>
    <row r="4193" spans="1:12" x14ac:dyDescent="0.3">
      <c r="A4193" t="s">
        <v>4199</v>
      </c>
      <c r="B4193" t="s">
        <v>10017</v>
      </c>
      <c r="C4193">
        <v>1</v>
      </c>
      <c r="D4193">
        <v>1.5</v>
      </c>
      <c r="E4193">
        <v>1.5</v>
      </c>
      <c r="F4193" t="s">
        <v>10018</v>
      </c>
      <c r="G4193" t="s">
        <v>10021</v>
      </c>
      <c r="H4193" s="6">
        <v>45267</v>
      </c>
      <c r="I4193">
        <f t="shared" si="130"/>
        <v>0</v>
      </c>
      <c r="J4193" t="str">
        <f t="shared" si="131"/>
        <v>Complete</v>
      </c>
      <c r="K4193">
        <f>COUNTIFS(RawData[Item], B4193,RawData[Quantity],C4193,RawData[Price Per Unit],D4193,RawData[Total Spent],E4193,RawData[Payment Method],F4193,RawData[Location],G4193,RawData[Transaction Date],H4193)</f>
        <v>1</v>
      </c>
      <c r="L4193"/>
    </row>
    <row r="4194" spans="1:12" x14ac:dyDescent="0.3">
      <c r="A4194" t="s">
        <v>4200</v>
      </c>
      <c r="B4194" t="s">
        <v>10008</v>
      </c>
      <c r="C4194">
        <v>2</v>
      </c>
      <c r="D4194">
        <v>2</v>
      </c>
      <c r="E4194">
        <v>4</v>
      </c>
      <c r="F4194" t="s">
        <v>10069</v>
      </c>
      <c r="G4194" t="s">
        <v>10021</v>
      </c>
      <c r="H4194" s="6">
        <v>45021</v>
      </c>
      <c r="I4194">
        <f t="shared" si="130"/>
        <v>0</v>
      </c>
      <c r="J4194" t="str">
        <f t="shared" si="131"/>
        <v>Complete</v>
      </c>
      <c r="K4194">
        <f>COUNTIFS(RawData[Item], B4194,RawData[Quantity],C4194,RawData[Price Per Unit],D4194,RawData[Total Spent],E4194,RawData[Payment Method],F4194,RawData[Location],G4194,RawData[Transaction Date],H4194)</f>
        <v>1</v>
      </c>
      <c r="L4194"/>
    </row>
    <row r="4195" spans="1:12" x14ac:dyDescent="0.3">
      <c r="A4195" t="s">
        <v>4201</v>
      </c>
      <c r="B4195" t="s">
        <v>10012</v>
      </c>
      <c r="C4195">
        <v>4</v>
      </c>
      <c r="D4195" t="s">
        <v>10013</v>
      </c>
      <c r="E4195">
        <v>16</v>
      </c>
      <c r="F4195" t="s">
        <v>10018</v>
      </c>
      <c r="G4195" t="s">
        <v>10021</v>
      </c>
      <c r="H4195" s="6">
        <v>45291</v>
      </c>
      <c r="I4195">
        <f t="shared" si="130"/>
        <v>1</v>
      </c>
      <c r="J4195" t="str">
        <f t="shared" si="131"/>
        <v>Complete</v>
      </c>
      <c r="K4195">
        <f>COUNTIFS(RawData[Item], B4195,RawData[Quantity],C4195,RawData[Price Per Unit],D4195,RawData[Total Spent],E4195,RawData[Payment Method],F4195,RawData[Location],G4195,RawData[Transaction Date],H4195)</f>
        <v>1</v>
      </c>
      <c r="L4195"/>
    </row>
    <row r="4196" spans="1:12" x14ac:dyDescent="0.3">
      <c r="A4196" t="s">
        <v>4202</v>
      </c>
      <c r="B4196" t="s">
        <v>10012</v>
      </c>
      <c r="C4196">
        <v>1</v>
      </c>
      <c r="D4196">
        <v>4</v>
      </c>
      <c r="E4196">
        <v>4</v>
      </c>
      <c r="F4196" t="s">
        <v>10069</v>
      </c>
      <c r="G4196" t="s">
        <v>10021</v>
      </c>
      <c r="H4196" s="6">
        <v>45146</v>
      </c>
      <c r="I4196">
        <f t="shared" si="130"/>
        <v>0</v>
      </c>
      <c r="J4196" t="str">
        <f t="shared" si="131"/>
        <v>Complete</v>
      </c>
      <c r="K4196">
        <f>COUNTIFS(RawData[Item], B4196,RawData[Quantity],C4196,RawData[Price Per Unit],D4196,RawData[Total Spent],E4196,RawData[Payment Method],F4196,RawData[Location],G4196,RawData[Transaction Date],H4196)</f>
        <v>1</v>
      </c>
      <c r="L4196"/>
    </row>
    <row r="4197" spans="1:12" x14ac:dyDescent="0.3">
      <c r="A4197" t="s">
        <v>4203</v>
      </c>
      <c r="B4197" t="s">
        <v>10016</v>
      </c>
      <c r="C4197">
        <v>5</v>
      </c>
      <c r="D4197">
        <v>3</v>
      </c>
      <c r="E4197">
        <v>15</v>
      </c>
      <c r="F4197" t="s">
        <v>10018</v>
      </c>
      <c r="G4197" t="s">
        <v>10102</v>
      </c>
      <c r="H4197" s="6">
        <v>45052</v>
      </c>
      <c r="I4197">
        <f t="shared" si="130"/>
        <v>0</v>
      </c>
      <c r="J4197" t="str">
        <f t="shared" si="131"/>
        <v>Complete</v>
      </c>
      <c r="K4197">
        <f>COUNTIFS(RawData[Item], B4197,RawData[Quantity],C4197,RawData[Price Per Unit],D4197,RawData[Total Spent],E4197,RawData[Payment Method],F4197,RawData[Location],G4197,RawData[Transaction Date],H4197)</f>
        <v>1</v>
      </c>
      <c r="L4197"/>
    </row>
    <row r="4198" spans="1:12" x14ac:dyDescent="0.3">
      <c r="A4198" t="s">
        <v>4204</v>
      </c>
      <c r="B4198" t="s">
        <v>10010</v>
      </c>
      <c r="C4198">
        <v>3</v>
      </c>
      <c r="D4198">
        <v>1</v>
      </c>
      <c r="E4198">
        <v>3</v>
      </c>
      <c r="F4198" t="s">
        <v>10019</v>
      </c>
      <c r="G4198" t="s">
        <v>10021</v>
      </c>
      <c r="H4198" s="6">
        <v>45051</v>
      </c>
      <c r="I4198">
        <f t="shared" si="130"/>
        <v>0</v>
      </c>
      <c r="J4198" t="str">
        <f t="shared" si="131"/>
        <v>Complete</v>
      </c>
      <c r="K4198">
        <f>COUNTIFS(RawData[Item], B4198,RawData[Quantity],C4198,RawData[Price Per Unit],D4198,RawData[Total Spent],E4198,RawData[Payment Method],F4198,RawData[Location],G4198,RawData[Transaction Date],H4198)</f>
        <v>1</v>
      </c>
      <c r="L4198"/>
    </row>
    <row r="4199" spans="1:12" x14ac:dyDescent="0.3">
      <c r="A4199" t="s">
        <v>4205</v>
      </c>
      <c r="B4199" t="s">
        <v>10014</v>
      </c>
      <c r="C4199">
        <v>1</v>
      </c>
      <c r="D4199">
        <v>4</v>
      </c>
      <c r="E4199">
        <v>4</v>
      </c>
      <c r="F4199" t="s">
        <v>10019</v>
      </c>
      <c r="G4199" t="s">
        <v>10069</v>
      </c>
      <c r="H4199" s="6">
        <v>44977</v>
      </c>
      <c r="I4199">
        <f t="shared" si="130"/>
        <v>0</v>
      </c>
      <c r="J4199" t="str">
        <f t="shared" si="131"/>
        <v>Complete</v>
      </c>
      <c r="K4199">
        <f>COUNTIFS(RawData[Item], B4199,RawData[Quantity],C4199,RawData[Price Per Unit],D4199,RawData[Total Spent],E4199,RawData[Payment Method],F4199,RawData[Location],G4199,RawData[Transaction Date],H4199)</f>
        <v>1</v>
      </c>
      <c r="L4199"/>
    </row>
    <row r="4200" spans="1:12" x14ac:dyDescent="0.3">
      <c r="A4200" t="s">
        <v>4206</v>
      </c>
      <c r="B4200" t="s">
        <v>10008</v>
      </c>
      <c r="C4200">
        <v>5</v>
      </c>
      <c r="D4200">
        <v>2</v>
      </c>
      <c r="E4200">
        <v>10</v>
      </c>
      <c r="F4200" t="s">
        <v>10019</v>
      </c>
      <c r="G4200" t="s">
        <v>10021</v>
      </c>
      <c r="H4200" s="6">
        <v>45152</v>
      </c>
      <c r="I4200">
        <f t="shared" si="130"/>
        <v>0</v>
      </c>
      <c r="J4200" t="str">
        <f t="shared" si="131"/>
        <v>Complete</v>
      </c>
      <c r="K4200">
        <f>COUNTIFS(RawData[Item], B4200,RawData[Quantity],C4200,RawData[Price Per Unit],D4200,RawData[Total Spent],E4200,RawData[Payment Method],F4200,RawData[Location],G4200,RawData[Transaction Date],H4200)</f>
        <v>1</v>
      </c>
      <c r="L4200"/>
    </row>
    <row r="4201" spans="1:12" x14ac:dyDescent="0.3">
      <c r="A4201" t="s">
        <v>4207</v>
      </c>
      <c r="B4201" t="s">
        <v>10009</v>
      </c>
      <c r="C4201">
        <v>4</v>
      </c>
      <c r="D4201">
        <v>3</v>
      </c>
      <c r="E4201">
        <v>12</v>
      </c>
      <c r="F4201" t="s">
        <v>10018</v>
      </c>
      <c r="G4201" t="s">
        <v>10021</v>
      </c>
      <c r="H4201" s="6">
        <v>45179</v>
      </c>
      <c r="I4201">
        <f t="shared" si="130"/>
        <v>0</v>
      </c>
      <c r="J4201" t="str">
        <f t="shared" si="131"/>
        <v>Complete</v>
      </c>
      <c r="K4201">
        <f>COUNTIFS(RawData[Item], B4201,RawData[Quantity],C4201,RawData[Price Per Unit],D4201,RawData[Total Spent],E4201,RawData[Payment Method],F4201,RawData[Location],G4201,RawData[Transaction Date],H4201)</f>
        <v>1</v>
      </c>
      <c r="L4201"/>
    </row>
    <row r="4202" spans="1:12" x14ac:dyDescent="0.3">
      <c r="A4202" t="s">
        <v>4208</v>
      </c>
      <c r="B4202" t="s">
        <v>10017</v>
      </c>
      <c r="C4202">
        <v>1</v>
      </c>
      <c r="D4202">
        <v>1.5</v>
      </c>
      <c r="E4202">
        <v>1.5</v>
      </c>
      <c r="F4202" t="s">
        <v>10019</v>
      </c>
      <c r="G4202" t="s">
        <v>10102</v>
      </c>
      <c r="H4202" s="6">
        <v>45099</v>
      </c>
      <c r="I4202">
        <f t="shared" si="130"/>
        <v>0</v>
      </c>
      <c r="J4202" t="str">
        <f t="shared" si="131"/>
        <v>Complete</v>
      </c>
      <c r="K4202">
        <f>COUNTIFS(RawData[Item], B4202,RawData[Quantity],C4202,RawData[Price Per Unit],D4202,RawData[Total Spent],E4202,RawData[Payment Method],F4202,RawData[Location],G4202,RawData[Transaction Date],H4202)</f>
        <v>1</v>
      </c>
      <c r="L4202"/>
    </row>
    <row r="4203" spans="1:12" x14ac:dyDescent="0.3">
      <c r="A4203" t="s">
        <v>4209</v>
      </c>
      <c r="B4203" t="s">
        <v>10014</v>
      </c>
      <c r="C4203">
        <v>3</v>
      </c>
      <c r="D4203">
        <v>4</v>
      </c>
      <c r="E4203">
        <v>12</v>
      </c>
      <c r="F4203" t="s">
        <v>10018</v>
      </c>
      <c r="G4203" t="s">
        <v>10102</v>
      </c>
      <c r="H4203" s="6">
        <v>45045</v>
      </c>
      <c r="I4203">
        <f t="shared" si="130"/>
        <v>0</v>
      </c>
      <c r="J4203" t="str">
        <f t="shared" si="131"/>
        <v>Complete</v>
      </c>
      <c r="K4203">
        <f>COUNTIFS(RawData[Item], B4203,RawData[Quantity],C4203,RawData[Price Per Unit],D4203,RawData[Total Spent],E4203,RawData[Payment Method],F4203,RawData[Location],G4203,RawData[Transaction Date],H4203)</f>
        <v>1</v>
      </c>
      <c r="L4203"/>
    </row>
    <row r="4204" spans="1:12" x14ac:dyDescent="0.3">
      <c r="A4204" t="s">
        <v>4210</v>
      </c>
      <c r="B4204" t="s">
        <v>10012</v>
      </c>
      <c r="C4204">
        <v>5</v>
      </c>
      <c r="D4204">
        <v>4</v>
      </c>
      <c r="E4204">
        <v>20</v>
      </c>
      <c r="F4204" t="s">
        <v>10020</v>
      </c>
      <c r="G4204" t="s">
        <v>10021</v>
      </c>
      <c r="H4204" s="6">
        <v>45283</v>
      </c>
      <c r="I4204">
        <f t="shared" si="130"/>
        <v>0</v>
      </c>
      <c r="J4204" t="str">
        <f t="shared" si="131"/>
        <v>Complete</v>
      </c>
      <c r="K4204">
        <f>COUNTIFS(RawData[Item], B4204,RawData[Quantity],C4204,RawData[Price Per Unit],D4204,RawData[Total Spent],E4204,RawData[Payment Method],F4204,RawData[Location],G4204,RawData[Transaction Date],H4204)</f>
        <v>1</v>
      </c>
      <c r="L4204"/>
    </row>
    <row r="4205" spans="1:12" x14ac:dyDescent="0.3">
      <c r="A4205" t="s">
        <v>4211</v>
      </c>
      <c r="B4205" t="s">
        <v>10011</v>
      </c>
      <c r="C4205">
        <v>2</v>
      </c>
      <c r="D4205">
        <v>5</v>
      </c>
      <c r="E4205">
        <v>10</v>
      </c>
      <c r="F4205" t="s">
        <v>10069</v>
      </c>
      <c r="G4205" t="s">
        <v>10102</v>
      </c>
      <c r="H4205" s="6">
        <v>45127</v>
      </c>
      <c r="I4205">
        <f t="shared" si="130"/>
        <v>0</v>
      </c>
      <c r="J4205" t="str">
        <f t="shared" si="131"/>
        <v>Complete</v>
      </c>
      <c r="K4205">
        <f>COUNTIFS(RawData[Item], B4205,RawData[Quantity],C4205,RawData[Price Per Unit],D4205,RawData[Total Spent],E4205,RawData[Payment Method],F4205,RawData[Location],G4205,RawData[Transaction Date],H4205)</f>
        <v>1</v>
      </c>
      <c r="L4205"/>
    </row>
    <row r="4206" spans="1:12" x14ac:dyDescent="0.3">
      <c r="A4206" t="s">
        <v>4212</v>
      </c>
      <c r="B4206" t="s">
        <v>10010</v>
      </c>
      <c r="C4206">
        <v>2</v>
      </c>
      <c r="D4206">
        <v>1</v>
      </c>
      <c r="E4206">
        <v>2</v>
      </c>
      <c r="F4206" t="s">
        <v>10018</v>
      </c>
      <c r="G4206" t="s">
        <v>10102</v>
      </c>
      <c r="H4206" s="6">
        <v>45016</v>
      </c>
      <c r="I4206">
        <f t="shared" si="130"/>
        <v>0</v>
      </c>
      <c r="J4206" t="str">
        <f t="shared" si="131"/>
        <v>Complete</v>
      </c>
      <c r="K4206">
        <f>COUNTIFS(RawData[Item], B4206,RawData[Quantity],C4206,RawData[Price Per Unit],D4206,RawData[Total Spent],E4206,RawData[Payment Method],F4206,RawData[Location],G4206,RawData[Transaction Date],H4206)</f>
        <v>1</v>
      </c>
      <c r="L4206"/>
    </row>
    <row r="4207" spans="1:12" x14ac:dyDescent="0.3">
      <c r="A4207" t="s">
        <v>4213</v>
      </c>
      <c r="B4207" t="s">
        <v>10009</v>
      </c>
      <c r="C4207">
        <v>5</v>
      </c>
      <c r="D4207">
        <v>3</v>
      </c>
      <c r="E4207">
        <v>15</v>
      </c>
      <c r="F4207" t="s">
        <v>10018</v>
      </c>
      <c r="G4207" t="s">
        <v>10021</v>
      </c>
      <c r="H4207" s="6">
        <v>44973</v>
      </c>
      <c r="I4207">
        <f t="shared" si="130"/>
        <v>0</v>
      </c>
      <c r="J4207" t="str">
        <f t="shared" si="131"/>
        <v>Complete</v>
      </c>
      <c r="K4207">
        <f>COUNTIFS(RawData[Item], B4207,RawData[Quantity],C4207,RawData[Price Per Unit],D4207,RawData[Total Spent],E4207,RawData[Payment Method],F4207,RawData[Location],G4207,RawData[Transaction Date],H4207)</f>
        <v>1</v>
      </c>
      <c r="L4207"/>
    </row>
    <row r="4208" spans="1:12" x14ac:dyDescent="0.3">
      <c r="A4208" t="s">
        <v>4214</v>
      </c>
      <c r="B4208" t="s">
        <v>10009</v>
      </c>
      <c r="C4208">
        <v>4</v>
      </c>
      <c r="D4208">
        <v>3</v>
      </c>
      <c r="E4208">
        <v>12</v>
      </c>
      <c r="F4208" t="s">
        <v>10018</v>
      </c>
      <c r="G4208" t="s">
        <v>10104</v>
      </c>
      <c r="H4208" s="6">
        <v>45187</v>
      </c>
      <c r="I4208">
        <f t="shared" si="130"/>
        <v>1</v>
      </c>
      <c r="J4208" t="str">
        <f t="shared" si="131"/>
        <v>Complete</v>
      </c>
      <c r="K4208">
        <f>COUNTIFS(RawData[Item], B4208,RawData[Quantity],C4208,RawData[Price Per Unit],D4208,RawData[Total Spent],E4208,RawData[Payment Method],F4208,RawData[Location],G4208,RawData[Transaction Date],H4208)</f>
        <v>1</v>
      </c>
      <c r="L4208"/>
    </row>
    <row r="4209" spans="1:12" x14ac:dyDescent="0.3">
      <c r="A4209" t="s">
        <v>4215</v>
      </c>
      <c r="B4209" t="s">
        <v>10012</v>
      </c>
      <c r="C4209">
        <v>5</v>
      </c>
      <c r="D4209">
        <v>4</v>
      </c>
      <c r="E4209">
        <v>20</v>
      </c>
      <c r="F4209" t="s">
        <v>10069</v>
      </c>
      <c r="G4209" t="s">
        <v>10102</v>
      </c>
      <c r="H4209" s="6">
        <v>45095</v>
      </c>
      <c r="I4209">
        <f t="shared" si="130"/>
        <v>0</v>
      </c>
      <c r="J4209" t="str">
        <f t="shared" si="131"/>
        <v>Complete</v>
      </c>
      <c r="K4209">
        <f>COUNTIFS(RawData[Item], B4209,RawData[Quantity],C4209,RawData[Price Per Unit],D4209,RawData[Total Spent],E4209,RawData[Payment Method],F4209,RawData[Location],G4209,RawData[Transaction Date],H4209)</f>
        <v>1</v>
      </c>
      <c r="L4209"/>
    </row>
    <row r="4210" spans="1:12" x14ac:dyDescent="0.3">
      <c r="A4210" t="s">
        <v>4216</v>
      </c>
      <c r="B4210" t="s">
        <v>10011</v>
      </c>
      <c r="C4210">
        <v>1</v>
      </c>
      <c r="D4210">
        <v>5</v>
      </c>
      <c r="E4210">
        <v>5</v>
      </c>
      <c r="F4210" t="s">
        <v>10019</v>
      </c>
      <c r="G4210" t="s">
        <v>10021</v>
      </c>
      <c r="H4210" s="6">
        <v>44931</v>
      </c>
      <c r="I4210">
        <f t="shared" si="130"/>
        <v>0</v>
      </c>
      <c r="J4210" t="str">
        <f t="shared" si="131"/>
        <v>Complete</v>
      </c>
      <c r="K4210">
        <f>COUNTIFS(RawData[Item], B4210,RawData[Quantity],C4210,RawData[Price Per Unit],D4210,RawData[Total Spent],E4210,RawData[Payment Method],F4210,RawData[Location],G4210,RawData[Transaction Date],H4210)</f>
        <v>1</v>
      </c>
      <c r="L4210"/>
    </row>
    <row r="4211" spans="1:12" x14ac:dyDescent="0.3">
      <c r="A4211" t="s">
        <v>4217</v>
      </c>
      <c r="B4211" t="s">
        <v>10012</v>
      </c>
      <c r="C4211">
        <v>3</v>
      </c>
      <c r="D4211">
        <v>4</v>
      </c>
      <c r="E4211">
        <v>12</v>
      </c>
      <c r="F4211" t="s">
        <v>10019</v>
      </c>
      <c r="G4211" t="s">
        <v>10069</v>
      </c>
      <c r="H4211" s="6">
        <v>45174</v>
      </c>
      <c r="I4211">
        <f t="shared" si="130"/>
        <v>0</v>
      </c>
      <c r="J4211" t="str">
        <f t="shared" si="131"/>
        <v>Complete</v>
      </c>
      <c r="K4211">
        <f>COUNTIFS(RawData[Item], B4211,RawData[Quantity],C4211,RawData[Price Per Unit],D4211,RawData[Total Spent],E4211,RawData[Payment Method],F4211,RawData[Location],G4211,RawData[Transaction Date],H4211)</f>
        <v>1</v>
      </c>
      <c r="L4211"/>
    </row>
    <row r="4212" spans="1:12" x14ac:dyDescent="0.3">
      <c r="A4212" t="s">
        <v>4218</v>
      </c>
      <c r="B4212" t="s">
        <v>10014</v>
      </c>
      <c r="C4212">
        <v>4</v>
      </c>
      <c r="D4212">
        <v>4</v>
      </c>
      <c r="E4212">
        <v>16</v>
      </c>
      <c r="F4212" t="s">
        <v>10018</v>
      </c>
      <c r="G4212" t="s">
        <v>10021</v>
      </c>
      <c r="H4212" s="6">
        <v>45007</v>
      </c>
      <c r="I4212">
        <f t="shared" si="130"/>
        <v>0</v>
      </c>
      <c r="J4212" t="str">
        <f t="shared" si="131"/>
        <v>Complete</v>
      </c>
      <c r="K4212">
        <f>COUNTIFS(RawData[Item], B4212,RawData[Quantity],C4212,RawData[Price Per Unit],D4212,RawData[Total Spent],E4212,RawData[Payment Method],F4212,RawData[Location],G4212,RawData[Transaction Date],H4212)</f>
        <v>1</v>
      </c>
      <c r="L4212"/>
    </row>
    <row r="4213" spans="1:12" x14ac:dyDescent="0.3">
      <c r="A4213" t="s">
        <v>4219</v>
      </c>
      <c r="B4213" t="s">
        <v>10069</v>
      </c>
      <c r="C4213">
        <v>1</v>
      </c>
      <c r="D4213">
        <v>3</v>
      </c>
      <c r="E4213">
        <v>3</v>
      </c>
      <c r="F4213" t="s">
        <v>10020</v>
      </c>
      <c r="G4213" t="s">
        <v>10021</v>
      </c>
      <c r="H4213" s="6">
        <v>45039</v>
      </c>
      <c r="I4213">
        <f t="shared" si="130"/>
        <v>0</v>
      </c>
      <c r="J4213" t="str">
        <f t="shared" si="131"/>
        <v>Complete</v>
      </c>
      <c r="K4213">
        <f>COUNTIFS(RawData[Item], B4213,RawData[Quantity],C4213,RawData[Price Per Unit],D4213,RawData[Total Spent],E4213,RawData[Payment Method],F4213,RawData[Location],G4213,RawData[Transaction Date],H4213)</f>
        <v>1</v>
      </c>
      <c r="L4213"/>
    </row>
    <row r="4214" spans="1:12" x14ac:dyDescent="0.3">
      <c r="A4214" t="s">
        <v>4220</v>
      </c>
      <c r="B4214" t="s">
        <v>10008</v>
      </c>
      <c r="C4214">
        <v>1</v>
      </c>
      <c r="D4214">
        <v>2</v>
      </c>
      <c r="E4214">
        <v>2</v>
      </c>
      <c r="F4214" t="s">
        <v>10018</v>
      </c>
      <c r="G4214" t="s">
        <v>10069</v>
      </c>
      <c r="H4214" s="6" t="s">
        <v>10112</v>
      </c>
      <c r="I4214">
        <f t="shared" si="130"/>
        <v>1</v>
      </c>
      <c r="J4214" t="str">
        <f t="shared" si="131"/>
        <v>Incomplete</v>
      </c>
      <c r="K4214">
        <f>COUNTIFS(RawData[Item], B4214,RawData[Quantity],C4214,RawData[Price Per Unit],D4214,RawData[Total Spent],E4214,RawData[Payment Method],F4214,RawData[Location],G4214,RawData[Transaction Date],H4214)</f>
        <v>2</v>
      </c>
      <c r="L4214"/>
    </row>
    <row r="4215" spans="1:12" x14ac:dyDescent="0.3">
      <c r="A4215" t="s">
        <v>4221</v>
      </c>
      <c r="B4215" t="s">
        <v>10008</v>
      </c>
      <c r="C4215">
        <v>5</v>
      </c>
      <c r="D4215">
        <v>2</v>
      </c>
      <c r="E4215">
        <v>10</v>
      </c>
      <c r="F4215" t="s">
        <v>10020</v>
      </c>
      <c r="G4215" t="s">
        <v>10069</v>
      </c>
      <c r="H4215" s="6">
        <v>45160</v>
      </c>
      <c r="I4215">
        <f t="shared" si="130"/>
        <v>0</v>
      </c>
      <c r="J4215" t="str">
        <f t="shared" si="131"/>
        <v>Complete</v>
      </c>
      <c r="K4215">
        <f>COUNTIFS(RawData[Item], B4215,RawData[Quantity],C4215,RawData[Price Per Unit],D4215,RawData[Total Spent],E4215,RawData[Payment Method],F4215,RawData[Location],G4215,RawData[Transaction Date],H4215)</f>
        <v>1</v>
      </c>
      <c r="L4215"/>
    </row>
    <row r="4216" spans="1:12" x14ac:dyDescent="0.3">
      <c r="A4216" t="s">
        <v>4222</v>
      </c>
      <c r="B4216" t="s">
        <v>10017</v>
      </c>
      <c r="C4216">
        <v>1</v>
      </c>
      <c r="D4216" t="s">
        <v>10015</v>
      </c>
      <c r="E4216">
        <v>1.5</v>
      </c>
      <c r="F4216" t="s">
        <v>10069</v>
      </c>
      <c r="G4216" t="s">
        <v>10102</v>
      </c>
      <c r="H4216" s="6">
        <v>45105</v>
      </c>
      <c r="I4216">
        <f t="shared" si="130"/>
        <v>1</v>
      </c>
      <c r="J4216" t="str">
        <f t="shared" si="131"/>
        <v>Complete</v>
      </c>
      <c r="K4216">
        <f>COUNTIFS(RawData[Item], B4216,RawData[Quantity],C4216,RawData[Price Per Unit],D4216,RawData[Total Spent],E4216,RawData[Payment Method],F4216,RawData[Location],G4216,RawData[Transaction Date],H4216)</f>
        <v>1</v>
      </c>
      <c r="L4216"/>
    </row>
    <row r="4217" spans="1:12" x14ac:dyDescent="0.3">
      <c r="A4217" t="s">
        <v>4223</v>
      </c>
      <c r="B4217" t="s">
        <v>10015</v>
      </c>
      <c r="C4217">
        <v>5</v>
      </c>
      <c r="D4217">
        <v>4</v>
      </c>
      <c r="E4217">
        <v>20</v>
      </c>
      <c r="F4217" t="s">
        <v>10020</v>
      </c>
      <c r="G4217" t="s">
        <v>10069</v>
      </c>
      <c r="H4217" s="6">
        <v>44963</v>
      </c>
      <c r="I4217">
        <f t="shared" si="130"/>
        <v>1</v>
      </c>
      <c r="J4217" t="str">
        <f t="shared" si="131"/>
        <v>Complete</v>
      </c>
      <c r="K4217">
        <f>COUNTIFS(RawData[Item], B4217,RawData[Quantity],C4217,RawData[Price Per Unit],D4217,RawData[Total Spent],E4217,RawData[Payment Method],F4217,RawData[Location],G4217,RawData[Transaction Date],H4217)</f>
        <v>1</v>
      </c>
      <c r="L4217"/>
    </row>
    <row r="4218" spans="1:12" x14ac:dyDescent="0.3">
      <c r="A4218" t="s">
        <v>4224</v>
      </c>
      <c r="B4218" t="s">
        <v>10016</v>
      </c>
      <c r="C4218">
        <v>1</v>
      </c>
      <c r="D4218">
        <v>3</v>
      </c>
      <c r="E4218">
        <v>3</v>
      </c>
      <c r="F4218" t="s">
        <v>10069</v>
      </c>
      <c r="G4218" t="s">
        <v>10102</v>
      </c>
      <c r="H4218" s="6">
        <v>45098</v>
      </c>
      <c r="I4218">
        <f t="shared" si="130"/>
        <v>0</v>
      </c>
      <c r="J4218" t="str">
        <f t="shared" si="131"/>
        <v>Complete</v>
      </c>
      <c r="K4218">
        <f>COUNTIFS(RawData[Item], B4218,RawData[Quantity],C4218,RawData[Price Per Unit],D4218,RawData[Total Spent],E4218,RawData[Payment Method],F4218,RawData[Location],G4218,RawData[Transaction Date],H4218)</f>
        <v>1</v>
      </c>
      <c r="L4218"/>
    </row>
    <row r="4219" spans="1:12" x14ac:dyDescent="0.3">
      <c r="A4219" t="s">
        <v>4225</v>
      </c>
      <c r="B4219" t="s">
        <v>10009</v>
      </c>
      <c r="C4219">
        <v>1</v>
      </c>
      <c r="D4219">
        <v>3</v>
      </c>
      <c r="E4219">
        <v>3</v>
      </c>
      <c r="F4219" t="s">
        <v>10018</v>
      </c>
      <c r="G4219" t="s">
        <v>10102</v>
      </c>
      <c r="H4219" s="6">
        <v>45127</v>
      </c>
      <c r="I4219">
        <f t="shared" si="130"/>
        <v>0</v>
      </c>
      <c r="J4219" t="str">
        <f t="shared" si="131"/>
        <v>Complete</v>
      </c>
      <c r="K4219">
        <f>COUNTIFS(RawData[Item], B4219,RawData[Quantity],C4219,RawData[Price Per Unit],D4219,RawData[Total Spent],E4219,RawData[Payment Method],F4219,RawData[Location],G4219,RawData[Transaction Date],H4219)</f>
        <v>1</v>
      </c>
      <c r="L4219"/>
    </row>
    <row r="4220" spans="1:12" x14ac:dyDescent="0.3">
      <c r="A4220" t="s">
        <v>4226</v>
      </c>
      <c r="B4220" t="s">
        <v>10017</v>
      </c>
      <c r="C4220">
        <v>1</v>
      </c>
      <c r="D4220">
        <v>1.5</v>
      </c>
      <c r="E4220">
        <v>1.5</v>
      </c>
      <c r="F4220" t="s">
        <v>10018</v>
      </c>
      <c r="G4220" t="s">
        <v>10103</v>
      </c>
      <c r="H4220" s="6">
        <v>45161</v>
      </c>
      <c r="I4220">
        <f t="shared" si="130"/>
        <v>1</v>
      </c>
      <c r="J4220" t="str">
        <f t="shared" si="131"/>
        <v>Complete</v>
      </c>
      <c r="K4220">
        <f>COUNTIFS(RawData[Item], B4220,RawData[Quantity],C4220,RawData[Price Per Unit],D4220,RawData[Total Spent],E4220,RawData[Payment Method],F4220,RawData[Location],G4220,RawData[Transaction Date],H4220)</f>
        <v>1</v>
      </c>
      <c r="L4220"/>
    </row>
    <row r="4221" spans="1:12" x14ac:dyDescent="0.3">
      <c r="A4221" t="s">
        <v>4227</v>
      </c>
      <c r="B4221" t="s">
        <v>10012</v>
      </c>
      <c r="C4221">
        <v>1</v>
      </c>
      <c r="D4221">
        <v>4</v>
      </c>
      <c r="E4221">
        <v>4</v>
      </c>
      <c r="F4221" t="s">
        <v>10020</v>
      </c>
      <c r="G4221" t="s">
        <v>10021</v>
      </c>
      <c r="H4221" s="6">
        <v>45160</v>
      </c>
      <c r="I4221">
        <f t="shared" si="130"/>
        <v>0</v>
      </c>
      <c r="J4221" t="str">
        <f t="shared" si="131"/>
        <v>Complete</v>
      </c>
      <c r="K4221">
        <f>COUNTIFS(RawData[Item], B4221,RawData[Quantity],C4221,RawData[Price Per Unit],D4221,RawData[Total Spent],E4221,RawData[Payment Method],F4221,RawData[Location],G4221,RawData[Transaction Date],H4221)</f>
        <v>1</v>
      </c>
      <c r="L4221"/>
    </row>
    <row r="4222" spans="1:12" x14ac:dyDescent="0.3">
      <c r="A4222" t="s">
        <v>4228</v>
      </c>
      <c r="B4222" t="s">
        <v>10009</v>
      </c>
      <c r="C4222">
        <v>2</v>
      </c>
      <c r="D4222">
        <v>3</v>
      </c>
      <c r="E4222">
        <v>6</v>
      </c>
      <c r="F4222" t="s">
        <v>10019</v>
      </c>
      <c r="G4222" t="s">
        <v>10021</v>
      </c>
      <c r="H4222" s="6">
        <v>45186</v>
      </c>
      <c r="I4222">
        <f t="shared" si="130"/>
        <v>0</v>
      </c>
      <c r="J4222" t="str">
        <f t="shared" si="131"/>
        <v>Complete</v>
      </c>
      <c r="K4222">
        <f>COUNTIFS(RawData[Item], B4222,RawData[Quantity],C4222,RawData[Price Per Unit],D4222,RawData[Total Spent],E4222,RawData[Payment Method],F4222,RawData[Location],G4222,RawData[Transaction Date],H4222)</f>
        <v>2</v>
      </c>
      <c r="L4222"/>
    </row>
    <row r="4223" spans="1:12" x14ac:dyDescent="0.3">
      <c r="A4223" t="s">
        <v>4229</v>
      </c>
      <c r="B4223" t="s">
        <v>10008</v>
      </c>
      <c r="C4223">
        <v>3</v>
      </c>
      <c r="D4223">
        <v>2</v>
      </c>
      <c r="E4223">
        <v>6</v>
      </c>
      <c r="F4223" t="s">
        <v>10019</v>
      </c>
      <c r="G4223" t="s">
        <v>10069</v>
      </c>
      <c r="H4223" s="6">
        <v>45181</v>
      </c>
      <c r="I4223">
        <f t="shared" si="130"/>
        <v>0</v>
      </c>
      <c r="J4223" t="str">
        <f t="shared" si="131"/>
        <v>Complete</v>
      </c>
      <c r="K4223">
        <f>COUNTIFS(RawData[Item], B4223,RawData[Quantity],C4223,RawData[Price Per Unit],D4223,RawData[Total Spent],E4223,RawData[Payment Method],F4223,RawData[Location],G4223,RawData[Transaction Date],H4223)</f>
        <v>1</v>
      </c>
      <c r="L4223"/>
    </row>
    <row r="4224" spans="1:12" x14ac:dyDescent="0.3">
      <c r="A4224" t="s">
        <v>4230</v>
      </c>
      <c r="B4224" t="s">
        <v>10010</v>
      </c>
      <c r="C4224">
        <v>4</v>
      </c>
      <c r="D4224">
        <v>1</v>
      </c>
      <c r="E4224">
        <v>4</v>
      </c>
      <c r="F4224" t="s">
        <v>10019</v>
      </c>
      <c r="G4224" t="s">
        <v>10102</v>
      </c>
      <c r="H4224" s="6">
        <v>45173</v>
      </c>
      <c r="I4224">
        <f t="shared" si="130"/>
        <v>0</v>
      </c>
      <c r="J4224" t="str">
        <f t="shared" si="131"/>
        <v>Complete</v>
      </c>
      <c r="K4224">
        <f>COUNTIFS(RawData[Item], B4224,RawData[Quantity],C4224,RawData[Price Per Unit],D4224,RawData[Total Spent],E4224,RawData[Payment Method],F4224,RawData[Location],G4224,RawData[Transaction Date],H4224)</f>
        <v>1</v>
      </c>
      <c r="L4224"/>
    </row>
    <row r="4225" spans="1:12" x14ac:dyDescent="0.3">
      <c r="A4225" t="s">
        <v>4231</v>
      </c>
      <c r="B4225" t="s">
        <v>10017</v>
      </c>
      <c r="C4225">
        <v>4</v>
      </c>
      <c r="D4225">
        <v>1.5</v>
      </c>
      <c r="E4225">
        <v>6</v>
      </c>
      <c r="F4225" t="s">
        <v>10069</v>
      </c>
      <c r="G4225" t="s">
        <v>10021</v>
      </c>
      <c r="H4225" s="6">
        <v>45239</v>
      </c>
      <c r="I4225">
        <f t="shared" si="130"/>
        <v>0</v>
      </c>
      <c r="J4225" t="str">
        <f t="shared" si="131"/>
        <v>Complete</v>
      </c>
      <c r="K4225">
        <f>COUNTIFS(RawData[Item], B4225,RawData[Quantity],C4225,RawData[Price Per Unit],D4225,RawData[Total Spent],E4225,RawData[Payment Method],F4225,RawData[Location],G4225,RawData[Transaction Date],H4225)</f>
        <v>1</v>
      </c>
      <c r="L4225"/>
    </row>
    <row r="4226" spans="1:12" x14ac:dyDescent="0.3">
      <c r="A4226" t="s">
        <v>4232</v>
      </c>
      <c r="B4226" t="s">
        <v>10009</v>
      </c>
      <c r="C4226">
        <v>3</v>
      </c>
      <c r="D4226">
        <v>0</v>
      </c>
      <c r="E4226">
        <v>9</v>
      </c>
      <c r="F4226" t="s">
        <v>10019</v>
      </c>
      <c r="G4226" t="s">
        <v>10021</v>
      </c>
      <c r="H4226" s="6">
        <v>45103</v>
      </c>
      <c r="I4226">
        <f t="shared" ref="I4226:I4289" si="132">(B4226="Unknown")+(B4226="Error")+(C4226="Unknown")+(C4226="Error")+(D4226="Unknown")+(D4226="Error")+(E4226="Unknown")+(E4226="Error")+(F4226="Unknown")+(F4226="Error")+(G4226="Unknown")+(G4226="Error")+(H4226="No Date")</f>
        <v>0</v>
      </c>
      <c r="J4226" t="str">
        <f t="shared" ref="J4226:J4289" si="133">IF((H4226="No Date"),"Incomplete","Complete")</f>
        <v>Complete</v>
      </c>
      <c r="K4226">
        <f>COUNTIFS(RawData[Item], B4226,RawData[Quantity],C4226,RawData[Price Per Unit],D4226,RawData[Total Spent],E4226,RawData[Payment Method],F4226,RawData[Location],G4226,RawData[Transaction Date],H4226)</f>
        <v>1</v>
      </c>
      <c r="L4226"/>
    </row>
    <row r="4227" spans="1:12" x14ac:dyDescent="0.3">
      <c r="A4227" t="s">
        <v>4233</v>
      </c>
      <c r="B4227" t="s">
        <v>10009</v>
      </c>
      <c r="C4227">
        <v>3</v>
      </c>
      <c r="D4227">
        <v>3</v>
      </c>
      <c r="E4227">
        <v>9</v>
      </c>
      <c r="F4227" t="s">
        <v>10103</v>
      </c>
      <c r="G4227" t="s">
        <v>10069</v>
      </c>
      <c r="H4227" s="6" t="s">
        <v>10112</v>
      </c>
      <c r="I4227">
        <f t="shared" si="132"/>
        <v>2</v>
      </c>
      <c r="J4227" t="str">
        <f t="shared" si="133"/>
        <v>Incomplete</v>
      </c>
      <c r="K4227">
        <f>COUNTIFS(RawData[Item], B4227,RawData[Quantity],C4227,RawData[Price Per Unit],D4227,RawData[Total Spent],E4227,RawData[Payment Method],F4227,RawData[Location],G4227,RawData[Transaction Date],H4227)</f>
        <v>1</v>
      </c>
      <c r="L4227"/>
    </row>
    <row r="4228" spans="1:12" x14ac:dyDescent="0.3">
      <c r="A4228" t="s">
        <v>4234</v>
      </c>
      <c r="B4228" t="s">
        <v>10011</v>
      </c>
      <c r="C4228">
        <v>1</v>
      </c>
      <c r="D4228">
        <v>5</v>
      </c>
      <c r="E4228">
        <v>5</v>
      </c>
      <c r="F4228" t="s">
        <v>10019</v>
      </c>
      <c r="G4228" t="s">
        <v>10102</v>
      </c>
      <c r="H4228" s="6">
        <v>44936</v>
      </c>
      <c r="I4228">
        <f t="shared" si="132"/>
        <v>0</v>
      </c>
      <c r="J4228" t="str">
        <f t="shared" si="133"/>
        <v>Complete</v>
      </c>
      <c r="K4228">
        <f>COUNTIFS(RawData[Item], B4228,RawData[Quantity],C4228,RawData[Price Per Unit],D4228,RawData[Total Spent],E4228,RawData[Payment Method],F4228,RawData[Location],G4228,RawData[Transaction Date],H4228)</f>
        <v>1</v>
      </c>
      <c r="L4228"/>
    </row>
    <row r="4229" spans="1:12" x14ac:dyDescent="0.3">
      <c r="A4229" t="s">
        <v>4235</v>
      </c>
      <c r="B4229" t="s">
        <v>10009</v>
      </c>
      <c r="C4229">
        <v>2</v>
      </c>
      <c r="D4229">
        <v>3</v>
      </c>
      <c r="E4229">
        <v>6</v>
      </c>
      <c r="F4229" t="s">
        <v>10019</v>
      </c>
      <c r="G4229" t="s">
        <v>10102</v>
      </c>
      <c r="H4229" s="6">
        <v>45248</v>
      </c>
      <c r="I4229">
        <f t="shared" si="132"/>
        <v>0</v>
      </c>
      <c r="J4229" t="str">
        <f t="shared" si="133"/>
        <v>Complete</v>
      </c>
      <c r="K4229">
        <f>COUNTIFS(RawData[Item], B4229,RawData[Quantity],C4229,RawData[Price Per Unit],D4229,RawData[Total Spent],E4229,RawData[Payment Method],F4229,RawData[Location],G4229,RawData[Transaction Date],H4229)</f>
        <v>1</v>
      </c>
      <c r="L4229"/>
    </row>
    <row r="4230" spans="1:12" x14ac:dyDescent="0.3">
      <c r="A4230" t="s">
        <v>4236</v>
      </c>
      <c r="B4230" t="s">
        <v>10012</v>
      </c>
      <c r="C4230">
        <v>2</v>
      </c>
      <c r="D4230">
        <v>4</v>
      </c>
      <c r="E4230">
        <v>8</v>
      </c>
      <c r="F4230" t="s">
        <v>10069</v>
      </c>
      <c r="G4230" t="s">
        <v>10021</v>
      </c>
      <c r="H4230" s="6">
        <v>44944</v>
      </c>
      <c r="I4230">
        <f t="shared" si="132"/>
        <v>0</v>
      </c>
      <c r="J4230" t="str">
        <f t="shared" si="133"/>
        <v>Complete</v>
      </c>
      <c r="K4230">
        <f>COUNTIFS(RawData[Item], B4230,RawData[Quantity],C4230,RawData[Price Per Unit],D4230,RawData[Total Spent],E4230,RawData[Payment Method],F4230,RawData[Location],G4230,RawData[Transaction Date],H4230)</f>
        <v>1</v>
      </c>
      <c r="L4230"/>
    </row>
    <row r="4231" spans="1:12" x14ac:dyDescent="0.3">
      <c r="A4231" t="s">
        <v>4237</v>
      </c>
      <c r="B4231" t="s">
        <v>10010</v>
      </c>
      <c r="C4231">
        <v>3</v>
      </c>
      <c r="D4231">
        <v>1</v>
      </c>
      <c r="E4231">
        <v>3</v>
      </c>
      <c r="F4231" t="s">
        <v>10018</v>
      </c>
      <c r="G4231" t="s">
        <v>10021</v>
      </c>
      <c r="H4231" s="6">
        <v>45079</v>
      </c>
      <c r="I4231">
        <f t="shared" si="132"/>
        <v>0</v>
      </c>
      <c r="J4231" t="str">
        <f t="shared" si="133"/>
        <v>Complete</v>
      </c>
      <c r="K4231">
        <f>COUNTIFS(RawData[Item], B4231,RawData[Quantity],C4231,RawData[Price Per Unit],D4231,RawData[Total Spent],E4231,RawData[Payment Method],F4231,RawData[Location],G4231,RawData[Transaction Date],H4231)</f>
        <v>1</v>
      </c>
      <c r="L4231"/>
    </row>
    <row r="4232" spans="1:12" x14ac:dyDescent="0.3">
      <c r="A4232" t="s">
        <v>4238</v>
      </c>
      <c r="B4232" t="s">
        <v>10010</v>
      </c>
      <c r="C4232">
        <v>5</v>
      </c>
      <c r="D4232">
        <v>1</v>
      </c>
      <c r="E4232">
        <v>5</v>
      </c>
      <c r="F4232" t="s">
        <v>10018</v>
      </c>
      <c r="G4232" t="s">
        <v>10021</v>
      </c>
      <c r="H4232" s="6">
        <v>45123</v>
      </c>
      <c r="I4232">
        <f t="shared" si="132"/>
        <v>0</v>
      </c>
      <c r="J4232" t="str">
        <f t="shared" si="133"/>
        <v>Complete</v>
      </c>
      <c r="K4232">
        <f>COUNTIFS(RawData[Item], B4232,RawData[Quantity],C4232,RawData[Price Per Unit],D4232,RawData[Total Spent],E4232,RawData[Payment Method],F4232,RawData[Location],G4232,RawData[Transaction Date],H4232)</f>
        <v>1</v>
      </c>
      <c r="L4232"/>
    </row>
    <row r="4233" spans="1:12" x14ac:dyDescent="0.3">
      <c r="A4233" t="s">
        <v>4239</v>
      </c>
      <c r="B4233" t="s">
        <v>10014</v>
      </c>
      <c r="C4233">
        <v>3</v>
      </c>
      <c r="D4233">
        <v>4</v>
      </c>
      <c r="E4233">
        <v>12</v>
      </c>
      <c r="F4233" t="s">
        <v>10018</v>
      </c>
      <c r="G4233" t="s">
        <v>10021</v>
      </c>
      <c r="H4233" s="6">
        <v>45180</v>
      </c>
      <c r="I4233">
        <f t="shared" si="132"/>
        <v>0</v>
      </c>
      <c r="J4233" t="str">
        <f t="shared" si="133"/>
        <v>Complete</v>
      </c>
      <c r="K4233">
        <f>COUNTIFS(RawData[Item], B4233,RawData[Quantity],C4233,RawData[Price Per Unit],D4233,RawData[Total Spent],E4233,RawData[Payment Method],F4233,RawData[Location],G4233,RawData[Transaction Date],H4233)</f>
        <v>1</v>
      </c>
      <c r="L4233"/>
    </row>
    <row r="4234" spans="1:12" x14ac:dyDescent="0.3">
      <c r="A4234" t="s">
        <v>4240</v>
      </c>
      <c r="B4234" t="s">
        <v>10010</v>
      </c>
      <c r="C4234">
        <v>1</v>
      </c>
      <c r="D4234">
        <v>1</v>
      </c>
      <c r="E4234">
        <v>1</v>
      </c>
      <c r="F4234" t="s">
        <v>10020</v>
      </c>
      <c r="G4234" t="s">
        <v>10102</v>
      </c>
      <c r="H4234" s="6">
        <v>45005</v>
      </c>
      <c r="I4234">
        <f t="shared" si="132"/>
        <v>0</v>
      </c>
      <c r="J4234" t="str">
        <f t="shared" si="133"/>
        <v>Complete</v>
      </c>
      <c r="K4234">
        <f>COUNTIFS(RawData[Item], B4234,RawData[Quantity],C4234,RawData[Price Per Unit],D4234,RawData[Total Spent],E4234,RawData[Payment Method],F4234,RawData[Location],G4234,RawData[Transaction Date],H4234)</f>
        <v>1</v>
      </c>
      <c r="L4234"/>
    </row>
    <row r="4235" spans="1:12" x14ac:dyDescent="0.3">
      <c r="A4235" t="s">
        <v>4241</v>
      </c>
      <c r="B4235" t="s">
        <v>10069</v>
      </c>
      <c r="C4235">
        <v>3</v>
      </c>
      <c r="D4235">
        <v>3</v>
      </c>
      <c r="E4235">
        <v>9</v>
      </c>
      <c r="F4235" t="s">
        <v>10020</v>
      </c>
      <c r="G4235" t="s">
        <v>10102</v>
      </c>
      <c r="H4235" s="6">
        <v>45262</v>
      </c>
      <c r="I4235">
        <f t="shared" si="132"/>
        <v>0</v>
      </c>
      <c r="J4235" t="str">
        <f t="shared" si="133"/>
        <v>Complete</v>
      </c>
      <c r="K4235">
        <f>COUNTIFS(RawData[Item], B4235,RawData[Quantity],C4235,RawData[Price Per Unit],D4235,RawData[Total Spent],E4235,RawData[Payment Method],F4235,RawData[Location],G4235,RawData[Transaction Date],H4235)</f>
        <v>1</v>
      </c>
      <c r="L4235"/>
    </row>
    <row r="4236" spans="1:12" x14ac:dyDescent="0.3">
      <c r="A4236" t="s">
        <v>4242</v>
      </c>
      <c r="B4236" t="s">
        <v>10017</v>
      </c>
      <c r="C4236">
        <v>3</v>
      </c>
      <c r="D4236">
        <v>1.5</v>
      </c>
      <c r="E4236">
        <v>4.5</v>
      </c>
      <c r="F4236" t="s">
        <v>10020</v>
      </c>
      <c r="G4236" t="s">
        <v>10069</v>
      </c>
      <c r="H4236" s="6">
        <v>45183</v>
      </c>
      <c r="I4236">
        <f t="shared" si="132"/>
        <v>0</v>
      </c>
      <c r="J4236" t="str">
        <f t="shared" si="133"/>
        <v>Complete</v>
      </c>
      <c r="K4236">
        <f>COUNTIFS(RawData[Item], B4236,RawData[Quantity],C4236,RawData[Price Per Unit],D4236,RawData[Total Spent],E4236,RawData[Payment Method],F4236,RawData[Location],G4236,RawData[Transaction Date],H4236)</f>
        <v>1</v>
      </c>
      <c r="L4236"/>
    </row>
    <row r="4237" spans="1:12" x14ac:dyDescent="0.3">
      <c r="A4237" t="s">
        <v>4243</v>
      </c>
      <c r="B4237" t="s">
        <v>10010</v>
      </c>
      <c r="C4237">
        <v>5</v>
      </c>
      <c r="D4237">
        <v>1</v>
      </c>
      <c r="E4237">
        <v>5</v>
      </c>
      <c r="F4237" t="s">
        <v>10069</v>
      </c>
      <c r="G4237" t="s">
        <v>10102</v>
      </c>
      <c r="H4237" s="6">
        <v>45270</v>
      </c>
      <c r="I4237">
        <f t="shared" si="132"/>
        <v>0</v>
      </c>
      <c r="J4237" t="str">
        <f t="shared" si="133"/>
        <v>Complete</v>
      </c>
      <c r="K4237">
        <f>COUNTIFS(RawData[Item], B4237,RawData[Quantity],C4237,RawData[Price Per Unit],D4237,RawData[Total Spent],E4237,RawData[Payment Method],F4237,RawData[Location],G4237,RawData[Transaction Date],H4237)</f>
        <v>1</v>
      </c>
      <c r="L4237"/>
    </row>
    <row r="4238" spans="1:12" x14ac:dyDescent="0.3">
      <c r="A4238" t="s">
        <v>4244</v>
      </c>
      <c r="B4238" t="s">
        <v>10014</v>
      </c>
      <c r="C4238">
        <v>1</v>
      </c>
      <c r="D4238">
        <v>4</v>
      </c>
      <c r="E4238">
        <v>4</v>
      </c>
      <c r="F4238" t="s">
        <v>10019</v>
      </c>
      <c r="G4238" t="s">
        <v>10102</v>
      </c>
      <c r="H4238" s="6">
        <v>45011</v>
      </c>
      <c r="I4238">
        <f t="shared" si="132"/>
        <v>0</v>
      </c>
      <c r="J4238" t="str">
        <f t="shared" si="133"/>
        <v>Complete</v>
      </c>
      <c r="K4238">
        <f>COUNTIFS(RawData[Item], B4238,RawData[Quantity],C4238,RawData[Price Per Unit],D4238,RawData[Total Spent],E4238,RawData[Payment Method],F4238,RawData[Location],G4238,RawData[Transaction Date],H4238)</f>
        <v>2</v>
      </c>
      <c r="L4238"/>
    </row>
    <row r="4239" spans="1:12" x14ac:dyDescent="0.3">
      <c r="A4239" t="s">
        <v>4245</v>
      </c>
      <c r="B4239" t="s">
        <v>10010</v>
      </c>
      <c r="C4239">
        <v>5</v>
      </c>
      <c r="D4239">
        <v>1</v>
      </c>
      <c r="E4239">
        <v>5</v>
      </c>
      <c r="F4239" t="s">
        <v>10020</v>
      </c>
      <c r="G4239" t="s">
        <v>10069</v>
      </c>
      <c r="H4239" s="6">
        <v>45282</v>
      </c>
      <c r="I4239">
        <f t="shared" si="132"/>
        <v>0</v>
      </c>
      <c r="J4239" t="str">
        <f t="shared" si="133"/>
        <v>Complete</v>
      </c>
      <c r="K4239">
        <f>COUNTIFS(RawData[Item], B4239,RawData[Quantity],C4239,RawData[Price Per Unit],D4239,RawData[Total Spent],E4239,RawData[Payment Method],F4239,RawData[Location],G4239,RawData[Transaction Date],H4239)</f>
        <v>1</v>
      </c>
      <c r="L4239"/>
    </row>
    <row r="4240" spans="1:12" x14ac:dyDescent="0.3">
      <c r="A4240" t="s">
        <v>4246</v>
      </c>
      <c r="B4240" t="s">
        <v>10017</v>
      </c>
      <c r="C4240">
        <v>4</v>
      </c>
      <c r="D4240">
        <v>1.5</v>
      </c>
      <c r="E4240">
        <v>6</v>
      </c>
      <c r="F4240" t="s">
        <v>10020</v>
      </c>
      <c r="G4240" t="s">
        <v>10021</v>
      </c>
      <c r="H4240" s="6">
        <v>45107</v>
      </c>
      <c r="I4240">
        <f t="shared" si="132"/>
        <v>0</v>
      </c>
      <c r="J4240" t="str">
        <f t="shared" si="133"/>
        <v>Complete</v>
      </c>
      <c r="K4240">
        <f>COUNTIFS(RawData[Item], B4240,RawData[Quantity],C4240,RawData[Price Per Unit],D4240,RawData[Total Spent],E4240,RawData[Payment Method],F4240,RawData[Location],G4240,RawData[Transaction Date],H4240)</f>
        <v>1</v>
      </c>
      <c r="L4240"/>
    </row>
    <row r="4241" spans="1:12" x14ac:dyDescent="0.3">
      <c r="A4241" t="s">
        <v>4247</v>
      </c>
      <c r="B4241" t="s">
        <v>10012</v>
      </c>
      <c r="C4241">
        <v>3</v>
      </c>
      <c r="D4241">
        <v>4</v>
      </c>
      <c r="E4241">
        <v>12</v>
      </c>
      <c r="F4241" t="s">
        <v>10069</v>
      </c>
      <c r="G4241" t="s">
        <v>10102</v>
      </c>
      <c r="H4241" s="6">
        <v>45224</v>
      </c>
      <c r="I4241">
        <f t="shared" si="132"/>
        <v>0</v>
      </c>
      <c r="J4241" t="str">
        <f t="shared" si="133"/>
        <v>Complete</v>
      </c>
      <c r="K4241">
        <f>COUNTIFS(RawData[Item], B4241,RawData[Quantity],C4241,RawData[Price Per Unit],D4241,RawData[Total Spent],E4241,RawData[Payment Method],F4241,RawData[Location],G4241,RawData[Transaction Date],H4241)</f>
        <v>1</v>
      </c>
      <c r="L4241"/>
    </row>
    <row r="4242" spans="1:12" x14ac:dyDescent="0.3">
      <c r="A4242" t="s">
        <v>4248</v>
      </c>
      <c r="B4242" t="s">
        <v>10008</v>
      </c>
      <c r="C4242">
        <v>1</v>
      </c>
      <c r="D4242">
        <v>2</v>
      </c>
      <c r="E4242">
        <v>2</v>
      </c>
      <c r="F4242" t="s">
        <v>10069</v>
      </c>
      <c r="G4242" t="s">
        <v>10021</v>
      </c>
      <c r="H4242" s="6">
        <v>45167</v>
      </c>
      <c r="I4242">
        <f t="shared" si="132"/>
        <v>0</v>
      </c>
      <c r="J4242" t="str">
        <f t="shared" si="133"/>
        <v>Complete</v>
      </c>
      <c r="K4242">
        <f>COUNTIFS(RawData[Item], B4242,RawData[Quantity],C4242,RawData[Price Per Unit],D4242,RawData[Total Spent],E4242,RawData[Payment Method],F4242,RawData[Location],G4242,RawData[Transaction Date],H4242)</f>
        <v>1</v>
      </c>
      <c r="L4242"/>
    </row>
    <row r="4243" spans="1:12" x14ac:dyDescent="0.3">
      <c r="A4243" t="s">
        <v>4249</v>
      </c>
      <c r="B4243" t="s">
        <v>10010</v>
      </c>
      <c r="C4243">
        <v>3</v>
      </c>
      <c r="D4243">
        <v>1</v>
      </c>
      <c r="E4243">
        <v>3</v>
      </c>
      <c r="F4243" t="s">
        <v>10020</v>
      </c>
      <c r="G4243" t="s">
        <v>10103</v>
      </c>
      <c r="H4243" s="6">
        <v>45135</v>
      </c>
      <c r="I4243">
        <f t="shared" si="132"/>
        <v>1</v>
      </c>
      <c r="J4243" t="str">
        <f t="shared" si="133"/>
        <v>Complete</v>
      </c>
      <c r="K4243">
        <f>COUNTIFS(RawData[Item], B4243,RawData[Quantity],C4243,RawData[Price Per Unit],D4243,RawData[Total Spent],E4243,RawData[Payment Method],F4243,RawData[Location],G4243,RawData[Transaction Date],H4243)</f>
        <v>1</v>
      </c>
      <c r="L4243"/>
    </row>
    <row r="4244" spans="1:12" x14ac:dyDescent="0.3">
      <c r="A4244" t="s">
        <v>4250</v>
      </c>
      <c r="B4244" t="s">
        <v>10008</v>
      </c>
      <c r="C4244">
        <v>1</v>
      </c>
      <c r="D4244">
        <v>2</v>
      </c>
      <c r="E4244">
        <v>2</v>
      </c>
      <c r="F4244" t="s">
        <v>10104</v>
      </c>
      <c r="G4244" t="s">
        <v>10021</v>
      </c>
      <c r="H4244" s="6">
        <v>45269</v>
      </c>
      <c r="I4244">
        <f t="shared" si="132"/>
        <v>1</v>
      </c>
      <c r="J4244" t="str">
        <f t="shared" si="133"/>
        <v>Complete</v>
      </c>
      <c r="K4244">
        <f>COUNTIFS(RawData[Item], B4244,RawData[Quantity],C4244,RawData[Price Per Unit],D4244,RawData[Total Spent],E4244,RawData[Payment Method],F4244,RawData[Location],G4244,RawData[Transaction Date],H4244)</f>
        <v>1</v>
      </c>
      <c r="L4244"/>
    </row>
    <row r="4245" spans="1:12" x14ac:dyDescent="0.3">
      <c r="A4245" t="s">
        <v>4251</v>
      </c>
      <c r="B4245" t="s">
        <v>10017</v>
      </c>
      <c r="C4245">
        <v>0</v>
      </c>
      <c r="D4245">
        <v>1.5</v>
      </c>
      <c r="E4245">
        <v>1.5</v>
      </c>
      <c r="F4245" t="s">
        <v>10018</v>
      </c>
      <c r="G4245" t="s">
        <v>10069</v>
      </c>
      <c r="H4245" s="6">
        <v>45199</v>
      </c>
      <c r="I4245">
        <f t="shared" si="132"/>
        <v>0</v>
      </c>
      <c r="J4245" t="str">
        <f t="shared" si="133"/>
        <v>Complete</v>
      </c>
      <c r="K4245">
        <f>COUNTIFS(RawData[Item], B4245,RawData[Quantity],C4245,RawData[Price Per Unit],D4245,RawData[Total Spent],E4245,RawData[Payment Method],F4245,RawData[Location],G4245,RawData[Transaction Date],H4245)</f>
        <v>1</v>
      </c>
      <c r="L4245"/>
    </row>
    <row r="4246" spans="1:12" x14ac:dyDescent="0.3">
      <c r="A4246" t="s">
        <v>4252</v>
      </c>
      <c r="B4246" t="s">
        <v>10016</v>
      </c>
      <c r="C4246">
        <v>1</v>
      </c>
      <c r="D4246">
        <v>3</v>
      </c>
      <c r="E4246">
        <v>3</v>
      </c>
      <c r="F4246" t="s">
        <v>10103</v>
      </c>
      <c r="G4246" t="s">
        <v>10069</v>
      </c>
      <c r="H4246" s="6">
        <v>45126</v>
      </c>
      <c r="I4246">
        <f t="shared" si="132"/>
        <v>1</v>
      </c>
      <c r="J4246" t="str">
        <f t="shared" si="133"/>
        <v>Complete</v>
      </c>
      <c r="K4246">
        <f>COUNTIFS(RawData[Item], B4246,RawData[Quantity],C4246,RawData[Price Per Unit],D4246,RawData[Total Spent],E4246,RawData[Payment Method],F4246,RawData[Location],G4246,RawData[Transaction Date],H4246)</f>
        <v>1</v>
      </c>
      <c r="L4246"/>
    </row>
    <row r="4247" spans="1:12" x14ac:dyDescent="0.3">
      <c r="A4247" t="s">
        <v>4253</v>
      </c>
      <c r="B4247" t="s">
        <v>10017</v>
      </c>
      <c r="C4247">
        <v>5</v>
      </c>
      <c r="D4247">
        <v>1.5</v>
      </c>
      <c r="E4247">
        <v>7.5</v>
      </c>
      <c r="F4247" t="s">
        <v>10020</v>
      </c>
      <c r="G4247" t="s">
        <v>10102</v>
      </c>
      <c r="H4247" s="6">
        <v>45024</v>
      </c>
      <c r="I4247">
        <f t="shared" si="132"/>
        <v>0</v>
      </c>
      <c r="J4247" t="str">
        <f t="shared" si="133"/>
        <v>Complete</v>
      </c>
      <c r="K4247">
        <f>COUNTIFS(RawData[Item], B4247,RawData[Quantity],C4247,RawData[Price Per Unit],D4247,RawData[Total Spent],E4247,RawData[Payment Method],F4247,RawData[Location],G4247,RawData[Transaction Date],H4247)</f>
        <v>1</v>
      </c>
      <c r="L4247"/>
    </row>
    <row r="4248" spans="1:12" x14ac:dyDescent="0.3">
      <c r="A4248" t="s">
        <v>4254</v>
      </c>
      <c r="B4248" t="s">
        <v>10014</v>
      </c>
      <c r="C4248">
        <v>5</v>
      </c>
      <c r="D4248">
        <v>4</v>
      </c>
      <c r="E4248">
        <v>20</v>
      </c>
      <c r="F4248" t="s">
        <v>10069</v>
      </c>
      <c r="G4248" t="s">
        <v>10102</v>
      </c>
      <c r="H4248" s="6">
        <v>44939</v>
      </c>
      <c r="I4248">
        <f t="shared" si="132"/>
        <v>0</v>
      </c>
      <c r="J4248" t="str">
        <f t="shared" si="133"/>
        <v>Complete</v>
      </c>
      <c r="K4248">
        <f>COUNTIFS(RawData[Item], B4248,RawData[Quantity],C4248,RawData[Price Per Unit],D4248,RawData[Total Spent],E4248,RawData[Payment Method],F4248,RawData[Location],G4248,RawData[Transaction Date],H4248)</f>
        <v>1</v>
      </c>
      <c r="L4248"/>
    </row>
    <row r="4249" spans="1:12" x14ac:dyDescent="0.3">
      <c r="A4249" t="s">
        <v>4255</v>
      </c>
      <c r="B4249" t="s">
        <v>10013</v>
      </c>
      <c r="C4249">
        <v>4</v>
      </c>
      <c r="D4249">
        <v>1</v>
      </c>
      <c r="E4249">
        <v>4</v>
      </c>
      <c r="F4249" t="s">
        <v>10019</v>
      </c>
      <c r="G4249" t="s">
        <v>10021</v>
      </c>
      <c r="H4249" s="6">
        <v>45159</v>
      </c>
      <c r="I4249">
        <f t="shared" si="132"/>
        <v>1</v>
      </c>
      <c r="J4249" t="str">
        <f t="shared" si="133"/>
        <v>Complete</v>
      </c>
      <c r="K4249">
        <f>COUNTIFS(RawData[Item], B4249,RawData[Quantity],C4249,RawData[Price Per Unit],D4249,RawData[Total Spent],E4249,RawData[Payment Method],F4249,RawData[Location],G4249,RawData[Transaction Date],H4249)</f>
        <v>1</v>
      </c>
      <c r="L4249"/>
    </row>
    <row r="4250" spans="1:12" x14ac:dyDescent="0.3">
      <c r="A4250" t="s">
        <v>4256</v>
      </c>
      <c r="B4250" t="s">
        <v>10011</v>
      </c>
      <c r="C4250">
        <v>1</v>
      </c>
      <c r="D4250">
        <v>5</v>
      </c>
      <c r="E4250">
        <v>5</v>
      </c>
      <c r="F4250" t="s">
        <v>10018</v>
      </c>
      <c r="G4250" t="s">
        <v>10069</v>
      </c>
      <c r="H4250" s="6">
        <v>45068</v>
      </c>
      <c r="I4250">
        <f t="shared" si="132"/>
        <v>0</v>
      </c>
      <c r="J4250" t="str">
        <f t="shared" si="133"/>
        <v>Complete</v>
      </c>
      <c r="K4250">
        <f>COUNTIFS(RawData[Item], B4250,RawData[Quantity],C4250,RawData[Price Per Unit],D4250,RawData[Total Spent],E4250,RawData[Payment Method],F4250,RawData[Location],G4250,RawData[Transaction Date],H4250)</f>
        <v>1</v>
      </c>
      <c r="L4250"/>
    </row>
    <row r="4251" spans="1:12" x14ac:dyDescent="0.3">
      <c r="A4251" t="s">
        <v>4257</v>
      </c>
      <c r="B4251" t="s">
        <v>10015</v>
      </c>
      <c r="C4251">
        <v>2</v>
      </c>
      <c r="D4251">
        <v>3</v>
      </c>
      <c r="E4251">
        <v>6</v>
      </c>
      <c r="F4251" t="s">
        <v>10020</v>
      </c>
      <c r="G4251" t="s">
        <v>10069</v>
      </c>
      <c r="H4251" s="6">
        <v>45031</v>
      </c>
      <c r="I4251">
        <f t="shared" si="132"/>
        <v>1</v>
      </c>
      <c r="J4251" t="str">
        <f t="shared" si="133"/>
        <v>Complete</v>
      </c>
      <c r="K4251">
        <f>COUNTIFS(RawData[Item], B4251,RawData[Quantity],C4251,RawData[Price Per Unit],D4251,RawData[Total Spent],E4251,RawData[Payment Method],F4251,RawData[Location],G4251,RawData[Transaction Date],H4251)</f>
        <v>1</v>
      </c>
      <c r="L4251"/>
    </row>
    <row r="4252" spans="1:12" x14ac:dyDescent="0.3">
      <c r="A4252" t="s">
        <v>4258</v>
      </c>
      <c r="B4252" t="s">
        <v>10012</v>
      </c>
      <c r="C4252">
        <v>4</v>
      </c>
      <c r="D4252">
        <v>4</v>
      </c>
      <c r="E4252">
        <v>16</v>
      </c>
      <c r="F4252" t="s">
        <v>10018</v>
      </c>
      <c r="G4252" t="s">
        <v>10021</v>
      </c>
      <c r="H4252" s="6">
        <v>44933</v>
      </c>
      <c r="I4252">
        <f t="shared" si="132"/>
        <v>0</v>
      </c>
      <c r="J4252" t="str">
        <f t="shared" si="133"/>
        <v>Complete</v>
      </c>
      <c r="K4252">
        <f>COUNTIFS(RawData[Item], B4252,RawData[Quantity],C4252,RawData[Price Per Unit],D4252,RawData[Total Spent],E4252,RawData[Payment Method],F4252,RawData[Location],G4252,RawData[Transaction Date],H4252)</f>
        <v>1</v>
      </c>
      <c r="L4252"/>
    </row>
    <row r="4253" spans="1:12" x14ac:dyDescent="0.3">
      <c r="A4253" t="s">
        <v>4259</v>
      </c>
      <c r="B4253" t="s">
        <v>10012</v>
      </c>
      <c r="C4253">
        <v>5</v>
      </c>
      <c r="D4253">
        <v>4</v>
      </c>
      <c r="E4253">
        <v>20</v>
      </c>
      <c r="F4253" t="s">
        <v>10019</v>
      </c>
      <c r="G4253" t="s">
        <v>10069</v>
      </c>
      <c r="H4253" s="6">
        <v>45182</v>
      </c>
      <c r="I4253">
        <f t="shared" si="132"/>
        <v>0</v>
      </c>
      <c r="J4253" t="str">
        <f t="shared" si="133"/>
        <v>Complete</v>
      </c>
      <c r="K4253">
        <f>COUNTIFS(RawData[Item], B4253,RawData[Quantity],C4253,RawData[Price Per Unit],D4253,RawData[Total Spent],E4253,RawData[Payment Method],F4253,RawData[Location],G4253,RawData[Transaction Date],H4253)</f>
        <v>1</v>
      </c>
      <c r="L4253"/>
    </row>
    <row r="4254" spans="1:12" x14ac:dyDescent="0.3">
      <c r="A4254" t="s">
        <v>4260</v>
      </c>
      <c r="B4254" t="s">
        <v>10011</v>
      </c>
      <c r="C4254">
        <v>3</v>
      </c>
      <c r="D4254">
        <v>5</v>
      </c>
      <c r="E4254">
        <v>15</v>
      </c>
      <c r="F4254" t="s">
        <v>10020</v>
      </c>
      <c r="G4254" t="s">
        <v>10069</v>
      </c>
      <c r="H4254" s="6">
        <v>44967</v>
      </c>
      <c r="I4254">
        <f t="shared" si="132"/>
        <v>0</v>
      </c>
      <c r="J4254" t="str">
        <f t="shared" si="133"/>
        <v>Complete</v>
      </c>
      <c r="K4254">
        <f>COUNTIFS(RawData[Item], B4254,RawData[Quantity],C4254,RawData[Price Per Unit],D4254,RawData[Total Spent],E4254,RawData[Payment Method],F4254,RawData[Location],G4254,RawData[Transaction Date],H4254)</f>
        <v>1</v>
      </c>
      <c r="L4254"/>
    </row>
    <row r="4255" spans="1:12" x14ac:dyDescent="0.3">
      <c r="A4255" t="s">
        <v>4261</v>
      </c>
      <c r="B4255" t="s">
        <v>10017</v>
      </c>
      <c r="C4255">
        <v>2</v>
      </c>
      <c r="D4255">
        <v>1.5</v>
      </c>
      <c r="E4255">
        <v>3</v>
      </c>
      <c r="F4255" t="s">
        <v>10069</v>
      </c>
      <c r="G4255" t="s">
        <v>10102</v>
      </c>
      <c r="H4255" s="6" t="s">
        <v>10112</v>
      </c>
      <c r="I4255">
        <f t="shared" si="132"/>
        <v>1</v>
      </c>
      <c r="J4255" t="str">
        <f t="shared" si="133"/>
        <v>Incomplete</v>
      </c>
      <c r="K4255">
        <f>COUNTIFS(RawData[Item], B4255,RawData[Quantity],C4255,RawData[Price Per Unit],D4255,RawData[Total Spent],E4255,RawData[Payment Method],F4255,RawData[Location],G4255,RawData[Transaction Date],H4255)</f>
        <v>1</v>
      </c>
      <c r="L4255"/>
    </row>
    <row r="4256" spans="1:12" x14ac:dyDescent="0.3">
      <c r="A4256" t="s">
        <v>4262</v>
      </c>
      <c r="B4256" t="s">
        <v>10012</v>
      </c>
      <c r="C4256">
        <v>3</v>
      </c>
      <c r="D4256">
        <v>4</v>
      </c>
      <c r="E4256">
        <v>12</v>
      </c>
      <c r="F4256" t="s">
        <v>10103</v>
      </c>
      <c r="G4256" t="s">
        <v>10069</v>
      </c>
      <c r="H4256" s="6">
        <v>45277</v>
      </c>
      <c r="I4256">
        <f t="shared" si="132"/>
        <v>1</v>
      </c>
      <c r="J4256" t="str">
        <f t="shared" si="133"/>
        <v>Complete</v>
      </c>
      <c r="K4256">
        <f>COUNTIFS(RawData[Item], B4256,RawData[Quantity],C4256,RawData[Price Per Unit],D4256,RawData[Total Spent],E4256,RawData[Payment Method],F4256,RawData[Location],G4256,RawData[Transaction Date],H4256)</f>
        <v>1</v>
      </c>
      <c r="L4256"/>
    </row>
    <row r="4257" spans="1:12" x14ac:dyDescent="0.3">
      <c r="A4257" t="s">
        <v>4263</v>
      </c>
      <c r="B4257" t="s">
        <v>10069</v>
      </c>
      <c r="C4257">
        <v>2</v>
      </c>
      <c r="D4257">
        <v>3</v>
      </c>
      <c r="E4257">
        <v>6</v>
      </c>
      <c r="F4257" t="s">
        <v>10018</v>
      </c>
      <c r="G4257" t="s">
        <v>10021</v>
      </c>
      <c r="H4257" s="6">
        <v>44935</v>
      </c>
      <c r="I4257">
        <f t="shared" si="132"/>
        <v>0</v>
      </c>
      <c r="J4257" t="str">
        <f t="shared" si="133"/>
        <v>Complete</v>
      </c>
      <c r="K4257">
        <f>COUNTIFS(RawData[Item], B4257,RawData[Quantity],C4257,RawData[Price Per Unit],D4257,RawData[Total Spent],E4257,RawData[Payment Method],F4257,RawData[Location],G4257,RawData[Transaction Date],H4257)</f>
        <v>1</v>
      </c>
      <c r="L4257"/>
    </row>
    <row r="4258" spans="1:12" x14ac:dyDescent="0.3">
      <c r="A4258" t="s">
        <v>4264</v>
      </c>
      <c r="B4258" t="s">
        <v>10012</v>
      </c>
      <c r="C4258">
        <v>1</v>
      </c>
      <c r="D4258">
        <v>4</v>
      </c>
      <c r="E4258">
        <v>4</v>
      </c>
      <c r="F4258" t="s">
        <v>10069</v>
      </c>
      <c r="G4258" t="s">
        <v>10102</v>
      </c>
      <c r="H4258" s="6">
        <v>44963</v>
      </c>
      <c r="I4258">
        <f t="shared" si="132"/>
        <v>0</v>
      </c>
      <c r="J4258" t="str">
        <f t="shared" si="133"/>
        <v>Complete</v>
      </c>
      <c r="K4258">
        <f>COUNTIFS(RawData[Item], B4258,RawData[Quantity],C4258,RawData[Price Per Unit],D4258,RawData[Total Spent],E4258,RawData[Payment Method],F4258,RawData[Location],G4258,RawData[Transaction Date],H4258)</f>
        <v>1</v>
      </c>
      <c r="L4258"/>
    </row>
    <row r="4259" spans="1:12" x14ac:dyDescent="0.3">
      <c r="A4259" t="s">
        <v>4265</v>
      </c>
      <c r="B4259" t="s">
        <v>10008</v>
      </c>
      <c r="C4259" t="s">
        <v>10015</v>
      </c>
      <c r="D4259">
        <v>2</v>
      </c>
      <c r="E4259" t="s">
        <v>10015</v>
      </c>
      <c r="F4259" t="s">
        <v>10020</v>
      </c>
      <c r="G4259" t="s">
        <v>10021</v>
      </c>
      <c r="H4259" s="6">
        <v>45187</v>
      </c>
      <c r="I4259">
        <f t="shared" si="132"/>
        <v>2</v>
      </c>
      <c r="J4259" t="str">
        <f t="shared" si="133"/>
        <v>Complete</v>
      </c>
      <c r="K4259">
        <f>COUNTIFS(RawData[Item], B4259,RawData[Quantity],C4259,RawData[Price Per Unit],D4259,RawData[Total Spent],E4259,RawData[Payment Method],F4259,RawData[Location],G4259,RawData[Transaction Date],H4259)</f>
        <v>1</v>
      </c>
      <c r="L4259"/>
    </row>
    <row r="4260" spans="1:12" x14ac:dyDescent="0.3">
      <c r="A4260" t="s">
        <v>4266</v>
      </c>
      <c r="B4260" t="s">
        <v>10011</v>
      </c>
      <c r="C4260">
        <v>1</v>
      </c>
      <c r="D4260">
        <v>5</v>
      </c>
      <c r="E4260">
        <v>5</v>
      </c>
      <c r="F4260" t="s">
        <v>10018</v>
      </c>
      <c r="G4260" t="s">
        <v>10102</v>
      </c>
      <c r="H4260" s="6">
        <v>45208</v>
      </c>
      <c r="I4260">
        <f t="shared" si="132"/>
        <v>0</v>
      </c>
      <c r="J4260" t="str">
        <f t="shared" si="133"/>
        <v>Complete</v>
      </c>
      <c r="K4260">
        <f>COUNTIFS(RawData[Item], B4260,RawData[Quantity],C4260,RawData[Price Per Unit],D4260,RawData[Total Spent],E4260,RawData[Payment Method],F4260,RawData[Location],G4260,RawData[Transaction Date],H4260)</f>
        <v>1</v>
      </c>
      <c r="L4260"/>
    </row>
    <row r="4261" spans="1:12" x14ac:dyDescent="0.3">
      <c r="A4261" t="s">
        <v>4267</v>
      </c>
      <c r="B4261" t="s">
        <v>10010</v>
      </c>
      <c r="C4261">
        <v>1</v>
      </c>
      <c r="D4261">
        <v>1</v>
      </c>
      <c r="E4261" t="s">
        <v>10015</v>
      </c>
      <c r="F4261" t="s">
        <v>10019</v>
      </c>
      <c r="G4261" t="s">
        <v>10069</v>
      </c>
      <c r="H4261" s="6">
        <v>45212</v>
      </c>
      <c r="I4261">
        <f t="shared" si="132"/>
        <v>1</v>
      </c>
      <c r="J4261" t="str">
        <f t="shared" si="133"/>
        <v>Complete</v>
      </c>
      <c r="K4261">
        <f>COUNTIFS(RawData[Item], B4261,RawData[Quantity],C4261,RawData[Price Per Unit],D4261,RawData[Total Spent],E4261,RawData[Payment Method],F4261,RawData[Location],G4261,RawData[Transaction Date],H4261)</f>
        <v>1</v>
      </c>
      <c r="L4261"/>
    </row>
    <row r="4262" spans="1:12" x14ac:dyDescent="0.3">
      <c r="A4262" t="s">
        <v>4268</v>
      </c>
      <c r="B4262" t="s">
        <v>10011</v>
      </c>
      <c r="C4262">
        <v>1</v>
      </c>
      <c r="D4262">
        <v>5</v>
      </c>
      <c r="E4262">
        <v>5</v>
      </c>
      <c r="F4262" t="s">
        <v>10020</v>
      </c>
      <c r="G4262" t="s">
        <v>10021</v>
      </c>
      <c r="H4262" s="6">
        <v>44942</v>
      </c>
      <c r="I4262">
        <f t="shared" si="132"/>
        <v>0</v>
      </c>
      <c r="J4262" t="str">
        <f t="shared" si="133"/>
        <v>Complete</v>
      </c>
      <c r="K4262">
        <f>COUNTIFS(RawData[Item], B4262,RawData[Quantity],C4262,RawData[Price Per Unit],D4262,RawData[Total Spent],E4262,RawData[Payment Method],F4262,RawData[Location],G4262,RawData[Transaction Date],H4262)</f>
        <v>1</v>
      </c>
      <c r="L4262"/>
    </row>
    <row r="4263" spans="1:12" x14ac:dyDescent="0.3">
      <c r="A4263" t="s">
        <v>4269</v>
      </c>
      <c r="B4263" t="s">
        <v>10016</v>
      </c>
      <c r="C4263">
        <v>4</v>
      </c>
      <c r="D4263">
        <v>3</v>
      </c>
      <c r="E4263">
        <v>12</v>
      </c>
      <c r="F4263" t="s">
        <v>10069</v>
      </c>
      <c r="G4263" t="s">
        <v>10069</v>
      </c>
      <c r="H4263" s="6">
        <v>45210</v>
      </c>
      <c r="I4263">
        <f t="shared" si="132"/>
        <v>0</v>
      </c>
      <c r="J4263" t="str">
        <f t="shared" si="133"/>
        <v>Complete</v>
      </c>
      <c r="K4263">
        <f>COUNTIFS(RawData[Item], B4263,RawData[Quantity],C4263,RawData[Price Per Unit],D4263,RawData[Total Spent],E4263,RawData[Payment Method],F4263,RawData[Location],G4263,RawData[Transaction Date],H4263)</f>
        <v>1</v>
      </c>
      <c r="L4263"/>
    </row>
    <row r="4264" spans="1:12" x14ac:dyDescent="0.3">
      <c r="A4264" t="s">
        <v>4270</v>
      </c>
      <c r="B4264" t="s">
        <v>10009</v>
      </c>
      <c r="C4264">
        <v>5</v>
      </c>
      <c r="D4264">
        <v>3</v>
      </c>
      <c r="E4264">
        <v>15</v>
      </c>
      <c r="F4264" t="s">
        <v>10019</v>
      </c>
      <c r="G4264" t="s">
        <v>10069</v>
      </c>
      <c r="H4264" s="6">
        <v>45243</v>
      </c>
      <c r="I4264">
        <f t="shared" si="132"/>
        <v>0</v>
      </c>
      <c r="J4264" t="str">
        <f t="shared" si="133"/>
        <v>Complete</v>
      </c>
      <c r="K4264">
        <f>COUNTIFS(RawData[Item], B4264,RawData[Quantity],C4264,RawData[Price Per Unit],D4264,RawData[Total Spent],E4264,RawData[Payment Method],F4264,RawData[Location],G4264,RawData[Transaction Date],H4264)</f>
        <v>1</v>
      </c>
      <c r="L4264"/>
    </row>
    <row r="4265" spans="1:12" x14ac:dyDescent="0.3">
      <c r="A4265" t="s">
        <v>4271</v>
      </c>
      <c r="B4265" t="s">
        <v>10014</v>
      </c>
      <c r="C4265">
        <v>2</v>
      </c>
      <c r="D4265">
        <v>4</v>
      </c>
      <c r="E4265">
        <v>8</v>
      </c>
      <c r="F4265" t="s">
        <v>10018</v>
      </c>
      <c r="G4265" t="s">
        <v>10021</v>
      </c>
      <c r="H4265" s="6">
        <v>44929</v>
      </c>
      <c r="I4265">
        <f t="shared" si="132"/>
        <v>0</v>
      </c>
      <c r="J4265" t="str">
        <f t="shared" si="133"/>
        <v>Complete</v>
      </c>
      <c r="K4265">
        <f>COUNTIFS(RawData[Item], B4265,RawData[Quantity],C4265,RawData[Price Per Unit],D4265,RawData[Total Spent],E4265,RawData[Payment Method],F4265,RawData[Location],G4265,RawData[Transaction Date],H4265)</f>
        <v>1</v>
      </c>
      <c r="L4265"/>
    </row>
    <row r="4266" spans="1:12" x14ac:dyDescent="0.3">
      <c r="A4266" t="s">
        <v>4272</v>
      </c>
      <c r="B4266" t="s">
        <v>10011</v>
      </c>
      <c r="C4266">
        <v>2</v>
      </c>
      <c r="D4266">
        <v>5</v>
      </c>
      <c r="E4266">
        <v>10</v>
      </c>
      <c r="F4266" t="s">
        <v>10018</v>
      </c>
      <c r="G4266" t="s">
        <v>10021</v>
      </c>
      <c r="H4266" s="6">
        <v>45182</v>
      </c>
      <c r="I4266">
        <f t="shared" si="132"/>
        <v>0</v>
      </c>
      <c r="J4266" t="str">
        <f t="shared" si="133"/>
        <v>Complete</v>
      </c>
      <c r="K4266">
        <f>COUNTIFS(RawData[Item], B4266,RawData[Quantity],C4266,RawData[Price Per Unit],D4266,RawData[Total Spent],E4266,RawData[Payment Method],F4266,RawData[Location],G4266,RawData[Transaction Date],H4266)</f>
        <v>1</v>
      </c>
      <c r="L4266"/>
    </row>
    <row r="4267" spans="1:12" x14ac:dyDescent="0.3">
      <c r="A4267" t="s">
        <v>4273</v>
      </c>
      <c r="B4267" t="s">
        <v>10008</v>
      </c>
      <c r="C4267">
        <v>1</v>
      </c>
      <c r="D4267" t="s">
        <v>10013</v>
      </c>
      <c r="E4267">
        <v>2</v>
      </c>
      <c r="F4267" t="s">
        <v>10019</v>
      </c>
      <c r="G4267" t="s">
        <v>10102</v>
      </c>
      <c r="H4267" s="6">
        <v>45224</v>
      </c>
      <c r="I4267">
        <f t="shared" si="132"/>
        <v>1</v>
      </c>
      <c r="J4267" t="str">
        <f t="shared" si="133"/>
        <v>Complete</v>
      </c>
      <c r="K4267">
        <f>COUNTIFS(RawData[Item], B4267,RawData[Quantity],C4267,RawData[Price Per Unit],D4267,RawData[Total Spent],E4267,RawData[Payment Method],F4267,RawData[Location],G4267,RawData[Transaction Date],H4267)</f>
        <v>1</v>
      </c>
      <c r="L4267"/>
    </row>
    <row r="4268" spans="1:12" x14ac:dyDescent="0.3">
      <c r="A4268" t="s">
        <v>4274</v>
      </c>
      <c r="B4268" t="s">
        <v>10016</v>
      </c>
      <c r="C4268">
        <v>3</v>
      </c>
      <c r="D4268">
        <v>3</v>
      </c>
      <c r="E4268">
        <v>9</v>
      </c>
      <c r="F4268" t="s">
        <v>10018</v>
      </c>
      <c r="G4268" t="s">
        <v>10021</v>
      </c>
      <c r="H4268" s="6">
        <v>44948</v>
      </c>
      <c r="I4268">
        <f t="shared" si="132"/>
        <v>0</v>
      </c>
      <c r="J4268" t="str">
        <f t="shared" si="133"/>
        <v>Complete</v>
      </c>
      <c r="K4268">
        <f>COUNTIFS(RawData[Item], B4268,RawData[Quantity],C4268,RawData[Price Per Unit],D4268,RawData[Total Spent],E4268,RawData[Payment Method],F4268,RawData[Location],G4268,RawData[Transaction Date],H4268)</f>
        <v>1</v>
      </c>
      <c r="L4268"/>
    </row>
    <row r="4269" spans="1:12" x14ac:dyDescent="0.3">
      <c r="A4269" t="s">
        <v>4275</v>
      </c>
      <c r="B4269" t="s">
        <v>10016</v>
      </c>
      <c r="C4269">
        <v>5</v>
      </c>
      <c r="D4269">
        <v>3</v>
      </c>
      <c r="E4269">
        <v>15</v>
      </c>
      <c r="F4269" t="s">
        <v>10018</v>
      </c>
      <c r="G4269" t="s">
        <v>10021</v>
      </c>
      <c r="H4269" s="6">
        <v>45229</v>
      </c>
      <c r="I4269">
        <f t="shared" si="132"/>
        <v>0</v>
      </c>
      <c r="J4269" t="str">
        <f t="shared" si="133"/>
        <v>Complete</v>
      </c>
      <c r="K4269">
        <f>COUNTIFS(RawData[Item], B4269,RawData[Quantity],C4269,RawData[Price Per Unit],D4269,RawData[Total Spent],E4269,RawData[Payment Method],F4269,RawData[Location],G4269,RawData[Transaction Date],H4269)</f>
        <v>1</v>
      </c>
      <c r="L4269"/>
    </row>
    <row r="4270" spans="1:12" x14ac:dyDescent="0.3">
      <c r="A4270" t="s">
        <v>4276</v>
      </c>
      <c r="B4270" t="s">
        <v>10010</v>
      </c>
      <c r="C4270">
        <v>3</v>
      </c>
      <c r="D4270">
        <v>1</v>
      </c>
      <c r="E4270">
        <v>3</v>
      </c>
      <c r="F4270" t="s">
        <v>10020</v>
      </c>
      <c r="G4270" t="s">
        <v>10103</v>
      </c>
      <c r="H4270" s="6">
        <v>45029</v>
      </c>
      <c r="I4270">
        <f t="shared" si="132"/>
        <v>1</v>
      </c>
      <c r="J4270" t="str">
        <f t="shared" si="133"/>
        <v>Complete</v>
      </c>
      <c r="K4270">
        <f>COUNTIFS(RawData[Item], B4270,RawData[Quantity],C4270,RawData[Price Per Unit],D4270,RawData[Total Spent],E4270,RawData[Payment Method],F4270,RawData[Location],G4270,RawData[Transaction Date],H4270)</f>
        <v>1</v>
      </c>
      <c r="L4270"/>
    </row>
    <row r="4271" spans="1:12" x14ac:dyDescent="0.3">
      <c r="A4271" t="s">
        <v>4277</v>
      </c>
      <c r="B4271" t="s">
        <v>10069</v>
      </c>
      <c r="C4271">
        <v>5</v>
      </c>
      <c r="D4271">
        <v>5</v>
      </c>
      <c r="E4271">
        <v>25</v>
      </c>
      <c r="F4271" t="s">
        <v>10018</v>
      </c>
      <c r="G4271" t="s">
        <v>10069</v>
      </c>
      <c r="H4271" s="6">
        <v>45039</v>
      </c>
      <c r="I4271">
        <f t="shared" si="132"/>
        <v>0</v>
      </c>
      <c r="J4271" t="str">
        <f t="shared" si="133"/>
        <v>Complete</v>
      </c>
      <c r="K4271">
        <f>COUNTIFS(RawData[Item], B4271,RawData[Quantity],C4271,RawData[Price Per Unit],D4271,RawData[Total Spent],E4271,RawData[Payment Method],F4271,RawData[Location],G4271,RawData[Transaction Date],H4271)</f>
        <v>1</v>
      </c>
      <c r="L4271"/>
    </row>
    <row r="4272" spans="1:12" x14ac:dyDescent="0.3">
      <c r="A4272" t="s">
        <v>4278</v>
      </c>
      <c r="B4272" t="s">
        <v>10009</v>
      </c>
      <c r="C4272">
        <v>4</v>
      </c>
      <c r="D4272">
        <v>3</v>
      </c>
      <c r="E4272">
        <v>12</v>
      </c>
      <c r="F4272" t="s">
        <v>10104</v>
      </c>
      <c r="G4272" t="s">
        <v>10102</v>
      </c>
      <c r="H4272" s="6">
        <v>45209</v>
      </c>
      <c r="I4272">
        <f t="shared" si="132"/>
        <v>1</v>
      </c>
      <c r="J4272" t="str">
        <f t="shared" si="133"/>
        <v>Complete</v>
      </c>
      <c r="K4272">
        <f>COUNTIFS(RawData[Item], B4272,RawData[Quantity],C4272,RawData[Price Per Unit],D4272,RawData[Total Spent],E4272,RawData[Payment Method],F4272,RawData[Location],G4272,RawData[Transaction Date],H4272)</f>
        <v>1</v>
      </c>
      <c r="L4272"/>
    </row>
    <row r="4273" spans="1:12" x14ac:dyDescent="0.3">
      <c r="A4273" t="s">
        <v>4279</v>
      </c>
      <c r="B4273" t="s">
        <v>10010</v>
      </c>
      <c r="C4273">
        <v>4</v>
      </c>
      <c r="D4273">
        <v>1</v>
      </c>
      <c r="E4273">
        <v>4</v>
      </c>
      <c r="F4273" t="s">
        <v>10018</v>
      </c>
      <c r="G4273" t="s">
        <v>10069</v>
      </c>
      <c r="H4273" s="6">
        <v>45124</v>
      </c>
      <c r="I4273">
        <f t="shared" si="132"/>
        <v>0</v>
      </c>
      <c r="J4273" t="str">
        <f t="shared" si="133"/>
        <v>Complete</v>
      </c>
      <c r="K4273">
        <f>COUNTIFS(RawData[Item], B4273,RawData[Quantity],C4273,RawData[Price Per Unit],D4273,RawData[Total Spent],E4273,RawData[Payment Method],F4273,RawData[Location],G4273,RawData[Transaction Date],H4273)</f>
        <v>1</v>
      </c>
      <c r="L4273"/>
    </row>
    <row r="4274" spans="1:12" x14ac:dyDescent="0.3">
      <c r="A4274" t="s">
        <v>4280</v>
      </c>
      <c r="B4274" t="s">
        <v>10014</v>
      </c>
      <c r="C4274">
        <v>4</v>
      </c>
      <c r="D4274">
        <v>4</v>
      </c>
      <c r="E4274">
        <v>16</v>
      </c>
      <c r="F4274" t="s">
        <v>10020</v>
      </c>
      <c r="G4274" t="s">
        <v>10069</v>
      </c>
      <c r="H4274" s="6">
        <v>45242</v>
      </c>
      <c r="I4274">
        <f t="shared" si="132"/>
        <v>0</v>
      </c>
      <c r="J4274" t="str">
        <f t="shared" si="133"/>
        <v>Complete</v>
      </c>
      <c r="K4274">
        <f>COUNTIFS(RawData[Item], B4274,RawData[Quantity],C4274,RawData[Price Per Unit],D4274,RawData[Total Spent],E4274,RawData[Payment Method],F4274,RawData[Location],G4274,RawData[Transaction Date],H4274)</f>
        <v>1</v>
      </c>
      <c r="L4274"/>
    </row>
    <row r="4275" spans="1:12" x14ac:dyDescent="0.3">
      <c r="A4275" t="s">
        <v>4281</v>
      </c>
      <c r="B4275" t="s">
        <v>10008</v>
      </c>
      <c r="C4275">
        <v>3</v>
      </c>
      <c r="D4275">
        <v>2</v>
      </c>
      <c r="E4275">
        <v>6</v>
      </c>
      <c r="F4275" t="s">
        <v>10069</v>
      </c>
      <c r="G4275" t="s">
        <v>10021</v>
      </c>
      <c r="H4275" s="6">
        <v>45084</v>
      </c>
      <c r="I4275">
        <f t="shared" si="132"/>
        <v>0</v>
      </c>
      <c r="J4275" t="str">
        <f t="shared" si="133"/>
        <v>Complete</v>
      </c>
      <c r="K4275">
        <f>COUNTIFS(RawData[Item], B4275,RawData[Quantity],C4275,RawData[Price Per Unit],D4275,RawData[Total Spent],E4275,RawData[Payment Method],F4275,RawData[Location],G4275,RawData[Transaction Date],H4275)</f>
        <v>1</v>
      </c>
      <c r="L4275"/>
    </row>
    <row r="4276" spans="1:12" x14ac:dyDescent="0.3">
      <c r="A4276" t="s">
        <v>4282</v>
      </c>
      <c r="B4276" t="s">
        <v>10008</v>
      </c>
      <c r="C4276">
        <v>1</v>
      </c>
      <c r="D4276">
        <v>2</v>
      </c>
      <c r="E4276">
        <v>2</v>
      </c>
      <c r="F4276" t="s">
        <v>10020</v>
      </c>
      <c r="G4276" t="s">
        <v>10021</v>
      </c>
      <c r="H4276" s="6">
        <v>45249</v>
      </c>
      <c r="I4276">
        <f t="shared" si="132"/>
        <v>0</v>
      </c>
      <c r="J4276" t="str">
        <f t="shared" si="133"/>
        <v>Complete</v>
      </c>
      <c r="K4276">
        <f>COUNTIFS(RawData[Item], B4276,RawData[Quantity],C4276,RawData[Price Per Unit],D4276,RawData[Total Spent],E4276,RawData[Payment Method],F4276,RawData[Location],G4276,RawData[Transaction Date],H4276)</f>
        <v>1</v>
      </c>
      <c r="L4276"/>
    </row>
    <row r="4277" spans="1:12" x14ac:dyDescent="0.3">
      <c r="A4277" t="s">
        <v>4283</v>
      </c>
      <c r="B4277" t="s">
        <v>10008</v>
      </c>
      <c r="C4277">
        <v>4</v>
      </c>
      <c r="D4277">
        <v>2</v>
      </c>
      <c r="E4277">
        <v>8</v>
      </c>
      <c r="F4277" t="s">
        <v>10018</v>
      </c>
      <c r="G4277" t="s">
        <v>10021</v>
      </c>
      <c r="H4277" s="6">
        <v>45219</v>
      </c>
      <c r="I4277">
        <f t="shared" si="132"/>
        <v>0</v>
      </c>
      <c r="J4277" t="str">
        <f t="shared" si="133"/>
        <v>Complete</v>
      </c>
      <c r="K4277">
        <f>COUNTIFS(RawData[Item], B4277,RawData[Quantity],C4277,RawData[Price Per Unit],D4277,RawData[Total Spent],E4277,RawData[Payment Method],F4277,RawData[Location],G4277,RawData[Transaction Date],H4277)</f>
        <v>1</v>
      </c>
      <c r="L4277"/>
    </row>
    <row r="4278" spans="1:12" x14ac:dyDescent="0.3">
      <c r="A4278" t="s">
        <v>4284</v>
      </c>
      <c r="B4278" t="s">
        <v>10014</v>
      </c>
      <c r="C4278">
        <v>1</v>
      </c>
      <c r="D4278">
        <v>4</v>
      </c>
      <c r="E4278" t="s">
        <v>10015</v>
      </c>
      <c r="F4278" t="s">
        <v>10069</v>
      </c>
      <c r="G4278" t="s">
        <v>10021</v>
      </c>
      <c r="H4278" s="6">
        <v>45107</v>
      </c>
      <c r="I4278">
        <f t="shared" si="132"/>
        <v>1</v>
      </c>
      <c r="J4278" t="str">
        <f t="shared" si="133"/>
        <v>Complete</v>
      </c>
      <c r="K4278">
        <f>COUNTIFS(RawData[Item], B4278,RawData[Quantity],C4278,RawData[Price Per Unit],D4278,RawData[Total Spent],E4278,RawData[Payment Method],F4278,RawData[Location],G4278,RawData[Transaction Date],H4278)</f>
        <v>1</v>
      </c>
      <c r="L4278"/>
    </row>
    <row r="4279" spans="1:12" x14ac:dyDescent="0.3">
      <c r="A4279" t="s">
        <v>4285</v>
      </c>
      <c r="B4279" t="s">
        <v>10010</v>
      </c>
      <c r="C4279">
        <v>1</v>
      </c>
      <c r="D4279">
        <v>1</v>
      </c>
      <c r="E4279">
        <v>1</v>
      </c>
      <c r="F4279" t="s">
        <v>10020</v>
      </c>
      <c r="G4279" t="s">
        <v>10069</v>
      </c>
      <c r="H4279" s="6">
        <v>45182</v>
      </c>
      <c r="I4279">
        <f t="shared" si="132"/>
        <v>0</v>
      </c>
      <c r="J4279" t="str">
        <f t="shared" si="133"/>
        <v>Complete</v>
      </c>
      <c r="K4279">
        <f>COUNTIFS(RawData[Item], B4279,RawData[Quantity],C4279,RawData[Price Per Unit],D4279,RawData[Total Spent],E4279,RawData[Payment Method],F4279,RawData[Location],G4279,RawData[Transaction Date],H4279)</f>
        <v>1</v>
      </c>
      <c r="L4279"/>
    </row>
    <row r="4280" spans="1:12" x14ac:dyDescent="0.3">
      <c r="A4280" t="s">
        <v>4286</v>
      </c>
      <c r="B4280" t="s">
        <v>10009</v>
      </c>
      <c r="C4280">
        <v>5</v>
      </c>
      <c r="D4280">
        <v>3</v>
      </c>
      <c r="E4280">
        <v>15</v>
      </c>
      <c r="F4280" t="s">
        <v>10019</v>
      </c>
      <c r="G4280" t="s">
        <v>10069</v>
      </c>
      <c r="H4280" s="6">
        <v>45119</v>
      </c>
      <c r="I4280">
        <f t="shared" si="132"/>
        <v>0</v>
      </c>
      <c r="J4280" t="str">
        <f t="shared" si="133"/>
        <v>Complete</v>
      </c>
      <c r="K4280">
        <f>COUNTIFS(RawData[Item], B4280,RawData[Quantity],C4280,RawData[Price Per Unit],D4280,RawData[Total Spent],E4280,RawData[Payment Method],F4280,RawData[Location],G4280,RawData[Transaction Date],H4280)</f>
        <v>1</v>
      </c>
      <c r="L4280"/>
    </row>
    <row r="4281" spans="1:12" x14ac:dyDescent="0.3">
      <c r="A4281" t="s">
        <v>4287</v>
      </c>
      <c r="B4281" t="s">
        <v>10069</v>
      </c>
      <c r="C4281">
        <v>5</v>
      </c>
      <c r="D4281">
        <v>4</v>
      </c>
      <c r="E4281">
        <v>20</v>
      </c>
      <c r="F4281" t="s">
        <v>10069</v>
      </c>
      <c r="G4281" t="s">
        <v>10021</v>
      </c>
      <c r="H4281" s="6">
        <v>45243</v>
      </c>
      <c r="I4281">
        <f t="shared" si="132"/>
        <v>0</v>
      </c>
      <c r="J4281" t="str">
        <f t="shared" si="133"/>
        <v>Complete</v>
      </c>
      <c r="K4281">
        <f>COUNTIFS(RawData[Item], B4281,RawData[Quantity],C4281,RawData[Price Per Unit],D4281,RawData[Total Spent],E4281,RawData[Payment Method],F4281,RawData[Location],G4281,RawData[Transaction Date],H4281)</f>
        <v>1</v>
      </c>
      <c r="L4281"/>
    </row>
    <row r="4282" spans="1:12" x14ac:dyDescent="0.3">
      <c r="A4282" t="s">
        <v>4288</v>
      </c>
      <c r="B4282" t="s">
        <v>10017</v>
      </c>
      <c r="C4282">
        <v>4</v>
      </c>
      <c r="D4282">
        <v>1.5</v>
      </c>
      <c r="E4282">
        <v>6</v>
      </c>
      <c r="F4282" t="s">
        <v>10019</v>
      </c>
      <c r="G4282" t="s">
        <v>10069</v>
      </c>
      <c r="H4282" s="6">
        <v>45152</v>
      </c>
      <c r="I4282">
        <f t="shared" si="132"/>
        <v>0</v>
      </c>
      <c r="J4282" t="str">
        <f t="shared" si="133"/>
        <v>Complete</v>
      </c>
      <c r="K4282">
        <f>COUNTIFS(RawData[Item], B4282,RawData[Quantity],C4282,RawData[Price Per Unit],D4282,RawData[Total Spent],E4282,RawData[Payment Method],F4282,RawData[Location],G4282,RawData[Transaction Date],H4282)</f>
        <v>1</v>
      </c>
      <c r="L4282"/>
    </row>
    <row r="4283" spans="1:12" x14ac:dyDescent="0.3">
      <c r="A4283" t="s">
        <v>4289</v>
      </c>
      <c r="B4283" t="s">
        <v>10016</v>
      </c>
      <c r="C4283">
        <v>4</v>
      </c>
      <c r="D4283">
        <v>3</v>
      </c>
      <c r="E4283">
        <v>12</v>
      </c>
      <c r="F4283" t="s">
        <v>10019</v>
      </c>
      <c r="G4283" t="s">
        <v>10069</v>
      </c>
      <c r="H4283" s="6">
        <v>45080</v>
      </c>
      <c r="I4283">
        <f t="shared" si="132"/>
        <v>0</v>
      </c>
      <c r="J4283" t="str">
        <f t="shared" si="133"/>
        <v>Complete</v>
      </c>
      <c r="K4283">
        <f>COUNTIFS(RawData[Item], B4283,RawData[Quantity],C4283,RawData[Price Per Unit],D4283,RawData[Total Spent],E4283,RawData[Payment Method],F4283,RawData[Location],G4283,RawData[Transaction Date],H4283)</f>
        <v>1</v>
      </c>
      <c r="L4283"/>
    </row>
    <row r="4284" spans="1:12" x14ac:dyDescent="0.3">
      <c r="A4284" t="s">
        <v>4290</v>
      </c>
      <c r="B4284" t="s">
        <v>10017</v>
      </c>
      <c r="C4284">
        <v>2</v>
      </c>
      <c r="D4284">
        <v>1.5</v>
      </c>
      <c r="E4284">
        <v>3</v>
      </c>
      <c r="F4284" t="s">
        <v>10069</v>
      </c>
      <c r="G4284" t="s">
        <v>10102</v>
      </c>
      <c r="H4284" s="6">
        <v>44979</v>
      </c>
      <c r="I4284">
        <f t="shared" si="132"/>
        <v>0</v>
      </c>
      <c r="J4284" t="str">
        <f t="shared" si="133"/>
        <v>Complete</v>
      </c>
      <c r="K4284">
        <f>COUNTIFS(RawData[Item], B4284,RawData[Quantity],C4284,RawData[Price Per Unit],D4284,RawData[Total Spent],E4284,RawData[Payment Method],F4284,RawData[Location],G4284,RawData[Transaction Date],H4284)</f>
        <v>1</v>
      </c>
      <c r="L4284"/>
    </row>
    <row r="4285" spans="1:12" x14ac:dyDescent="0.3">
      <c r="A4285" t="s">
        <v>4291</v>
      </c>
      <c r="B4285" t="s">
        <v>10011</v>
      </c>
      <c r="C4285">
        <v>2</v>
      </c>
      <c r="D4285">
        <v>5</v>
      </c>
      <c r="E4285">
        <v>10</v>
      </c>
      <c r="F4285" t="s">
        <v>10019</v>
      </c>
      <c r="G4285" t="s">
        <v>10102</v>
      </c>
      <c r="H4285" s="6">
        <v>44969</v>
      </c>
      <c r="I4285">
        <f t="shared" si="132"/>
        <v>0</v>
      </c>
      <c r="J4285" t="str">
        <f t="shared" si="133"/>
        <v>Complete</v>
      </c>
      <c r="K4285">
        <f>COUNTIFS(RawData[Item], B4285,RawData[Quantity],C4285,RawData[Price Per Unit],D4285,RawData[Total Spent],E4285,RawData[Payment Method],F4285,RawData[Location],G4285,RawData[Transaction Date],H4285)</f>
        <v>1</v>
      </c>
      <c r="L4285"/>
    </row>
    <row r="4286" spans="1:12" x14ac:dyDescent="0.3">
      <c r="A4286" t="s">
        <v>4292</v>
      </c>
      <c r="B4286" t="s">
        <v>10014</v>
      </c>
      <c r="C4286">
        <v>1</v>
      </c>
      <c r="D4286">
        <v>4</v>
      </c>
      <c r="E4286">
        <v>4</v>
      </c>
      <c r="F4286" t="s">
        <v>10020</v>
      </c>
      <c r="G4286" t="s">
        <v>10102</v>
      </c>
      <c r="H4286" s="6">
        <v>45287</v>
      </c>
      <c r="I4286">
        <f t="shared" si="132"/>
        <v>0</v>
      </c>
      <c r="J4286" t="str">
        <f t="shared" si="133"/>
        <v>Complete</v>
      </c>
      <c r="K4286">
        <f>COUNTIFS(RawData[Item], B4286,RawData[Quantity],C4286,RawData[Price Per Unit],D4286,RawData[Total Spent],E4286,RawData[Payment Method],F4286,RawData[Location],G4286,RawData[Transaction Date],H4286)</f>
        <v>1</v>
      </c>
      <c r="L4286"/>
    </row>
    <row r="4287" spans="1:12" x14ac:dyDescent="0.3">
      <c r="A4287" t="s">
        <v>4293</v>
      </c>
      <c r="B4287" t="s">
        <v>10009</v>
      </c>
      <c r="C4287">
        <v>4</v>
      </c>
      <c r="D4287">
        <v>3</v>
      </c>
      <c r="E4287">
        <v>12</v>
      </c>
      <c r="F4287" t="s">
        <v>10019</v>
      </c>
      <c r="G4287" t="s">
        <v>10021</v>
      </c>
      <c r="H4287" s="6">
        <v>44927</v>
      </c>
      <c r="I4287">
        <f t="shared" si="132"/>
        <v>0</v>
      </c>
      <c r="J4287" t="str">
        <f t="shared" si="133"/>
        <v>Complete</v>
      </c>
      <c r="K4287">
        <f>COUNTIFS(RawData[Item], B4287,RawData[Quantity],C4287,RawData[Price Per Unit],D4287,RawData[Total Spent],E4287,RawData[Payment Method],F4287,RawData[Location],G4287,RawData[Transaction Date],H4287)</f>
        <v>1</v>
      </c>
      <c r="L4287"/>
    </row>
    <row r="4288" spans="1:12" x14ac:dyDescent="0.3">
      <c r="A4288" t="s">
        <v>4294</v>
      </c>
      <c r="B4288" t="s">
        <v>10017</v>
      </c>
      <c r="C4288">
        <v>3</v>
      </c>
      <c r="D4288">
        <v>1.5</v>
      </c>
      <c r="E4288">
        <v>4.5</v>
      </c>
      <c r="F4288" t="s">
        <v>10019</v>
      </c>
      <c r="G4288" t="s">
        <v>10021</v>
      </c>
      <c r="H4288" s="6">
        <v>45010</v>
      </c>
      <c r="I4288">
        <f t="shared" si="132"/>
        <v>0</v>
      </c>
      <c r="J4288" t="str">
        <f t="shared" si="133"/>
        <v>Complete</v>
      </c>
      <c r="K4288">
        <f>COUNTIFS(RawData[Item], B4288,RawData[Quantity],C4288,RawData[Price Per Unit],D4288,RawData[Total Spent],E4288,RawData[Payment Method],F4288,RawData[Location],G4288,RawData[Transaction Date],H4288)</f>
        <v>1</v>
      </c>
      <c r="L4288"/>
    </row>
    <row r="4289" spans="1:12" x14ac:dyDescent="0.3">
      <c r="A4289" t="s">
        <v>4295</v>
      </c>
      <c r="B4289" t="s">
        <v>10010</v>
      </c>
      <c r="C4289">
        <v>1</v>
      </c>
      <c r="D4289">
        <v>1</v>
      </c>
      <c r="E4289">
        <v>1</v>
      </c>
      <c r="F4289" t="s">
        <v>10018</v>
      </c>
      <c r="G4289" t="s">
        <v>10021</v>
      </c>
      <c r="H4289" s="6">
        <v>45005</v>
      </c>
      <c r="I4289">
        <f t="shared" si="132"/>
        <v>0</v>
      </c>
      <c r="J4289" t="str">
        <f t="shared" si="133"/>
        <v>Complete</v>
      </c>
      <c r="K4289">
        <f>COUNTIFS(RawData[Item], B4289,RawData[Quantity],C4289,RawData[Price Per Unit],D4289,RawData[Total Spent],E4289,RawData[Payment Method],F4289,RawData[Location],G4289,RawData[Transaction Date],H4289)</f>
        <v>1</v>
      </c>
      <c r="L4289"/>
    </row>
    <row r="4290" spans="1:12" x14ac:dyDescent="0.3">
      <c r="A4290" t="s">
        <v>4296</v>
      </c>
      <c r="B4290" t="s">
        <v>10014</v>
      </c>
      <c r="C4290">
        <v>2</v>
      </c>
      <c r="D4290">
        <v>4</v>
      </c>
      <c r="E4290">
        <v>8</v>
      </c>
      <c r="F4290" t="s">
        <v>10069</v>
      </c>
      <c r="G4290" t="s">
        <v>10102</v>
      </c>
      <c r="H4290" s="6" t="s">
        <v>10112</v>
      </c>
      <c r="I4290">
        <f t="shared" ref="I4290:I4353" si="134">(B4290="Unknown")+(B4290="Error")+(C4290="Unknown")+(C4290="Error")+(D4290="Unknown")+(D4290="Error")+(E4290="Unknown")+(E4290="Error")+(F4290="Unknown")+(F4290="Error")+(G4290="Unknown")+(G4290="Error")+(H4290="No Date")</f>
        <v>1</v>
      </c>
      <c r="J4290" t="str">
        <f t="shared" ref="J4290:J4353" si="135">IF((H4290="No Date"),"Incomplete","Complete")</f>
        <v>Incomplete</v>
      </c>
      <c r="K4290">
        <f>COUNTIFS(RawData[Item], B4290,RawData[Quantity],C4290,RawData[Price Per Unit],D4290,RawData[Total Spent],E4290,RawData[Payment Method],F4290,RawData[Location],G4290,RawData[Transaction Date],H4290)</f>
        <v>1</v>
      </c>
      <c r="L4290"/>
    </row>
    <row r="4291" spans="1:12" x14ac:dyDescent="0.3">
      <c r="A4291" t="s">
        <v>4297</v>
      </c>
      <c r="B4291" t="s">
        <v>10009</v>
      </c>
      <c r="C4291">
        <v>5</v>
      </c>
      <c r="D4291">
        <v>3</v>
      </c>
      <c r="E4291">
        <v>15</v>
      </c>
      <c r="F4291" t="s">
        <v>10020</v>
      </c>
      <c r="G4291" t="s">
        <v>10102</v>
      </c>
      <c r="H4291" s="6">
        <v>45264</v>
      </c>
      <c r="I4291">
        <f t="shared" si="134"/>
        <v>0</v>
      </c>
      <c r="J4291" t="str">
        <f t="shared" si="135"/>
        <v>Complete</v>
      </c>
      <c r="K4291">
        <f>COUNTIFS(RawData[Item], B4291,RawData[Quantity],C4291,RawData[Price Per Unit],D4291,RawData[Total Spent],E4291,RawData[Payment Method],F4291,RawData[Location],G4291,RawData[Transaction Date],H4291)</f>
        <v>1</v>
      </c>
      <c r="L4291"/>
    </row>
    <row r="4292" spans="1:12" x14ac:dyDescent="0.3">
      <c r="A4292" t="s">
        <v>4298</v>
      </c>
      <c r="B4292" t="s">
        <v>10014</v>
      </c>
      <c r="C4292">
        <v>3</v>
      </c>
      <c r="D4292">
        <v>4</v>
      </c>
      <c r="E4292">
        <v>12</v>
      </c>
      <c r="F4292" t="s">
        <v>10019</v>
      </c>
      <c r="G4292" t="s">
        <v>10069</v>
      </c>
      <c r="H4292" s="6">
        <v>45037</v>
      </c>
      <c r="I4292">
        <f t="shared" si="134"/>
        <v>0</v>
      </c>
      <c r="J4292" t="str">
        <f t="shared" si="135"/>
        <v>Complete</v>
      </c>
      <c r="K4292">
        <f>COUNTIFS(RawData[Item], B4292,RawData[Quantity],C4292,RawData[Price Per Unit],D4292,RawData[Total Spent],E4292,RawData[Payment Method],F4292,RawData[Location],G4292,RawData[Transaction Date],H4292)</f>
        <v>1</v>
      </c>
      <c r="L4292"/>
    </row>
    <row r="4293" spans="1:12" x14ac:dyDescent="0.3">
      <c r="A4293" t="s">
        <v>4299</v>
      </c>
      <c r="B4293" t="s">
        <v>10012</v>
      </c>
      <c r="C4293">
        <v>5</v>
      </c>
      <c r="D4293">
        <v>4</v>
      </c>
      <c r="E4293">
        <v>20</v>
      </c>
      <c r="F4293" t="s">
        <v>10020</v>
      </c>
      <c r="G4293" t="s">
        <v>10021</v>
      </c>
      <c r="H4293" s="6">
        <v>44978</v>
      </c>
      <c r="I4293">
        <f t="shared" si="134"/>
        <v>0</v>
      </c>
      <c r="J4293" t="str">
        <f t="shared" si="135"/>
        <v>Complete</v>
      </c>
      <c r="K4293">
        <f>COUNTIFS(RawData[Item], B4293,RawData[Quantity],C4293,RawData[Price Per Unit],D4293,RawData[Total Spent],E4293,RawData[Payment Method],F4293,RawData[Location],G4293,RawData[Transaction Date],H4293)</f>
        <v>1</v>
      </c>
      <c r="L4293"/>
    </row>
    <row r="4294" spans="1:12" x14ac:dyDescent="0.3">
      <c r="A4294" t="s">
        <v>4300</v>
      </c>
      <c r="B4294" t="s">
        <v>10017</v>
      </c>
      <c r="C4294">
        <v>2</v>
      </c>
      <c r="D4294">
        <v>1.5</v>
      </c>
      <c r="E4294">
        <v>3</v>
      </c>
      <c r="F4294" t="s">
        <v>10069</v>
      </c>
      <c r="G4294" t="s">
        <v>10069</v>
      </c>
      <c r="H4294" s="6">
        <v>45029</v>
      </c>
      <c r="I4294">
        <f t="shared" si="134"/>
        <v>0</v>
      </c>
      <c r="J4294" t="str">
        <f t="shared" si="135"/>
        <v>Complete</v>
      </c>
      <c r="K4294">
        <f>COUNTIFS(RawData[Item], B4294,RawData[Quantity],C4294,RawData[Price Per Unit],D4294,RawData[Total Spent],E4294,RawData[Payment Method],F4294,RawData[Location],G4294,RawData[Transaction Date],H4294)</f>
        <v>1</v>
      </c>
      <c r="L4294"/>
    </row>
    <row r="4295" spans="1:12" x14ac:dyDescent="0.3">
      <c r="A4295" t="s">
        <v>4301</v>
      </c>
      <c r="B4295" t="s">
        <v>10009</v>
      </c>
      <c r="C4295">
        <v>1</v>
      </c>
      <c r="D4295">
        <v>3</v>
      </c>
      <c r="E4295">
        <v>3</v>
      </c>
      <c r="F4295" t="s">
        <v>10018</v>
      </c>
      <c r="G4295" t="s">
        <v>10069</v>
      </c>
      <c r="H4295" s="6">
        <v>45145</v>
      </c>
      <c r="I4295">
        <f t="shared" si="134"/>
        <v>0</v>
      </c>
      <c r="J4295" t="str">
        <f t="shared" si="135"/>
        <v>Complete</v>
      </c>
      <c r="K4295">
        <f>COUNTIFS(RawData[Item], B4295,RawData[Quantity],C4295,RawData[Price Per Unit],D4295,RawData[Total Spent],E4295,RawData[Payment Method],F4295,RawData[Location],G4295,RawData[Transaction Date],H4295)</f>
        <v>1</v>
      </c>
      <c r="L4295"/>
    </row>
    <row r="4296" spans="1:12" x14ac:dyDescent="0.3">
      <c r="A4296" t="s">
        <v>4302</v>
      </c>
      <c r="B4296" t="s">
        <v>10008</v>
      </c>
      <c r="C4296">
        <v>4</v>
      </c>
      <c r="D4296">
        <v>2</v>
      </c>
      <c r="E4296">
        <v>8</v>
      </c>
      <c r="F4296" t="s">
        <v>10019</v>
      </c>
      <c r="G4296" t="s">
        <v>10102</v>
      </c>
      <c r="H4296" s="6">
        <v>45209</v>
      </c>
      <c r="I4296">
        <f t="shared" si="134"/>
        <v>0</v>
      </c>
      <c r="J4296" t="str">
        <f t="shared" si="135"/>
        <v>Complete</v>
      </c>
      <c r="K4296">
        <f>COUNTIFS(RawData[Item], B4296,RawData[Quantity],C4296,RawData[Price Per Unit],D4296,RawData[Total Spent],E4296,RawData[Payment Method],F4296,RawData[Location],G4296,RawData[Transaction Date],H4296)</f>
        <v>1</v>
      </c>
      <c r="L4296"/>
    </row>
    <row r="4297" spans="1:12" x14ac:dyDescent="0.3">
      <c r="A4297" t="s">
        <v>4303</v>
      </c>
      <c r="B4297" t="s">
        <v>10012</v>
      </c>
      <c r="C4297">
        <v>3</v>
      </c>
      <c r="D4297">
        <v>4</v>
      </c>
      <c r="E4297">
        <v>12</v>
      </c>
      <c r="F4297" t="s">
        <v>10020</v>
      </c>
      <c r="G4297" t="s">
        <v>10104</v>
      </c>
      <c r="H4297" s="6">
        <v>45123</v>
      </c>
      <c r="I4297">
        <f t="shared" si="134"/>
        <v>1</v>
      </c>
      <c r="J4297" t="str">
        <f t="shared" si="135"/>
        <v>Complete</v>
      </c>
      <c r="K4297">
        <f>COUNTIFS(RawData[Item], B4297,RawData[Quantity],C4297,RawData[Price Per Unit],D4297,RawData[Total Spent],E4297,RawData[Payment Method],F4297,RawData[Location],G4297,RawData[Transaction Date],H4297)</f>
        <v>1</v>
      </c>
      <c r="L4297"/>
    </row>
    <row r="4298" spans="1:12" x14ac:dyDescent="0.3">
      <c r="A4298" t="s">
        <v>4304</v>
      </c>
      <c r="B4298" t="s">
        <v>10014</v>
      </c>
      <c r="C4298">
        <v>3</v>
      </c>
      <c r="D4298">
        <v>4</v>
      </c>
      <c r="E4298">
        <v>12</v>
      </c>
      <c r="F4298" t="s">
        <v>10018</v>
      </c>
      <c r="G4298" t="s">
        <v>10021</v>
      </c>
      <c r="H4298" s="6" t="s">
        <v>10112</v>
      </c>
      <c r="I4298">
        <f t="shared" si="134"/>
        <v>1</v>
      </c>
      <c r="J4298" t="str">
        <f t="shared" si="135"/>
        <v>Incomplete</v>
      </c>
      <c r="K4298">
        <f>COUNTIFS(RawData[Item], B4298,RawData[Quantity],C4298,RawData[Price Per Unit],D4298,RawData[Total Spent],E4298,RawData[Payment Method],F4298,RawData[Location],G4298,RawData[Transaction Date],H4298)</f>
        <v>1</v>
      </c>
      <c r="L4298"/>
    </row>
    <row r="4299" spans="1:12" x14ac:dyDescent="0.3">
      <c r="A4299" t="s">
        <v>4305</v>
      </c>
      <c r="B4299" t="s">
        <v>10009</v>
      </c>
      <c r="C4299" t="s">
        <v>10013</v>
      </c>
      <c r="D4299">
        <v>3</v>
      </c>
      <c r="E4299">
        <v>15</v>
      </c>
      <c r="F4299" t="s">
        <v>10069</v>
      </c>
      <c r="G4299" t="s">
        <v>10069</v>
      </c>
      <c r="H4299" s="6">
        <v>45061</v>
      </c>
      <c r="I4299">
        <f t="shared" si="134"/>
        <v>1</v>
      </c>
      <c r="J4299" t="str">
        <f t="shared" si="135"/>
        <v>Complete</v>
      </c>
      <c r="K4299">
        <f>COUNTIFS(RawData[Item], B4299,RawData[Quantity],C4299,RawData[Price Per Unit],D4299,RawData[Total Spent],E4299,RawData[Payment Method],F4299,RawData[Location],G4299,RawData[Transaction Date],H4299)</f>
        <v>1</v>
      </c>
      <c r="L4299"/>
    </row>
    <row r="4300" spans="1:12" x14ac:dyDescent="0.3">
      <c r="A4300" t="s">
        <v>4306</v>
      </c>
      <c r="B4300" t="s">
        <v>10016</v>
      </c>
      <c r="C4300">
        <v>2</v>
      </c>
      <c r="D4300">
        <v>3</v>
      </c>
      <c r="E4300">
        <v>6</v>
      </c>
      <c r="F4300" t="s">
        <v>10020</v>
      </c>
      <c r="G4300" t="s">
        <v>10102</v>
      </c>
      <c r="H4300" s="6">
        <v>45249</v>
      </c>
      <c r="I4300">
        <f t="shared" si="134"/>
        <v>0</v>
      </c>
      <c r="J4300" t="str">
        <f t="shared" si="135"/>
        <v>Complete</v>
      </c>
      <c r="K4300">
        <f>COUNTIFS(RawData[Item], B4300,RawData[Quantity],C4300,RawData[Price Per Unit],D4300,RawData[Total Spent],E4300,RawData[Payment Method],F4300,RawData[Location],G4300,RawData[Transaction Date],H4300)</f>
        <v>1</v>
      </c>
      <c r="L4300"/>
    </row>
    <row r="4301" spans="1:12" x14ac:dyDescent="0.3">
      <c r="A4301" t="s">
        <v>4307</v>
      </c>
      <c r="B4301" t="s">
        <v>10010</v>
      </c>
      <c r="C4301">
        <v>5</v>
      </c>
      <c r="D4301">
        <v>1</v>
      </c>
      <c r="E4301">
        <v>5</v>
      </c>
      <c r="F4301" t="s">
        <v>10018</v>
      </c>
      <c r="G4301" t="s">
        <v>10104</v>
      </c>
      <c r="H4301" s="6" t="s">
        <v>10112</v>
      </c>
      <c r="I4301">
        <f t="shared" si="134"/>
        <v>2</v>
      </c>
      <c r="J4301" t="str">
        <f t="shared" si="135"/>
        <v>Incomplete</v>
      </c>
      <c r="K4301">
        <f>COUNTIFS(RawData[Item], B4301,RawData[Quantity],C4301,RawData[Price Per Unit],D4301,RawData[Total Spent],E4301,RawData[Payment Method],F4301,RawData[Location],G4301,RawData[Transaction Date],H4301)</f>
        <v>1</v>
      </c>
      <c r="L4301"/>
    </row>
    <row r="4302" spans="1:12" x14ac:dyDescent="0.3">
      <c r="A4302" t="s">
        <v>4308</v>
      </c>
      <c r="B4302" t="s">
        <v>10013</v>
      </c>
      <c r="C4302">
        <v>4</v>
      </c>
      <c r="D4302">
        <v>3</v>
      </c>
      <c r="E4302">
        <v>12</v>
      </c>
      <c r="F4302" t="s">
        <v>10104</v>
      </c>
      <c r="G4302" t="s">
        <v>10069</v>
      </c>
      <c r="H4302" s="6">
        <v>45269</v>
      </c>
      <c r="I4302">
        <f t="shared" si="134"/>
        <v>2</v>
      </c>
      <c r="J4302" t="str">
        <f t="shared" si="135"/>
        <v>Complete</v>
      </c>
      <c r="K4302">
        <f>COUNTIFS(RawData[Item], B4302,RawData[Quantity],C4302,RawData[Price Per Unit],D4302,RawData[Total Spent],E4302,RawData[Payment Method],F4302,RawData[Location],G4302,RawData[Transaction Date],H4302)</f>
        <v>1</v>
      </c>
      <c r="L4302"/>
    </row>
    <row r="4303" spans="1:12" x14ac:dyDescent="0.3">
      <c r="A4303" t="s">
        <v>4309</v>
      </c>
      <c r="B4303" t="s">
        <v>10014</v>
      </c>
      <c r="C4303">
        <v>3</v>
      </c>
      <c r="D4303">
        <v>4</v>
      </c>
      <c r="E4303">
        <v>12</v>
      </c>
      <c r="F4303" t="s">
        <v>10018</v>
      </c>
      <c r="G4303" t="s">
        <v>10102</v>
      </c>
      <c r="H4303" s="6">
        <v>44938</v>
      </c>
      <c r="I4303">
        <f t="shared" si="134"/>
        <v>0</v>
      </c>
      <c r="J4303" t="str">
        <f t="shared" si="135"/>
        <v>Complete</v>
      </c>
      <c r="K4303">
        <f>COUNTIFS(RawData[Item], B4303,RawData[Quantity],C4303,RawData[Price Per Unit],D4303,RawData[Total Spent],E4303,RawData[Payment Method],F4303,RawData[Location],G4303,RawData[Transaction Date],H4303)</f>
        <v>1</v>
      </c>
      <c r="L4303"/>
    </row>
    <row r="4304" spans="1:12" x14ac:dyDescent="0.3">
      <c r="A4304" t="s">
        <v>4310</v>
      </c>
      <c r="B4304" t="s">
        <v>10017</v>
      </c>
      <c r="C4304">
        <v>5</v>
      </c>
      <c r="D4304">
        <v>1.5</v>
      </c>
      <c r="E4304">
        <v>7.5</v>
      </c>
      <c r="F4304" t="s">
        <v>10020</v>
      </c>
      <c r="G4304" t="s">
        <v>10102</v>
      </c>
      <c r="H4304" s="6">
        <v>44943</v>
      </c>
      <c r="I4304">
        <f t="shared" si="134"/>
        <v>0</v>
      </c>
      <c r="J4304" t="str">
        <f t="shared" si="135"/>
        <v>Complete</v>
      </c>
      <c r="K4304">
        <f>COUNTIFS(RawData[Item], B4304,RawData[Quantity],C4304,RawData[Price Per Unit],D4304,RawData[Total Spent],E4304,RawData[Payment Method],F4304,RawData[Location],G4304,RawData[Transaction Date],H4304)</f>
        <v>1</v>
      </c>
      <c r="L4304"/>
    </row>
    <row r="4305" spans="1:12" x14ac:dyDescent="0.3">
      <c r="A4305" t="s">
        <v>4311</v>
      </c>
      <c r="B4305" t="s">
        <v>10069</v>
      </c>
      <c r="C4305">
        <v>3</v>
      </c>
      <c r="D4305">
        <v>1</v>
      </c>
      <c r="E4305">
        <v>3</v>
      </c>
      <c r="F4305" t="s">
        <v>10018</v>
      </c>
      <c r="G4305" t="s">
        <v>10102</v>
      </c>
      <c r="H4305" s="6">
        <v>45128</v>
      </c>
      <c r="I4305">
        <f t="shared" si="134"/>
        <v>0</v>
      </c>
      <c r="J4305" t="str">
        <f t="shared" si="135"/>
        <v>Complete</v>
      </c>
      <c r="K4305">
        <f>COUNTIFS(RawData[Item], B4305,RawData[Quantity],C4305,RawData[Price Per Unit],D4305,RawData[Total Spent],E4305,RawData[Payment Method],F4305,RawData[Location],G4305,RawData[Transaction Date],H4305)</f>
        <v>1</v>
      </c>
      <c r="L4305"/>
    </row>
    <row r="4306" spans="1:12" x14ac:dyDescent="0.3">
      <c r="A4306" t="s">
        <v>4312</v>
      </c>
      <c r="B4306" t="s">
        <v>10010</v>
      </c>
      <c r="C4306">
        <v>2</v>
      </c>
      <c r="D4306">
        <v>1</v>
      </c>
      <c r="E4306">
        <v>2</v>
      </c>
      <c r="F4306" t="s">
        <v>10019</v>
      </c>
      <c r="G4306" t="s">
        <v>10069</v>
      </c>
      <c r="H4306" s="6">
        <v>45271</v>
      </c>
      <c r="I4306">
        <f t="shared" si="134"/>
        <v>0</v>
      </c>
      <c r="J4306" t="str">
        <f t="shared" si="135"/>
        <v>Complete</v>
      </c>
      <c r="K4306">
        <f>COUNTIFS(RawData[Item], B4306,RawData[Quantity],C4306,RawData[Price Per Unit],D4306,RawData[Total Spent],E4306,RawData[Payment Method],F4306,RawData[Location],G4306,RawData[Transaction Date],H4306)</f>
        <v>2</v>
      </c>
      <c r="L4306"/>
    </row>
    <row r="4307" spans="1:12" x14ac:dyDescent="0.3">
      <c r="A4307" t="s">
        <v>4313</v>
      </c>
      <c r="B4307" t="s">
        <v>10014</v>
      </c>
      <c r="C4307">
        <v>1</v>
      </c>
      <c r="D4307">
        <v>4</v>
      </c>
      <c r="E4307">
        <v>4</v>
      </c>
      <c r="F4307" t="s">
        <v>10019</v>
      </c>
      <c r="G4307" t="s">
        <v>10021</v>
      </c>
      <c r="H4307" s="6">
        <v>45238</v>
      </c>
      <c r="I4307">
        <f t="shared" si="134"/>
        <v>0</v>
      </c>
      <c r="J4307" t="str">
        <f t="shared" si="135"/>
        <v>Complete</v>
      </c>
      <c r="K4307">
        <f>COUNTIFS(RawData[Item], B4307,RawData[Quantity],C4307,RawData[Price Per Unit],D4307,RawData[Total Spent],E4307,RawData[Payment Method],F4307,RawData[Location],G4307,RawData[Transaction Date],H4307)</f>
        <v>1</v>
      </c>
      <c r="L4307"/>
    </row>
    <row r="4308" spans="1:12" x14ac:dyDescent="0.3">
      <c r="A4308" t="s">
        <v>4314</v>
      </c>
      <c r="B4308" t="s">
        <v>10013</v>
      </c>
      <c r="C4308">
        <v>2</v>
      </c>
      <c r="D4308">
        <v>3</v>
      </c>
      <c r="E4308">
        <v>6</v>
      </c>
      <c r="F4308" t="s">
        <v>10019</v>
      </c>
      <c r="G4308" t="s">
        <v>10102</v>
      </c>
      <c r="H4308" s="6">
        <v>45196</v>
      </c>
      <c r="I4308">
        <f t="shared" si="134"/>
        <v>1</v>
      </c>
      <c r="J4308" t="str">
        <f t="shared" si="135"/>
        <v>Complete</v>
      </c>
      <c r="K4308">
        <f>COUNTIFS(RawData[Item], B4308,RawData[Quantity],C4308,RawData[Price Per Unit],D4308,RawData[Total Spent],E4308,RawData[Payment Method],F4308,RawData[Location],G4308,RawData[Transaction Date],H4308)</f>
        <v>1</v>
      </c>
      <c r="L4308"/>
    </row>
    <row r="4309" spans="1:12" x14ac:dyDescent="0.3">
      <c r="A4309" t="s">
        <v>4315</v>
      </c>
      <c r="B4309" t="s">
        <v>10013</v>
      </c>
      <c r="C4309" t="s">
        <v>10013</v>
      </c>
      <c r="D4309">
        <v>2</v>
      </c>
      <c r="E4309">
        <v>10</v>
      </c>
      <c r="F4309" t="s">
        <v>10018</v>
      </c>
      <c r="G4309" t="s">
        <v>10103</v>
      </c>
      <c r="H4309" s="6">
        <v>45106</v>
      </c>
      <c r="I4309">
        <f t="shared" si="134"/>
        <v>3</v>
      </c>
      <c r="J4309" t="str">
        <f t="shared" si="135"/>
        <v>Complete</v>
      </c>
      <c r="K4309">
        <f>COUNTIFS(RawData[Item], B4309,RawData[Quantity],C4309,RawData[Price Per Unit],D4309,RawData[Total Spent],E4309,RawData[Payment Method],F4309,RawData[Location],G4309,RawData[Transaction Date],H4309)</f>
        <v>1</v>
      </c>
      <c r="L4309"/>
    </row>
    <row r="4310" spans="1:12" x14ac:dyDescent="0.3">
      <c r="A4310" t="s">
        <v>4316</v>
      </c>
      <c r="B4310" t="s">
        <v>10010</v>
      </c>
      <c r="C4310">
        <v>3</v>
      </c>
      <c r="D4310">
        <v>1</v>
      </c>
      <c r="E4310">
        <v>3</v>
      </c>
      <c r="F4310" t="s">
        <v>10018</v>
      </c>
      <c r="G4310" t="s">
        <v>10102</v>
      </c>
      <c r="H4310" s="6">
        <v>44938</v>
      </c>
      <c r="I4310">
        <f t="shared" si="134"/>
        <v>0</v>
      </c>
      <c r="J4310" t="str">
        <f t="shared" si="135"/>
        <v>Complete</v>
      </c>
      <c r="K4310">
        <f>COUNTIFS(RawData[Item], B4310,RawData[Quantity],C4310,RawData[Price Per Unit],D4310,RawData[Total Spent],E4310,RawData[Payment Method],F4310,RawData[Location],G4310,RawData[Transaction Date],H4310)</f>
        <v>1</v>
      </c>
      <c r="L4310"/>
    </row>
    <row r="4311" spans="1:12" x14ac:dyDescent="0.3">
      <c r="A4311" t="s">
        <v>4317</v>
      </c>
      <c r="B4311" t="s">
        <v>10017</v>
      </c>
      <c r="C4311">
        <v>3</v>
      </c>
      <c r="D4311">
        <v>1.5</v>
      </c>
      <c r="E4311">
        <v>4.5</v>
      </c>
      <c r="F4311" t="s">
        <v>10069</v>
      </c>
      <c r="G4311" t="s">
        <v>10069</v>
      </c>
      <c r="H4311" s="6">
        <v>45110</v>
      </c>
      <c r="I4311">
        <f t="shared" si="134"/>
        <v>0</v>
      </c>
      <c r="J4311" t="str">
        <f t="shared" si="135"/>
        <v>Complete</v>
      </c>
      <c r="K4311">
        <f>COUNTIFS(RawData[Item], B4311,RawData[Quantity],C4311,RawData[Price Per Unit],D4311,RawData[Total Spent],E4311,RawData[Payment Method],F4311,RawData[Location],G4311,RawData[Transaction Date],H4311)</f>
        <v>1</v>
      </c>
      <c r="L4311"/>
    </row>
    <row r="4312" spans="1:12" x14ac:dyDescent="0.3">
      <c r="A4312" t="s">
        <v>4318</v>
      </c>
      <c r="B4312" t="s">
        <v>10008</v>
      </c>
      <c r="C4312">
        <v>2</v>
      </c>
      <c r="D4312">
        <v>2</v>
      </c>
      <c r="E4312">
        <v>4</v>
      </c>
      <c r="F4312" t="s">
        <v>10020</v>
      </c>
      <c r="G4312" t="s">
        <v>10102</v>
      </c>
      <c r="H4312" s="6" t="s">
        <v>10112</v>
      </c>
      <c r="I4312">
        <f t="shared" si="134"/>
        <v>1</v>
      </c>
      <c r="J4312" t="str">
        <f t="shared" si="135"/>
        <v>Incomplete</v>
      </c>
      <c r="K4312">
        <f>COUNTIFS(RawData[Item], B4312,RawData[Quantity],C4312,RawData[Price Per Unit],D4312,RawData[Total Spent],E4312,RawData[Payment Method],F4312,RawData[Location],G4312,RawData[Transaction Date],H4312)</f>
        <v>1</v>
      </c>
      <c r="L4312"/>
    </row>
    <row r="4313" spans="1:12" x14ac:dyDescent="0.3">
      <c r="A4313" t="s">
        <v>4319</v>
      </c>
      <c r="B4313" t="s">
        <v>10011</v>
      </c>
      <c r="C4313">
        <v>2</v>
      </c>
      <c r="D4313">
        <v>5</v>
      </c>
      <c r="E4313" t="s">
        <v>10015</v>
      </c>
      <c r="F4313" t="s">
        <v>10020</v>
      </c>
      <c r="G4313" t="s">
        <v>10021</v>
      </c>
      <c r="H4313" s="6">
        <v>45026</v>
      </c>
      <c r="I4313">
        <f t="shared" si="134"/>
        <v>1</v>
      </c>
      <c r="J4313" t="str">
        <f t="shared" si="135"/>
        <v>Complete</v>
      </c>
      <c r="K4313">
        <f>COUNTIFS(RawData[Item], B4313,RawData[Quantity],C4313,RawData[Price Per Unit],D4313,RawData[Total Spent],E4313,RawData[Payment Method],F4313,RawData[Location],G4313,RawData[Transaction Date],H4313)</f>
        <v>1</v>
      </c>
      <c r="L4313"/>
    </row>
    <row r="4314" spans="1:12" x14ac:dyDescent="0.3">
      <c r="A4314" t="s">
        <v>4320</v>
      </c>
      <c r="B4314" t="s">
        <v>10016</v>
      </c>
      <c r="C4314">
        <v>5</v>
      </c>
      <c r="D4314">
        <v>3</v>
      </c>
      <c r="E4314">
        <v>15</v>
      </c>
      <c r="F4314" t="s">
        <v>10104</v>
      </c>
      <c r="G4314" t="s">
        <v>10069</v>
      </c>
      <c r="H4314" s="6">
        <v>44995</v>
      </c>
      <c r="I4314">
        <f t="shared" si="134"/>
        <v>1</v>
      </c>
      <c r="J4314" t="str">
        <f t="shared" si="135"/>
        <v>Complete</v>
      </c>
      <c r="K4314">
        <f>COUNTIFS(RawData[Item], B4314,RawData[Quantity],C4314,RawData[Price Per Unit],D4314,RawData[Total Spent],E4314,RawData[Payment Method],F4314,RawData[Location],G4314,RawData[Transaction Date],H4314)</f>
        <v>1</v>
      </c>
      <c r="L4314"/>
    </row>
    <row r="4315" spans="1:12" x14ac:dyDescent="0.3">
      <c r="A4315" t="s">
        <v>4321</v>
      </c>
      <c r="B4315" t="s">
        <v>10017</v>
      </c>
      <c r="C4315">
        <v>5</v>
      </c>
      <c r="D4315">
        <v>1.5</v>
      </c>
      <c r="E4315" t="s">
        <v>10015</v>
      </c>
      <c r="F4315" t="s">
        <v>10018</v>
      </c>
      <c r="G4315" t="s">
        <v>10069</v>
      </c>
      <c r="H4315" s="6">
        <v>45028</v>
      </c>
      <c r="I4315">
        <f t="shared" si="134"/>
        <v>1</v>
      </c>
      <c r="J4315" t="str">
        <f t="shared" si="135"/>
        <v>Complete</v>
      </c>
      <c r="K4315">
        <f>COUNTIFS(RawData[Item], B4315,RawData[Quantity],C4315,RawData[Price Per Unit],D4315,RawData[Total Spent],E4315,RawData[Payment Method],F4315,RawData[Location],G4315,RawData[Transaction Date],H4315)</f>
        <v>1</v>
      </c>
      <c r="L4315"/>
    </row>
    <row r="4316" spans="1:12" x14ac:dyDescent="0.3">
      <c r="A4316" t="s">
        <v>4322</v>
      </c>
      <c r="B4316" t="s">
        <v>10011</v>
      </c>
      <c r="C4316">
        <v>5</v>
      </c>
      <c r="D4316">
        <v>5</v>
      </c>
      <c r="E4316">
        <v>25</v>
      </c>
      <c r="F4316" t="s">
        <v>10104</v>
      </c>
      <c r="G4316" t="s">
        <v>10021</v>
      </c>
      <c r="H4316" s="6">
        <v>45054</v>
      </c>
      <c r="I4316">
        <f t="shared" si="134"/>
        <v>1</v>
      </c>
      <c r="J4316" t="str">
        <f t="shared" si="135"/>
        <v>Complete</v>
      </c>
      <c r="K4316">
        <f>COUNTIFS(RawData[Item], B4316,RawData[Quantity],C4316,RawData[Price Per Unit],D4316,RawData[Total Spent],E4316,RawData[Payment Method],F4316,RawData[Location],G4316,RawData[Transaction Date],H4316)</f>
        <v>1</v>
      </c>
      <c r="L4316"/>
    </row>
    <row r="4317" spans="1:12" x14ac:dyDescent="0.3">
      <c r="A4317" t="s">
        <v>4323</v>
      </c>
      <c r="B4317" t="s">
        <v>10011</v>
      </c>
      <c r="C4317">
        <v>5</v>
      </c>
      <c r="D4317">
        <v>5</v>
      </c>
      <c r="E4317">
        <v>25</v>
      </c>
      <c r="F4317" t="s">
        <v>10069</v>
      </c>
      <c r="G4317" t="s">
        <v>10021</v>
      </c>
      <c r="H4317" s="6">
        <v>45037</v>
      </c>
      <c r="I4317">
        <f t="shared" si="134"/>
        <v>0</v>
      </c>
      <c r="J4317" t="str">
        <f t="shared" si="135"/>
        <v>Complete</v>
      </c>
      <c r="K4317">
        <f>COUNTIFS(RawData[Item], B4317,RawData[Quantity],C4317,RawData[Price Per Unit],D4317,RawData[Total Spent],E4317,RawData[Payment Method],F4317,RawData[Location],G4317,RawData[Transaction Date],H4317)</f>
        <v>1</v>
      </c>
      <c r="L4317"/>
    </row>
    <row r="4318" spans="1:12" x14ac:dyDescent="0.3">
      <c r="A4318" t="s">
        <v>4324</v>
      </c>
      <c r="B4318" t="s">
        <v>10014</v>
      </c>
      <c r="C4318">
        <v>2</v>
      </c>
      <c r="D4318">
        <v>4</v>
      </c>
      <c r="E4318">
        <v>8</v>
      </c>
      <c r="F4318" t="s">
        <v>10020</v>
      </c>
      <c r="G4318" t="s">
        <v>10102</v>
      </c>
      <c r="H4318" s="6">
        <v>45289</v>
      </c>
      <c r="I4318">
        <f t="shared" si="134"/>
        <v>0</v>
      </c>
      <c r="J4318" t="str">
        <f t="shared" si="135"/>
        <v>Complete</v>
      </c>
      <c r="K4318">
        <f>COUNTIFS(RawData[Item], B4318,RawData[Quantity],C4318,RawData[Price Per Unit],D4318,RawData[Total Spent],E4318,RawData[Payment Method],F4318,RawData[Location],G4318,RawData[Transaction Date],H4318)</f>
        <v>1</v>
      </c>
      <c r="L4318"/>
    </row>
    <row r="4319" spans="1:12" x14ac:dyDescent="0.3">
      <c r="A4319" t="s">
        <v>4325</v>
      </c>
      <c r="B4319" t="s">
        <v>10009</v>
      </c>
      <c r="C4319">
        <v>4</v>
      </c>
      <c r="D4319">
        <v>3</v>
      </c>
      <c r="E4319">
        <v>12</v>
      </c>
      <c r="F4319" t="s">
        <v>10018</v>
      </c>
      <c r="G4319" t="s">
        <v>10069</v>
      </c>
      <c r="H4319" s="6">
        <v>45203</v>
      </c>
      <c r="I4319">
        <f t="shared" si="134"/>
        <v>0</v>
      </c>
      <c r="J4319" t="str">
        <f t="shared" si="135"/>
        <v>Complete</v>
      </c>
      <c r="K4319">
        <f>COUNTIFS(RawData[Item], B4319,RawData[Quantity],C4319,RawData[Price Per Unit],D4319,RawData[Total Spent],E4319,RawData[Payment Method],F4319,RawData[Location],G4319,RawData[Transaction Date],H4319)</f>
        <v>1</v>
      </c>
      <c r="L4319"/>
    </row>
    <row r="4320" spans="1:12" x14ac:dyDescent="0.3">
      <c r="A4320" t="s">
        <v>4326</v>
      </c>
      <c r="B4320" t="s">
        <v>10009</v>
      </c>
      <c r="C4320">
        <v>4</v>
      </c>
      <c r="D4320">
        <v>3</v>
      </c>
      <c r="E4320">
        <v>12</v>
      </c>
      <c r="F4320" t="s">
        <v>10069</v>
      </c>
      <c r="G4320" t="s">
        <v>10021</v>
      </c>
      <c r="H4320" s="6">
        <v>45175</v>
      </c>
      <c r="I4320">
        <f t="shared" si="134"/>
        <v>0</v>
      </c>
      <c r="J4320" t="str">
        <f t="shared" si="135"/>
        <v>Complete</v>
      </c>
      <c r="K4320">
        <f>COUNTIFS(RawData[Item], B4320,RawData[Quantity],C4320,RawData[Price Per Unit],D4320,RawData[Total Spent],E4320,RawData[Payment Method],F4320,RawData[Location],G4320,RawData[Transaction Date],H4320)</f>
        <v>1</v>
      </c>
      <c r="L4320"/>
    </row>
    <row r="4321" spans="1:12" x14ac:dyDescent="0.3">
      <c r="A4321" t="s">
        <v>4327</v>
      </c>
      <c r="B4321" t="s">
        <v>10013</v>
      </c>
      <c r="C4321">
        <v>3</v>
      </c>
      <c r="D4321">
        <v>3</v>
      </c>
      <c r="E4321">
        <v>9</v>
      </c>
      <c r="F4321" t="s">
        <v>10020</v>
      </c>
      <c r="G4321" t="s">
        <v>10102</v>
      </c>
      <c r="H4321" s="6" t="s">
        <v>10112</v>
      </c>
      <c r="I4321">
        <f t="shared" si="134"/>
        <v>2</v>
      </c>
      <c r="J4321" t="str">
        <f t="shared" si="135"/>
        <v>Incomplete</v>
      </c>
      <c r="K4321">
        <f>COUNTIFS(RawData[Item], B4321,RawData[Quantity],C4321,RawData[Price Per Unit],D4321,RawData[Total Spent],E4321,RawData[Payment Method],F4321,RawData[Location],G4321,RawData[Transaction Date],H4321)</f>
        <v>1</v>
      </c>
      <c r="L4321"/>
    </row>
    <row r="4322" spans="1:12" x14ac:dyDescent="0.3">
      <c r="A4322" t="s">
        <v>4328</v>
      </c>
      <c r="B4322" t="s">
        <v>10012</v>
      </c>
      <c r="C4322">
        <v>2</v>
      </c>
      <c r="D4322">
        <v>4</v>
      </c>
      <c r="E4322">
        <v>8</v>
      </c>
      <c r="F4322" t="s">
        <v>10069</v>
      </c>
      <c r="G4322" t="s">
        <v>10021</v>
      </c>
      <c r="H4322" s="6">
        <v>45273</v>
      </c>
      <c r="I4322">
        <f t="shared" si="134"/>
        <v>0</v>
      </c>
      <c r="J4322" t="str">
        <f t="shared" si="135"/>
        <v>Complete</v>
      </c>
      <c r="K4322">
        <f>COUNTIFS(RawData[Item], B4322,RawData[Quantity],C4322,RawData[Price Per Unit],D4322,RawData[Total Spent],E4322,RawData[Payment Method],F4322,RawData[Location],G4322,RawData[Transaction Date],H4322)</f>
        <v>1</v>
      </c>
      <c r="L4322"/>
    </row>
    <row r="4323" spans="1:12" x14ac:dyDescent="0.3">
      <c r="A4323" t="s">
        <v>4329</v>
      </c>
      <c r="B4323" t="s">
        <v>10014</v>
      </c>
      <c r="C4323">
        <v>5</v>
      </c>
      <c r="D4323">
        <v>4</v>
      </c>
      <c r="E4323">
        <v>20</v>
      </c>
      <c r="F4323" t="s">
        <v>10019</v>
      </c>
      <c r="G4323" t="s">
        <v>10069</v>
      </c>
      <c r="H4323" s="6" t="s">
        <v>10112</v>
      </c>
      <c r="I4323">
        <f t="shared" si="134"/>
        <v>1</v>
      </c>
      <c r="J4323" t="str">
        <f t="shared" si="135"/>
        <v>Incomplete</v>
      </c>
      <c r="K4323">
        <f>COUNTIFS(RawData[Item], B4323,RawData[Quantity],C4323,RawData[Price Per Unit],D4323,RawData[Total Spent],E4323,RawData[Payment Method],F4323,RawData[Location],G4323,RawData[Transaction Date],H4323)</f>
        <v>1</v>
      </c>
      <c r="L4323"/>
    </row>
    <row r="4324" spans="1:12" x14ac:dyDescent="0.3">
      <c r="A4324" t="s">
        <v>4330</v>
      </c>
      <c r="B4324" t="s">
        <v>10009</v>
      </c>
      <c r="C4324">
        <v>1</v>
      </c>
      <c r="D4324">
        <v>3</v>
      </c>
      <c r="E4324">
        <v>3</v>
      </c>
      <c r="F4324" t="s">
        <v>10069</v>
      </c>
      <c r="G4324" t="s">
        <v>10069</v>
      </c>
      <c r="H4324" s="6">
        <v>44998</v>
      </c>
      <c r="I4324">
        <f t="shared" si="134"/>
        <v>0</v>
      </c>
      <c r="J4324" t="str">
        <f t="shared" si="135"/>
        <v>Complete</v>
      </c>
      <c r="K4324">
        <f>COUNTIFS(RawData[Item], B4324,RawData[Quantity],C4324,RawData[Price Per Unit],D4324,RawData[Total Spent],E4324,RawData[Payment Method],F4324,RawData[Location],G4324,RawData[Transaction Date],H4324)</f>
        <v>1</v>
      </c>
      <c r="L4324"/>
    </row>
    <row r="4325" spans="1:12" x14ac:dyDescent="0.3">
      <c r="A4325" t="s">
        <v>4331</v>
      </c>
      <c r="B4325" t="s">
        <v>10010</v>
      </c>
      <c r="C4325">
        <v>5</v>
      </c>
      <c r="D4325">
        <v>1</v>
      </c>
      <c r="E4325">
        <v>5</v>
      </c>
      <c r="F4325" t="s">
        <v>10069</v>
      </c>
      <c r="G4325" t="s">
        <v>10102</v>
      </c>
      <c r="H4325" s="6">
        <v>45155</v>
      </c>
      <c r="I4325">
        <f t="shared" si="134"/>
        <v>0</v>
      </c>
      <c r="J4325" t="str">
        <f t="shared" si="135"/>
        <v>Complete</v>
      </c>
      <c r="K4325">
        <f>COUNTIFS(RawData[Item], B4325,RawData[Quantity],C4325,RawData[Price Per Unit],D4325,RawData[Total Spent],E4325,RawData[Payment Method],F4325,RawData[Location],G4325,RawData[Transaction Date],H4325)</f>
        <v>1</v>
      </c>
      <c r="L4325"/>
    </row>
    <row r="4326" spans="1:12" x14ac:dyDescent="0.3">
      <c r="A4326" t="s">
        <v>4332</v>
      </c>
      <c r="B4326" t="s">
        <v>10013</v>
      </c>
      <c r="C4326">
        <v>5</v>
      </c>
      <c r="D4326">
        <v>4</v>
      </c>
      <c r="E4326">
        <v>20</v>
      </c>
      <c r="F4326" t="s">
        <v>10103</v>
      </c>
      <c r="G4326" t="s">
        <v>10102</v>
      </c>
      <c r="H4326" s="6">
        <v>45148</v>
      </c>
      <c r="I4326">
        <f t="shared" si="134"/>
        <v>2</v>
      </c>
      <c r="J4326" t="str">
        <f t="shared" si="135"/>
        <v>Complete</v>
      </c>
      <c r="K4326">
        <f>COUNTIFS(RawData[Item], B4326,RawData[Quantity],C4326,RawData[Price Per Unit],D4326,RawData[Total Spent],E4326,RawData[Payment Method],F4326,RawData[Location],G4326,RawData[Transaction Date],H4326)</f>
        <v>1</v>
      </c>
      <c r="L4326"/>
    </row>
    <row r="4327" spans="1:12" x14ac:dyDescent="0.3">
      <c r="A4327" t="s">
        <v>4333</v>
      </c>
      <c r="B4327" t="s">
        <v>10016</v>
      </c>
      <c r="C4327">
        <v>1</v>
      </c>
      <c r="D4327">
        <v>3</v>
      </c>
      <c r="E4327">
        <v>3</v>
      </c>
      <c r="F4327" t="s">
        <v>10020</v>
      </c>
      <c r="G4327" t="s">
        <v>10069</v>
      </c>
      <c r="H4327" s="6">
        <v>45013</v>
      </c>
      <c r="I4327">
        <f t="shared" si="134"/>
        <v>0</v>
      </c>
      <c r="J4327" t="str">
        <f t="shared" si="135"/>
        <v>Complete</v>
      </c>
      <c r="K4327">
        <f>COUNTIFS(RawData[Item], B4327,RawData[Quantity],C4327,RawData[Price Per Unit],D4327,RawData[Total Spent],E4327,RawData[Payment Method],F4327,RawData[Location],G4327,RawData[Transaction Date],H4327)</f>
        <v>1</v>
      </c>
      <c r="L4327"/>
    </row>
    <row r="4328" spans="1:12" x14ac:dyDescent="0.3">
      <c r="A4328" t="s">
        <v>4334</v>
      </c>
      <c r="B4328" t="s">
        <v>10011</v>
      </c>
      <c r="C4328" t="s">
        <v>10015</v>
      </c>
      <c r="D4328">
        <v>5</v>
      </c>
      <c r="E4328">
        <v>25</v>
      </c>
      <c r="F4328" t="s">
        <v>10069</v>
      </c>
      <c r="G4328" t="s">
        <v>10069</v>
      </c>
      <c r="H4328" s="6">
        <v>45153</v>
      </c>
      <c r="I4328">
        <f t="shared" si="134"/>
        <v>1</v>
      </c>
      <c r="J4328" t="str">
        <f t="shared" si="135"/>
        <v>Complete</v>
      </c>
      <c r="K4328">
        <f>COUNTIFS(RawData[Item], B4328,RawData[Quantity],C4328,RawData[Price Per Unit],D4328,RawData[Total Spent],E4328,RawData[Payment Method],F4328,RawData[Location],G4328,RawData[Transaction Date],H4328)</f>
        <v>1</v>
      </c>
      <c r="L4328"/>
    </row>
    <row r="4329" spans="1:12" x14ac:dyDescent="0.3">
      <c r="A4329" t="s">
        <v>4335</v>
      </c>
      <c r="B4329" t="s">
        <v>10013</v>
      </c>
      <c r="C4329">
        <v>2</v>
      </c>
      <c r="D4329">
        <v>3</v>
      </c>
      <c r="E4329">
        <v>6</v>
      </c>
      <c r="F4329" t="s">
        <v>10069</v>
      </c>
      <c r="G4329" t="s">
        <v>10102</v>
      </c>
      <c r="H4329" s="6">
        <v>45178</v>
      </c>
      <c r="I4329">
        <f t="shared" si="134"/>
        <v>1</v>
      </c>
      <c r="J4329" t="str">
        <f t="shared" si="135"/>
        <v>Complete</v>
      </c>
      <c r="K4329">
        <f>COUNTIFS(RawData[Item], B4329,RawData[Quantity],C4329,RawData[Price Per Unit],D4329,RawData[Total Spent],E4329,RawData[Payment Method],F4329,RawData[Location],G4329,RawData[Transaction Date],H4329)</f>
        <v>1</v>
      </c>
      <c r="L4329"/>
    </row>
    <row r="4330" spans="1:12" x14ac:dyDescent="0.3">
      <c r="A4330" t="s">
        <v>4336</v>
      </c>
      <c r="B4330" t="s">
        <v>10008</v>
      </c>
      <c r="C4330">
        <v>2</v>
      </c>
      <c r="D4330">
        <v>2</v>
      </c>
      <c r="E4330">
        <v>4</v>
      </c>
      <c r="F4330" t="s">
        <v>10020</v>
      </c>
      <c r="G4330" t="s">
        <v>10069</v>
      </c>
      <c r="H4330" s="6">
        <v>45130</v>
      </c>
      <c r="I4330">
        <f t="shared" si="134"/>
        <v>0</v>
      </c>
      <c r="J4330" t="str">
        <f t="shared" si="135"/>
        <v>Complete</v>
      </c>
      <c r="K4330">
        <f>COUNTIFS(RawData[Item], B4330,RawData[Quantity],C4330,RawData[Price Per Unit],D4330,RawData[Total Spent],E4330,RawData[Payment Method],F4330,RawData[Location],G4330,RawData[Transaction Date],H4330)</f>
        <v>1</v>
      </c>
      <c r="L4330"/>
    </row>
    <row r="4331" spans="1:12" x14ac:dyDescent="0.3">
      <c r="A4331" t="s">
        <v>4337</v>
      </c>
      <c r="B4331" t="s">
        <v>10008</v>
      </c>
      <c r="C4331">
        <v>5</v>
      </c>
      <c r="D4331">
        <v>2</v>
      </c>
      <c r="E4331">
        <v>10</v>
      </c>
      <c r="F4331" t="s">
        <v>10018</v>
      </c>
      <c r="G4331" t="s">
        <v>10069</v>
      </c>
      <c r="H4331" s="6">
        <v>45142</v>
      </c>
      <c r="I4331">
        <f t="shared" si="134"/>
        <v>0</v>
      </c>
      <c r="J4331" t="str">
        <f t="shared" si="135"/>
        <v>Complete</v>
      </c>
      <c r="K4331">
        <f>COUNTIFS(RawData[Item], B4331,RawData[Quantity],C4331,RawData[Price Per Unit],D4331,RawData[Total Spent],E4331,RawData[Payment Method],F4331,RawData[Location],G4331,RawData[Transaction Date],H4331)</f>
        <v>1</v>
      </c>
      <c r="L4331"/>
    </row>
    <row r="4332" spans="1:12" x14ac:dyDescent="0.3">
      <c r="A4332" t="s">
        <v>4338</v>
      </c>
      <c r="B4332" t="s">
        <v>10017</v>
      </c>
      <c r="C4332">
        <v>0</v>
      </c>
      <c r="D4332">
        <v>1.5</v>
      </c>
      <c r="E4332">
        <v>1.5</v>
      </c>
      <c r="F4332" t="s">
        <v>10019</v>
      </c>
      <c r="G4332" t="s">
        <v>10021</v>
      </c>
      <c r="H4332" s="6">
        <v>45132</v>
      </c>
      <c r="I4332">
        <f t="shared" si="134"/>
        <v>0</v>
      </c>
      <c r="J4332" t="str">
        <f t="shared" si="135"/>
        <v>Complete</v>
      </c>
      <c r="K4332">
        <f>COUNTIFS(RawData[Item], B4332,RawData[Quantity],C4332,RawData[Price Per Unit],D4332,RawData[Total Spent],E4332,RawData[Payment Method],F4332,RawData[Location],G4332,RawData[Transaction Date],H4332)</f>
        <v>1</v>
      </c>
      <c r="L4332"/>
    </row>
    <row r="4333" spans="1:12" x14ac:dyDescent="0.3">
      <c r="A4333" t="s">
        <v>4339</v>
      </c>
      <c r="B4333" t="s">
        <v>10014</v>
      </c>
      <c r="C4333">
        <v>2</v>
      </c>
      <c r="D4333">
        <v>4</v>
      </c>
      <c r="E4333">
        <v>8</v>
      </c>
      <c r="F4333" t="s">
        <v>10020</v>
      </c>
      <c r="G4333" t="s">
        <v>10069</v>
      </c>
      <c r="H4333" s="6">
        <v>45232</v>
      </c>
      <c r="I4333">
        <f t="shared" si="134"/>
        <v>0</v>
      </c>
      <c r="J4333" t="str">
        <f t="shared" si="135"/>
        <v>Complete</v>
      </c>
      <c r="K4333">
        <f>COUNTIFS(RawData[Item], B4333,RawData[Quantity],C4333,RawData[Price Per Unit],D4333,RawData[Total Spent],E4333,RawData[Payment Method],F4333,RawData[Location],G4333,RawData[Transaction Date],H4333)</f>
        <v>1</v>
      </c>
      <c r="L4333"/>
    </row>
    <row r="4334" spans="1:12" x14ac:dyDescent="0.3">
      <c r="A4334" t="s">
        <v>4340</v>
      </c>
      <c r="B4334" t="s">
        <v>10008</v>
      </c>
      <c r="C4334">
        <v>4</v>
      </c>
      <c r="D4334">
        <v>2</v>
      </c>
      <c r="E4334">
        <v>8</v>
      </c>
      <c r="F4334" t="s">
        <v>10020</v>
      </c>
      <c r="G4334" t="s">
        <v>10069</v>
      </c>
      <c r="H4334" s="6">
        <v>44948</v>
      </c>
      <c r="I4334">
        <f t="shared" si="134"/>
        <v>0</v>
      </c>
      <c r="J4334" t="str">
        <f t="shared" si="135"/>
        <v>Complete</v>
      </c>
      <c r="K4334">
        <f>COUNTIFS(RawData[Item], B4334,RawData[Quantity],C4334,RawData[Price Per Unit],D4334,RawData[Total Spent],E4334,RawData[Payment Method],F4334,RawData[Location],G4334,RawData[Transaction Date],H4334)</f>
        <v>2</v>
      </c>
      <c r="L4334"/>
    </row>
    <row r="4335" spans="1:12" x14ac:dyDescent="0.3">
      <c r="A4335" t="s">
        <v>4341</v>
      </c>
      <c r="B4335" t="s">
        <v>10014</v>
      </c>
      <c r="C4335">
        <v>0</v>
      </c>
      <c r="D4335">
        <v>4</v>
      </c>
      <c r="E4335">
        <v>20</v>
      </c>
      <c r="F4335" t="s">
        <v>10019</v>
      </c>
      <c r="G4335" t="s">
        <v>10102</v>
      </c>
      <c r="H4335" s="6">
        <v>45090</v>
      </c>
      <c r="I4335">
        <f t="shared" si="134"/>
        <v>0</v>
      </c>
      <c r="J4335" t="str">
        <f t="shared" si="135"/>
        <v>Complete</v>
      </c>
      <c r="K4335">
        <f>COUNTIFS(RawData[Item], B4335,RawData[Quantity],C4335,RawData[Price Per Unit],D4335,RawData[Total Spent],E4335,RawData[Payment Method],F4335,RawData[Location],G4335,RawData[Transaction Date],H4335)</f>
        <v>1</v>
      </c>
      <c r="L4335"/>
    </row>
    <row r="4336" spans="1:12" x14ac:dyDescent="0.3">
      <c r="A4336" t="s">
        <v>4342</v>
      </c>
      <c r="B4336" t="s">
        <v>10009</v>
      </c>
      <c r="C4336">
        <v>0</v>
      </c>
      <c r="D4336">
        <v>3</v>
      </c>
      <c r="E4336">
        <v>12</v>
      </c>
      <c r="F4336" t="s">
        <v>10069</v>
      </c>
      <c r="G4336" t="s">
        <v>10102</v>
      </c>
      <c r="H4336" s="6">
        <v>45178</v>
      </c>
      <c r="I4336">
        <f t="shared" si="134"/>
        <v>0</v>
      </c>
      <c r="J4336" t="str">
        <f t="shared" si="135"/>
        <v>Complete</v>
      </c>
      <c r="K4336">
        <f>COUNTIFS(RawData[Item], B4336,RawData[Quantity],C4336,RawData[Price Per Unit],D4336,RawData[Total Spent],E4336,RawData[Payment Method],F4336,RawData[Location],G4336,RawData[Transaction Date],H4336)</f>
        <v>1</v>
      </c>
      <c r="L4336"/>
    </row>
    <row r="4337" spans="1:12" x14ac:dyDescent="0.3">
      <c r="A4337" t="s">
        <v>4343</v>
      </c>
      <c r="B4337" t="s">
        <v>10012</v>
      </c>
      <c r="C4337">
        <v>5</v>
      </c>
      <c r="D4337">
        <v>4</v>
      </c>
      <c r="E4337">
        <v>20</v>
      </c>
      <c r="F4337" t="s">
        <v>10018</v>
      </c>
      <c r="G4337" t="s">
        <v>10102</v>
      </c>
      <c r="H4337" s="6">
        <v>44972</v>
      </c>
      <c r="I4337">
        <f t="shared" si="134"/>
        <v>0</v>
      </c>
      <c r="J4337" t="str">
        <f t="shared" si="135"/>
        <v>Complete</v>
      </c>
      <c r="K4337">
        <f>COUNTIFS(RawData[Item], B4337,RawData[Quantity],C4337,RawData[Price Per Unit],D4337,RawData[Total Spent],E4337,RawData[Payment Method],F4337,RawData[Location],G4337,RawData[Transaction Date],H4337)</f>
        <v>1</v>
      </c>
      <c r="L4337"/>
    </row>
    <row r="4338" spans="1:12" x14ac:dyDescent="0.3">
      <c r="A4338" t="s">
        <v>4344</v>
      </c>
      <c r="B4338" t="s">
        <v>10010</v>
      </c>
      <c r="C4338">
        <v>3</v>
      </c>
      <c r="D4338">
        <v>1</v>
      </c>
      <c r="E4338">
        <v>3</v>
      </c>
      <c r="F4338" t="s">
        <v>10019</v>
      </c>
      <c r="G4338" t="s">
        <v>10021</v>
      </c>
      <c r="H4338" s="6">
        <v>45030</v>
      </c>
      <c r="I4338">
        <f t="shared" si="134"/>
        <v>0</v>
      </c>
      <c r="J4338" t="str">
        <f t="shared" si="135"/>
        <v>Complete</v>
      </c>
      <c r="K4338">
        <f>COUNTIFS(RawData[Item], B4338,RawData[Quantity],C4338,RawData[Price Per Unit],D4338,RawData[Total Spent],E4338,RawData[Payment Method],F4338,RawData[Location],G4338,RawData[Transaction Date],H4338)</f>
        <v>1</v>
      </c>
      <c r="L4338"/>
    </row>
    <row r="4339" spans="1:12" x14ac:dyDescent="0.3">
      <c r="A4339" t="s">
        <v>4345</v>
      </c>
      <c r="B4339" t="s">
        <v>10011</v>
      </c>
      <c r="C4339">
        <v>3</v>
      </c>
      <c r="D4339">
        <v>5</v>
      </c>
      <c r="E4339">
        <v>15</v>
      </c>
      <c r="F4339" t="s">
        <v>10019</v>
      </c>
      <c r="G4339" t="s">
        <v>10102</v>
      </c>
      <c r="H4339" s="6">
        <v>44998</v>
      </c>
      <c r="I4339">
        <f t="shared" si="134"/>
        <v>0</v>
      </c>
      <c r="J4339" t="str">
        <f t="shared" si="135"/>
        <v>Complete</v>
      </c>
      <c r="K4339">
        <f>COUNTIFS(RawData[Item], B4339,RawData[Quantity],C4339,RawData[Price Per Unit],D4339,RawData[Total Spent],E4339,RawData[Payment Method],F4339,RawData[Location],G4339,RawData[Transaction Date],H4339)</f>
        <v>1</v>
      </c>
      <c r="L4339"/>
    </row>
    <row r="4340" spans="1:12" x14ac:dyDescent="0.3">
      <c r="A4340" t="s">
        <v>4346</v>
      </c>
      <c r="B4340" t="s">
        <v>10008</v>
      </c>
      <c r="C4340">
        <v>3</v>
      </c>
      <c r="D4340" t="s">
        <v>10013</v>
      </c>
      <c r="E4340">
        <v>6</v>
      </c>
      <c r="F4340" t="s">
        <v>10018</v>
      </c>
      <c r="G4340" t="s">
        <v>10102</v>
      </c>
      <c r="H4340" s="6" t="s">
        <v>10112</v>
      </c>
      <c r="I4340">
        <f t="shared" si="134"/>
        <v>2</v>
      </c>
      <c r="J4340" t="str">
        <f t="shared" si="135"/>
        <v>Incomplete</v>
      </c>
      <c r="K4340">
        <f>COUNTIFS(RawData[Item], B4340,RawData[Quantity],C4340,RawData[Price Per Unit],D4340,RawData[Total Spent],E4340,RawData[Payment Method],F4340,RawData[Location],G4340,RawData[Transaction Date],H4340)</f>
        <v>1</v>
      </c>
      <c r="L4340"/>
    </row>
    <row r="4341" spans="1:12" x14ac:dyDescent="0.3">
      <c r="A4341" t="s">
        <v>4347</v>
      </c>
      <c r="B4341" t="s">
        <v>10016</v>
      </c>
      <c r="C4341">
        <v>5</v>
      </c>
      <c r="D4341">
        <v>3</v>
      </c>
      <c r="E4341">
        <v>15</v>
      </c>
      <c r="F4341" t="s">
        <v>10103</v>
      </c>
      <c r="G4341" t="s">
        <v>10021</v>
      </c>
      <c r="H4341" s="6" t="s">
        <v>10112</v>
      </c>
      <c r="I4341">
        <f t="shared" si="134"/>
        <v>2</v>
      </c>
      <c r="J4341" t="str">
        <f t="shared" si="135"/>
        <v>Incomplete</v>
      </c>
      <c r="K4341">
        <f>COUNTIFS(RawData[Item], B4341,RawData[Quantity],C4341,RawData[Price Per Unit],D4341,RawData[Total Spent],E4341,RawData[Payment Method],F4341,RawData[Location],G4341,RawData[Transaction Date],H4341)</f>
        <v>1</v>
      </c>
      <c r="L4341"/>
    </row>
    <row r="4342" spans="1:12" x14ac:dyDescent="0.3">
      <c r="A4342" t="s">
        <v>4348</v>
      </c>
      <c r="B4342" t="s">
        <v>10017</v>
      </c>
      <c r="C4342">
        <v>1</v>
      </c>
      <c r="D4342">
        <v>1.5</v>
      </c>
      <c r="E4342">
        <v>1.5</v>
      </c>
      <c r="F4342" t="s">
        <v>10019</v>
      </c>
      <c r="G4342" t="s">
        <v>10102</v>
      </c>
      <c r="H4342" s="6">
        <v>45089</v>
      </c>
      <c r="I4342">
        <f t="shared" si="134"/>
        <v>0</v>
      </c>
      <c r="J4342" t="str">
        <f t="shared" si="135"/>
        <v>Complete</v>
      </c>
      <c r="K4342">
        <f>COUNTIFS(RawData[Item], B4342,RawData[Quantity],C4342,RawData[Price Per Unit],D4342,RawData[Total Spent],E4342,RawData[Payment Method],F4342,RawData[Location],G4342,RawData[Transaction Date],H4342)</f>
        <v>1</v>
      </c>
      <c r="L4342"/>
    </row>
    <row r="4343" spans="1:12" x14ac:dyDescent="0.3">
      <c r="A4343" t="s">
        <v>4349</v>
      </c>
      <c r="B4343" t="s">
        <v>10016</v>
      </c>
      <c r="C4343">
        <v>5</v>
      </c>
      <c r="D4343">
        <v>3</v>
      </c>
      <c r="E4343">
        <v>15</v>
      </c>
      <c r="F4343" t="s">
        <v>10018</v>
      </c>
      <c r="G4343" t="s">
        <v>10069</v>
      </c>
      <c r="H4343" s="6">
        <v>45201</v>
      </c>
      <c r="I4343">
        <f t="shared" si="134"/>
        <v>0</v>
      </c>
      <c r="J4343" t="str">
        <f t="shared" si="135"/>
        <v>Complete</v>
      </c>
      <c r="K4343">
        <f>COUNTIFS(RawData[Item], B4343,RawData[Quantity],C4343,RawData[Price Per Unit],D4343,RawData[Total Spent],E4343,RawData[Payment Method],F4343,RawData[Location],G4343,RawData[Transaction Date],H4343)</f>
        <v>1</v>
      </c>
      <c r="L4343"/>
    </row>
    <row r="4344" spans="1:12" x14ac:dyDescent="0.3">
      <c r="A4344" t="s">
        <v>4350</v>
      </c>
      <c r="B4344" t="s">
        <v>10014</v>
      </c>
      <c r="C4344">
        <v>3</v>
      </c>
      <c r="D4344">
        <v>4</v>
      </c>
      <c r="E4344">
        <v>12</v>
      </c>
      <c r="F4344" t="s">
        <v>10020</v>
      </c>
      <c r="G4344" t="s">
        <v>10103</v>
      </c>
      <c r="H4344" s="6">
        <v>45103</v>
      </c>
      <c r="I4344">
        <f t="shared" si="134"/>
        <v>1</v>
      </c>
      <c r="J4344" t="str">
        <f t="shared" si="135"/>
        <v>Complete</v>
      </c>
      <c r="K4344">
        <f>COUNTIFS(RawData[Item], B4344,RawData[Quantity],C4344,RawData[Price Per Unit],D4344,RawData[Total Spent],E4344,RawData[Payment Method],F4344,RawData[Location],G4344,RawData[Transaction Date],H4344)</f>
        <v>1</v>
      </c>
      <c r="L4344"/>
    </row>
    <row r="4345" spans="1:12" x14ac:dyDescent="0.3">
      <c r="A4345" t="s">
        <v>4351</v>
      </c>
      <c r="B4345" t="s">
        <v>10014</v>
      </c>
      <c r="C4345">
        <v>3</v>
      </c>
      <c r="D4345">
        <v>0</v>
      </c>
      <c r="E4345">
        <v>12</v>
      </c>
      <c r="F4345" t="s">
        <v>10019</v>
      </c>
      <c r="G4345" t="s">
        <v>10021</v>
      </c>
      <c r="H4345" s="6">
        <v>45073</v>
      </c>
      <c r="I4345">
        <f t="shared" si="134"/>
        <v>0</v>
      </c>
      <c r="J4345" t="str">
        <f t="shared" si="135"/>
        <v>Complete</v>
      </c>
      <c r="K4345">
        <f>COUNTIFS(RawData[Item], B4345,RawData[Quantity],C4345,RawData[Price Per Unit],D4345,RawData[Total Spent],E4345,RawData[Payment Method],F4345,RawData[Location],G4345,RawData[Transaction Date],H4345)</f>
        <v>1</v>
      </c>
      <c r="L4345"/>
    </row>
    <row r="4346" spans="1:12" x14ac:dyDescent="0.3">
      <c r="A4346" t="s">
        <v>4352</v>
      </c>
      <c r="B4346" t="s">
        <v>10011</v>
      </c>
      <c r="C4346">
        <v>2</v>
      </c>
      <c r="D4346">
        <v>5</v>
      </c>
      <c r="E4346">
        <v>10</v>
      </c>
      <c r="F4346" t="s">
        <v>10018</v>
      </c>
      <c r="G4346" t="s">
        <v>10069</v>
      </c>
      <c r="H4346" s="6">
        <v>44953</v>
      </c>
      <c r="I4346">
        <f t="shared" si="134"/>
        <v>0</v>
      </c>
      <c r="J4346" t="str">
        <f t="shared" si="135"/>
        <v>Complete</v>
      </c>
      <c r="K4346">
        <f>COUNTIFS(RawData[Item], B4346,RawData[Quantity],C4346,RawData[Price Per Unit],D4346,RawData[Total Spent],E4346,RawData[Payment Method],F4346,RawData[Location],G4346,RawData[Transaction Date],H4346)</f>
        <v>1</v>
      </c>
      <c r="L4346"/>
    </row>
    <row r="4347" spans="1:12" x14ac:dyDescent="0.3">
      <c r="A4347" t="s">
        <v>4353</v>
      </c>
      <c r="B4347" t="s">
        <v>10017</v>
      </c>
      <c r="C4347">
        <v>1</v>
      </c>
      <c r="D4347">
        <v>1.5</v>
      </c>
      <c r="E4347">
        <v>1.5</v>
      </c>
      <c r="F4347" t="s">
        <v>10019</v>
      </c>
      <c r="G4347" t="s">
        <v>10069</v>
      </c>
      <c r="H4347" s="6">
        <v>44962</v>
      </c>
      <c r="I4347">
        <f t="shared" si="134"/>
        <v>0</v>
      </c>
      <c r="J4347" t="str">
        <f t="shared" si="135"/>
        <v>Complete</v>
      </c>
      <c r="K4347">
        <f>COUNTIFS(RawData[Item], B4347,RawData[Quantity],C4347,RawData[Price Per Unit],D4347,RawData[Total Spent],E4347,RawData[Payment Method],F4347,RawData[Location],G4347,RawData[Transaction Date],H4347)</f>
        <v>1</v>
      </c>
      <c r="L4347"/>
    </row>
    <row r="4348" spans="1:12" x14ac:dyDescent="0.3">
      <c r="A4348" t="s">
        <v>4354</v>
      </c>
      <c r="B4348" t="s">
        <v>10017</v>
      </c>
      <c r="C4348">
        <v>5</v>
      </c>
      <c r="D4348">
        <v>1.5</v>
      </c>
      <c r="E4348">
        <v>7.5</v>
      </c>
      <c r="F4348" t="s">
        <v>10020</v>
      </c>
      <c r="G4348" t="s">
        <v>10069</v>
      </c>
      <c r="H4348" s="6">
        <v>45234</v>
      </c>
      <c r="I4348">
        <f t="shared" si="134"/>
        <v>0</v>
      </c>
      <c r="J4348" t="str">
        <f t="shared" si="135"/>
        <v>Complete</v>
      </c>
      <c r="K4348">
        <f>COUNTIFS(RawData[Item], B4348,RawData[Quantity],C4348,RawData[Price Per Unit],D4348,RawData[Total Spent],E4348,RawData[Payment Method],F4348,RawData[Location],G4348,RawData[Transaction Date],H4348)</f>
        <v>1</v>
      </c>
      <c r="L4348"/>
    </row>
    <row r="4349" spans="1:12" x14ac:dyDescent="0.3">
      <c r="A4349" t="s">
        <v>4355</v>
      </c>
      <c r="B4349" t="s">
        <v>10010</v>
      </c>
      <c r="C4349">
        <v>3</v>
      </c>
      <c r="D4349">
        <v>1</v>
      </c>
      <c r="E4349">
        <v>3</v>
      </c>
      <c r="F4349" t="s">
        <v>10069</v>
      </c>
      <c r="G4349" t="s">
        <v>10021</v>
      </c>
      <c r="H4349" s="6">
        <v>45216</v>
      </c>
      <c r="I4349">
        <f t="shared" si="134"/>
        <v>0</v>
      </c>
      <c r="J4349" t="str">
        <f t="shared" si="135"/>
        <v>Complete</v>
      </c>
      <c r="K4349">
        <f>COUNTIFS(RawData[Item], B4349,RawData[Quantity],C4349,RawData[Price Per Unit],D4349,RawData[Total Spent],E4349,RawData[Payment Method],F4349,RawData[Location],G4349,RawData[Transaction Date],H4349)</f>
        <v>1</v>
      </c>
      <c r="L4349"/>
    </row>
    <row r="4350" spans="1:12" x14ac:dyDescent="0.3">
      <c r="A4350" t="s">
        <v>4356</v>
      </c>
      <c r="B4350" t="s">
        <v>10014</v>
      </c>
      <c r="C4350">
        <v>2</v>
      </c>
      <c r="D4350">
        <v>4</v>
      </c>
      <c r="E4350">
        <v>8</v>
      </c>
      <c r="F4350" t="s">
        <v>10069</v>
      </c>
      <c r="G4350" t="s">
        <v>10102</v>
      </c>
      <c r="H4350" s="6">
        <v>45222</v>
      </c>
      <c r="I4350">
        <f t="shared" si="134"/>
        <v>0</v>
      </c>
      <c r="J4350" t="str">
        <f t="shared" si="135"/>
        <v>Complete</v>
      </c>
      <c r="K4350">
        <f>COUNTIFS(RawData[Item], B4350,RawData[Quantity],C4350,RawData[Price Per Unit],D4350,RawData[Total Spent],E4350,RawData[Payment Method],F4350,RawData[Location],G4350,RawData[Transaction Date],H4350)</f>
        <v>1</v>
      </c>
      <c r="L4350"/>
    </row>
    <row r="4351" spans="1:12" x14ac:dyDescent="0.3">
      <c r="A4351" t="s">
        <v>4357</v>
      </c>
      <c r="B4351" t="s">
        <v>10016</v>
      </c>
      <c r="C4351">
        <v>2</v>
      </c>
      <c r="D4351">
        <v>3</v>
      </c>
      <c r="E4351">
        <v>6</v>
      </c>
      <c r="F4351" t="s">
        <v>10018</v>
      </c>
      <c r="G4351" t="s">
        <v>10069</v>
      </c>
      <c r="H4351" s="6">
        <v>44960</v>
      </c>
      <c r="I4351">
        <f t="shared" si="134"/>
        <v>0</v>
      </c>
      <c r="J4351" t="str">
        <f t="shared" si="135"/>
        <v>Complete</v>
      </c>
      <c r="K4351">
        <f>COUNTIFS(RawData[Item], B4351,RawData[Quantity],C4351,RawData[Price Per Unit],D4351,RawData[Total Spent],E4351,RawData[Payment Method],F4351,RawData[Location],G4351,RawData[Transaction Date],H4351)</f>
        <v>1</v>
      </c>
      <c r="L4351"/>
    </row>
    <row r="4352" spans="1:12" x14ac:dyDescent="0.3">
      <c r="A4352" t="s">
        <v>4358</v>
      </c>
      <c r="B4352" t="s">
        <v>10013</v>
      </c>
      <c r="C4352">
        <v>0</v>
      </c>
      <c r="D4352">
        <v>2</v>
      </c>
      <c r="E4352">
        <v>10</v>
      </c>
      <c r="F4352" t="s">
        <v>10069</v>
      </c>
      <c r="G4352" t="s">
        <v>10102</v>
      </c>
      <c r="H4352" s="6">
        <v>45074</v>
      </c>
      <c r="I4352">
        <f t="shared" si="134"/>
        <v>1</v>
      </c>
      <c r="J4352" t="str">
        <f t="shared" si="135"/>
        <v>Complete</v>
      </c>
      <c r="K4352">
        <f>COUNTIFS(RawData[Item], B4352,RawData[Quantity],C4352,RawData[Price Per Unit],D4352,RawData[Total Spent],E4352,RawData[Payment Method],F4352,RawData[Location],G4352,RawData[Transaction Date],H4352)</f>
        <v>1</v>
      </c>
      <c r="L4352"/>
    </row>
    <row r="4353" spans="1:12" x14ac:dyDescent="0.3">
      <c r="A4353" t="s">
        <v>4359</v>
      </c>
      <c r="B4353" t="s">
        <v>10014</v>
      </c>
      <c r="C4353">
        <v>4</v>
      </c>
      <c r="D4353">
        <v>4</v>
      </c>
      <c r="E4353">
        <v>16</v>
      </c>
      <c r="F4353" t="s">
        <v>10069</v>
      </c>
      <c r="G4353" t="s">
        <v>10021</v>
      </c>
      <c r="H4353" s="6">
        <v>45202</v>
      </c>
      <c r="I4353">
        <f t="shared" si="134"/>
        <v>0</v>
      </c>
      <c r="J4353" t="str">
        <f t="shared" si="135"/>
        <v>Complete</v>
      </c>
      <c r="K4353">
        <f>COUNTIFS(RawData[Item], B4353,RawData[Quantity],C4353,RawData[Price Per Unit],D4353,RawData[Total Spent],E4353,RawData[Payment Method],F4353,RawData[Location],G4353,RawData[Transaction Date],H4353)</f>
        <v>1</v>
      </c>
      <c r="L4353"/>
    </row>
    <row r="4354" spans="1:12" x14ac:dyDescent="0.3">
      <c r="A4354" t="s">
        <v>4360</v>
      </c>
      <c r="B4354" t="s">
        <v>10010</v>
      </c>
      <c r="C4354">
        <v>3</v>
      </c>
      <c r="D4354" t="s">
        <v>10013</v>
      </c>
      <c r="E4354">
        <v>3</v>
      </c>
      <c r="F4354" t="s">
        <v>10018</v>
      </c>
      <c r="G4354" t="s">
        <v>10021</v>
      </c>
      <c r="H4354" s="6">
        <v>45169</v>
      </c>
      <c r="I4354">
        <f t="shared" ref="I4354:I4417" si="136">(B4354="Unknown")+(B4354="Error")+(C4354="Unknown")+(C4354="Error")+(D4354="Unknown")+(D4354="Error")+(E4354="Unknown")+(E4354="Error")+(F4354="Unknown")+(F4354="Error")+(G4354="Unknown")+(G4354="Error")+(H4354="No Date")</f>
        <v>1</v>
      </c>
      <c r="J4354" t="str">
        <f t="shared" ref="J4354:J4417" si="137">IF((H4354="No Date"),"Incomplete","Complete")</f>
        <v>Complete</v>
      </c>
      <c r="K4354">
        <f>COUNTIFS(RawData[Item], B4354,RawData[Quantity],C4354,RawData[Price Per Unit],D4354,RawData[Total Spent],E4354,RawData[Payment Method],F4354,RawData[Location],G4354,RawData[Transaction Date],H4354)</f>
        <v>1</v>
      </c>
      <c r="L4354"/>
    </row>
    <row r="4355" spans="1:12" x14ac:dyDescent="0.3">
      <c r="A4355" t="s">
        <v>4361</v>
      </c>
      <c r="B4355" t="s">
        <v>10015</v>
      </c>
      <c r="C4355">
        <v>3</v>
      </c>
      <c r="D4355">
        <v>1</v>
      </c>
      <c r="E4355">
        <v>3</v>
      </c>
      <c r="F4355" t="s">
        <v>10020</v>
      </c>
      <c r="G4355" t="s">
        <v>10102</v>
      </c>
      <c r="H4355" s="6">
        <v>45118</v>
      </c>
      <c r="I4355">
        <f t="shared" si="136"/>
        <v>1</v>
      </c>
      <c r="J4355" t="str">
        <f t="shared" si="137"/>
        <v>Complete</v>
      </c>
      <c r="K4355">
        <f>COUNTIFS(RawData[Item], B4355,RawData[Quantity],C4355,RawData[Price Per Unit],D4355,RawData[Total Spent],E4355,RawData[Payment Method],F4355,RawData[Location],G4355,RawData[Transaction Date],H4355)</f>
        <v>1</v>
      </c>
      <c r="L4355"/>
    </row>
    <row r="4356" spans="1:12" x14ac:dyDescent="0.3">
      <c r="A4356" t="s">
        <v>4362</v>
      </c>
      <c r="B4356" t="s">
        <v>10011</v>
      </c>
      <c r="C4356">
        <v>5</v>
      </c>
      <c r="D4356">
        <v>5</v>
      </c>
      <c r="E4356">
        <v>25</v>
      </c>
      <c r="F4356" t="s">
        <v>10018</v>
      </c>
      <c r="G4356" t="s">
        <v>10021</v>
      </c>
      <c r="H4356" s="6">
        <v>45258</v>
      </c>
      <c r="I4356">
        <f t="shared" si="136"/>
        <v>0</v>
      </c>
      <c r="J4356" t="str">
        <f t="shared" si="137"/>
        <v>Complete</v>
      </c>
      <c r="K4356">
        <f>COUNTIFS(RawData[Item], B4356,RawData[Quantity],C4356,RawData[Price Per Unit],D4356,RawData[Total Spent],E4356,RawData[Payment Method],F4356,RawData[Location],G4356,RawData[Transaction Date],H4356)</f>
        <v>1</v>
      </c>
      <c r="L4356"/>
    </row>
    <row r="4357" spans="1:12" x14ac:dyDescent="0.3">
      <c r="A4357" t="s">
        <v>4363</v>
      </c>
      <c r="B4357" t="s">
        <v>10009</v>
      </c>
      <c r="C4357">
        <v>2</v>
      </c>
      <c r="D4357">
        <v>3</v>
      </c>
      <c r="E4357">
        <v>6</v>
      </c>
      <c r="F4357" t="s">
        <v>10069</v>
      </c>
      <c r="G4357" t="s">
        <v>10103</v>
      </c>
      <c r="H4357" s="6">
        <v>45064</v>
      </c>
      <c r="I4357">
        <f t="shared" si="136"/>
        <v>1</v>
      </c>
      <c r="J4357" t="str">
        <f t="shared" si="137"/>
        <v>Complete</v>
      </c>
      <c r="K4357">
        <f>COUNTIFS(RawData[Item], B4357,RawData[Quantity],C4357,RawData[Price Per Unit],D4357,RawData[Total Spent],E4357,RawData[Payment Method],F4357,RawData[Location],G4357,RawData[Transaction Date],H4357)</f>
        <v>1</v>
      </c>
      <c r="L4357"/>
    </row>
    <row r="4358" spans="1:12" x14ac:dyDescent="0.3">
      <c r="A4358" t="s">
        <v>4364</v>
      </c>
      <c r="B4358" t="s">
        <v>10017</v>
      </c>
      <c r="C4358">
        <v>4</v>
      </c>
      <c r="D4358">
        <v>1.5</v>
      </c>
      <c r="E4358">
        <v>6</v>
      </c>
      <c r="F4358" t="s">
        <v>10020</v>
      </c>
      <c r="G4358" t="s">
        <v>10069</v>
      </c>
      <c r="H4358" s="6">
        <v>45086</v>
      </c>
      <c r="I4358">
        <f t="shared" si="136"/>
        <v>0</v>
      </c>
      <c r="J4358" t="str">
        <f t="shared" si="137"/>
        <v>Complete</v>
      </c>
      <c r="K4358">
        <f>COUNTIFS(RawData[Item], B4358,RawData[Quantity],C4358,RawData[Price Per Unit],D4358,RawData[Total Spent],E4358,RawData[Payment Method],F4358,RawData[Location],G4358,RawData[Transaction Date],H4358)</f>
        <v>1</v>
      </c>
      <c r="L4358"/>
    </row>
    <row r="4359" spans="1:12" x14ac:dyDescent="0.3">
      <c r="A4359" t="s">
        <v>4365</v>
      </c>
      <c r="B4359" t="s">
        <v>10011</v>
      </c>
      <c r="C4359">
        <v>2</v>
      </c>
      <c r="D4359">
        <v>5</v>
      </c>
      <c r="E4359">
        <v>10</v>
      </c>
      <c r="F4359" t="s">
        <v>10019</v>
      </c>
      <c r="G4359" t="s">
        <v>10102</v>
      </c>
      <c r="H4359" s="6">
        <v>45046</v>
      </c>
      <c r="I4359">
        <f t="shared" si="136"/>
        <v>0</v>
      </c>
      <c r="J4359" t="str">
        <f t="shared" si="137"/>
        <v>Complete</v>
      </c>
      <c r="K4359">
        <f>COUNTIFS(RawData[Item], B4359,RawData[Quantity],C4359,RawData[Price Per Unit],D4359,RawData[Total Spent],E4359,RawData[Payment Method],F4359,RawData[Location],G4359,RawData[Transaction Date],H4359)</f>
        <v>1</v>
      </c>
      <c r="L4359"/>
    </row>
    <row r="4360" spans="1:12" x14ac:dyDescent="0.3">
      <c r="A4360" t="s">
        <v>4366</v>
      </c>
      <c r="B4360" t="s">
        <v>10008</v>
      </c>
      <c r="C4360">
        <v>3</v>
      </c>
      <c r="D4360">
        <v>2</v>
      </c>
      <c r="E4360">
        <v>6</v>
      </c>
      <c r="F4360" t="s">
        <v>10019</v>
      </c>
      <c r="G4360" t="s">
        <v>10102</v>
      </c>
      <c r="H4360" s="6">
        <v>45186</v>
      </c>
      <c r="I4360">
        <f t="shared" si="136"/>
        <v>0</v>
      </c>
      <c r="J4360" t="str">
        <f t="shared" si="137"/>
        <v>Complete</v>
      </c>
      <c r="K4360">
        <f>COUNTIFS(RawData[Item], B4360,RawData[Quantity],C4360,RawData[Price Per Unit],D4360,RawData[Total Spent],E4360,RawData[Payment Method],F4360,RawData[Location],G4360,RawData[Transaction Date],H4360)</f>
        <v>1</v>
      </c>
      <c r="L4360"/>
    </row>
    <row r="4361" spans="1:12" x14ac:dyDescent="0.3">
      <c r="A4361" t="s">
        <v>4367</v>
      </c>
      <c r="B4361" t="s">
        <v>10012</v>
      </c>
      <c r="C4361">
        <v>2</v>
      </c>
      <c r="D4361">
        <v>4</v>
      </c>
      <c r="E4361">
        <v>8</v>
      </c>
      <c r="F4361" t="s">
        <v>10069</v>
      </c>
      <c r="G4361" t="s">
        <v>10102</v>
      </c>
      <c r="H4361" s="6">
        <v>45025</v>
      </c>
      <c r="I4361">
        <f t="shared" si="136"/>
        <v>0</v>
      </c>
      <c r="J4361" t="str">
        <f t="shared" si="137"/>
        <v>Complete</v>
      </c>
      <c r="K4361">
        <f>COUNTIFS(RawData[Item], B4361,RawData[Quantity],C4361,RawData[Price Per Unit],D4361,RawData[Total Spent],E4361,RawData[Payment Method],F4361,RawData[Location],G4361,RawData[Transaction Date],H4361)</f>
        <v>1</v>
      </c>
      <c r="L4361"/>
    </row>
    <row r="4362" spans="1:12" x14ac:dyDescent="0.3">
      <c r="A4362" t="s">
        <v>4368</v>
      </c>
      <c r="B4362" t="s">
        <v>10010</v>
      </c>
      <c r="C4362">
        <v>5</v>
      </c>
      <c r="D4362">
        <v>1</v>
      </c>
      <c r="E4362">
        <v>5</v>
      </c>
      <c r="F4362" t="s">
        <v>10069</v>
      </c>
      <c r="G4362" t="s">
        <v>10069</v>
      </c>
      <c r="H4362" s="6">
        <v>45018</v>
      </c>
      <c r="I4362">
        <f t="shared" si="136"/>
        <v>0</v>
      </c>
      <c r="J4362" t="str">
        <f t="shared" si="137"/>
        <v>Complete</v>
      </c>
      <c r="K4362">
        <f>COUNTIFS(RawData[Item], B4362,RawData[Quantity],C4362,RawData[Price Per Unit],D4362,RawData[Total Spent],E4362,RawData[Payment Method],F4362,RawData[Location],G4362,RawData[Transaction Date],H4362)</f>
        <v>1</v>
      </c>
      <c r="L4362"/>
    </row>
    <row r="4363" spans="1:12" x14ac:dyDescent="0.3">
      <c r="A4363" t="s">
        <v>4369</v>
      </c>
      <c r="B4363" t="s">
        <v>10014</v>
      </c>
      <c r="C4363">
        <v>4</v>
      </c>
      <c r="D4363">
        <v>4</v>
      </c>
      <c r="E4363">
        <v>16</v>
      </c>
      <c r="F4363" t="s">
        <v>10019</v>
      </c>
      <c r="G4363" t="s">
        <v>10104</v>
      </c>
      <c r="H4363" s="6">
        <v>45135</v>
      </c>
      <c r="I4363">
        <f t="shared" si="136"/>
        <v>1</v>
      </c>
      <c r="J4363" t="str">
        <f t="shared" si="137"/>
        <v>Complete</v>
      </c>
      <c r="K4363">
        <f>COUNTIFS(RawData[Item], B4363,RawData[Quantity],C4363,RawData[Price Per Unit],D4363,RawData[Total Spent],E4363,RawData[Payment Method],F4363,RawData[Location],G4363,RawData[Transaction Date],H4363)</f>
        <v>1</v>
      </c>
      <c r="L4363"/>
    </row>
    <row r="4364" spans="1:12" x14ac:dyDescent="0.3">
      <c r="A4364" t="s">
        <v>4370</v>
      </c>
      <c r="B4364" t="s">
        <v>10014</v>
      </c>
      <c r="C4364">
        <v>4</v>
      </c>
      <c r="D4364">
        <v>4</v>
      </c>
      <c r="E4364">
        <v>16</v>
      </c>
      <c r="F4364" t="s">
        <v>10069</v>
      </c>
      <c r="G4364" t="s">
        <v>10069</v>
      </c>
      <c r="H4364" s="6">
        <v>45283</v>
      </c>
      <c r="I4364">
        <f t="shared" si="136"/>
        <v>0</v>
      </c>
      <c r="J4364" t="str">
        <f t="shared" si="137"/>
        <v>Complete</v>
      </c>
      <c r="K4364">
        <f>COUNTIFS(RawData[Item], B4364,RawData[Quantity],C4364,RawData[Price Per Unit],D4364,RawData[Total Spent],E4364,RawData[Payment Method],F4364,RawData[Location],G4364,RawData[Transaction Date],H4364)</f>
        <v>1</v>
      </c>
      <c r="L4364"/>
    </row>
    <row r="4365" spans="1:12" x14ac:dyDescent="0.3">
      <c r="A4365" t="s">
        <v>4371</v>
      </c>
      <c r="B4365" t="s">
        <v>10010</v>
      </c>
      <c r="C4365">
        <v>5</v>
      </c>
      <c r="D4365">
        <v>0</v>
      </c>
      <c r="E4365">
        <v>5</v>
      </c>
      <c r="F4365" t="s">
        <v>10020</v>
      </c>
      <c r="G4365" t="s">
        <v>10103</v>
      </c>
      <c r="H4365" s="6" t="s">
        <v>10112</v>
      </c>
      <c r="I4365">
        <f t="shared" si="136"/>
        <v>2</v>
      </c>
      <c r="J4365" t="str">
        <f t="shared" si="137"/>
        <v>Incomplete</v>
      </c>
      <c r="K4365">
        <f>COUNTIFS(RawData[Item], B4365,RawData[Quantity],C4365,RawData[Price Per Unit],D4365,RawData[Total Spent],E4365,RawData[Payment Method],F4365,RawData[Location],G4365,RawData[Transaction Date],H4365)</f>
        <v>1</v>
      </c>
      <c r="L4365"/>
    </row>
    <row r="4366" spans="1:12" x14ac:dyDescent="0.3">
      <c r="A4366" t="s">
        <v>4372</v>
      </c>
      <c r="B4366" t="s">
        <v>10069</v>
      </c>
      <c r="C4366">
        <v>1</v>
      </c>
      <c r="D4366">
        <v>1</v>
      </c>
      <c r="E4366">
        <v>1</v>
      </c>
      <c r="F4366" t="s">
        <v>10019</v>
      </c>
      <c r="G4366" t="s">
        <v>10103</v>
      </c>
      <c r="H4366" s="6">
        <v>45037</v>
      </c>
      <c r="I4366">
        <f t="shared" si="136"/>
        <v>1</v>
      </c>
      <c r="J4366" t="str">
        <f t="shared" si="137"/>
        <v>Complete</v>
      </c>
      <c r="K4366">
        <f>COUNTIFS(RawData[Item], B4366,RawData[Quantity],C4366,RawData[Price Per Unit],D4366,RawData[Total Spent],E4366,RawData[Payment Method],F4366,RawData[Location],G4366,RawData[Transaction Date],H4366)</f>
        <v>1</v>
      </c>
      <c r="L4366"/>
    </row>
    <row r="4367" spans="1:12" x14ac:dyDescent="0.3">
      <c r="A4367" t="s">
        <v>4373</v>
      </c>
      <c r="B4367" t="s">
        <v>10009</v>
      </c>
      <c r="C4367">
        <v>2</v>
      </c>
      <c r="D4367">
        <v>3</v>
      </c>
      <c r="E4367">
        <v>6</v>
      </c>
      <c r="F4367" t="s">
        <v>10069</v>
      </c>
      <c r="G4367" t="s">
        <v>10069</v>
      </c>
      <c r="H4367" s="6" t="s">
        <v>10112</v>
      </c>
      <c r="I4367">
        <f t="shared" si="136"/>
        <v>1</v>
      </c>
      <c r="J4367" t="str">
        <f t="shared" si="137"/>
        <v>Incomplete</v>
      </c>
      <c r="K4367">
        <f>COUNTIFS(RawData[Item], B4367,RawData[Quantity],C4367,RawData[Price Per Unit],D4367,RawData[Total Spent],E4367,RawData[Payment Method],F4367,RawData[Location],G4367,RawData[Transaction Date],H4367)</f>
        <v>2</v>
      </c>
      <c r="L4367"/>
    </row>
    <row r="4368" spans="1:12" x14ac:dyDescent="0.3">
      <c r="A4368" t="s">
        <v>4374</v>
      </c>
      <c r="B4368" t="s">
        <v>10012</v>
      </c>
      <c r="C4368">
        <v>1</v>
      </c>
      <c r="D4368">
        <v>4</v>
      </c>
      <c r="E4368">
        <v>4</v>
      </c>
      <c r="F4368" t="s">
        <v>10018</v>
      </c>
      <c r="G4368" t="s">
        <v>10102</v>
      </c>
      <c r="H4368" s="6">
        <v>45064</v>
      </c>
      <c r="I4368">
        <f t="shared" si="136"/>
        <v>0</v>
      </c>
      <c r="J4368" t="str">
        <f t="shared" si="137"/>
        <v>Complete</v>
      </c>
      <c r="K4368">
        <f>COUNTIFS(RawData[Item], B4368,RawData[Quantity],C4368,RawData[Price Per Unit],D4368,RawData[Total Spent],E4368,RawData[Payment Method],F4368,RawData[Location],G4368,RawData[Transaction Date],H4368)</f>
        <v>1</v>
      </c>
      <c r="L4368"/>
    </row>
    <row r="4369" spans="1:12" x14ac:dyDescent="0.3">
      <c r="A4369" t="s">
        <v>4375</v>
      </c>
      <c r="B4369" t="s">
        <v>10017</v>
      </c>
      <c r="C4369">
        <v>3</v>
      </c>
      <c r="D4369">
        <v>1.5</v>
      </c>
      <c r="E4369">
        <v>4.5</v>
      </c>
      <c r="F4369" t="s">
        <v>10018</v>
      </c>
      <c r="G4369" t="s">
        <v>10069</v>
      </c>
      <c r="H4369" s="6">
        <v>44965</v>
      </c>
      <c r="I4369">
        <f t="shared" si="136"/>
        <v>0</v>
      </c>
      <c r="J4369" t="str">
        <f t="shared" si="137"/>
        <v>Complete</v>
      </c>
      <c r="K4369">
        <f>COUNTIFS(RawData[Item], B4369,RawData[Quantity],C4369,RawData[Price Per Unit],D4369,RawData[Total Spent],E4369,RawData[Payment Method],F4369,RawData[Location],G4369,RawData[Transaction Date],H4369)</f>
        <v>2</v>
      </c>
      <c r="L4369"/>
    </row>
    <row r="4370" spans="1:12" x14ac:dyDescent="0.3">
      <c r="A4370" t="s">
        <v>4376</v>
      </c>
      <c r="B4370" t="s">
        <v>10012</v>
      </c>
      <c r="C4370">
        <v>3</v>
      </c>
      <c r="D4370">
        <v>4</v>
      </c>
      <c r="E4370">
        <v>12</v>
      </c>
      <c r="F4370" t="s">
        <v>10069</v>
      </c>
      <c r="G4370" t="s">
        <v>10021</v>
      </c>
      <c r="H4370" s="6">
        <v>45205</v>
      </c>
      <c r="I4370">
        <f t="shared" si="136"/>
        <v>0</v>
      </c>
      <c r="J4370" t="str">
        <f t="shared" si="137"/>
        <v>Complete</v>
      </c>
      <c r="K4370">
        <f>COUNTIFS(RawData[Item], B4370,RawData[Quantity],C4370,RawData[Price Per Unit],D4370,RawData[Total Spent],E4370,RawData[Payment Method],F4370,RawData[Location],G4370,RawData[Transaction Date],H4370)</f>
        <v>1</v>
      </c>
      <c r="L4370"/>
    </row>
    <row r="4371" spans="1:12" x14ac:dyDescent="0.3">
      <c r="A4371" t="s">
        <v>4377</v>
      </c>
      <c r="B4371" t="s">
        <v>10008</v>
      </c>
      <c r="C4371">
        <v>5</v>
      </c>
      <c r="D4371">
        <v>2</v>
      </c>
      <c r="E4371">
        <v>10</v>
      </c>
      <c r="F4371" t="s">
        <v>10020</v>
      </c>
      <c r="G4371" t="s">
        <v>10069</v>
      </c>
      <c r="H4371" s="6">
        <v>45140</v>
      </c>
      <c r="I4371">
        <f t="shared" si="136"/>
        <v>0</v>
      </c>
      <c r="J4371" t="str">
        <f t="shared" si="137"/>
        <v>Complete</v>
      </c>
      <c r="K4371">
        <f>COUNTIFS(RawData[Item], B4371,RawData[Quantity],C4371,RawData[Price Per Unit],D4371,RawData[Total Spent],E4371,RawData[Payment Method],F4371,RawData[Location],G4371,RawData[Transaction Date],H4371)</f>
        <v>1</v>
      </c>
      <c r="L4371"/>
    </row>
    <row r="4372" spans="1:12" x14ac:dyDescent="0.3">
      <c r="A4372" t="s">
        <v>4378</v>
      </c>
      <c r="B4372" t="s">
        <v>10011</v>
      </c>
      <c r="C4372">
        <v>4</v>
      </c>
      <c r="D4372">
        <v>5</v>
      </c>
      <c r="E4372">
        <v>20</v>
      </c>
      <c r="F4372" t="s">
        <v>10018</v>
      </c>
      <c r="G4372" t="s">
        <v>10069</v>
      </c>
      <c r="H4372" s="6">
        <v>45174</v>
      </c>
      <c r="I4372">
        <f t="shared" si="136"/>
        <v>0</v>
      </c>
      <c r="J4372" t="str">
        <f t="shared" si="137"/>
        <v>Complete</v>
      </c>
      <c r="K4372">
        <f>COUNTIFS(RawData[Item], B4372,RawData[Quantity],C4372,RawData[Price Per Unit],D4372,RawData[Total Spent],E4372,RawData[Payment Method],F4372,RawData[Location],G4372,RawData[Transaction Date],H4372)</f>
        <v>1</v>
      </c>
      <c r="L4372"/>
    </row>
    <row r="4373" spans="1:12" x14ac:dyDescent="0.3">
      <c r="A4373" t="s">
        <v>4379</v>
      </c>
      <c r="B4373" t="s">
        <v>10011</v>
      </c>
      <c r="C4373">
        <v>1</v>
      </c>
      <c r="D4373">
        <v>5</v>
      </c>
      <c r="E4373">
        <v>5</v>
      </c>
      <c r="F4373" t="s">
        <v>10069</v>
      </c>
      <c r="G4373" t="s">
        <v>10102</v>
      </c>
      <c r="H4373" s="6">
        <v>45094</v>
      </c>
      <c r="I4373">
        <f t="shared" si="136"/>
        <v>0</v>
      </c>
      <c r="J4373" t="str">
        <f t="shared" si="137"/>
        <v>Complete</v>
      </c>
      <c r="K4373">
        <f>COUNTIFS(RawData[Item], B4373,RawData[Quantity],C4373,RawData[Price Per Unit],D4373,RawData[Total Spent],E4373,RawData[Payment Method],F4373,RawData[Location],G4373,RawData[Transaction Date],H4373)</f>
        <v>1</v>
      </c>
      <c r="L4373"/>
    </row>
    <row r="4374" spans="1:12" x14ac:dyDescent="0.3">
      <c r="A4374" t="s">
        <v>4380</v>
      </c>
      <c r="B4374" t="s">
        <v>10017</v>
      </c>
      <c r="C4374">
        <v>1</v>
      </c>
      <c r="D4374">
        <v>1.5</v>
      </c>
      <c r="E4374">
        <v>1.5</v>
      </c>
      <c r="F4374" t="s">
        <v>10069</v>
      </c>
      <c r="G4374" t="s">
        <v>10102</v>
      </c>
      <c r="H4374" s="6">
        <v>45171</v>
      </c>
      <c r="I4374">
        <f t="shared" si="136"/>
        <v>0</v>
      </c>
      <c r="J4374" t="str">
        <f t="shared" si="137"/>
        <v>Complete</v>
      </c>
      <c r="K4374">
        <f>COUNTIFS(RawData[Item], B4374,RawData[Quantity],C4374,RawData[Price Per Unit],D4374,RawData[Total Spent],E4374,RawData[Payment Method],F4374,RawData[Location],G4374,RawData[Transaction Date],H4374)</f>
        <v>1</v>
      </c>
      <c r="L4374"/>
    </row>
    <row r="4375" spans="1:12" x14ac:dyDescent="0.3">
      <c r="A4375" t="s">
        <v>4381</v>
      </c>
      <c r="B4375" t="s">
        <v>10069</v>
      </c>
      <c r="C4375" t="s">
        <v>10015</v>
      </c>
      <c r="D4375">
        <v>2</v>
      </c>
      <c r="E4375">
        <v>8</v>
      </c>
      <c r="F4375" t="s">
        <v>10069</v>
      </c>
      <c r="G4375" t="s">
        <v>10021</v>
      </c>
      <c r="H4375" s="6">
        <v>45178</v>
      </c>
      <c r="I4375">
        <f t="shared" si="136"/>
        <v>1</v>
      </c>
      <c r="J4375" t="str">
        <f t="shared" si="137"/>
        <v>Complete</v>
      </c>
      <c r="K4375">
        <f>COUNTIFS(RawData[Item], B4375,RawData[Quantity],C4375,RawData[Price Per Unit],D4375,RawData[Total Spent],E4375,RawData[Payment Method],F4375,RawData[Location],G4375,RawData[Transaction Date],H4375)</f>
        <v>1</v>
      </c>
      <c r="L4375"/>
    </row>
    <row r="4376" spans="1:12" x14ac:dyDescent="0.3">
      <c r="A4376" t="s">
        <v>4382</v>
      </c>
      <c r="B4376" t="s">
        <v>10010</v>
      </c>
      <c r="C4376">
        <v>3</v>
      </c>
      <c r="D4376">
        <v>1</v>
      </c>
      <c r="E4376">
        <v>3</v>
      </c>
      <c r="F4376" t="s">
        <v>10018</v>
      </c>
      <c r="G4376" t="s">
        <v>10021</v>
      </c>
      <c r="H4376" s="6">
        <v>44940</v>
      </c>
      <c r="I4376">
        <f t="shared" si="136"/>
        <v>0</v>
      </c>
      <c r="J4376" t="str">
        <f t="shared" si="137"/>
        <v>Complete</v>
      </c>
      <c r="K4376">
        <f>COUNTIFS(RawData[Item], B4376,RawData[Quantity],C4376,RawData[Price Per Unit],D4376,RawData[Total Spent],E4376,RawData[Payment Method],F4376,RawData[Location],G4376,RawData[Transaction Date],H4376)</f>
        <v>1</v>
      </c>
      <c r="L4376"/>
    </row>
    <row r="4377" spans="1:12" x14ac:dyDescent="0.3">
      <c r="A4377" t="s">
        <v>4383</v>
      </c>
      <c r="B4377" t="s">
        <v>10008</v>
      </c>
      <c r="C4377">
        <v>5</v>
      </c>
      <c r="D4377">
        <v>2</v>
      </c>
      <c r="E4377">
        <v>10</v>
      </c>
      <c r="F4377" t="s">
        <v>10069</v>
      </c>
      <c r="G4377" t="s">
        <v>10021</v>
      </c>
      <c r="H4377" s="6">
        <v>45133</v>
      </c>
      <c r="I4377">
        <f t="shared" si="136"/>
        <v>0</v>
      </c>
      <c r="J4377" t="str">
        <f t="shared" si="137"/>
        <v>Complete</v>
      </c>
      <c r="K4377">
        <f>COUNTIFS(RawData[Item], B4377,RawData[Quantity],C4377,RawData[Price Per Unit],D4377,RawData[Total Spent],E4377,RawData[Payment Method],F4377,RawData[Location],G4377,RawData[Transaction Date],H4377)</f>
        <v>1</v>
      </c>
      <c r="L4377"/>
    </row>
    <row r="4378" spans="1:12" x14ac:dyDescent="0.3">
      <c r="A4378" t="s">
        <v>4384</v>
      </c>
      <c r="B4378" t="s">
        <v>10014</v>
      </c>
      <c r="C4378" t="s">
        <v>10013</v>
      </c>
      <c r="D4378">
        <v>4</v>
      </c>
      <c r="E4378">
        <v>20</v>
      </c>
      <c r="F4378" t="s">
        <v>10020</v>
      </c>
      <c r="G4378" t="s">
        <v>10069</v>
      </c>
      <c r="H4378" s="6">
        <v>45197</v>
      </c>
      <c r="I4378">
        <f t="shared" si="136"/>
        <v>1</v>
      </c>
      <c r="J4378" t="str">
        <f t="shared" si="137"/>
        <v>Complete</v>
      </c>
      <c r="K4378">
        <f>COUNTIFS(RawData[Item], B4378,RawData[Quantity],C4378,RawData[Price Per Unit],D4378,RawData[Total Spent],E4378,RawData[Payment Method],F4378,RawData[Location],G4378,RawData[Transaction Date],H4378)</f>
        <v>1</v>
      </c>
      <c r="L4378"/>
    </row>
    <row r="4379" spans="1:12" x14ac:dyDescent="0.3">
      <c r="A4379" t="s">
        <v>4385</v>
      </c>
      <c r="B4379" t="s">
        <v>10008</v>
      </c>
      <c r="C4379">
        <v>1</v>
      </c>
      <c r="D4379">
        <v>2</v>
      </c>
      <c r="E4379">
        <v>2</v>
      </c>
      <c r="F4379" t="s">
        <v>10020</v>
      </c>
      <c r="G4379" t="s">
        <v>10069</v>
      </c>
      <c r="H4379" s="6">
        <v>45000</v>
      </c>
      <c r="I4379">
        <f t="shared" si="136"/>
        <v>0</v>
      </c>
      <c r="J4379" t="str">
        <f t="shared" si="137"/>
        <v>Complete</v>
      </c>
      <c r="K4379">
        <f>COUNTIFS(RawData[Item], B4379,RawData[Quantity],C4379,RawData[Price Per Unit],D4379,RawData[Total Spent],E4379,RawData[Payment Method],F4379,RawData[Location],G4379,RawData[Transaction Date],H4379)</f>
        <v>1</v>
      </c>
      <c r="L4379"/>
    </row>
    <row r="4380" spans="1:12" x14ac:dyDescent="0.3">
      <c r="A4380" t="s">
        <v>4386</v>
      </c>
      <c r="B4380" t="s">
        <v>10016</v>
      </c>
      <c r="C4380">
        <v>1</v>
      </c>
      <c r="D4380">
        <v>3</v>
      </c>
      <c r="E4380">
        <v>3</v>
      </c>
      <c r="F4380" t="s">
        <v>10018</v>
      </c>
      <c r="G4380" t="s">
        <v>10021</v>
      </c>
      <c r="H4380" s="6" t="s">
        <v>10112</v>
      </c>
      <c r="I4380">
        <f t="shared" si="136"/>
        <v>1</v>
      </c>
      <c r="J4380" t="str">
        <f t="shared" si="137"/>
        <v>Incomplete</v>
      </c>
      <c r="K4380">
        <f>COUNTIFS(RawData[Item], B4380,RawData[Quantity],C4380,RawData[Price Per Unit],D4380,RawData[Total Spent],E4380,RawData[Payment Method],F4380,RawData[Location],G4380,RawData[Transaction Date],H4380)</f>
        <v>2</v>
      </c>
      <c r="L4380"/>
    </row>
    <row r="4381" spans="1:12" x14ac:dyDescent="0.3">
      <c r="A4381" t="s">
        <v>4387</v>
      </c>
      <c r="B4381" t="s">
        <v>10016</v>
      </c>
      <c r="C4381">
        <v>5</v>
      </c>
      <c r="D4381">
        <v>3</v>
      </c>
      <c r="E4381">
        <v>15</v>
      </c>
      <c r="F4381" t="s">
        <v>10104</v>
      </c>
      <c r="G4381" t="s">
        <v>10069</v>
      </c>
      <c r="H4381" s="6">
        <v>45110</v>
      </c>
      <c r="I4381">
        <f t="shared" si="136"/>
        <v>1</v>
      </c>
      <c r="J4381" t="str">
        <f t="shared" si="137"/>
        <v>Complete</v>
      </c>
      <c r="K4381">
        <f>COUNTIFS(RawData[Item], B4381,RawData[Quantity],C4381,RawData[Price Per Unit],D4381,RawData[Total Spent],E4381,RawData[Payment Method],F4381,RawData[Location],G4381,RawData[Transaction Date],H4381)</f>
        <v>1</v>
      </c>
      <c r="L4381"/>
    </row>
    <row r="4382" spans="1:12" x14ac:dyDescent="0.3">
      <c r="A4382" t="s">
        <v>4388</v>
      </c>
      <c r="B4382" t="s">
        <v>10009</v>
      </c>
      <c r="C4382">
        <v>4</v>
      </c>
      <c r="D4382">
        <v>3</v>
      </c>
      <c r="E4382">
        <v>12</v>
      </c>
      <c r="F4382" t="s">
        <v>10020</v>
      </c>
      <c r="G4382" t="s">
        <v>10021</v>
      </c>
      <c r="H4382" s="6">
        <v>45253</v>
      </c>
      <c r="I4382">
        <f t="shared" si="136"/>
        <v>0</v>
      </c>
      <c r="J4382" t="str">
        <f t="shared" si="137"/>
        <v>Complete</v>
      </c>
      <c r="K4382">
        <f>COUNTIFS(RawData[Item], B4382,RawData[Quantity],C4382,RawData[Price Per Unit],D4382,RawData[Total Spent],E4382,RawData[Payment Method],F4382,RawData[Location],G4382,RawData[Transaction Date],H4382)</f>
        <v>1</v>
      </c>
      <c r="L4382"/>
    </row>
    <row r="4383" spans="1:12" x14ac:dyDescent="0.3">
      <c r="A4383" t="s">
        <v>4389</v>
      </c>
      <c r="B4383" t="s">
        <v>10009</v>
      </c>
      <c r="C4383">
        <v>5</v>
      </c>
      <c r="D4383">
        <v>3</v>
      </c>
      <c r="E4383">
        <v>15</v>
      </c>
      <c r="F4383" t="s">
        <v>10019</v>
      </c>
      <c r="G4383" t="s">
        <v>10069</v>
      </c>
      <c r="H4383" s="6">
        <v>45230</v>
      </c>
      <c r="I4383">
        <f t="shared" si="136"/>
        <v>0</v>
      </c>
      <c r="J4383" t="str">
        <f t="shared" si="137"/>
        <v>Complete</v>
      </c>
      <c r="K4383">
        <f>COUNTIFS(RawData[Item], B4383,RawData[Quantity],C4383,RawData[Price Per Unit],D4383,RawData[Total Spent],E4383,RawData[Payment Method],F4383,RawData[Location],G4383,RawData[Transaction Date],H4383)</f>
        <v>1</v>
      </c>
      <c r="L4383"/>
    </row>
    <row r="4384" spans="1:12" x14ac:dyDescent="0.3">
      <c r="A4384" t="s">
        <v>4390</v>
      </c>
      <c r="B4384" t="s">
        <v>10014</v>
      </c>
      <c r="C4384">
        <v>2</v>
      </c>
      <c r="D4384">
        <v>4</v>
      </c>
      <c r="E4384">
        <v>8</v>
      </c>
      <c r="F4384" t="s">
        <v>10020</v>
      </c>
      <c r="G4384" t="s">
        <v>10069</v>
      </c>
      <c r="H4384" s="6">
        <v>45143</v>
      </c>
      <c r="I4384">
        <f t="shared" si="136"/>
        <v>0</v>
      </c>
      <c r="J4384" t="str">
        <f t="shared" si="137"/>
        <v>Complete</v>
      </c>
      <c r="K4384">
        <f>COUNTIFS(RawData[Item], B4384,RawData[Quantity],C4384,RawData[Price Per Unit],D4384,RawData[Total Spent],E4384,RawData[Payment Method],F4384,RawData[Location],G4384,RawData[Transaction Date],H4384)</f>
        <v>1</v>
      </c>
      <c r="L4384"/>
    </row>
    <row r="4385" spans="1:12" x14ac:dyDescent="0.3">
      <c r="A4385" t="s">
        <v>4391</v>
      </c>
      <c r="B4385" t="s">
        <v>10016</v>
      </c>
      <c r="C4385">
        <v>4</v>
      </c>
      <c r="D4385">
        <v>3</v>
      </c>
      <c r="E4385">
        <v>12</v>
      </c>
      <c r="F4385" t="s">
        <v>10020</v>
      </c>
      <c r="G4385" t="s">
        <v>10102</v>
      </c>
      <c r="H4385" s="6">
        <v>45232</v>
      </c>
      <c r="I4385">
        <f t="shared" si="136"/>
        <v>0</v>
      </c>
      <c r="J4385" t="str">
        <f t="shared" si="137"/>
        <v>Complete</v>
      </c>
      <c r="K4385">
        <f>COUNTIFS(RawData[Item], B4385,RawData[Quantity],C4385,RawData[Price Per Unit],D4385,RawData[Total Spent],E4385,RawData[Payment Method],F4385,RawData[Location],G4385,RawData[Transaction Date],H4385)</f>
        <v>1</v>
      </c>
      <c r="L4385"/>
    </row>
    <row r="4386" spans="1:12" x14ac:dyDescent="0.3">
      <c r="A4386" t="s">
        <v>4392</v>
      </c>
      <c r="B4386" t="s">
        <v>10009</v>
      </c>
      <c r="C4386">
        <v>5</v>
      </c>
      <c r="D4386">
        <v>3</v>
      </c>
      <c r="E4386">
        <v>15</v>
      </c>
      <c r="F4386" t="s">
        <v>10018</v>
      </c>
      <c r="G4386" t="s">
        <v>10021</v>
      </c>
      <c r="H4386" s="6">
        <v>44951</v>
      </c>
      <c r="I4386">
        <f t="shared" si="136"/>
        <v>0</v>
      </c>
      <c r="J4386" t="str">
        <f t="shared" si="137"/>
        <v>Complete</v>
      </c>
      <c r="K4386">
        <f>COUNTIFS(RawData[Item], B4386,RawData[Quantity],C4386,RawData[Price Per Unit],D4386,RawData[Total Spent],E4386,RawData[Payment Method],F4386,RawData[Location],G4386,RawData[Transaction Date],H4386)</f>
        <v>1</v>
      </c>
      <c r="L4386"/>
    </row>
    <row r="4387" spans="1:12" x14ac:dyDescent="0.3">
      <c r="A4387" t="s">
        <v>4393</v>
      </c>
      <c r="B4387" t="s">
        <v>10009</v>
      </c>
      <c r="C4387">
        <v>1</v>
      </c>
      <c r="D4387">
        <v>3</v>
      </c>
      <c r="E4387">
        <v>3</v>
      </c>
      <c r="F4387" t="s">
        <v>10019</v>
      </c>
      <c r="G4387" t="s">
        <v>10102</v>
      </c>
      <c r="H4387" s="6">
        <v>45061</v>
      </c>
      <c r="I4387">
        <f t="shared" si="136"/>
        <v>0</v>
      </c>
      <c r="J4387" t="str">
        <f t="shared" si="137"/>
        <v>Complete</v>
      </c>
      <c r="K4387">
        <f>COUNTIFS(RawData[Item], B4387,RawData[Quantity],C4387,RawData[Price Per Unit],D4387,RawData[Total Spent],E4387,RawData[Payment Method],F4387,RawData[Location],G4387,RawData[Transaction Date],H4387)</f>
        <v>1</v>
      </c>
      <c r="L4387"/>
    </row>
    <row r="4388" spans="1:12" x14ac:dyDescent="0.3">
      <c r="A4388" t="s">
        <v>4394</v>
      </c>
      <c r="B4388" t="s">
        <v>10010</v>
      </c>
      <c r="C4388">
        <v>4</v>
      </c>
      <c r="D4388">
        <v>1</v>
      </c>
      <c r="E4388">
        <v>4</v>
      </c>
      <c r="F4388" t="s">
        <v>10019</v>
      </c>
      <c r="G4388" t="s">
        <v>10102</v>
      </c>
      <c r="H4388" s="6">
        <v>45204</v>
      </c>
      <c r="I4388">
        <f t="shared" si="136"/>
        <v>0</v>
      </c>
      <c r="J4388" t="str">
        <f t="shared" si="137"/>
        <v>Complete</v>
      </c>
      <c r="K4388">
        <f>COUNTIFS(RawData[Item], B4388,RawData[Quantity],C4388,RawData[Price Per Unit],D4388,RawData[Total Spent],E4388,RawData[Payment Method],F4388,RawData[Location],G4388,RawData[Transaction Date],H4388)</f>
        <v>1</v>
      </c>
      <c r="L4388"/>
    </row>
    <row r="4389" spans="1:12" x14ac:dyDescent="0.3">
      <c r="A4389" t="s">
        <v>4395</v>
      </c>
      <c r="B4389" t="s">
        <v>10017</v>
      </c>
      <c r="C4389">
        <v>5</v>
      </c>
      <c r="D4389">
        <v>1.5</v>
      </c>
      <c r="E4389">
        <v>7.5</v>
      </c>
      <c r="F4389" t="s">
        <v>10018</v>
      </c>
      <c r="G4389" t="s">
        <v>10102</v>
      </c>
      <c r="H4389" s="6">
        <v>44971</v>
      </c>
      <c r="I4389">
        <f t="shared" si="136"/>
        <v>0</v>
      </c>
      <c r="J4389" t="str">
        <f t="shared" si="137"/>
        <v>Complete</v>
      </c>
      <c r="K4389">
        <f>COUNTIFS(RawData[Item], B4389,RawData[Quantity],C4389,RawData[Price Per Unit],D4389,RawData[Total Spent],E4389,RawData[Payment Method],F4389,RawData[Location],G4389,RawData[Transaction Date],H4389)</f>
        <v>1</v>
      </c>
      <c r="L4389"/>
    </row>
    <row r="4390" spans="1:12" x14ac:dyDescent="0.3">
      <c r="A4390" t="s">
        <v>4396</v>
      </c>
      <c r="B4390" t="s">
        <v>10009</v>
      </c>
      <c r="C4390">
        <v>4</v>
      </c>
      <c r="D4390">
        <v>3</v>
      </c>
      <c r="E4390">
        <v>12</v>
      </c>
      <c r="F4390" t="s">
        <v>10020</v>
      </c>
      <c r="G4390" t="s">
        <v>10069</v>
      </c>
      <c r="H4390" s="6">
        <v>45216</v>
      </c>
      <c r="I4390">
        <f t="shared" si="136"/>
        <v>0</v>
      </c>
      <c r="J4390" t="str">
        <f t="shared" si="137"/>
        <v>Complete</v>
      </c>
      <c r="K4390">
        <f>COUNTIFS(RawData[Item], B4390,RawData[Quantity],C4390,RawData[Price Per Unit],D4390,RawData[Total Spent],E4390,RawData[Payment Method],F4390,RawData[Location],G4390,RawData[Transaction Date],H4390)</f>
        <v>1</v>
      </c>
      <c r="L4390"/>
    </row>
    <row r="4391" spans="1:12" x14ac:dyDescent="0.3">
      <c r="A4391" t="s">
        <v>4397</v>
      </c>
      <c r="B4391" t="s">
        <v>10008</v>
      </c>
      <c r="C4391">
        <v>2</v>
      </c>
      <c r="D4391">
        <v>2</v>
      </c>
      <c r="E4391">
        <v>4</v>
      </c>
      <c r="F4391" t="s">
        <v>10019</v>
      </c>
      <c r="G4391" t="s">
        <v>10069</v>
      </c>
      <c r="H4391" s="6">
        <v>45110</v>
      </c>
      <c r="I4391">
        <f t="shared" si="136"/>
        <v>0</v>
      </c>
      <c r="J4391" t="str">
        <f t="shared" si="137"/>
        <v>Complete</v>
      </c>
      <c r="K4391">
        <f>COUNTIFS(RawData[Item], B4391,RawData[Quantity],C4391,RawData[Price Per Unit],D4391,RawData[Total Spent],E4391,RawData[Payment Method],F4391,RawData[Location],G4391,RawData[Transaction Date],H4391)</f>
        <v>1</v>
      </c>
      <c r="L4391"/>
    </row>
    <row r="4392" spans="1:12" x14ac:dyDescent="0.3">
      <c r="A4392" t="s">
        <v>4398</v>
      </c>
      <c r="B4392" t="s">
        <v>10012</v>
      </c>
      <c r="C4392">
        <v>2</v>
      </c>
      <c r="D4392">
        <v>4</v>
      </c>
      <c r="E4392">
        <v>8</v>
      </c>
      <c r="F4392" t="s">
        <v>10104</v>
      </c>
      <c r="G4392" t="s">
        <v>10069</v>
      </c>
      <c r="H4392" s="6">
        <v>45043</v>
      </c>
      <c r="I4392">
        <f t="shared" si="136"/>
        <v>1</v>
      </c>
      <c r="J4392" t="str">
        <f t="shared" si="137"/>
        <v>Complete</v>
      </c>
      <c r="K4392">
        <f>COUNTIFS(RawData[Item], B4392,RawData[Quantity],C4392,RawData[Price Per Unit],D4392,RawData[Total Spent],E4392,RawData[Payment Method],F4392,RawData[Location],G4392,RawData[Transaction Date],H4392)</f>
        <v>1</v>
      </c>
      <c r="L4392"/>
    </row>
    <row r="4393" spans="1:12" x14ac:dyDescent="0.3">
      <c r="A4393" t="s">
        <v>4399</v>
      </c>
      <c r="B4393" t="s">
        <v>10008</v>
      </c>
      <c r="C4393">
        <v>3</v>
      </c>
      <c r="D4393">
        <v>2</v>
      </c>
      <c r="E4393">
        <v>6</v>
      </c>
      <c r="F4393" t="s">
        <v>10018</v>
      </c>
      <c r="G4393" t="s">
        <v>10069</v>
      </c>
      <c r="H4393" s="6">
        <v>45184</v>
      </c>
      <c r="I4393">
        <f t="shared" si="136"/>
        <v>0</v>
      </c>
      <c r="J4393" t="str">
        <f t="shared" si="137"/>
        <v>Complete</v>
      </c>
      <c r="K4393">
        <f>COUNTIFS(RawData[Item], B4393,RawData[Quantity],C4393,RawData[Price Per Unit],D4393,RawData[Total Spent],E4393,RawData[Payment Method],F4393,RawData[Location],G4393,RawData[Transaction Date],H4393)</f>
        <v>2</v>
      </c>
      <c r="L4393"/>
    </row>
    <row r="4394" spans="1:12" x14ac:dyDescent="0.3">
      <c r="A4394" t="s">
        <v>4400</v>
      </c>
      <c r="B4394" t="s">
        <v>10011</v>
      </c>
      <c r="C4394">
        <v>5</v>
      </c>
      <c r="D4394">
        <v>5</v>
      </c>
      <c r="E4394">
        <v>25</v>
      </c>
      <c r="F4394" t="s">
        <v>10069</v>
      </c>
      <c r="G4394" t="s">
        <v>10069</v>
      </c>
      <c r="H4394" s="6" t="s">
        <v>10112</v>
      </c>
      <c r="I4394">
        <f t="shared" si="136"/>
        <v>1</v>
      </c>
      <c r="J4394" t="str">
        <f t="shared" si="137"/>
        <v>Incomplete</v>
      </c>
      <c r="K4394">
        <f>COUNTIFS(RawData[Item], B4394,RawData[Quantity],C4394,RawData[Price Per Unit],D4394,RawData[Total Spent],E4394,RawData[Payment Method],F4394,RawData[Location],G4394,RawData[Transaction Date],H4394)</f>
        <v>2</v>
      </c>
      <c r="L4394"/>
    </row>
    <row r="4395" spans="1:12" x14ac:dyDescent="0.3">
      <c r="A4395" t="s">
        <v>4401</v>
      </c>
      <c r="B4395" t="s">
        <v>10009</v>
      </c>
      <c r="C4395">
        <v>0</v>
      </c>
      <c r="D4395">
        <v>3</v>
      </c>
      <c r="E4395">
        <v>6</v>
      </c>
      <c r="F4395" t="s">
        <v>10019</v>
      </c>
      <c r="G4395" t="s">
        <v>10103</v>
      </c>
      <c r="H4395" s="6">
        <v>45022</v>
      </c>
      <c r="I4395">
        <f t="shared" si="136"/>
        <v>1</v>
      </c>
      <c r="J4395" t="str">
        <f t="shared" si="137"/>
        <v>Complete</v>
      </c>
      <c r="K4395">
        <f>COUNTIFS(RawData[Item], B4395,RawData[Quantity],C4395,RawData[Price Per Unit],D4395,RawData[Total Spent],E4395,RawData[Payment Method],F4395,RawData[Location],G4395,RawData[Transaction Date],H4395)</f>
        <v>1</v>
      </c>
      <c r="L4395"/>
    </row>
    <row r="4396" spans="1:12" x14ac:dyDescent="0.3">
      <c r="A4396" t="s">
        <v>4402</v>
      </c>
      <c r="B4396" t="s">
        <v>10010</v>
      </c>
      <c r="C4396">
        <v>5</v>
      </c>
      <c r="D4396">
        <v>1</v>
      </c>
      <c r="E4396">
        <v>5</v>
      </c>
      <c r="F4396" t="s">
        <v>10018</v>
      </c>
      <c r="G4396" t="s">
        <v>10021</v>
      </c>
      <c r="H4396" s="6">
        <v>45260</v>
      </c>
      <c r="I4396">
        <f t="shared" si="136"/>
        <v>0</v>
      </c>
      <c r="J4396" t="str">
        <f t="shared" si="137"/>
        <v>Complete</v>
      </c>
      <c r="K4396">
        <f>COUNTIFS(RawData[Item], B4396,RawData[Quantity],C4396,RawData[Price Per Unit],D4396,RawData[Total Spent],E4396,RawData[Payment Method],F4396,RawData[Location],G4396,RawData[Transaction Date],H4396)</f>
        <v>1</v>
      </c>
      <c r="L4396"/>
    </row>
    <row r="4397" spans="1:12" x14ac:dyDescent="0.3">
      <c r="A4397" t="s">
        <v>4403</v>
      </c>
      <c r="B4397" t="s">
        <v>10008</v>
      </c>
      <c r="C4397">
        <v>4</v>
      </c>
      <c r="D4397">
        <v>2</v>
      </c>
      <c r="E4397">
        <v>8</v>
      </c>
      <c r="F4397" t="s">
        <v>10020</v>
      </c>
      <c r="G4397" t="s">
        <v>10021</v>
      </c>
      <c r="H4397" s="6">
        <v>45057</v>
      </c>
      <c r="I4397">
        <f t="shared" si="136"/>
        <v>0</v>
      </c>
      <c r="J4397" t="str">
        <f t="shared" si="137"/>
        <v>Complete</v>
      </c>
      <c r="K4397">
        <f>COUNTIFS(RawData[Item], B4397,RawData[Quantity],C4397,RawData[Price Per Unit],D4397,RawData[Total Spent],E4397,RawData[Payment Method],F4397,RawData[Location],G4397,RawData[Transaction Date],H4397)</f>
        <v>1</v>
      </c>
      <c r="L4397"/>
    </row>
    <row r="4398" spans="1:12" x14ac:dyDescent="0.3">
      <c r="A4398" t="s">
        <v>4404</v>
      </c>
      <c r="B4398" t="s">
        <v>10017</v>
      </c>
      <c r="C4398">
        <v>2</v>
      </c>
      <c r="D4398">
        <v>1.5</v>
      </c>
      <c r="E4398">
        <v>3</v>
      </c>
      <c r="F4398" t="s">
        <v>10019</v>
      </c>
      <c r="G4398" t="s">
        <v>10069</v>
      </c>
      <c r="H4398" s="6">
        <v>45253</v>
      </c>
      <c r="I4398">
        <f t="shared" si="136"/>
        <v>0</v>
      </c>
      <c r="J4398" t="str">
        <f t="shared" si="137"/>
        <v>Complete</v>
      </c>
      <c r="K4398">
        <f>COUNTIFS(RawData[Item], B4398,RawData[Quantity],C4398,RawData[Price Per Unit],D4398,RawData[Total Spent],E4398,RawData[Payment Method],F4398,RawData[Location],G4398,RawData[Transaction Date],H4398)</f>
        <v>1</v>
      </c>
      <c r="L4398"/>
    </row>
    <row r="4399" spans="1:12" x14ac:dyDescent="0.3">
      <c r="A4399" t="s">
        <v>4405</v>
      </c>
      <c r="B4399" t="s">
        <v>10009</v>
      </c>
      <c r="C4399">
        <v>5</v>
      </c>
      <c r="D4399">
        <v>3</v>
      </c>
      <c r="E4399">
        <v>15</v>
      </c>
      <c r="F4399" t="s">
        <v>10019</v>
      </c>
      <c r="G4399" t="s">
        <v>10069</v>
      </c>
      <c r="H4399" s="6" t="s">
        <v>10112</v>
      </c>
      <c r="I4399">
        <f t="shared" si="136"/>
        <v>1</v>
      </c>
      <c r="J4399" t="str">
        <f t="shared" si="137"/>
        <v>Incomplete</v>
      </c>
      <c r="K4399">
        <f>COUNTIFS(RawData[Item], B4399,RawData[Quantity],C4399,RawData[Price Per Unit],D4399,RawData[Total Spent],E4399,RawData[Payment Method],F4399,RawData[Location],G4399,RawData[Transaction Date],H4399)</f>
        <v>1</v>
      </c>
      <c r="L4399"/>
    </row>
    <row r="4400" spans="1:12" x14ac:dyDescent="0.3">
      <c r="A4400" t="s">
        <v>4406</v>
      </c>
      <c r="B4400" t="s">
        <v>10017</v>
      </c>
      <c r="C4400">
        <v>5</v>
      </c>
      <c r="D4400">
        <v>1.5</v>
      </c>
      <c r="E4400">
        <v>7.5</v>
      </c>
      <c r="F4400" t="s">
        <v>10069</v>
      </c>
      <c r="G4400" t="s">
        <v>10021</v>
      </c>
      <c r="H4400" s="6">
        <v>45089</v>
      </c>
      <c r="I4400">
        <f t="shared" si="136"/>
        <v>0</v>
      </c>
      <c r="J4400" t="str">
        <f t="shared" si="137"/>
        <v>Complete</v>
      </c>
      <c r="K4400">
        <f>COUNTIFS(RawData[Item], B4400,RawData[Quantity],C4400,RawData[Price Per Unit],D4400,RawData[Total Spent],E4400,RawData[Payment Method],F4400,RawData[Location],G4400,RawData[Transaction Date],H4400)</f>
        <v>1</v>
      </c>
      <c r="L4400"/>
    </row>
    <row r="4401" spans="1:12" x14ac:dyDescent="0.3">
      <c r="A4401" t="s">
        <v>4407</v>
      </c>
      <c r="B4401" t="s">
        <v>10017</v>
      </c>
      <c r="C4401">
        <v>2</v>
      </c>
      <c r="D4401">
        <v>1.5</v>
      </c>
      <c r="E4401">
        <v>3</v>
      </c>
      <c r="F4401" t="s">
        <v>10069</v>
      </c>
      <c r="G4401" t="s">
        <v>10103</v>
      </c>
      <c r="H4401" s="6" t="s">
        <v>10112</v>
      </c>
      <c r="I4401">
        <f t="shared" si="136"/>
        <v>2</v>
      </c>
      <c r="J4401" t="str">
        <f t="shared" si="137"/>
        <v>Incomplete</v>
      </c>
      <c r="K4401">
        <f>COUNTIFS(RawData[Item], B4401,RawData[Quantity],C4401,RawData[Price Per Unit],D4401,RawData[Total Spent],E4401,RawData[Payment Method],F4401,RawData[Location],G4401,RawData[Transaction Date],H4401)</f>
        <v>2</v>
      </c>
      <c r="L4401"/>
    </row>
    <row r="4402" spans="1:12" x14ac:dyDescent="0.3">
      <c r="A4402" t="s">
        <v>4408</v>
      </c>
      <c r="B4402" t="s">
        <v>10009</v>
      </c>
      <c r="C4402">
        <v>5</v>
      </c>
      <c r="D4402">
        <v>3</v>
      </c>
      <c r="E4402">
        <v>15</v>
      </c>
      <c r="F4402" t="s">
        <v>10019</v>
      </c>
      <c r="G4402" t="s">
        <v>10021</v>
      </c>
      <c r="H4402" s="6">
        <v>44976</v>
      </c>
      <c r="I4402">
        <f t="shared" si="136"/>
        <v>0</v>
      </c>
      <c r="J4402" t="str">
        <f t="shared" si="137"/>
        <v>Complete</v>
      </c>
      <c r="K4402">
        <f>COUNTIFS(RawData[Item], B4402,RawData[Quantity],C4402,RawData[Price Per Unit],D4402,RawData[Total Spent],E4402,RawData[Payment Method],F4402,RawData[Location],G4402,RawData[Transaction Date],H4402)</f>
        <v>2</v>
      </c>
      <c r="L4402"/>
    </row>
    <row r="4403" spans="1:12" x14ac:dyDescent="0.3">
      <c r="A4403" t="s">
        <v>4409</v>
      </c>
      <c r="B4403" t="s">
        <v>10012</v>
      </c>
      <c r="C4403">
        <v>1</v>
      </c>
      <c r="D4403">
        <v>4</v>
      </c>
      <c r="E4403">
        <v>4</v>
      </c>
      <c r="F4403" t="s">
        <v>10019</v>
      </c>
      <c r="G4403" t="s">
        <v>10102</v>
      </c>
      <c r="H4403" s="6">
        <v>45079</v>
      </c>
      <c r="I4403">
        <f t="shared" si="136"/>
        <v>0</v>
      </c>
      <c r="J4403" t="str">
        <f t="shared" si="137"/>
        <v>Complete</v>
      </c>
      <c r="K4403">
        <f>COUNTIFS(RawData[Item], B4403,RawData[Quantity],C4403,RawData[Price Per Unit],D4403,RawData[Total Spent],E4403,RawData[Payment Method],F4403,RawData[Location],G4403,RawData[Transaction Date],H4403)</f>
        <v>1</v>
      </c>
      <c r="L4403"/>
    </row>
    <row r="4404" spans="1:12" x14ac:dyDescent="0.3">
      <c r="A4404" t="s">
        <v>4410</v>
      </c>
      <c r="B4404" t="s">
        <v>10014</v>
      </c>
      <c r="C4404">
        <v>4</v>
      </c>
      <c r="D4404">
        <v>4</v>
      </c>
      <c r="E4404">
        <v>16</v>
      </c>
      <c r="F4404" t="s">
        <v>10018</v>
      </c>
      <c r="G4404" t="s">
        <v>10069</v>
      </c>
      <c r="H4404" s="6">
        <v>45008</v>
      </c>
      <c r="I4404">
        <f t="shared" si="136"/>
        <v>0</v>
      </c>
      <c r="J4404" t="str">
        <f t="shared" si="137"/>
        <v>Complete</v>
      </c>
      <c r="K4404">
        <f>COUNTIFS(RawData[Item], B4404,RawData[Quantity],C4404,RawData[Price Per Unit],D4404,RawData[Total Spent],E4404,RawData[Payment Method],F4404,RawData[Location],G4404,RawData[Transaction Date],H4404)</f>
        <v>1</v>
      </c>
      <c r="L4404"/>
    </row>
    <row r="4405" spans="1:12" x14ac:dyDescent="0.3">
      <c r="A4405" t="s">
        <v>4411</v>
      </c>
      <c r="B4405" t="s">
        <v>10010</v>
      </c>
      <c r="C4405">
        <v>2</v>
      </c>
      <c r="D4405">
        <v>1</v>
      </c>
      <c r="E4405">
        <v>2</v>
      </c>
      <c r="F4405" t="s">
        <v>10018</v>
      </c>
      <c r="G4405" t="s">
        <v>10102</v>
      </c>
      <c r="H4405" s="6">
        <v>45182</v>
      </c>
      <c r="I4405">
        <f t="shared" si="136"/>
        <v>0</v>
      </c>
      <c r="J4405" t="str">
        <f t="shared" si="137"/>
        <v>Complete</v>
      </c>
      <c r="K4405">
        <f>COUNTIFS(RawData[Item], B4405,RawData[Quantity],C4405,RawData[Price Per Unit],D4405,RawData[Total Spent],E4405,RawData[Payment Method],F4405,RawData[Location],G4405,RawData[Transaction Date],H4405)</f>
        <v>1</v>
      </c>
      <c r="L4405"/>
    </row>
    <row r="4406" spans="1:12" x14ac:dyDescent="0.3">
      <c r="A4406" t="s">
        <v>4412</v>
      </c>
      <c r="B4406" t="s">
        <v>10017</v>
      </c>
      <c r="C4406">
        <v>4</v>
      </c>
      <c r="D4406" t="s">
        <v>10013</v>
      </c>
      <c r="E4406">
        <v>6</v>
      </c>
      <c r="F4406" t="s">
        <v>10069</v>
      </c>
      <c r="G4406" t="s">
        <v>10102</v>
      </c>
      <c r="H4406" s="6">
        <v>45089</v>
      </c>
      <c r="I4406">
        <f t="shared" si="136"/>
        <v>1</v>
      </c>
      <c r="J4406" t="str">
        <f t="shared" si="137"/>
        <v>Complete</v>
      </c>
      <c r="K4406">
        <f>COUNTIFS(RawData[Item], B4406,RawData[Quantity],C4406,RawData[Price Per Unit],D4406,RawData[Total Spent],E4406,RawData[Payment Method],F4406,RawData[Location],G4406,RawData[Transaction Date],H4406)</f>
        <v>1</v>
      </c>
      <c r="L4406"/>
    </row>
    <row r="4407" spans="1:12" x14ac:dyDescent="0.3">
      <c r="A4407" t="s">
        <v>4413</v>
      </c>
      <c r="B4407" t="s">
        <v>10009</v>
      </c>
      <c r="C4407">
        <v>3</v>
      </c>
      <c r="D4407">
        <v>3</v>
      </c>
      <c r="E4407">
        <v>9</v>
      </c>
      <c r="F4407" t="s">
        <v>10069</v>
      </c>
      <c r="G4407" t="s">
        <v>10069</v>
      </c>
      <c r="H4407" s="6">
        <v>45230</v>
      </c>
      <c r="I4407">
        <f t="shared" si="136"/>
        <v>0</v>
      </c>
      <c r="J4407" t="str">
        <f t="shared" si="137"/>
        <v>Complete</v>
      </c>
      <c r="K4407">
        <f>COUNTIFS(RawData[Item], B4407,RawData[Quantity],C4407,RawData[Price Per Unit],D4407,RawData[Total Spent],E4407,RawData[Payment Method],F4407,RawData[Location],G4407,RawData[Transaction Date],H4407)</f>
        <v>1</v>
      </c>
      <c r="L4407"/>
    </row>
    <row r="4408" spans="1:12" x14ac:dyDescent="0.3">
      <c r="A4408" t="s">
        <v>4414</v>
      </c>
      <c r="B4408" t="s">
        <v>10014</v>
      </c>
      <c r="C4408">
        <v>4</v>
      </c>
      <c r="D4408" t="s">
        <v>10015</v>
      </c>
      <c r="E4408">
        <v>16</v>
      </c>
      <c r="F4408" t="s">
        <v>10019</v>
      </c>
      <c r="G4408" t="s">
        <v>10069</v>
      </c>
      <c r="H4408" s="6">
        <v>45203</v>
      </c>
      <c r="I4408">
        <f t="shared" si="136"/>
        <v>1</v>
      </c>
      <c r="J4408" t="str">
        <f t="shared" si="137"/>
        <v>Complete</v>
      </c>
      <c r="K4408">
        <f>COUNTIFS(RawData[Item], B4408,RawData[Quantity],C4408,RawData[Price Per Unit],D4408,RawData[Total Spent],E4408,RawData[Payment Method],F4408,RawData[Location],G4408,RawData[Transaction Date],H4408)</f>
        <v>1</v>
      </c>
      <c r="L4408"/>
    </row>
    <row r="4409" spans="1:12" x14ac:dyDescent="0.3">
      <c r="A4409" t="s">
        <v>4415</v>
      </c>
      <c r="B4409" t="s">
        <v>10009</v>
      </c>
      <c r="C4409">
        <v>1</v>
      </c>
      <c r="D4409">
        <v>3</v>
      </c>
      <c r="E4409">
        <v>3</v>
      </c>
      <c r="F4409" t="s">
        <v>10020</v>
      </c>
      <c r="G4409" t="s">
        <v>10069</v>
      </c>
      <c r="H4409" s="6">
        <v>45169</v>
      </c>
      <c r="I4409">
        <f t="shared" si="136"/>
        <v>0</v>
      </c>
      <c r="J4409" t="str">
        <f t="shared" si="137"/>
        <v>Complete</v>
      </c>
      <c r="K4409">
        <f>COUNTIFS(RawData[Item], B4409,RawData[Quantity],C4409,RawData[Price Per Unit],D4409,RawData[Total Spent],E4409,RawData[Payment Method],F4409,RawData[Location],G4409,RawData[Transaction Date],H4409)</f>
        <v>1</v>
      </c>
      <c r="L4409"/>
    </row>
    <row r="4410" spans="1:12" x14ac:dyDescent="0.3">
      <c r="A4410" t="s">
        <v>4416</v>
      </c>
      <c r="B4410" t="s">
        <v>10014</v>
      </c>
      <c r="C4410">
        <v>4</v>
      </c>
      <c r="D4410">
        <v>4</v>
      </c>
      <c r="E4410">
        <v>16</v>
      </c>
      <c r="F4410" t="s">
        <v>10018</v>
      </c>
      <c r="G4410" t="s">
        <v>10069</v>
      </c>
      <c r="H4410" s="6">
        <v>45012</v>
      </c>
      <c r="I4410">
        <f t="shared" si="136"/>
        <v>0</v>
      </c>
      <c r="J4410" t="str">
        <f t="shared" si="137"/>
        <v>Complete</v>
      </c>
      <c r="K4410">
        <f>COUNTIFS(RawData[Item], B4410,RawData[Quantity],C4410,RawData[Price Per Unit],D4410,RawData[Total Spent],E4410,RawData[Payment Method],F4410,RawData[Location],G4410,RawData[Transaction Date],H4410)</f>
        <v>1</v>
      </c>
      <c r="L4410"/>
    </row>
    <row r="4411" spans="1:12" x14ac:dyDescent="0.3">
      <c r="A4411" t="s">
        <v>4417</v>
      </c>
      <c r="B4411" t="s">
        <v>10012</v>
      </c>
      <c r="C4411">
        <v>2</v>
      </c>
      <c r="D4411">
        <v>4</v>
      </c>
      <c r="E4411">
        <v>8</v>
      </c>
      <c r="F4411" t="s">
        <v>10018</v>
      </c>
      <c r="G4411" t="s">
        <v>10069</v>
      </c>
      <c r="H4411" s="6">
        <v>45171</v>
      </c>
      <c r="I4411">
        <f t="shared" si="136"/>
        <v>0</v>
      </c>
      <c r="J4411" t="str">
        <f t="shared" si="137"/>
        <v>Complete</v>
      </c>
      <c r="K4411">
        <f>COUNTIFS(RawData[Item], B4411,RawData[Quantity],C4411,RawData[Price Per Unit],D4411,RawData[Total Spent],E4411,RawData[Payment Method],F4411,RawData[Location],G4411,RawData[Transaction Date],H4411)</f>
        <v>1</v>
      </c>
      <c r="L4411"/>
    </row>
    <row r="4412" spans="1:12" x14ac:dyDescent="0.3">
      <c r="A4412" t="s">
        <v>4418</v>
      </c>
      <c r="B4412" t="s">
        <v>10014</v>
      </c>
      <c r="C4412">
        <v>5</v>
      </c>
      <c r="D4412">
        <v>4</v>
      </c>
      <c r="E4412">
        <v>20</v>
      </c>
      <c r="F4412" t="s">
        <v>10018</v>
      </c>
      <c r="G4412" t="s">
        <v>10102</v>
      </c>
      <c r="H4412" s="6">
        <v>45262</v>
      </c>
      <c r="I4412">
        <f t="shared" si="136"/>
        <v>0</v>
      </c>
      <c r="J4412" t="str">
        <f t="shared" si="137"/>
        <v>Complete</v>
      </c>
      <c r="K4412">
        <f>COUNTIFS(RawData[Item], B4412,RawData[Quantity],C4412,RawData[Price Per Unit],D4412,RawData[Total Spent],E4412,RawData[Payment Method],F4412,RawData[Location],G4412,RawData[Transaction Date],H4412)</f>
        <v>1</v>
      </c>
      <c r="L4412"/>
    </row>
    <row r="4413" spans="1:12" x14ac:dyDescent="0.3">
      <c r="A4413" t="s">
        <v>4419</v>
      </c>
      <c r="B4413" t="s">
        <v>10012</v>
      </c>
      <c r="C4413">
        <v>4</v>
      </c>
      <c r="D4413">
        <v>4</v>
      </c>
      <c r="E4413">
        <v>16</v>
      </c>
      <c r="F4413" t="s">
        <v>10018</v>
      </c>
      <c r="G4413" t="s">
        <v>10021</v>
      </c>
      <c r="H4413" s="6">
        <v>45239</v>
      </c>
      <c r="I4413">
        <f t="shared" si="136"/>
        <v>0</v>
      </c>
      <c r="J4413" t="str">
        <f t="shared" si="137"/>
        <v>Complete</v>
      </c>
      <c r="K4413">
        <f>COUNTIFS(RawData[Item], B4413,RawData[Quantity],C4413,RawData[Price Per Unit],D4413,RawData[Total Spent],E4413,RawData[Payment Method],F4413,RawData[Location],G4413,RawData[Transaction Date],H4413)</f>
        <v>1</v>
      </c>
      <c r="L4413"/>
    </row>
    <row r="4414" spans="1:12" x14ac:dyDescent="0.3">
      <c r="A4414" t="s">
        <v>4420</v>
      </c>
      <c r="B4414" t="s">
        <v>10015</v>
      </c>
      <c r="C4414">
        <v>3</v>
      </c>
      <c r="D4414">
        <v>3</v>
      </c>
      <c r="E4414" t="s">
        <v>10013</v>
      </c>
      <c r="F4414" t="s">
        <v>10069</v>
      </c>
      <c r="G4414" t="s">
        <v>10021</v>
      </c>
      <c r="H4414" s="6">
        <v>45002</v>
      </c>
      <c r="I4414">
        <f t="shared" si="136"/>
        <v>2</v>
      </c>
      <c r="J4414" t="str">
        <f t="shared" si="137"/>
        <v>Complete</v>
      </c>
      <c r="K4414">
        <f>COUNTIFS(RawData[Item], B4414,RawData[Quantity],C4414,RawData[Price Per Unit],D4414,RawData[Total Spent],E4414,RawData[Payment Method],F4414,RawData[Location],G4414,RawData[Transaction Date],H4414)</f>
        <v>1</v>
      </c>
      <c r="L4414"/>
    </row>
    <row r="4415" spans="1:12" x14ac:dyDescent="0.3">
      <c r="A4415" t="s">
        <v>4421</v>
      </c>
      <c r="B4415" t="s">
        <v>10009</v>
      </c>
      <c r="C4415">
        <v>2</v>
      </c>
      <c r="D4415">
        <v>3</v>
      </c>
      <c r="E4415">
        <v>6</v>
      </c>
      <c r="F4415" t="s">
        <v>10018</v>
      </c>
      <c r="G4415" t="s">
        <v>10103</v>
      </c>
      <c r="H4415" s="6">
        <v>45083</v>
      </c>
      <c r="I4415">
        <f t="shared" si="136"/>
        <v>1</v>
      </c>
      <c r="J4415" t="str">
        <f t="shared" si="137"/>
        <v>Complete</v>
      </c>
      <c r="K4415">
        <f>COUNTIFS(RawData[Item], B4415,RawData[Quantity],C4415,RawData[Price Per Unit],D4415,RawData[Total Spent],E4415,RawData[Payment Method],F4415,RawData[Location],G4415,RawData[Transaction Date],H4415)</f>
        <v>1</v>
      </c>
      <c r="L4415"/>
    </row>
    <row r="4416" spans="1:12" x14ac:dyDescent="0.3">
      <c r="A4416" t="s">
        <v>4422</v>
      </c>
      <c r="B4416" t="s">
        <v>10012</v>
      </c>
      <c r="C4416">
        <v>3</v>
      </c>
      <c r="D4416">
        <v>4</v>
      </c>
      <c r="E4416">
        <v>12</v>
      </c>
      <c r="F4416" t="s">
        <v>10069</v>
      </c>
      <c r="G4416" t="s">
        <v>10102</v>
      </c>
      <c r="H4416" s="6">
        <v>45203</v>
      </c>
      <c r="I4416">
        <f t="shared" si="136"/>
        <v>0</v>
      </c>
      <c r="J4416" t="str">
        <f t="shared" si="137"/>
        <v>Complete</v>
      </c>
      <c r="K4416">
        <f>COUNTIFS(RawData[Item], B4416,RawData[Quantity],C4416,RawData[Price Per Unit],D4416,RawData[Total Spent],E4416,RawData[Payment Method],F4416,RawData[Location],G4416,RawData[Transaction Date],H4416)</f>
        <v>1</v>
      </c>
      <c r="L4416"/>
    </row>
    <row r="4417" spans="1:12" x14ac:dyDescent="0.3">
      <c r="A4417" t="s">
        <v>4423</v>
      </c>
      <c r="B4417" t="s">
        <v>10009</v>
      </c>
      <c r="C4417">
        <v>3</v>
      </c>
      <c r="D4417">
        <v>3</v>
      </c>
      <c r="E4417">
        <v>9</v>
      </c>
      <c r="F4417" t="s">
        <v>10018</v>
      </c>
      <c r="G4417" t="s">
        <v>10102</v>
      </c>
      <c r="H4417" s="6">
        <v>45001</v>
      </c>
      <c r="I4417">
        <f t="shared" si="136"/>
        <v>0</v>
      </c>
      <c r="J4417" t="str">
        <f t="shared" si="137"/>
        <v>Complete</v>
      </c>
      <c r="K4417">
        <f>COUNTIFS(RawData[Item], B4417,RawData[Quantity],C4417,RawData[Price Per Unit],D4417,RawData[Total Spent],E4417,RawData[Payment Method],F4417,RawData[Location],G4417,RawData[Transaction Date],H4417)</f>
        <v>1</v>
      </c>
      <c r="L4417"/>
    </row>
    <row r="4418" spans="1:12" x14ac:dyDescent="0.3">
      <c r="A4418" t="s">
        <v>4424</v>
      </c>
      <c r="B4418" t="s">
        <v>10014</v>
      </c>
      <c r="C4418">
        <v>5</v>
      </c>
      <c r="D4418">
        <v>4</v>
      </c>
      <c r="E4418">
        <v>20</v>
      </c>
      <c r="F4418" t="s">
        <v>10020</v>
      </c>
      <c r="G4418" t="s">
        <v>10102</v>
      </c>
      <c r="H4418" s="6">
        <v>44959</v>
      </c>
      <c r="I4418">
        <f t="shared" ref="I4418:I4481" si="138">(B4418="Unknown")+(B4418="Error")+(C4418="Unknown")+(C4418="Error")+(D4418="Unknown")+(D4418="Error")+(E4418="Unknown")+(E4418="Error")+(F4418="Unknown")+(F4418="Error")+(G4418="Unknown")+(G4418="Error")+(H4418="No Date")</f>
        <v>0</v>
      </c>
      <c r="J4418" t="str">
        <f t="shared" ref="J4418:J4481" si="139">IF((H4418="No Date"),"Incomplete","Complete")</f>
        <v>Complete</v>
      </c>
      <c r="K4418">
        <f>COUNTIFS(RawData[Item], B4418,RawData[Quantity],C4418,RawData[Price Per Unit],D4418,RawData[Total Spent],E4418,RawData[Payment Method],F4418,RawData[Location],G4418,RawData[Transaction Date],H4418)</f>
        <v>1</v>
      </c>
      <c r="L4418"/>
    </row>
    <row r="4419" spans="1:12" x14ac:dyDescent="0.3">
      <c r="A4419" t="s">
        <v>4425</v>
      </c>
      <c r="B4419" t="s">
        <v>10012</v>
      </c>
      <c r="C4419">
        <v>2</v>
      </c>
      <c r="D4419">
        <v>4</v>
      </c>
      <c r="E4419">
        <v>8</v>
      </c>
      <c r="F4419" t="s">
        <v>10019</v>
      </c>
      <c r="G4419" t="s">
        <v>10021</v>
      </c>
      <c r="H4419" s="6">
        <v>45180</v>
      </c>
      <c r="I4419">
        <f t="shared" si="138"/>
        <v>0</v>
      </c>
      <c r="J4419" t="str">
        <f t="shared" si="139"/>
        <v>Complete</v>
      </c>
      <c r="K4419">
        <f>COUNTIFS(RawData[Item], B4419,RawData[Quantity],C4419,RawData[Price Per Unit],D4419,RawData[Total Spent],E4419,RawData[Payment Method],F4419,RawData[Location],G4419,RawData[Transaction Date],H4419)</f>
        <v>1</v>
      </c>
      <c r="L4419"/>
    </row>
    <row r="4420" spans="1:12" x14ac:dyDescent="0.3">
      <c r="A4420" t="s">
        <v>4426</v>
      </c>
      <c r="B4420" t="s">
        <v>10009</v>
      </c>
      <c r="C4420">
        <v>4</v>
      </c>
      <c r="D4420">
        <v>3</v>
      </c>
      <c r="E4420">
        <v>12</v>
      </c>
      <c r="F4420" t="s">
        <v>10018</v>
      </c>
      <c r="G4420" t="s">
        <v>10102</v>
      </c>
      <c r="H4420" s="6">
        <v>45107</v>
      </c>
      <c r="I4420">
        <f t="shared" si="138"/>
        <v>0</v>
      </c>
      <c r="J4420" t="str">
        <f t="shared" si="139"/>
        <v>Complete</v>
      </c>
      <c r="K4420">
        <f>COUNTIFS(RawData[Item], B4420,RawData[Quantity],C4420,RawData[Price Per Unit],D4420,RawData[Total Spent],E4420,RawData[Payment Method],F4420,RawData[Location],G4420,RawData[Transaction Date],H4420)</f>
        <v>1</v>
      </c>
      <c r="L4420"/>
    </row>
    <row r="4421" spans="1:12" x14ac:dyDescent="0.3">
      <c r="A4421" t="s">
        <v>4427</v>
      </c>
      <c r="B4421" t="s">
        <v>10014</v>
      </c>
      <c r="C4421">
        <v>2</v>
      </c>
      <c r="D4421">
        <v>4</v>
      </c>
      <c r="E4421">
        <v>8</v>
      </c>
      <c r="F4421" t="s">
        <v>10019</v>
      </c>
      <c r="G4421" t="s">
        <v>10021</v>
      </c>
      <c r="H4421" s="6">
        <v>45107</v>
      </c>
      <c r="I4421">
        <f t="shared" si="138"/>
        <v>0</v>
      </c>
      <c r="J4421" t="str">
        <f t="shared" si="139"/>
        <v>Complete</v>
      </c>
      <c r="K4421">
        <f>COUNTIFS(RawData[Item], B4421,RawData[Quantity],C4421,RawData[Price Per Unit],D4421,RawData[Total Spent],E4421,RawData[Payment Method],F4421,RawData[Location],G4421,RawData[Transaction Date],H4421)</f>
        <v>1</v>
      </c>
      <c r="L4421"/>
    </row>
    <row r="4422" spans="1:12" x14ac:dyDescent="0.3">
      <c r="A4422" t="s">
        <v>4428</v>
      </c>
      <c r="B4422" t="s">
        <v>10010</v>
      </c>
      <c r="C4422">
        <v>2</v>
      </c>
      <c r="D4422">
        <v>1</v>
      </c>
      <c r="E4422">
        <v>0</v>
      </c>
      <c r="F4422" t="s">
        <v>10019</v>
      </c>
      <c r="G4422" t="s">
        <v>10104</v>
      </c>
      <c r="H4422" s="6">
        <v>45119</v>
      </c>
      <c r="I4422">
        <f t="shared" si="138"/>
        <v>1</v>
      </c>
      <c r="J4422" t="str">
        <f t="shared" si="139"/>
        <v>Complete</v>
      </c>
      <c r="K4422">
        <f>COUNTIFS(RawData[Item], B4422,RawData[Quantity],C4422,RawData[Price Per Unit],D4422,RawData[Total Spent],E4422,RawData[Payment Method],F4422,RawData[Location],G4422,RawData[Transaction Date],H4422)</f>
        <v>1</v>
      </c>
      <c r="L4422"/>
    </row>
    <row r="4423" spans="1:12" x14ac:dyDescent="0.3">
      <c r="A4423" t="s">
        <v>4429</v>
      </c>
      <c r="B4423" t="s">
        <v>10015</v>
      </c>
      <c r="C4423">
        <v>5</v>
      </c>
      <c r="D4423">
        <v>3</v>
      </c>
      <c r="E4423">
        <v>15</v>
      </c>
      <c r="F4423" t="s">
        <v>10019</v>
      </c>
      <c r="G4423" t="s">
        <v>10103</v>
      </c>
      <c r="H4423" s="6">
        <v>45194</v>
      </c>
      <c r="I4423">
        <f t="shared" si="138"/>
        <v>2</v>
      </c>
      <c r="J4423" t="str">
        <f t="shared" si="139"/>
        <v>Complete</v>
      </c>
      <c r="K4423">
        <f>COUNTIFS(RawData[Item], B4423,RawData[Quantity],C4423,RawData[Price Per Unit],D4423,RawData[Total Spent],E4423,RawData[Payment Method],F4423,RawData[Location],G4423,RawData[Transaction Date],H4423)</f>
        <v>1</v>
      </c>
      <c r="L4423"/>
    </row>
    <row r="4424" spans="1:12" x14ac:dyDescent="0.3">
      <c r="A4424" t="s">
        <v>4430</v>
      </c>
      <c r="B4424" t="s">
        <v>10010</v>
      </c>
      <c r="C4424">
        <v>3</v>
      </c>
      <c r="D4424">
        <v>1</v>
      </c>
      <c r="E4424" t="s">
        <v>10013</v>
      </c>
      <c r="F4424" t="s">
        <v>10019</v>
      </c>
      <c r="G4424" t="s">
        <v>10021</v>
      </c>
      <c r="H4424" s="6">
        <v>45260</v>
      </c>
      <c r="I4424">
        <f t="shared" si="138"/>
        <v>1</v>
      </c>
      <c r="J4424" t="str">
        <f t="shared" si="139"/>
        <v>Complete</v>
      </c>
      <c r="K4424">
        <f>COUNTIFS(RawData[Item], B4424,RawData[Quantity],C4424,RawData[Price Per Unit],D4424,RawData[Total Spent],E4424,RawData[Payment Method],F4424,RawData[Location],G4424,RawData[Transaction Date],H4424)</f>
        <v>1</v>
      </c>
      <c r="L4424"/>
    </row>
    <row r="4425" spans="1:12" x14ac:dyDescent="0.3">
      <c r="A4425" t="s">
        <v>4431</v>
      </c>
      <c r="B4425" t="s">
        <v>10008</v>
      </c>
      <c r="C4425">
        <v>4</v>
      </c>
      <c r="D4425" t="s">
        <v>10013</v>
      </c>
      <c r="E4425">
        <v>8</v>
      </c>
      <c r="F4425" t="s">
        <v>10019</v>
      </c>
      <c r="G4425" t="s">
        <v>10102</v>
      </c>
      <c r="H4425" s="6">
        <v>44951</v>
      </c>
      <c r="I4425">
        <f t="shared" si="138"/>
        <v>1</v>
      </c>
      <c r="J4425" t="str">
        <f t="shared" si="139"/>
        <v>Complete</v>
      </c>
      <c r="K4425">
        <f>COUNTIFS(RawData[Item], B4425,RawData[Quantity],C4425,RawData[Price Per Unit],D4425,RawData[Total Spent],E4425,RawData[Payment Method],F4425,RawData[Location],G4425,RawData[Transaction Date],H4425)</f>
        <v>1</v>
      </c>
      <c r="L4425"/>
    </row>
    <row r="4426" spans="1:12" x14ac:dyDescent="0.3">
      <c r="A4426" t="s">
        <v>4432</v>
      </c>
      <c r="B4426" t="s">
        <v>10016</v>
      </c>
      <c r="C4426">
        <v>1</v>
      </c>
      <c r="D4426">
        <v>3</v>
      </c>
      <c r="E4426">
        <v>3</v>
      </c>
      <c r="F4426" t="s">
        <v>10018</v>
      </c>
      <c r="G4426" t="s">
        <v>10069</v>
      </c>
      <c r="H4426" s="6">
        <v>45014</v>
      </c>
      <c r="I4426">
        <f t="shared" si="138"/>
        <v>0</v>
      </c>
      <c r="J4426" t="str">
        <f t="shared" si="139"/>
        <v>Complete</v>
      </c>
      <c r="K4426">
        <f>COUNTIFS(RawData[Item], B4426,RawData[Quantity],C4426,RawData[Price Per Unit],D4426,RawData[Total Spent],E4426,RawData[Payment Method],F4426,RawData[Location],G4426,RawData[Transaction Date],H4426)</f>
        <v>1</v>
      </c>
      <c r="L4426"/>
    </row>
    <row r="4427" spans="1:12" x14ac:dyDescent="0.3">
      <c r="A4427" t="s">
        <v>4433</v>
      </c>
      <c r="B4427" t="s">
        <v>10008</v>
      </c>
      <c r="C4427">
        <v>1</v>
      </c>
      <c r="D4427">
        <v>2</v>
      </c>
      <c r="E4427">
        <v>2</v>
      </c>
      <c r="F4427" t="s">
        <v>10020</v>
      </c>
      <c r="G4427" t="s">
        <v>10021</v>
      </c>
      <c r="H4427" s="6">
        <v>45278</v>
      </c>
      <c r="I4427">
        <f t="shared" si="138"/>
        <v>0</v>
      </c>
      <c r="J4427" t="str">
        <f t="shared" si="139"/>
        <v>Complete</v>
      </c>
      <c r="K4427">
        <f>COUNTIFS(RawData[Item], B4427,RawData[Quantity],C4427,RawData[Price Per Unit],D4427,RawData[Total Spent],E4427,RawData[Payment Method],F4427,RawData[Location],G4427,RawData[Transaction Date],H4427)</f>
        <v>1</v>
      </c>
      <c r="L4427"/>
    </row>
    <row r="4428" spans="1:12" x14ac:dyDescent="0.3">
      <c r="A4428" t="s">
        <v>4434</v>
      </c>
      <c r="B4428" t="s">
        <v>10017</v>
      </c>
      <c r="C4428">
        <v>5</v>
      </c>
      <c r="D4428">
        <v>1.5</v>
      </c>
      <c r="E4428">
        <v>7.5</v>
      </c>
      <c r="F4428" t="s">
        <v>10019</v>
      </c>
      <c r="G4428" t="s">
        <v>10102</v>
      </c>
      <c r="H4428" s="6">
        <v>45107</v>
      </c>
      <c r="I4428">
        <f t="shared" si="138"/>
        <v>0</v>
      </c>
      <c r="J4428" t="str">
        <f t="shared" si="139"/>
        <v>Complete</v>
      </c>
      <c r="K4428">
        <f>COUNTIFS(RawData[Item], B4428,RawData[Quantity],C4428,RawData[Price Per Unit],D4428,RawData[Total Spent],E4428,RawData[Payment Method],F4428,RawData[Location],G4428,RawData[Transaction Date],H4428)</f>
        <v>1</v>
      </c>
      <c r="L4428"/>
    </row>
    <row r="4429" spans="1:12" x14ac:dyDescent="0.3">
      <c r="A4429" t="s">
        <v>4435</v>
      </c>
      <c r="B4429" t="s">
        <v>10016</v>
      </c>
      <c r="C4429">
        <v>3</v>
      </c>
      <c r="D4429">
        <v>3</v>
      </c>
      <c r="E4429">
        <v>9</v>
      </c>
      <c r="F4429" t="s">
        <v>10019</v>
      </c>
      <c r="G4429" t="s">
        <v>10102</v>
      </c>
      <c r="H4429" s="6">
        <v>45039</v>
      </c>
      <c r="I4429">
        <f t="shared" si="138"/>
        <v>0</v>
      </c>
      <c r="J4429" t="str">
        <f t="shared" si="139"/>
        <v>Complete</v>
      </c>
      <c r="K4429">
        <f>COUNTIFS(RawData[Item], B4429,RawData[Quantity],C4429,RawData[Price Per Unit],D4429,RawData[Total Spent],E4429,RawData[Payment Method],F4429,RawData[Location],G4429,RawData[Transaction Date],H4429)</f>
        <v>1</v>
      </c>
      <c r="L4429"/>
    </row>
    <row r="4430" spans="1:12" x14ac:dyDescent="0.3">
      <c r="A4430" t="s">
        <v>4436</v>
      </c>
      <c r="B4430" t="s">
        <v>10016</v>
      </c>
      <c r="C4430">
        <v>4</v>
      </c>
      <c r="D4430">
        <v>3</v>
      </c>
      <c r="E4430">
        <v>12</v>
      </c>
      <c r="F4430" t="s">
        <v>10020</v>
      </c>
      <c r="G4430" t="s">
        <v>10102</v>
      </c>
      <c r="H4430" s="6">
        <v>45224</v>
      </c>
      <c r="I4430">
        <f t="shared" si="138"/>
        <v>0</v>
      </c>
      <c r="J4430" t="str">
        <f t="shared" si="139"/>
        <v>Complete</v>
      </c>
      <c r="K4430">
        <f>COUNTIFS(RawData[Item], B4430,RawData[Quantity],C4430,RawData[Price Per Unit],D4430,RawData[Total Spent],E4430,RawData[Payment Method],F4430,RawData[Location],G4430,RawData[Transaction Date],H4430)</f>
        <v>1</v>
      </c>
      <c r="L4430"/>
    </row>
    <row r="4431" spans="1:12" x14ac:dyDescent="0.3">
      <c r="A4431" t="s">
        <v>4437</v>
      </c>
      <c r="B4431" t="s">
        <v>10017</v>
      </c>
      <c r="C4431">
        <v>1</v>
      </c>
      <c r="D4431">
        <v>1.5</v>
      </c>
      <c r="E4431">
        <v>1.5</v>
      </c>
      <c r="F4431" t="s">
        <v>10020</v>
      </c>
      <c r="G4431" t="s">
        <v>10021</v>
      </c>
      <c r="H4431" s="6">
        <v>45215</v>
      </c>
      <c r="I4431">
        <f t="shared" si="138"/>
        <v>0</v>
      </c>
      <c r="J4431" t="str">
        <f t="shared" si="139"/>
        <v>Complete</v>
      </c>
      <c r="K4431">
        <f>COUNTIFS(RawData[Item], B4431,RawData[Quantity],C4431,RawData[Price Per Unit],D4431,RawData[Total Spent],E4431,RawData[Payment Method],F4431,RawData[Location],G4431,RawData[Transaction Date],H4431)</f>
        <v>1</v>
      </c>
      <c r="L4431"/>
    </row>
    <row r="4432" spans="1:12" x14ac:dyDescent="0.3">
      <c r="A4432" t="s">
        <v>4438</v>
      </c>
      <c r="B4432" t="s">
        <v>10069</v>
      </c>
      <c r="C4432">
        <v>5</v>
      </c>
      <c r="D4432">
        <v>3</v>
      </c>
      <c r="E4432">
        <v>15</v>
      </c>
      <c r="F4432" t="s">
        <v>10103</v>
      </c>
      <c r="G4432" t="s">
        <v>10021</v>
      </c>
      <c r="H4432" s="6">
        <v>45176</v>
      </c>
      <c r="I4432">
        <f t="shared" si="138"/>
        <v>1</v>
      </c>
      <c r="J4432" t="str">
        <f t="shared" si="139"/>
        <v>Complete</v>
      </c>
      <c r="K4432">
        <f>COUNTIFS(RawData[Item], B4432,RawData[Quantity],C4432,RawData[Price Per Unit],D4432,RawData[Total Spent],E4432,RawData[Payment Method],F4432,RawData[Location],G4432,RawData[Transaction Date],H4432)</f>
        <v>1</v>
      </c>
      <c r="L4432"/>
    </row>
    <row r="4433" spans="1:12" x14ac:dyDescent="0.3">
      <c r="A4433" t="s">
        <v>4439</v>
      </c>
      <c r="B4433" t="s">
        <v>10011</v>
      </c>
      <c r="C4433">
        <v>3</v>
      </c>
      <c r="D4433">
        <v>5</v>
      </c>
      <c r="E4433">
        <v>15</v>
      </c>
      <c r="F4433" t="s">
        <v>10069</v>
      </c>
      <c r="G4433" t="s">
        <v>10021</v>
      </c>
      <c r="H4433" s="6">
        <v>44954</v>
      </c>
      <c r="I4433">
        <f t="shared" si="138"/>
        <v>0</v>
      </c>
      <c r="J4433" t="str">
        <f t="shared" si="139"/>
        <v>Complete</v>
      </c>
      <c r="K4433">
        <f>COUNTIFS(RawData[Item], B4433,RawData[Quantity],C4433,RawData[Price Per Unit],D4433,RawData[Total Spent],E4433,RawData[Payment Method],F4433,RawData[Location],G4433,RawData[Transaction Date],H4433)</f>
        <v>1</v>
      </c>
      <c r="L4433"/>
    </row>
    <row r="4434" spans="1:12" x14ac:dyDescent="0.3">
      <c r="A4434" t="s">
        <v>4440</v>
      </c>
      <c r="B4434" t="s">
        <v>10017</v>
      </c>
      <c r="C4434">
        <v>4</v>
      </c>
      <c r="D4434" t="s">
        <v>10015</v>
      </c>
      <c r="E4434">
        <v>6</v>
      </c>
      <c r="F4434" t="s">
        <v>10019</v>
      </c>
      <c r="G4434" t="s">
        <v>10021</v>
      </c>
      <c r="H4434" s="6">
        <v>44932</v>
      </c>
      <c r="I4434">
        <f t="shared" si="138"/>
        <v>1</v>
      </c>
      <c r="J4434" t="str">
        <f t="shared" si="139"/>
        <v>Complete</v>
      </c>
      <c r="K4434">
        <f>COUNTIFS(RawData[Item], B4434,RawData[Quantity],C4434,RawData[Price Per Unit],D4434,RawData[Total Spent],E4434,RawData[Payment Method],F4434,RawData[Location],G4434,RawData[Transaction Date],H4434)</f>
        <v>1</v>
      </c>
      <c r="L4434"/>
    </row>
    <row r="4435" spans="1:12" x14ac:dyDescent="0.3">
      <c r="A4435" t="s">
        <v>4441</v>
      </c>
      <c r="B4435" t="s">
        <v>10014</v>
      </c>
      <c r="C4435">
        <v>2</v>
      </c>
      <c r="D4435">
        <v>4</v>
      </c>
      <c r="E4435">
        <v>8</v>
      </c>
      <c r="F4435" t="s">
        <v>10020</v>
      </c>
      <c r="G4435" t="s">
        <v>10021</v>
      </c>
      <c r="H4435" s="6">
        <v>45093</v>
      </c>
      <c r="I4435">
        <f t="shared" si="138"/>
        <v>0</v>
      </c>
      <c r="J4435" t="str">
        <f t="shared" si="139"/>
        <v>Complete</v>
      </c>
      <c r="K4435">
        <f>COUNTIFS(RawData[Item], B4435,RawData[Quantity],C4435,RawData[Price Per Unit],D4435,RawData[Total Spent],E4435,RawData[Payment Method],F4435,RawData[Location],G4435,RawData[Transaction Date],H4435)</f>
        <v>1</v>
      </c>
      <c r="L4435"/>
    </row>
    <row r="4436" spans="1:12" x14ac:dyDescent="0.3">
      <c r="A4436" t="s">
        <v>4442</v>
      </c>
      <c r="B4436" t="s">
        <v>10008</v>
      </c>
      <c r="C4436">
        <v>4</v>
      </c>
      <c r="D4436">
        <v>2</v>
      </c>
      <c r="E4436">
        <v>8</v>
      </c>
      <c r="F4436" t="s">
        <v>10069</v>
      </c>
      <c r="G4436" t="s">
        <v>10069</v>
      </c>
      <c r="H4436" s="6">
        <v>45075</v>
      </c>
      <c r="I4436">
        <f t="shared" si="138"/>
        <v>0</v>
      </c>
      <c r="J4436" t="str">
        <f t="shared" si="139"/>
        <v>Complete</v>
      </c>
      <c r="K4436">
        <f>COUNTIFS(RawData[Item], B4436,RawData[Quantity],C4436,RawData[Price Per Unit],D4436,RawData[Total Spent],E4436,RawData[Payment Method],F4436,RawData[Location],G4436,RawData[Transaction Date],H4436)</f>
        <v>1</v>
      </c>
      <c r="L4436"/>
    </row>
    <row r="4437" spans="1:12" x14ac:dyDescent="0.3">
      <c r="A4437" t="s">
        <v>4443</v>
      </c>
      <c r="B4437" t="s">
        <v>10011</v>
      </c>
      <c r="C4437">
        <v>2</v>
      </c>
      <c r="D4437">
        <v>5</v>
      </c>
      <c r="E4437">
        <v>10</v>
      </c>
      <c r="F4437" t="s">
        <v>10069</v>
      </c>
      <c r="G4437" t="s">
        <v>10102</v>
      </c>
      <c r="H4437" s="6">
        <v>45052</v>
      </c>
      <c r="I4437">
        <f t="shared" si="138"/>
        <v>0</v>
      </c>
      <c r="J4437" t="str">
        <f t="shared" si="139"/>
        <v>Complete</v>
      </c>
      <c r="K4437">
        <f>COUNTIFS(RawData[Item], B4437,RawData[Quantity],C4437,RawData[Price Per Unit],D4437,RawData[Total Spent],E4437,RawData[Payment Method],F4437,RawData[Location],G4437,RawData[Transaction Date],H4437)</f>
        <v>1</v>
      </c>
      <c r="L4437"/>
    </row>
    <row r="4438" spans="1:12" x14ac:dyDescent="0.3">
      <c r="A4438" t="s">
        <v>4444</v>
      </c>
      <c r="B4438" t="s">
        <v>10012</v>
      </c>
      <c r="C4438">
        <v>2</v>
      </c>
      <c r="D4438">
        <v>4</v>
      </c>
      <c r="E4438">
        <v>8</v>
      </c>
      <c r="F4438" t="s">
        <v>10069</v>
      </c>
      <c r="G4438" t="s">
        <v>10069</v>
      </c>
      <c r="H4438" s="6">
        <v>45245</v>
      </c>
      <c r="I4438">
        <f t="shared" si="138"/>
        <v>0</v>
      </c>
      <c r="J4438" t="str">
        <f t="shared" si="139"/>
        <v>Complete</v>
      </c>
      <c r="K4438">
        <f>COUNTIFS(RawData[Item], B4438,RawData[Quantity],C4438,RawData[Price Per Unit],D4438,RawData[Total Spent],E4438,RawData[Payment Method],F4438,RawData[Location],G4438,RawData[Transaction Date],H4438)</f>
        <v>1</v>
      </c>
      <c r="L4438"/>
    </row>
    <row r="4439" spans="1:12" x14ac:dyDescent="0.3">
      <c r="A4439" t="s">
        <v>4445</v>
      </c>
      <c r="B4439" t="s">
        <v>10009</v>
      </c>
      <c r="C4439" t="s">
        <v>10015</v>
      </c>
      <c r="D4439">
        <v>3</v>
      </c>
      <c r="E4439">
        <v>9</v>
      </c>
      <c r="F4439" t="s">
        <v>10019</v>
      </c>
      <c r="G4439" t="s">
        <v>10021</v>
      </c>
      <c r="H4439" s="6">
        <v>45289</v>
      </c>
      <c r="I4439">
        <f t="shared" si="138"/>
        <v>1</v>
      </c>
      <c r="J4439" t="str">
        <f t="shared" si="139"/>
        <v>Complete</v>
      </c>
      <c r="K4439">
        <f>COUNTIFS(RawData[Item], B4439,RawData[Quantity],C4439,RawData[Price Per Unit],D4439,RawData[Total Spent],E4439,RawData[Payment Method],F4439,RawData[Location],G4439,RawData[Transaction Date],H4439)</f>
        <v>1</v>
      </c>
      <c r="L4439"/>
    </row>
    <row r="4440" spans="1:12" x14ac:dyDescent="0.3">
      <c r="A4440" t="s">
        <v>4446</v>
      </c>
      <c r="B4440" t="s">
        <v>10008</v>
      </c>
      <c r="C4440">
        <v>3</v>
      </c>
      <c r="D4440">
        <v>2</v>
      </c>
      <c r="E4440">
        <v>6</v>
      </c>
      <c r="F4440" t="s">
        <v>10104</v>
      </c>
      <c r="G4440" t="s">
        <v>10104</v>
      </c>
      <c r="H4440" s="6">
        <v>45140</v>
      </c>
      <c r="I4440">
        <f t="shared" si="138"/>
        <v>2</v>
      </c>
      <c r="J4440" t="str">
        <f t="shared" si="139"/>
        <v>Complete</v>
      </c>
      <c r="K4440">
        <f>COUNTIFS(RawData[Item], B4440,RawData[Quantity],C4440,RawData[Price Per Unit],D4440,RawData[Total Spent],E4440,RawData[Payment Method],F4440,RawData[Location],G4440,RawData[Transaction Date],H4440)</f>
        <v>1</v>
      </c>
      <c r="L4440"/>
    </row>
    <row r="4441" spans="1:12" x14ac:dyDescent="0.3">
      <c r="A4441" t="s">
        <v>4447</v>
      </c>
      <c r="B4441" t="s">
        <v>10009</v>
      </c>
      <c r="C4441">
        <v>2</v>
      </c>
      <c r="D4441">
        <v>3</v>
      </c>
      <c r="E4441">
        <v>6</v>
      </c>
      <c r="F4441" t="s">
        <v>10020</v>
      </c>
      <c r="G4441" t="s">
        <v>10069</v>
      </c>
      <c r="H4441" s="6">
        <v>45272</v>
      </c>
      <c r="I4441">
        <f t="shared" si="138"/>
        <v>0</v>
      </c>
      <c r="J4441" t="str">
        <f t="shared" si="139"/>
        <v>Complete</v>
      </c>
      <c r="K4441">
        <f>COUNTIFS(RawData[Item], B4441,RawData[Quantity],C4441,RawData[Price Per Unit],D4441,RawData[Total Spent],E4441,RawData[Payment Method],F4441,RawData[Location],G4441,RawData[Transaction Date],H4441)</f>
        <v>2</v>
      </c>
      <c r="L4441"/>
    </row>
    <row r="4442" spans="1:12" x14ac:dyDescent="0.3">
      <c r="A4442" t="s">
        <v>4448</v>
      </c>
      <c r="B4442" t="s">
        <v>10016</v>
      </c>
      <c r="C4442">
        <v>5</v>
      </c>
      <c r="D4442">
        <v>3</v>
      </c>
      <c r="E4442">
        <v>15</v>
      </c>
      <c r="F4442" t="s">
        <v>10069</v>
      </c>
      <c r="G4442" t="s">
        <v>10069</v>
      </c>
      <c r="H4442" s="6">
        <v>45151</v>
      </c>
      <c r="I4442">
        <f t="shared" si="138"/>
        <v>0</v>
      </c>
      <c r="J4442" t="str">
        <f t="shared" si="139"/>
        <v>Complete</v>
      </c>
      <c r="K4442">
        <f>COUNTIFS(RawData[Item], B4442,RawData[Quantity],C4442,RawData[Price Per Unit],D4442,RawData[Total Spent],E4442,RawData[Payment Method],F4442,RawData[Location],G4442,RawData[Transaction Date],H4442)</f>
        <v>1</v>
      </c>
      <c r="L4442"/>
    </row>
    <row r="4443" spans="1:12" x14ac:dyDescent="0.3">
      <c r="A4443" t="s">
        <v>4449</v>
      </c>
      <c r="B4443" t="s">
        <v>10013</v>
      </c>
      <c r="C4443">
        <v>1</v>
      </c>
      <c r="D4443">
        <v>2</v>
      </c>
      <c r="E4443">
        <v>0</v>
      </c>
      <c r="F4443" t="s">
        <v>10019</v>
      </c>
      <c r="G4443" t="s">
        <v>10021</v>
      </c>
      <c r="H4443" s="6">
        <v>45064</v>
      </c>
      <c r="I4443">
        <f t="shared" si="138"/>
        <v>1</v>
      </c>
      <c r="J4443" t="str">
        <f t="shared" si="139"/>
        <v>Complete</v>
      </c>
      <c r="K4443">
        <f>COUNTIFS(RawData[Item], B4443,RawData[Quantity],C4443,RawData[Price Per Unit],D4443,RawData[Total Spent],E4443,RawData[Payment Method],F4443,RawData[Location],G4443,RawData[Transaction Date],H4443)</f>
        <v>1</v>
      </c>
      <c r="L4443"/>
    </row>
    <row r="4444" spans="1:12" x14ac:dyDescent="0.3">
      <c r="A4444" t="s">
        <v>4450</v>
      </c>
      <c r="B4444" t="s">
        <v>10016</v>
      </c>
      <c r="C4444">
        <v>5</v>
      </c>
      <c r="D4444">
        <v>3</v>
      </c>
      <c r="E4444">
        <v>15</v>
      </c>
      <c r="F4444" t="s">
        <v>10020</v>
      </c>
      <c r="G4444" t="s">
        <v>10069</v>
      </c>
      <c r="H4444" s="6">
        <v>45152</v>
      </c>
      <c r="I4444">
        <f t="shared" si="138"/>
        <v>0</v>
      </c>
      <c r="J4444" t="str">
        <f t="shared" si="139"/>
        <v>Complete</v>
      </c>
      <c r="K4444">
        <f>COUNTIFS(RawData[Item], B4444,RawData[Quantity],C4444,RawData[Price Per Unit],D4444,RawData[Total Spent],E4444,RawData[Payment Method],F4444,RawData[Location],G4444,RawData[Transaction Date],H4444)</f>
        <v>1</v>
      </c>
      <c r="L4444"/>
    </row>
    <row r="4445" spans="1:12" x14ac:dyDescent="0.3">
      <c r="A4445" t="s">
        <v>4451</v>
      </c>
      <c r="B4445" t="s">
        <v>10016</v>
      </c>
      <c r="C4445">
        <v>1</v>
      </c>
      <c r="D4445">
        <v>3</v>
      </c>
      <c r="E4445">
        <v>3</v>
      </c>
      <c r="F4445" t="s">
        <v>10018</v>
      </c>
      <c r="G4445" t="s">
        <v>10021</v>
      </c>
      <c r="H4445" s="6">
        <v>45048</v>
      </c>
      <c r="I4445">
        <f t="shared" si="138"/>
        <v>0</v>
      </c>
      <c r="J4445" t="str">
        <f t="shared" si="139"/>
        <v>Complete</v>
      </c>
      <c r="K4445">
        <f>COUNTIFS(RawData[Item], B4445,RawData[Quantity],C4445,RawData[Price Per Unit],D4445,RawData[Total Spent],E4445,RawData[Payment Method],F4445,RawData[Location],G4445,RawData[Transaction Date],H4445)</f>
        <v>1</v>
      </c>
      <c r="L4445"/>
    </row>
    <row r="4446" spans="1:12" x14ac:dyDescent="0.3">
      <c r="A4446" t="s">
        <v>4452</v>
      </c>
      <c r="B4446" t="s">
        <v>10008</v>
      </c>
      <c r="C4446">
        <v>2</v>
      </c>
      <c r="D4446">
        <v>2</v>
      </c>
      <c r="E4446">
        <v>4</v>
      </c>
      <c r="F4446" t="s">
        <v>10019</v>
      </c>
      <c r="G4446" t="s">
        <v>10069</v>
      </c>
      <c r="H4446" s="6">
        <v>45262</v>
      </c>
      <c r="I4446">
        <f t="shared" si="138"/>
        <v>0</v>
      </c>
      <c r="J4446" t="str">
        <f t="shared" si="139"/>
        <v>Complete</v>
      </c>
      <c r="K4446">
        <f>COUNTIFS(RawData[Item], B4446,RawData[Quantity],C4446,RawData[Price Per Unit],D4446,RawData[Total Spent],E4446,RawData[Payment Method],F4446,RawData[Location],G4446,RawData[Transaction Date],H4446)</f>
        <v>1</v>
      </c>
      <c r="L4446"/>
    </row>
    <row r="4447" spans="1:12" x14ac:dyDescent="0.3">
      <c r="A4447" t="s">
        <v>4453</v>
      </c>
      <c r="B4447" t="s">
        <v>10069</v>
      </c>
      <c r="C4447">
        <v>5</v>
      </c>
      <c r="D4447">
        <v>4</v>
      </c>
      <c r="E4447">
        <v>20</v>
      </c>
      <c r="F4447" t="s">
        <v>10018</v>
      </c>
      <c r="G4447" t="s">
        <v>10069</v>
      </c>
      <c r="H4447" s="6">
        <v>45285</v>
      </c>
      <c r="I4447">
        <f t="shared" si="138"/>
        <v>0</v>
      </c>
      <c r="J4447" t="str">
        <f t="shared" si="139"/>
        <v>Complete</v>
      </c>
      <c r="K4447">
        <f>COUNTIFS(RawData[Item], B4447,RawData[Quantity],C4447,RawData[Price Per Unit],D4447,RawData[Total Spent],E4447,RawData[Payment Method],F4447,RawData[Location],G4447,RawData[Transaction Date],H4447)</f>
        <v>1</v>
      </c>
      <c r="L4447"/>
    </row>
    <row r="4448" spans="1:12" x14ac:dyDescent="0.3">
      <c r="A4448" t="s">
        <v>4454</v>
      </c>
      <c r="B4448" t="s">
        <v>10010</v>
      </c>
      <c r="C4448">
        <v>2</v>
      </c>
      <c r="D4448">
        <v>1</v>
      </c>
      <c r="E4448">
        <v>2</v>
      </c>
      <c r="F4448" t="s">
        <v>10018</v>
      </c>
      <c r="G4448" t="s">
        <v>10102</v>
      </c>
      <c r="H4448" s="6" t="s">
        <v>10112</v>
      </c>
      <c r="I4448">
        <f t="shared" si="138"/>
        <v>1</v>
      </c>
      <c r="J4448" t="str">
        <f t="shared" si="139"/>
        <v>Incomplete</v>
      </c>
      <c r="K4448">
        <f>COUNTIFS(RawData[Item], B4448,RawData[Quantity],C4448,RawData[Price Per Unit],D4448,RawData[Total Spent],E4448,RawData[Payment Method],F4448,RawData[Location],G4448,RawData[Transaction Date],H4448)</f>
        <v>3</v>
      </c>
      <c r="L4448"/>
    </row>
    <row r="4449" spans="1:12" x14ac:dyDescent="0.3">
      <c r="A4449" t="s">
        <v>4455</v>
      </c>
      <c r="B4449" t="s">
        <v>10012</v>
      </c>
      <c r="C4449">
        <v>1</v>
      </c>
      <c r="D4449">
        <v>4</v>
      </c>
      <c r="E4449">
        <v>4</v>
      </c>
      <c r="F4449" t="s">
        <v>10019</v>
      </c>
      <c r="G4449" t="s">
        <v>10103</v>
      </c>
      <c r="H4449" s="6">
        <v>45086</v>
      </c>
      <c r="I4449">
        <f t="shared" si="138"/>
        <v>1</v>
      </c>
      <c r="J4449" t="str">
        <f t="shared" si="139"/>
        <v>Complete</v>
      </c>
      <c r="K4449">
        <f>COUNTIFS(RawData[Item], B4449,RawData[Quantity],C4449,RawData[Price Per Unit],D4449,RawData[Total Spent],E4449,RawData[Payment Method],F4449,RawData[Location],G4449,RawData[Transaction Date],H4449)</f>
        <v>1</v>
      </c>
      <c r="L4449"/>
    </row>
    <row r="4450" spans="1:12" x14ac:dyDescent="0.3">
      <c r="A4450" t="s">
        <v>4456</v>
      </c>
      <c r="B4450" t="s">
        <v>10015</v>
      </c>
      <c r="C4450">
        <v>5</v>
      </c>
      <c r="D4450">
        <v>1.5</v>
      </c>
      <c r="E4450">
        <v>7.5</v>
      </c>
      <c r="F4450" t="s">
        <v>10018</v>
      </c>
      <c r="G4450" t="s">
        <v>10069</v>
      </c>
      <c r="H4450" s="6">
        <v>45123</v>
      </c>
      <c r="I4450">
        <f t="shared" si="138"/>
        <v>1</v>
      </c>
      <c r="J4450" t="str">
        <f t="shared" si="139"/>
        <v>Complete</v>
      </c>
      <c r="K4450">
        <f>COUNTIFS(RawData[Item], B4450,RawData[Quantity],C4450,RawData[Price Per Unit],D4450,RawData[Total Spent],E4450,RawData[Payment Method],F4450,RawData[Location],G4450,RawData[Transaction Date],H4450)</f>
        <v>1</v>
      </c>
      <c r="L4450"/>
    </row>
    <row r="4451" spans="1:12" x14ac:dyDescent="0.3">
      <c r="A4451" t="s">
        <v>4457</v>
      </c>
      <c r="B4451" t="s">
        <v>10017</v>
      </c>
      <c r="C4451">
        <v>2</v>
      </c>
      <c r="D4451">
        <v>1.5</v>
      </c>
      <c r="E4451">
        <v>3</v>
      </c>
      <c r="F4451" t="s">
        <v>10069</v>
      </c>
      <c r="G4451" t="s">
        <v>10069</v>
      </c>
      <c r="H4451" s="6">
        <v>45001</v>
      </c>
      <c r="I4451">
        <f t="shared" si="138"/>
        <v>0</v>
      </c>
      <c r="J4451" t="str">
        <f t="shared" si="139"/>
        <v>Complete</v>
      </c>
      <c r="K4451">
        <f>COUNTIFS(RawData[Item], B4451,RawData[Quantity],C4451,RawData[Price Per Unit],D4451,RawData[Total Spent],E4451,RawData[Payment Method],F4451,RawData[Location],G4451,RawData[Transaction Date],H4451)</f>
        <v>1</v>
      </c>
      <c r="L4451"/>
    </row>
    <row r="4452" spans="1:12" x14ac:dyDescent="0.3">
      <c r="A4452" t="s">
        <v>4458</v>
      </c>
      <c r="B4452" t="s">
        <v>10011</v>
      </c>
      <c r="C4452">
        <v>3</v>
      </c>
      <c r="D4452">
        <v>5</v>
      </c>
      <c r="E4452" t="s">
        <v>10013</v>
      </c>
      <c r="F4452" t="s">
        <v>10020</v>
      </c>
      <c r="G4452" t="s">
        <v>10069</v>
      </c>
      <c r="H4452" s="6">
        <v>45006</v>
      </c>
      <c r="I4452">
        <f t="shared" si="138"/>
        <v>1</v>
      </c>
      <c r="J4452" t="str">
        <f t="shared" si="139"/>
        <v>Complete</v>
      </c>
      <c r="K4452">
        <f>COUNTIFS(RawData[Item], B4452,RawData[Quantity],C4452,RawData[Price Per Unit],D4452,RawData[Total Spent],E4452,RawData[Payment Method],F4452,RawData[Location],G4452,RawData[Transaction Date],H4452)</f>
        <v>1</v>
      </c>
      <c r="L4452"/>
    </row>
    <row r="4453" spans="1:12" x14ac:dyDescent="0.3">
      <c r="A4453" t="s">
        <v>4459</v>
      </c>
      <c r="B4453" t="s">
        <v>10017</v>
      </c>
      <c r="C4453">
        <v>2</v>
      </c>
      <c r="D4453" t="s">
        <v>10015</v>
      </c>
      <c r="E4453">
        <v>3</v>
      </c>
      <c r="F4453" t="s">
        <v>10069</v>
      </c>
      <c r="G4453" t="s">
        <v>10069</v>
      </c>
      <c r="H4453" s="6">
        <v>45229</v>
      </c>
      <c r="I4453">
        <f t="shared" si="138"/>
        <v>1</v>
      </c>
      <c r="J4453" t="str">
        <f t="shared" si="139"/>
        <v>Complete</v>
      </c>
      <c r="K4453">
        <f>COUNTIFS(RawData[Item], B4453,RawData[Quantity],C4453,RawData[Price Per Unit],D4453,RawData[Total Spent],E4453,RawData[Payment Method],F4453,RawData[Location],G4453,RawData[Transaction Date],H4453)</f>
        <v>1</v>
      </c>
      <c r="L4453"/>
    </row>
    <row r="4454" spans="1:12" x14ac:dyDescent="0.3">
      <c r="A4454" t="s">
        <v>4460</v>
      </c>
      <c r="B4454" t="s">
        <v>10008</v>
      </c>
      <c r="C4454">
        <v>1</v>
      </c>
      <c r="D4454">
        <v>2</v>
      </c>
      <c r="E4454">
        <v>2</v>
      </c>
      <c r="F4454" t="s">
        <v>10020</v>
      </c>
      <c r="G4454" t="s">
        <v>10069</v>
      </c>
      <c r="H4454" s="6">
        <v>45002</v>
      </c>
      <c r="I4454">
        <f t="shared" si="138"/>
        <v>0</v>
      </c>
      <c r="J4454" t="str">
        <f t="shared" si="139"/>
        <v>Complete</v>
      </c>
      <c r="K4454">
        <f>COUNTIFS(RawData[Item], B4454,RawData[Quantity],C4454,RawData[Price Per Unit],D4454,RawData[Total Spent],E4454,RawData[Payment Method],F4454,RawData[Location],G4454,RawData[Transaction Date],H4454)</f>
        <v>1</v>
      </c>
      <c r="L4454"/>
    </row>
    <row r="4455" spans="1:12" x14ac:dyDescent="0.3">
      <c r="A4455" t="s">
        <v>4461</v>
      </c>
      <c r="B4455" t="s">
        <v>10011</v>
      </c>
      <c r="C4455">
        <v>4</v>
      </c>
      <c r="D4455">
        <v>5</v>
      </c>
      <c r="E4455">
        <v>20</v>
      </c>
      <c r="F4455" t="s">
        <v>10019</v>
      </c>
      <c r="G4455" t="s">
        <v>10021</v>
      </c>
      <c r="H4455" s="6">
        <v>44971</v>
      </c>
      <c r="I4455">
        <f t="shared" si="138"/>
        <v>0</v>
      </c>
      <c r="J4455" t="str">
        <f t="shared" si="139"/>
        <v>Complete</v>
      </c>
      <c r="K4455">
        <f>COUNTIFS(RawData[Item], B4455,RawData[Quantity],C4455,RawData[Price Per Unit],D4455,RawData[Total Spent],E4455,RawData[Payment Method],F4455,RawData[Location],G4455,RawData[Transaction Date],H4455)</f>
        <v>1</v>
      </c>
      <c r="L4455"/>
    </row>
    <row r="4456" spans="1:12" x14ac:dyDescent="0.3">
      <c r="A4456" t="s">
        <v>4462</v>
      </c>
      <c r="B4456" t="s">
        <v>10016</v>
      </c>
      <c r="C4456">
        <v>2</v>
      </c>
      <c r="D4456">
        <v>3</v>
      </c>
      <c r="E4456">
        <v>6</v>
      </c>
      <c r="F4456" t="s">
        <v>10020</v>
      </c>
      <c r="G4456" t="s">
        <v>10102</v>
      </c>
      <c r="H4456" s="6">
        <v>45237</v>
      </c>
      <c r="I4456">
        <f t="shared" si="138"/>
        <v>0</v>
      </c>
      <c r="J4456" t="str">
        <f t="shared" si="139"/>
        <v>Complete</v>
      </c>
      <c r="K4456">
        <f>COUNTIFS(RawData[Item], B4456,RawData[Quantity],C4456,RawData[Price Per Unit],D4456,RawData[Total Spent],E4456,RawData[Payment Method],F4456,RawData[Location],G4456,RawData[Transaction Date],H4456)</f>
        <v>1</v>
      </c>
      <c r="L4456"/>
    </row>
    <row r="4457" spans="1:12" x14ac:dyDescent="0.3">
      <c r="A4457" t="s">
        <v>4463</v>
      </c>
      <c r="B4457" t="s">
        <v>10014</v>
      </c>
      <c r="C4457">
        <v>2</v>
      </c>
      <c r="D4457">
        <v>4</v>
      </c>
      <c r="E4457">
        <v>8</v>
      </c>
      <c r="F4457" t="s">
        <v>10018</v>
      </c>
      <c r="G4457" t="s">
        <v>10021</v>
      </c>
      <c r="H4457" s="6">
        <v>45114</v>
      </c>
      <c r="I4457">
        <f t="shared" si="138"/>
        <v>0</v>
      </c>
      <c r="J4457" t="str">
        <f t="shared" si="139"/>
        <v>Complete</v>
      </c>
      <c r="K4457">
        <f>COUNTIFS(RawData[Item], B4457,RawData[Quantity],C4457,RawData[Price Per Unit],D4457,RawData[Total Spent],E4457,RawData[Payment Method],F4457,RawData[Location],G4457,RawData[Transaction Date],H4457)</f>
        <v>1</v>
      </c>
      <c r="L4457"/>
    </row>
    <row r="4458" spans="1:12" x14ac:dyDescent="0.3">
      <c r="A4458" t="s">
        <v>4464</v>
      </c>
      <c r="B4458" t="s">
        <v>10069</v>
      </c>
      <c r="C4458">
        <v>3</v>
      </c>
      <c r="D4458">
        <v>3</v>
      </c>
      <c r="E4458">
        <v>9</v>
      </c>
      <c r="F4458" t="s">
        <v>10019</v>
      </c>
      <c r="G4458" t="s">
        <v>10102</v>
      </c>
      <c r="H4458" s="6">
        <v>45177</v>
      </c>
      <c r="I4458">
        <f t="shared" si="138"/>
        <v>0</v>
      </c>
      <c r="J4458" t="str">
        <f t="shared" si="139"/>
        <v>Complete</v>
      </c>
      <c r="K4458">
        <f>COUNTIFS(RawData[Item], B4458,RawData[Quantity],C4458,RawData[Price Per Unit],D4458,RawData[Total Spent],E4458,RawData[Payment Method],F4458,RawData[Location],G4458,RawData[Transaction Date],H4458)</f>
        <v>1</v>
      </c>
      <c r="L4458"/>
    </row>
    <row r="4459" spans="1:12" x14ac:dyDescent="0.3">
      <c r="A4459" t="s">
        <v>4465</v>
      </c>
      <c r="B4459" t="s">
        <v>10010</v>
      </c>
      <c r="C4459">
        <v>1</v>
      </c>
      <c r="D4459">
        <v>1</v>
      </c>
      <c r="E4459">
        <v>1</v>
      </c>
      <c r="F4459" t="s">
        <v>10069</v>
      </c>
      <c r="G4459" t="s">
        <v>10069</v>
      </c>
      <c r="H4459" s="6">
        <v>44991</v>
      </c>
      <c r="I4459">
        <f t="shared" si="138"/>
        <v>0</v>
      </c>
      <c r="J4459" t="str">
        <f t="shared" si="139"/>
        <v>Complete</v>
      </c>
      <c r="K4459">
        <f>COUNTIFS(RawData[Item], B4459,RawData[Quantity],C4459,RawData[Price Per Unit],D4459,RawData[Total Spent],E4459,RawData[Payment Method],F4459,RawData[Location],G4459,RawData[Transaction Date],H4459)</f>
        <v>1</v>
      </c>
      <c r="L4459"/>
    </row>
    <row r="4460" spans="1:12" x14ac:dyDescent="0.3">
      <c r="A4460" t="s">
        <v>4466</v>
      </c>
      <c r="B4460" t="s">
        <v>10011</v>
      </c>
      <c r="C4460">
        <v>5</v>
      </c>
      <c r="D4460">
        <v>5</v>
      </c>
      <c r="E4460">
        <v>25</v>
      </c>
      <c r="F4460" t="s">
        <v>10018</v>
      </c>
      <c r="G4460" t="s">
        <v>10021</v>
      </c>
      <c r="H4460" s="6">
        <v>45274</v>
      </c>
      <c r="I4460">
        <f t="shared" si="138"/>
        <v>0</v>
      </c>
      <c r="J4460" t="str">
        <f t="shared" si="139"/>
        <v>Complete</v>
      </c>
      <c r="K4460">
        <f>COUNTIFS(RawData[Item], B4460,RawData[Quantity],C4460,RawData[Price Per Unit],D4460,RawData[Total Spent],E4460,RawData[Payment Method],F4460,RawData[Location],G4460,RawData[Transaction Date],H4460)</f>
        <v>1</v>
      </c>
      <c r="L4460"/>
    </row>
    <row r="4461" spans="1:12" x14ac:dyDescent="0.3">
      <c r="A4461" t="s">
        <v>4467</v>
      </c>
      <c r="B4461" t="s">
        <v>10016</v>
      </c>
      <c r="C4461">
        <v>5</v>
      </c>
      <c r="D4461">
        <v>3</v>
      </c>
      <c r="E4461">
        <v>15</v>
      </c>
      <c r="F4461" t="s">
        <v>10020</v>
      </c>
      <c r="G4461" t="s">
        <v>10021</v>
      </c>
      <c r="H4461" s="6">
        <v>45225</v>
      </c>
      <c r="I4461">
        <f t="shared" si="138"/>
        <v>0</v>
      </c>
      <c r="J4461" t="str">
        <f t="shared" si="139"/>
        <v>Complete</v>
      </c>
      <c r="K4461">
        <f>COUNTIFS(RawData[Item], B4461,RawData[Quantity],C4461,RawData[Price Per Unit],D4461,RawData[Total Spent],E4461,RawData[Payment Method],F4461,RawData[Location],G4461,RawData[Transaction Date],H4461)</f>
        <v>1</v>
      </c>
      <c r="L4461"/>
    </row>
    <row r="4462" spans="1:12" x14ac:dyDescent="0.3">
      <c r="A4462" t="s">
        <v>4468</v>
      </c>
      <c r="B4462" t="s">
        <v>10012</v>
      </c>
      <c r="C4462">
        <v>5</v>
      </c>
      <c r="D4462">
        <v>4</v>
      </c>
      <c r="E4462">
        <v>20</v>
      </c>
      <c r="F4462" t="s">
        <v>10019</v>
      </c>
      <c r="G4462" t="s">
        <v>10069</v>
      </c>
      <c r="H4462" s="6">
        <v>45200</v>
      </c>
      <c r="I4462">
        <f t="shared" si="138"/>
        <v>0</v>
      </c>
      <c r="J4462" t="str">
        <f t="shared" si="139"/>
        <v>Complete</v>
      </c>
      <c r="K4462">
        <f>COUNTIFS(RawData[Item], B4462,RawData[Quantity],C4462,RawData[Price Per Unit],D4462,RawData[Total Spent],E4462,RawData[Payment Method],F4462,RawData[Location],G4462,RawData[Transaction Date],H4462)</f>
        <v>1</v>
      </c>
      <c r="L4462"/>
    </row>
    <row r="4463" spans="1:12" x14ac:dyDescent="0.3">
      <c r="A4463" t="s">
        <v>4469</v>
      </c>
      <c r="B4463" t="s">
        <v>10009</v>
      </c>
      <c r="C4463">
        <v>2</v>
      </c>
      <c r="D4463" t="s">
        <v>10013</v>
      </c>
      <c r="E4463">
        <v>6</v>
      </c>
      <c r="F4463" t="s">
        <v>10018</v>
      </c>
      <c r="G4463" t="s">
        <v>10102</v>
      </c>
      <c r="H4463" s="6">
        <v>44980</v>
      </c>
      <c r="I4463">
        <f t="shared" si="138"/>
        <v>1</v>
      </c>
      <c r="J4463" t="str">
        <f t="shared" si="139"/>
        <v>Complete</v>
      </c>
      <c r="K4463">
        <f>COUNTIFS(RawData[Item], B4463,RawData[Quantity],C4463,RawData[Price Per Unit],D4463,RawData[Total Spent],E4463,RawData[Payment Method],F4463,RawData[Location],G4463,RawData[Transaction Date],H4463)</f>
        <v>1</v>
      </c>
      <c r="L4463"/>
    </row>
    <row r="4464" spans="1:12" x14ac:dyDescent="0.3">
      <c r="A4464" t="s">
        <v>4470</v>
      </c>
      <c r="B4464" t="s">
        <v>10016</v>
      </c>
      <c r="C4464">
        <v>5</v>
      </c>
      <c r="D4464">
        <v>3</v>
      </c>
      <c r="E4464">
        <v>15</v>
      </c>
      <c r="F4464" t="s">
        <v>10019</v>
      </c>
      <c r="G4464" t="s">
        <v>10021</v>
      </c>
      <c r="H4464" s="6" t="s">
        <v>10112</v>
      </c>
      <c r="I4464">
        <f t="shared" si="138"/>
        <v>1</v>
      </c>
      <c r="J4464" t="str">
        <f t="shared" si="139"/>
        <v>Incomplete</v>
      </c>
      <c r="K4464">
        <f>COUNTIFS(RawData[Item], B4464,RawData[Quantity],C4464,RawData[Price Per Unit],D4464,RawData[Total Spent],E4464,RawData[Payment Method],F4464,RawData[Location],G4464,RawData[Transaction Date],H4464)</f>
        <v>1</v>
      </c>
      <c r="L4464"/>
    </row>
    <row r="4465" spans="1:12" x14ac:dyDescent="0.3">
      <c r="A4465" t="s">
        <v>4471</v>
      </c>
      <c r="B4465" t="s">
        <v>10014</v>
      </c>
      <c r="C4465">
        <v>2</v>
      </c>
      <c r="D4465">
        <v>4</v>
      </c>
      <c r="E4465">
        <v>8</v>
      </c>
      <c r="F4465" t="s">
        <v>10019</v>
      </c>
      <c r="G4465" t="s">
        <v>10021</v>
      </c>
      <c r="H4465" s="6">
        <v>44940</v>
      </c>
      <c r="I4465">
        <f t="shared" si="138"/>
        <v>0</v>
      </c>
      <c r="J4465" t="str">
        <f t="shared" si="139"/>
        <v>Complete</v>
      </c>
      <c r="K4465">
        <f>COUNTIFS(RawData[Item], B4465,RawData[Quantity],C4465,RawData[Price Per Unit],D4465,RawData[Total Spent],E4465,RawData[Payment Method],F4465,RawData[Location],G4465,RawData[Transaction Date],H4465)</f>
        <v>1</v>
      </c>
      <c r="L4465"/>
    </row>
    <row r="4466" spans="1:12" x14ac:dyDescent="0.3">
      <c r="A4466" t="s">
        <v>4472</v>
      </c>
      <c r="B4466" t="s">
        <v>10008</v>
      </c>
      <c r="C4466" t="s">
        <v>10013</v>
      </c>
      <c r="D4466">
        <v>2</v>
      </c>
      <c r="E4466">
        <v>8</v>
      </c>
      <c r="F4466" t="s">
        <v>10104</v>
      </c>
      <c r="G4466" t="s">
        <v>10102</v>
      </c>
      <c r="H4466" s="6">
        <v>44992</v>
      </c>
      <c r="I4466">
        <f t="shared" si="138"/>
        <v>2</v>
      </c>
      <c r="J4466" t="str">
        <f t="shared" si="139"/>
        <v>Complete</v>
      </c>
      <c r="K4466">
        <f>COUNTIFS(RawData[Item], B4466,RawData[Quantity],C4466,RawData[Price Per Unit],D4466,RawData[Total Spent],E4466,RawData[Payment Method],F4466,RawData[Location],G4466,RawData[Transaction Date],H4466)</f>
        <v>1</v>
      </c>
      <c r="L4466"/>
    </row>
    <row r="4467" spans="1:12" x14ac:dyDescent="0.3">
      <c r="A4467" t="s">
        <v>4473</v>
      </c>
      <c r="B4467" t="s">
        <v>10011</v>
      </c>
      <c r="C4467">
        <v>2</v>
      </c>
      <c r="D4467">
        <v>5</v>
      </c>
      <c r="E4467">
        <v>10</v>
      </c>
      <c r="F4467" t="s">
        <v>10018</v>
      </c>
      <c r="G4467" t="s">
        <v>10069</v>
      </c>
      <c r="H4467" s="6">
        <v>44948</v>
      </c>
      <c r="I4467">
        <f t="shared" si="138"/>
        <v>0</v>
      </c>
      <c r="J4467" t="str">
        <f t="shared" si="139"/>
        <v>Complete</v>
      </c>
      <c r="K4467">
        <f>COUNTIFS(RawData[Item], B4467,RawData[Quantity],C4467,RawData[Price Per Unit],D4467,RawData[Total Spent],E4467,RawData[Payment Method],F4467,RawData[Location],G4467,RawData[Transaction Date],H4467)</f>
        <v>1</v>
      </c>
      <c r="L4467"/>
    </row>
    <row r="4468" spans="1:12" x14ac:dyDescent="0.3">
      <c r="A4468" t="s">
        <v>4474</v>
      </c>
      <c r="B4468" t="s">
        <v>10017</v>
      </c>
      <c r="C4468">
        <v>3</v>
      </c>
      <c r="D4468">
        <v>1.5</v>
      </c>
      <c r="E4468">
        <v>4.5</v>
      </c>
      <c r="F4468" t="s">
        <v>10018</v>
      </c>
      <c r="G4468" t="s">
        <v>10021</v>
      </c>
      <c r="H4468" s="6">
        <v>45187</v>
      </c>
      <c r="I4468">
        <f t="shared" si="138"/>
        <v>0</v>
      </c>
      <c r="J4468" t="str">
        <f t="shared" si="139"/>
        <v>Complete</v>
      </c>
      <c r="K4468">
        <f>COUNTIFS(RawData[Item], B4468,RawData[Quantity],C4468,RawData[Price Per Unit],D4468,RawData[Total Spent],E4468,RawData[Payment Method],F4468,RawData[Location],G4468,RawData[Transaction Date],H4468)</f>
        <v>1</v>
      </c>
      <c r="L4468"/>
    </row>
    <row r="4469" spans="1:12" x14ac:dyDescent="0.3">
      <c r="A4469" t="s">
        <v>4475</v>
      </c>
      <c r="B4469" t="s">
        <v>10014</v>
      </c>
      <c r="C4469">
        <v>3</v>
      </c>
      <c r="D4469">
        <v>0</v>
      </c>
      <c r="E4469">
        <v>12</v>
      </c>
      <c r="F4469" t="s">
        <v>10020</v>
      </c>
      <c r="G4469" t="s">
        <v>10102</v>
      </c>
      <c r="H4469" s="6">
        <v>45152</v>
      </c>
      <c r="I4469">
        <f t="shared" si="138"/>
        <v>0</v>
      </c>
      <c r="J4469" t="str">
        <f t="shared" si="139"/>
        <v>Complete</v>
      </c>
      <c r="K4469">
        <f>COUNTIFS(RawData[Item], B4469,RawData[Quantity],C4469,RawData[Price Per Unit],D4469,RawData[Total Spent],E4469,RawData[Payment Method],F4469,RawData[Location],G4469,RawData[Transaction Date],H4469)</f>
        <v>1</v>
      </c>
      <c r="L4469"/>
    </row>
    <row r="4470" spans="1:12" x14ac:dyDescent="0.3">
      <c r="A4470" t="s">
        <v>4476</v>
      </c>
      <c r="B4470" t="s">
        <v>10016</v>
      </c>
      <c r="C4470">
        <v>3</v>
      </c>
      <c r="D4470">
        <v>3</v>
      </c>
      <c r="E4470">
        <v>9</v>
      </c>
      <c r="F4470" t="s">
        <v>10020</v>
      </c>
      <c r="G4470" t="s">
        <v>10104</v>
      </c>
      <c r="H4470" s="6">
        <v>44997</v>
      </c>
      <c r="I4470">
        <f t="shared" si="138"/>
        <v>1</v>
      </c>
      <c r="J4470" t="str">
        <f t="shared" si="139"/>
        <v>Complete</v>
      </c>
      <c r="K4470">
        <f>COUNTIFS(RawData[Item], B4470,RawData[Quantity],C4470,RawData[Price Per Unit],D4470,RawData[Total Spent],E4470,RawData[Payment Method],F4470,RawData[Location],G4470,RawData[Transaction Date],H4470)</f>
        <v>1</v>
      </c>
      <c r="L4470"/>
    </row>
    <row r="4471" spans="1:12" x14ac:dyDescent="0.3">
      <c r="A4471" t="s">
        <v>4477</v>
      </c>
      <c r="B4471" t="s">
        <v>10014</v>
      </c>
      <c r="C4471">
        <v>1</v>
      </c>
      <c r="D4471">
        <v>4</v>
      </c>
      <c r="E4471" t="s">
        <v>10015</v>
      </c>
      <c r="F4471" t="s">
        <v>10069</v>
      </c>
      <c r="G4471" t="s">
        <v>10102</v>
      </c>
      <c r="H4471" s="6">
        <v>44942</v>
      </c>
      <c r="I4471">
        <f t="shared" si="138"/>
        <v>1</v>
      </c>
      <c r="J4471" t="str">
        <f t="shared" si="139"/>
        <v>Complete</v>
      </c>
      <c r="K4471">
        <f>COUNTIFS(RawData[Item], B4471,RawData[Quantity],C4471,RawData[Price Per Unit],D4471,RawData[Total Spent],E4471,RawData[Payment Method],F4471,RawData[Location],G4471,RawData[Transaction Date],H4471)</f>
        <v>1</v>
      </c>
      <c r="L4471"/>
    </row>
    <row r="4472" spans="1:12" x14ac:dyDescent="0.3">
      <c r="A4472" t="s">
        <v>4478</v>
      </c>
      <c r="B4472" t="s">
        <v>10011</v>
      </c>
      <c r="C4472">
        <v>2</v>
      </c>
      <c r="D4472">
        <v>5</v>
      </c>
      <c r="E4472">
        <v>10</v>
      </c>
      <c r="F4472" t="s">
        <v>10020</v>
      </c>
      <c r="G4472" t="s">
        <v>10069</v>
      </c>
      <c r="H4472" s="6">
        <v>45279</v>
      </c>
      <c r="I4472">
        <f t="shared" si="138"/>
        <v>0</v>
      </c>
      <c r="J4472" t="str">
        <f t="shared" si="139"/>
        <v>Complete</v>
      </c>
      <c r="K4472">
        <f>COUNTIFS(RawData[Item], B4472,RawData[Quantity],C4472,RawData[Price Per Unit],D4472,RawData[Total Spent],E4472,RawData[Payment Method],F4472,RawData[Location],G4472,RawData[Transaction Date],H4472)</f>
        <v>1</v>
      </c>
      <c r="L4472"/>
    </row>
    <row r="4473" spans="1:12" x14ac:dyDescent="0.3">
      <c r="A4473" t="s">
        <v>4479</v>
      </c>
      <c r="B4473" t="s">
        <v>10008</v>
      </c>
      <c r="C4473">
        <v>3</v>
      </c>
      <c r="D4473">
        <v>2</v>
      </c>
      <c r="E4473">
        <v>6</v>
      </c>
      <c r="F4473" t="s">
        <v>10019</v>
      </c>
      <c r="G4473" t="s">
        <v>10021</v>
      </c>
      <c r="H4473" s="6">
        <v>44988</v>
      </c>
      <c r="I4473">
        <f t="shared" si="138"/>
        <v>0</v>
      </c>
      <c r="J4473" t="str">
        <f t="shared" si="139"/>
        <v>Complete</v>
      </c>
      <c r="K4473">
        <f>COUNTIFS(RawData[Item], B4473,RawData[Quantity],C4473,RawData[Price Per Unit],D4473,RawData[Total Spent],E4473,RawData[Payment Method],F4473,RawData[Location],G4473,RawData[Transaction Date],H4473)</f>
        <v>2</v>
      </c>
      <c r="L4473"/>
    </row>
    <row r="4474" spans="1:12" x14ac:dyDescent="0.3">
      <c r="A4474" t="s">
        <v>4480</v>
      </c>
      <c r="B4474" t="s">
        <v>10014</v>
      </c>
      <c r="C4474">
        <v>2</v>
      </c>
      <c r="D4474">
        <v>4</v>
      </c>
      <c r="E4474">
        <v>8</v>
      </c>
      <c r="F4474" t="s">
        <v>10069</v>
      </c>
      <c r="G4474" t="s">
        <v>10069</v>
      </c>
      <c r="H4474" s="6">
        <v>45269</v>
      </c>
      <c r="I4474">
        <f t="shared" si="138"/>
        <v>0</v>
      </c>
      <c r="J4474" t="str">
        <f t="shared" si="139"/>
        <v>Complete</v>
      </c>
      <c r="K4474">
        <f>COUNTIFS(RawData[Item], B4474,RawData[Quantity],C4474,RawData[Price Per Unit],D4474,RawData[Total Spent],E4474,RawData[Payment Method],F4474,RawData[Location],G4474,RawData[Transaction Date],H4474)</f>
        <v>1</v>
      </c>
      <c r="L4474"/>
    </row>
    <row r="4475" spans="1:12" x14ac:dyDescent="0.3">
      <c r="A4475" t="s">
        <v>4481</v>
      </c>
      <c r="B4475" t="s">
        <v>10015</v>
      </c>
      <c r="C4475">
        <v>1</v>
      </c>
      <c r="D4475">
        <v>3</v>
      </c>
      <c r="E4475">
        <v>3</v>
      </c>
      <c r="F4475" t="s">
        <v>10018</v>
      </c>
      <c r="G4475" t="s">
        <v>10069</v>
      </c>
      <c r="H4475" s="6">
        <v>44931</v>
      </c>
      <c r="I4475">
        <f t="shared" si="138"/>
        <v>1</v>
      </c>
      <c r="J4475" t="str">
        <f t="shared" si="139"/>
        <v>Complete</v>
      </c>
      <c r="K4475">
        <f>COUNTIFS(RawData[Item], B4475,RawData[Quantity],C4475,RawData[Price Per Unit],D4475,RawData[Total Spent],E4475,RawData[Payment Method],F4475,RawData[Location],G4475,RawData[Transaction Date],H4475)</f>
        <v>1</v>
      </c>
      <c r="L4475"/>
    </row>
    <row r="4476" spans="1:12" x14ac:dyDescent="0.3">
      <c r="A4476" t="s">
        <v>4482</v>
      </c>
      <c r="B4476" t="s">
        <v>10014</v>
      </c>
      <c r="C4476">
        <v>1</v>
      </c>
      <c r="D4476">
        <v>4</v>
      </c>
      <c r="E4476">
        <v>4</v>
      </c>
      <c r="F4476" t="s">
        <v>10019</v>
      </c>
      <c r="G4476" t="s">
        <v>10021</v>
      </c>
      <c r="H4476" s="6">
        <v>45226</v>
      </c>
      <c r="I4476">
        <f t="shared" si="138"/>
        <v>0</v>
      </c>
      <c r="J4476" t="str">
        <f t="shared" si="139"/>
        <v>Complete</v>
      </c>
      <c r="K4476">
        <f>COUNTIFS(RawData[Item], B4476,RawData[Quantity],C4476,RawData[Price Per Unit],D4476,RawData[Total Spent],E4476,RawData[Payment Method],F4476,RawData[Location],G4476,RawData[Transaction Date],H4476)</f>
        <v>1</v>
      </c>
      <c r="L4476"/>
    </row>
    <row r="4477" spans="1:12" x14ac:dyDescent="0.3">
      <c r="A4477" t="s">
        <v>4483</v>
      </c>
      <c r="B4477" t="s">
        <v>10008</v>
      </c>
      <c r="C4477">
        <v>2</v>
      </c>
      <c r="D4477">
        <v>2</v>
      </c>
      <c r="E4477">
        <v>4</v>
      </c>
      <c r="F4477" t="s">
        <v>10020</v>
      </c>
      <c r="G4477" t="s">
        <v>10069</v>
      </c>
      <c r="H4477" s="6">
        <v>45029</v>
      </c>
      <c r="I4477">
        <f t="shared" si="138"/>
        <v>0</v>
      </c>
      <c r="J4477" t="str">
        <f t="shared" si="139"/>
        <v>Complete</v>
      </c>
      <c r="K4477">
        <f>COUNTIFS(RawData[Item], B4477,RawData[Quantity],C4477,RawData[Price Per Unit],D4477,RawData[Total Spent],E4477,RawData[Payment Method],F4477,RawData[Location],G4477,RawData[Transaction Date],H4477)</f>
        <v>1</v>
      </c>
      <c r="L4477"/>
    </row>
    <row r="4478" spans="1:12" x14ac:dyDescent="0.3">
      <c r="A4478" t="s">
        <v>4484</v>
      </c>
      <c r="B4478" t="s">
        <v>10011</v>
      </c>
      <c r="C4478">
        <v>2</v>
      </c>
      <c r="D4478">
        <v>5</v>
      </c>
      <c r="E4478">
        <v>10</v>
      </c>
      <c r="F4478" t="s">
        <v>10019</v>
      </c>
      <c r="G4478" t="s">
        <v>10069</v>
      </c>
      <c r="H4478" s="6">
        <v>45130</v>
      </c>
      <c r="I4478">
        <f t="shared" si="138"/>
        <v>0</v>
      </c>
      <c r="J4478" t="str">
        <f t="shared" si="139"/>
        <v>Complete</v>
      </c>
      <c r="K4478">
        <f>COUNTIFS(RawData[Item], B4478,RawData[Quantity],C4478,RawData[Price Per Unit],D4478,RawData[Total Spent],E4478,RawData[Payment Method],F4478,RawData[Location],G4478,RawData[Transaction Date],H4478)</f>
        <v>1</v>
      </c>
      <c r="L4478"/>
    </row>
    <row r="4479" spans="1:12" x14ac:dyDescent="0.3">
      <c r="A4479" t="s">
        <v>4485</v>
      </c>
      <c r="B4479" t="s">
        <v>10009</v>
      </c>
      <c r="C4479">
        <v>5</v>
      </c>
      <c r="D4479">
        <v>0</v>
      </c>
      <c r="E4479">
        <v>15</v>
      </c>
      <c r="F4479" t="s">
        <v>10069</v>
      </c>
      <c r="G4479" t="s">
        <v>10021</v>
      </c>
      <c r="H4479" s="6">
        <v>45205</v>
      </c>
      <c r="I4479">
        <f t="shared" si="138"/>
        <v>0</v>
      </c>
      <c r="J4479" t="str">
        <f t="shared" si="139"/>
        <v>Complete</v>
      </c>
      <c r="K4479">
        <f>COUNTIFS(RawData[Item], B4479,RawData[Quantity],C4479,RawData[Price Per Unit],D4479,RawData[Total Spent],E4479,RawData[Payment Method],F4479,RawData[Location],G4479,RawData[Transaction Date],H4479)</f>
        <v>1</v>
      </c>
      <c r="L4479"/>
    </row>
    <row r="4480" spans="1:12" x14ac:dyDescent="0.3">
      <c r="A4480" t="s">
        <v>4486</v>
      </c>
      <c r="B4480" t="s">
        <v>10017</v>
      </c>
      <c r="C4480">
        <v>3</v>
      </c>
      <c r="D4480">
        <v>1.5</v>
      </c>
      <c r="E4480">
        <v>4.5</v>
      </c>
      <c r="F4480" t="s">
        <v>10020</v>
      </c>
      <c r="G4480" t="s">
        <v>10102</v>
      </c>
      <c r="H4480" s="6">
        <v>45190</v>
      </c>
      <c r="I4480">
        <f t="shared" si="138"/>
        <v>0</v>
      </c>
      <c r="J4480" t="str">
        <f t="shared" si="139"/>
        <v>Complete</v>
      </c>
      <c r="K4480">
        <f>COUNTIFS(RawData[Item], B4480,RawData[Quantity],C4480,RawData[Price Per Unit],D4480,RawData[Total Spent],E4480,RawData[Payment Method],F4480,RawData[Location],G4480,RawData[Transaction Date],H4480)</f>
        <v>1</v>
      </c>
      <c r="L4480"/>
    </row>
    <row r="4481" spans="1:12" x14ac:dyDescent="0.3">
      <c r="A4481" t="s">
        <v>4487</v>
      </c>
      <c r="B4481" t="s">
        <v>10011</v>
      </c>
      <c r="C4481">
        <v>4</v>
      </c>
      <c r="D4481">
        <v>5</v>
      </c>
      <c r="E4481">
        <v>20</v>
      </c>
      <c r="F4481" t="s">
        <v>10069</v>
      </c>
      <c r="G4481" t="s">
        <v>10021</v>
      </c>
      <c r="H4481" s="6">
        <v>45031</v>
      </c>
      <c r="I4481">
        <f t="shared" si="138"/>
        <v>0</v>
      </c>
      <c r="J4481" t="str">
        <f t="shared" si="139"/>
        <v>Complete</v>
      </c>
      <c r="K4481">
        <f>COUNTIFS(RawData[Item], B4481,RawData[Quantity],C4481,RawData[Price Per Unit],D4481,RawData[Total Spent],E4481,RawData[Payment Method],F4481,RawData[Location],G4481,RawData[Transaction Date],H4481)</f>
        <v>1</v>
      </c>
      <c r="L4481"/>
    </row>
    <row r="4482" spans="1:12" x14ac:dyDescent="0.3">
      <c r="A4482" t="s">
        <v>4488</v>
      </c>
      <c r="B4482" t="s">
        <v>10012</v>
      </c>
      <c r="C4482">
        <v>4</v>
      </c>
      <c r="D4482">
        <v>4</v>
      </c>
      <c r="E4482">
        <v>16</v>
      </c>
      <c r="F4482" t="s">
        <v>10020</v>
      </c>
      <c r="G4482" t="s">
        <v>10104</v>
      </c>
      <c r="H4482" s="6">
        <v>45215</v>
      </c>
      <c r="I4482">
        <f t="shared" ref="I4482:I4545" si="140">(B4482="Unknown")+(B4482="Error")+(C4482="Unknown")+(C4482="Error")+(D4482="Unknown")+(D4482="Error")+(E4482="Unknown")+(E4482="Error")+(F4482="Unknown")+(F4482="Error")+(G4482="Unknown")+(G4482="Error")+(H4482="No Date")</f>
        <v>1</v>
      </c>
      <c r="J4482" t="str">
        <f t="shared" ref="J4482:J4545" si="141">IF((H4482="No Date"),"Incomplete","Complete")</f>
        <v>Complete</v>
      </c>
      <c r="K4482">
        <f>COUNTIFS(RawData[Item], B4482,RawData[Quantity],C4482,RawData[Price Per Unit],D4482,RawData[Total Spent],E4482,RawData[Payment Method],F4482,RawData[Location],G4482,RawData[Transaction Date],H4482)</f>
        <v>1</v>
      </c>
      <c r="L4482"/>
    </row>
    <row r="4483" spans="1:12" x14ac:dyDescent="0.3">
      <c r="A4483" t="s">
        <v>4489</v>
      </c>
      <c r="B4483" t="s">
        <v>10009</v>
      </c>
      <c r="C4483">
        <v>5</v>
      </c>
      <c r="D4483">
        <v>3</v>
      </c>
      <c r="E4483">
        <v>15</v>
      </c>
      <c r="F4483" t="s">
        <v>10018</v>
      </c>
      <c r="G4483" t="s">
        <v>10069</v>
      </c>
      <c r="H4483" s="6" t="s">
        <v>10112</v>
      </c>
      <c r="I4483">
        <f t="shared" si="140"/>
        <v>1</v>
      </c>
      <c r="J4483" t="str">
        <f t="shared" si="141"/>
        <v>Incomplete</v>
      </c>
      <c r="K4483">
        <f>COUNTIFS(RawData[Item], B4483,RawData[Quantity],C4483,RawData[Price Per Unit],D4483,RawData[Total Spent],E4483,RawData[Payment Method],F4483,RawData[Location],G4483,RawData[Transaction Date],H4483)</f>
        <v>6</v>
      </c>
      <c r="L4483"/>
    </row>
    <row r="4484" spans="1:12" x14ac:dyDescent="0.3">
      <c r="A4484" t="s">
        <v>4490</v>
      </c>
      <c r="B4484" t="s">
        <v>10017</v>
      </c>
      <c r="C4484">
        <v>4</v>
      </c>
      <c r="D4484">
        <v>1.5</v>
      </c>
      <c r="E4484">
        <v>6</v>
      </c>
      <c r="F4484" t="s">
        <v>10018</v>
      </c>
      <c r="G4484" t="s">
        <v>10069</v>
      </c>
      <c r="H4484" s="6">
        <v>45199</v>
      </c>
      <c r="I4484">
        <f t="shared" si="140"/>
        <v>0</v>
      </c>
      <c r="J4484" t="str">
        <f t="shared" si="141"/>
        <v>Complete</v>
      </c>
      <c r="K4484">
        <f>COUNTIFS(RawData[Item], B4484,RawData[Quantity],C4484,RawData[Price Per Unit],D4484,RawData[Total Spent],E4484,RawData[Payment Method],F4484,RawData[Location],G4484,RawData[Transaction Date],H4484)</f>
        <v>1</v>
      </c>
      <c r="L4484"/>
    </row>
    <row r="4485" spans="1:12" x14ac:dyDescent="0.3">
      <c r="A4485" t="s">
        <v>4491</v>
      </c>
      <c r="B4485" t="s">
        <v>10010</v>
      </c>
      <c r="C4485">
        <v>1</v>
      </c>
      <c r="D4485">
        <v>1</v>
      </c>
      <c r="E4485" t="s">
        <v>10013</v>
      </c>
      <c r="F4485" t="s">
        <v>10020</v>
      </c>
      <c r="G4485" t="s">
        <v>10102</v>
      </c>
      <c r="H4485" s="6">
        <v>45051</v>
      </c>
      <c r="I4485">
        <f t="shared" si="140"/>
        <v>1</v>
      </c>
      <c r="J4485" t="str">
        <f t="shared" si="141"/>
        <v>Complete</v>
      </c>
      <c r="K4485">
        <f>COUNTIFS(RawData[Item], B4485,RawData[Quantity],C4485,RawData[Price Per Unit],D4485,RawData[Total Spent],E4485,RawData[Payment Method],F4485,RawData[Location],G4485,RawData[Transaction Date],H4485)</f>
        <v>1</v>
      </c>
      <c r="L4485"/>
    </row>
    <row r="4486" spans="1:12" x14ac:dyDescent="0.3">
      <c r="A4486" t="s">
        <v>4492</v>
      </c>
      <c r="B4486" t="s">
        <v>10010</v>
      </c>
      <c r="C4486">
        <v>5</v>
      </c>
      <c r="D4486">
        <v>0</v>
      </c>
      <c r="E4486">
        <v>5</v>
      </c>
      <c r="F4486" t="s">
        <v>10018</v>
      </c>
      <c r="G4486" t="s">
        <v>10069</v>
      </c>
      <c r="H4486" s="6">
        <v>45098</v>
      </c>
      <c r="I4486">
        <f t="shared" si="140"/>
        <v>0</v>
      </c>
      <c r="J4486" t="str">
        <f t="shared" si="141"/>
        <v>Complete</v>
      </c>
      <c r="K4486">
        <f>COUNTIFS(RawData[Item], B4486,RawData[Quantity],C4486,RawData[Price Per Unit],D4486,RawData[Total Spent],E4486,RawData[Payment Method],F4486,RawData[Location],G4486,RawData[Transaction Date],H4486)</f>
        <v>1</v>
      </c>
      <c r="L4486"/>
    </row>
    <row r="4487" spans="1:12" x14ac:dyDescent="0.3">
      <c r="A4487" t="s">
        <v>4493</v>
      </c>
      <c r="B4487" t="s">
        <v>10017</v>
      </c>
      <c r="C4487">
        <v>2</v>
      </c>
      <c r="D4487">
        <v>1.5</v>
      </c>
      <c r="E4487">
        <v>3</v>
      </c>
      <c r="F4487" t="s">
        <v>10069</v>
      </c>
      <c r="G4487" t="s">
        <v>10069</v>
      </c>
      <c r="H4487" s="6" t="s">
        <v>10112</v>
      </c>
      <c r="I4487">
        <f t="shared" si="140"/>
        <v>1</v>
      </c>
      <c r="J4487" t="str">
        <f t="shared" si="141"/>
        <v>Incomplete</v>
      </c>
      <c r="K4487">
        <f>COUNTIFS(RawData[Item], B4487,RawData[Quantity],C4487,RawData[Price Per Unit],D4487,RawData[Total Spent],E4487,RawData[Payment Method],F4487,RawData[Location],G4487,RawData[Transaction Date],H4487)</f>
        <v>2</v>
      </c>
      <c r="L4487"/>
    </row>
    <row r="4488" spans="1:12" x14ac:dyDescent="0.3">
      <c r="A4488" t="s">
        <v>4494</v>
      </c>
      <c r="B4488" t="s">
        <v>10016</v>
      </c>
      <c r="C4488">
        <v>2</v>
      </c>
      <c r="D4488">
        <v>3</v>
      </c>
      <c r="E4488">
        <v>6</v>
      </c>
      <c r="F4488" t="s">
        <v>10018</v>
      </c>
      <c r="G4488" t="s">
        <v>10021</v>
      </c>
      <c r="H4488" s="6">
        <v>45279</v>
      </c>
      <c r="I4488">
        <f t="shared" si="140"/>
        <v>0</v>
      </c>
      <c r="J4488" t="str">
        <f t="shared" si="141"/>
        <v>Complete</v>
      </c>
      <c r="K4488">
        <f>COUNTIFS(RawData[Item], B4488,RawData[Quantity],C4488,RawData[Price Per Unit],D4488,RawData[Total Spent],E4488,RawData[Payment Method],F4488,RawData[Location],G4488,RawData[Transaction Date],H4488)</f>
        <v>1</v>
      </c>
      <c r="L4488"/>
    </row>
    <row r="4489" spans="1:12" x14ac:dyDescent="0.3">
      <c r="A4489" t="s">
        <v>4495</v>
      </c>
      <c r="B4489" t="s">
        <v>10011</v>
      </c>
      <c r="C4489">
        <v>4</v>
      </c>
      <c r="D4489">
        <v>5</v>
      </c>
      <c r="E4489">
        <v>20</v>
      </c>
      <c r="F4489" t="s">
        <v>10104</v>
      </c>
      <c r="G4489" t="s">
        <v>10069</v>
      </c>
      <c r="H4489" s="6">
        <v>45032</v>
      </c>
      <c r="I4489">
        <f t="shared" si="140"/>
        <v>1</v>
      </c>
      <c r="J4489" t="str">
        <f t="shared" si="141"/>
        <v>Complete</v>
      </c>
      <c r="K4489">
        <f>COUNTIFS(RawData[Item], B4489,RawData[Quantity],C4489,RawData[Price Per Unit],D4489,RawData[Total Spent],E4489,RawData[Payment Method],F4489,RawData[Location],G4489,RawData[Transaction Date],H4489)</f>
        <v>1</v>
      </c>
      <c r="L4489"/>
    </row>
    <row r="4490" spans="1:12" x14ac:dyDescent="0.3">
      <c r="A4490" t="s">
        <v>4496</v>
      </c>
      <c r="B4490" t="s">
        <v>10017</v>
      </c>
      <c r="C4490">
        <v>4</v>
      </c>
      <c r="D4490">
        <v>1.5</v>
      </c>
      <c r="E4490">
        <v>6</v>
      </c>
      <c r="F4490" t="s">
        <v>10104</v>
      </c>
      <c r="G4490" t="s">
        <v>10102</v>
      </c>
      <c r="H4490" s="6">
        <v>45092</v>
      </c>
      <c r="I4490">
        <f t="shared" si="140"/>
        <v>1</v>
      </c>
      <c r="J4490" t="str">
        <f t="shared" si="141"/>
        <v>Complete</v>
      </c>
      <c r="K4490">
        <f>COUNTIFS(RawData[Item], B4490,RawData[Quantity],C4490,RawData[Price Per Unit],D4490,RawData[Total Spent],E4490,RawData[Payment Method],F4490,RawData[Location],G4490,RawData[Transaction Date],H4490)</f>
        <v>1</v>
      </c>
      <c r="L4490"/>
    </row>
    <row r="4491" spans="1:12" x14ac:dyDescent="0.3">
      <c r="A4491" t="s">
        <v>4497</v>
      </c>
      <c r="B4491" t="s">
        <v>10011</v>
      </c>
      <c r="C4491">
        <v>3</v>
      </c>
      <c r="D4491">
        <v>5</v>
      </c>
      <c r="E4491">
        <v>15</v>
      </c>
      <c r="F4491" t="s">
        <v>10069</v>
      </c>
      <c r="G4491" t="s">
        <v>10069</v>
      </c>
      <c r="H4491" s="6">
        <v>45060</v>
      </c>
      <c r="I4491">
        <f t="shared" si="140"/>
        <v>0</v>
      </c>
      <c r="J4491" t="str">
        <f t="shared" si="141"/>
        <v>Complete</v>
      </c>
      <c r="K4491">
        <f>COUNTIFS(RawData[Item], B4491,RawData[Quantity],C4491,RawData[Price Per Unit],D4491,RawData[Total Spent],E4491,RawData[Payment Method],F4491,RawData[Location],G4491,RawData[Transaction Date],H4491)</f>
        <v>1</v>
      </c>
      <c r="L4491"/>
    </row>
    <row r="4492" spans="1:12" x14ac:dyDescent="0.3">
      <c r="A4492" t="s">
        <v>4498</v>
      </c>
      <c r="B4492" t="s">
        <v>10016</v>
      </c>
      <c r="C4492">
        <v>2</v>
      </c>
      <c r="D4492">
        <v>3</v>
      </c>
      <c r="E4492">
        <v>6</v>
      </c>
      <c r="F4492" t="s">
        <v>10020</v>
      </c>
      <c r="G4492" t="s">
        <v>10021</v>
      </c>
      <c r="H4492" s="6">
        <v>45061</v>
      </c>
      <c r="I4492">
        <f t="shared" si="140"/>
        <v>0</v>
      </c>
      <c r="J4492" t="str">
        <f t="shared" si="141"/>
        <v>Complete</v>
      </c>
      <c r="K4492">
        <f>COUNTIFS(RawData[Item], B4492,RawData[Quantity],C4492,RawData[Price Per Unit],D4492,RawData[Total Spent],E4492,RawData[Payment Method],F4492,RawData[Location],G4492,RawData[Transaction Date],H4492)</f>
        <v>1</v>
      </c>
      <c r="L4492"/>
    </row>
    <row r="4493" spans="1:12" x14ac:dyDescent="0.3">
      <c r="A4493" t="s">
        <v>4499</v>
      </c>
      <c r="B4493" t="s">
        <v>10010</v>
      </c>
      <c r="C4493">
        <v>2</v>
      </c>
      <c r="D4493">
        <v>1</v>
      </c>
      <c r="E4493">
        <v>2</v>
      </c>
      <c r="F4493" t="s">
        <v>10018</v>
      </c>
      <c r="G4493" t="s">
        <v>10021</v>
      </c>
      <c r="H4493" s="6">
        <v>45052</v>
      </c>
      <c r="I4493">
        <f t="shared" si="140"/>
        <v>0</v>
      </c>
      <c r="J4493" t="str">
        <f t="shared" si="141"/>
        <v>Complete</v>
      </c>
      <c r="K4493">
        <f>COUNTIFS(RawData[Item], B4493,RawData[Quantity],C4493,RawData[Price Per Unit],D4493,RawData[Total Spent],E4493,RawData[Payment Method],F4493,RawData[Location],G4493,RawData[Transaction Date],H4493)</f>
        <v>1</v>
      </c>
      <c r="L4493"/>
    </row>
    <row r="4494" spans="1:12" x14ac:dyDescent="0.3">
      <c r="A4494" t="s">
        <v>4500</v>
      </c>
      <c r="B4494" t="s">
        <v>10012</v>
      </c>
      <c r="C4494">
        <v>4</v>
      </c>
      <c r="D4494" t="s">
        <v>10015</v>
      </c>
      <c r="E4494">
        <v>16</v>
      </c>
      <c r="F4494" t="s">
        <v>10020</v>
      </c>
      <c r="G4494" t="s">
        <v>10102</v>
      </c>
      <c r="H4494" s="6">
        <v>45260</v>
      </c>
      <c r="I4494">
        <f t="shared" si="140"/>
        <v>1</v>
      </c>
      <c r="J4494" t="str">
        <f t="shared" si="141"/>
        <v>Complete</v>
      </c>
      <c r="K4494">
        <f>COUNTIFS(RawData[Item], B4494,RawData[Quantity],C4494,RawData[Price Per Unit],D4494,RawData[Total Spent],E4494,RawData[Payment Method],F4494,RawData[Location],G4494,RawData[Transaction Date],H4494)</f>
        <v>1</v>
      </c>
      <c r="L4494"/>
    </row>
    <row r="4495" spans="1:12" x14ac:dyDescent="0.3">
      <c r="A4495" t="s">
        <v>4501</v>
      </c>
      <c r="B4495" t="s">
        <v>10012</v>
      </c>
      <c r="C4495">
        <v>1</v>
      </c>
      <c r="D4495">
        <v>4</v>
      </c>
      <c r="E4495">
        <v>4</v>
      </c>
      <c r="F4495" t="s">
        <v>10019</v>
      </c>
      <c r="G4495" t="s">
        <v>10069</v>
      </c>
      <c r="H4495" s="6">
        <v>45139</v>
      </c>
      <c r="I4495">
        <f t="shared" si="140"/>
        <v>0</v>
      </c>
      <c r="J4495" t="str">
        <f t="shared" si="141"/>
        <v>Complete</v>
      </c>
      <c r="K4495">
        <f>COUNTIFS(RawData[Item], B4495,RawData[Quantity],C4495,RawData[Price Per Unit],D4495,RawData[Total Spent],E4495,RawData[Payment Method],F4495,RawData[Location],G4495,RawData[Transaction Date],H4495)</f>
        <v>1</v>
      </c>
      <c r="L4495"/>
    </row>
    <row r="4496" spans="1:12" x14ac:dyDescent="0.3">
      <c r="A4496" t="s">
        <v>4502</v>
      </c>
      <c r="B4496" t="s">
        <v>10010</v>
      </c>
      <c r="C4496">
        <v>1</v>
      </c>
      <c r="D4496">
        <v>1</v>
      </c>
      <c r="E4496">
        <v>1</v>
      </c>
      <c r="F4496" t="s">
        <v>10069</v>
      </c>
      <c r="G4496" t="s">
        <v>10102</v>
      </c>
      <c r="H4496" s="6">
        <v>45240</v>
      </c>
      <c r="I4496">
        <f t="shared" si="140"/>
        <v>0</v>
      </c>
      <c r="J4496" t="str">
        <f t="shared" si="141"/>
        <v>Complete</v>
      </c>
      <c r="K4496">
        <f>COUNTIFS(RawData[Item], B4496,RawData[Quantity],C4496,RawData[Price Per Unit],D4496,RawData[Total Spent],E4496,RawData[Payment Method],F4496,RawData[Location],G4496,RawData[Transaction Date],H4496)</f>
        <v>1</v>
      </c>
      <c r="L4496"/>
    </row>
    <row r="4497" spans="1:12" x14ac:dyDescent="0.3">
      <c r="A4497" t="s">
        <v>4503</v>
      </c>
      <c r="B4497" t="s">
        <v>10017</v>
      </c>
      <c r="C4497">
        <v>3</v>
      </c>
      <c r="D4497">
        <v>1.5</v>
      </c>
      <c r="E4497">
        <v>4.5</v>
      </c>
      <c r="F4497" t="s">
        <v>10018</v>
      </c>
      <c r="G4497" t="s">
        <v>10102</v>
      </c>
      <c r="H4497" s="6">
        <v>45207</v>
      </c>
      <c r="I4497">
        <f t="shared" si="140"/>
        <v>0</v>
      </c>
      <c r="J4497" t="str">
        <f t="shared" si="141"/>
        <v>Complete</v>
      </c>
      <c r="K4497">
        <f>COUNTIFS(RawData[Item], B4497,RawData[Quantity],C4497,RawData[Price Per Unit],D4497,RawData[Total Spent],E4497,RawData[Payment Method],F4497,RawData[Location],G4497,RawData[Transaction Date],H4497)</f>
        <v>1</v>
      </c>
      <c r="L4497"/>
    </row>
    <row r="4498" spans="1:12" x14ac:dyDescent="0.3">
      <c r="A4498" t="s">
        <v>4504</v>
      </c>
      <c r="B4498" t="s">
        <v>10008</v>
      </c>
      <c r="C4498">
        <v>1</v>
      </c>
      <c r="D4498">
        <v>2</v>
      </c>
      <c r="E4498">
        <v>2</v>
      </c>
      <c r="F4498" t="s">
        <v>10020</v>
      </c>
      <c r="G4498" t="s">
        <v>10102</v>
      </c>
      <c r="H4498" s="6">
        <v>45159</v>
      </c>
      <c r="I4498">
        <f t="shared" si="140"/>
        <v>0</v>
      </c>
      <c r="J4498" t="str">
        <f t="shared" si="141"/>
        <v>Complete</v>
      </c>
      <c r="K4498">
        <f>COUNTIFS(RawData[Item], B4498,RawData[Quantity],C4498,RawData[Price Per Unit],D4498,RawData[Total Spent],E4498,RawData[Payment Method],F4498,RawData[Location],G4498,RawData[Transaction Date],H4498)</f>
        <v>1</v>
      </c>
      <c r="L4498"/>
    </row>
    <row r="4499" spans="1:12" x14ac:dyDescent="0.3">
      <c r="A4499" t="s">
        <v>4505</v>
      </c>
      <c r="B4499" t="s">
        <v>10009</v>
      </c>
      <c r="C4499">
        <v>4</v>
      </c>
      <c r="D4499">
        <v>3</v>
      </c>
      <c r="E4499">
        <v>12</v>
      </c>
      <c r="F4499" t="s">
        <v>10019</v>
      </c>
      <c r="G4499" t="s">
        <v>10069</v>
      </c>
      <c r="H4499" s="6">
        <v>45221</v>
      </c>
      <c r="I4499">
        <f t="shared" si="140"/>
        <v>0</v>
      </c>
      <c r="J4499" t="str">
        <f t="shared" si="141"/>
        <v>Complete</v>
      </c>
      <c r="K4499">
        <f>COUNTIFS(RawData[Item], B4499,RawData[Quantity],C4499,RawData[Price Per Unit],D4499,RawData[Total Spent],E4499,RawData[Payment Method],F4499,RawData[Location],G4499,RawData[Transaction Date],H4499)</f>
        <v>1</v>
      </c>
      <c r="L4499"/>
    </row>
    <row r="4500" spans="1:12" x14ac:dyDescent="0.3">
      <c r="A4500" t="s">
        <v>4506</v>
      </c>
      <c r="B4500" t="s">
        <v>10017</v>
      </c>
      <c r="C4500">
        <v>2</v>
      </c>
      <c r="D4500">
        <v>1.5</v>
      </c>
      <c r="E4500">
        <v>3</v>
      </c>
      <c r="F4500" t="s">
        <v>10018</v>
      </c>
      <c r="G4500" t="s">
        <v>10069</v>
      </c>
      <c r="H4500" s="6">
        <v>45224</v>
      </c>
      <c r="I4500">
        <f t="shared" si="140"/>
        <v>0</v>
      </c>
      <c r="J4500" t="str">
        <f t="shared" si="141"/>
        <v>Complete</v>
      </c>
      <c r="K4500">
        <f>COUNTIFS(RawData[Item], B4500,RawData[Quantity],C4500,RawData[Price Per Unit],D4500,RawData[Total Spent],E4500,RawData[Payment Method],F4500,RawData[Location],G4500,RawData[Transaction Date],H4500)</f>
        <v>1</v>
      </c>
      <c r="L4500"/>
    </row>
    <row r="4501" spans="1:12" x14ac:dyDescent="0.3">
      <c r="A4501" t="s">
        <v>4507</v>
      </c>
      <c r="B4501" t="s">
        <v>10008</v>
      </c>
      <c r="C4501">
        <v>4</v>
      </c>
      <c r="D4501">
        <v>2</v>
      </c>
      <c r="E4501">
        <v>8</v>
      </c>
      <c r="F4501" t="s">
        <v>10069</v>
      </c>
      <c r="G4501" t="s">
        <v>10021</v>
      </c>
      <c r="H4501" s="6">
        <v>44985</v>
      </c>
      <c r="I4501">
        <f t="shared" si="140"/>
        <v>0</v>
      </c>
      <c r="J4501" t="str">
        <f t="shared" si="141"/>
        <v>Complete</v>
      </c>
      <c r="K4501">
        <f>COUNTIFS(RawData[Item], B4501,RawData[Quantity],C4501,RawData[Price Per Unit],D4501,RawData[Total Spent],E4501,RawData[Payment Method],F4501,RawData[Location],G4501,RawData[Transaction Date],H4501)</f>
        <v>1</v>
      </c>
      <c r="L4501"/>
    </row>
    <row r="4502" spans="1:12" x14ac:dyDescent="0.3">
      <c r="A4502" t="s">
        <v>4508</v>
      </c>
      <c r="B4502" t="s">
        <v>10008</v>
      </c>
      <c r="C4502" t="s">
        <v>10013</v>
      </c>
      <c r="D4502">
        <v>2</v>
      </c>
      <c r="E4502">
        <v>2</v>
      </c>
      <c r="F4502" t="s">
        <v>10069</v>
      </c>
      <c r="G4502" t="s">
        <v>10069</v>
      </c>
      <c r="H4502" s="6">
        <v>45232</v>
      </c>
      <c r="I4502">
        <f t="shared" si="140"/>
        <v>1</v>
      </c>
      <c r="J4502" t="str">
        <f t="shared" si="141"/>
        <v>Complete</v>
      </c>
      <c r="K4502">
        <f>COUNTIFS(RawData[Item], B4502,RawData[Quantity],C4502,RawData[Price Per Unit],D4502,RawData[Total Spent],E4502,RawData[Payment Method],F4502,RawData[Location],G4502,RawData[Transaction Date],H4502)</f>
        <v>1</v>
      </c>
      <c r="L4502"/>
    </row>
    <row r="4503" spans="1:12" x14ac:dyDescent="0.3">
      <c r="A4503" t="s">
        <v>4509</v>
      </c>
      <c r="B4503" t="s">
        <v>10008</v>
      </c>
      <c r="C4503">
        <v>4</v>
      </c>
      <c r="D4503">
        <v>2</v>
      </c>
      <c r="E4503">
        <v>8</v>
      </c>
      <c r="F4503" t="s">
        <v>10019</v>
      </c>
      <c r="G4503" t="s">
        <v>10103</v>
      </c>
      <c r="H4503" s="6">
        <v>45149</v>
      </c>
      <c r="I4503">
        <f t="shared" si="140"/>
        <v>1</v>
      </c>
      <c r="J4503" t="str">
        <f t="shared" si="141"/>
        <v>Complete</v>
      </c>
      <c r="K4503">
        <f>COUNTIFS(RawData[Item], B4503,RawData[Quantity],C4503,RawData[Price Per Unit],D4503,RawData[Total Spent],E4503,RawData[Payment Method],F4503,RawData[Location],G4503,RawData[Transaction Date],H4503)</f>
        <v>1</v>
      </c>
      <c r="L4503"/>
    </row>
    <row r="4504" spans="1:12" x14ac:dyDescent="0.3">
      <c r="A4504" t="s">
        <v>4510</v>
      </c>
      <c r="B4504" t="s">
        <v>10017</v>
      </c>
      <c r="C4504">
        <v>4</v>
      </c>
      <c r="D4504">
        <v>1.5</v>
      </c>
      <c r="E4504">
        <v>6</v>
      </c>
      <c r="F4504" t="s">
        <v>10069</v>
      </c>
      <c r="G4504" t="s">
        <v>10021</v>
      </c>
      <c r="H4504" s="6">
        <v>44978</v>
      </c>
      <c r="I4504">
        <f t="shared" si="140"/>
        <v>0</v>
      </c>
      <c r="J4504" t="str">
        <f t="shared" si="141"/>
        <v>Complete</v>
      </c>
      <c r="K4504">
        <f>COUNTIFS(RawData[Item], B4504,RawData[Quantity],C4504,RawData[Price Per Unit],D4504,RawData[Total Spent],E4504,RawData[Payment Method],F4504,RawData[Location],G4504,RawData[Transaction Date],H4504)</f>
        <v>1</v>
      </c>
      <c r="L4504"/>
    </row>
    <row r="4505" spans="1:12" x14ac:dyDescent="0.3">
      <c r="A4505" t="s">
        <v>4511</v>
      </c>
      <c r="B4505" t="s">
        <v>10017</v>
      </c>
      <c r="C4505">
        <v>4</v>
      </c>
      <c r="D4505">
        <v>1.5</v>
      </c>
      <c r="E4505">
        <v>6</v>
      </c>
      <c r="F4505" t="s">
        <v>10020</v>
      </c>
      <c r="G4505" t="s">
        <v>10069</v>
      </c>
      <c r="H4505" s="6">
        <v>45269</v>
      </c>
      <c r="I4505">
        <f t="shared" si="140"/>
        <v>0</v>
      </c>
      <c r="J4505" t="str">
        <f t="shared" si="141"/>
        <v>Complete</v>
      </c>
      <c r="K4505">
        <f>COUNTIFS(RawData[Item], B4505,RawData[Quantity],C4505,RawData[Price Per Unit],D4505,RawData[Total Spent],E4505,RawData[Payment Method],F4505,RawData[Location],G4505,RawData[Transaction Date],H4505)</f>
        <v>1</v>
      </c>
      <c r="L4505"/>
    </row>
    <row r="4506" spans="1:12" x14ac:dyDescent="0.3">
      <c r="A4506" t="s">
        <v>4512</v>
      </c>
      <c r="B4506" t="s">
        <v>10017</v>
      </c>
      <c r="C4506">
        <v>5</v>
      </c>
      <c r="D4506">
        <v>1.5</v>
      </c>
      <c r="E4506">
        <v>7.5</v>
      </c>
      <c r="F4506" t="s">
        <v>10069</v>
      </c>
      <c r="G4506" t="s">
        <v>10102</v>
      </c>
      <c r="H4506" s="6" t="s">
        <v>10112</v>
      </c>
      <c r="I4506">
        <f t="shared" si="140"/>
        <v>1</v>
      </c>
      <c r="J4506" t="str">
        <f t="shared" si="141"/>
        <v>Incomplete</v>
      </c>
      <c r="K4506">
        <f>COUNTIFS(RawData[Item], B4506,RawData[Quantity],C4506,RawData[Price Per Unit],D4506,RawData[Total Spent],E4506,RawData[Payment Method],F4506,RawData[Location],G4506,RawData[Transaction Date],H4506)</f>
        <v>2</v>
      </c>
      <c r="L4506"/>
    </row>
    <row r="4507" spans="1:12" x14ac:dyDescent="0.3">
      <c r="A4507" t="s">
        <v>4513</v>
      </c>
      <c r="B4507" t="s">
        <v>10012</v>
      </c>
      <c r="C4507">
        <v>5</v>
      </c>
      <c r="D4507">
        <v>4</v>
      </c>
      <c r="E4507">
        <v>20</v>
      </c>
      <c r="F4507" t="s">
        <v>10018</v>
      </c>
      <c r="G4507" t="s">
        <v>10021</v>
      </c>
      <c r="H4507" s="6">
        <v>45154</v>
      </c>
      <c r="I4507">
        <f t="shared" si="140"/>
        <v>0</v>
      </c>
      <c r="J4507" t="str">
        <f t="shared" si="141"/>
        <v>Complete</v>
      </c>
      <c r="K4507">
        <f>COUNTIFS(RawData[Item], B4507,RawData[Quantity],C4507,RawData[Price Per Unit],D4507,RawData[Total Spent],E4507,RawData[Payment Method],F4507,RawData[Location],G4507,RawData[Transaction Date],H4507)</f>
        <v>1</v>
      </c>
      <c r="L4507"/>
    </row>
    <row r="4508" spans="1:12" x14ac:dyDescent="0.3">
      <c r="A4508" t="s">
        <v>4514</v>
      </c>
      <c r="B4508" t="s">
        <v>10016</v>
      </c>
      <c r="C4508">
        <v>5</v>
      </c>
      <c r="D4508">
        <v>3</v>
      </c>
      <c r="E4508">
        <v>15</v>
      </c>
      <c r="F4508" t="s">
        <v>10069</v>
      </c>
      <c r="G4508" t="s">
        <v>10069</v>
      </c>
      <c r="H4508" s="6">
        <v>45071</v>
      </c>
      <c r="I4508">
        <f t="shared" si="140"/>
        <v>0</v>
      </c>
      <c r="J4508" t="str">
        <f t="shared" si="141"/>
        <v>Complete</v>
      </c>
      <c r="K4508">
        <f>COUNTIFS(RawData[Item], B4508,RawData[Quantity],C4508,RawData[Price Per Unit],D4508,RawData[Total Spent],E4508,RawData[Payment Method],F4508,RawData[Location],G4508,RawData[Transaction Date],H4508)</f>
        <v>1</v>
      </c>
      <c r="L4508"/>
    </row>
    <row r="4509" spans="1:12" x14ac:dyDescent="0.3">
      <c r="A4509" t="s">
        <v>4515</v>
      </c>
      <c r="B4509" t="s">
        <v>10012</v>
      </c>
      <c r="C4509">
        <v>3</v>
      </c>
      <c r="D4509">
        <v>4</v>
      </c>
      <c r="E4509">
        <v>12</v>
      </c>
      <c r="F4509" t="s">
        <v>10020</v>
      </c>
      <c r="G4509" t="s">
        <v>10021</v>
      </c>
      <c r="H4509" s="6">
        <v>45226</v>
      </c>
      <c r="I4509">
        <f t="shared" si="140"/>
        <v>0</v>
      </c>
      <c r="J4509" t="str">
        <f t="shared" si="141"/>
        <v>Complete</v>
      </c>
      <c r="K4509">
        <f>COUNTIFS(RawData[Item], B4509,RawData[Quantity],C4509,RawData[Price Per Unit],D4509,RawData[Total Spent],E4509,RawData[Payment Method],F4509,RawData[Location],G4509,RawData[Transaction Date],H4509)</f>
        <v>2</v>
      </c>
      <c r="L4509"/>
    </row>
    <row r="4510" spans="1:12" x14ac:dyDescent="0.3">
      <c r="A4510" t="s">
        <v>4516</v>
      </c>
      <c r="B4510" t="s">
        <v>10010</v>
      </c>
      <c r="C4510">
        <v>5</v>
      </c>
      <c r="D4510">
        <v>1</v>
      </c>
      <c r="E4510">
        <v>5</v>
      </c>
      <c r="F4510" t="s">
        <v>10019</v>
      </c>
      <c r="G4510" t="s">
        <v>10102</v>
      </c>
      <c r="H4510" s="6">
        <v>45256</v>
      </c>
      <c r="I4510">
        <f t="shared" si="140"/>
        <v>0</v>
      </c>
      <c r="J4510" t="str">
        <f t="shared" si="141"/>
        <v>Complete</v>
      </c>
      <c r="K4510">
        <f>COUNTIFS(RawData[Item], B4510,RawData[Quantity],C4510,RawData[Price Per Unit],D4510,RawData[Total Spent],E4510,RawData[Payment Method],F4510,RawData[Location],G4510,RawData[Transaction Date],H4510)</f>
        <v>1</v>
      </c>
      <c r="L4510"/>
    </row>
    <row r="4511" spans="1:12" x14ac:dyDescent="0.3">
      <c r="A4511" t="s">
        <v>4517</v>
      </c>
      <c r="B4511" t="s">
        <v>10012</v>
      </c>
      <c r="C4511">
        <v>2</v>
      </c>
      <c r="D4511">
        <v>4</v>
      </c>
      <c r="E4511">
        <v>8</v>
      </c>
      <c r="F4511" t="s">
        <v>10069</v>
      </c>
      <c r="G4511" t="s">
        <v>10069</v>
      </c>
      <c r="H4511" s="6">
        <v>45222</v>
      </c>
      <c r="I4511">
        <f t="shared" si="140"/>
        <v>0</v>
      </c>
      <c r="J4511" t="str">
        <f t="shared" si="141"/>
        <v>Complete</v>
      </c>
      <c r="K4511">
        <f>COUNTIFS(RawData[Item], B4511,RawData[Quantity],C4511,RawData[Price Per Unit],D4511,RawData[Total Spent],E4511,RawData[Payment Method],F4511,RawData[Location],G4511,RawData[Transaction Date],H4511)</f>
        <v>1</v>
      </c>
      <c r="L4511"/>
    </row>
    <row r="4512" spans="1:12" x14ac:dyDescent="0.3">
      <c r="A4512" t="s">
        <v>4518</v>
      </c>
      <c r="B4512" t="s">
        <v>10008</v>
      </c>
      <c r="C4512">
        <v>2</v>
      </c>
      <c r="D4512">
        <v>2</v>
      </c>
      <c r="E4512">
        <v>4</v>
      </c>
      <c r="F4512" t="s">
        <v>10018</v>
      </c>
      <c r="G4512" t="s">
        <v>10103</v>
      </c>
      <c r="H4512" s="6">
        <v>45185</v>
      </c>
      <c r="I4512">
        <f t="shared" si="140"/>
        <v>1</v>
      </c>
      <c r="J4512" t="str">
        <f t="shared" si="141"/>
        <v>Complete</v>
      </c>
      <c r="K4512">
        <f>COUNTIFS(RawData[Item], B4512,RawData[Quantity],C4512,RawData[Price Per Unit],D4512,RawData[Total Spent],E4512,RawData[Payment Method],F4512,RawData[Location],G4512,RawData[Transaction Date],H4512)</f>
        <v>1</v>
      </c>
      <c r="L4512"/>
    </row>
    <row r="4513" spans="1:12" x14ac:dyDescent="0.3">
      <c r="A4513" t="s">
        <v>4519</v>
      </c>
      <c r="B4513" t="s">
        <v>10014</v>
      </c>
      <c r="C4513">
        <v>1</v>
      </c>
      <c r="D4513">
        <v>4</v>
      </c>
      <c r="E4513">
        <v>4</v>
      </c>
      <c r="F4513" t="s">
        <v>10019</v>
      </c>
      <c r="G4513" t="s">
        <v>10102</v>
      </c>
      <c r="H4513" s="6">
        <v>45052</v>
      </c>
      <c r="I4513">
        <f t="shared" si="140"/>
        <v>0</v>
      </c>
      <c r="J4513" t="str">
        <f t="shared" si="141"/>
        <v>Complete</v>
      </c>
      <c r="K4513">
        <f>COUNTIFS(RawData[Item], B4513,RawData[Quantity],C4513,RawData[Price Per Unit],D4513,RawData[Total Spent],E4513,RawData[Payment Method],F4513,RawData[Location],G4513,RawData[Transaction Date],H4513)</f>
        <v>1</v>
      </c>
      <c r="L4513"/>
    </row>
    <row r="4514" spans="1:12" x14ac:dyDescent="0.3">
      <c r="A4514" t="s">
        <v>4520</v>
      </c>
      <c r="B4514" t="s">
        <v>10017</v>
      </c>
      <c r="C4514">
        <v>2</v>
      </c>
      <c r="D4514">
        <v>1.5</v>
      </c>
      <c r="E4514">
        <v>3</v>
      </c>
      <c r="F4514" t="s">
        <v>10018</v>
      </c>
      <c r="G4514" t="s">
        <v>10021</v>
      </c>
      <c r="H4514" s="6">
        <v>44960</v>
      </c>
      <c r="I4514">
        <f t="shared" si="140"/>
        <v>0</v>
      </c>
      <c r="J4514" t="str">
        <f t="shared" si="141"/>
        <v>Complete</v>
      </c>
      <c r="K4514">
        <f>COUNTIFS(RawData[Item], B4514,RawData[Quantity],C4514,RawData[Price Per Unit],D4514,RawData[Total Spent],E4514,RawData[Payment Method],F4514,RawData[Location],G4514,RawData[Transaction Date],H4514)</f>
        <v>1</v>
      </c>
      <c r="L4514"/>
    </row>
    <row r="4515" spans="1:12" x14ac:dyDescent="0.3">
      <c r="A4515" t="s">
        <v>4521</v>
      </c>
      <c r="B4515" t="s">
        <v>10010</v>
      </c>
      <c r="C4515">
        <v>1</v>
      </c>
      <c r="D4515">
        <v>1</v>
      </c>
      <c r="E4515" t="s">
        <v>10015</v>
      </c>
      <c r="F4515" t="s">
        <v>10018</v>
      </c>
      <c r="G4515" t="s">
        <v>10103</v>
      </c>
      <c r="H4515" s="6">
        <v>45041</v>
      </c>
      <c r="I4515">
        <f t="shared" si="140"/>
        <v>2</v>
      </c>
      <c r="J4515" t="str">
        <f t="shared" si="141"/>
        <v>Complete</v>
      </c>
      <c r="K4515">
        <f>COUNTIFS(RawData[Item], B4515,RawData[Quantity],C4515,RawData[Price Per Unit],D4515,RawData[Total Spent],E4515,RawData[Payment Method],F4515,RawData[Location],G4515,RawData[Transaction Date],H4515)</f>
        <v>1</v>
      </c>
      <c r="L4515"/>
    </row>
    <row r="4516" spans="1:12" x14ac:dyDescent="0.3">
      <c r="A4516" t="s">
        <v>4522</v>
      </c>
      <c r="B4516" t="s">
        <v>10012</v>
      </c>
      <c r="C4516">
        <v>3</v>
      </c>
      <c r="D4516">
        <v>4</v>
      </c>
      <c r="E4516">
        <v>12</v>
      </c>
      <c r="F4516" t="s">
        <v>10020</v>
      </c>
      <c r="G4516" t="s">
        <v>10069</v>
      </c>
      <c r="H4516" s="6" t="s">
        <v>10112</v>
      </c>
      <c r="I4516">
        <f t="shared" si="140"/>
        <v>1</v>
      </c>
      <c r="J4516" t="str">
        <f t="shared" si="141"/>
        <v>Incomplete</v>
      </c>
      <c r="K4516">
        <f>COUNTIFS(RawData[Item], B4516,RawData[Quantity],C4516,RawData[Price Per Unit],D4516,RawData[Total Spent],E4516,RawData[Payment Method],F4516,RawData[Location],G4516,RawData[Transaction Date],H4516)</f>
        <v>1</v>
      </c>
      <c r="L4516"/>
    </row>
    <row r="4517" spans="1:12" x14ac:dyDescent="0.3">
      <c r="A4517" t="s">
        <v>4523</v>
      </c>
      <c r="B4517" t="s">
        <v>10012</v>
      </c>
      <c r="C4517">
        <v>2</v>
      </c>
      <c r="D4517">
        <v>4</v>
      </c>
      <c r="E4517">
        <v>8</v>
      </c>
      <c r="F4517" t="s">
        <v>10018</v>
      </c>
      <c r="G4517" t="s">
        <v>10021</v>
      </c>
      <c r="H4517" s="6">
        <v>44965</v>
      </c>
      <c r="I4517">
        <f t="shared" si="140"/>
        <v>0</v>
      </c>
      <c r="J4517" t="str">
        <f t="shared" si="141"/>
        <v>Complete</v>
      </c>
      <c r="K4517">
        <f>COUNTIFS(RawData[Item], B4517,RawData[Quantity],C4517,RawData[Price Per Unit],D4517,RawData[Total Spent],E4517,RawData[Payment Method],F4517,RawData[Location],G4517,RawData[Transaction Date],H4517)</f>
        <v>1</v>
      </c>
      <c r="L4517"/>
    </row>
    <row r="4518" spans="1:12" x14ac:dyDescent="0.3">
      <c r="A4518" t="s">
        <v>4524</v>
      </c>
      <c r="B4518" t="s">
        <v>10011</v>
      </c>
      <c r="C4518">
        <v>2</v>
      </c>
      <c r="D4518">
        <v>5</v>
      </c>
      <c r="E4518">
        <v>10</v>
      </c>
      <c r="F4518" t="s">
        <v>10018</v>
      </c>
      <c r="G4518" t="s">
        <v>10021</v>
      </c>
      <c r="H4518" s="6">
        <v>44998</v>
      </c>
      <c r="I4518">
        <f t="shared" si="140"/>
        <v>0</v>
      </c>
      <c r="J4518" t="str">
        <f t="shared" si="141"/>
        <v>Complete</v>
      </c>
      <c r="K4518">
        <f>COUNTIFS(RawData[Item], B4518,RawData[Quantity],C4518,RawData[Price Per Unit],D4518,RawData[Total Spent],E4518,RawData[Payment Method],F4518,RawData[Location],G4518,RawData[Transaction Date],H4518)</f>
        <v>1</v>
      </c>
      <c r="L4518"/>
    </row>
    <row r="4519" spans="1:12" x14ac:dyDescent="0.3">
      <c r="A4519" t="s">
        <v>4525</v>
      </c>
      <c r="B4519" t="s">
        <v>10012</v>
      </c>
      <c r="C4519">
        <v>3</v>
      </c>
      <c r="D4519">
        <v>4</v>
      </c>
      <c r="E4519">
        <v>12</v>
      </c>
      <c r="F4519" t="s">
        <v>10018</v>
      </c>
      <c r="G4519" t="s">
        <v>10021</v>
      </c>
      <c r="H4519" s="6">
        <v>45170</v>
      </c>
      <c r="I4519">
        <f t="shared" si="140"/>
        <v>0</v>
      </c>
      <c r="J4519" t="str">
        <f t="shared" si="141"/>
        <v>Complete</v>
      </c>
      <c r="K4519">
        <f>COUNTIFS(RawData[Item], B4519,RawData[Quantity],C4519,RawData[Price Per Unit],D4519,RawData[Total Spent],E4519,RawData[Payment Method],F4519,RawData[Location],G4519,RawData[Transaction Date],H4519)</f>
        <v>2</v>
      </c>
      <c r="L4519"/>
    </row>
    <row r="4520" spans="1:12" x14ac:dyDescent="0.3">
      <c r="A4520" t="s">
        <v>4526</v>
      </c>
      <c r="B4520" t="s">
        <v>10017</v>
      </c>
      <c r="C4520">
        <v>0</v>
      </c>
      <c r="D4520">
        <v>1.5</v>
      </c>
      <c r="E4520">
        <v>1.5</v>
      </c>
      <c r="F4520" t="s">
        <v>10020</v>
      </c>
      <c r="G4520" t="s">
        <v>10021</v>
      </c>
      <c r="H4520" s="6">
        <v>45257</v>
      </c>
      <c r="I4520">
        <f t="shared" si="140"/>
        <v>0</v>
      </c>
      <c r="J4520" t="str">
        <f t="shared" si="141"/>
        <v>Complete</v>
      </c>
      <c r="K4520">
        <f>COUNTIFS(RawData[Item], B4520,RawData[Quantity],C4520,RawData[Price Per Unit],D4520,RawData[Total Spent],E4520,RawData[Payment Method],F4520,RawData[Location],G4520,RawData[Transaction Date],H4520)</f>
        <v>1</v>
      </c>
      <c r="L4520"/>
    </row>
    <row r="4521" spans="1:12" x14ac:dyDescent="0.3">
      <c r="A4521" t="s">
        <v>4527</v>
      </c>
      <c r="B4521" t="s">
        <v>10014</v>
      </c>
      <c r="C4521">
        <v>2</v>
      </c>
      <c r="D4521">
        <v>4</v>
      </c>
      <c r="E4521">
        <v>8</v>
      </c>
      <c r="F4521" t="s">
        <v>10019</v>
      </c>
      <c r="G4521" t="s">
        <v>10021</v>
      </c>
      <c r="H4521" s="6">
        <v>44992</v>
      </c>
      <c r="I4521">
        <f t="shared" si="140"/>
        <v>0</v>
      </c>
      <c r="J4521" t="str">
        <f t="shared" si="141"/>
        <v>Complete</v>
      </c>
      <c r="K4521">
        <f>COUNTIFS(RawData[Item], B4521,RawData[Quantity],C4521,RawData[Price Per Unit],D4521,RawData[Total Spent],E4521,RawData[Payment Method],F4521,RawData[Location],G4521,RawData[Transaction Date],H4521)</f>
        <v>1</v>
      </c>
      <c r="L4521"/>
    </row>
    <row r="4522" spans="1:12" x14ac:dyDescent="0.3">
      <c r="A4522" t="s">
        <v>4528</v>
      </c>
      <c r="B4522" t="s">
        <v>10008</v>
      </c>
      <c r="C4522">
        <v>2</v>
      </c>
      <c r="D4522">
        <v>2</v>
      </c>
      <c r="E4522">
        <v>4</v>
      </c>
      <c r="F4522" t="s">
        <v>10018</v>
      </c>
      <c r="G4522" t="s">
        <v>10069</v>
      </c>
      <c r="H4522" s="6">
        <v>45155</v>
      </c>
      <c r="I4522">
        <f t="shared" si="140"/>
        <v>0</v>
      </c>
      <c r="J4522" t="str">
        <f t="shared" si="141"/>
        <v>Complete</v>
      </c>
      <c r="K4522">
        <f>COUNTIFS(RawData[Item], B4522,RawData[Quantity],C4522,RawData[Price Per Unit],D4522,RawData[Total Spent],E4522,RawData[Payment Method],F4522,RawData[Location],G4522,RawData[Transaction Date],H4522)</f>
        <v>1</v>
      </c>
      <c r="L4522"/>
    </row>
    <row r="4523" spans="1:12" x14ac:dyDescent="0.3">
      <c r="A4523" t="s">
        <v>4529</v>
      </c>
      <c r="B4523" t="s">
        <v>10009</v>
      </c>
      <c r="C4523">
        <v>2</v>
      </c>
      <c r="D4523">
        <v>3</v>
      </c>
      <c r="E4523">
        <v>6</v>
      </c>
      <c r="F4523" t="s">
        <v>10020</v>
      </c>
      <c r="G4523" t="s">
        <v>10069</v>
      </c>
      <c r="H4523" s="6">
        <v>45199</v>
      </c>
      <c r="I4523">
        <f t="shared" si="140"/>
        <v>0</v>
      </c>
      <c r="J4523" t="str">
        <f t="shared" si="141"/>
        <v>Complete</v>
      </c>
      <c r="K4523">
        <f>COUNTIFS(RawData[Item], B4523,RawData[Quantity],C4523,RawData[Price Per Unit],D4523,RawData[Total Spent],E4523,RawData[Payment Method],F4523,RawData[Location],G4523,RawData[Transaction Date],H4523)</f>
        <v>1</v>
      </c>
      <c r="L4523"/>
    </row>
    <row r="4524" spans="1:12" x14ac:dyDescent="0.3">
      <c r="A4524" t="s">
        <v>4530</v>
      </c>
      <c r="B4524" t="s">
        <v>10010</v>
      </c>
      <c r="C4524">
        <v>4</v>
      </c>
      <c r="D4524">
        <v>1</v>
      </c>
      <c r="E4524">
        <v>4</v>
      </c>
      <c r="F4524" t="s">
        <v>10019</v>
      </c>
      <c r="G4524" t="s">
        <v>10021</v>
      </c>
      <c r="H4524" s="6">
        <v>44939</v>
      </c>
      <c r="I4524">
        <f t="shared" si="140"/>
        <v>0</v>
      </c>
      <c r="J4524" t="str">
        <f t="shared" si="141"/>
        <v>Complete</v>
      </c>
      <c r="K4524">
        <f>COUNTIFS(RawData[Item], B4524,RawData[Quantity],C4524,RawData[Price Per Unit],D4524,RawData[Total Spent],E4524,RawData[Payment Method],F4524,RawData[Location],G4524,RawData[Transaction Date],H4524)</f>
        <v>1</v>
      </c>
      <c r="L4524"/>
    </row>
    <row r="4525" spans="1:12" x14ac:dyDescent="0.3">
      <c r="A4525" t="s">
        <v>4531</v>
      </c>
      <c r="B4525" t="s">
        <v>10017</v>
      </c>
      <c r="C4525">
        <v>4</v>
      </c>
      <c r="D4525">
        <v>1.5</v>
      </c>
      <c r="E4525">
        <v>6</v>
      </c>
      <c r="F4525" t="s">
        <v>10019</v>
      </c>
      <c r="G4525" t="s">
        <v>10021</v>
      </c>
      <c r="H4525" s="6">
        <v>45149</v>
      </c>
      <c r="I4525">
        <f t="shared" si="140"/>
        <v>0</v>
      </c>
      <c r="J4525" t="str">
        <f t="shared" si="141"/>
        <v>Complete</v>
      </c>
      <c r="K4525">
        <f>COUNTIFS(RawData[Item], B4525,RawData[Quantity],C4525,RawData[Price Per Unit],D4525,RawData[Total Spent],E4525,RawData[Payment Method],F4525,RawData[Location],G4525,RawData[Transaction Date],H4525)</f>
        <v>1</v>
      </c>
      <c r="L4525"/>
    </row>
    <row r="4526" spans="1:12" x14ac:dyDescent="0.3">
      <c r="A4526" t="s">
        <v>4532</v>
      </c>
      <c r="B4526" t="s">
        <v>10012</v>
      </c>
      <c r="C4526">
        <v>4</v>
      </c>
      <c r="D4526">
        <v>4</v>
      </c>
      <c r="E4526">
        <v>16</v>
      </c>
      <c r="F4526" t="s">
        <v>10019</v>
      </c>
      <c r="G4526" t="s">
        <v>10021</v>
      </c>
      <c r="H4526" s="6">
        <v>44966</v>
      </c>
      <c r="I4526">
        <f t="shared" si="140"/>
        <v>0</v>
      </c>
      <c r="J4526" t="str">
        <f t="shared" si="141"/>
        <v>Complete</v>
      </c>
      <c r="K4526">
        <f>COUNTIFS(RawData[Item], B4526,RawData[Quantity],C4526,RawData[Price Per Unit],D4526,RawData[Total Spent],E4526,RawData[Payment Method],F4526,RawData[Location],G4526,RawData[Transaction Date],H4526)</f>
        <v>1</v>
      </c>
      <c r="L4526"/>
    </row>
    <row r="4527" spans="1:12" x14ac:dyDescent="0.3">
      <c r="A4527" t="s">
        <v>4533</v>
      </c>
      <c r="B4527" t="s">
        <v>10017</v>
      </c>
      <c r="C4527">
        <v>1</v>
      </c>
      <c r="D4527">
        <v>1.5</v>
      </c>
      <c r="E4527">
        <v>1.5</v>
      </c>
      <c r="F4527" t="s">
        <v>10104</v>
      </c>
      <c r="G4527" t="s">
        <v>10021</v>
      </c>
      <c r="H4527" s="6">
        <v>45224</v>
      </c>
      <c r="I4527">
        <f t="shared" si="140"/>
        <v>1</v>
      </c>
      <c r="J4527" t="str">
        <f t="shared" si="141"/>
        <v>Complete</v>
      </c>
      <c r="K4527">
        <f>COUNTIFS(RawData[Item], B4527,RawData[Quantity],C4527,RawData[Price Per Unit],D4527,RawData[Total Spent],E4527,RawData[Payment Method],F4527,RawData[Location],G4527,RawData[Transaction Date],H4527)</f>
        <v>1</v>
      </c>
      <c r="L4527"/>
    </row>
    <row r="4528" spans="1:12" x14ac:dyDescent="0.3">
      <c r="A4528" t="s">
        <v>4534</v>
      </c>
      <c r="B4528" t="s">
        <v>10017</v>
      </c>
      <c r="C4528">
        <v>5</v>
      </c>
      <c r="D4528">
        <v>1.5</v>
      </c>
      <c r="E4528">
        <v>7.5</v>
      </c>
      <c r="F4528" t="s">
        <v>10069</v>
      </c>
      <c r="G4528" t="s">
        <v>10102</v>
      </c>
      <c r="H4528" s="6">
        <v>45111</v>
      </c>
      <c r="I4528">
        <f t="shared" si="140"/>
        <v>0</v>
      </c>
      <c r="J4528" t="str">
        <f t="shared" si="141"/>
        <v>Complete</v>
      </c>
      <c r="K4528">
        <f>COUNTIFS(RawData[Item], B4528,RawData[Quantity],C4528,RawData[Price Per Unit],D4528,RawData[Total Spent],E4528,RawData[Payment Method],F4528,RawData[Location],G4528,RawData[Transaction Date],H4528)</f>
        <v>1</v>
      </c>
      <c r="L4528"/>
    </row>
    <row r="4529" spans="1:12" x14ac:dyDescent="0.3">
      <c r="A4529" t="s">
        <v>4535</v>
      </c>
      <c r="B4529" t="s">
        <v>10011</v>
      </c>
      <c r="C4529">
        <v>3</v>
      </c>
      <c r="D4529">
        <v>5</v>
      </c>
      <c r="E4529">
        <v>15</v>
      </c>
      <c r="F4529" t="s">
        <v>10019</v>
      </c>
      <c r="G4529" t="s">
        <v>10069</v>
      </c>
      <c r="H4529" s="6">
        <v>45246</v>
      </c>
      <c r="I4529">
        <f t="shared" si="140"/>
        <v>0</v>
      </c>
      <c r="J4529" t="str">
        <f t="shared" si="141"/>
        <v>Complete</v>
      </c>
      <c r="K4529">
        <f>COUNTIFS(RawData[Item], B4529,RawData[Quantity],C4529,RawData[Price Per Unit],D4529,RawData[Total Spent],E4529,RawData[Payment Method],F4529,RawData[Location],G4529,RawData[Transaction Date],H4529)</f>
        <v>1</v>
      </c>
      <c r="L4529"/>
    </row>
    <row r="4530" spans="1:12" x14ac:dyDescent="0.3">
      <c r="A4530" t="s">
        <v>4536</v>
      </c>
      <c r="B4530" t="s">
        <v>10069</v>
      </c>
      <c r="C4530">
        <v>1</v>
      </c>
      <c r="D4530">
        <v>3</v>
      </c>
      <c r="E4530">
        <v>3</v>
      </c>
      <c r="F4530" t="s">
        <v>10069</v>
      </c>
      <c r="G4530" t="s">
        <v>10102</v>
      </c>
      <c r="H4530" s="6">
        <v>45111</v>
      </c>
      <c r="I4530">
        <f t="shared" si="140"/>
        <v>0</v>
      </c>
      <c r="J4530" t="str">
        <f t="shared" si="141"/>
        <v>Complete</v>
      </c>
      <c r="K4530">
        <f>COUNTIFS(RawData[Item], B4530,RawData[Quantity],C4530,RawData[Price Per Unit],D4530,RawData[Total Spent],E4530,RawData[Payment Method],F4530,RawData[Location],G4530,RawData[Transaction Date],H4530)</f>
        <v>1</v>
      </c>
      <c r="L4530"/>
    </row>
    <row r="4531" spans="1:12" x14ac:dyDescent="0.3">
      <c r="A4531" t="s">
        <v>4537</v>
      </c>
      <c r="B4531" t="s">
        <v>10010</v>
      </c>
      <c r="C4531" t="s">
        <v>10015</v>
      </c>
      <c r="D4531">
        <v>1</v>
      </c>
      <c r="E4531">
        <v>5</v>
      </c>
      <c r="F4531" t="s">
        <v>10020</v>
      </c>
      <c r="G4531" t="s">
        <v>10102</v>
      </c>
      <c r="H4531" s="6">
        <v>45127</v>
      </c>
      <c r="I4531">
        <f t="shared" si="140"/>
        <v>1</v>
      </c>
      <c r="J4531" t="str">
        <f t="shared" si="141"/>
        <v>Complete</v>
      </c>
      <c r="K4531">
        <f>COUNTIFS(RawData[Item], B4531,RawData[Quantity],C4531,RawData[Price Per Unit],D4531,RawData[Total Spent],E4531,RawData[Payment Method],F4531,RawData[Location],G4531,RawData[Transaction Date],H4531)</f>
        <v>1</v>
      </c>
      <c r="L4531"/>
    </row>
    <row r="4532" spans="1:12" x14ac:dyDescent="0.3">
      <c r="A4532" t="s">
        <v>4538</v>
      </c>
      <c r="B4532" t="s">
        <v>10011</v>
      </c>
      <c r="C4532">
        <v>2</v>
      </c>
      <c r="D4532">
        <v>5</v>
      </c>
      <c r="E4532">
        <v>10</v>
      </c>
      <c r="F4532" t="s">
        <v>10069</v>
      </c>
      <c r="G4532" t="s">
        <v>10069</v>
      </c>
      <c r="H4532" s="6">
        <v>45181</v>
      </c>
      <c r="I4532">
        <f t="shared" si="140"/>
        <v>0</v>
      </c>
      <c r="J4532" t="str">
        <f t="shared" si="141"/>
        <v>Complete</v>
      </c>
      <c r="K4532">
        <f>COUNTIFS(RawData[Item], B4532,RawData[Quantity],C4532,RawData[Price Per Unit],D4532,RawData[Total Spent],E4532,RawData[Payment Method],F4532,RawData[Location],G4532,RawData[Transaction Date],H4532)</f>
        <v>1</v>
      </c>
      <c r="L4532"/>
    </row>
    <row r="4533" spans="1:12" x14ac:dyDescent="0.3">
      <c r="A4533" t="s">
        <v>4539</v>
      </c>
      <c r="B4533" t="s">
        <v>10011</v>
      </c>
      <c r="C4533">
        <v>2</v>
      </c>
      <c r="D4533">
        <v>5</v>
      </c>
      <c r="E4533">
        <v>10</v>
      </c>
      <c r="F4533" t="s">
        <v>10018</v>
      </c>
      <c r="G4533" t="s">
        <v>10069</v>
      </c>
      <c r="H4533" s="6">
        <v>45001</v>
      </c>
      <c r="I4533">
        <f t="shared" si="140"/>
        <v>0</v>
      </c>
      <c r="J4533" t="str">
        <f t="shared" si="141"/>
        <v>Complete</v>
      </c>
      <c r="K4533">
        <f>COUNTIFS(RawData[Item], B4533,RawData[Quantity],C4533,RawData[Price Per Unit],D4533,RawData[Total Spent],E4533,RawData[Payment Method],F4533,RawData[Location],G4533,RawData[Transaction Date],H4533)</f>
        <v>1</v>
      </c>
      <c r="L4533"/>
    </row>
    <row r="4534" spans="1:12" x14ac:dyDescent="0.3">
      <c r="A4534" t="s">
        <v>4540</v>
      </c>
      <c r="B4534" t="s">
        <v>10016</v>
      </c>
      <c r="C4534">
        <v>2</v>
      </c>
      <c r="D4534">
        <v>3</v>
      </c>
      <c r="E4534">
        <v>6</v>
      </c>
      <c r="F4534" t="s">
        <v>10020</v>
      </c>
      <c r="G4534" t="s">
        <v>10102</v>
      </c>
      <c r="H4534" s="6">
        <v>45048</v>
      </c>
      <c r="I4534">
        <f t="shared" si="140"/>
        <v>0</v>
      </c>
      <c r="J4534" t="str">
        <f t="shared" si="141"/>
        <v>Complete</v>
      </c>
      <c r="K4534">
        <f>COUNTIFS(RawData[Item], B4534,RawData[Quantity],C4534,RawData[Price Per Unit],D4534,RawData[Total Spent],E4534,RawData[Payment Method],F4534,RawData[Location],G4534,RawData[Transaction Date],H4534)</f>
        <v>1</v>
      </c>
      <c r="L4534"/>
    </row>
    <row r="4535" spans="1:12" x14ac:dyDescent="0.3">
      <c r="A4535" t="s">
        <v>4541</v>
      </c>
      <c r="B4535" t="s">
        <v>10012</v>
      </c>
      <c r="C4535">
        <v>3</v>
      </c>
      <c r="D4535">
        <v>4</v>
      </c>
      <c r="E4535">
        <v>12</v>
      </c>
      <c r="F4535" t="s">
        <v>10020</v>
      </c>
      <c r="G4535" t="s">
        <v>10102</v>
      </c>
      <c r="H4535" s="6">
        <v>45072</v>
      </c>
      <c r="I4535">
        <f t="shared" si="140"/>
        <v>0</v>
      </c>
      <c r="J4535" t="str">
        <f t="shared" si="141"/>
        <v>Complete</v>
      </c>
      <c r="K4535">
        <f>COUNTIFS(RawData[Item], B4535,RawData[Quantity],C4535,RawData[Price Per Unit],D4535,RawData[Total Spent],E4535,RawData[Payment Method],F4535,RawData[Location],G4535,RawData[Transaction Date],H4535)</f>
        <v>1</v>
      </c>
      <c r="L4535"/>
    </row>
    <row r="4536" spans="1:12" x14ac:dyDescent="0.3">
      <c r="A4536" t="s">
        <v>4542</v>
      </c>
      <c r="B4536" t="s">
        <v>10014</v>
      </c>
      <c r="C4536">
        <v>4</v>
      </c>
      <c r="D4536">
        <v>4</v>
      </c>
      <c r="E4536">
        <v>16</v>
      </c>
      <c r="F4536" t="s">
        <v>10020</v>
      </c>
      <c r="G4536" t="s">
        <v>10069</v>
      </c>
      <c r="H4536" s="6">
        <v>45164</v>
      </c>
      <c r="I4536">
        <f t="shared" si="140"/>
        <v>0</v>
      </c>
      <c r="J4536" t="str">
        <f t="shared" si="141"/>
        <v>Complete</v>
      </c>
      <c r="K4536">
        <f>COUNTIFS(RawData[Item], B4536,RawData[Quantity],C4536,RawData[Price Per Unit],D4536,RawData[Total Spent],E4536,RawData[Payment Method],F4536,RawData[Location],G4536,RawData[Transaction Date],H4536)</f>
        <v>1</v>
      </c>
      <c r="L4536"/>
    </row>
    <row r="4537" spans="1:12" x14ac:dyDescent="0.3">
      <c r="A4537" t="s">
        <v>4543</v>
      </c>
      <c r="B4537" t="s">
        <v>10012</v>
      </c>
      <c r="C4537" t="s">
        <v>10013</v>
      </c>
      <c r="D4537">
        <v>4</v>
      </c>
      <c r="E4537">
        <v>4</v>
      </c>
      <c r="F4537" t="s">
        <v>10069</v>
      </c>
      <c r="G4537" t="s">
        <v>10102</v>
      </c>
      <c r="H4537" s="6">
        <v>45057</v>
      </c>
      <c r="I4537">
        <f t="shared" si="140"/>
        <v>1</v>
      </c>
      <c r="J4537" t="str">
        <f t="shared" si="141"/>
        <v>Complete</v>
      </c>
      <c r="K4537">
        <f>COUNTIFS(RawData[Item], B4537,RawData[Quantity],C4537,RawData[Price Per Unit],D4537,RawData[Total Spent],E4537,RawData[Payment Method],F4537,RawData[Location],G4537,RawData[Transaction Date],H4537)</f>
        <v>1</v>
      </c>
      <c r="L4537"/>
    </row>
    <row r="4538" spans="1:12" x14ac:dyDescent="0.3">
      <c r="A4538" t="s">
        <v>4544</v>
      </c>
      <c r="B4538" t="s">
        <v>10009</v>
      </c>
      <c r="C4538">
        <v>2</v>
      </c>
      <c r="D4538">
        <v>3</v>
      </c>
      <c r="E4538">
        <v>6</v>
      </c>
      <c r="F4538" t="s">
        <v>10069</v>
      </c>
      <c r="G4538" t="s">
        <v>10069</v>
      </c>
      <c r="H4538" s="6">
        <v>45095</v>
      </c>
      <c r="I4538">
        <f t="shared" si="140"/>
        <v>0</v>
      </c>
      <c r="J4538" t="str">
        <f t="shared" si="141"/>
        <v>Complete</v>
      </c>
      <c r="K4538">
        <f>COUNTIFS(RawData[Item], B4538,RawData[Quantity],C4538,RawData[Price Per Unit],D4538,RawData[Total Spent],E4538,RawData[Payment Method],F4538,RawData[Location],G4538,RawData[Transaction Date],H4538)</f>
        <v>1</v>
      </c>
      <c r="L4538"/>
    </row>
    <row r="4539" spans="1:12" x14ac:dyDescent="0.3">
      <c r="A4539" t="s">
        <v>4545</v>
      </c>
      <c r="B4539" t="s">
        <v>10014</v>
      </c>
      <c r="C4539">
        <v>2</v>
      </c>
      <c r="D4539">
        <v>4</v>
      </c>
      <c r="E4539">
        <v>8</v>
      </c>
      <c r="F4539" t="s">
        <v>10018</v>
      </c>
      <c r="G4539" t="s">
        <v>10069</v>
      </c>
      <c r="H4539" s="6">
        <v>44962</v>
      </c>
      <c r="I4539">
        <f t="shared" si="140"/>
        <v>0</v>
      </c>
      <c r="J4539" t="str">
        <f t="shared" si="141"/>
        <v>Complete</v>
      </c>
      <c r="K4539">
        <f>COUNTIFS(RawData[Item], B4539,RawData[Quantity],C4539,RawData[Price Per Unit],D4539,RawData[Total Spent],E4539,RawData[Payment Method],F4539,RawData[Location],G4539,RawData[Transaction Date],H4539)</f>
        <v>1</v>
      </c>
      <c r="L4539"/>
    </row>
    <row r="4540" spans="1:12" x14ac:dyDescent="0.3">
      <c r="A4540" t="s">
        <v>4546</v>
      </c>
      <c r="B4540" t="s">
        <v>10010</v>
      </c>
      <c r="C4540">
        <v>5</v>
      </c>
      <c r="D4540">
        <v>1</v>
      </c>
      <c r="E4540">
        <v>5</v>
      </c>
      <c r="F4540" t="s">
        <v>10019</v>
      </c>
      <c r="G4540" t="s">
        <v>10069</v>
      </c>
      <c r="H4540" s="6">
        <v>45161</v>
      </c>
      <c r="I4540">
        <f t="shared" si="140"/>
        <v>0</v>
      </c>
      <c r="J4540" t="str">
        <f t="shared" si="141"/>
        <v>Complete</v>
      </c>
      <c r="K4540">
        <f>COUNTIFS(RawData[Item], B4540,RawData[Quantity],C4540,RawData[Price Per Unit],D4540,RawData[Total Spent],E4540,RawData[Payment Method],F4540,RawData[Location],G4540,RawData[Transaction Date],H4540)</f>
        <v>1</v>
      </c>
      <c r="L4540"/>
    </row>
    <row r="4541" spans="1:12" x14ac:dyDescent="0.3">
      <c r="A4541" t="s">
        <v>4547</v>
      </c>
      <c r="B4541" t="s">
        <v>10014</v>
      </c>
      <c r="C4541">
        <v>1</v>
      </c>
      <c r="D4541">
        <v>4</v>
      </c>
      <c r="E4541">
        <v>4</v>
      </c>
      <c r="F4541" t="s">
        <v>10018</v>
      </c>
      <c r="G4541" t="s">
        <v>10021</v>
      </c>
      <c r="H4541" s="6">
        <v>45171</v>
      </c>
      <c r="I4541">
        <f t="shared" si="140"/>
        <v>0</v>
      </c>
      <c r="J4541" t="str">
        <f t="shared" si="141"/>
        <v>Complete</v>
      </c>
      <c r="K4541">
        <f>COUNTIFS(RawData[Item], B4541,RawData[Quantity],C4541,RawData[Price Per Unit],D4541,RawData[Total Spent],E4541,RawData[Payment Method],F4541,RawData[Location],G4541,RawData[Transaction Date],H4541)</f>
        <v>1</v>
      </c>
      <c r="L4541"/>
    </row>
    <row r="4542" spans="1:12" x14ac:dyDescent="0.3">
      <c r="A4542" t="s">
        <v>4548</v>
      </c>
      <c r="B4542" t="s">
        <v>10017</v>
      </c>
      <c r="C4542">
        <v>3</v>
      </c>
      <c r="D4542">
        <v>1.5</v>
      </c>
      <c r="E4542">
        <v>4.5</v>
      </c>
      <c r="F4542" t="s">
        <v>10069</v>
      </c>
      <c r="G4542" t="s">
        <v>10102</v>
      </c>
      <c r="H4542" s="6">
        <v>45112</v>
      </c>
      <c r="I4542">
        <f t="shared" si="140"/>
        <v>0</v>
      </c>
      <c r="J4542" t="str">
        <f t="shared" si="141"/>
        <v>Complete</v>
      </c>
      <c r="K4542">
        <f>COUNTIFS(RawData[Item], B4542,RawData[Quantity],C4542,RawData[Price Per Unit],D4542,RawData[Total Spent],E4542,RawData[Payment Method],F4542,RawData[Location],G4542,RawData[Transaction Date],H4542)</f>
        <v>1</v>
      </c>
      <c r="L4542"/>
    </row>
    <row r="4543" spans="1:12" x14ac:dyDescent="0.3">
      <c r="A4543" t="s">
        <v>4549</v>
      </c>
      <c r="B4543" t="s">
        <v>10009</v>
      </c>
      <c r="C4543">
        <v>5</v>
      </c>
      <c r="D4543">
        <v>3</v>
      </c>
      <c r="E4543">
        <v>15</v>
      </c>
      <c r="F4543" t="s">
        <v>10069</v>
      </c>
      <c r="G4543" t="s">
        <v>10102</v>
      </c>
      <c r="H4543" s="6">
        <v>45093</v>
      </c>
      <c r="I4543">
        <f t="shared" si="140"/>
        <v>0</v>
      </c>
      <c r="J4543" t="str">
        <f t="shared" si="141"/>
        <v>Complete</v>
      </c>
      <c r="K4543">
        <f>COUNTIFS(RawData[Item], B4543,RawData[Quantity],C4543,RawData[Price Per Unit],D4543,RawData[Total Spent],E4543,RawData[Payment Method],F4543,RawData[Location],G4543,RawData[Transaction Date],H4543)</f>
        <v>1</v>
      </c>
      <c r="L4543"/>
    </row>
    <row r="4544" spans="1:12" x14ac:dyDescent="0.3">
      <c r="A4544" t="s">
        <v>4550</v>
      </c>
      <c r="B4544" t="s">
        <v>10016</v>
      </c>
      <c r="C4544">
        <v>2</v>
      </c>
      <c r="D4544">
        <v>3</v>
      </c>
      <c r="E4544">
        <v>6</v>
      </c>
      <c r="F4544" t="s">
        <v>10020</v>
      </c>
      <c r="G4544" t="s">
        <v>10021</v>
      </c>
      <c r="H4544" s="6">
        <v>45036</v>
      </c>
      <c r="I4544">
        <f t="shared" si="140"/>
        <v>0</v>
      </c>
      <c r="J4544" t="str">
        <f t="shared" si="141"/>
        <v>Complete</v>
      </c>
      <c r="K4544">
        <f>COUNTIFS(RawData[Item], B4544,RawData[Quantity],C4544,RawData[Price Per Unit],D4544,RawData[Total Spent],E4544,RawData[Payment Method],F4544,RawData[Location],G4544,RawData[Transaction Date],H4544)</f>
        <v>1</v>
      </c>
      <c r="L4544"/>
    </row>
    <row r="4545" spans="1:12" x14ac:dyDescent="0.3">
      <c r="A4545" t="s">
        <v>4551</v>
      </c>
      <c r="B4545" t="s">
        <v>10012</v>
      </c>
      <c r="C4545">
        <v>1</v>
      </c>
      <c r="D4545">
        <v>4</v>
      </c>
      <c r="E4545">
        <v>4</v>
      </c>
      <c r="F4545" t="s">
        <v>10018</v>
      </c>
      <c r="G4545" t="s">
        <v>10104</v>
      </c>
      <c r="H4545" s="6">
        <v>45131</v>
      </c>
      <c r="I4545">
        <f t="shared" si="140"/>
        <v>1</v>
      </c>
      <c r="J4545" t="str">
        <f t="shared" si="141"/>
        <v>Complete</v>
      </c>
      <c r="K4545">
        <f>COUNTIFS(RawData[Item], B4545,RawData[Quantity],C4545,RawData[Price Per Unit],D4545,RawData[Total Spent],E4545,RawData[Payment Method],F4545,RawData[Location],G4545,RawData[Transaction Date],H4545)</f>
        <v>1</v>
      </c>
      <c r="L4545"/>
    </row>
    <row r="4546" spans="1:12" x14ac:dyDescent="0.3">
      <c r="A4546" t="s">
        <v>4552</v>
      </c>
      <c r="B4546" t="s">
        <v>10014</v>
      </c>
      <c r="C4546">
        <v>5</v>
      </c>
      <c r="D4546">
        <v>4</v>
      </c>
      <c r="E4546">
        <v>20</v>
      </c>
      <c r="F4546" t="s">
        <v>10019</v>
      </c>
      <c r="G4546" t="s">
        <v>10104</v>
      </c>
      <c r="H4546" s="6">
        <v>44959</v>
      </c>
      <c r="I4546">
        <f t="shared" ref="I4546:I4609" si="142">(B4546="Unknown")+(B4546="Error")+(C4546="Unknown")+(C4546="Error")+(D4546="Unknown")+(D4546="Error")+(E4546="Unknown")+(E4546="Error")+(F4546="Unknown")+(F4546="Error")+(G4546="Unknown")+(G4546="Error")+(H4546="No Date")</f>
        <v>1</v>
      </c>
      <c r="J4546" t="str">
        <f t="shared" ref="J4546:J4609" si="143">IF((H4546="No Date"),"Incomplete","Complete")</f>
        <v>Complete</v>
      </c>
      <c r="K4546">
        <f>COUNTIFS(RawData[Item], B4546,RawData[Quantity],C4546,RawData[Price Per Unit],D4546,RawData[Total Spent],E4546,RawData[Payment Method],F4546,RawData[Location],G4546,RawData[Transaction Date],H4546)</f>
        <v>1</v>
      </c>
      <c r="L4546"/>
    </row>
    <row r="4547" spans="1:12" x14ac:dyDescent="0.3">
      <c r="A4547" t="s">
        <v>4553</v>
      </c>
      <c r="B4547" t="s">
        <v>10015</v>
      </c>
      <c r="C4547">
        <v>0</v>
      </c>
      <c r="D4547">
        <v>1.5</v>
      </c>
      <c r="E4547">
        <v>4.5</v>
      </c>
      <c r="F4547" t="s">
        <v>10069</v>
      </c>
      <c r="G4547" t="s">
        <v>10021</v>
      </c>
      <c r="H4547" s="6">
        <v>45077</v>
      </c>
      <c r="I4547">
        <f t="shared" si="142"/>
        <v>1</v>
      </c>
      <c r="J4547" t="str">
        <f t="shared" si="143"/>
        <v>Complete</v>
      </c>
      <c r="K4547">
        <f>COUNTIFS(RawData[Item], B4547,RawData[Quantity],C4547,RawData[Price Per Unit],D4547,RawData[Total Spent],E4547,RawData[Payment Method],F4547,RawData[Location],G4547,RawData[Transaction Date],H4547)</f>
        <v>1</v>
      </c>
      <c r="L4547"/>
    </row>
    <row r="4548" spans="1:12" x14ac:dyDescent="0.3">
      <c r="A4548" t="s">
        <v>4554</v>
      </c>
      <c r="B4548" t="s">
        <v>10017</v>
      </c>
      <c r="C4548">
        <v>1</v>
      </c>
      <c r="D4548">
        <v>1.5</v>
      </c>
      <c r="E4548">
        <v>1.5</v>
      </c>
      <c r="F4548" t="s">
        <v>10019</v>
      </c>
      <c r="G4548" t="s">
        <v>10069</v>
      </c>
      <c r="H4548" s="6">
        <v>45046</v>
      </c>
      <c r="I4548">
        <f t="shared" si="142"/>
        <v>0</v>
      </c>
      <c r="J4548" t="str">
        <f t="shared" si="143"/>
        <v>Complete</v>
      </c>
      <c r="K4548">
        <f>COUNTIFS(RawData[Item], B4548,RawData[Quantity],C4548,RawData[Price Per Unit],D4548,RawData[Total Spent],E4548,RawData[Payment Method],F4548,RawData[Location],G4548,RawData[Transaction Date],H4548)</f>
        <v>1</v>
      </c>
      <c r="L4548"/>
    </row>
    <row r="4549" spans="1:12" x14ac:dyDescent="0.3">
      <c r="A4549" t="s">
        <v>4555</v>
      </c>
      <c r="B4549" t="s">
        <v>10009</v>
      </c>
      <c r="C4549">
        <v>5</v>
      </c>
      <c r="D4549">
        <v>3</v>
      </c>
      <c r="E4549">
        <v>15</v>
      </c>
      <c r="F4549" t="s">
        <v>10069</v>
      </c>
      <c r="G4549" t="s">
        <v>10102</v>
      </c>
      <c r="H4549" s="6">
        <v>45145</v>
      </c>
      <c r="I4549">
        <f t="shared" si="142"/>
        <v>0</v>
      </c>
      <c r="J4549" t="str">
        <f t="shared" si="143"/>
        <v>Complete</v>
      </c>
      <c r="K4549">
        <f>COUNTIFS(RawData[Item], B4549,RawData[Quantity],C4549,RawData[Price Per Unit],D4549,RawData[Total Spent],E4549,RawData[Payment Method],F4549,RawData[Location],G4549,RawData[Transaction Date],H4549)</f>
        <v>2</v>
      </c>
      <c r="L4549"/>
    </row>
    <row r="4550" spans="1:12" x14ac:dyDescent="0.3">
      <c r="A4550" t="s">
        <v>4556</v>
      </c>
      <c r="B4550" t="s">
        <v>10010</v>
      </c>
      <c r="C4550">
        <v>5</v>
      </c>
      <c r="D4550">
        <v>1</v>
      </c>
      <c r="E4550">
        <v>5</v>
      </c>
      <c r="F4550" t="s">
        <v>10069</v>
      </c>
      <c r="G4550" t="s">
        <v>10021</v>
      </c>
      <c r="H4550" s="6">
        <v>45195</v>
      </c>
      <c r="I4550">
        <f t="shared" si="142"/>
        <v>0</v>
      </c>
      <c r="J4550" t="str">
        <f t="shared" si="143"/>
        <v>Complete</v>
      </c>
      <c r="K4550">
        <f>COUNTIFS(RawData[Item], B4550,RawData[Quantity],C4550,RawData[Price Per Unit],D4550,RawData[Total Spent],E4550,RawData[Payment Method],F4550,RawData[Location],G4550,RawData[Transaction Date],H4550)</f>
        <v>1</v>
      </c>
      <c r="L4550"/>
    </row>
    <row r="4551" spans="1:12" x14ac:dyDescent="0.3">
      <c r="A4551" t="s">
        <v>4557</v>
      </c>
      <c r="B4551" t="s">
        <v>10009</v>
      </c>
      <c r="C4551">
        <v>3</v>
      </c>
      <c r="D4551">
        <v>3</v>
      </c>
      <c r="E4551">
        <v>9</v>
      </c>
      <c r="F4551" t="s">
        <v>10018</v>
      </c>
      <c r="G4551" t="s">
        <v>10102</v>
      </c>
      <c r="H4551" s="6">
        <v>45199</v>
      </c>
      <c r="I4551">
        <f t="shared" si="142"/>
        <v>0</v>
      </c>
      <c r="J4551" t="str">
        <f t="shared" si="143"/>
        <v>Complete</v>
      </c>
      <c r="K4551">
        <f>COUNTIFS(RawData[Item], B4551,RawData[Quantity],C4551,RawData[Price Per Unit],D4551,RawData[Total Spent],E4551,RawData[Payment Method],F4551,RawData[Location],G4551,RawData[Transaction Date],H4551)</f>
        <v>1</v>
      </c>
      <c r="L4551"/>
    </row>
    <row r="4552" spans="1:12" x14ac:dyDescent="0.3">
      <c r="A4552" t="s">
        <v>4558</v>
      </c>
      <c r="B4552" t="s">
        <v>10011</v>
      </c>
      <c r="C4552">
        <v>4</v>
      </c>
      <c r="D4552">
        <v>5</v>
      </c>
      <c r="E4552">
        <v>20</v>
      </c>
      <c r="F4552" t="s">
        <v>10069</v>
      </c>
      <c r="G4552" t="s">
        <v>10021</v>
      </c>
      <c r="H4552" s="6">
        <v>45216</v>
      </c>
      <c r="I4552">
        <f t="shared" si="142"/>
        <v>0</v>
      </c>
      <c r="J4552" t="str">
        <f t="shared" si="143"/>
        <v>Complete</v>
      </c>
      <c r="K4552">
        <f>COUNTIFS(RawData[Item], B4552,RawData[Quantity],C4552,RawData[Price Per Unit],D4552,RawData[Total Spent],E4552,RawData[Payment Method],F4552,RawData[Location],G4552,RawData[Transaction Date],H4552)</f>
        <v>1</v>
      </c>
      <c r="L4552"/>
    </row>
    <row r="4553" spans="1:12" x14ac:dyDescent="0.3">
      <c r="A4553" t="s">
        <v>4559</v>
      </c>
      <c r="B4553" t="s">
        <v>10017</v>
      </c>
      <c r="C4553">
        <v>4</v>
      </c>
      <c r="D4553">
        <v>1.5</v>
      </c>
      <c r="E4553">
        <v>6</v>
      </c>
      <c r="F4553" t="s">
        <v>10018</v>
      </c>
      <c r="G4553" t="s">
        <v>10102</v>
      </c>
      <c r="H4553" s="6">
        <v>45248</v>
      </c>
      <c r="I4553">
        <f t="shared" si="142"/>
        <v>0</v>
      </c>
      <c r="J4553" t="str">
        <f t="shared" si="143"/>
        <v>Complete</v>
      </c>
      <c r="K4553">
        <f>COUNTIFS(RawData[Item], B4553,RawData[Quantity],C4553,RawData[Price Per Unit],D4553,RawData[Total Spent],E4553,RawData[Payment Method],F4553,RawData[Location],G4553,RawData[Transaction Date],H4553)</f>
        <v>1</v>
      </c>
      <c r="L4553"/>
    </row>
    <row r="4554" spans="1:12" x14ac:dyDescent="0.3">
      <c r="A4554" t="s">
        <v>4560</v>
      </c>
      <c r="B4554" t="s">
        <v>10012</v>
      </c>
      <c r="C4554">
        <v>3</v>
      </c>
      <c r="D4554">
        <v>4</v>
      </c>
      <c r="E4554">
        <v>12</v>
      </c>
      <c r="F4554" t="s">
        <v>10020</v>
      </c>
      <c r="G4554" t="s">
        <v>10021</v>
      </c>
      <c r="H4554" s="6">
        <v>45199</v>
      </c>
      <c r="I4554">
        <f t="shared" si="142"/>
        <v>0</v>
      </c>
      <c r="J4554" t="str">
        <f t="shared" si="143"/>
        <v>Complete</v>
      </c>
      <c r="K4554">
        <f>COUNTIFS(RawData[Item], B4554,RawData[Quantity],C4554,RawData[Price Per Unit],D4554,RawData[Total Spent],E4554,RawData[Payment Method],F4554,RawData[Location],G4554,RawData[Transaction Date],H4554)</f>
        <v>1</v>
      </c>
      <c r="L4554"/>
    </row>
    <row r="4555" spans="1:12" x14ac:dyDescent="0.3">
      <c r="A4555" t="s">
        <v>4561</v>
      </c>
      <c r="B4555" t="s">
        <v>10013</v>
      </c>
      <c r="C4555">
        <v>4</v>
      </c>
      <c r="D4555">
        <v>1</v>
      </c>
      <c r="E4555">
        <v>4</v>
      </c>
      <c r="F4555" t="s">
        <v>10103</v>
      </c>
      <c r="G4555" t="s">
        <v>10021</v>
      </c>
      <c r="H4555" s="6">
        <v>45094</v>
      </c>
      <c r="I4555">
        <f t="shared" si="142"/>
        <v>2</v>
      </c>
      <c r="J4555" t="str">
        <f t="shared" si="143"/>
        <v>Complete</v>
      </c>
      <c r="K4555">
        <f>COUNTIFS(RawData[Item], B4555,RawData[Quantity],C4555,RawData[Price Per Unit],D4555,RawData[Total Spent],E4555,RawData[Payment Method],F4555,RawData[Location],G4555,RawData[Transaction Date],H4555)</f>
        <v>1</v>
      </c>
      <c r="L4555"/>
    </row>
    <row r="4556" spans="1:12" x14ac:dyDescent="0.3">
      <c r="A4556" t="s">
        <v>4562</v>
      </c>
      <c r="B4556" t="s">
        <v>10012</v>
      </c>
      <c r="C4556">
        <v>2</v>
      </c>
      <c r="D4556">
        <v>4</v>
      </c>
      <c r="E4556">
        <v>8</v>
      </c>
      <c r="F4556" t="s">
        <v>10020</v>
      </c>
      <c r="G4556" t="s">
        <v>10069</v>
      </c>
      <c r="H4556" s="6">
        <v>45218</v>
      </c>
      <c r="I4556">
        <f t="shared" si="142"/>
        <v>0</v>
      </c>
      <c r="J4556" t="str">
        <f t="shared" si="143"/>
        <v>Complete</v>
      </c>
      <c r="K4556">
        <f>COUNTIFS(RawData[Item], B4556,RawData[Quantity],C4556,RawData[Price Per Unit],D4556,RawData[Total Spent],E4556,RawData[Payment Method],F4556,RawData[Location],G4556,RawData[Transaction Date],H4556)</f>
        <v>1</v>
      </c>
      <c r="L4556"/>
    </row>
    <row r="4557" spans="1:12" x14ac:dyDescent="0.3">
      <c r="A4557" t="s">
        <v>4563</v>
      </c>
      <c r="B4557" t="s">
        <v>10009</v>
      </c>
      <c r="C4557">
        <v>5</v>
      </c>
      <c r="D4557" t="s">
        <v>10015</v>
      </c>
      <c r="E4557">
        <v>15</v>
      </c>
      <c r="F4557" t="s">
        <v>10020</v>
      </c>
      <c r="G4557" t="s">
        <v>10102</v>
      </c>
      <c r="H4557" s="6">
        <v>45076</v>
      </c>
      <c r="I4557">
        <f t="shared" si="142"/>
        <v>1</v>
      </c>
      <c r="J4557" t="str">
        <f t="shared" si="143"/>
        <v>Complete</v>
      </c>
      <c r="K4557">
        <f>COUNTIFS(RawData[Item], B4557,RawData[Quantity],C4557,RawData[Price Per Unit],D4557,RawData[Total Spent],E4557,RawData[Payment Method],F4557,RawData[Location],G4557,RawData[Transaction Date],H4557)</f>
        <v>1</v>
      </c>
      <c r="L4557"/>
    </row>
    <row r="4558" spans="1:12" x14ac:dyDescent="0.3">
      <c r="A4558" t="s">
        <v>4564</v>
      </c>
      <c r="B4558" t="s">
        <v>10016</v>
      </c>
      <c r="C4558">
        <v>2</v>
      </c>
      <c r="D4558">
        <v>3</v>
      </c>
      <c r="E4558">
        <v>6</v>
      </c>
      <c r="F4558" t="s">
        <v>10018</v>
      </c>
      <c r="G4558" t="s">
        <v>10069</v>
      </c>
      <c r="H4558" s="6">
        <v>45111</v>
      </c>
      <c r="I4558">
        <f t="shared" si="142"/>
        <v>0</v>
      </c>
      <c r="J4558" t="str">
        <f t="shared" si="143"/>
        <v>Complete</v>
      </c>
      <c r="K4558">
        <f>COUNTIFS(RawData[Item], B4558,RawData[Quantity],C4558,RawData[Price Per Unit],D4558,RawData[Total Spent],E4558,RawData[Payment Method],F4558,RawData[Location],G4558,RawData[Transaction Date],H4558)</f>
        <v>1</v>
      </c>
      <c r="L4558"/>
    </row>
    <row r="4559" spans="1:12" x14ac:dyDescent="0.3">
      <c r="A4559" t="s">
        <v>4565</v>
      </c>
      <c r="B4559" t="s">
        <v>10016</v>
      </c>
      <c r="C4559">
        <v>5</v>
      </c>
      <c r="D4559">
        <v>3</v>
      </c>
      <c r="E4559">
        <v>15</v>
      </c>
      <c r="F4559" t="s">
        <v>10069</v>
      </c>
      <c r="G4559" t="s">
        <v>10102</v>
      </c>
      <c r="H4559" s="6">
        <v>45036</v>
      </c>
      <c r="I4559">
        <f t="shared" si="142"/>
        <v>0</v>
      </c>
      <c r="J4559" t="str">
        <f t="shared" si="143"/>
        <v>Complete</v>
      </c>
      <c r="K4559">
        <f>COUNTIFS(RawData[Item], B4559,RawData[Quantity],C4559,RawData[Price Per Unit],D4559,RawData[Total Spent],E4559,RawData[Payment Method],F4559,RawData[Location],G4559,RawData[Transaction Date],H4559)</f>
        <v>1</v>
      </c>
      <c r="L4559"/>
    </row>
    <row r="4560" spans="1:12" x14ac:dyDescent="0.3">
      <c r="A4560" t="s">
        <v>4566</v>
      </c>
      <c r="B4560" t="s">
        <v>10014</v>
      </c>
      <c r="C4560" t="s">
        <v>10013</v>
      </c>
      <c r="D4560">
        <v>4</v>
      </c>
      <c r="E4560">
        <v>20</v>
      </c>
      <c r="F4560" t="s">
        <v>10019</v>
      </c>
      <c r="G4560" t="s">
        <v>10102</v>
      </c>
      <c r="H4560" s="6">
        <v>45089</v>
      </c>
      <c r="I4560">
        <f t="shared" si="142"/>
        <v>1</v>
      </c>
      <c r="J4560" t="str">
        <f t="shared" si="143"/>
        <v>Complete</v>
      </c>
      <c r="K4560">
        <f>COUNTIFS(RawData[Item], B4560,RawData[Quantity],C4560,RawData[Price Per Unit],D4560,RawData[Total Spent],E4560,RawData[Payment Method],F4560,RawData[Location],G4560,RawData[Transaction Date],H4560)</f>
        <v>1</v>
      </c>
      <c r="L4560"/>
    </row>
    <row r="4561" spans="1:12" x14ac:dyDescent="0.3">
      <c r="A4561" t="s">
        <v>4567</v>
      </c>
      <c r="B4561" t="s">
        <v>10010</v>
      </c>
      <c r="C4561">
        <v>3</v>
      </c>
      <c r="D4561">
        <v>1</v>
      </c>
      <c r="E4561">
        <v>3</v>
      </c>
      <c r="F4561" t="s">
        <v>10020</v>
      </c>
      <c r="G4561" t="s">
        <v>10021</v>
      </c>
      <c r="H4561" s="6">
        <v>45176</v>
      </c>
      <c r="I4561">
        <f t="shared" si="142"/>
        <v>0</v>
      </c>
      <c r="J4561" t="str">
        <f t="shared" si="143"/>
        <v>Complete</v>
      </c>
      <c r="K4561">
        <f>COUNTIFS(RawData[Item], B4561,RawData[Quantity],C4561,RawData[Price Per Unit],D4561,RawData[Total Spent],E4561,RawData[Payment Method],F4561,RawData[Location],G4561,RawData[Transaction Date],H4561)</f>
        <v>1</v>
      </c>
      <c r="L4561"/>
    </row>
    <row r="4562" spans="1:12" x14ac:dyDescent="0.3">
      <c r="A4562" t="s">
        <v>4568</v>
      </c>
      <c r="B4562" t="s">
        <v>10017</v>
      </c>
      <c r="C4562">
        <v>2</v>
      </c>
      <c r="D4562">
        <v>1.5</v>
      </c>
      <c r="E4562">
        <v>3</v>
      </c>
      <c r="F4562" t="s">
        <v>10018</v>
      </c>
      <c r="G4562" t="s">
        <v>10021</v>
      </c>
      <c r="H4562" s="6">
        <v>44932</v>
      </c>
      <c r="I4562">
        <f t="shared" si="142"/>
        <v>0</v>
      </c>
      <c r="J4562" t="str">
        <f t="shared" si="143"/>
        <v>Complete</v>
      </c>
      <c r="K4562">
        <f>COUNTIFS(RawData[Item], B4562,RawData[Quantity],C4562,RawData[Price Per Unit],D4562,RawData[Total Spent],E4562,RawData[Payment Method],F4562,RawData[Location],G4562,RawData[Transaction Date],H4562)</f>
        <v>1</v>
      </c>
      <c r="L4562"/>
    </row>
    <row r="4563" spans="1:12" x14ac:dyDescent="0.3">
      <c r="A4563" t="s">
        <v>4569</v>
      </c>
      <c r="B4563" t="s">
        <v>10011</v>
      </c>
      <c r="C4563">
        <v>5</v>
      </c>
      <c r="D4563">
        <v>5</v>
      </c>
      <c r="E4563">
        <v>25</v>
      </c>
      <c r="F4563" t="s">
        <v>10018</v>
      </c>
      <c r="G4563" t="s">
        <v>10021</v>
      </c>
      <c r="H4563" s="6">
        <v>45130</v>
      </c>
      <c r="I4563">
        <f t="shared" si="142"/>
        <v>0</v>
      </c>
      <c r="J4563" t="str">
        <f t="shared" si="143"/>
        <v>Complete</v>
      </c>
      <c r="K4563">
        <f>COUNTIFS(RawData[Item], B4563,RawData[Quantity],C4563,RawData[Price Per Unit],D4563,RawData[Total Spent],E4563,RawData[Payment Method],F4563,RawData[Location],G4563,RawData[Transaction Date],H4563)</f>
        <v>1</v>
      </c>
      <c r="L4563"/>
    </row>
    <row r="4564" spans="1:12" x14ac:dyDescent="0.3">
      <c r="A4564" t="s">
        <v>4570</v>
      </c>
      <c r="B4564" t="s">
        <v>10014</v>
      </c>
      <c r="C4564">
        <v>5</v>
      </c>
      <c r="D4564">
        <v>4</v>
      </c>
      <c r="E4564">
        <v>20</v>
      </c>
      <c r="F4564" t="s">
        <v>10020</v>
      </c>
      <c r="G4564" t="s">
        <v>10021</v>
      </c>
      <c r="H4564" s="6">
        <v>45089</v>
      </c>
      <c r="I4564">
        <f t="shared" si="142"/>
        <v>0</v>
      </c>
      <c r="J4564" t="str">
        <f t="shared" si="143"/>
        <v>Complete</v>
      </c>
      <c r="K4564">
        <f>COUNTIFS(RawData[Item], B4564,RawData[Quantity],C4564,RawData[Price Per Unit],D4564,RawData[Total Spent],E4564,RawData[Payment Method],F4564,RawData[Location],G4564,RawData[Transaction Date],H4564)</f>
        <v>1</v>
      </c>
      <c r="L4564"/>
    </row>
    <row r="4565" spans="1:12" x14ac:dyDescent="0.3">
      <c r="A4565" t="s">
        <v>4571</v>
      </c>
      <c r="B4565" t="s">
        <v>10009</v>
      </c>
      <c r="C4565">
        <v>2</v>
      </c>
      <c r="D4565">
        <v>3</v>
      </c>
      <c r="E4565">
        <v>6</v>
      </c>
      <c r="F4565" t="s">
        <v>10069</v>
      </c>
      <c r="G4565" t="s">
        <v>10021</v>
      </c>
      <c r="H4565" s="6" t="s">
        <v>10112</v>
      </c>
      <c r="I4565">
        <f t="shared" si="142"/>
        <v>1</v>
      </c>
      <c r="J4565" t="str">
        <f t="shared" si="143"/>
        <v>Incomplete</v>
      </c>
      <c r="K4565">
        <f>COUNTIFS(RawData[Item], B4565,RawData[Quantity],C4565,RawData[Price Per Unit],D4565,RawData[Total Spent],E4565,RawData[Payment Method],F4565,RawData[Location],G4565,RawData[Transaction Date],H4565)</f>
        <v>2</v>
      </c>
      <c r="L4565"/>
    </row>
    <row r="4566" spans="1:12" x14ac:dyDescent="0.3">
      <c r="A4566" t="s">
        <v>4572</v>
      </c>
      <c r="B4566" t="s">
        <v>10009</v>
      </c>
      <c r="C4566">
        <v>5</v>
      </c>
      <c r="D4566">
        <v>3</v>
      </c>
      <c r="E4566">
        <v>15</v>
      </c>
      <c r="F4566" t="s">
        <v>10104</v>
      </c>
      <c r="G4566" t="s">
        <v>10102</v>
      </c>
      <c r="H4566" s="6">
        <v>44939</v>
      </c>
      <c r="I4566">
        <f t="shared" si="142"/>
        <v>1</v>
      </c>
      <c r="J4566" t="str">
        <f t="shared" si="143"/>
        <v>Complete</v>
      </c>
      <c r="K4566">
        <f>COUNTIFS(RawData[Item], B4566,RawData[Quantity],C4566,RawData[Price Per Unit],D4566,RawData[Total Spent],E4566,RawData[Payment Method],F4566,RawData[Location],G4566,RawData[Transaction Date],H4566)</f>
        <v>1</v>
      </c>
      <c r="L4566"/>
    </row>
    <row r="4567" spans="1:12" x14ac:dyDescent="0.3">
      <c r="A4567" t="s">
        <v>4573</v>
      </c>
      <c r="B4567" t="s">
        <v>10014</v>
      </c>
      <c r="C4567">
        <v>5</v>
      </c>
      <c r="D4567">
        <v>4</v>
      </c>
      <c r="E4567">
        <v>20</v>
      </c>
      <c r="F4567" t="s">
        <v>10069</v>
      </c>
      <c r="G4567" t="s">
        <v>10102</v>
      </c>
      <c r="H4567" s="6">
        <v>45149</v>
      </c>
      <c r="I4567">
        <f t="shared" si="142"/>
        <v>0</v>
      </c>
      <c r="J4567" t="str">
        <f t="shared" si="143"/>
        <v>Complete</v>
      </c>
      <c r="K4567">
        <f>COUNTIFS(RawData[Item], B4567,RawData[Quantity],C4567,RawData[Price Per Unit],D4567,RawData[Total Spent],E4567,RawData[Payment Method],F4567,RawData[Location],G4567,RawData[Transaction Date],H4567)</f>
        <v>1</v>
      </c>
      <c r="L4567"/>
    </row>
    <row r="4568" spans="1:12" x14ac:dyDescent="0.3">
      <c r="A4568" t="s">
        <v>4574</v>
      </c>
      <c r="B4568" t="s">
        <v>10015</v>
      </c>
      <c r="C4568">
        <v>2</v>
      </c>
      <c r="D4568">
        <v>3</v>
      </c>
      <c r="E4568">
        <v>6</v>
      </c>
      <c r="F4568" t="s">
        <v>10069</v>
      </c>
      <c r="G4568" t="s">
        <v>10069</v>
      </c>
      <c r="H4568" s="6">
        <v>45280</v>
      </c>
      <c r="I4568">
        <f t="shared" si="142"/>
        <v>1</v>
      </c>
      <c r="J4568" t="str">
        <f t="shared" si="143"/>
        <v>Complete</v>
      </c>
      <c r="K4568">
        <f>COUNTIFS(RawData[Item], B4568,RawData[Quantity],C4568,RawData[Price Per Unit],D4568,RawData[Total Spent],E4568,RawData[Payment Method],F4568,RawData[Location],G4568,RawData[Transaction Date],H4568)</f>
        <v>1</v>
      </c>
      <c r="L4568"/>
    </row>
    <row r="4569" spans="1:12" x14ac:dyDescent="0.3">
      <c r="A4569" t="s">
        <v>4575</v>
      </c>
      <c r="B4569" t="s">
        <v>10016</v>
      </c>
      <c r="C4569">
        <v>3</v>
      </c>
      <c r="D4569">
        <v>3</v>
      </c>
      <c r="E4569">
        <v>9</v>
      </c>
      <c r="F4569" t="s">
        <v>10104</v>
      </c>
      <c r="G4569" t="s">
        <v>10102</v>
      </c>
      <c r="H4569" s="6">
        <v>45226</v>
      </c>
      <c r="I4569">
        <f t="shared" si="142"/>
        <v>1</v>
      </c>
      <c r="J4569" t="str">
        <f t="shared" si="143"/>
        <v>Complete</v>
      </c>
      <c r="K4569">
        <f>COUNTIFS(RawData[Item], B4569,RawData[Quantity],C4569,RawData[Price Per Unit],D4569,RawData[Total Spent],E4569,RawData[Payment Method],F4569,RawData[Location],G4569,RawData[Transaction Date],H4569)</f>
        <v>1</v>
      </c>
      <c r="L4569"/>
    </row>
    <row r="4570" spans="1:12" x14ac:dyDescent="0.3">
      <c r="A4570" t="s">
        <v>4576</v>
      </c>
      <c r="B4570" t="s">
        <v>10069</v>
      </c>
      <c r="C4570">
        <v>4</v>
      </c>
      <c r="D4570">
        <v>1</v>
      </c>
      <c r="E4570">
        <v>4</v>
      </c>
      <c r="F4570" t="s">
        <v>10069</v>
      </c>
      <c r="G4570" t="s">
        <v>10102</v>
      </c>
      <c r="H4570" s="6">
        <v>45142</v>
      </c>
      <c r="I4570">
        <f t="shared" si="142"/>
        <v>0</v>
      </c>
      <c r="J4570" t="str">
        <f t="shared" si="143"/>
        <v>Complete</v>
      </c>
      <c r="K4570">
        <f>COUNTIFS(RawData[Item], B4570,RawData[Quantity],C4570,RawData[Price Per Unit],D4570,RawData[Total Spent],E4570,RawData[Payment Method],F4570,RawData[Location],G4570,RawData[Transaction Date],H4570)</f>
        <v>1</v>
      </c>
      <c r="L4570"/>
    </row>
    <row r="4571" spans="1:12" x14ac:dyDescent="0.3">
      <c r="A4571" t="s">
        <v>4577</v>
      </c>
      <c r="B4571" t="s">
        <v>10014</v>
      </c>
      <c r="C4571">
        <v>5</v>
      </c>
      <c r="D4571">
        <v>4</v>
      </c>
      <c r="E4571">
        <v>20</v>
      </c>
      <c r="F4571" t="s">
        <v>10020</v>
      </c>
      <c r="G4571" t="s">
        <v>10021</v>
      </c>
      <c r="H4571" s="6">
        <v>45167</v>
      </c>
      <c r="I4571">
        <f t="shared" si="142"/>
        <v>0</v>
      </c>
      <c r="J4571" t="str">
        <f t="shared" si="143"/>
        <v>Complete</v>
      </c>
      <c r="K4571">
        <f>COUNTIFS(RawData[Item], B4571,RawData[Quantity],C4571,RawData[Price Per Unit],D4571,RawData[Total Spent],E4571,RawData[Payment Method],F4571,RawData[Location],G4571,RawData[Transaction Date],H4571)</f>
        <v>1</v>
      </c>
      <c r="L4571"/>
    </row>
    <row r="4572" spans="1:12" x14ac:dyDescent="0.3">
      <c r="A4572" t="s">
        <v>4578</v>
      </c>
      <c r="B4572" t="s">
        <v>10016</v>
      </c>
      <c r="C4572">
        <v>5</v>
      </c>
      <c r="D4572">
        <v>3</v>
      </c>
      <c r="E4572">
        <v>15</v>
      </c>
      <c r="F4572" t="s">
        <v>10019</v>
      </c>
      <c r="G4572" t="s">
        <v>10102</v>
      </c>
      <c r="H4572" s="6">
        <v>45285</v>
      </c>
      <c r="I4572">
        <f t="shared" si="142"/>
        <v>0</v>
      </c>
      <c r="J4572" t="str">
        <f t="shared" si="143"/>
        <v>Complete</v>
      </c>
      <c r="K4572">
        <f>COUNTIFS(RawData[Item], B4572,RawData[Quantity],C4572,RawData[Price Per Unit],D4572,RawData[Total Spent],E4572,RawData[Payment Method],F4572,RawData[Location],G4572,RawData[Transaction Date],H4572)</f>
        <v>1</v>
      </c>
      <c r="L4572"/>
    </row>
    <row r="4573" spans="1:12" x14ac:dyDescent="0.3">
      <c r="A4573" t="s">
        <v>4579</v>
      </c>
      <c r="B4573" t="s">
        <v>10014</v>
      </c>
      <c r="C4573">
        <v>3</v>
      </c>
      <c r="D4573">
        <v>4</v>
      </c>
      <c r="E4573">
        <v>12</v>
      </c>
      <c r="F4573" t="s">
        <v>10019</v>
      </c>
      <c r="G4573" t="s">
        <v>10102</v>
      </c>
      <c r="H4573" s="6">
        <v>45054</v>
      </c>
      <c r="I4573">
        <f t="shared" si="142"/>
        <v>0</v>
      </c>
      <c r="J4573" t="str">
        <f t="shared" si="143"/>
        <v>Complete</v>
      </c>
      <c r="K4573">
        <f>COUNTIFS(RawData[Item], B4573,RawData[Quantity],C4573,RawData[Price Per Unit],D4573,RawData[Total Spent],E4573,RawData[Payment Method],F4573,RawData[Location],G4573,RawData[Transaction Date],H4573)</f>
        <v>1</v>
      </c>
      <c r="L4573"/>
    </row>
    <row r="4574" spans="1:12" x14ac:dyDescent="0.3">
      <c r="A4574" t="s">
        <v>4580</v>
      </c>
      <c r="B4574" t="s">
        <v>10013</v>
      </c>
      <c r="C4574">
        <v>3</v>
      </c>
      <c r="D4574">
        <v>2</v>
      </c>
      <c r="E4574">
        <v>6</v>
      </c>
      <c r="F4574" t="s">
        <v>10020</v>
      </c>
      <c r="G4574" t="s">
        <v>10021</v>
      </c>
      <c r="H4574" s="6">
        <v>45253</v>
      </c>
      <c r="I4574">
        <f t="shared" si="142"/>
        <v>1</v>
      </c>
      <c r="J4574" t="str">
        <f t="shared" si="143"/>
        <v>Complete</v>
      </c>
      <c r="K4574">
        <f>COUNTIFS(RawData[Item], B4574,RawData[Quantity],C4574,RawData[Price Per Unit],D4574,RawData[Total Spent],E4574,RawData[Payment Method],F4574,RawData[Location],G4574,RawData[Transaction Date],H4574)</f>
        <v>1</v>
      </c>
      <c r="L4574"/>
    </row>
    <row r="4575" spans="1:12" x14ac:dyDescent="0.3">
      <c r="A4575" t="s">
        <v>4581</v>
      </c>
      <c r="B4575" t="s">
        <v>10014</v>
      </c>
      <c r="C4575">
        <v>1</v>
      </c>
      <c r="D4575">
        <v>4</v>
      </c>
      <c r="E4575">
        <v>4</v>
      </c>
      <c r="F4575" t="s">
        <v>10103</v>
      </c>
      <c r="G4575" t="s">
        <v>10069</v>
      </c>
      <c r="H4575" s="6">
        <v>45196</v>
      </c>
      <c r="I4575">
        <f t="shared" si="142"/>
        <v>1</v>
      </c>
      <c r="J4575" t="str">
        <f t="shared" si="143"/>
        <v>Complete</v>
      </c>
      <c r="K4575">
        <f>COUNTIFS(RawData[Item], B4575,RawData[Quantity],C4575,RawData[Price Per Unit],D4575,RawData[Total Spent],E4575,RawData[Payment Method],F4575,RawData[Location],G4575,RawData[Transaction Date],H4575)</f>
        <v>1</v>
      </c>
      <c r="L4575"/>
    </row>
    <row r="4576" spans="1:12" x14ac:dyDescent="0.3">
      <c r="A4576" t="s">
        <v>4582</v>
      </c>
      <c r="B4576" t="s">
        <v>10010</v>
      </c>
      <c r="C4576">
        <v>3</v>
      </c>
      <c r="D4576">
        <v>1</v>
      </c>
      <c r="E4576">
        <v>3</v>
      </c>
      <c r="F4576" t="s">
        <v>10018</v>
      </c>
      <c r="G4576" t="s">
        <v>10103</v>
      </c>
      <c r="H4576" s="6">
        <v>45271</v>
      </c>
      <c r="I4576">
        <f t="shared" si="142"/>
        <v>1</v>
      </c>
      <c r="J4576" t="str">
        <f t="shared" si="143"/>
        <v>Complete</v>
      </c>
      <c r="K4576">
        <f>COUNTIFS(RawData[Item], B4576,RawData[Quantity],C4576,RawData[Price Per Unit],D4576,RawData[Total Spent],E4576,RawData[Payment Method],F4576,RawData[Location],G4576,RawData[Transaction Date],H4576)</f>
        <v>1</v>
      </c>
      <c r="L4576"/>
    </row>
    <row r="4577" spans="1:12" x14ac:dyDescent="0.3">
      <c r="A4577" t="s">
        <v>4583</v>
      </c>
      <c r="B4577" t="s">
        <v>10016</v>
      </c>
      <c r="C4577">
        <v>4</v>
      </c>
      <c r="D4577">
        <v>3</v>
      </c>
      <c r="E4577" t="s">
        <v>10013</v>
      </c>
      <c r="F4577" t="s">
        <v>10104</v>
      </c>
      <c r="G4577" t="s">
        <v>10102</v>
      </c>
      <c r="H4577" s="6">
        <v>45073</v>
      </c>
      <c r="I4577">
        <f t="shared" si="142"/>
        <v>2</v>
      </c>
      <c r="J4577" t="str">
        <f t="shared" si="143"/>
        <v>Complete</v>
      </c>
      <c r="K4577">
        <f>COUNTIFS(RawData[Item], B4577,RawData[Quantity],C4577,RawData[Price Per Unit],D4577,RawData[Total Spent],E4577,RawData[Payment Method],F4577,RawData[Location],G4577,RawData[Transaction Date],H4577)</f>
        <v>1</v>
      </c>
      <c r="L4577"/>
    </row>
    <row r="4578" spans="1:12" x14ac:dyDescent="0.3">
      <c r="A4578" t="s">
        <v>4584</v>
      </c>
      <c r="B4578" t="s">
        <v>10008</v>
      </c>
      <c r="C4578">
        <v>2</v>
      </c>
      <c r="D4578">
        <v>2</v>
      </c>
      <c r="E4578">
        <v>4</v>
      </c>
      <c r="F4578" t="s">
        <v>10069</v>
      </c>
      <c r="G4578" t="s">
        <v>10069</v>
      </c>
      <c r="H4578" s="6">
        <v>45217</v>
      </c>
      <c r="I4578">
        <f t="shared" si="142"/>
        <v>0</v>
      </c>
      <c r="J4578" t="str">
        <f t="shared" si="143"/>
        <v>Complete</v>
      </c>
      <c r="K4578">
        <f>COUNTIFS(RawData[Item], B4578,RawData[Quantity],C4578,RawData[Price Per Unit],D4578,RawData[Total Spent],E4578,RawData[Payment Method],F4578,RawData[Location],G4578,RawData[Transaction Date],H4578)</f>
        <v>1</v>
      </c>
      <c r="L4578"/>
    </row>
    <row r="4579" spans="1:12" x14ac:dyDescent="0.3">
      <c r="A4579" t="s">
        <v>4585</v>
      </c>
      <c r="B4579" t="s">
        <v>10009</v>
      </c>
      <c r="C4579">
        <v>5</v>
      </c>
      <c r="D4579">
        <v>3</v>
      </c>
      <c r="E4579">
        <v>15</v>
      </c>
      <c r="F4579" t="s">
        <v>10020</v>
      </c>
      <c r="G4579" t="s">
        <v>10069</v>
      </c>
      <c r="H4579" s="6">
        <v>45214</v>
      </c>
      <c r="I4579">
        <f t="shared" si="142"/>
        <v>0</v>
      </c>
      <c r="J4579" t="str">
        <f t="shared" si="143"/>
        <v>Complete</v>
      </c>
      <c r="K4579">
        <f>COUNTIFS(RawData[Item], B4579,RawData[Quantity],C4579,RawData[Price Per Unit],D4579,RawData[Total Spent],E4579,RawData[Payment Method],F4579,RawData[Location],G4579,RawData[Transaction Date],H4579)</f>
        <v>2</v>
      </c>
      <c r="L4579"/>
    </row>
    <row r="4580" spans="1:12" x14ac:dyDescent="0.3">
      <c r="A4580" t="s">
        <v>4586</v>
      </c>
      <c r="B4580" t="s">
        <v>10011</v>
      </c>
      <c r="C4580">
        <v>1</v>
      </c>
      <c r="D4580">
        <v>5</v>
      </c>
      <c r="E4580">
        <v>5</v>
      </c>
      <c r="F4580" t="s">
        <v>10069</v>
      </c>
      <c r="G4580" t="s">
        <v>10021</v>
      </c>
      <c r="H4580" s="6">
        <v>44994</v>
      </c>
      <c r="I4580">
        <f t="shared" si="142"/>
        <v>0</v>
      </c>
      <c r="J4580" t="str">
        <f t="shared" si="143"/>
        <v>Complete</v>
      </c>
      <c r="K4580">
        <f>COUNTIFS(RawData[Item], B4580,RawData[Quantity],C4580,RawData[Price Per Unit],D4580,RawData[Total Spent],E4580,RawData[Payment Method],F4580,RawData[Location],G4580,RawData[Transaction Date],H4580)</f>
        <v>1</v>
      </c>
      <c r="L4580"/>
    </row>
    <row r="4581" spans="1:12" x14ac:dyDescent="0.3">
      <c r="A4581" t="s">
        <v>4587</v>
      </c>
      <c r="B4581" t="s">
        <v>10010</v>
      </c>
      <c r="C4581">
        <v>4</v>
      </c>
      <c r="D4581">
        <v>1</v>
      </c>
      <c r="E4581" t="s">
        <v>10013</v>
      </c>
      <c r="F4581" t="s">
        <v>10069</v>
      </c>
      <c r="G4581" t="s">
        <v>10102</v>
      </c>
      <c r="H4581" s="6">
        <v>45278</v>
      </c>
      <c r="I4581">
        <f t="shared" si="142"/>
        <v>1</v>
      </c>
      <c r="J4581" t="str">
        <f t="shared" si="143"/>
        <v>Complete</v>
      </c>
      <c r="K4581">
        <f>COUNTIFS(RawData[Item], B4581,RawData[Quantity],C4581,RawData[Price Per Unit],D4581,RawData[Total Spent],E4581,RawData[Payment Method],F4581,RawData[Location],G4581,RawData[Transaction Date],H4581)</f>
        <v>1</v>
      </c>
      <c r="L4581"/>
    </row>
    <row r="4582" spans="1:12" x14ac:dyDescent="0.3">
      <c r="A4582" t="s">
        <v>4588</v>
      </c>
      <c r="B4582" t="s">
        <v>10012</v>
      </c>
      <c r="C4582">
        <v>1</v>
      </c>
      <c r="D4582">
        <v>4</v>
      </c>
      <c r="E4582">
        <v>4</v>
      </c>
      <c r="F4582" t="s">
        <v>10103</v>
      </c>
      <c r="G4582" t="s">
        <v>10102</v>
      </c>
      <c r="H4582" s="6">
        <v>45120</v>
      </c>
      <c r="I4582">
        <f t="shared" si="142"/>
        <v>1</v>
      </c>
      <c r="J4582" t="str">
        <f t="shared" si="143"/>
        <v>Complete</v>
      </c>
      <c r="K4582">
        <f>COUNTIFS(RawData[Item], B4582,RawData[Quantity],C4582,RawData[Price Per Unit],D4582,RawData[Total Spent],E4582,RawData[Payment Method],F4582,RawData[Location],G4582,RawData[Transaction Date],H4582)</f>
        <v>1</v>
      </c>
      <c r="L4582"/>
    </row>
    <row r="4583" spans="1:12" x14ac:dyDescent="0.3">
      <c r="A4583" t="s">
        <v>4589</v>
      </c>
      <c r="B4583" t="s">
        <v>10014</v>
      </c>
      <c r="C4583">
        <v>2</v>
      </c>
      <c r="D4583">
        <v>4</v>
      </c>
      <c r="E4583">
        <v>8</v>
      </c>
      <c r="F4583" t="s">
        <v>10018</v>
      </c>
      <c r="G4583" t="s">
        <v>10021</v>
      </c>
      <c r="H4583" s="6">
        <v>45166</v>
      </c>
      <c r="I4583">
        <f t="shared" si="142"/>
        <v>0</v>
      </c>
      <c r="J4583" t="str">
        <f t="shared" si="143"/>
        <v>Complete</v>
      </c>
      <c r="K4583">
        <f>COUNTIFS(RawData[Item], B4583,RawData[Quantity],C4583,RawData[Price Per Unit],D4583,RawData[Total Spent],E4583,RawData[Payment Method],F4583,RawData[Location],G4583,RawData[Transaction Date],H4583)</f>
        <v>1</v>
      </c>
      <c r="L4583"/>
    </row>
    <row r="4584" spans="1:12" x14ac:dyDescent="0.3">
      <c r="A4584" t="s">
        <v>4590</v>
      </c>
      <c r="B4584" t="s">
        <v>10011</v>
      </c>
      <c r="C4584">
        <v>2</v>
      </c>
      <c r="D4584">
        <v>5</v>
      </c>
      <c r="E4584">
        <v>10</v>
      </c>
      <c r="F4584" t="s">
        <v>10018</v>
      </c>
      <c r="G4584" t="s">
        <v>10021</v>
      </c>
      <c r="H4584" s="6">
        <v>44975</v>
      </c>
      <c r="I4584">
        <f t="shared" si="142"/>
        <v>0</v>
      </c>
      <c r="J4584" t="str">
        <f t="shared" si="143"/>
        <v>Complete</v>
      </c>
      <c r="K4584">
        <f>COUNTIFS(RawData[Item], B4584,RawData[Quantity],C4584,RawData[Price Per Unit],D4584,RawData[Total Spent],E4584,RawData[Payment Method],F4584,RawData[Location],G4584,RawData[Transaction Date],H4584)</f>
        <v>1</v>
      </c>
      <c r="L4584"/>
    </row>
    <row r="4585" spans="1:12" x14ac:dyDescent="0.3">
      <c r="A4585" t="s">
        <v>4591</v>
      </c>
      <c r="B4585" t="s">
        <v>10016</v>
      </c>
      <c r="C4585">
        <v>1</v>
      </c>
      <c r="D4585">
        <v>3</v>
      </c>
      <c r="E4585">
        <v>3</v>
      </c>
      <c r="F4585" t="s">
        <v>10069</v>
      </c>
      <c r="G4585" t="s">
        <v>10102</v>
      </c>
      <c r="H4585" s="6">
        <v>44955</v>
      </c>
      <c r="I4585">
        <f t="shared" si="142"/>
        <v>0</v>
      </c>
      <c r="J4585" t="str">
        <f t="shared" si="143"/>
        <v>Complete</v>
      </c>
      <c r="K4585">
        <f>COUNTIFS(RawData[Item], B4585,RawData[Quantity],C4585,RawData[Price Per Unit],D4585,RawData[Total Spent],E4585,RawData[Payment Method],F4585,RawData[Location],G4585,RawData[Transaction Date],H4585)</f>
        <v>1</v>
      </c>
      <c r="L4585"/>
    </row>
    <row r="4586" spans="1:12" x14ac:dyDescent="0.3">
      <c r="A4586" t="s">
        <v>4592</v>
      </c>
      <c r="B4586" t="s">
        <v>10012</v>
      </c>
      <c r="C4586">
        <v>2</v>
      </c>
      <c r="D4586">
        <v>4</v>
      </c>
      <c r="E4586" t="s">
        <v>10013</v>
      </c>
      <c r="F4586" t="s">
        <v>10019</v>
      </c>
      <c r="G4586" t="s">
        <v>10021</v>
      </c>
      <c r="H4586" s="6">
        <v>45248</v>
      </c>
      <c r="I4586">
        <f t="shared" si="142"/>
        <v>1</v>
      </c>
      <c r="J4586" t="str">
        <f t="shared" si="143"/>
        <v>Complete</v>
      </c>
      <c r="K4586">
        <f>COUNTIFS(RawData[Item], B4586,RawData[Quantity],C4586,RawData[Price Per Unit],D4586,RawData[Total Spent],E4586,RawData[Payment Method],F4586,RawData[Location],G4586,RawData[Transaction Date],H4586)</f>
        <v>1</v>
      </c>
      <c r="L4586"/>
    </row>
    <row r="4587" spans="1:12" x14ac:dyDescent="0.3">
      <c r="A4587" t="s">
        <v>4593</v>
      </c>
      <c r="B4587" t="s">
        <v>10017</v>
      </c>
      <c r="C4587">
        <v>3</v>
      </c>
      <c r="D4587">
        <v>1.5</v>
      </c>
      <c r="E4587">
        <v>4.5</v>
      </c>
      <c r="F4587" t="s">
        <v>10020</v>
      </c>
      <c r="G4587" t="s">
        <v>10102</v>
      </c>
      <c r="H4587" s="6">
        <v>45034</v>
      </c>
      <c r="I4587">
        <f t="shared" si="142"/>
        <v>0</v>
      </c>
      <c r="J4587" t="str">
        <f t="shared" si="143"/>
        <v>Complete</v>
      </c>
      <c r="K4587">
        <f>COUNTIFS(RawData[Item], B4587,RawData[Quantity],C4587,RawData[Price Per Unit],D4587,RawData[Total Spent],E4587,RawData[Payment Method],F4587,RawData[Location],G4587,RawData[Transaction Date],H4587)</f>
        <v>1</v>
      </c>
      <c r="L4587"/>
    </row>
    <row r="4588" spans="1:12" x14ac:dyDescent="0.3">
      <c r="A4588" t="s">
        <v>4594</v>
      </c>
      <c r="B4588" t="s">
        <v>10011</v>
      </c>
      <c r="C4588">
        <v>3</v>
      </c>
      <c r="D4588">
        <v>5</v>
      </c>
      <c r="E4588">
        <v>15</v>
      </c>
      <c r="F4588" t="s">
        <v>10020</v>
      </c>
      <c r="G4588" t="s">
        <v>10021</v>
      </c>
      <c r="H4588" s="6">
        <v>45187</v>
      </c>
      <c r="I4588">
        <f t="shared" si="142"/>
        <v>0</v>
      </c>
      <c r="J4588" t="str">
        <f t="shared" si="143"/>
        <v>Complete</v>
      </c>
      <c r="K4588">
        <f>COUNTIFS(RawData[Item], B4588,RawData[Quantity],C4588,RawData[Price Per Unit],D4588,RawData[Total Spent],E4588,RawData[Payment Method],F4588,RawData[Location],G4588,RawData[Transaction Date],H4588)</f>
        <v>1</v>
      </c>
      <c r="L4588"/>
    </row>
    <row r="4589" spans="1:12" x14ac:dyDescent="0.3">
      <c r="A4589" t="s">
        <v>4595</v>
      </c>
      <c r="B4589" t="s">
        <v>10009</v>
      </c>
      <c r="C4589">
        <v>2</v>
      </c>
      <c r="D4589">
        <v>3</v>
      </c>
      <c r="E4589">
        <v>6</v>
      </c>
      <c r="F4589" t="s">
        <v>10018</v>
      </c>
      <c r="G4589" t="s">
        <v>10069</v>
      </c>
      <c r="H4589" s="6">
        <v>45258</v>
      </c>
      <c r="I4589">
        <f t="shared" si="142"/>
        <v>0</v>
      </c>
      <c r="J4589" t="str">
        <f t="shared" si="143"/>
        <v>Complete</v>
      </c>
      <c r="K4589">
        <f>COUNTIFS(RawData[Item], B4589,RawData[Quantity],C4589,RawData[Price Per Unit],D4589,RawData[Total Spent],E4589,RawData[Payment Method],F4589,RawData[Location],G4589,RawData[Transaction Date],H4589)</f>
        <v>1</v>
      </c>
      <c r="L4589"/>
    </row>
    <row r="4590" spans="1:12" x14ac:dyDescent="0.3">
      <c r="A4590" t="s">
        <v>4596</v>
      </c>
      <c r="B4590" t="s">
        <v>10008</v>
      </c>
      <c r="C4590">
        <v>5</v>
      </c>
      <c r="D4590">
        <v>2</v>
      </c>
      <c r="E4590">
        <v>10</v>
      </c>
      <c r="F4590" t="s">
        <v>10019</v>
      </c>
      <c r="G4590" t="s">
        <v>10103</v>
      </c>
      <c r="H4590" s="6">
        <v>45203</v>
      </c>
      <c r="I4590">
        <f t="shared" si="142"/>
        <v>1</v>
      </c>
      <c r="J4590" t="str">
        <f t="shared" si="143"/>
        <v>Complete</v>
      </c>
      <c r="K4590">
        <f>COUNTIFS(RawData[Item], B4590,RawData[Quantity],C4590,RawData[Price Per Unit],D4590,RawData[Total Spent],E4590,RawData[Payment Method],F4590,RawData[Location],G4590,RawData[Transaction Date],H4590)</f>
        <v>1</v>
      </c>
      <c r="L4590"/>
    </row>
    <row r="4591" spans="1:12" x14ac:dyDescent="0.3">
      <c r="A4591" t="s">
        <v>4597</v>
      </c>
      <c r="B4591" t="s">
        <v>10014</v>
      </c>
      <c r="C4591">
        <v>3</v>
      </c>
      <c r="D4591">
        <v>4</v>
      </c>
      <c r="E4591">
        <v>12</v>
      </c>
      <c r="F4591" t="s">
        <v>10104</v>
      </c>
      <c r="G4591" t="s">
        <v>10104</v>
      </c>
      <c r="H4591" s="6">
        <v>45150</v>
      </c>
      <c r="I4591">
        <f t="shared" si="142"/>
        <v>2</v>
      </c>
      <c r="J4591" t="str">
        <f t="shared" si="143"/>
        <v>Complete</v>
      </c>
      <c r="K4591">
        <f>COUNTIFS(RawData[Item], B4591,RawData[Quantity],C4591,RawData[Price Per Unit],D4591,RawData[Total Spent],E4591,RawData[Payment Method],F4591,RawData[Location],G4591,RawData[Transaction Date],H4591)</f>
        <v>1</v>
      </c>
      <c r="L4591"/>
    </row>
    <row r="4592" spans="1:12" x14ac:dyDescent="0.3">
      <c r="A4592" t="s">
        <v>4598</v>
      </c>
      <c r="B4592" t="s">
        <v>10008</v>
      </c>
      <c r="C4592">
        <v>4</v>
      </c>
      <c r="D4592">
        <v>2</v>
      </c>
      <c r="E4592">
        <v>8</v>
      </c>
      <c r="F4592" t="s">
        <v>10104</v>
      </c>
      <c r="G4592" t="s">
        <v>10069</v>
      </c>
      <c r="H4592" s="6">
        <v>45015</v>
      </c>
      <c r="I4592">
        <f t="shared" si="142"/>
        <v>1</v>
      </c>
      <c r="J4592" t="str">
        <f t="shared" si="143"/>
        <v>Complete</v>
      </c>
      <c r="K4592">
        <f>COUNTIFS(RawData[Item], B4592,RawData[Quantity],C4592,RawData[Price Per Unit],D4592,RawData[Total Spent],E4592,RawData[Payment Method],F4592,RawData[Location],G4592,RawData[Transaction Date],H4592)</f>
        <v>1</v>
      </c>
      <c r="L4592"/>
    </row>
    <row r="4593" spans="1:12" x14ac:dyDescent="0.3">
      <c r="A4593" t="s">
        <v>4599</v>
      </c>
      <c r="B4593" t="s">
        <v>10009</v>
      </c>
      <c r="C4593">
        <v>5</v>
      </c>
      <c r="D4593">
        <v>3</v>
      </c>
      <c r="E4593">
        <v>15</v>
      </c>
      <c r="F4593" t="s">
        <v>10019</v>
      </c>
      <c r="G4593" t="s">
        <v>10021</v>
      </c>
      <c r="H4593" s="6">
        <v>44992</v>
      </c>
      <c r="I4593">
        <f t="shared" si="142"/>
        <v>0</v>
      </c>
      <c r="J4593" t="str">
        <f t="shared" si="143"/>
        <v>Complete</v>
      </c>
      <c r="K4593">
        <f>COUNTIFS(RawData[Item], B4593,RawData[Quantity],C4593,RawData[Price Per Unit],D4593,RawData[Total Spent],E4593,RawData[Payment Method],F4593,RawData[Location],G4593,RawData[Transaction Date],H4593)</f>
        <v>1</v>
      </c>
      <c r="L4593"/>
    </row>
    <row r="4594" spans="1:12" x14ac:dyDescent="0.3">
      <c r="A4594" t="s">
        <v>4600</v>
      </c>
      <c r="B4594" t="s">
        <v>10009</v>
      </c>
      <c r="C4594">
        <v>2</v>
      </c>
      <c r="D4594">
        <v>3</v>
      </c>
      <c r="E4594">
        <v>6</v>
      </c>
      <c r="F4594" t="s">
        <v>10104</v>
      </c>
      <c r="G4594" t="s">
        <v>10021</v>
      </c>
      <c r="H4594" s="6">
        <v>45018</v>
      </c>
      <c r="I4594">
        <f t="shared" si="142"/>
        <v>1</v>
      </c>
      <c r="J4594" t="str">
        <f t="shared" si="143"/>
        <v>Complete</v>
      </c>
      <c r="K4594">
        <f>COUNTIFS(RawData[Item], B4594,RawData[Quantity],C4594,RawData[Price Per Unit],D4594,RawData[Total Spent],E4594,RawData[Payment Method],F4594,RawData[Location],G4594,RawData[Transaction Date],H4594)</f>
        <v>1</v>
      </c>
      <c r="L4594"/>
    </row>
    <row r="4595" spans="1:12" x14ac:dyDescent="0.3">
      <c r="A4595" t="s">
        <v>4601</v>
      </c>
      <c r="B4595" t="s">
        <v>10010</v>
      </c>
      <c r="C4595">
        <v>5</v>
      </c>
      <c r="D4595">
        <v>1</v>
      </c>
      <c r="E4595">
        <v>5</v>
      </c>
      <c r="F4595" t="s">
        <v>10069</v>
      </c>
      <c r="G4595" t="s">
        <v>10021</v>
      </c>
      <c r="H4595" s="6">
        <v>45058</v>
      </c>
      <c r="I4595">
        <f t="shared" si="142"/>
        <v>0</v>
      </c>
      <c r="J4595" t="str">
        <f t="shared" si="143"/>
        <v>Complete</v>
      </c>
      <c r="K4595">
        <f>COUNTIFS(RawData[Item], B4595,RawData[Quantity],C4595,RawData[Price Per Unit],D4595,RawData[Total Spent],E4595,RawData[Payment Method],F4595,RawData[Location],G4595,RawData[Transaction Date],H4595)</f>
        <v>1</v>
      </c>
      <c r="L4595"/>
    </row>
    <row r="4596" spans="1:12" x14ac:dyDescent="0.3">
      <c r="A4596" t="s">
        <v>4602</v>
      </c>
      <c r="B4596" t="s">
        <v>10013</v>
      </c>
      <c r="C4596">
        <v>2</v>
      </c>
      <c r="D4596">
        <v>1</v>
      </c>
      <c r="E4596">
        <v>2</v>
      </c>
      <c r="F4596" t="s">
        <v>10018</v>
      </c>
      <c r="G4596" t="s">
        <v>10102</v>
      </c>
      <c r="H4596" s="6">
        <v>45063</v>
      </c>
      <c r="I4596">
        <f t="shared" si="142"/>
        <v>1</v>
      </c>
      <c r="J4596" t="str">
        <f t="shared" si="143"/>
        <v>Complete</v>
      </c>
      <c r="K4596">
        <f>COUNTIFS(RawData[Item], B4596,RawData[Quantity],C4596,RawData[Price Per Unit],D4596,RawData[Total Spent],E4596,RawData[Payment Method],F4596,RawData[Location],G4596,RawData[Transaction Date],H4596)</f>
        <v>1</v>
      </c>
      <c r="L4596"/>
    </row>
    <row r="4597" spans="1:12" x14ac:dyDescent="0.3">
      <c r="A4597" t="s">
        <v>4603</v>
      </c>
      <c r="B4597" t="s">
        <v>10011</v>
      </c>
      <c r="C4597">
        <v>2</v>
      </c>
      <c r="D4597">
        <v>5</v>
      </c>
      <c r="E4597">
        <v>10</v>
      </c>
      <c r="F4597" t="s">
        <v>10069</v>
      </c>
      <c r="G4597" t="s">
        <v>10102</v>
      </c>
      <c r="H4597" s="6">
        <v>45136</v>
      </c>
      <c r="I4597">
        <f t="shared" si="142"/>
        <v>0</v>
      </c>
      <c r="J4597" t="str">
        <f t="shared" si="143"/>
        <v>Complete</v>
      </c>
      <c r="K4597">
        <f>COUNTIFS(RawData[Item], B4597,RawData[Quantity],C4597,RawData[Price Per Unit],D4597,RawData[Total Spent],E4597,RawData[Payment Method],F4597,RawData[Location],G4597,RawData[Transaction Date],H4597)</f>
        <v>2</v>
      </c>
      <c r="L4597"/>
    </row>
    <row r="4598" spans="1:12" x14ac:dyDescent="0.3">
      <c r="A4598" t="s">
        <v>4604</v>
      </c>
      <c r="B4598" t="s">
        <v>10013</v>
      </c>
      <c r="C4598">
        <v>1</v>
      </c>
      <c r="D4598">
        <v>3</v>
      </c>
      <c r="E4598">
        <v>3</v>
      </c>
      <c r="F4598" t="s">
        <v>10069</v>
      </c>
      <c r="G4598" t="s">
        <v>10069</v>
      </c>
      <c r="H4598" s="6">
        <v>45150</v>
      </c>
      <c r="I4598">
        <f t="shared" si="142"/>
        <v>1</v>
      </c>
      <c r="J4598" t="str">
        <f t="shared" si="143"/>
        <v>Complete</v>
      </c>
      <c r="K4598">
        <f>COUNTIFS(RawData[Item], B4598,RawData[Quantity],C4598,RawData[Price Per Unit],D4598,RawData[Total Spent],E4598,RawData[Payment Method],F4598,RawData[Location],G4598,RawData[Transaction Date],H4598)</f>
        <v>1</v>
      </c>
      <c r="L4598"/>
    </row>
    <row r="4599" spans="1:12" x14ac:dyDescent="0.3">
      <c r="A4599" t="s">
        <v>4605</v>
      </c>
      <c r="B4599" t="s">
        <v>10012</v>
      </c>
      <c r="C4599">
        <v>2</v>
      </c>
      <c r="D4599">
        <v>4</v>
      </c>
      <c r="E4599">
        <v>8</v>
      </c>
      <c r="F4599" t="s">
        <v>10018</v>
      </c>
      <c r="G4599" t="s">
        <v>10102</v>
      </c>
      <c r="H4599" s="6">
        <v>45075</v>
      </c>
      <c r="I4599">
        <f t="shared" si="142"/>
        <v>0</v>
      </c>
      <c r="J4599" t="str">
        <f t="shared" si="143"/>
        <v>Complete</v>
      </c>
      <c r="K4599">
        <f>COUNTIFS(RawData[Item], B4599,RawData[Quantity],C4599,RawData[Price Per Unit],D4599,RawData[Total Spent],E4599,RawData[Payment Method],F4599,RawData[Location],G4599,RawData[Transaction Date],H4599)</f>
        <v>1</v>
      </c>
      <c r="L4599"/>
    </row>
    <row r="4600" spans="1:12" x14ac:dyDescent="0.3">
      <c r="A4600" t="s">
        <v>4606</v>
      </c>
      <c r="B4600" t="s">
        <v>10017</v>
      </c>
      <c r="C4600">
        <v>4</v>
      </c>
      <c r="D4600">
        <v>1.5</v>
      </c>
      <c r="E4600">
        <v>6</v>
      </c>
      <c r="F4600" t="s">
        <v>10069</v>
      </c>
      <c r="G4600" t="s">
        <v>10102</v>
      </c>
      <c r="H4600" s="6">
        <v>45043</v>
      </c>
      <c r="I4600">
        <f t="shared" si="142"/>
        <v>0</v>
      </c>
      <c r="J4600" t="str">
        <f t="shared" si="143"/>
        <v>Complete</v>
      </c>
      <c r="K4600">
        <f>COUNTIFS(RawData[Item], B4600,RawData[Quantity],C4600,RawData[Price Per Unit],D4600,RawData[Total Spent],E4600,RawData[Payment Method],F4600,RawData[Location],G4600,RawData[Transaction Date],H4600)</f>
        <v>1</v>
      </c>
      <c r="L4600"/>
    </row>
    <row r="4601" spans="1:12" x14ac:dyDescent="0.3">
      <c r="A4601" t="s">
        <v>4607</v>
      </c>
      <c r="B4601" t="s">
        <v>10012</v>
      </c>
      <c r="C4601">
        <v>2</v>
      </c>
      <c r="D4601">
        <v>4</v>
      </c>
      <c r="E4601">
        <v>8</v>
      </c>
      <c r="F4601" t="s">
        <v>10069</v>
      </c>
      <c r="G4601" t="s">
        <v>10102</v>
      </c>
      <c r="H4601" s="6">
        <v>45121</v>
      </c>
      <c r="I4601">
        <f t="shared" si="142"/>
        <v>0</v>
      </c>
      <c r="J4601" t="str">
        <f t="shared" si="143"/>
        <v>Complete</v>
      </c>
      <c r="K4601">
        <f>COUNTIFS(RawData[Item], B4601,RawData[Quantity],C4601,RawData[Price Per Unit],D4601,RawData[Total Spent],E4601,RawData[Payment Method],F4601,RawData[Location],G4601,RawData[Transaction Date],H4601)</f>
        <v>1</v>
      </c>
      <c r="L4601"/>
    </row>
    <row r="4602" spans="1:12" x14ac:dyDescent="0.3">
      <c r="A4602" t="s">
        <v>4608</v>
      </c>
      <c r="B4602" t="s">
        <v>10016</v>
      </c>
      <c r="C4602" t="s">
        <v>10013</v>
      </c>
      <c r="D4602">
        <v>3</v>
      </c>
      <c r="E4602">
        <v>6</v>
      </c>
      <c r="F4602" t="s">
        <v>10018</v>
      </c>
      <c r="G4602" t="s">
        <v>10021</v>
      </c>
      <c r="H4602" s="6">
        <v>45210</v>
      </c>
      <c r="I4602">
        <f t="shared" si="142"/>
        <v>1</v>
      </c>
      <c r="J4602" t="str">
        <f t="shared" si="143"/>
        <v>Complete</v>
      </c>
      <c r="K4602">
        <f>COUNTIFS(RawData[Item], B4602,RawData[Quantity],C4602,RawData[Price Per Unit],D4602,RawData[Total Spent],E4602,RawData[Payment Method],F4602,RawData[Location],G4602,RawData[Transaction Date],H4602)</f>
        <v>1</v>
      </c>
      <c r="L4602"/>
    </row>
    <row r="4603" spans="1:12" x14ac:dyDescent="0.3">
      <c r="A4603" t="s">
        <v>4609</v>
      </c>
      <c r="B4603" t="s">
        <v>10008</v>
      </c>
      <c r="C4603">
        <v>5</v>
      </c>
      <c r="D4603">
        <v>2</v>
      </c>
      <c r="E4603">
        <v>10</v>
      </c>
      <c r="F4603" t="s">
        <v>10103</v>
      </c>
      <c r="G4603" t="s">
        <v>10069</v>
      </c>
      <c r="H4603" s="6">
        <v>45010</v>
      </c>
      <c r="I4603">
        <f t="shared" si="142"/>
        <v>1</v>
      </c>
      <c r="J4603" t="str">
        <f t="shared" si="143"/>
        <v>Complete</v>
      </c>
      <c r="K4603">
        <f>COUNTIFS(RawData[Item], B4603,RawData[Quantity],C4603,RawData[Price Per Unit],D4603,RawData[Total Spent],E4603,RawData[Payment Method],F4603,RawData[Location],G4603,RawData[Transaction Date],H4603)</f>
        <v>1</v>
      </c>
      <c r="L4603"/>
    </row>
    <row r="4604" spans="1:12" x14ac:dyDescent="0.3">
      <c r="A4604" t="s">
        <v>4610</v>
      </c>
      <c r="B4604" t="s">
        <v>10010</v>
      </c>
      <c r="C4604">
        <v>5</v>
      </c>
      <c r="D4604">
        <v>1</v>
      </c>
      <c r="E4604">
        <v>5</v>
      </c>
      <c r="F4604" t="s">
        <v>10018</v>
      </c>
      <c r="G4604" t="s">
        <v>10102</v>
      </c>
      <c r="H4604" s="6">
        <v>45271</v>
      </c>
      <c r="I4604">
        <f t="shared" si="142"/>
        <v>0</v>
      </c>
      <c r="J4604" t="str">
        <f t="shared" si="143"/>
        <v>Complete</v>
      </c>
      <c r="K4604">
        <f>COUNTIFS(RawData[Item], B4604,RawData[Quantity],C4604,RawData[Price Per Unit],D4604,RawData[Total Spent],E4604,RawData[Payment Method],F4604,RawData[Location],G4604,RawData[Transaction Date],H4604)</f>
        <v>1</v>
      </c>
      <c r="L4604"/>
    </row>
    <row r="4605" spans="1:12" x14ac:dyDescent="0.3">
      <c r="A4605" t="s">
        <v>4611</v>
      </c>
      <c r="B4605" t="s">
        <v>10009</v>
      </c>
      <c r="C4605">
        <v>5</v>
      </c>
      <c r="D4605">
        <v>3</v>
      </c>
      <c r="E4605">
        <v>15</v>
      </c>
      <c r="F4605" t="s">
        <v>10020</v>
      </c>
      <c r="G4605" t="s">
        <v>10069</v>
      </c>
      <c r="H4605" s="6">
        <v>44991</v>
      </c>
      <c r="I4605">
        <f t="shared" si="142"/>
        <v>0</v>
      </c>
      <c r="J4605" t="str">
        <f t="shared" si="143"/>
        <v>Complete</v>
      </c>
      <c r="K4605">
        <f>COUNTIFS(RawData[Item], B4605,RawData[Quantity],C4605,RawData[Price Per Unit],D4605,RawData[Total Spent],E4605,RawData[Payment Method],F4605,RawData[Location],G4605,RawData[Transaction Date],H4605)</f>
        <v>1</v>
      </c>
      <c r="L4605"/>
    </row>
    <row r="4606" spans="1:12" x14ac:dyDescent="0.3">
      <c r="A4606" t="s">
        <v>4612</v>
      </c>
      <c r="B4606" t="s">
        <v>10008</v>
      </c>
      <c r="C4606">
        <v>1</v>
      </c>
      <c r="D4606">
        <v>2</v>
      </c>
      <c r="E4606">
        <v>2</v>
      </c>
      <c r="F4606" t="s">
        <v>10020</v>
      </c>
      <c r="G4606" t="s">
        <v>10021</v>
      </c>
      <c r="H4606" s="6">
        <v>45228</v>
      </c>
      <c r="I4606">
        <f t="shared" si="142"/>
        <v>0</v>
      </c>
      <c r="J4606" t="str">
        <f t="shared" si="143"/>
        <v>Complete</v>
      </c>
      <c r="K4606">
        <f>COUNTIFS(RawData[Item], B4606,RawData[Quantity],C4606,RawData[Price Per Unit],D4606,RawData[Total Spent],E4606,RawData[Payment Method],F4606,RawData[Location],G4606,RawData[Transaction Date],H4606)</f>
        <v>1</v>
      </c>
      <c r="L4606"/>
    </row>
    <row r="4607" spans="1:12" x14ac:dyDescent="0.3">
      <c r="A4607" t="s">
        <v>4613</v>
      </c>
      <c r="B4607" t="s">
        <v>10009</v>
      </c>
      <c r="C4607">
        <v>1</v>
      </c>
      <c r="D4607">
        <v>3</v>
      </c>
      <c r="E4607">
        <v>3</v>
      </c>
      <c r="F4607" t="s">
        <v>10019</v>
      </c>
      <c r="G4607" t="s">
        <v>10069</v>
      </c>
      <c r="H4607" s="6">
        <v>45002</v>
      </c>
      <c r="I4607">
        <f t="shared" si="142"/>
        <v>0</v>
      </c>
      <c r="J4607" t="str">
        <f t="shared" si="143"/>
        <v>Complete</v>
      </c>
      <c r="K4607">
        <f>COUNTIFS(RawData[Item], B4607,RawData[Quantity],C4607,RawData[Price Per Unit],D4607,RawData[Total Spent],E4607,RawData[Payment Method],F4607,RawData[Location],G4607,RawData[Transaction Date],H4607)</f>
        <v>1</v>
      </c>
      <c r="L4607"/>
    </row>
    <row r="4608" spans="1:12" x14ac:dyDescent="0.3">
      <c r="A4608" t="s">
        <v>4614</v>
      </c>
      <c r="B4608" t="s">
        <v>10008</v>
      </c>
      <c r="C4608">
        <v>4</v>
      </c>
      <c r="D4608">
        <v>2</v>
      </c>
      <c r="E4608">
        <v>8</v>
      </c>
      <c r="F4608" t="s">
        <v>10019</v>
      </c>
      <c r="G4608" t="s">
        <v>10069</v>
      </c>
      <c r="H4608" s="6">
        <v>45219</v>
      </c>
      <c r="I4608">
        <f t="shared" si="142"/>
        <v>0</v>
      </c>
      <c r="J4608" t="str">
        <f t="shared" si="143"/>
        <v>Complete</v>
      </c>
      <c r="K4608">
        <f>COUNTIFS(RawData[Item], B4608,RawData[Quantity],C4608,RawData[Price Per Unit],D4608,RawData[Total Spent],E4608,RawData[Payment Method],F4608,RawData[Location],G4608,RawData[Transaction Date],H4608)</f>
        <v>1</v>
      </c>
      <c r="L4608"/>
    </row>
    <row r="4609" spans="1:12" x14ac:dyDescent="0.3">
      <c r="A4609" t="s">
        <v>4615</v>
      </c>
      <c r="B4609" t="s">
        <v>10009</v>
      </c>
      <c r="C4609">
        <v>2</v>
      </c>
      <c r="D4609">
        <v>3</v>
      </c>
      <c r="E4609">
        <v>6</v>
      </c>
      <c r="F4609" t="s">
        <v>10020</v>
      </c>
      <c r="G4609" t="s">
        <v>10069</v>
      </c>
      <c r="H4609" s="6">
        <v>45093</v>
      </c>
      <c r="I4609">
        <f t="shared" si="142"/>
        <v>0</v>
      </c>
      <c r="J4609" t="str">
        <f t="shared" si="143"/>
        <v>Complete</v>
      </c>
      <c r="K4609">
        <f>COUNTIFS(RawData[Item], B4609,RawData[Quantity],C4609,RawData[Price Per Unit],D4609,RawData[Total Spent],E4609,RawData[Payment Method],F4609,RawData[Location],G4609,RawData[Transaction Date],H4609)</f>
        <v>1</v>
      </c>
      <c r="L4609"/>
    </row>
    <row r="4610" spans="1:12" x14ac:dyDescent="0.3">
      <c r="A4610" t="s">
        <v>4616</v>
      </c>
      <c r="B4610" t="s">
        <v>10012</v>
      </c>
      <c r="C4610">
        <v>3</v>
      </c>
      <c r="D4610">
        <v>4</v>
      </c>
      <c r="E4610">
        <v>12</v>
      </c>
      <c r="F4610" t="s">
        <v>10020</v>
      </c>
      <c r="G4610" t="s">
        <v>10021</v>
      </c>
      <c r="H4610" s="6">
        <v>45023</v>
      </c>
      <c r="I4610">
        <f t="shared" ref="I4610:I4673" si="144">(B4610="Unknown")+(B4610="Error")+(C4610="Unknown")+(C4610="Error")+(D4610="Unknown")+(D4610="Error")+(E4610="Unknown")+(E4610="Error")+(F4610="Unknown")+(F4610="Error")+(G4610="Unknown")+(G4610="Error")+(H4610="No Date")</f>
        <v>0</v>
      </c>
      <c r="J4610" t="str">
        <f t="shared" ref="J4610:J4673" si="145">IF((H4610="No Date"),"Incomplete","Complete")</f>
        <v>Complete</v>
      </c>
      <c r="K4610">
        <f>COUNTIFS(RawData[Item], B4610,RawData[Quantity],C4610,RawData[Price Per Unit],D4610,RawData[Total Spent],E4610,RawData[Payment Method],F4610,RawData[Location],G4610,RawData[Transaction Date],H4610)</f>
        <v>1</v>
      </c>
      <c r="L4610"/>
    </row>
    <row r="4611" spans="1:12" x14ac:dyDescent="0.3">
      <c r="A4611" t="s">
        <v>4617</v>
      </c>
      <c r="B4611" t="s">
        <v>10015</v>
      </c>
      <c r="C4611">
        <v>1</v>
      </c>
      <c r="D4611">
        <v>1</v>
      </c>
      <c r="E4611">
        <v>0</v>
      </c>
      <c r="F4611" t="s">
        <v>10069</v>
      </c>
      <c r="G4611" t="s">
        <v>10021</v>
      </c>
      <c r="H4611" s="6">
        <v>45054</v>
      </c>
      <c r="I4611">
        <f t="shared" si="144"/>
        <v>1</v>
      </c>
      <c r="J4611" t="str">
        <f t="shared" si="145"/>
        <v>Complete</v>
      </c>
      <c r="K4611">
        <f>COUNTIFS(RawData[Item], B4611,RawData[Quantity],C4611,RawData[Price Per Unit],D4611,RawData[Total Spent],E4611,RawData[Payment Method],F4611,RawData[Location],G4611,RawData[Transaction Date],H4611)</f>
        <v>1</v>
      </c>
      <c r="L4611"/>
    </row>
    <row r="4612" spans="1:12" x14ac:dyDescent="0.3">
      <c r="A4612" t="s">
        <v>4618</v>
      </c>
      <c r="B4612" t="s">
        <v>10016</v>
      </c>
      <c r="C4612">
        <v>4</v>
      </c>
      <c r="D4612">
        <v>3</v>
      </c>
      <c r="E4612">
        <v>12</v>
      </c>
      <c r="F4612" t="s">
        <v>10103</v>
      </c>
      <c r="G4612" t="s">
        <v>10069</v>
      </c>
      <c r="H4612" s="6">
        <v>44948</v>
      </c>
      <c r="I4612">
        <f t="shared" si="144"/>
        <v>1</v>
      </c>
      <c r="J4612" t="str">
        <f t="shared" si="145"/>
        <v>Complete</v>
      </c>
      <c r="K4612">
        <f>COUNTIFS(RawData[Item], B4612,RawData[Quantity],C4612,RawData[Price Per Unit],D4612,RawData[Total Spent],E4612,RawData[Payment Method],F4612,RawData[Location],G4612,RawData[Transaction Date],H4612)</f>
        <v>1</v>
      </c>
      <c r="L4612"/>
    </row>
    <row r="4613" spans="1:12" x14ac:dyDescent="0.3">
      <c r="A4613" t="s">
        <v>4619</v>
      </c>
      <c r="B4613" t="s">
        <v>10014</v>
      </c>
      <c r="C4613">
        <v>4</v>
      </c>
      <c r="D4613">
        <v>4</v>
      </c>
      <c r="E4613">
        <v>16</v>
      </c>
      <c r="F4613" t="s">
        <v>10069</v>
      </c>
      <c r="G4613" t="s">
        <v>10102</v>
      </c>
      <c r="H4613" s="6">
        <v>45238</v>
      </c>
      <c r="I4613">
        <f t="shared" si="144"/>
        <v>0</v>
      </c>
      <c r="J4613" t="str">
        <f t="shared" si="145"/>
        <v>Complete</v>
      </c>
      <c r="K4613">
        <f>COUNTIFS(RawData[Item], B4613,RawData[Quantity],C4613,RawData[Price Per Unit],D4613,RawData[Total Spent],E4613,RawData[Payment Method],F4613,RawData[Location],G4613,RawData[Transaction Date],H4613)</f>
        <v>1</v>
      </c>
      <c r="L4613"/>
    </row>
    <row r="4614" spans="1:12" x14ac:dyDescent="0.3">
      <c r="A4614" t="s">
        <v>4620</v>
      </c>
      <c r="B4614" t="s">
        <v>10008</v>
      </c>
      <c r="C4614">
        <v>1</v>
      </c>
      <c r="D4614">
        <v>2</v>
      </c>
      <c r="E4614">
        <v>2</v>
      </c>
      <c r="F4614" t="s">
        <v>10018</v>
      </c>
      <c r="G4614" t="s">
        <v>10069</v>
      </c>
      <c r="H4614" s="6">
        <v>45284</v>
      </c>
      <c r="I4614">
        <f t="shared" si="144"/>
        <v>0</v>
      </c>
      <c r="J4614" t="str">
        <f t="shared" si="145"/>
        <v>Complete</v>
      </c>
      <c r="K4614">
        <f>COUNTIFS(RawData[Item], B4614,RawData[Quantity],C4614,RawData[Price Per Unit],D4614,RawData[Total Spent],E4614,RawData[Payment Method],F4614,RawData[Location],G4614,RawData[Transaction Date],H4614)</f>
        <v>1</v>
      </c>
      <c r="L4614"/>
    </row>
    <row r="4615" spans="1:12" x14ac:dyDescent="0.3">
      <c r="A4615" t="s">
        <v>4621</v>
      </c>
      <c r="B4615" t="s">
        <v>10016</v>
      </c>
      <c r="C4615">
        <v>5</v>
      </c>
      <c r="D4615">
        <v>3</v>
      </c>
      <c r="E4615">
        <v>15</v>
      </c>
      <c r="F4615" t="s">
        <v>10018</v>
      </c>
      <c r="G4615" t="s">
        <v>10021</v>
      </c>
      <c r="H4615" s="6">
        <v>45210</v>
      </c>
      <c r="I4615">
        <f t="shared" si="144"/>
        <v>0</v>
      </c>
      <c r="J4615" t="str">
        <f t="shared" si="145"/>
        <v>Complete</v>
      </c>
      <c r="K4615">
        <f>COUNTIFS(RawData[Item], B4615,RawData[Quantity],C4615,RawData[Price Per Unit],D4615,RawData[Total Spent],E4615,RawData[Payment Method],F4615,RawData[Location],G4615,RawData[Transaction Date],H4615)</f>
        <v>1</v>
      </c>
      <c r="L4615"/>
    </row>
    <row r="4616" spans="1:12" x14ac:dyDescent="0.3">
      <c r="A4616" t="s">
        <v>4622</v>
      </c>
      <c r="B4616" t="s">
        <v>10013</v>
      </c>
      <c r="C4616">
        <v>2</v>
      </c>
      <c r="D4616">
        <v>2</v>
      </c>
      <c r="E4616">
        <v>4</v>
      </c>
      <c r="F4616" t="s">
        <v>10019</v>
      </c>
      <c r="G4616" t="s">
        <v>10021</v>
      </c>
      <c r="H4616" s="6">
        <v>45146</v>
      </c>
      <c r="I4616">
        <f t="shared" si="144"/>
        <v>1</v>
      </c>
      <c r="J4616" t="str">
        <f t="shared" si="145"/>
        <v>Complete</v>
      </c>
      <c r="K4616">
        <f>COUNTIFS(RawData[Item], B4616,RawData[Quantity],C4616,RawData[Price Per Unit],D4616,RawData[Total Spent],E4616,RawData[Payment Method],F4616,RawData[Location],G4616,RawData[Transaction Date],H4616)</f>
        <v>1</v>
      </c>
      <c r="L4616"/>
    </row>
    <row r="4617" spans="1:12" x14ac:dyDescent="0.3">
      <c r="A4617" t="s">
        <v>4623</v>
      </c>
      <c r="B4617" t="s">
        <v>10014</v>
      </c>
      <c r="C4617">
        <v>5</v>
      </c>
      <c r="D4617">
        <v>4</v>
      </c>
      <c r="E4617">
        <v>20</v>
      </c>
      <c r="F4617" t="s">
        <v>10019</v>
      </c>
      <c r="G4617" t="s">
        <v>10021</v>
      </c>
      <c r="H4617" s="6">
        <v>45027</v>
      </c>
      <c r="I4617">
        <f t="shared" si="144"/>
        <v>0</v>
      </c>
      <c r="J4617" t="str">
        <f t="shared" si="145"/>
        <v>Complete</v>
      </c>
      <c r="K4617">
        <f>COUNTIFS(RawData[Item], B4617,RawData[Quantity],C4617,RawData[Price Per Unit],D4617,RawData[Total Spent],E4617,RawData[Payment Method],F4617,RawData[Location],G4617,RawData[Transaction Date],H4617)</f>
        <v>1</v>
      </c>
      <c r="L4617"/>
    </row>
    <row r="4618" spans="1:12" x14ac:dyDescent="0.3">
      <c r="A4618" t="s">
        <v>4624</v>
      </c>
      <c r="B4618" t="s">
        <v>10008</v>
      </c>
      <c r="C4618">
        <v>2</v>
      </c>
      <c r="D4618">
        <v>2</v>
      </c>
      <c r="E4618">
        <v>4</v>
      </c>
      <c r="F4618" t="s">
        <v>10069</v>
      </c>
      <c r="G4618" t="s">
        <v>10021</v>
      </c>
      <c r="H4618" s="6">
        <v>44988</v>
      </c>
      <c r="I4618">
        <f t="shared" si="144"/>
        <v>0</v>
      </c>
      <c r="J4618" t="str">
        <f t="shared" si="145"/>
        <v>Complete</v>
      </c>
      <c r="K4618">
        <f>COUNTIFS(RawData[Item], B4618,RawData[Quantity],C4618,RawData[Price Per Unit],D4618,RawData[Total Spent],E4618,RawData[Payment Method],F4618,RawData[Location],G4618,RawData[Transaction Date],H4618)</f>
        <v>1</v>
      </c>
      <c r="L4618"/>
    </row>
    <row r="4619" spans="1:12" x14ac:dyDescent="0.3">
      <c r="A4619" t="s">
        <v>4625</v>
      </c>
      <c r="B4619" t="s">
        <v>10014</v>
      </c>
      <c r="C4619">
        <v>2</v>
      </c>
      <c r="D4619">
        <v>4</v>
      </c>
      <c r="E4619">
        <v>8</v>
      </c>
      <c r="F4619" t="s">
        <v>10069</v>
      </c>
      <c r="G4619" t="s">
        <v>10102</v>
      </c>
      <c r="H4619" s="6">
        <v>45020</v>
      </c>
      <c r="I4619">
        <f t="shared" si="144"/>
        <v>0</v>
      </c>
      <c r="J4619" t="str">
        <f t="shared" si="145"/>
        <v>Complete</v>
      </c>
      <c r="K4619">
        <f>COUNTIFS(RawData[Item], B4619,RawData[Quantity],C4619,RawData[Price Per Unit],D4619,RawData[Total Spent],E4619,RawData[Payment Method],F4619,RawData[Location],G4619,RawData[Transaction Date],H4619)</f>
        <v>1</v>
      </c>
      <c r="L4619"/>
    </row>
    <row r="4620" spans="1:12" x14ac:dyDescent="0.3">
      <c r="A4620" t="s">
        <v>4626</v>
      </c>
      <c r="B4620" t="s">
        <v>10014</v>
      </c>
      <c r="C4620">
        <v>5</v>
      </c>
      <c r="D4620">
        <v>4</v>
      </c>
      <c r="E4620">
        <v>20</v>
      </c>
      <c r="F4620" t="s">
        <v>10019</v>
      </c>
      <c r="G4620" t="s">
        <v>10021</v>
      </c>
      <c r="H4620" s="6">
        <v>45135</v>
      </c>
      <c r="I4620">
        <f t="shared" si="144"/>
        <v>0</v>
      </c>
      <c r="J4620" t="str">
        <f t="shared" si="145"/>
        <v>Complete</v>
      </c>
      <c r="K4620">
        <f>COUNTIFS(RawData[Item], B4620,RawData[Quantity],C4620,RawData[Price Per Unit],D4620,RawData[Total Spent],E4620,RawData[Payment Method],F4620,RawData[Location],G4620,RawData[Transaction Date],H4620)</f>
        <v>1</v>
      </c>
      <c r="L4620"/>
    </row>
    <row r="4621" spans="1:12" x14ac:dyDescent="0.3">
      <c r="A4621" t="s">
        <v>4627</v>
      </c>
      <c r="B4621" t="s">
        <v>10014</v>
      </c>
      <c r="C4621">
        <v>4</v>
      </c>
      <c r="D4621">
        <v>4</v>
      </c>
      <c r="E4621">
        <v>16</v>
      </c>
      <c r="F4621" t="s">
        <v>10020</v>
      </c>
      <c r="G4621" t="s">
        <v>10069</v>
      </c>
      <c r="H4621" s="6">
        <v>45244</v>
      </c>
      <c r="I4621">
        <f t="shared" si="144"/>
        <v>0</v>
      </c>
      <c r="J4621" t="str">
        <f t="shared" si="145"/>
        <v>Complete</v>
      </c>
      <c r="K4621">
        <f>COUNTIFS(RawData[Item], B4621,RawData[Quantity],C4621,RawData[Price Per Unit],D4621,RawData[Total Spent],E4621,RawData[Payment Method],F4621,RawData[Location],G4621,RawData[Transaction Date],H4621)</f>
        <v>1</v>
      </c>
      <c r="L4621"/>
    </row>
    <row r="4622" spans="1:12" x14ac:dyDescent="0.3">
      <c r="A4622" t="s">
        <v>4628</v>
      </c>
      <c r="B4622" t="s">
        <v>10011</v>
      </c>
      <c r="C4622">
        <v>3</v>
      </c>
      <c r="D4622">
        <v>5</v>
      </c>
      <c r="E4622">
        <v>15</v>
      </c>
      <c r="F4622" t="s">
        <v>10019</v>
      </c>
      <c r="G4622" t="s">
        <v>10021</v>
      </c>
      <c r="H4622" s="6">
        <v>44997</v>
      </c>
      <c r="I4622">
        <f t="shared" si="144"/>
        <v>0</v>
      </c>
      <c r="J4622" t="str">
        <f t="shared" si="145"/>
        <v>Complete</v>
      </c>
      <c r="K4622">
        <f>COUNTIFS(RawData[Item], B4622,RawData[Quantity],C4622,RawData[Price Per Unit],D4622,RawData[Total Spent],E4622,RawData[Payment Method],F4622,RawData[Location],G4622,RawData[Transaction Date],H4622)</f>
        <v>1</v>
      </c>
      <c r="L4622"/>
    </row>
    <row r="4623" spans="1:12" x14ac:dyDescent="0.3">
      <c r="A4623" t="s">
        <v>4629</v>
      </c>
      <c r="B4623" t="s">
        <v>10015</v>
      </c>
      <c r="C4623">
        <v>2</v>
      </c>
      <c r="D4623">
        <v>0</v>
      </c>
      <c r="E4623">
        <v>6</v>
      </c>
      <c r="F4623" t="s">
        <v>10018</v>
      </c>
      <c r="G4623" t="s">
        <v>10069</v>
      </c>
      <c r="H4623" s="6">
        <v>45133</v>
      </c>
      <c r="I4623">
        <f t="shared" si="144"/>
        <v>1</v>
      </c>
      <c r="J4623" t="str">
        <f t="shared" si="145"/>
        <v>Complete</v>
      </c>
      <c r="K4623">
        <f>COUNTIFS(RawData[Item], B4623,RawData[Quantity],C4623,RawData[Price Per Unit],D4623,RawData[Total Spent],E4623,RawData[Payment Method],F4623,RawData[Location],G4623,RawData[Transaction Date],H4623)</f>
        <v>1</v>
      </c>
      <c r="L4623"/>
    </row>
    <row r="4624" spans="1:12" x14ac:dyDescent="0.3">
      <c r="A4624" t="s">
        <v>4630</v>
      </c>
      <c r="B4624" t="s">
        <v>10012</v>
      </c>
      <c r="C4624">
        <v>2</v>
      </c>
      <c r="D4624">
        <v>4</v>
      </c>
      <c r="E4624">
        <v>8</v>
      </c>
      <c r="F4624" t="s">
        <v>10069</v>
      </c>
      <c r="G4624" t="s">
        <v>10102</v>
      </c>
      <c r="H4624" s="6">
        <v>44928</v>
      </c>
      <c r="I4624">
        <f t="shared" si="144"/>
        <v>0</v>
      </c>
      <c r="J4624" t="str">
        <f t="shared" si="145"/>
        <v>Complete</v>
      </c>
      <c r="K4624">
        <f>COUNTIFS(RawData[Item], B4624,RawData[Quantity],C4624,RawData[Price Per Unit],D4624,RawData[Total Spent],E4624,RawData[Payment Method],F4624,RawData[Location],G4624,RawData[Transaction Date],H4624)</f>
        <v>1</v>
      </c>
      <c r="L4624"/>
    </row>
    <row r="4625" spans="1:12" x14ac:dyDescent="0.3">
      <c r="A4625" t="s">
        <v>4631</v>
      </c>
      <c r="B4625" t="s">
        <v>10014</v>
      </c>
      <c r="C4625">
        <v>3</v>
      </c>
      <c r="D4625">
        <v>4</v>
      </c>
      <c r="E4625">
        <v>12</v>
      </c>
      <c r="F4625" t="s">
        <v>10019</v>
      </c>
      <c r="G4625" t="s">
        <v>10021</v>
      </c>
      <c r="H4625" s="6">
        <v>45127</v>
      </c>
      <c r="I4625">
        <f t="shared" si="144"/>
        <v>0</v>
      </c>
      <c r="J4625" t="str">
        <f t="shared" si="145"/>
        <v>Complete</v>
      </c>
      <c r="K4625">
        <f>COUNTIFS(RawData[Item], B4625,RawData[Quantity],C4625,RawData[Price Per Unit],D4625,RawData[Total Spent],E4625,RawData[Payment Method],F4625,RawData[Location],G4625,RawData[Transaction Date],H4625)</f>
        <v>1</v>
      </c>
      <c r="L4625"/>
    </row>
    <row r="4626" spans="1:12" x14ac:dyDescent="0.3">
      <c r="A4626" t="s">
        <v>4632</v>
      </c>
      <c r="B4626" t="s">
        <v>10017</v>
      </c>
      <c r="C4626" t="s">
        <v>10013</v>
      </c>
      <c r="D4626">
        <v>1.5</v>
      </c>
      <c r="E4626">
        <v>6</v>
      </c>
      <c r="F4626" t="s">
        <v>10019</v>
      </c>
      <c r="G4626" t="s">
        <v>10021</v>
      </c>
      <c r="H4626" s="6">
        <v>45139</v>
      </c>
      <c r="I4626">
        <f t="shared" si="144"/>
        <v>1</v>
      </c>
      <c r="J4626" t="str">
        <f t="shared" si="145"/>
        <v>Complete</v>
      </c>
      <c r="K4626">
        <f>COUNTIFS(RawData[Item], B4626,RawData[Quantity],C4626,RawData[Price Per Unit],D4626,RawData[Total Spent],E4626,RawData[Payment Method],F4626,RawData[Location],G4626,RawData[Transaction Date],H4626)</f>
        <v>1</v>
      </c>
      <c r="L4626"/>
    </row>
    <row r="4627" spans="1:12" x14ac:dyDescent="0.3">
      <c r="A4627" t="s">
        <v>4633</v>
      </c>
      <c r="B4627" t="s">
        <v>10011</v>
      </c>
      <c r="C4627">
        <v>4</v>
      </c>
      <c r="D4627">
        <v>5</v>
      </c>
      <c r="E4627">
        <v>20</v>
      </c>
      <c r="F4627" t="s">
        <v>10019</v>
      </c>
      <c r="G4627" t="s">
        <v>10069</v>
      </c>
      <c r="H4627" s="6" t="s">
        <v>10112</v>
      </c>
      <c r="I4627">
        <f t="shared" si="144"/>
        <v>1</v>
      </c>
      <c r="J4627" t="str">
        <f t="shared" si="145"/>
        <v>Incomplete</v>
      </c>
      <c r="K4627">
        <f>COUNTIFS(RawData[Item], B4627,RawData[Quantity],C4627,RawData[Price Per Unit],D4627,RawData[Total Spent],E4627,RawData[Payment Method],F4627,RawData[Location],G4627,RawData[Transaction Date],H4627)</f>
        <v>1</v>
      </c>
      <c r="L4627"/>
    </row>
    <row r="4628" spans="1:12" x14ac:dyDescent="0.3">
      <c r="A4628" t="s">
        <v>4634</v>
      </c>
      <c r="B4628" t="s">
        <v>10014</v>
      </c>
      <c r="C4628">
        <v>3</v>
      </c>
      <c r="D4628">
        <v>4</v>
      </c>
      <c r="E4628">
        <v>12</v>
      </c>
      <c r="F4628" t="s">
        <v>10019</v>
      </c>
      <c r="G4628" t="s">
        <v>10069</v>
      </c>
      <c r="H4628" s="6" t="s">
        <v>10112</v>
      </c>
      <c r="I4628">
        <f t="shared" si="144"/>
        <v>1</v>
      </c>
      <c r="J4628" t="str">
        <f t="shared" si="145"/>
        <v>Incomplete</v>
      </c>
      <c r="K4628">
        <f>COUNTIFS(RawData[Item], B4628,RawData[Quantity],C4628,RawData[Price Per Unit],D4628,RawData[Total Spent],E4628,RawData[Payment Method],F4628,RawData[Location],G4628,RawData[Transaction Date],H4628)</f>
        <v>1</v>
      </c>
      <c r="L4628"/>
    </row>
    <row r="4629" spans="1:12" x14ac:dyDescent="0.3">
      <c r="A4629" t="s">
        <v>4635</v>
      </c>
      <c r="B4629" t="s">
        <v>10012</v>
      </c>
      <c r="C4629">
        <v>3</v>
      </c>
      <c r="D4629">
        <v>4</v>
      </c>
      <c r="E4629">
        <v>12</v>
      </c>
      <c r="F4629" t="s">
        <v>10018</v>
      </c>
      <c r="G4629" t="s">
        <v>10104</v>
      </c>
      <c r="H4629" s="6">
        <v>44953</v>
      </c>
      <c r="I4629">
        <f t="shared" si="144"/>
        <v>1</v>
      </c>
      <c r="J4629" t="str">
        <f t="shared" si="145"/>
        <v>Complete</v>
      </c>
      <c r="K4629">
        <f>COUNTIFS(RawData[Item], B4629,RawData[Quantity],C4629,RawData[Price Per Unit],D4629,RawData[Total Spent],E4629,RawData[Payment Method],F4629,RawData[Location],G4629,RawData[Transaction Date],H4629)</f>
        <v>1</v>
      </c>
      <c r="L4629"/>
    </row>
    <row r="4630" spans="1:12" x14ac:dyDescent="0.3">
      <c r="A4630" t="s">
        <v>4636</v>
      </c>
      <c r="B4630" t="s">
        <v>10008</v>
      </c>
      <c r="C4630">
        <v>2</v>
      </c>
      <c r="D4630">
        <v>2</v>
      </c>
      <c r="E4630">
        <v>4</v>
      </c>
      <c r="F4630" t="s">
        <v>10019</v>
      </c>
      <c r="G4630" t="s">
        <v>10021</v>
      </c>
      <c r="H4630" s="6">
        <v>45270</v>
      </c>
      <c r="I4630">
        <f t="shared" si="144"/>
        <v>0</v>
      </c>
      <c r="J4630" t="str">
        <f t="shared" si="145"/>
        <v>Complete</v>
      </c>
      <c r="K4630">
        <f>COUNTIFS(RawData[Item], B4630,RawData[Quantity],C4630,RawData[Price Per Unit],D4630,RawData[Total Spent],E4630,RawData[Payment Method],F4630,RawData[Location],G4630,RawData[Transaction Date],H4630)</f>
        <v>1</v>
      </c>
      <c r="L4630"/>
    </row>
    <row r="4631" spans="1:12" x14ac:dyDescent="0.3">
      <c r="A4631" t="s">
        <v>4637</v>
      </c>
      <c r="B4631" t="s">
        <v>10017</v>
      </c>
      <c r="C4631">
        <v>4</v>
      </c>
      <c r="D4631">
        <v>1.5</v>
      </c>
      <c r="E4631">
        <v>6</v>
      </c>
      <c r="F4631" t="s">
        <v>10020</v>
      </c>
      <c r="G4631" t="s">
        <v>10102</v>
      </c>
      <c r="H4631" s="6">
        <v>45024</v>
      </c>
      <c r="I4631">
        <f t="shared" si="144"/>
        <v>0</v>
      </c>
      <c r="J4631" t="str">
        <f t="shared" si="145"/>
        <v>Complete</v>
      </c>
      <c r="K4631">
        <f>COUNTIFS(RawData[Item], B4631,RawData[Quantity],C4631,RawData[Price Per Unit],D4631,RawData[Total Spent],E4631,RawData[Payment Method],F4631,RawData[Location],G4631,RawData[Transaction Date],H4631)</f>
        <v>1</v>
      </c>
      <c r="L4631"/>
    </row>
    <row r="4632" spans="1:12" x14ac:dyDescent="0.3">
      <c r="A4632" t="s">
        <v>4638</v>
      </c>
      <c r="B4632" t="s">
        <v>10011</v>
      </c>
      <c r="C4632">
        <v>5</v>
      </c>
      <c r="D4632">
        <v>5</v>
      </c>
      <c r="E4632">
        <v>25</v>
      </c>
      <c r="F4632" t="s">
        <v>10018</v>
      </c>
      <c r="G4632" t="s">
        <v>10102</v>
      </c>
      <c r="H4632" s="6">
        <v>44968</v>
      </c>
      <c r="I4632">
        <f t="shared" si="144"/>
        <v>0</v>
      </c>
      <c r="J4632" t="str">
        <f t="shared" si="145"/>
        <v>Complete</v>
      </c>
      <c r="K4632">
        <f>COUNTIFS(RawData[Item], B4632,RawData[Quantity],C4632,RawData[Price Per Unit],D4632,RawData[Total Spent],E4632,RawData[Payment Method],F4632,RawData[Location],G4632,RawData[Transaction Date],H4632)</f>
        <v>1</v>
      </c>
      <c r="L4632"/>
    </row>
    <row r="4633" spans="1:12" x14ac:dyDescent="0.3">
      <c r="A4633" t="s">
        <v>4639</v>
      </c>
      <c r="B4633" t="s">
        <v>10016</v>
      </c>
      <c r="C4633">
        <v>2</v>
      </c>
      <c r="D4633" t="s">
        <v>10013</v>
      </c>
      <c r="E4633">
        <v>6</v>
      </c>
      <c r="F4633" t="s">
        <v>10019</v>
      </c>
      <c r="G4633" t="s">
        <v>10021</v>
      </c>
      <c r="H4633" s="6">
        <v>45277</v>
      </c>
      <c r="I4633">
        <f t="shared" si="144"/>
        <v>1</v>
      </c>
      <c r="J4633" t="str">
        <f t="shared" si="145"/>
        <v>Complete</v>
      </c>
      <c r="K4633">
        <f>COUNTIFS(RawData[Item], B4633,RawData[Quantity],C4633,RawData[Price Per Unit],D4633,RawData[Total Spent],E4633,RawData[Payment Method],F4633,RawData[Location],G4633,RawData[Transaction Date],H4633)</f>
        <v>1</v>
      </c>
      <c r="L4633"/>
    </row>
    <row r="4634" spans="1:12" x14ac:dyDescent="0.3">
      <c r="A4634" t="s">
        <v>4640</v>
      </c>
      <c r="B4634" t="s">
        <v>10014</v>
      </c>
      <c r="C4634">
        <v>5</v>
      </c>
      <c r="D4634">
        <v>4</v>
      </c>
      <c r="E4634">
        <v>0</v>
      </c>
      <c r="F4634" t="s">
        <v>10018</v>
      </c>
      <c r="G4634" t="s">
        <v>10021</v>
      </c>
      <c r="H4634" s="6">
        <v>45277</v>
      </c>
      <c r="I4634">
        <f t="shared" si="144"/>
        <v>0</v>
      </c>
      <c r="J4634" t="str">
        <f t="shared" si="145"/>
        <v>Complete</v>
      </c>
      <c r="K4634">
        <f>COUNTIFS(RawData[Item], B4634,RawData[Quantity],C4634,RawData[Price Per Unit],D4634,RawData[Total Spent],E4634,RawData[Payment Method],F4634,RawData[Location],G4634,RawData[Transaction Date],H4634)</f>
        <v>1</v>
      </c>
      <c r="L4634"/>
    </row>
    <row r="4635" spans="1:12" x14ac:dyDescent="0.3">
      <c r="A4635" t="s">
        <v>4641</v>
      </c>
      <c r="B4635" t="s">
        <v>10017</v>
      </c>
      <c r="C4635">
        <v>4</v>
      </c>
      <c r="D4635">
        <v>1.5</v>
      </c>
      <c r="E4635">
        <v>6</v>
      </c>
      <c r="F4635" t="s">
        <v>10020</v>
      </c>
      <c r="G4635" t="s">
        <v>10069</v>
      </c>
      <c r="H4635" s="6">
        <v>45064</v>
      </c>
      <c r="I4635">
        <f t="shared" si="144"/>
        <v>0</v>
      </c>
      <c r="J4635" t="str">
        <f t="shared" si="145"/>
        <v>Complete</v>
      </c>
      <c r="K4635">
        <f>COUNTIFS(RawData[Item], B4635,RawData[Quantity],C4635,RawData[Price Per Unit],D4635,RawData[Total Spent],E4635,RawData[Payment Method],F4635,RawData[Location],G4635,RawData[Transaction Date],H4635)</f>
        <v>1</v>
      </c>
      <c r="L4635"/>
    </row>
    <row r="4636" spans="1:12" x14ac:dyDescent="0.3">
      <c r="A4636" t="s">
        <v>4642</v>
      </c>
      <c r="B4636" t="s">
        <v>10015</v>
      </c>
      <c r="C4636" t="s">
        <v>10015</v>
      </c>
      <c r="D4636">
        <v>1.5</v>
      </c>
      <c r="E4636">
        <v>3</v>
      </c>
      <c r="F4636" t="s">
        <v>10018</v>
      </c>
      <c r="G4636" t="s">
        <v>10021</v>
      </c>
      <c r="H4636" s="6">
        <v>45096</v>
      </c>
      <c r="I4636">
        <f t="shared" si="144"/>
        <v>2</v>
      </c>
      <c r="J4636" t="str">
        <f t="shared" si="145"/>
        <v>Complete</v>
      </c>
      <c r="K4636">
        <f>COUNTIFS(RawData[Item], B4636,RawData[Quantity],C4636,RawData[Price Per Unit],D4636,RawData[Total Spent],E4636,RawData[Payment Method],F4636,RawData[Location],G4636,RawData[Transaction Date],H4636)</f>
        <v>1</v>
      </c>
      <c r="L4636"/>
    </row>
    <row r="4637" spans="1:12" x14ac:dyDescent="0.3">
      <c r="A4637" t="s">
        <v>4643</v>
      </c>
      <c r="B4637" t="s">
        <v>10017</v>
      </c>
      <c r="C4637">
        <v>1</v>
      </c>
      <c r="D4637">
        <v>1.5</v>
      </c>
      <c r="E4637">
        <v>1.5</v>
      </c>
      <c r="F4637" t="s">
        <v>10020</v>
      </c>
      <c r="G4637" t="s">
        <v>10102</v>
      </c>
      <c r="H4637" s="6">
        <v>45034</v>
      </c>
      <c r="I4637">
        <f t="shared" si="144"/>
        <v>0</v>
      </c>
      <c r="J4637" t="str">
        <f t="shared" si="145"/>
        <v>Complete</v>
      </c>
      <c r="K4637">
        <f>COUNTIFS(RawData[Item], B4637,RawData[Quantity],C4637,RawData[Price Per Unit],D4637,RawData[Total Spent],E4637,RawData[Payment Method],F4637,RawData[Location],G4637,RawData[Transaction Date],H4637)</f>
        <v>1</v>
      </c>
      <c r="L4637"/>
    </row>
    <row r="4638" spans="1:12" x14ac:dyDescent="0.3">
      <c r="A4638" t="s">
        <v>4644</v>
      </c>
      <c r="B4638" t="s">
        <v>10011</v>
      </c>
      <c r="C4638">
        <v>4</v>
      </c>
      <c r="D4638">
        <v>5</v>
      </c>
      <c r="E4638">
        <v>20</v>
      </c>
      <c r="F4638" t="s">
        <v>10018</v>
      </c>
      <c r="G4638" t="s">
        <v>10102</v>
      </c>
      <c r="H4638" s="6">
        <v>45290</v>
      </c>
      <c r="I4638">
        <f t="shared" si="144"/>
        <v>0</v>
      </c>
      <c r="J4638" t="str">
        <f t="shared" si="145"/>
        <v>Complete</v>
      </c>
      <c r="K4638">
        <f>COUNTIFS(RawData[Item], B4638,RawData[Quantity],C4638,RawData[Price Per Unit],D4638,RawData[Total Spent],E4638,RawData[Payment Method],F4638,RawData[Location],G4638,RawData[Transaction Date],H4638)</f>
        <v>1</v>
      </c>
      <c r="L4638"/>
    </row>
    <row r="4639" spans="1:12" x14ac:dyDescent="0.3">
      <c r="A4639" t="s">
        <v>4645</v>
      </c>
      <c r="B4639" t="s">
        <v>10010</v>
      </c>
      <c r="C4639">
        <v>4</v>
      </c>
      <c r="D4639">
        <v>1</v>
      </c>
      <c r="E4639">
        <v>4</v>
      </c>
      <c r="F4639" t="s">
        <v>10018</v>
      </c>
      <c r="G4639" t="s">
        <v>10102</v>
      </c>
      <c r="H4639" s="6">
        <v>45224</v>
      </c>
      <c r="I4639">
        <f t="shared" si="144"/>
        <v>0</v>
      </c>
      <c r="J4639" t="str">
        <f t="shared" si="145"/>
        <v>Complete</v>
      </c>
      <c r="K4639">
        <f>COUNTIFS(RawData[Item], B4639,RawData[Quantity],C4639,RawData[Price Per Unit],D4639,RawData[Total Spent],E4639,RawData[Payment Method],F4639,RawData[Location],G4639,RawData[Transaction Date],H4639)</f>
        <v>1</v>
      </c>
      <c r="L4639"/>
    </row>
    <row r="4640" spans="1:12" x14ac:dyDescent="0.3">
      <c r="A4640" t="s">
        <v>4646</v>
      </c>
      <c r="B4640" t="s">
        <v>10010</v>
      </c>
      <c r="C4640">
        <v>4</v>
      </c>
      <c r="D4640">
        <v>1</v>
      </c>
      <c r="E4640">
        <v>4</v>
      </c>
      <c r="F4640" t="s">
        <v>10104</v>
      </c>
      <c r="G4640" t="s">
        <v>10069</v>
      </c>
      <c r="H4640" s="6">
        <v>44935</v>
      </c>
      <c r="I4640">
        <f t="shared" si="144"/>
        <v>1</v>
      </c>
      <c r="J4640" t="str">
        <f t="shared" si="145"/>
        <v>Complete</v>
      </c>
      <c r="K4640">
        <f>COUNTIFS(RawData[Item], B4640,RawData[Quantity],C4640,RawData[Price Per Unit],D4640,RawData[Total Spent],E4640,RawData[Payment Method],F4640,RawData[Location],G4640,RawData[Transaction Date],H4640)</f>
        <v>1</v>
      </c>
      <c r="L4640"/>
    </row>
    <row r="4641" spans="1:12" x14ac:dyDescent="0.3">
      <c r="A4641" t="s">
        <v>4647</v>
      </c>
      <c r="B4641" t="s">
        <v>10011</v>
      </c>
      <c r="C4641">
        <v>5</v>
      </c>
      <c r="D4641">
        <v>5</v>
      </c>
      <c r="E4641">
        <v>25</v>
      </c>
      <c r="F4641" t="s">
        <v>10020</v>
      </c>
      <c r="G4641" t="s">
        <v>10021</v>
      </c>
      <c r="H4641" s="6">
        <v>45225</v>
      </c>
      <c r="I4641">
        <f t="shared" si="144"/>
        <v>0</v>
      </c>
      <c r="J4641" t="str">
        <f t="shared" si="145"/>
        <v>Complete</v>
      </c>
      <c r="K4641">
        <f>COUNTIFS(RawData[Item], B4641,RawData[Quantity],C4641,RawData[Price Per Unit],D4641,RawData[Total Spent],E4641,RawData[Payment Method],F4641,RawData[Location],G4641,RawData[Transaction Date],H4641)</f>
        <v>1</v>
      </c>
      <c r="L4641"/>
    </row>
    <row r="4642" spans="1:12" x14ac:dyDescent="0.3">
      <c r="A4642" t="s">
        <v>4648</v>
      </c>
      <c r="B4642" t="s">
        <v>10017</v>
      </c>
      <c r="C4642">
        <v>3</v>
      </c>
      <c r="D4642">
        <v>1.5</v>
      </c>
      <c r="E4642">
        <v>4.5</v>
      </c>
      <c r="F4642" t="s">
        <v>10018</v>
      </c>
      <c r="G4642" t="s">
        <v>10021</v>
      </c>
      <c r="H4642" s="6">
        <v>45098</v>
      </c>
      <c r="I4642">
        <f t="shared" si="144"/>
        <v>0</v>
      </c>
      <c r="J4642" t="str">
        <f t="shared" si="145"/>
        <v>Complete</v>
      </c>
      <c r="K4642">
        <f>COUNTIFS(RawData[Item], B4642,RawData[Quantity],C4642,RawData[Price Per Unit],D4642,RawData[Total Spent],E4642,RawData[Payment Method],F4642,RawData[Location],G4642,RawData[Transaction Date],H4642)</f>
        <v>1</v>
      </c>
      <c r="L4642"/>
    </row>
    <row r="4643" spans="1:12" x14ac:dyDescent="0.3">
      <c r="A4643" t="s">
        <v>4649</v>
      </c>
      <c r="B4643" t="s">
        <v>10008</v>
      </c>
      <c r="C4643">
        <v>2</v>
      </c>
      <c r="D4643">
        <v>0</v>
      </c>
      <c r="E4643">
        <v>4</v>
      </c>
      <c r="F4643" t="s">
        <v>10069</v>
      </c>
      <c r="G4643" t="s">
        <v>10021</v>
      </c>
      <c r="H4643" s="6">
        <v>45095</v>
      </c>
      <c r="I4643">
        <f t="shared" si="144"/>
        <v>0</v>
      </c>
      <c r="J4643" t="str">
        <f t="shared" si="145"/>
        <v>Complete</v>
      </c>
      <c r="K4643">
        <f>COUNTIFS(RawData[Item], B4643,RawData[Quantity],C4643,RawData[Price Per Unit],D4643,RawData[Total Spent],E4643,RawData[Payment Method],F4643,RawData[Location],G4643,RawData[Transaction Date],H4643)</f>
        <v>1</v>
      </c>
      <c r="L4643"/>
    </row>
    <row r="4644" spans="1:12" x14ac:dyDescent="0.3">
      <c r="A4644" t="s">
        <v>4650</v>
      </c>
      <c r="B4644" t="s">
        <v>10008</v>
      </c>
      <c r="C4644">
        <v>3</v>
      </c>
      <c r="D4644">
        <v>2</v>
      </c>
      <c r="E4644">
        <v>6</v>
      </c>
      <c r="F4644" t="s">
        <v>10069</v>
      </c>
      <c r="G4644" t="s">
        <v>10021</v>
      </c>
      <c r="H4644" s="6">
        <v>45279</v>
      </c>
      <c r="I4644">
        <f t="shared" si="144"/>
        <v>0</v>
      </c>
      <c r="J4644" t="str">
        <f t="shared" si="145"/>
        <v>Complete</v>
      </c>
      <c r="K4644">
        <f>COUNTIFS(RawData[Item], B4644,RawData[Quantity],C4644,RawData[Price Per Unit],D4644,RawData[Total Spent],E4644,RawData[Payment Method],F4644,RawData[Location],G4644,RawData[Transaction Date],H4644)</f>
        <v>1</v>
      </c>
      <c r="L4644"/>
    </row>
    <row r="4645" spans="1:12" x14ac:dyDescent="0.3">
      <c r="A4645" t="s">
        <v>4651</v>
      </c>
      <c r="B4645" t="s">
        <v>10014</v>
      </c>
      <c r="C4645">
        <v>5</v>
      </c>
      <c r="D4645">
        <v>4</v>
      </c>
      <c r="E4645">
        <v>20</v>
      </c>
      <c r="F4645" t="s">
        <v>10069</v>
      </c>
      <c r="G4645" t="s">
        <v>10102</v>
      </c>
      <c r="H4645" s="6">
        <v>45166</v>
      </c>
      <c r="I4645">
        <f t="shared" si="144"/>
        <v>0</v>
      </c>
      <c r="J4645" t="str">
        <f t="shared" si="145"/>
        <v>Complete</v>
      </c>
      <c r="K4645">
        <f>COUNTIFS(RawData[Item], B4645,RawData[Quantity],C4645,RawData[Price Per Unit],D4645,RawData[Total Spent],E4645,RawData[Payment Method],F4645,RawData[Location],G4645,RawData[Transaction Date],H4645)</f>
        <v>1</v>
      </c>
      <c r="L4645"/>
    </row>
    <row r="4646" spans="1:12" x14ac:dyDescent="0.3">
      <c r="A4646" t="s">
        <v>4652</v>
      </c>
      <c r="B4646" t="s">
        <v>10012</v>
      </c>
      <c r="C4646">
        <v>2</v>
      </c>
      <c r="D4646">
        <v>4</v>
      </c>
      <c r="E4646">
        <v>8</v>
      </c>
      <c r="F4646" t="s">
        <v>10020</v>
      </c>
      <c r="G4646" t="s">
        <v>10021</v>
      </c>
      <c r="H4646" s="6">
        <v>45267</v>
      </c>
      <c r="I4646">
        <f t="shared" si="144"/>
        <v>0</v>
      </c>
      <c r="J4646" t="str">
        <f t="shared" si="145"/>
        <v>Complete</v>
      </c>
      <c r="K4646">
        <f>COUNTIFS(RawData[Item], B4646,RawData[Quantity],C4646,RawData[Price Per Unit],D4646,RawData[Total Spent],E4646,RawData[Payment Method],F4646,RawData[Location],G4646,RawData[Transaction Date],H4646)</f>
        <v>1</v>
      </c>
      <c r="L4646"/>
    </row>
    <row r="4647" spans="1:12" x14ac:dyDescent="0.3">
      <c r="A4647" t="s">
        <v>4653</v>
      </c>
      <c r="B4647" t="s">
        <v>10012</v>
      </c>
      <c r="C4647">
        <v>4</v>
      </c>
      <c r="D4647">
        <v>4</v>
      </c>
      <c r="E4647">
        <v>16</v>
      </c>
      <c r="F4647" t="s">
        <v>10019</v>
      </c>
      <c r="G4647" t="s">
        <v>10102</v>
      </c>
      <c r="H4647" s="6">
        <v>45044</v>
      </c>
      <c r="I4647">
        <f t="shared" si="144"/>
        <v>0</v>
      </c>
      <c r="J4647" t="str">
        <f t="shared" si="145"/>
        <v>Complete</v>
      </c>
      <c r="K4647">
        <f>COUNTIFS(RawData[Item], B4647,RawData[Quantity],C4647,RawData[Price Per Unit],D4647,RawData[Total Spent],E4647,RawData[Payment Method],F4647,RawData[Location],G4647,RawData[Transaction Date],H4647)</f>
        <v>1</v>
      </c>
      <c r="L4647"/>
    </row>
    <row r="4648" spans="1:12" x14ac:dyDescent="0.3">
      <c r="A4648" t="s">
        <v>4654</v>
      </c>
      <c r="B4648" t="s">
        <v>10017</v>
      </c>
      <c r="C4648">
        <v>4</v>
      </c>
      <c r="D4648">
        <v>1.5</v>
      </c>
      <c r="E4648">
        <v>6</v>
      </c>
      <c r="F4648" t="s">
        <v>10018</v>
      </c>
      <c r="G4648" t="s">
        <v>10102</v>
      </c>
      <c r="H4648" s="6">
        <v>44966</v>
      </c>
      <c r="I4648">
        <f t="shared" si="144"/>
        <v>0</v>
      </c>
      <c r="J4648" t="str">
        <f t="shared" si="145"/>
        <v>Complete</v>
      </c>
      <c r="K4648">
        <f>COUNTIFS(RawData[Item], B4648,RawData[Quantity],C4648,RawData[Price Per Unit],D4648,RawData[Total Spent],E4648,RawData[Payment Method],F4648,RawData[Location],G4648,RawData[Transaction Date],H4648)</f>
        <v>1</v>
      </c>
      <c r="L4648"/>
    </row>
    <row r="4649" spans="1:12" x14ac:dyDescent="0.3">
      <c r="A4649" t="s">
        <v>4655</v>
      </c>
      <c r="B4649" t="s">
        <v>10011</v>
      </c>
      <c r="C4649">
        <v>2</v>
      </c>
      <c r="D4649">
        <v>5</v>
      </c>
      <c r="E4649">
        <v>10</v>
      </c>
      <c r="F4649" t="s">
        <v>10019</v>
      </c>
      <c r="G4649" t="s">
        <v>10102</v>
      </c>
      <c r="H4649" s="6">
        <v>45070</v>
      </c>
      <c r="I4649">
        <f t="shared" si="144"/>
        <v>0</v>
      </c>
      <c r="J4649" t="str">
        <f t="shared" si="145"/>
        <v>Complete</v>
      </c>
      <c r="K4649">
        <f>COUNTIFS(RawData[Item], B4649,RawData[Quantity],C4649,RawData[Price Per Unit],D4649,RawData[Total Spent],E4649,RawData[Payment Method],F4649,RawData[Location],G4649,RawData[Transaction Date],H4649)</f>
        <v>1</v>
      </c>
      <c r="L4649"/>
    </row>
    <row r="4650" spans="1:12" x14ac:dyDescent="0.3">
      <c r="A4650" t="s">
        <v>4656</v>
      </c>
      <c r="B4650" t="s">
        <v>10012</v>
      </c>
      <c r="C4650">
        <v>2</v>
      </c>
      <c r="D4650">
        <v>4</v>
      </c>
      <c r="E4650">
        <v>8</v>
      </c>
      <c r="F4650" t="s">
        <v>10018</v>
      </c>
      <c r="G4650" t="s">
        <v>10102</v>
      </c>
      <c r="H4650" s="6">
        <v>45095</v>
      </c>
      <c r="I4650">
        <f t="shared" si="144"/>
        <v>0</v>
      </c>
      <c r="J4650" t="str">
        <f t="shared" si="145"/>
        <v>Complete</v>
      </c>
      <c r="K4650">
        <f>COUNTIFS(RawData[Item], B4650,RawData[Quantity],C4650,RawData[Price Per Unit],D4650,RawData[Total Spent],E4650,RawData[Payment Method],F4650,RawData[Location],G4650,RawData[Transaction Date],H4650)</f>
        <v>1</v>
      </c>
      <c r="L4650"/>
    </row>
    <row r="4651" spans="1:12" x14ac:dyDescent="0.3">
      <c r="A4651" t="s">
        <v>4657</v>
      </c>
      <c r="B4651" t="s">
        <v>10013</v>
      </c>
      <c r="C4651">
        <v>1</v>
      </c>
      <c r="D4651">
        <v>3</v>
      </c>
      <c r="E4651">
        <v>3</v>
      </c>
      <c r="F4651" t="s">
        <v>10103</v>
      </c>
      <c r="G4651" t="s">
        <v>10102</v>
      </c>
      <c r="H4651" s="6">
        <v>45201</v>
      </c>
      <c r="I4651">
        <f t="shared" si="144"/>
        <v>2</v>
      </c>
      <c r="J4651" t="str">
        <f t="shared" si="145"/>
        <v>Complete</v>
      </c>
      <c r="K4651">
        <f>COUNTIFS(RawData[Item], B4651,RawData[Quantity],C4651,RawData[Price Per Unit],D4651,RawData[Total Spent],E4651,RawData[Payment Method],F4651,RawData[Location],G4651,RawData[Transaction Date],H4651)</f>
        <v>1</v>
      </c>
      <c r="L4651"/>
    </row>
    <row r="4652" spans="1:12" x14ac:dyDescent="0.3">
      <c r="A4652" t="s">
        <v>4658</v>
      </c>
      <c r="B4652" t="s">
        <v>10010</v>
      </c>
      <c r="C4652">
        <v>3</v>
      </c>
      <c r="D4652">
        <v>1</v>
      </c>
      <c r="E4652">
        <v>3</v>
      </c>
      <c r="F4652" t="s">
        <v>10018</v>
      </c>
      <c r="G4652" t="s">
        <v>10021</v>
      </c>
      <c r="H4652" s="6">
        <v>45287</v>
      </c>
      <c r="I4652">
        <f t="shared" si="144"/>
        <v>0</v>
      </c>
      <c r="J4652" t="str">
        <f t="shared" si="145"/>
        <v>Complete</v>
      </c>
      <c r="K4652">
        <f>COUNTIFS(RawData[Item], B4652,RawData[Quantity],C4652,RawData[Price Per Unit],D4652,RawData[Total Spent],E4652,RawData[Payment Method],F4652,RawData[Location],G4652,RawData[Transaction Date],H4652)</f>
        <v>1</v>
      </c>
      <c r="L4652"/>
    </row>
    <row r="4653" spans="1:12" x14ac:dyDescent="0.3">
      <c r="A4653" t="s">
        <v>4659</v>
      </c>
      <c r="B4653" t="s">
        <v>10015</v>
      </c>
      <c r="C4653">
        <v>3</v>
      </c>
      <c r="D4653">
        <v>3</v>
      </c>
      <c r="E4653" t="s">
        <v>10013</v>
      </c>
      <c r="F4653" t="s">
        <v>10019</v>
      </c>
      <c r="G4653" t="s">
        <v>10102</v>
      </c>
      <c r="H4653" s="6">
        <v>45077</v>
      </c>
      <c r="I4653">
        <f t="shared" si="144"/>
        <v>2</v>
      </c>
      <c r="J4653" t="str">
        <f t="shared" si="145"/>
        <v>Complete</v>
      </c>
      <c r="K4653">
        <f>COUNTIFS(RawData[Item], B4653,RawData[Quantity],C4653,RawData[Price Per Unit],D4653,RawData[Total Spent],E4653,RawData[Payment Method],F4653,RawData[Location],G4653,RawData[Transaction Date],H4653)</f>
        <v>1</v>
      </c>
      <c r="L4653"/>
    </row>
    <row r="4654" spans="1:12" x14ac:dyDescent="0.3">
      <c r="A4654" t="s">
        <v>4660</v>
      </c>
      <c r="B4654" t="s">
        <v>10011</v>
      </c>
      <c r="C4654">
        <v>2</v>
      </c>
      <c r="D4654">
        <v>5</v>
      </c>
      <c r="E4654">
        <v>10</v>
      </c>
      <c r="F4654" t="s">
        <v>10020</v>
      </c>
      <c r="G4654" t="s">
        <v>10069</v>
      </c>
      <c r="H4654" s="6">
        <v>45182</v>
      </c>
      <c r="I4654">
        <f t="shared" si="144"/>
        <v>0</v>
      </c>
      <c r="J4654" t="str">
        <f t="shared" si="145"/>
        <v>Complete</v>
      </c>
      <c r="K4654">
        <f>COUNTIFS(RawData[Item], B4654,RawData[Quantity],C4654,RawData[Price Per Unit],D4654,RawData[Total Spent],E4654,RawData[Payment Method],F4654,RawData[Location],G4654,RawData[Transaction Date],H4654)</f>
        <v>1</v>
      </c>
      <c r="L4654"/>
    </row>
    <row r="4655" spans="1:12" x14ac:dyDescent="0.3">
      <c r="A4655" t="s">
        <v>4661</v>
      </c>
      <c r="B4655" t="s">
        <v>10016</v>
      </c>
      <c r="C4655">
        <v>3</v>
      </c>
      <c r="D4655">
        <v>3</v>
      </c>
      <c r="E4655">
        <v>9</v>
      </c>
      <c r="F4655" t="s">
        <v>10020</v>
      </c>
      <c r="G4655" t="s">
        <v>10104</v>
      </c>
      <c r="H4655" s="6">
        <v>44954</v>
      </c>
      <c r="I4655">
        <f t="shared" si="144"/>
        <v>1</v>
      </c>
      <c r="J4655" t="str">
        <f t="shared" si="145"/>
        <v>Complete</v>
      </c>
      <c r="K4655">
        <f>COUNTIFS(RawData[Item], B4655,RawData[Quantity],C4655,RawData[Price Per Unit],D4655,RawData[Total Spent],E4655,RawData[Payment Method],F4655,RawData[Location],G4655,RawData[Transaction Date],H4655)</f>
        <v>1</v>
      </c>
      <c r="L4655"/>
    </row>
    <row r="4656" spans="1:12" x14ac:dyDescent="0.3">
      <c r="A4656" t="s">
        <v>4662</v>
      </c>
      <c r="B4656" t="s">
        <v>10012</v>
      </c>
      <c r="C4656">
        <v>5</v>
      </c>
      <c r="D4656">
        <v>4</v>
      </c>
      <c r="E4656">
        <v>20</v>
      </c>
      <c r="F4656" t="s">
        <v>10019</v>
      </c>
      <c r="G4656" t="s">
        <v>10069</v>
      </c>
      <c r="H4656" s="6">
        <v>45141</v>
      </c>
      <c r="I4656">
        <f t="shared" si="144"/>
        <v>0</v>
      </c>
      <c r="J4656" t="str">
        <f t="shared" si="145"/>
        <v>Complete</v>
      </c>
      <c r="K4656">
        <f>COUNTIFS(RawData[Item], B4656,RawData[Quantity],C4656,RawData[Price Per Unit],D4656,RawData[Total Spent],E4656,RawData[Payment Method],F4656,RawData[Location],G4656,RawData[Transaction Date],H4656)</f>
        <v>1</v>
      </c>
      <c r="L4656"/>
    </row>
    <row r="4657" spans="1:12" x14ac:dyDescent="0.3">
      <c r="A4657" t="s">
        <v>4663</v>
      </c>
      <c r="B4657" t="s">
        <v>10008</v>
      </c>
      <c r="C4657">
        <v>2</v>
      </c>
      <c r="D4657">
        <v>2</v>
      </c>
      <c r="E4657">
        <v>4</v>
      </c>
      <c r="F4657" t="s">
        <v>10069</v>
      </c>
      <c r="G4657" t="s">
        <v>10103</v>
      </c>
      <c r="H4657" s="6">
        <v>45147</v>
      </c>
      <c r="I4657">
        <f t="shared" si="144"/>
        <v>1</v>
      </c>
      <c r="J4657" t="str">
        <f t="shared" si="145"/>
        <v>Complete</v>
      </c>
      <c r="K4657">
        <f>COUNTIFS(RawData[Item], B4657,RawData[Quantity],C4657,RawData[Price Per Unit],D4657,RawData[Total Spent],E4657,RawData[Payment Method],F4657,RawData[Location],G4657,RawData[Transaction Date],H4657)</f>
        <v>1</v>
      </c>
      <c r="L4657"/>
    </row>
    <row r="4658" spans="1:12" x14ac:dyDescent="0.3">
      <c r="A4658" t="s">
        <v>4664</v>
      </c>
      <c r="B4658" t="s">
        <v>10013</v>
      </c>
      <c r="C4658">
        <v>3</v>
      </c>
      <c r="D4658">
        <v>3</v>
      </c>
      <c r="E4658">
        <v>0</v>
      </c>
      <c r="F4658" t="s">
        <v>10103</v>
      </c>
      <c r="G4658" t="s">
        <v>10069</v>
      </c>
      <c r="H4658" s="6">
        <v>45013</v>
      </c>
      <c r="I4658">
        <f t="shared" si="144"/>
        <v>2</v>
      </c>
      <c r="J4658" t="str">
        <f t="shared" si="145"/>
        <v>Complete</v>
      </c>
      <c r="K4658">
        <f>COUNTIFS(RawData[Item], B4658,RawData[Quantity],C4658,RawData[Price Per Unit],D4658,RawData[Total Spent],E4658,RawData[Payment Method],F4658,RawData[Location],G4658,RawData[Transaction Date],H4658)</f>
        <v>1</v>
      </c>
      <c r="L4658"/>
    </row>
    <row r="4659" spans="1:12" x14ac:dyDescent="0.3">
      <c r="A4659" t="s">
        <v>4665</v>
      </c>
      <c r="B4659" t="s">
        <v>10014</v>
      </c>
      <c r="C4659" t="s">
        <v>10015</v>
      </c>
      <c r="D4659">
        <v>4</v>
      </c>
      <c r="E4659">
        <v>12</v>
      </c>
      <c r="F4659" t="s">
        <v>10069</v>
      </c>
      <c r="G4659" t="s">
        <v>10102</v>
      </c>
      <c r="H4659" s="6">
        <v>44957</v>
      </c>
      <c r="I4659">
        <f t="shared" si="144"/>
        <v>1</v>
      </c>
      <c r="J4659" t="str">
        <f t="shared" si="145"/>
        <v>Complete</v>
      </c>
      <c r="K4659">
        <f>COUNTIFS(RawData[Item], B4659,RawData[Quantity],C4659,RawData[Price Per Unit],D4659,RawData[Total Spent],E4659,RawData[Payment Method],F4659,RawData[Location],G4659,RawData[Transaction Date],H4659)</f>
        <v>1</v>
      </c>
      <c r="L4659"/>
    </row>
    <row r="4660" spans="1:12" x14ac:dyDescent="0.3">
      <c r="A4660" t="s">
        <v>4666</v>
      </c>
      <c r="B4660" t="s">
        <v>10016</v>
      </c>
      <c r="C4660">
        <v>3</v>
      </c>
      <c r="D4660">
        <v>3</v>
      </c>
      <c r="E4660">
        <v>9</v>
      </c>
      <c r="F4660" t="s">
        <v>10069</v>
      </c>
      <c r="G4660" t="s">
        <v>10102</v>
      </c>
      <c r="H4660" s="6">
        <v>45213</v>
      </c>
      <c r="I4660">
        <f t="shared" si="144"/>
        <v>0</v>
      </c>
      <c r="J4660" t="str">
        <f t="shared" si="145"/>
        <v>Complete</v>
      </c>
      <c r="K4660">
        <f>COUNTIFS(RawData[Item], B4660,RawData[Quantity],C4660,RawData[Price Per Unit],D4660,RawData[Total Spent],E4660,RawData[Payment Method],F4660,RawData[Location],G4660,RawData[Transaction Date],H4660)</f>
        <v>1</v>
      </c>
      <c r="L4660"/>
    </row>
    <row r="4661" spans="1:12" x14ac:dyDescent="0.3">
      <c r="A4661" t="s">
        <v>4667</v>
      </c>
      <c r="B4661" t="s">
        <v>10017</v>
      </c>
      <c r="C4661">
        <v>2</v>
      </c>
      <c r="D4661">
        <v>1.5</v>
      </c>
      <c r="E4661">
        <v>0</v>
      </c>
      <c r="F4661" t="s">
        <v>10019</v>
      </c>
      <c r="G4661" t="s">
        <v>10021</v>
      </c>
      <c r="H4661" s="6">
        <v>45284</v>
      </c>
      <c r="I4661">
        <f t="shared" si="144"/>
        <v>0</v>
      </c>
      <c r="J4661" t="str">
        <f t="shared" si="145"/>
        <v>Complete</v>
      </c>
      <c r="K4661">
        <f>COUNTIFS(RawData[Item], B4661,RawData[Quantity],C4661,RawData[Price Per Unit],D4661,RawData[Total Spent],E4661,RawData[Payment Method],F4661,RawData[Location],G4661,RawData[Transaction Date],H4661)</f>
        <v>1</v>
      </c>
      <c r="L4661"/>
    </row>
    <row r="4662" spans="1:12" x14ac:dyDescent="0.3">
      <c r="A4662" t="s">
        <v>4668</v>
      </c>
      <c r="B4662" t="s">
        <v>10016</v>
      </c>
      <c r="C4662">
        <v>4</v>
      </c>
      <c r="D4662">
        <v>3</v>
      </c>
      <c r="E4662">
        <v>12</v>
      </c>
      <c r="F4662" t="s">
        <v>10019</v>
      </c>
      <c r="G4662" t="s">
        <v>10102</v>
      </c>
      <c r="H4662" s="6">
        <v>45237</v>
      </c>
      <c r="I4662">
        <f t="shared" si="144"/>
        <v>0</v>
      </c>
      <c r="J4662" t="str">
        <f t="shared" si="145"/>
        <v>Complete</v>
      </c>
      <c r="K4662">
        <f>COUNTIFS(RawData[Item], B4662,RawData[Quantity],C4662,RawData[Price Per Unit],D4662,RawData[Total Spent],E4662,RawData[Payment Method],F4662,RawData[Location],G4662,RawData[Transaction Date],H4662)</f>
        <v>1</v>
      </c>
      <c r="L4662"/>
    </row>
    <row r="4663" spans="1:12" x14ac:dyDescent="0.3">
      <c r="A4663" t="s">
        <v>4669</v>
      </c>
      <c r="B4663" t="s">
        <v>10014</v>
      </c>
      <c r="C4663">
        <v>2</v>
      </c>
      <c r="D4663">
        <v>4</v>
      </c>
      <c r="E4663">
        <v>8</v>
      </c>
      <c r="F4663" t="s">
        <v>10019</v>
      </c>
      <c r="G4663" t="s">
        <v>10021</v>
      </c>
      <c r="H4663" s="6">
        <v>44948</v>
      </c>
      <c r="I4663">
        <f t="shared" si="144"/>
        <v>0</v>
      </c>
      <c r="J4663" t="str">
        <f t="shared" si="145"/>
        <v>Complete</v>
      </c>
      <c r="K4663">
        <f>COUNTIFS(RawData[Item], B4663,RawData[Quantity],C4663,RawData[Price Per Unit],D4663,RawData[Total Spent],E4663,RawData[Payment Method],F4663,RawData[Location],G4663,RawData[Transaction Date],H4663)</f>
        <v>1</v>
      </c>
      <c r="L4663"/>
    </row>
    <row r="4664" spans="1:12" x14ac:dyDescent="0.3">
      <c r="A4664" t="s">
        <v>4670</v>
      </c>
      <c r="B4664" t="s">
        <v>10012</v>
      </c>
      <c r="C4664">
        <v>1</v>
      </c>
      <c r="D4664">
        <v>4</v>
      </c>
      <c r="E4664">
        <v>4</v>
      </c>
      <c r="F4664" t="s">
        <v>10019</v>
      </c>
      <c r="G4664" t="s">
        <v>10069</v>
      </c>
      <c r="H4664" s="6">
        <v>45239</v>
      </c>
      <c r="I4664">
        <f t="shared" si="144"/>
        <v>0</v>
      </c>
      <c r="J4664" t="str">
        <f t="shared" si="145"/>
        <v>Complete</v>
      </c>
      <c r="K4664">
        <f>COUNTIFS(RawData[Item], B4664,RawData[Quantity],C4664,RawData[Price Per Unit],D4664,RawData[Total Spent],E4664,RawData[Payment Method],F4664,RawData[Location],G4664,RawData[Transaction Date],H4664)</f>
        <v>1</v>
      </c>
      <c r="L4664"/>
    </row>
    <row r="4665" spans="1:12" x14ac:dyDescent="0.3">
      <c r="A4665" t="s">
        <v>4671</v>
      </c>
      <c r="B4665" t="s">
        <v>10010</v>
      </c>
      <c r="C4665">
        <v>5</v>
      </c>
      <c r="D4665">
        <v>1</v>
      </c>
      <c r="E4665">
        <v>5</v>
      </c>
      <c r="F4665" t="s">
        <v>10018</v>
      </c>
      <c r="G4665" t="s">
        <v>10069</v>
      </c>
      <c r="H4665" s="6">
        <v>45170</v>
      </c>
      <c r="I4665">
        <f t="shared" si="144"/>
        <v>0</v>
      </c>
      <c r="J4665" t="str">
        <f t="shared" si="145"/>
        <v>Complete</v>
      </c>
      <c r="K4665">
        <f>COUNTIFS(RawData[Item], B4665,RawData[Quantity],C4665,RawData[Price Per Unit],D4665,RawData[Total Spent],E4665,RawData[Payment Method],F4665,RawData[Location],G4665,RawData[Transaction Date],H4665)</f>
        <v>1</v>
      </c>
      <c r="L4665"/>
    </row>
    <row r="4666" spans="1:12" x14ac:dyDescent="0.3">
      <c r="A4666" t="s">
        <v>4672</v>
      </c>
      <c r="B4666" t="s">
        <v>10012</v>
      </c>
      <c r="C4666">
        <v>3</v>
      </c>
      <c r="D4666">
        <v>4</v>
      </c>
      <c r="E4666">
        <v>12</v>
      </c>
      <c r="F4666" t="s">
        <v>10020</v>
      </c>
      <c r="G4666" t="s">
        <v>10069</v>
      </c>
      <c r="H4666" s="6">
        <v>45161</v>
      </c>
      <c r="I4666">
        <f t="shared" si="144"/>
        <v>0</v>
      </c>
      <c r="J4666" t="str">
        <f t="shared" si="145"/>
        <v>Complete</v>
      </c>
      <c r="K4666">
        <f>COUNTIFS(RawData[Item], B4666,RawData[Quantity],C4666,RawData[Price Per Unit],D4666,RawData[Total Spent],E4666,RawData[Payment Method],F4666,RawData[Location],G4666,RawData[Transaction Date],H4666)</f>
        <v>1</v>
      </c>
      <c r="L4666"/>
    </row>
    <row r="4667" spans="1:12" x14ac:dyDescent="0.3">
      <c r="A4667" t="s">
        <v>4673</v>
      </c>
      <c r="B4667" t="s">
        <v>10069</v>
      </c>
      <c r="C4667">
        <v>1</v>
      </c>
      <c r="D4667">
        <v>4</v>
      </c>
      <c r="E4667">
        <v>4</v>
      </c>
      <c r="F4667" t="s">
        <v>10019</v>
      </c>
      <c r="G4667" t="s">
        <v>10021</v>
      </c>
      <c r="H4667" s="6">
        <v>45231</v>
      </c>
      <c r="I4667">
        <f t="shared" si="144"/>
        <v>0</v>
      </c>
      <c r="J4667" t="str">
        <f t="shared" si="145"/>
        <v>Complete</v>
      </c>
      <c r="K4667">
        <f>COUNTIFS(RawData[Item], B4667,RawData[Quantity],C4667,RawData[Price Per Unit],D4667,RawData[Total Spent],E4667,RawData[Payment Method],F4667,RawData[Location],G4667,RawData[Transaction Date],H4667)</f>
        <v>1</v>
      </c>
      <c r="L4667"/>
    </row>
    <row r="4668" spans="1:12" x14ac:dyDescent="0.3">
      <c r="A4668" t="s">
        <v>4674</v>
      </c>
      <c r="B4668" t="s">
        <v>10009</v>
      </c>
      <c r="C4668">
        <v>4</v>
      </c>
      <c r="D4668">
        <v>3</v>
      </c>
      <c r="E4668">
        <v>12</v>
      </c>
      <c r="F4668" t="s">
        <v>10019</v>
      </c>
      <c r="G4668" t="s">
        <v>10069</v>
      </c>
      <c r="H4668" s="6">
        <v>44932</v>
      </c>
      <c r="I4668">
        <f t="shared" si="144"/>
        <v>0</v>
      </c>
      <c r="J4668" t="str">
        <f t="shared" si="145"/>
        <v>Complete</v>
      </c>
      <c r="K4668">
        <f>COUNTIFS(RawData[Item], B4668,RawData[Quantity],C4668,RawData[Price Per Unit],D4668,RawData[Total Spent],E4668,RawData[Payment Method],F4668,RawData[Location],G4668,RawData[Transaction Date],H4668)</f>
        <v>1</v>
      </c>
      <c r="L4668"/>
    </row>
    <row r="4669" spans="1:12" x14ac:dyDescent="0.3">
      <c r="A4669" t="s">
        <v>4675</v>
      </c>
      <c r="B4669" t="s">
        <v>10016</v>
      </c>
      <c r="C4669">
        <v>1</v>
      </c>
      <c r="D4669">
        <v>3</v>
      </c>
      <c r="E4669">
        <v>3</v>
      </c>
      <c r="F4669" t="s">
        <v>10019</v>
      </c>
      <c r="G4669" t="s">
        <v>10069</v>
      </c>
      <c r="H4669" s="6">
        <v>45224</v>
      </c>
      <c r="I4669">
        <f t="shared" si="144"/>
        <v>0</v>
      </c>
      <c r="J4669" t="str">
        <f t="shared" si="145"/>
        <v>Complete</v>
      </c>
      <c r="K4669">
        <f>COUNTIFS(RawData[Item], B4669,RawData[Quantity],C4669,RawData[Price Per Unit],D4669,RawData[Total Spent],E4669,RawData[Payment Method],F4669,RawData[Location],G4669,RawData[Transaction Date],H4669)</f>
        <v>1</v>
      </c>
      <c r="L4669"/>
    </row>
    <row r="4670" spans="1:12" x14ac:dyDescent="0.3">
      <c r="A4670" t="s">
        <v>4676</v>
      </c>
      <c r="B4670" t="s">
        <v>10011</v>
      </c>
      <c r="C4670">
        <v>4</v>
      </c>
      <c r="D4670">
        <v>5</v>
      </c>
      <c r="E4670">
        <v>20</v>
      </c>
      <c r="F4670" t="s">
        <v>10069</v>
      </c>
      <c r="G4670" t="s">
        <v>10102</v>
      </c>
      <c r="H4670" s="6">
        <v>45258</v>
      </c>
      <c r="I4670">
        <f t="shared" si="144"/>
        <v>0</v>
      </c>
      <c r="J4670" t="str">
        <f t="shared" si="145"/>
        <v>Complete</v>
      </c>
      <c r="K4670">
        <f>COUNTIFS(RawData[Item], B4670,RawData[Quantity],C4670,RawData[Price Per Unit],D4670,RawData[Total Spent],E4670,RawData[Payment Method],F4670,RawData[Location],G4670,RawData[Transaction Date],H4670)</f>
        <v>1</v>
      </c>
      <c r="L4670"/>
    </row>
    <row r="4671" spans="1:12" x14ac:dyDescent="0.3">
      <c r="A4671" t="s">
        <v>4677</v>
      </c>
      <c r="B4671" t="s">
        <v>10012</v>
      </c>
      <c r="C4671">
        <v>5</v>
      </c>
      <c r="D4671">
        <v>4</v>
      </c>
      <c r="E4671">
        <v>20</v>
      </c>
      <c r="F4671" t="s">
        <v>10069</v>
      </c>
      <c r="G4671" t="s">
        <v>10102</v>
      </c>
      <c r="H4671" s="6">
        <v>45117</v>
      </c>
      <c r="I4671">
        <f t="shared" si="144"/>
        <v>0</v>
      </c>
      <c r="J4671" t="str">
        <f t="shared" si="145"/>
        <v>Complete</v>
      </c>
      <c r="K4671">
        <f>COUNTIFS(RawData[Item], B4671,RawData[Quantity],C4671,RawData[Price Per Unit],D4671,RawData[Total Spent],E4671,RawData[Payment Method],F4671,RawData[Location],G4671,RawData[Transaction Date],H4671)</f>
        <v>1</v>
      </c>
      <c r="L4671"/>
    </row>
    <row r="4672" spans="1:12" x14ac:dyDescent="0.3">
      <c r="A4672" t="s">
        <v>4678</v>
      </c>
      <c r="B4672" t="s">
        <v>10016</v>
      </c>
      <c r="C4672">
        <v>5</v>
      </c>
      <c r="D4672">
        <v>3</v>
      </c>
      <c r="E4672">
        <v>15</v>
      </c>
      <c r="F4672" t="s">
        <v>10104</v>
      </c>
      <c r="G4672" t="s">
        <v>10021</v>
      </c>
      <c r="H4672" s="6">
        <v>45097</v>
      </c>
      <c r="I4672">
        <f t="shared" si="144"/>
        <v>1</v>
      </c>
      <c r="J4672" t="str">
        <f t="shared" si="145"/>
        <v>Complete</v>
      </c>
      <c r="K4672">
        <f>COUNTIFS(RawData[Item], B4672,RawData[Quantity],C4672,RawData[Price Per Unit],D4672,RawData[Total Spent],E4672,RawData[Payment Method],F4672,RawData[Location],G4672,RawData[Transaction Date],H4672)</f>
        <v>1</v>
      </c>
      <c r="L4672"/>
    </row>
    <row r="4673" spans="1:12" x14ac:dyDescent="0.3">
      <c r="A4673" t="s">
        <v>4679</v>
      </c>
      <c r="B4673" t="s">
        <v>10014</v>
      </c>
      <c r="C4673">
        <v>4</v>
      </c>
      <c r="D4673">
        <v>4</v>
      </c>
      <c r="E4673">
        <v>16</v>
      </c>
      <c r="F4673" t="s">
        <v>10069</v>
      </c>
      <c r="G4673" t="s">
        <v>10021</v>
      </c>
      <c r="H4673" s="6">
        <v>45010</v>
      </c>
      <c r="I4673">
        <f t="shared" si="144"/>
        <v>0</v>
      </c>
      <c r="J4673" t="str">
        <f t="shared" si="145"/>
        <v>Complete</v>
      </c>
      <c r="K4673">
        <f>COUNTIFS(RawData[Item], B4673,RawData[Quantity],C4673,RawData[Price Per Unit],D4673,RawData[Total Spent],E4673,RawData[Payment Method],F4673,RawData[Location],G4673,RawData[Transaction Date],H4673)</f>
        <v>1</v>
      </c>
      <c r="L4673"/>
    </row>
    <row r="4674" spans="1:12" x14ac:dyDescent="0.3">
      <c r="A4674" t="s">
        <v>4680</v>
      </c>
      <c r="B4674" t="s">
        <v>10008</v>
      </c>
      <c r="C4674">
        <v>3</v>
      </c>
      <c r="D4674" t="s">
        <v>10015</v>
      </c>
      <c r="E4674">
        <v>6</v>
      </c>
      <c r="F4674" t="s">
        <v>10019</v>
      </c>
      <c r="G4674" t="s">
        <v>10021</v>
      </c>
      <c r="H4674" s="6">
        <v>45100</v>
      </c>
      <c r="I4674">
        <f t="shared" ref="I4674:I4737" si="146">(B4674="Unknown")+(B4674="Error")+(C4674="Unknown")+(C4674="Error")+(D4674="Unknown")+(D4674="Error")+(E4674="Unknown")+(E4674="Error")+(F4674="Unknown")+(F4674="Error")+(G4674="Unknown")+(G4674="Error")+(H4674="No Date")</f>
        <v>1</v>
      </c>
      <c r="J4674" t="str">
        <f t="shared" ref="J4674:J4737" si="147">IF((H4674="No Date"),"Incomplete","Complete")</f>
        <v>Complete</v>
      </c>
      <c r="K4674">
        <f>COUNTIFS(RawData[Item], B4674,RawData[Quantity],C4674,RawData[Price Per Unit],D4674,RawData[Total Spent],E4674,RawData[Payment Method],F4674,RawData[Location],G4674,RawData[Transaction Date],H4674)</f>
        <v>1</v>
      </c>
      <c r="L4674"/>
    </row>
    <row r="4675" spans="1:12" x14ac:dyDescent="0.3">
      <c r="A4675" t="s">
        <v>4681</v>
      </c>
      <c r="B4675" t="s">
        <v>10009</v>
      </c>
      <c r="C4675">
        <v>5</v>
      </c>
      <c r="D4675">
        <v>3</v>
      </c>
      <c r="E4675">
        <v>15</v>
      </c>
      <c r="F4675" t="s">
        <v>10069</v>
      </c>
      <c r="G4675" t="s">
        <v>10102</v>
      </c>
      <c r="H4675" s="6">
        <v>45286</v>
      </c>
      <c r="I4675">
        <f t="shared" si="146"/>
        <v>0</v>
      </c>
      <c r="J4675" t="str">
        <f t="shared" si="147"/>
        <v>Complete</v>
      </c>
      <c r="K4675">
        <f>COUNTIFS(RawData[Item], B4675,RawData[Quantity],C4675,RawData[Price Per Unit],D4675,RawData[Total Spent],E4675,RawData[Payment Method],F4675,RawData[Location],G4675,RawData[Transaction Date],H4675)</f>
        <v>1</v>
      </c>
      <c r="L4675"/>
    </row>
    <row r="4676" spans="1:12" x14ac:dyDescent="0.3">
      <c r="A4676" t="s">
        <v>4682</v>
      </c>
      <c r="B4676" t="s">
        <v>10012</v>
      </c>
      <c r="C4676">
        <v>3</v>
      </c>
      <c r="D4676">
        <v>4</v>
      </c>
      <c r="E4676" t="s">
        <v>10013</v>
      </c>
      <c r="F4676" t="s">
        <v>10018</v>
      </c>
      <c r="G4676" t="s">
        <v>10069</v>
      </c>
      <c r="H4676" s="6">
        <v>45128</v>
      </c>
      <c r="I4676">
        <f t="shared" si="146"/>
        <v>1</v>
      </c>
      <c r="J4676" t="str">
        <f t="shared" si="147"/>
        <v>Complete</v>
      </c>
      <c r="K4676">
        <f>COUNTIFS(RawData[Item], B4676,RawData[Quantity],C4676,RawData[Price Per Unit],D4676,RawData[Total Spent],E4676,RawData[Payment Method],F4676,RawData[Location],G4676,RawData[Transaction Date],H4676)</f>
        <v>1</v>
      </c>
      <c r="L4676"/>
    </row>
    <row r="4677" spans="1:12" x14ac:dyDescent="0.3">
      <c r="A4677" t="s">
        <v>4683</v>
      </c>
      <c r="B4677" t="s">
        <v>10012</v>
      </c>
      <c r="C4677">
        <v>4</v>
      </c>
      <c r="D4677">
        <v>4</v>
      </c>
      <c r="E4677">
        <v>16</v>
      </c>
      <c r="F4677" t="s">
        <v>10019</v>
      </c>
      <c r="G4677" t="s">
        <v>10069</v>
      </c>
      <c r="H4677" s="6">
        <v>45267</v>
      </c>
      <c r="I4677">
        <f t="shared" si="146"/>
        <v>0</v>
      </c>
      <c r="J4677" t="str">
        <f t="shared" si="147"/>
        <v>Complete</v>
      </c>
      <c r="K4677">
        <f>COUNTIFS(RawData[Item], B4677,RawData[Quantity],C4677,RawData[Price Per Unit],D4677,RawData[Total Spent],E4677,RawData[Payment Method],F4677,RawData[Location],G4677,RawData[Transaction Date],H4677)</f>
        <v>1</v>
      </c>
      <c r="L4677"/>
    </row>
    <row r="4678" spans="1:12" x14ac:dyDescent="0.3">
      <c r="A4678" t="s">
        <v>4684</v>
      </c>
      <c r="B4678" t="s">
        <v>10017</v>
      </c>
      <c r="C4678">
        <v>3</v>
      </c>
      <c r="D4678">
        <v>1.5</v>
      </c>
      <c r="E4678">
        <v>4.5</v>
      </c>
      <c r="F4678" t="s">
        <v>10019</v>
      </c>
      <c r="G4678" t="s">
        <v>10021</v>
      </c>
      <c r="H4678" s="6">
        <v>44940</v>
      </c>
      <c r="I4678">
        <f t="shared" si="146"/>
        <v>0</v>
      </c>
      <c r="J4678" t="str">
        <f t="shared" si="147"/>
        <v>Complete</v>
      </c>
      <c r="K4678">
        <f>COUNTIFS(RawData[Item], B4678,RawData[Quantity],C4678,RawData[Price Per Unit],D4678,RawData[Total Spent],E4678,RawData[Payment Method],F4678,RawData[Location],G4678,RawData[Transaction Date],H4678)</f>
        <v>1</v>
      </c>
      <c r="L4678"/>
    </row>
    <row r="4679" spans="1:12" x14ac:dyDescent="0.3">
      <c r="A4679" t="s">
        <v>4685</v>
      </c>
      <c r="B4679" t="s">
        <v>10010</v>
      </c>
      <c r="C4679">
        <v>3</v>
      </c>
      <c r="D4679">
        <v>1</v>
      </c>
      <c r="E4679">
        <v>3</v>
      </c>
      <c r="F4679" t="s">
        <v>10069</v>
      </c>
      <c r="G4679" t="s">
        <v>10102</v>
      </c>
      <c r="H4679" s="6">
        <v>45094</v>
      </c>
      <c r="I4679">
        <f t="shared" si="146"/>
        <v>0</v>
      </c>
      <c r="J4679" t="str">
        <f t="shared" si="147"/>
        <v>Complete</v>
      </c>
      <c r="K4679">
        <f>COUNTIFS(RawData[Item], B4679,RawData[Quantity],C4679,RawData[Price Per Unit],D4679,RawData[Total Spent],E4679,RawData[Payment Method],F4679,RawData[Location],G4679,RawData[Transaction Date],H4679)</f>
        <v>1</v>
      </c>
      <c r="L4679"/>
    </row>
    <row r="4680" spans="1:12" x14ac:dyDescent="0.3">
      <c r="A4680" t="s">
        <v>4686</v>
      </c>
      <c r="B4680" t="s">
        <v>10017</v>
      </c>
      <c r="C4680">
        <v>5</v>
      </c>
      <c r="D4680">
        <v>1.5</v>
      </c>
      <c r="E4680">
        <v>7.5</v>
      </c>
      <c r="F4680" t="s">
        <v>10020</v>
      </c>
      <c r="G4680" t="s">
        <v>10102</v>
      </c>
      <c r="H4680" s="6">
        <v>45080</v>
      </c>
      <c r="I4680">
        <f t="shared" si="146"/>
        <v>0</v>
      </c>
      <c r="J4680" t="str">
        <f t="shared" si="147"/>
        <v>Complete</v>
      </c>
      <c r="K4680">
        <f>COUNTIFS(RawData[Item], B4680,RawData[Quantity],C4680,RawData[Price Per Unit],D4680,RawData[Total Spent],E4680,RawData[Payment Method],F4680,RawData[Location],G4680,RawData[Transaction Date],H4680)</f>
        <v>1</v>
      </c>
      <c r="L4680"/>
    </row>
    <row r="4681" spans="1:12" x14ac:dyDescent="0.3">
      <c r="A4681" t="s">
        <v>4687</v>
      </c>
      <c r="B4681" t="s">
        <v>10016</v>
      </c>
      <c r="C4681">
        <v>0</v>
      </c>
      <c r="D4681">
        <v>3</v>
      </c>
      <c r="E4681">
        <v>3</v>
      </c>
      <c r="F4681" t="s">
        <v>10020</v>
      </c>
      <c r="G4681" t="s">
        <v>10102</v>
      </c>
      <c r="H4681" s="6">
        <v>44956</v>
      </c>
      <c r="I4681">
        <f t="shared" si="146"/>
        <v>0</v>
      </c>
      <c r="J4681" t="str">
        <f t="shared" si="147"/>
        <v>Complete</v>
      </c>
      <c r="K4681">
        <f>COUNTIFS(RawData[Item], B4681,RawData[Quantity],C4681,RawData[Price Per Unit],D4681,RawData[Total Spent],E4681,RawData[Payment Method],F4681,RawData[Location],G4681,RawData[Transaction Date],H4681)</f>
        <v>1</v>
      </c>
      <c r="L4681"/>
    </row>
    <row r="4682" spans="1:12" x14ac:dyDescent="0.3">
      <c r="A4682" t="s">
        <v>4688</v>
      </c>
      <c r="B4682" t="s">
        <v>10012</v>
      </c>
      <c r="C4682">
        <v>5</v>
      </c>
      <c r="D4682">
        <v>4</v>
      </c>
      <c r="E4682">
        <v>20</v>
      </c>
      <c r="F4682" t="s">
        <v>10069</v>
      </c>
      <c r="G4682" t="s">
        <v>10021</v>
      </c>
      <c r="H4682" s="6">
        <v>45078</v>
      </c>
      <c r="I4682">
        <f t="shared" si="146"/>
        <v>0</v>
      </c>
      <c r="J4682" t="str">
        <f t="shared" si="147"/>
        <v>Complete</v>
      </c>
      <c r="K4682">
        <f>COUNTIFS(RawData[Item], B4682,RawData[Quantity],C4682,RawData[Price Per Unit],D4682,RawData[Total Spent],E4682,RawData[Payment Method],F4682,RawData[Location],G4682,RawData[Transaction Date],H4682)</f>
        <v>1</v>
      </c>
      <c r="L4682"/>
    </row>
    <row r="4683" spans="1:12" x14ac:dyDescent="0.3">
      <c r="A4683" t="s">
        <v>4689</v>
      </c>
      <c r="B4683" t="s">
        <v>10017</v>
      </c>
      <c r="C4683">
        <v>4</v>
      </c>
      <c r="D4683">
        <v>1.5</v>
      </c>
      <c r="E4683">
        <v>6</v>
      </c>
      <c r="F4683" t="s">
        <v>10104</v>
      </c>
      <c r="G4683" t="s">
        <v>10104</v>
      </c>
      <c r="H4683" s="6">
        <v>45185</v>
      </c>
      <c r="I4683">
        <f t="shared" si="146"/>
        <v>2</v>
      </c>
      <c r="J4683" t="str">
        <f t="shared" si="147"/>
        <v>Complete</v>
      </c>
      <c r="K4683">
        <f>COUNTIFS(RawData[Item], B4683,RawData[Quantity],C4683,RawData[Price Per Unit],D4683,RawData[Total Spent],E4683,RawData[Payment Method],F4683,RawData[Location],G4683,RawData[Transaction Date],H4683)</f>
        <v>1</v>
      </c>
      <c r="L4683"/>
    </row>
    <row r="4684" spans="1:12" x14ac:dyDescent="0.3">
      <c r="A4684" t="s">
        <v>4690</v>
      </c>
      <c r="B4684" t="s">
        <v>10014</v>
      </c>
      <c r="C4684">
        <v>1</v>
      </c>
      <c r="D4684">
        <v>4</v>
      </c>
      <c r="E4684">
        <v>4</v>
      </c>
      <c r="F4684" t="s">
        <v>10104</v>
      </c>
      <c r="G4684" t="s">
        <v>10021</v>
      </c>
      <c r="H4684" s="6">
        <v>45207</v>
      </c>
      <c r="I4684">
        <f t="shared" si="146"/>
        <v>1</v>
      </c>
      <c r="J4684" t="str">
        <f t="shared" si="147"/>
        <v>Complete</v>
      </c>
      <c r="K4684">
        <f>COUNTIFS(RawData[Item], B4684,RawData[Quantity],C4684,RawData[Price Per Unit],D4684,RawData[Total Spent],E4684,RawData[Payment Method],F4684,RawData[Location],G4684,RawData[Transaction Date],H4684)</f>
        <v>1</v>
      </c>
      <c r="L4684"/>
    </row>
    <row r="4685" spans="1:12" x14ac:dyDescent="0.3">
      <c r="A4685" t="s">
        <v>4691</v>
      </c>
      <c r="B4685" t="s">
        <v>10009</v>
      </c>
      <c r="C4685">
        <v>5</v>
      </c>
      <c r="D4685">
        <v>3</v>
      </c>
      <c r="E4685">
        <v>15</v>
      </c>
      <c r="F4685" t="s">
        <v>10018</v>
      </c>
      <c r="G4685" t="s">
        <v>10102</v>
      </c>
      <c r="H4685" s="6">
        <v>45256</v>
      </c>
      <c r="I4685">
        <f t="shared" si="146"/>
        <v>0</v>
      </c>
      <c r="J4685" t="str">
        <f t="shared" si="147"/>
        <v>Complete</v>
      </c>
      <c r="K4685">
        <f>COUNTIFS(RawData[Item], B4685,RawData[Quantity],C4685,RawData[Price Per Unit],D4685,RawData[Total Spent],E4685,RawData[Payment Method],F4685,RawData[Location],G4685,RawData[Transaction Date],H4685)</f>
        <v>1</v>
      </c>
      <c r="L4685"/>
    </row>
    <row r="4686" spans="1:12" x14ac:dyDescent="0.3">
      <c r="A4686" t="s">
        <v>4692</v>
      </c>
      <c r="B4686" t="s">
        <v>10016</v>
      </c>
      <c r="C4686">
        <v>1</v>
      </c>
      <c r="D4686">
        <v>3</v>
      </c>
      <c r="E4686">
        <v>3</v>
      </c>
      <c r="F4686" t="s">
        <v>10019</v>
      </c>
      <c r="G4686" t="s">
        <v>10069</v>
      </c>
      <c r="H4686" s="6">
        <v>45123</v>
      </c>
      <c r="I4686">
        <f t="shared" si="146"/>
        <v>0</v>
      </c>
      <c r="J4686" t="str">
        <f t="shared" si="147"/>
        <v>Complete</v>
      </c>
      <c r="K4686">
        <f>COUNTIFS(RawData[Item], B4686,RawData[Quantity],C4686,RawData[Price Per Unit],D4686,RawData[Total Spent],E4686,RawData[Payment Method],F4686,RawData[Location],G4686,RawData[Transaction Date],H4686)</f>
        <v>1</v>
      </c>
      <c r="L4686"/>
    </row>
    <row r="4687" spans="1:12" x14ac:dyDescent="0.3">
      <c r="A4687" t="s">
        <v>4693</v>
      </c>
      <c r="B4687" t="s">
        <v>10010</v>
      </c>
      <c r="C4687">
        <v>1</v>
      </c>
      <c r="D4687">
        <v>1</v>
      </c>
      <c r="E4687">
        <v>1</v>
      </c>
      <c r="F4687" t="s">
        <v>10104</v>
      </c>
      <c r="G4687" t="s">
        <v>10104</v>
      </c>
      <c r="H4687" s="6">
        <v>45097</v>
      </c>
      <c r="I4687">
        <f t="shared" si="146"/>
        <v>2</v>
      </c>
      <c r="J4687" t="str">
        <f t="shared" si="147"/>
        <v>Complete</v>
      </c>
      <c r="K4687">
        <f>COUNTIFS(RawData[Item], B4687,RawData[Quantity],C4687,RawData[Price Per Unit],D4687,RawData[Total Spent],E4687,RawData[Payment Method],F4687,RawData[Location],G4687,RawData[Transaction Date],H4687)</f>
        <v>1</v>
      </c>
      <c r="L4687"/>
    </row>
    <row r="4688" spans="1:12" x14ac:dyDescent="0.3">
      <c r="A4688" t="s">
        <v>4694</v>
      </c>
      <c r="B4688" t="s">
        <v>10016</v>
      </c>
      <c r="C4688">
        <v>4</v>
      </c>
      <c r="D4688">
        <v>3</v>
      </c>
      <c r="E4688">
        <v>12</v>
      </c>
      <c r="F4688" t="s">
        <v>10018</v>
      </c>
      <c r="G4688" t="s">
        <v>10102</v>
      </c>
      <c r="H4688" s="6">
        <v>45104</v>
      </c>
      <c r="I4688">
        <f t="shared" si="146"/>
        <v>0</v>
      </c>
      <c r="J4688" t="str">
        <f t="shared" si="147"/>
        <v>Complete</v>
      </c>
      <c r="K4688">
        <f>COUNTIFS(RawData[Item], B4688,RawData[Quantity],C4688,RawData[Price Per Unit],D4688,RawData[Total Spent],E4688,RawData[Payment Method],F4688,RawData[Location],G4688,RawData[Transaction Date],H4688)</f>
        <v>1</v>
      </c>
      <c r="L4688"/>
    </row>
    <row r="4689" spans="1:12" x14ac:dyDescent="0.3">
      <c r="A4689" t="s">
        <v>4695</v>
      </c>
      <c r="B4689" t="s">
        <v>10010</v>
      </c>
      <c r="C4689">
        <v>1</v>
      </c>
      <c r="D4689">
        <v>1</v>
      </c>
      <c r="E4689" t="s">
        <v>10013</v>
      </c>
      <c r="F4689" t="s">
        <v>10020</v>
      </c>
      <c r="G4689" t="s">
        <v>10102</v>
      </c>
      <c r="H4689" s="6">
        <v>45035</v>
      </c>
      <c r="I4689">
        <f t="shared" si="146"/>
        <v>1</v>
      </c>
      <c r="J4689" t="str">
        <f t="shared" si="147"/>
        <v>Complete</v>
      </c>
      <c r="K4689">
        <f>COUNTIFS(RawData[Item], B4689,RawData[Quantity],C4689,RawData[Price Per Unit],D4689,RawData[Total Spent],E4689,RawData[Payment Method],F4689,RawData[Location],G4689,RawData[Transaction Date],H4689)</f>
        <v>1</v>
      </c>
      <c r="L4689"/>
    </row>
    <row r="4690" spans="1:12" x14ac:dyDescent="0.3">
      <c r="A4690" t="s">
        <v>4696</v>
      </c>
      <c r="B4690" t="s">
        <v>10012</v>
      </c>
      <c r="C4690">
        <v>1</v>
      </c>
      <c r="D4690">
        <v>4</v>
      </c>
      <c r="E4690">
        <v>4</v>
      </c>
      <c r="F4690" t="s">
        <v>10020</v>
      </c>
      <c r="G4690" t="s">
        <v>10021</v>
      </c>
      <c r="H4690" s="6">
        <v>44996</v>
      </c>
      <c r="I4690">
        <f t="shared" si="146"/>
        <v>0</v>
      </c>
      <c r="J4690" t="str">
        <f t="shared" si="147"/>
        <v>Complete</v>
      </c>
      <c r="K4690">
        <f>COUNTIFS(RawData[Item], B4690,RawData[Quantity],C4690,RawData[Price Per Unit],D4690,RawData[Total Spent],E4690,RawData[Payment Method],F4690,RawData[Location],G4690,RawData[Transaction Date],H4690)</f>
        <v>1</v>
      </c>
      <c r="L4690"/>
    </row>
    <row r="4691" spans="1:12" x14ac:dyDescent="0.3">
      <c r="A4691" t="s">
        <v>4697</v>
      </c>
      <c r="B4691" t="s">
        <v>10012</v>
      </c>
      <c r="C4691">
        <v>0</v>
      </c>
      <c r="D4691">
        <v>4</v>
      </c>
      <c r="E4691">
        <v>12</v>
      </c>
      <c r="F4691" t="s">
        <v>10018</v>
      </c>
      <c r="G4691" t="s">
        <v>10021</v>
      </c>
      <c r="H4691" s="6">
        <v>44982</v>
      </c>
      <c r="I4691">
        <f t="shared" si="146"/>
        <v>0</v>
      </c>
      <c r="J4691" t="str">
        <f t="shared" si="147"/>
        <v>Complete</v>
      </c>
      <c r="K4691">
        <f>COUNTIFS(RawData[Item], B4691,RawData[Quantity],C4691,RawData[Price Per Unit],D4691,RawData[Total Spent],E4691,RawData[Payment Method],F4691,RawData[Location],G4691,RawData[Transaction Date],H4691)</f>
        <v>1</v>
      </c>
      <c r="L4691"/>
    </row>
    <row r="4692" spans="1:12" x14ac:dyDescent="0.3">
      <c r="A4692" t="s">
        <v>4698</v>
      </c>
      <c r="B4692" t="s">
        <v>10016</v>
      </c>
      <c r="C4692">
        <v>4</v>
      </c>
      <c r="D4692">
        <v>3</v>
      </c>
      <c r="E4692">
        <v>12</v>
      </c>
      <c r="F4692" t="s">
        <v>10018</v>
      </c>
      <c r="G4692" t="s">
        <v>10102</v>
      </c>
      <c r="H4692" s="6">
        <v>45083</v>
      </c>
      <c r="I4692">
        <f t="shared" si="146"/>
        <v>0</v>
      </c>
      <c r="J4692" t="str">
        <f t="shared" si="147"/>
        <v>Complete</v>
      </c>
      <c r="K4692">
        <f>COUNTIFS(RawData[Item], B4692,RawData[Quantity],C4692,RawData[Price Per Unit],D4692,RawData[Total Spent],E4692,RawData[Payment Method],F4692,RawData[Location],G4692,RawData[Transaction Date],H4692)</f>
        <v>1</v>
      </c>
      <c r="L4692"/>
    </row>
    <row r="4693" spans="1:12" x14ac:dyDescent="0.3">
      <c r="A4693" t="s">
        <v>4699</v>
      </c>
      <c r="B4693" t="s">
        <v>10016</v>
      </c>
      <c r="C4693">
        <v>3</v>
      </c>
      <c r="D4693">
        <v>3</v>
      </c>
      <c r="E4693">
        <v>9</v>
      </c>
      <c r="F4693" t="s">
        <v>10069</v>
      </c>
      <c r="G4693" t="s">
        <v>10103</v>
      </c>
      <c r="H4693" s="6">
        <v>45001</v>
      </c>
      <c r="I4693">
        <f t="shared" si="146"/>
        <v>1</v>
      </c>
      <c r="J4693" t="str">
        <f t="shared" si="147"/>
        <v>Complete</v>
      </c>
      <c r="K4693">
        <f>COUNTIFS(RawData[Item], B4693,RawData[Quantity],C4693,RawData[Price Per Unit],D4693,RawData[Total Spent],E4693,RawData[Payment Method],F4693,RawData[Location],G4693,RawData[Transaction Date],H4693)</f>
        <v>1</v>
      </c>
      <c r="L4693"/>
    </row>
    <row r="4694" spans="1:12" x14ac:dyDescent="0.3">
      <c r="A4694" t="s">
        <v>4700</v>
      </c>
      <c r="B4694" t="s">
        <v>10008</v>
      </c>
      <c r="C4694">
        <v>2</v>
      </c>
      <c r="D4694">
        <v>2</v>
      </c>
      <c r="E4694">
        <v>4</v>
      </c>
      <c r="F4694" t="s">
        <v>10019</v>
      </c>
      <c r="G4694" t="s">
        <v>10069</v>
      </c>
      <c r="H4694" s="6">
        <v>44936</v>
      </c>
      <c r="I4694">
        <f t="shared" si="146"/>
        <v>0</v>
      </c>
      <c r="J4694" t="str">
        <f t="shared" si="147"/>
        <v>Complete</v>
      </c>
      <c r="K4694">
        <f>COUNTIFS(RawData[Item], B4694,RawData[Quantity],C4694,RawData[Price Per Unit],D4694,RawData[Total Spent],E4694,RawData[Payment Method],F4694,RawData[Location],G4694,RawData[Transaction Date],H4694)</f>
        <v>1</v>
      </c>
      <c r="L4694"/>
    </row>
    <row r="4695" spans="1:12" x14ac:dyDescent="0.3">
      <c r="A4695" t="s">
        <v>4701</v>
      </c>
      <c r="B4695" t="s">
        <v>10016</v>
      </c>
      <c r="C4695">
        <v>5</v>
      </c>
      <c r="D4695">
        <v>3</v>
      </c>
      <c r="E4695">
        <v>15</v>
      </c>
      <c r="F4695" t="s">
        <v>10020</v>
      </c>
      <c r="G4695" t="s">
        <v>10069</v>
      </c>
      <c r="H4695" s="6">
        <v>45083</v>
      </c>
      <c r="I4695">
        <f t="shared" si="146"/>
        <v>0</v>
      </c>
      <c r="J4695" t="str">
        <f t="shared" si="147"/>
        <v>Complete</v>
      </c>
      <c r="K4695">
        <f>COUNTIFS(RawData[Item], B4695,RawData[Quantity],C4695,RawData[Price Per Unit],D4695,RawData[Total Spent],E4695,RawData[Payment Method],F4695,RawData[Location],G4695,RawData[Transaction Date],H4695)</f>
        <v>1</v>
      </c>
      <c r="L4695"/>
    </row>
    <row r="4696" spans="1:12" x14ac:dyDescent="0.3">
      <c r="A4696" t="s">
        <v>4702</v>
      </c>
      <c r="B4696" t="s">
        <v>10008</v>
      </c>
      <c r="C4696">
        <v>2</v>
      </c>
      <c r="D4696">
        <v>2</v>
      </c>
      <c r="E4696">
        <v>4</v>
      </c>
      <c r="F4696" t="s">
        <v>10069</v>
      </c>
      <c r="G4696" t="s">
        <v>10102</v>
      </c>
      <c r="H4696" s="6">
        <v>45069</v>
      </c>
      <c r="I4696">
        <f t="shared" si="146"/>
        <v>0</v>
      </c>
      <c r="J4696" t="str">
        <f t="shared" si="147"/>
        <v>Complete</v>
      </c>
      <c r="K4696">
        <f>COUNTIFS(RawData[Item], B4696,RawData[Quantity],C4696,RawData[Price Per Unit],D4696,RawData[Total Spent],E4696,RawData[Payment Method],F4696,RawData[Location],G4696,RawData[Transaction Date],H4696)</f>
        <v>1</v>
      </c>
      <c r="L4696"/>
    </row>
    <row r="4697" spans="1:12" x14ac:dyDescent="0.3">
      <c r="A4697" t="s">
        <v>4703</v>
      </c>
      <c r="B4697" t="s">
        <v>10010</v>
      </c>
      <c r="C4697">
        <v>4</v>
      </c>
      <c r="D4697">
        <v>1</v>
      </c>
      <c r="E4697">
        <v>4</v>
      </c>
      <c r="F4697" t="s">
        <v>10020</v>
      </c>
      <c r="G4697" t="s">
        <v>10102</v>
      </c>
      <c r="H4697" s="6">
        <v>45244</v>
      </c>
      <c r="I4697">
        <f t="shared" si="146"/>
        <v>0</v>
      </c>
      <c r="J4697" t="str">
        <f t="shared" si="147"/>
        <v>Complete</v>
      </c>
      <c r="K4697">
        <f>COUNTIFS(RawData[Item], B4697,RawData[Quantity],C4697,RawData[Price Per Unit],D4697,RawData[Total Spent],E4697,RawData[Payment Method],F4697,RawData[Location],G4697,RawData[Transaction Date],H4697)</f>
        <v>1</v>
      </c>
      <c r="L4697"/>
    </row>
    <row r="4698" spans="1:12" x14ac:dyDescent="0.3">
      <c r="A4698" t="s">
        <v>4704</v>
      </c>
      <c r="B4698" t="s">
        <v>10016</v>
      </c>
      <c r="C4698">
        <v>2</v>
      </c>
      <c r="D4698">
        <v>3</v>
      </c>
      <c r="E4698">
        <v>6</v>
      </c>
      <c r="F4698" t="s">
        <v>10019</v>
      </c>
      <c r="G4698" t="s">
        <v>10069</v>
      </c>
      <c r="H4698" s="6">
        <v>45026</v>
      </c>
      <c r="I4698">
        <f t="shared" si="146"/>
        <v>0</v>
      </c>
      <c r="J4698" t="str">
        <f t="shared" si="147"/>
        <v>Complete</v>
      </c>
      <c r="K4698">
        <f>COUNTIFS(RawData[Item], B4698,RawData[Quantity],C4698,RawData[Price Per Unit],D4698,RawData[Total Spent],E4698,RawData[Payment Method],F4698,RawData[Location],G4698,RawData[Transaction Date],H4698)</f>
        <v>1</v>
      </c>
      <c r="L4698"/>
    </row>
    <row r="4699" spans="1:12" x14ac:dyDescent="0.3">
      <c r="A4699" t="s">
        <v>4705</v>
      </c>
      <c r="B4699" t="s">
        <v>10014</v>
      </c>
      <c r="C4699">
        <v>3</v>
      </c>
      <c r="D4699">
        <v>4</v>
      </c>
      <c r="E4699">
        <v>12</v>
      </c>
      <c r="F4699" t="s">
        <v>10069</v>
      </c>
      <c r="G4699" t="s">
        <v>10102</v>
      </c>
      <c r="H4699" s="6">
        <v>45141</v>
      </c>
      <c r="I4699">
        <f t="shared" si="146"/>
        <v>0</v>
      </c>
      <c r="J4699" t="str">
        <f t="shared" si="147"/>
        <v>Complete</v>
      </c>
      <c r="K4699">
        <f>COUNTIFS(RawData[Item], B4699,RawData[Quantity],C4699,RawData[Price Per Unit],D4699,RawData[Total Spent],E4699,RawData[Payment Method],F4699,RawData[Location],G4699,RawData[Transaction Date],H4699)</f>
        <v>1</v>
      </c>
      <c r="L4699"/>
    </row>
    <row r="4700" spans="1:12" x14ac:dyDescent="0.3">
      <c r="A4700" t="s">
        <v>4706</v>
      </c>
      <c r="B4700" t="s">
        <v>10010</v>
      </c>
      <c r="C4700">
        <v>5</v>
      </c>
      <c r="D4700">
        <v>1</v>
      </c>
      <c r="E4700">
        <v>5</v>
      </c>
      <c r="F4700" t="s">
        <v>10019</v>
      </c>
      <c r="G4700" t="s">
        <v>10102</v>
      </c>
      <c r="H4700" s="6">
        <v>45242</v>
      </c>
      <c r="I4700">
        <f t="shared" si="146"/>
        <v>0</v>
      </c>
      <c r="J4700" t="str">
        <f t="shared" si="147"/>
        <v>Complete</v>
      </c>
      <c r="K4700">
        <f>COUNTIFS(RawData[Item], B4700,RawData[Quantity],C4700,RawData[Price Per Unit],D4700,RawData[Total Spent],E4700,RawData[Payment Method],F4700,RawData[Location],G4700,RawData[Transaction Date],H4700)</f>
        <v>1</v>
      </c>
      <c r="L4700"/>
    </row>
    <row r="4701" spans="1:12" x14ac:dyDescent="0.3">
      <c r="A4701" t="s">
        <v>4707</v>
      </c>
      <c r="B4701" t="s">
        <v>10010</v>
      </c>
      <c r="C4701">
        <v>1</v>
      </c>
      <c r="D4701">
        <v>1</v>
      </c>
      <c r="E4701">
        <v>1</v>
      </c>
      <c r="F4701" t="s">
        <v>10018</v>
      </c>
      <c r="G4701" t="s">
        <v>10069</v>
      </c>
      <c r="H4701" s="6">
        <v>45039</v>
      </c>
      <c r="I4701">
        <f t="shared" si="146"/>
        <v>0</v>
      </c>
      <c r="J4701" t="str">
        <f t="shared" si="147"/>
        <v>Complete</v>
      </c>
      <c r="K4701">
        <f>COUNTIFS(RawData[Item], B4701,RawData[Quantity],C4701,RawData[Price Per Unit],D4701,RawData[Total Spent],E4701,RawData[Payment Method],F4701,RawData[Location],G4701,RawData[Transaction Date],H4701)</f>
        <v>2</v>
      </c>
      <c r="L4701"/>
    </row>
    <row r="4702" spans="1:12" x14ac:dyDescent="0.3">
      <c r="A4702" t="s">
        <v>4708</v>
      </c>
      <c r="B4702" t="s">
        <v>10011</v>
      </c>
      <c r="C4702">
        <v>1</v>
      </c>
      <c r="D4702">
        <v>5</v>
      </c>
      <c r="E4702">
        <v>5</v>
      </c>
      <c r="F4702" t="s">
        <v>10103</v>
      </c>
      <c r="G4702" t="s">
        <v>10069</v>
      </c>
      <c r="H4702" s="6">
        <v>45169</v>
      </c>
      <c r="I4702">
        <f t="shared" si="146"/>
        <v>1</v>
      </c>
      <c r="J4702" t="str">
        <f t="shared" si="147"/>
        <v>Complete</v>
      </c>
      <c r="K4702">
        <f>COUNTIFS(RawData[Item], B4702,RawData[Quantity],C4702,RawData[Price Per Unit],D4702,RawData[Total Spent],E4702,RawData[Payment Method],F4702,RawData[Location],G4702,RawData[Transaction Date],H4702)</f>
        <v>1</v>
      </c>
      <c r="L4702"/>
    </row>
    <row r="4703" spans="1:12" x14ac:dyDescent="0.3">
      <c r="A4703" t="s">
        <v>4709</v>
      </c>
      <c r="B4703" t="s">
        <v>10015</v>
      </c>
      <c r="C4703">
        <v>3</v>
      </c>
      <c r="D4703">
        <v>4</v>
      </c>
      <c r="E4703">
        <v>12</v>
      </c>
      <c r="F4703" t="s">
        <v>10020</v>
      </c>
      <c r="G4703" t="s">
        <v>10102</v>
      </c>
      <c r="H4703" s="6">
        <v>45283</v>
      </c>
      <c r="I4703">
        <f t="shared" si="146"/>
        <v>1</v>
      </c>
      <c r="J4703" t="str">
        <f t="shared" si="147"/>
        <v>Complete</v>
      </c>
      <c r="K4703">
        <f>COUNTIFS(RawData[Item], B4703,RawData[Quantity],C4703,RawData[Price Per Unit],D4703,RawData[Total Spent],E4703,RawData[Payment Method],F4703,RawData[Location],G4703,RawData[Transaction Date],H4703)</f>
        <v>1</v>
      </c>
      <c r="L4703"/>
    </row>
    <row r="4704" spans="1:12" x14ac:dyDescent="0.3">
      <c r="A4704" t="s">
        <v>4710</v>
      </c>
      <c r="B4704" t="s">
        <v>10014</v>
      </c>
      <c r="C4704">
        <v>3</v>
      </c>
      <c r="D4704">
        <v>0</v>
      </c>
      <c r="E4704">
        <v>12</v>
      </c>
      <c r="F4704" t="s">
        <v>10018</v>
      </c>
      <c r="G4704" t="s">
        <v>10104</v>
      </c>
      <c r="H4704" s="6">
        <v>45265</v>
      </c>
      <c r="I4704">
        <f t="shared" si="146"/>
        <v>1</v>
      </c>
      <c r="J4704" t="str">
        <f t="shared" si="147"/>
        <v>Complete</v>
      </c>
      <c r="K4704">
        <f>COUNTIFS(RawData[Item], B4704,RawData[Quantity],C4704,RawData[Price Per Unit],D4704,RawData[Total Spent],E4704,RawData[Payment Method],F4704,RawData[Location],G4704,RawData[Transaction Date],H4704)</f>
        <v>1</v>
      </c>
      <c r="L4704"/>
    </row>
    <row r="4705" spans="1:12" x14ac:dyDescent="0.3">
      <c r="A4705" t="s">
        <v>4711</v>
      </c>
      <c r="B4705" t="s">
        <v>10016</v>
      </c>
      <c r="C4705">
        <v>2</v>
      </c>
      <c r="D4705">
        <v>3</v>
      </c>
      <c r="E4705">
        <v>6</v>
      </c>
      <c r="F4705" t="s">
        <v>10018</v>
      </c>
      <c r="G4705" t="s">
        <v>10102</v>
      </c>
      <c r="H4705" s="6">
        <v>45168</v>
      </c>
      <c r="I4705">
        <f t="shared" si="146"/>
        <v>0</v>
      </c>
      <c r="J4705" t="str">
        <f t="shared" si="147"/>
        <v>Complete</v>
      </c>
      <c r="K4705">
        <f>COUNTIFS(RawData[Item], B4705,RawData[Quantity],C4705,RawData[Price Per Unit],D4705,RawData[Total Spent],E4705,RawData[Payment Method],F4705,RawData[Location],G4705,RawData[Transaction Date],H4705)</f>
        <v>1</v>
      </c>
      <c r="L4705"/>
    </row>
    <row r="4706" spans="1:12" x14ac:dyDescent="0.3">
      <c r="A4706" t="s">
        <v>4712</v>
      </c>
      <c r="B4706" t="s">
        <v>10011</v>
      </c>
      <c r="C4706">
        <v>3</v>
      </c>
      <c r="D4706">
        <v>5</v>
      </c>
      <c r="E4706">
        <v>15</v>
      </c>
      <c r="F4706" t="s">
        <v>10069</v>
      </c>
      <c r="G4706" t="s">
        <v>10102</v>
      </c>
      <c r="H4706" s="6" t="s">
        <v>10112</v>
      </c>
      <c r="I4706">
        <f t="shared" si="146"/>
        <v>1</v>
      </c>
      <c r="J4706" t="str">
        <f t="shared" si="147"/>
        <v>Incomplete</v>
      </c>
      <c r="K4706">
        <f>COUNTIFS(RawData[Item], B4706,RawData[Quantity],C4706,RawData[Price Per Unit],D4706,RawData[Total Spent],E4706,RawData[Payment Method],F4706,RawData[Location],G4706,RawData[Transaction Date],H4706)</f>
        <v>1</v>
      </c>
      <c r="L4706"/>
    </row>
    <row r="4707" spans="1:12" x14ac:dyDescent="0.3">
      <c r="A4707" t="s">
        <v>4713</v>
      </c>
      <c r="B4707" t="s">
        <v>10011</v>
      </c>
      <c r="C4707" t="s">
        <v>10013</v>
      </c>
      <c r="D4707">
        <v>5</v>
      </c>
      <c r="E4707">
        <v>20</v>
      </c>
      <c r="F4707" t="s">
        <v>10069</v>
      </c>
      <c r="G4707" t="s">
        <v>10069</v>
      </c>
      <c r="H4707" s="6">
        <v>44963</v>
      </c>
      <c r="I4707">
        <f t="shared" si="146"/>
        <v>1</v>
      </c>
      <c r="J4707" t="str">
        <f t="shared" si="147"/>
        <v>Complete</v>
      </c>
      <c r="K4707">
        <f>COUNTIFS(RawData[Item], B4707,RawData[Quantity],C4707,RawData[Price Per Unit],D4707,RawData[Total Spent],E4707,RawData[Payment Method],F4707,RawData[Location],G4707,RawData[Transaction Date],H4707)</f>
        <v>1</v>
      </c>
      <c r="L4707"/>
    </row>
    <row r="4708" spans="1:12" x14ac:dyDescent="0.3">
      <c r="A4708" t="s">
        <v>4714</v>
      </c>
      <c r="B4708" t="s">
        <v>10012</v>
      </c>
      <c r="C4708">
        <v>3</v>
      </c>
      <c r="D4708">
        <v>4</v>
      </c>
      <c r="E4708">
        <v>12</v>
      </c>
      <c r="F4708" t="s">
        <v>10019</v>
      </c>
      <c r="G4708" t="s">
        <v>10104</v>
      </c>
      <c r="H4708" s="6">
        <v>45128</v>
      </c>
      <c r="I4708">
        <f t="shared" si="146"/>
        <v>1</v>
      </c>
      <c r="J4708" t="str">
        <f t="shared" si="147"/>
        <v>Complete</v>
      </c>
      <c r="K4708">
        <f>COUNTIFS(RawData[Item], B4708,RawData[Quantity],C4708,RawData[Price Per Unit],D4708,RawData[Total Spent],E4708,RawData[Payment Method],F4708,RawData[Location],G4708,RawData[Transaction Date],H4708)</f>
        <v>1</v>
      </c>
      <c r="L4708"/>
    </row>
    <row r="4709" spans="1:12" x14ac:dyDescent="0.3">
      <c r="A4709" t="s">
        <v>4715</v>
      </c>
      <c r="B4709" t="s">
        <v>10009</v>
      </c>
      <c r="C4709">
        <v>4</v>
      </c>
      <c r="D4709">
        <v>3</v>
      </c>
      <c r="E4709">
        <v>12</v>
      </c>
      <c r="F4709" t="s">
        <v>10018</v>
      </c>
      <c r="G4709" t="s">
        <v>10021</v>
      </c>
      <c r="H4709" s="6">
        <v>45252</v>
      </c>
      <c r="I4709">
        <f t="shared" si="146"/>
        <v>0</v>
      </c>
      <c r="J4709" t="str">
        <f t="shared" si="147"/>
        <v>Complete</v>
      </c>
      <c r="K4709">
        <f>COUNTIFS(RawData[Item], B4709,RawData[Quantity],C4709,RawData[Price Per Unit],D4709,RawData[Total Spent],E4709,RawData[Payment Method],F4709,RawData[Location],G4709,RawData[Transaction Date],H4709)</f>
        <v>1</v>
      </c>
      <c r="L4709"/>
    </row>
    <row r="4710" spans="1:12" x14ac:dyDescent="0.3">
      <c r="A4710" t="s">
        <v>4716</v>
      </c>
      <c r="B4710" t="s">
        <v>10008</v>
      </c>
      <c r="C4710">
        <v>4</v>
      </c>
      <c r="D4710">
        <v>2</v>
      </c>
      <c r="E4710">
        <v>8</v>
      </c>
      <c r="F4710" t="s">
        <v>10019</v>
      </c>
      <c r="G4710" t="s">
        <v>10021</v>
      </c>
      <c r="H4710" s="6">
        <v>45071</v>
      </c>
      <c r="I4710">
        <f t="shared" si="146"/>
        <v>0</v>
      </c>
      <c r="J4710" t="str">
        <f t="shared" si="147"/>
        <v>Complete</v>
      </c>
      <c r="K4710">
        <f>COUNTIFS(RawData[Item], B4710,RawData[Quantity],C4710,RawData[Price Per Unit],D4710,RawData[Total Spent],E4710,RawData[Payment Method],F4710,RawData[Location],G4710,RawData[Transaction Date],H4710)</f>
        <v>1</v>
      </c>
      <c r="L4710"/>
    </row>
    <row r="4711" spans="1:12" x14ac:dyDescent="0.3">
      <c r="A4711" t="s">
        <v>4717</v>
      </c>
      <c r="B4711" t="s">
        <v>10011</v>
      </c>
      <c r="C4711">
        <v>4</v>
      </c>
      <c r="D4711">
        <v>5</v>
      </c>
      <c r="E4711">
        <v>20</v>
      </c>
      <c r="F4711" t="s">
        <v>10020</v>
      </c>
      <c r="G4711" t="s">
        <v>10069</v>
      </c>
      <c r="H4711" s="6">
        <v>45120</v>
      </c>
      <c r="I4711">
        <f t="shared" si="146"/>
        <v>0</v>
      </c>
      <c r="J4711" t="str">
        <f t="shared" si="147"/>
        <v>Complete</v>
      </c>
      <c r="K4711">
        <f>COUNTIFS(RawData[Item], B4711,RawData[Quantity],C4711,RawData[Price Per Unit],D4711,RawData[Total Spent],E4711,RawData[Payment Method],F4711,RawData[Location],G4711,RawData[Transaction Date],H4711)</f>
        <v>1</v>
      </c>
      <c r="L4711"/>
    </row>
    <row r="4712" spans="1:12" x14ac:dyDescent="0.3">
      <c r="A4712" t="s">
        <v>4718</v>
      </c>
      <c r="B4712" t="s">
        <v>10015</v>
      </c>
      <c r="C4712">
        <v>1</v>
      </c>
      <c r="D4712">
        <v>2</v>
      </c>
      <c r="E4712">
        <v>2</v>
      </c>
      <c r="F4712" t="s">
        <v>10020</v>
      </c>
      <c r="G4712" t="s">
        <v>10021</v>
      </c>
      <c r="H4712" s="6">
        <v>45021</v>
      </c>
      <c r="I4712">
        <f t="shared" si="146"/>
        <v>1</v>
      </c>
      <c r="J4712" t="str">
        <f t="shared" si="147"/>
        <v>Complete</v>
      </c>
      <c r="K4712">
        <f>COUNTIFS(RawData[Item], B4712,RawData[Quantity],C4712,RawData[Price Per Unit],D4712,RawData[Total Spent],E4712,RawData[Payment Method],F4712,RawData[Location],G4712,RawData[Transaction Date],H4712)</f>
        <v>1</v>
      </c>
      <c r="L4712"/>
    </row>
    <row r="4713" spans="1:12" x14ac:dyDescent="0.3">
      <c r="A4713" t="s">
        <v>4719</v>
      </c>
      <c r="B4713" t="s">
        <v>10009</v>
      </c>
      <c r="C4713">
        <v>5</v>
      </c>
      <c r="D4713">
        <v>3</v>
      </c>
      <c r="E4713">
        <v>15</v>
      </c>
      <c r="F4713" t="s">
        <v>10069</v>
      </c>
      <c r="G4713" t="s">
        <v>10102</v>
      </c>
      <c r="H4713" s="6" t="s">
        <v>10112</v>
      </c>
      <c r="I4713">
        <f t="shared" si="146"/>
        <v>1</v>
      </c>
      <c r="J4713" t="str">
        <f t="shared" si="147"/>
        <v>Incomplete</v>
      </c>
      <c r="K4713">
        <f>COUNTIFS(RawData[Item], B4713,RawData[Quantity],C4713,RawData[Price Per Unit],D4713,RawData[Total Spent],E4713,RawData[Payment Method],F4713,RawData[Location],G4713,RawData[Transaction Date],H4713)</f>
        <v>3</v>
      </c>
      <c r="L4713"/>
    </row>
    <row r="4714" spans="1:12" x14ac:dyDescent="0.3">
      <c r="A4714" t="s">
        <v>4720</v>
      </c>
      <c r="B4714" t="s">
        <v>10016</v>
      </c>
      <c r="C4714">
        <v>3</v>
      </c>
      <c r="D4714">
        <v>3</v>
      </c>
      <c r="E4714">
        <v>9</v>
      </c>
      <c r="F4714" t="s">
        <v>10018</v>
      </c>
      <c r="G4714" t="s">
        <v>10102</v>
      </c>
      <c r="H4714" s="6">
        <v>45008</v>
      </c>
      <c r="I4714">
        <f t="shared" si="146"/>
        <v>0</v>
      </c>
      <c r="J4714" t="str">
        <f t="shared" si="147"/>
        <v>Complete</v>
      </c>
      <c r="K4714">
        <f>COUNTIFS(RawData[Item], B4714,RawData[Quantity],C4714,RawData[Price Per Unit],D4714,RawData[Total Spent],E4714,RawData[Payment Method],F4714,RawData[Location],G4714,RawData[Transaction Date],H4714)</f>
        <v>1</v>
      </c>
      <c r="L4714"/>
    </row>
    <row r="4715" spans="1:12" x14ac:dyDescent="0.3">
      <c r="A4715" t="s">
        <v>4721</v>
      </c>
      <c r="B4715" t="s">
        <v>10010</v>
      </c>
      <c r="C4715">
        <v>4</v>
      </c>
      <c r="D4715">
        <v>1</v>
      </c>
      <c r="E4715">
        <v>4</v>
      </c>
      <c r="F4715" t="s">
        <v>10018</v>
      </c>
      <c r="G4715" t="s">
        <v>10069</v>
      </c>
      <c r="H4715" s="6" t="s">
        <v>10112</v>
      </c>
      <c r="I4715">
        <f t="shared" si="146"/>
        <v>1</v>
      </c>
      <c r="J4715" t="str">
        <f t="shared" si="147"/>
        <v>Incomplete</v>
      </c>
      <c r="K4715">
        <f>COUNTIFS(RawData[Item], B4715,RawData[Quantity],C4715,RawData[Price Per Unit],D4715,RawData[Total Spent],E4715,RawData[Payment Method],F4715,RawData[Location],G4715,RawData[Transaction Date],H4715)</f>
        <v>2</v>
      </c>
      <c r="L4715"/>
    </row>
    <row r="4716" spans="1:12" x14ac:dyDescent="0.3">
      <c r="A4716" t="s">
        <v>4722</v>
      </c>
      <c r="B4716" t="s">
        <v>10016</v>
      </c>
      <c r="C4716">
        <v>2</v>
      </c>
      <c r="D4716">
        <v>3</v>
      </c>
      <c r="E4716">
        <v>6</v>
      </c>
      <c r="F4716" t="s">
        <v>10019</v>
      </c>
      <c r="G4716" t="s">
        <v>10102</v>
      </c>
      <c r="H4716" s="6">
        <v>44960</v>
      </c>
      <c r="I4716">
        <f t="shared" si="146"/>
        <v>0</v>
      </c>
      <c r="J4716" t="str">
        <f t="shared" si="147"/>
        <v>Complete</v>
      </c>
      <c r="K4716">
        <f>COUNTIFS(RawData[Item], B4716,RawData[Quantity],C4716,RawData[Price Per Unit],D4716,RawData[Total Spent],E4716,RawData[Payment Method],F4716,RawData[Location],G4716,RawData[Transaction Date],H4716)</f>
        <v>2</v>
      </c>
      <c r="L4716"/>
    </row>
    <row r="4717" spans="1:12" x14ac:dyDescent="0.3">
      <c r="A4717" t="s">
        <v>4723</v>
      </c>
      <c r="B4717" t="s">
        <v>10017</v>
      </c>
      <c r="C4717">
        <v>3</v>
      </c>
      <c r="D4717">
        <v>1.5</v>
      </c>
      <c r="E4717">
        <v>4.5</v>
      </c>
      <c r="F4717" t="s">
        <v>10018</v>
      </c>
      <c r="G4717" t="s">
        <v>10102</v>
      </c>
      <c r="H4717" s="6">
        <v>45009</v>
      </c>
      <c r="I4717">
        <f t="shared" si="146"/>
        <v>0</v>
      </c>
      <c r="J4717" t="str">
        <f t="shared" si="147"/>
        <v>Complete</v>
      </c>
      <c r="K4717">
        <f>COUNTIFS(RawData[Item], B4717,RawData[Quantity],C4717,RawData[Price Per Unit],D4717,RawData[Total Spent],E4717,RawData[Payment Method],F4717,RawData[Location],G4717,RawData[Transaction Date],H4717)</f>
        <v>1</v>
      </c>
      <c r="L4717"/>
    </row>
    <row r="4718" spans="1:12" x14ac:dyDescent="0.3">
      <c r="A4718" t="s">
        <v>4724</v>
      </c>
      <c r="B4718" t="s">
        <v>10012</v>
      </c>
      <c r="C4718">
        <v>2</v>
      </c>
      <c r="D4718">
        <v>4</v>
      </c>
      <c r="E4718">
        <v>8</v>
      </c>
      <c r="F4718" t="s">
        <v>10104</v>
      </c>
      <c r="G4718" t="s">
        <v>10069</v>
      </c>
      <c r="H4718" s="6">
        <v>45278</v>
      </c>
      <c r="I4718">
        <f t="shared" si="146"/>
        <v>1</v>
      </c>
      <c r="J4718" t="str">
        <f t="shared" si="147"/>
        <v>Complete</v>
      </c>
      <c r="K4718">
        <f>COUNTIFS(RawData[Item], B4718,RawData[Quantity],C4718,RawData[Price Per Unit],D4718,RawData[Total Spent],E4718,RawData[Payment Method],F4718,RawData[Location],G4718,RawData[Transaction Date],H4718)</f>
        <v>1</v>
      </c>
      <c r="L4718"/>
    </row>
    <row r="4719" spans="1:12" x14ac:dyDescent="0.3">
      <c r="A4719" t="s">
        <v>4725</v>
      </c>
      <c r="B4719" t="s">
        <v>10011</v>
      </c>
      <c r="C4719">
        <v>1</v>
      </c>
      <c r="D4719">
        <v>5</v>
      </c>
      <c r="E4719" t="s">
        <v>10015</v>
      </c>
      <c r="F4719" t="s">
        <v>10069</v>
      </c>
      <c r="G4719" t="s">
        <v>10069</v>
      </c>
      <c r="H4719" s="6">
        <v>44972</v>
      </c>
      <c r="I4719">
        <f t="shared" si="146"/>
        <v>1</v>
      </c>
      <c r="J4719" t="str">
        <f t="shared" si="147"/>
        <v>Complete</v>
      </c>
      <c r="K4719">
        <f>COUNTIFS(RawData[Item], B4719,RawData[Quantity],C4719,RawData[Price Per Unit],D4719,RawData[Total Spent],E4719,RawData[Payment Method],F4719,RawData[Location],G4719,RawData[Transaction Date],H4719)</f>
        <v>1</v>
      </c>
      <c r="L4719"/>
    </row>
    <row r="4720" spans="1:12" x14ac:dyDescent="0.3">
      <c r="A4720" t="s">
        <v>4726</v>
      </c>
      <c r="B4720" t="s">
        <v>10012</v>
      </c>
      <c r="C4720">
        <v>1</v>
      </c>
      <c r="D4720">
        <v>4</v>
      </c>
      <c r="E4720">
        <v>4</v>
      </c>
      <c r="F4720" t="s">
        <v>10019</v>
      </c>
      <c r="G4720" t="s">
        <v>10069</v>
      </c>
      <c r="H4720" s="6">
        <v>45056</v>
      </c>
      <c r="I4720">
        <f t="shared" si="146"/>
        <v>0</v>
      </c>
      <c r="J4720" t="str">
        <f t="shared" si="147"/>
        <v>Complete</v>
      </c>
      <c r="K4720">
        <f>COUNTIFS(RawData[Item], B4720,RawData[Quantity],C4720,RawData[Price Per Unit],D4720,RawData[Total Spent],E4720,RawData[Payment Method],F4720,RawData[Location],G4720,RawData[Transaction Date],H4720)</f>
        <v>1</v>
      </c>
      <c r="L4720"/>
    </row>
    <row r="4721" spans="1:12" x14ac:dyDescent="0.3">
      <c r="A4721" t="s">
        <v>4727</v>
      </c>
      <c r="B4721" t="s">
        <v>10012</v>
      </c>
      <c r="C4721">
        <v>3</v>
      </c>
      <c r="D4721">
        <v>4</v>
      </c>
      <c r="E4721">
        <v>12</v>
      </c>
      <c r="F4721" t="s">
        <v>10018</v>
      </c>
      <c r="G4721" t="s">
        <v>10021</v>
      </c>
      <c r="H4721" s="6">
        <v>45053</v>
      </c>
      <c r="I4721">
        <f t="shared" si="146"/>
        <v>0</v>
      </c>
      <c r="J4721" t="str">
        <f t="shared" si="147"/>
        <v>Complete</v>
      </c>
      <c r="K4721">
        <f>COUNTIFS(RawData[Item], B4721,RawData[Quantity],C4721,RawData[Price Per Unit],D4721,RawData[Total Spent],E4721,RawData[Payment Method],F4721,RawData[Location],G4721,RawData[Transaction Date],H4721)</f>
        <v>1</v>
      </c>
      <c r="L4721"/>
    </row>
    <row r="4722" spans="1:12" x14ac:dyDescent="0.3">
      <c r="A4722" t="s">
        <v>4728</v>
      </c>
      <c r="B4722" t="s">
        <v>10014</v>
      </c>
      <c r="C4722">
        <v>2</v>
      </c>
      <c r="D4722">
        <v>4</v>
      </c>
      <c r="E4722">
        <v>8</v>
      </c>
      <c r="F4722" t="s">
        <v>10019</v>
      </c>
      <c r="G4722" t="s">
        <v>10069</v>
      </c>
      <c r="H4722" s="6">
        <v>45104</v>
      </c>
      <c r="I4722">
        <f t="shared" si="146"/>
        <v>0</v>
      </c>
      <c r="J4722" t="str">
        <f t="shared" si="147"/>
        <v>Complete</v>
      </c>
      <c r="K4722">
        <f>COUNTIFS(RawData[Item], B4722,RawData[Quantity],C4722,RawData[Price Per Unit],D4722,RawData[Total Spent],E4722,RawData[Payment Method],F4722,RawData[Location],G4722,RawData[Transaction Date],H4722)</f>
        <v>1</v>
      </c>
      <c r="L4722"/>
    </row>
    <row r="4723" spans="1:12" x14ac:dyDescent="0.3">
      <c r="A4723" t="s">
        <v>4729</v>
      </c>
      <c r="B4723" t="s">
        <v>10013</v>
      </c>
      <c r="C4723">
        <v>3</v>
      </c>
      <c r="D4723">
        <v>1.5</v>
      </c>
      <c r="E4723">
        <v>4.5</v>
      </c>
      <c r="F4723" t="s">
        <v>10019</v>
      </c>
      <c r="G4723" t="s">
        <v>10102</v>
      </c>
      <c r="H4723" s="6">
        <v>45211</v>
      </c>
      <c r="I4723">
        <f t="shared" si="146"/>
        <v>1</v>
      </c>
      <c r="J4723" t="str">
        <f t="shared" si="147"/>
        <v>Complete</v>
      </c>
      <c r="K4723">
        <f>COUNTIFS(RawData[Item], B4723,RawData[Quantity],C4723,RawData[Price Per Unit],D4723,RawData[Total Spent],E4723,RawData[Payment Method],F4723,RawData[Location],G4723,RawData[Transaction Date],H4723)</f>
        <v>1</v>
      </c>
      <c r="L4723"/>
    </row>
    <row r="4724" spans="1:12" x14ac:dyDescent="0.3">
      <c r="A4724" t="s">
        <v>4730</v>
      </c>
      <c r="B4724" t="s">
        <v>10008</v>
      </c>
      <c r="C4724">
        <v>5</v>
      </c>
      <c r="D4724">
        <v>2</v>
      </c>
      <c r="E4724">
        <v>10</v>
      </c>
      <c r="F4724" t="s">
        <v>10069</v>
      </c>
      <c r="G4724" t="s">
        <v>10102</v>
      </c>
      <c r="H4724" s="6">
        <v>44991</v>
      </c>
      <c r="I4724">
        <f t="shared" si="146"/>
        <v>0</v>
      </c>
      <c r="J4724" t="str">
        <f t="shared" si="147"/>
        <v>Complete</v>
      </c>
      <c r="K4724">
        <f>COUNTIFS(RawData[Item], B4724,RawData[Quantity],C4724,RawData[Price Per Unit],D4724,RawData[Total Spent],E4724,RawData[Payment Method],F4724,RawData[Location],G4724,RawData[Transaction Date],H4724)</f>
        <v>1</v>
      </c>
      <c r="L4724"/>
    </row>
    <row r="4725" spans="1:12" x14ac:dyDescent="0.3">
      <c r="A4725" t="s">
        <v>4731</v>
      </c>
      <c r="B4725" t="s">
        <v>10009</v>
      </c>
      <c r="C4725">
        <v>5</v>
      </c>
      <c r="D4725">
        <v>3</v>
      </c>
      <c r="E4725">
        <v>15</v>
      </c>
      <c r="F4725" t="s">
        <v>10020</v>
      </c>
      <c r="G4725" t="s">
        <v>10069</v>
      </c>
      <c r="H4725" s="6">
        <v>45214</v>
      </c>
      <c r="I4725">
        <f t="shared" si="146"/>
        <v>0</v>
      </c>
      <c r="J4725" t="str">
        <f t="shared" si="147"/>
        <v>Complete</v>
      </c>
      <c r="K4725">
        <f>COUNTIFS(RawData[Item], B4725,RawData[Quantity],C4725,RawData[Price Per Unit],D4725,RawData[Total Spent],E4725,RawData[Payment Method],F4725,RawData[Location],G4725,RawData[Transaction Date],H4725)</f>
        <v>2</v>
      </c>
      <c r="L4725"/>
    </row>
    <row r="4726" spans="1:12" x14ac:dyDescent="0.3">
      <c r="A4726" t="s">
        <v>4732</v>
      </c>
      <c r="B4726" t="s">
        <v>10010</v>
      </c>
      <c r="C4726">
        <v>4</v>
      </c>
      <c r="D4726">
        <v>1</v>
      </c>
      <c r="E4726">
        <v>4</v>
      </c>
      <c r="F4726" t="s">
        <v>10020</v>
      </c>
      <c r="G4726" t="s">
        <v>10102</v>
      </c>
      <c r="H4726" s="6">
        <v>45199</v>
      </c>
      <c r="I4726">
        <f t="shared" si="146"/>
        <v>0</v>
      </c>
      <c r="J4726" t="str">
        <f t="shared" si="147"/>
        <v>Complete</v>
      </c>
      <c r="K4726">
        <f>COUNTIFS(RawData[Item], B4726,RawData[Quantity],C4726,RawData[Price Per Unit],D4726,RawData[Total Spent],E4726,RawData[Payment Method],F4726,RawData[Location],G4726,RawData[Transaction Date],H4726)</f>
        <v>1</v>
      </c>
      <c r="L4726"/>
    </row>
    <row r="4727" spans="1:12" x14ac:dyDescent="0.3">
      <c r="A4727" t="s">
        <v>4733</v>
      </c>
      <c r="B4727" t="s">
        <v>10016</v>
      </c>
      <c r="C4727">
        <v>1</v>
      </c>
      <c r="D4727">
        <v>3</v>
      </c>
      <c r="E4727">
        <v>3</v>
      </c>
      <c r="F4727" t="s">
        <v>10019</v>
      </c>
      <c r="G4727" t="s">
        <v>10102</v>
      </c>
      <c r="H4727" s="6">
        <v>45196</v>
      </c>
      <c r="I4727">
        <f t="shared" si="146"/>
        <v>0</v>
      </c>
      <c r="J4727" t="str">
        <f t="shared" si="147"/>
        <v>Complete</v>
      </c>
      <c r="K4727">
        <f>COUNTIFS(RawData[Item], B4727,RawData[Quantity],C4727,RawData[Price Per Unit],D4727,RawData[Total Spent],E4727,RawData[Payment Method],F4727,RawData[Location],G4727,RawData[Transaction Date],H4727)</f>
        <v>1</v>
      </c>
      <c r="L4727"/>
    </row>
    <row r="4728" spans="1:12" x14ac:dyDescent="0.3">
      <c r="A4728" t="s">
        <v>4734</v>
      </c>
      <c r="B4728" t="s">
        <v>10014</v>
      </c>
      <c r="C4728">
        <v>1</v>
      </c>
      <c r="D4728">
        <v>4</v>
      </c>
      <c r="E4728">
        <v>4</v>
      </c>
      <c r="F4728" t="s">
        <v>10018</v>
      </c>
      <c r="G4728" t="s">
        <v>10069</v>
      </c>
      <c r="H4728" s="6">
        <v>45043</v>
      </c>
      <c r="I4728">
        <f t="shared" si="146"/>
        <v>0</v>
      </c>
      <c r="J4728" t="str">
        <f t="shared" si="147"/>
        <v>Complete</v>
      </c>
      <c r="K4728">
        <f>COUNTIFS(RawData[Item], B4728,RawData[Quantity],C4728,RawData[Price Per Unit],D4728,RawData[Total Spent],E4728,RawData[Payment Method],F4728,RawData[Location],G4728,RawData[Transaction Date],H4728)</f>
        <v>1</v>
      </c>
      <c r="L4728"/>
    </row>
    <row r="4729" spans="1:12" x14ac:dyDescent="0.3">
      <c r="A4729" t="s">
        <v>4735</v>
      </c>
      <c r="B4729" t="s">
        <v>10010</v>
      </c>
      <c r="C4729">
        <v>1</v>
      </c>
      <c r="D4729">
        <v>1</v>
      </c>
      <c r="E4729">
        <v>1</v>
      </c>
      <c r="F4729" t="s">
        <v>10018</v>
      </c>
      <c r="G4729" t="s">
        <v>10102</v>
      </c>
      <c r="H4729" s="6">
        <v>45275</v>
      </c>
      <c r="I4729">
        <f t="shared" si="146"/>
        <v>0</v>
      </c>
      <c r="J4729" t="str">
        <f t="shared" si="147"/>
        <v>Complete</v>
      </c>
      <c r="K4729">
        <f>COUNTIFS(RawData[Item], B4729,RawData[Quantity],C4729,RawData[Price Per Unit],D4729,RawData[Total Spent],E4729,RawData[Payment Method],F4729,RawData[Location],G4729,RawData[Transaction Date],H4729)</f>
        <v>1</v>
      </c>
      <c r="L4729"/>
    </row>
    <row r="4730" spans="1:12" x14ac:dyDescent="0.3">
      <c r="A4730" t="s">
        <v>4736</v>
      </c>
      <c r="B4730" t="s">
        <v>10017</v>
      </c>
      <c r="C4730">
        <v>4</v>
      </c>
      <c r="D4730">
        <v>1.5</v>
      </c>
      <c r="E4730">
        <v>6</v>
      </c>
      <c r="F4730" t="s">
        <v>10020</v>
      </c>
      <c r="G4730" t="s">
        <v>10069</v>
      </c>
      <c r="H4730" s="6">
        <v>44934</v>
      </c>
      <c r="I4730">
        <f t="shared" si="146"/>
        <v>0</v>
      </c>
      <c r="J4730" t="str">
        <f t="shared" si="147"/>
        <v>Complete</v>
      </c>
      <c r="K4730">
        <f>COUNTIFS(RawData[Item], B4730,RawData[Quantity],C4730,RawData[Price Per Unit],D4730,RawData[Total Spent],E4730,RawData[Payment Method],F4730,RawData[Location],G4730,RawData[Transaction Date],H4730)</f>
        <v>1</v>
      </c>
      <c r="L4730"/>
    </row>
    <row r="4731" spans="1:12" x14ac:dyDescent="0.3">
      <c r="A4731" t="s">
        <v>4737</v>
      </c>
      <c r="B4731" t="s">
        <v>10009</v>
      </c>
      <c r="C4731">
        <v>1</v>
      </c>
      <c r="D4731">
        <v>3</v>
      </c>
      <c r="E4731">
        <v>3</v>
      </c>
      <c r="F4731" t="s">
        <v>10103</v>
      </c>
      <c r="G4731" t="s">
        <v>10021</v>
      </c>
      <c r="H4731" s="6">
        <v>45018</v>
      </c>
      <c r="I4731">
        <f t="shared" si="146"/>
        <v>1</v>
      </c>
      <c r="J4731" t="str">
        <f t="shared" si="147"/>
        <v>Complete</v>
      </c>
      <c r="K4731">
        <f>COUNTIFS(RawData[Item], B4731,RawData[Quantity],C4731,RawData[Price Per Unit],D4731,RawData[Total Spent],E4731,RawData[Payment Method],F4731,RawData[Location],G4731,RawData[Transaction Date],H4731)</f>
        <v>1</v>
      </c>
      <c r="L4731"/>
    </row>
    <row r="4732" spans="1:12" x14ac:dyDescent="0.3">
      <c r="A4732" t="s">
        <v>4738</v>
      </c>
      <c r="B4732" t="s">
        <v>10011</v>
      </c>
      <c r="C4732">
        <v>2</v>
      </c>
      <c r="D4732">
        <v>5</v>
      </c>
      <c r="E4732">
        <v>10</v>
      </c>
      <c r="F4732" t="s">
        <v>10019</v>
      </c>
      <c r="G4732" t="s">
        <v>10021</v>
      </c>
      <c r="H4732" s="6">
        <v>45158</v>
      </c>
      <c r="I4732">
        <f t="shared" si="146"/>
        <v>0</v>
      </c>
      <c r="J4732" t="str">
        <f t="shared" si="147"/>
        <v>Complete</v>
      </c>
      <c r="K4732">
        <f>COUNTIFS(RawData[Item], B4732,RawData[Quantity],C4732,RawData[Price Per Unit],D4732,RawData[Total Spent],E4732,RawData[Payment Method],F4732,RawData[Location],G4732,RawData[Transaction Date],H4732)</f>
        <v>1</v>
      </c>
      <c r="L4732"/>
    </row>
    <row r="4733" spans="1:12" x14ac:dyDescent="0.3">
      <c r="A4733" t="s">
        <v>4739</v>
      </c>
      <c r="B4733" t="s">
        <v>10017</v>
      </c>
      <c r="C4733">
        <v>3</v>
      </c>
      <c r="D4733" t="s">
        <v>10013</v>
      </c>
      <c r="E4733">
        <v>4.5</v>
      </c>
      <c r="F4733" t="s">
        <v>10069</v>
      </c>
      <c r="G4733" t="s">
        <v>10102</v>
      </c>
      <c r="H4733" s="6">
        <v>45105</v>
      </c>
      <c r="I4733">
        <f t="shared" si="146"/>
        <v>1</v>
      </c>
      <c r="J4733" t="str">
        <f t="shared" si="147"/>
        <v>Complete</v>
      </c>
      <c r="K4733">
        <f>COUNTIFS(RawData[Item], B4733,RawData[Quantity],C4733,RawData[Price Per Unit],D4733,RawData[Total Spent],E4733,RawData[Payment Method],F4733,RawData[Location],G4733,RawData[Transaction Date],H4733)</f>
        <v>1</v>
      </c>
      <c r="L4733"/>
    </row>
    <row r="4734" spans="1:12" x14ac:dyDescent="0.3">
      <c r="A4734" t="s">
        <v>4740</v>
      </c>
      <c r="B4734" t="s">
        <v>10014</v>
      </c>
      <c r="C4734" t="s">
        <v>10013</v>
      </c>
      <c r="D4734">
        <v>4</v>
      </c>
      <c r="E4734">
        <v>16</v>
      </c>
      <c r="F4734" t="s">
        <v>10018</v>
      </c>
      <c r="G4734" t="s">
        <v>10021</v>
      </c>
      <c r="H4734" s="6">
        <v>45181</v>
      </c>
      <c r="I4734">
        <f t="shared" si="146"/>
        <v>1</v>
      </c>
      <c r="J4734" t="str">
        <f t="shared" si="147"/>
        <v>Complete</v>
      </c>
      <c r="K4734">
        <f>COUNTIFS(RawData[Item], B4734,RawData[Quantity],C4734,RawData[Price Per Unit],D4734,RawData[Total Spent],E4734,RawData[Payment Method],F4734,RawData[Location],G4734,RawData[Transaction Date],H4734)</f>
        <v>1</v>
      </c>
      <c r="L4734"/>
    </row>
    <row r="4735" spans="1:12" x14ac:dyDescent="0.3">
      <c r="A4735" t="s">
        <v>4741</v>
      </c>
      <c r="B4735" t="s">
        <v>10011</v>
      </c>
      <c r="C4735">
        <v>4</v>
      </c>
      <c r="D4735">
        <v>5</v>
      </c>
      <c r="E4735">
        <v>20</v>
      </c>
      <c r="F4735" t="s">
        <v>10020</v>
      </c>
      <c r="G4735" t="s">
        <v>10069</v>
      </c>
      <c r="H4735" s="6">
        <v>45094</v>
      </c>
      <c r="I4735">
        <f t="shared" si="146"/>
        <v>0</v>
      </c>
      <c r="J4735" t="str">
        <f t="shared" si="147"/>
        <v>Complete</v>
      </c>
      <c r="K4735">
        <f>COUNTIFS(RawData[Item], B4735,RawData[Quantity],C4735,RawData[Price Per Unit],D4735,RawData[Total Spent],E4735,RawData[Payment Method],F4735,RawData[Location],G4735,RawData[Transaction Date],H4735)</f>
        <v>1</v>
      </c>
      <c r="L4735"/>
    </row>
    <row r="4736" spans="1:12" x14ac:dyDescent="0.3">
      <c r="A4736" t="s">
        <v>4742</v>
      </c>
      <c r="B4736" t="s">
        <v>10009</v>
      </c>
      <c r="C4736">
        <v>4</v>
      </c>
      <c r="D4736">
        <v>3</v>
      </c>
      <c r="E4736">
        <v>12</v>
      </c>
      <c r="F4736" t="s">
        <v>10020</v>
      </c>
      <c r="G4736" t="s">
        <v>10021</v>
      </c>
      <c r="H4736" s="6">
        <v>45111</v>
      </c>
      <c r="I4736">
        <f t="shared" si="146"/>
        <v>0</v>
      </c>
      <c r="J4736" t="str">
        <f t="shared" si="147"/>
        <v>Complete</v>
      </c>
      <c r="K4736">
        <f>COUNTIFS(RawData[Item], B4736,RawData[Quantity],C4736,RawData[Price Per Unit],D4736,RawData[Total Spent],E4736,RawData[Payment Method],F4736,RawData[Location],G4736,RawData[Transaction Date],H4736)</f>
        <v>1</v>
      </c>
      <c r="L4736"/>
    </row>
    <row r="4737" spans="1:12" x14ac:dyDescent="0.3">
      <c r="A4737" t="s">
        <v>4743</v>
      </c>
      <c r="B4737" t="s">
        <v>10015</v>
      </c>
      <c r="C4737">
        <v>3</v>
      </c>
      <c r="D4737">
        <v>5</v>
      </c>
      <c r="E4737">
        <v>15</v>
      </c>
      <c r="F4737" t="s">
        <v>10069</v>
      </c>
      <c r="G4737" t="s">
        <v>10069</v>
      </c>
      <c r="H4737" s="6" t="s">
        <v>10112</v>
      </c>
      <c r="I4737">
        <f t="shared" si="146"/>
        <v>2</v>
      </c>
      <c r="J4737" t="str">
        <f t="shared" si="147"/>
        <v>Incomplete</v>
      </c>
      <c r="K4737">
        <f>COUNTIFS(RawData[Item], B4737,RawData[Quantity],C4737,RawData[Price Per Unit],D4737,RawData[Total Spent],E4737,RawData[Payment Method],F4737,RawData[Location],G4737,RawData[Transaction Date],H4737)</f>
        <v>1</v>
      </c>
      <c r="L4737"/>
    </row>
    <row r="4738" spans="1:12" x14ac:dyDescent="0.3">
      <c r="A4738" t="s">
        <v>4744</v>
      </c>
      <c r="B4738" t="s">
        <v>10013</v>
      </c>
      <c r="C4738">
        <v>2</v>
      </c>
      <c r="D4738">
        <v>4</v>
      </c>
      <c r="E4738">
        <v>8</v>
      </c>
      <c r="F4738" t="s">
        <v>10020</v>
      </c>
      <c r="G4738" t="s">
        <v>10102</v>
      </c>
      <c r="H4738" s="6">
        <v>44966</v>
      </c>
      <c r="I4738">
        <f t="shared" ref="I4738:I4801" si="148">(B4738="Unknown")+(B4738="Error")+(C4738="Unknown")+(C4738="Error")+(D4738="Unknown")+(D4738="Error")+(E4738="Unknown")+(E4738="Error")+(F4738="Unknown")+(F4738="Error")+(G4738="Unknown")+(G4738="Error")+(H4738="No Date")</f>
        <v>1</v>
      </c>
      <c r="J4738" t="str">
        <f t="shared" ref="J4738:J4801" si="149">IF((H4738="No Date"),"Incomplete","Complete")</f>
        <v>Complete</v>
      </c>
      <c r="K4738">
        <f>COUNTIFS(RawData[Item], B4738,RawData[Quantity],C4738,RawData[Price Per Unit],D4738,RawData[Total Spent],E4738,RawData[Payment Method],F4738,RawData[Location],G4738,RawData[Transaction Date],H4738)</f>
        <v>1</v>
      </c>
      <c r="L4738"/>
    </row>
    <row r="4739" spans="1:12" x14ac:dyDescent="0.3">
      <c r="A4739" t="s">
        <v>4745</v>
      </c>
      <c r="B4739" t="s">
        <v>10013</v>
      </c>
      <c r="C4739">
        <v>3</v>
      </c>
      <c r="D4739">
        <v>3</v>
      </c>
      <c r="E4739">
        <v>9</v>
      </c>
      <c r="F4739" t="s">
        <v>10018</v>
      </c>
      <c r="G4739" t="s">
        <v>10069</v>
      </c>
      <c r="H4739" s="6">
        <v>45074</v>
      </c>
      <c r="I4739">
        <f t="shared" si="148"/>
        <v>1</v>
      </c>
      <c r="J4739" t="str">
        <f t="shared" si="149"/>
        <v>Complete</v>
      </c>
      <c r="K4739">
        <f>COUNTIFS(RawData[Item], B4739,RawData[Quantity],C4739,RawData[Price Per Unit],D4739,RawData[Total Spent],E4739,RawData[Payment Method],F4739,RawData[Location],G4739,RawData[Transaction Date],H4739)</f>
        <v>1</v>
      </c>
      <c r="L4739"/>
    </row>
    <row r="4740" spans="1:12" x14ac:dyDescent="0.3">
      <c r="A4740" t="s">
        <v>4746</v>
      </c>
      <c r="B4740" t="s">
        <v>10014</v>
      </c>
      <c r="C4740">
        <v>1</v>
      </c>
      <c r="D4740">
        <v>4</v>
      </c>
      <c r="E4740">
        <v>4</v>
      </c>
      <c r="F4740" t="s">
        <v>10019</v>
      </c>
      <c r="G4740" t="s">
        <v>10069</v>
      </c>
      <c r="H4740" s="6">
        <v>45002</v>
      </c>
      <c r="I4740">
        <f t="shared" si="148"/>
        <v>0</v>
      </c>
      <c r="J4740" t="str">
        <f t="shared" si="149"/>
        <v>Complete</v>
      </c>
      <c r="K4740">
        <f>COUNTIFS(RawData[Item], B4740,RawData[Quantity],C4740,RawData[Price Per Unit],D4740,RawData[Total Spent],E4740,RawData[Payment Method],F4740,RawData[Location],G4740,RawData[Transaction Date],H4740)</f>
        <v>1</v>
      </c>
      <c r="L4740"/>
    </row>
    <row r="4741" spans="1:12" x14ac:dyDescent="0.3">
      <c r="A4741" t="s">
        <v>4747</v>
      </c>
      <c r="B4741" t="s">
        <v>10016</v>
      </c>
      <c r="C4741">
        <v>1</v>
      </c>
      <c r="D4741">
        <v>3</v>
      </c>
      <c r="E4741">
        <v>3</v>
      </c>
      <c r="F4741" t="s">
        <v>10018</v>
      </c>
      <c r="G4741" t="s">
        <v>10021</v>
      </c>
      <c r="H4741" s="6">
        <v>45091</v>
      </c>
      <c r="I4741">
        <f t="shared" si="148"/>
        <v>0</v>
      </c>
      <c r="J4741" t="str">
        <f t="shared" si="149"/>
        <v>Complete</v>
      </c>
      <c r="K4741">
        <f>COUNTIFS(RawData[Item], B4741,RawData[Quantity],C4741,RawData[Price Per Unit],D4741,RawData[Total Spent],E4741,RawData[Payment Method],F4741,RawData[Location],G4741,RawData[Transaction Date],H4741)</f>
        <v>1</v>
      </c>
      <c r="L4741"/>
    </row>
    <row r="4742" spans="1:12" x14ac:dyDescent="0.3">
      <c r="A4742" t="s">
        <v>4748</v>
      </c>
      <c r="B4742" t="s">
        <v>10017</v>
      </c>
      <c r="C4742">
        <v>1</v>
      </c>
      <c r="D4742">
        <v>1.5</v>
      </c>
      <c r="E4742">
        <v>1.5</v>
      </c>
      <c r="F4742" t="s">
        <v>10069</v>
      </c>
      <c r="G4742" t="s">
        <v>10103</v>
      </c>
      <c r="H4742" s="6">
        <v>45118</v>
      </c>
      <c r="I4742">
        <f t="shared" si="148"/>
        <v>1</v>
      </c>
      <c r="J4742" t="str">
        <f t="shared" si="149"/>
        <v>Complete</v>
      </c>
      <c r="K4742">
        <f>COUNTIFS(RawData[Item], B4742,RawData[Quantity],C4742,RawData[Price Per Unit],D4742,RawData[Total Spent],E4742,RawData[Payment Method],F4742,RawData[Location],G4742,RawData[Transaction Date],H4742)</f>
        <v>1</v>
      </c>
      <c r="L4742"/>
    </row>
    <row r="4743" spans="1:12" x14ac:dyDescent="0.3">
      <c r="A4743" t="s">
        <v>4749</v>
      </c>
      <c r="B4743" t="s">
        <v>10011</v>
      </c>
      <c r="C4743">
        <v>3</v>
      </c>
      <c r="D4743">
        <v>5</v>
      </c>
      <c r="E4743">
        <v>15</v>
      </c>
      <c r="F4743" t="s">
        <v>10069</v>
      </c>
      <c r="G4743" t="s">
        <v>10102</v>
      </c>
      <c r="H4743" s="6">
        <v>44938</v>
      </c>
      <c r="I4743">
        <f t="shared" si="148"/>
        <v>0</v>
      </c>
      <c r="J4743" t="str">
        <f t="shared" si="149"/>
        <v>Complete</v>
      </c>
      <c r="K4743">
        <f>COUNTIFS(RawData[Item], B4743,RawData[Quantity],C4743,RawData[Price Per Unit],D4743,RawData[Total Spent],E4743,RawData[Payment Method],F4743,RawData[Location],G4743,RawData[Transaction Date],H4743)</f>
        <v>1</v>
      </c>
      <c r="L4743"/>
    </row>
    <row r="4744" spans="1:12" x14ac:dyDescent="0.3">
      <c r="A4744" t="s">
        <v>4750</v>
      </c>
      <c r="B4744" t="s">
        <v>10016</v>
      </c>
      <c r="C4744">
        <v>3</v>
      </c>
      <c r="D4744">
        <v>3</v>
      </c>
      <c r="E4744">
        <v>9</v>
      </c>
      <c r="F4744" t="s">
        <v>10069</v>
      </c>
      <c r="G4744" t="s">
        <v>10102</v>
      </c>
      <c r="H4744" s="6">
        <v>45018</v>
      </c>
      <c r="I4744">
        <f t="shared" si="148"/>
        <v>0</v>
      </c>
      <c r="J4744" t="str">
        <f t="shared" si="149"/>
        <v>Complete</v>
      </c>
      <c r="K4744">
        <f>COUNTIFS(RawData[Item], B4744,RawData[Quantity],C4744,RawData[Price Per Unit],D4744,RawData[Total Spent],E4744,RawData[Payment Method],F4744,RawData[Location],G4744,RawData[Transaction Date],H4744)</f>
        <v>1</v>
      </c>
      <c r="L4744"/>
    </row>
    <row r="4745" spans="1:12" x14ac:dyDescent="0.3">
      <c r="A4745" t="s">
        <v>4751</v>
      </c>
      <c r="B4745" t="s">
        <v>10011</v>
      </c>
      <c r="C4745">
        <v>2</v>
      </c>
      <c r="D4745">
        <v>5</v>
      </c>
      <c r="E4745">
        <v>10</v>
      </c>
      <c r="F4745" t="s">
        <v>10018</v>
      </c>
      <c r="G4745" t="s">
        <v>10021</v>
      </c>
      <c r="H4745" s="6">
        <v>45028</v>
      </c>
      <c r="I4745">
        <f t="shared" si="148"/>
        <v>0</v>
      </c>
      <c r="J4745" t="str">
        <f t="shared" si="149"/>
        <v>Complete</v>
      </c>
      <c r="K4745">
        <f>COUNTIFS(RawData[Item], B4745,RawData[Quantity],C4745,RawData[Price Per Unit],D4745,RawData[Total Spent],E4745,RawData[Payment Method],F4745,RawData[Location],G4745,RawData[Transaction Date],H4745)</f>
        <v>1</v>
      </c>
      <c r="L4745"/>
    </row>
    <row r="4746" spans="1:12" x14ac:dyDescent="0.3">
      <c r="A4746" t="s">
        <v>4752</v>
      </c>
      <c r="B4746" t="s">
        <v>10011</v>
      </c>
      <c r="C4746">
        <v>1</v>
      </c>
      <c r="D4746">
        <v>5</v>
      </c>
      <c r="E4746">
        <v>5</v>
      </c>
      <c r="F4746" t="s">
        <v>10018</v>
      </c>
      <c r="G4746" t="s">
        <v>10102</v>
      </c>
      <c r="H4746" s="6">
        <v>45260</v>
      </c>
      <c r="I4746">
        <f t="shared" si="148"/>
        <v>0</v>
      </c>
      <c r="J4746" t="str">
        <f t="shared" si="149"/>
        <v>Complete</v>
      </c>
      <c r="K4746">
        <f>COUNTIFS(RawData[Item], B4746,RawData[Quantity],C4746,RawData[Price Per Unit],D4746,RawData[Total Spent],E4746,RawData[Payment Method],F4746,RawData[Location],G4746,RawData[Transaction Date],H4746)</f>
        <v>1</v>
      </c>
      <c r="L4746"/>
    </row>
    <row r="4747" spans="1:12" x14ac:dyDescent="0.3">
      <c r="A4747" t="s">
        <v>4753</v>
      </c>
      <c r="B4747" t="s">
        <v>10016</v>
      </c>
      <c r="C4747">
        <v>2</v>
      </c>
      <c r="D4747">
        <v>3</v>
      </c>
      <c r="E4747">
        <v>0</v>
      </c>
      <c r="F4747" t="s">
        <v>10019</v>
      </c>
      <c r="G4747" t="s">
        <v>10102</v>
      </c>
      <c r="H4747" s="6">
        <v>45152</v>
      </c>
      <c r="I4747">
        <f t="shared" si="148"/>
        <v>0</v>
      </c>
      <c r="J4747" t="str">
        <f t="shared" si="149"/>
        <v>Complete</v>
      </c>
      <c r="K4747">
        <f>COUNTIFS(RawData[Item], B4747,RawData[Quantity],C4747,RawData[Price Per Unit],D4747,RawData[Total Spent],E4747,RawData[Payment Method],F4747,RawData[Location],G4747,RawData[Transaction Date],H4747)</f>
        <v>1</v>
      </c>
      <c r="L4747"/>
    </row>
    <row r="4748" spans="1:12" x14ac:dyDescent="0.3">
      <c r="A4748" t="s">
        <v>4754</v>
      </c>
      <c r="B4748" t="s">
        <v>10017</v>
      </c>
      <c r="C4748">
        <v>5</v>
      </c>
      <c r="D4748">
        <v>1.5</v>
      </c>
      <c r="E4748">
        <v>7.5</v>
      </c>
      <c r="F4748" t="s">
        <v>10069</v>
      </c>
      <c r="G4748" t="s">
        <v>10104</v>
      </c>
      <c r="H4748" s="6">
        <v>45037</v>
      </c>
      <c r="I4748">
        <f t="shared" si="148"/>
        <v>1</v>
      </c>
      <c r="J4748" t="str">
        <f t="shared" si="149"/>
        <v>Complete</v>
      </c>
      <c r="K4748">
        <f>COUNTIFS(RawData[Item], B4748,RawData[Quantity],C4748,RawData[Price Per Unit],D4748,RawData[Total Spent],E4748,RawData[Payment Method],F4748,RawData[Location],G4748,RawData[Transaction Date],H4748)</f>
        <v>1</v>
      </c>
      <c r="L4748"/>
    </row>
    <row r="4749" spans="1:12" x14ac:dyDescent="0.3">
      <c r="A4749" t="s">
        <v>4755</v>
      </c>
      <c r="B4749" t="s">
        <v>10017</v>
      </c>
      <c r="C4749">
        <v>1</v>
      </c>
      <c r="D4749">
        <v>1.5</v>
      </c>
      <c r="E4749">
        <v>1.5</v>
      </c>
      <c r="F4749" t="s">
        <v>10104</v>
      </c>
      <c r="G4749" t="s">
        <v>10021</v>
      </c>
      <c r="H4749" s="6">
        <v>45247</v>
      </c>
      <c r="I4749">
        <f t="shared" si="148"/>
        <v>1</v>
      </c>
      <c r="J4749" t="str">
        <f t="shared" si="149"/>
        <v>Complete</v>
      </c>
      <c r="K4749">
        <f>COUNTIFS(RawData[Item], B4749,RawData[Quantity],C4749,RawData[Price Per Unit],D4749,RawData[Total Spent],E4749,RawData[Payment Method],F4749,RawData[Location],G4749,RawData[Transaction Date],H4749)</f>
        <v>1</v>
      </c>
      <c r="L4749"/>
    </row>
    <row r="4750" spans="1:12" x14ac:dyDescent="0.3">
      <c r="A4750" t="s">
        <v>4756</v>
      </c>
      <c r="B4750" t="s">
        <v>10009</v>
      </c>
      <c r="C4750">
        <v>5</v>
      </c>
      <c r="D4750">
        <v>3</v>
      </c>
      <c r="E4750">
        <v>15</v>
      </c>
      <c r="F4750" t="s">
        <v>10018</v>
      </c>
      <c r="G4750" t="s">
        <v>10069</v>
      </c>
      <c r="H4750" s="6" t="s">
        <v>10112</v>
      </c>
      <c r="I4750">
        <f t="shared" si="148"/>
        <v>1</v>
      </c>
      <c r="J4750" t="str">
        <f t="shared" si="149"/>
        <v>Incomplete</v>
      </c>
      <c r="K4750">
        <f>COUNTIFS(RawData[Item], B4750,RawData[Quantity],C4750,RawData[Price Per Unit],D4750,RawData[Total Spent],E4750,RawData[Payment Method],F4750,RawData[Location],G4750,RawData[Transaction Date],H4750)</f>
        <v>6</v>
      </c>
      <c r="L4750"/>
    </row>
    <row r="4751" spans="1:12" x14ac:dyDescent="0.3">
      <c r="A4751" t="s">
        <v>4757</v>
      </c>
      <c r="B4751" t="s">
        <v>10011</v>
      </c>
      <c r="C4751" t="s">
        <v>10015</v>
      </c>
      <c r="D4751">
        <v>5</v>
      </c>
      <c r="E4751">
        <v>15</v>
      </c>
      <c r="F4751" t="s">
        <v>10069</v>
      </c>
      <c r="G4751" t="s">
        <v>10104</v>
      </c>
      <c r="H4751" s="6">
        <v>45091</v>
      </c>
      <c r="I4751">
        <f t="shared" si="148"/>
        <v>2</v>
      </c>
      <c r="J4751" t="str">
        <f t="shared" si="149"/>
        <v>Complete</v>
      </c>
      <c r="K4751">
        <f>COUNTIFS(RawData[Item], B4751,RawData[Quantity],C4751,RawData[Price Per Unit],D4751,RawData[Total Spent],E4751,RawData[Payment Method],F4751,RawData[Location],G4751,RawData[Transaction Date],H4751)</f>
        <v>1</v>
      </c>
      <c r="L4751"/>
    </row>
    <row r="4752" spans="1:12" x14ac:dyDescent="0.3">
      <c r="A4752" t="s">
        <v>4758</v>
      </c>
      <c r="B4752" t="s">
        <v>10010</v>
      </c>
      <c r="C4752">
        <v>2</v>
      </c>
      <c r="D4752">
        <v>1</v>
      </c>
      <c r="E4752">
        <v>2</v>
      </c>
      <c r="F4752" t="s">
        <v>10018</v>
      </c>
      <c r="G4752" t="s">
        <v>10069</v>
      </c>
      <c r="H4752" s="6">
        <v>45237</v>
      </c>
      <c r="I4752">
        <f t="shared" si="148"/>
        <v>0</v>
      </c>
      <c r="J4752" t="str">
        <f t="shared" si="149"/>
        <v>Complete</v>
      </c>
      <c r="K4752">
        <f>COUNTIFS(RawData[Item], B4752,RawData[Quantity],C4752,RawData[Price Per Unit],D4752,RawData[Total Spent],E4752,RawData[Payment Method],F4752,RawData[Location],G4752,RawData[Transaction Date],H4752)</f>
        <v>1</v>
      </c>
      <c r="L4752"/>
    </row>
    <row r="4753" spans="1:12" x14ac:dyDescent="0.3">
      <c r="A4753" t="s">
        <v>4759</v>
      </c>
      <c r="B4753" t="s">
        <v>10011</v>
      </c>
      <c r="C4753">
        <v>5</v>
      </c>
      <c r="D4753">
        <v>5</v>
      </c>
      <c r="E4753" t="s">
        <v>10013</v>
      </c>
      <c r="F4753" t="s">
        <v>10020</v>
      </c>
      <c r="G4753" t="s">
        <v>10021</v>
      </c>
      <c r="H4753" s="6">
        <v>45028</v>
      </c>
      <c r="I4753">
        <f t="shared" si="148"/>
        <v>1</v>
      </c>
      <c r="J4753" t="str">
        <f t="shared" si="149"/>
        <v>Complete</v>
      </c>
      <c r="K4753">
        <f>COUNTIFS(RawData[Item], B4753,RawData[Quantity],C4753,RawData[Price Per Unit],D4753,RawData[Total Spent],E4753,RawData[Payment Method],F4753,RawData[Location],G4753,RawData[Transaction Date],H4753)</f>
        <v>1</v>
      </c>
      <c r="L4753"/>
    </row>
    <row r="4754" spans="1:12" x14ac:dyDescent="0.3">
      <c r="A4754" t="s">
        <v>4760</v>
      </c>
      <c r="B4754" t="s">
        <v>10008</v>
      </c>
      <c r="C4754">
        <v>2</v>
      </c>
      <c r="D4754">
        <v>2</v>
      </c>
      <c r="E4754">
        <v>4</v>
      </c>
      <c r="F4754" t="s">
        <v>10019</v>
      </c>
      <c r="G4754" t="s">
        <v>10069</v>
      </c>
      <c r="H4754" s="6">
        <v>45065</v>
      </c>
      <c r="I4754">
        <f t="shared" si="148"/>
        <v>0</v>
      </c>
      <c r="J4754" t="str">
        <f t="shared" si="149"/>
        <v>Complete</v>
      </c>
      <c r="K4754">
        <f>COUNTIFS(RawData[Item], B4754,RawData[Quantity],C4754,RawData[Price Per Unit],D4754,RawData[Total Spent],E4754,RawData[Payment Method],F4754,RawData[Location],G4754,RawData[Transaction Date],H4754)</f>
        <v>1</v>
      </c>
      <c r="L4754"/>
    </row>
    <row r="4755" spans="1:12" x14ac:dyDescent="0.3">
      <c r="A4755" t="s">
        <v>4761</v>
      </c>
      <c r="B4755" t="s">
        <v>10010</v>
      </c>
      <c r="C4755">
        <v>1</v>
      </c>
      <c r="D4755">
        <v>1</v>
      </c>
      <c r="E4755">
        <v>1</v>
      </c>
      <c r="F4755" t="s">
        <v>10069</v>
      </c>
      <c r="G4755" t="s">
        <v>10069</v>
      </c>
      <c r="H4755" s="6">
        <v>45233</v>
      </c>
      <c r="I4755">
        <f t="shared" si="148"/>
        <v>0</v>
      </c>
      <c r="J4755" t="str">
        <f t="shared" si="149"/>
        <v>Complete</v>
      </c>
      <c r="K4755">
        <f>COUNTIFS(RawData[Item], B4755,RawData[Quantity],C4755,RawData[Price Per Unit],D4755,RawData[Total Spent],E4755,RawData[Payment Method],F4755,RawData[Location],G4755,RawData[Transaction Date],H4755)</f>
        <v>1</v>
      </c>
      <c r="L4755"/>
    </row>
    <row r="4756" spans="1:12" x14ac:dyDescent="0.3">
      <c r="A4756" t="s">
        <v>4762</v>
      </c>
      <c r="B4756" t="s">
        <v>10017</v>
      </c>
      <c r="C4756">
        <v>1</v>
      </c>
      <c r="D4756" t="s">
        <v>10013</v>
      </c>
      <c r="E4756">
        <v>1.5</v>
      </c>
      <c r="F4756" t="s">
        <v>10069</v>
      </c>
      <c r="G4756" t="s">
        <v>10069</v>
      </c>
      <c r="H4756" s="6">
        <v>45023</v>
      </c>
      <c r="I4756">
        <f t="shared" si="148"/>
        <v>1</v>
      </c>
      <c r="J4756" t="str">
        <f t="shared" si="149"/>
        <v>Complete</v>
      </c>
      <c r="K4756">
        <f>COUNTIFS(RawData[Item], B4756,RawData[Quantity],C4756,RawData[Price Per Unit],D4756,RawData[Total Spent],E4756,RawData[Payment Method],F4756,RawData[Location],G4756,RawData[Transaction Date],H4756)</f>
        <v>1</v>
      </c>
      <c r="L4756"/>
    </row>
    <row r="4757" spans="1:12" x14ac:dyDescent="0.3">
      <c r="A4757" t="s">
        <v>4763</v>
      </c>
      <c r="B4757" t="s">
        <v>10012</v>
      </c>
      <c r="C4757">
        <v>4</v>
      </c>
      <c r="D4757">
        <v>4</v>
      </c>
      <c r="E4757">
        <v>16</v>
      </c>
      <c r="F4757" t="s">
        <v>10069</v>
      </c>
      <c r="G4757" t="s">
        <v>10104</v>
      </c>
      <c r="H4757" s="6" t="s">
        <v>10112</v>
      </c>
      <c r="I4757">
        <f t="shared" si="148"/>
        <v>2</v>
      </c>
      <c r="J4757" t="str">
        <f t="shared" si="149"/>
        <v>Incomplete</v>
      </c>
      <c r="K4757">
        <f>COUNTIFS(RawData[Item], B4757,RawData[Quantity],C4757,RawData[Price Per Unit],D4757,RawData[Total Spent],E4757,RawData[Payment Method],F4757,RawData[Location],G4757,RawData[Transaction Date],H4757)</f>
        <v>1</v>
      </c>
      <c r="L4757"/>
    </row>
    <row r="4758" spans="1:12" x14ac:dyDescent="0.3">
      <c r="A4758" t="s">
        <v>4764</v>
      </c>
      <c r="B4758" t="s">
        <v>10017</v>
      </c>
      <c r="C4758">
        <v>3</v>
      </c>
      <c r="D4758">
        <v>1.5</v>
      </c>
      <c r="E4758">
        <v>4.5</v>
      </c>
      <c r="F4758" t="s">
        <v>10069</v>
      </c>
      <c r="G4758" t="s">
        <v>10102</v>
      </c>
      <c r="H4758" s="6">
        <v>45193</v>
      </c>
      <c r="I4758">
        <f t="shared" si="148"/>
        <v>0</v>
      </c>
      <c r="J4758" t="str">
        <f t="shared" si="149"/>
        <v>Complete</v>
      </c>
      <c r="K4758">
        <f>COUNTIFS(RawData[Item], B4758,RawData[Quantity],C4758,RawData[Price Per Unit],D4758,RawData[Total Spent],E4758,RawData[Payment Method],F4758,RawData[Location],G4758,RawData[Transaction Date],H4758)</f>
        <v>1</v>
      </c>
      <c r="L4758"/>
    </row>
    <row r="4759" spans="1:12" x14ac:dyDescent="0.3">
      <c r="A4759" t="s">
        <v>4765</v>
      </c>
      <c r="B4759" t="s">
        <v>10017</v>
      </c>
      <c r="C4759">
        <v>5</v>
      </c>
      <c r="D4759">
        <v>1.5</v>
      </c>
      <c r="E4759">
        <v>7.5</v>
      </c>
      <c r="F4759" t="s">
        <v>10020</v>
      </c>
      <c r="G4759" t="s">
        <v>10021</v>
      </c>
      <c r="H4759" s="6">
        <v>44931</v>
      </c>
      <c r="I4759">
        <f t="shared" si="148"/>
        <v>0</v>
      </c>
      <c r="J4759" t="str">
        <f t="shared" si="149"/>
        <v>Complete</v>
      </c>
      <c r="K4759">
        <f>COUNTIFS(RawData[Item], B4759,RawData[Quantity],C4759,RawData[Price Per Unit],D4759,RawData[Total Spent],E4759,RawData[Payment Method],F4759,RawData[Location],G4759,RawData[Transaction Date],H4759)</f>
        <v>1</v>
      </c>
      <c r="L4759"/>
    </row>
    <row r="4760" spans="1:12" x14ac:dyDescent="0.3">
      <c r="A4760" t="s">
        <v>4766</v>
      </c>
      <c r="B4760" t="s">
        <v>10016</v>
      </c>
      <c r="C4760">
        <v>1</v>
      </c>
      <c r="D4760">
        <v>3</v>
      </c>
      <c r="E4760">
        <v>3</v>
      </c>
      <c r="F4760" t="s">
        <v>10069</v>
      </c>
      <c r="G4760" t="s">
        <v>10069</v>
      </c>
      <c r="H4760" s="6">
        <v>44982</v>
      </c>
      <c r="I4760">
        <f t="shared" si="148"/>
        <v>0</v>
      </c>
      <c r="J4760" t="str">
        <f t="shared" si="149"/>
        <v>Complete</v>
      </c>
      <c r="K4760">
        <f>COUNTIFS(RawData[Item], B4760,RawData[Quantity],C4760,RawData[Price Per Unit],D4760,RawData[Total Spent],E4760,RawData[Payment Method],F4760,RawData[Location],G4760,RawData[Transaction Date],H4760)</f>
        <v>1</v>
      </c>
      <c r="L4760"/>
    </row>
    <row r="4761" spans="1:12" x14ac:dyDescent="0.3">
      <c r="A4761" t="s">
        <v>4767</v>
      </c>
      <c r="B4761" t="s">
        <v>10012</v>
      </c>
      <c r="C4761">
        <v>1</v>
      </c>
      <c r="D4761">
        <v>4</v>
      </c>
      <c r="E4761">
        <v>4</v>
      </c>
      <c r="F4761" t="s">
        <v>10020</v>
      </c>
      <c r="G4761" t="s">
        <v>10069</v>
      </c>
      <c r="H4761" s="6">
        <v>45040</v>
      </c>
      <c r="I4761">
        <f t="shared" si="148"/>
        <v>0</v>
      </c>
      <c r="J4761" t="str">
        <f t="shared" si="149"/>
        <v>Complete</v>
      </c>
      <c r="K4761">
        <f>COUNTIFS(RawData[Item], B4761,RawData[Quantity],C4761,RawData[Price Per Unit],D4761,RawData[Total Spent],E4761,RawData[Payment Method],F4761,RawData[Location],G4761,RawData[Transaction Date],H4761)</f>
        <v>1</v>
      </c>
      <c r="L4761"/>
    </row>
    <row r="4762" spans="1:12" x14ac:dyDescent="0.3">
      <c r="A4762" t="s">
        <v>4768</v>
      </c>
      <c r="B4762" t="s">
        <v>10015</v>
      </c>
      <c r="C4762">
        <v>5</v>
      </c>
      <c r="D4762">
        <v>1.5</v>
      </c>
      <c r="E4762">
        <v>7.5</v>
      </c>
      <c r="F4762" t="s">
        <v>10018</v>
      </c>
      <c r="G4762" t="s">
        <v>10069</v>
      </c>
      <c r="H4762" s="6">
        <v>45227</v>
      </c>
      <c r="I4762">
        <f t="shared" si="148"/>
        <v>1</v>
      </c>
      <c r="J4762" t="str">
        <f t="shared" si="149"/>
        <v>Complete</v>
      </c>
      <c r="K4762">
        <f>COUNTIFS(RawData[Item], B4762,RawData[Quantity],C4762,RawData[Price Per Unit],D4762,RawData[Total Spent],E4762,RawData[Payment Method],F4762,RawData[Location],G4762,RawData[Transaction Date],H4762)</f>
        <v>1</v>
      </c>
      <c r="L4762"/>
    </row>
    <row r="4763" spans="1:12" x14ac:dyDescent="0.3">
      <c r="A4763" t="s">
        <v>4769</v>
      </c>
      <c r="B4763" t="s">
        <v>10011</v>
      </c>
      <c r="C4763">
        <v>1</v>
      </c>
      <c r="D4763">
        <v>5</v>
      </c>
      <c r="E4763">
        <v>5</v>
      </c>
      <c r="F4763" t="s">
        <v>10018</v>
      </c>
      <c r="G4763" t="s">
        <v>10021</v>
      </c>
      <c r="H4763" s="6">
        <v>45135</v>
      </c>
      <c r="I4763">
        <f t="shared" si="148"/>
        <v>0</v>
      </c>
      <c r="J4763" t="str">
        <f t="shared" si="149"/>
        <v>Complete</v>
      </c>
      <c r="K4763">
        <f>COUNTIFS(RawData[Item], B4763,RawData[Quantity],C4763,RawData[Price Per Unit],D4763,RawData[Total Spent],E4763,RawData[Payment Method],F4763,RawData[Location],G4763,RawData[Transaction Date],H4763)</f>
        <v>1</v>
      </c>
      <c r="L4763"/>
    </row>
    <row r="4764" spans="1:12" x14ac:dyDescent="0.3">
      <c r="A4764" t="s">
        <v>4770</v>
      </c>
      <c r="B4764" t="s">
        <v>10014</v>
      </c>
      <c r="C4764">
        <v>1</v>
      </c>
      <c r="D4764">
        <v>4</v>
      </c>
      <c r="E4764">
        <v>4</v>
      </c>
      <c r="F4764" t="s">
        <v>10019</v>
      </c>
      <c r="G4764" t="s">
        <v>10021</v>
      </c>
      <c r="H4764" s="6">
        <v>45144</v>
      </c>
      <c r="I4764">
        <f t="shared" si="148"/>
        <v>0</v>
      </c>
      <c r="J4764" t="str">
        <f t="shared" si="149"/>
        <v>Complete</v>
      </c>
      <c r="K4764">
        <f>COUNTIFS(RawData[Item], B4764,RawData[Quantity],C4764,RawData[Price Per Unit],D4764,RawData[Total Spent],E4764,RawData[Payment Method],F4764,RawData[Location],G4764,RawData[Transaction Date],H4764)</f>
        <v>1</v>
      </c>
      <c r="L4764"/>
    </row>
    <row r="4765" spans="1:12" x14ac:dyDescent="0.3">
      <c r="A4765" t="s">
        <v>4771</v>
      </c>
      <c r="B4765" t="s">
        <v>10016</v>
      </c>
      <c r="C4765">
        <v>1</v>
      </c>
      <c r="D4765">
        <v>3</v>
      </c>
      <c r="E4765">
        <v>3</v>
      </c>
      <c r="F4765" t="s">
        <v>10020</v>
      </c>
      <c r="G4765" t="s">
        <v>10021</v>
      </c>
      <c r="H4765" s="6">
        <v>44946</v>
      </c>
      <c r="I4765">
        <f t="shared" si="148"/>
        <v>0</v>
      </c>
      <c r="J4765" t="str">
        <f t="shared" si="149"/>
        <v>Complete</v>
      </c>
      <c r="K4765">
        <f>COUNTIFS(RawData[Item], B4765,RawData[Quantity],C4765,RawData[Price Per Unit],D4765,RawData[Total Spent],E4765,RawData[Payment Method],F4765,RawData[Location],G4765,RawData[Transaction Date],H4765)</f>
        <v>1</v>
      </c>
      <c r="L4765"/>
    </row>
    <row r="4766" spans="1:12" x14ac:dyDescent="0.3">
      <c r="A4766" t="s">
        <v>4772</v>
      </c>
      <c r="B4766" t="s">
        <v>10069</v>
      </c>
      <c r="C4766">
        <v>5</v>
      </c>
      <c r="D4766">
        <v>1.5</v>
      </c>
      <c r="E4766">
        <v>7.5</v>
      </c>
      <c r="F4766" t="s">
        <v>10069</v>
      </c>
      <c r="G4766" t="s">
        <v>10069</v>
      </c>
      <c r="H4766" s="6">
        <v>45151</v>
      </c>
      <c r="I4766">
        <f t="shared" si="148"/>
        <v>0</v>
      </c>
      <c r="J4766" t="str">
        <f t="shared" si="149"/>
        <v>Complete</v>
      </c>
      <c r="K4766">
        <f>COUNTIFS(RawData[Item], B4766,RawData[Quantity],C4766,RawData[Price Per Unit],D4766,RawData[Total Spent],E4766,RawData[Payment Method],F4766,RawData[Location],G4766,RawData[Transaction Date],H4766)</f>
        <v>1</v>
      </c>
      <c r="L4766"/>
    </row>
    <row r="4767" spans="1:12" x14ac:dyDescent="0.3">
      <c r="A4767" t="s">
        <v>4773</v>
      </c>
      <c r="B4767" t="s">
        <v>10012</v>
      </c>
      <c r="C4767">
        <v>4</v>
      </c>
      <c r="D4767">
        <v>4</v>
      </c>
      <c r="E4767">
        <v>16</v>
      </c>
      <c r="F4767" t="s">
        <v>10018</v>
      </c>
      <c r="G4767" t="s">
        <v>10021</v>
      </c>
      <c r="H4767" s="6">
        <v>45104</v>
      </c>
      <c r="I4767">
        <f t="shared" si="148"/>
        <v>0</v>
      </c>
      <c r="J4767" t="str">
        <f t="shared" si="149"/>
        <v>Complete</v>
      </c>
      <c r="K4767">
        <f>COUNTIFS(RawData[Item], B4767,RawData[Quantity],C4767,RawData[Price Per Unit],D4767,RawData[Total Spent],E4767,RawData[Payment Method],F4767,RawData[Location],G4767,RawData[Transaction Date],H4767)</f>
        <v>1</v>
      </c>
      <c r="L4767"/>
    </row>
    <row r="4768" spans="1:12" x14ac:dyDescent="0.3">
      <c r="A4768" t="s">
        <v>4774</v>
      </c>
      <c r="B4768" t="s">
        <v>10010</v>
      </c>
      <c r="C4768">
        <v>3</v>
      </c>
      <c r="D4768">
        <v>1</v>
      </c>
      <c r="E4768">
        <v>3</v>
      </c>
      <c r="F4768" t="s">
        <v>10069</v>
      </c>
      <c r="G4768" t="s">
        <v>10102</v>
      </c>
      <c r="H4768" s="6">
        <v>45046</v>
      </c>
      <c r="I4768">
        <f t="shared" si="148"/>
        <v>0</v>
      </c>
      <c r="J4768" t="str">
        <f t="shared" si="149"/>
        <v>Complete</v>
      </c>
      <c r="K4768">
        <f>COUNTIFS(RawData[Item], B4768,RawData[Quantity],C4768,RawData[Price Per Unit],D4768,RawData[Total Spent],E4768,RawData[Payment Method],F4768,RawData[Location],G4768,RawData[Transaction Date],H4768)</f>
        <v>1</v>
      </c>
      <c r="L4768"/>
    </row>
    <row r="4769" spans="1:12" x14ac:dyDescent="0.3">
      <c r="A4769" t="s">
        <v>4775</v>
      </c>
      <c r="B4769" t="s">
        <v>10014</v>
      </c>
      <c r="C4769">
        <v>1</v>
      </c>
      <c r="D4769">
        <v>4</v>
      </c>
      <c r="E4769">
        <v>4</v>
      </c>
      <c r="F4769" t="s">
        <v>10019</v>
      </c>
      <c r="G4769" t="s">
        <v>10104</v>
      </c>
      <c r="H4769" s="6">
        <v>45081</v>
      </c>
      <c r="I4769">
        <f t="shared" si="148"/>
        <v>1</v>
      </c>
      <c r="J4769" t="str">
        <f t="shared" si="149"/>
        <v>Complete</v>
      </c>
      <c r="K4769">
        <f>COUNTIFS(RawData[Item], B4769,RawData[Quantity],C4769,RawData[Price Per Unit],D4769,RawData[Total Spent],E4769,RawData[Payment Method],F4769,RawData[Location],G4769,RawData[Transaction Date],H4769)</f>
        <v>1</v>
      </c>
      <c r="L4769"/>
    </row>
    <row r="4770" spans="1:12" x14ac:dyDescent="0.3">
      <c r="A4770" t="s">
        <v>4776</v>
      </c>
      <c r="B4770" t="s">
        <v>10011</v>
      </c>
      <c r="C4770">
        <v>1</v>
      </c>
      <c r="D4770">
        <v>5</v>
      </c>
      <c r="E4770">
        <v>5</v>
      </c>
      <c r="F4770" t="s">
        <v>10019</v>
      </c>
      <c r="G4770" t="s">
        <v>10102</v>
      </c>
      <c r="H4770" s="6">
        <v>45030</v>
      </c>
      <c r="I4770">
        <f t="shared" si="148"/>
        <v>0</v>
      </c>
      <c r="J4770" t="str">
        <f t="shared" si="149"/>
        <v>Complete</v>
      </c>
      <c r="K4770">
        <f>COUNTIFS(RawData[Item], B4770,RawData[Quantity],C4770,RawData[Price Per Unit],D4770,RawData[Total Spent],E4770,RawData[Payment Method],F4770,RawData[Location],G4770,RawData[Transaction Date],H4770)</f>
        <v>1</v>
      </c>
      <c r="L4770"/>
    </row>
    <row r="4771" spans="1:12" x14ac:dyDescent="0.3">
      <c r="A4771" t="s">
        <v>4777</v>
      </c>
      <c r="B4771" t="s">
        <v>10008</v>
      </c>
      <c r="C4771">
        <v>2</v>
      </c>
      <c r="D4771">
        <v>2</v>
      </c>
      <c r="E4771">
        <v>4</v>
      </c>
      <c r="F4771" t="s">
        <v>10069</v>
      </c>
      <c r="G4771" t="s">
        <v>10102</v>
      </c>
      <c r="H4771" s="6">
        <v>44942</v>
      </c>
      <c r="I4771">
        <f t="shared" si="148"/>
        <v>0</v>
      </c>
      <c r="J4771" t="str">
        <f t="shared" si="149"/>
        <v>Complete</v>
      </c>
      <c r="K4771">
        <f>COUNTIFS(RawData[Item], B4771,RawData[Quantity],C4771,RawData[Price Per Unit],D4771,RawData[Total Spent],E4771,RawData[Payment Method],F4771,RawData[Location],G4771,RawData[Transaction Date],H4771)</f>
        <v>1</v>
      </c>
      <c r="L4771"/>
    </row>
    <row r="4772" spans="1:12" x14ac:dyDescent="0.3">
      <c r="A4772" t="s">
        <v>4778</v>
      </c>
      <c r="B4772" t="s">
        <v>10014</v>
      </c>
      <c r="C4772">
        <v>2</v>
      </c>
      <c r="D4772">
        <v>4</v>
      </c>
      <c r="E4772">
        <v>8</v>
      </c>
      <c r="F4772" t="s">
        <v>10019</v>
      </c>
      <c r="G4772" t="s">
        <v>10069</v>
      </c>
      <c r="H4772" s="6">
        <v>45048</v>
      </c>
      <c r="I4772">
        <f t="shared" si="148"/>
        <v>0</v>
      </c>
      <c r="J4772" t="str">
        <f t="shared" si="149"/>
        <v>Complete</v>
      </c>
      <c r="K4772">
        <f>COUNTIFS(RawData[Item], B4772,RawData[Quantity],C4772,RawData[Price Per Unit],D4772,RawData[Total Spent],E4772,RawData[Payment Method],F4772,RawData[Location],G4772,RawData[Transaction Date],H4772)</f>
        <v>1</v>
      </c>
      <c r="L4772"/>
    </row>
    <row r="4773" spans="1:12" x14ac:dyDescent="0.3">
      <c r="A4773" t="s">
        <v>4779</v>
      </c>
      <c r="B4773" t="s">
        <v>10012</v>
      </c>
      <c r="C4773">
        <v>5</v>
      </c>
      <c r="D4773">
        <v>4</v>
      </c>
      <c r="E4773">
        <v>20</v>
      </c>
      <c r="F4773" t="s">
        <v>10019</v>
      </c>
      <c r="G4773" t="s">
        <v>10069</v>
      </c>
      <c r="H4773" s="6">
        <v>45152</v>
      </c>
      <c r="I4773">
        <f t="shared" si="148"/>
        <v>0</v>
      </c>
      <c r="J4773" t="str">
        <f t="shared" si="149"/>
        <v>Complete</v>
      </c>
      <c r="K4773">
        <f>COUNTIFS(RawData[Item], B4773,RawData[Quantity],C4773,RawData[Price Per Unit],D4773,RawData[Total Spent],E4773,RawData[Payment Method],F4773,RawData[Location],G4773,RawData[Transaction Date],H4773)</f>
        <v>1</v>
      </c>
      <c r="L4773"/>
    </row>
    <row r="4774" spans="1:12" x14ac:dyDescent="0.3">
      <c r="A4774" t="s">
        <v>4780</v>
      </c>
      <c r="B4774" t="s">
        <v>10016</v>
      </c>
      <c r="C4774">
        <v>1</v>
      </c>
      <c r="D4774">
        <v>3</v>
      </c>
      <c r="E4774">
        <v>3</v>
      </c>
      <c r="F4774" t="s">
        <v>10020</v>
      </c>
      <c r="G4774" t="s">
        <v>10102</v>
      </c>
      <c r="H4774" s="6">
        <v>45195</v>
      </c>
      <c r="I4774">
        <f t="shared" si="148"/>
        <v>0</v>
      </c>
      <c r="J4774" t="str">
        <f t="shared" si="149"/>
        <v>Complete</v>
      </c>
      <c r="K4774">
        <f>COUNTIFS(RawData[Item], B4774,RawData[Quantity],C4774,RawData[Price Per Unit],D4774,RawData[Total Spent],E4774,RawData[Payment Method],F4774,RawData[Location],G4774,RawData[Transaction Date],H4774)</f>
        <v>1</v>
      </c>
      <c r="L4774"/>
    </row>
    <row r="4775" spans="1:12" x14ac:dyDescent="0.3">
      <c r="A4775" t="s">
        <v>4781</v>
      </c>
      <c r="B4775" t="s">
        <v>10012</v>
      </c>
      <c r="C4775">
        <v>1</v>
      </c>
      <c r="D4775">
        <v>4</v>
      </c>
      <c r="E4775">
        <v>4</v>
      </c>
      <c r="F4775" t="s">
        <v>10020</v>
      </c>
      <c r="G4775" t="s">
        <v>10021</v>
      </c>
      <c r="H4775" s="6">
        <v>45088</v>
      </c>
      <c r="I4775">
        <f t="shared" si="148"/>
        <v>0</v>
      </c>
      <c r="J4775" t="str">
        <f t="shared" si="149"/>
        <v>Complete</v>
      </c>
      <c r="K4775">
        <f>COUNTIFS(RawData[Item], B4775,RawData[Quantity],C4775,RawData[Price Per Unit],D4775,RawData[Total Spent],E4775,RawData[Payment Method],F4775,RawData[Location],G4775,RawData[Transaction Date],H4775)</f>
        <v>1</v>
      </c>
      <c r="L4775"/>
    </row>
    <row r="4776" spans="1:12" x14ac:dyDescent="0.3">
      <c r="A4776" t="s">
        <v>4782</v>
      </c>
      <c r="B4776" t="s">
        <v>10011</v>
      </c>
      <c r="C4776">
        <v>4</v>
      </c>
      <c r="D4776">
        <v>5</v>
      </c>
      <c r="E4776">
        <v>20</v>
      </c>
      <c r="F4776" t="s">
        <v>10019</v>
      </c>
      <c r="G4776" t="s">
        <v>10102</v>
      </c>
      <c r="H4776" s="6">
        <v>45085</v>
      </c>
      <c r="I4776">
        <f t="shared" si="148"/>
        <v>0</v>
      </c>
      <c r="J4776" t="str">
        <f t="shared" si="149"/>
        <v>Complete</v>
      </c>
      <c r="K4776">
        <f>COUNTIFS(RawData[Item], B4776,RawData[Quantity],C4776,RawData[Price Per Unit],D4776,RawData[Total Spent],E4776,RawData[Payment Method],F4776,RawData[Location],G4776,RawData[Transaction Date],H4776)</f>
        <v>1</v>
      </c>
      <c r="L4776"/>
    </row>
    <row r="4777" spans="1:12" x14ac:dyDescent="0.3">
      <c r="A4777" t="s">
        <v>4783</v>
      </c>
      <c r="B4777" t="s">
        <v>10012</v>
      </c>
      <c r="C4777">
        <v>2</v>
      </c>
      <c r="D4777">
        <v>4</v>
      </c>
      <c r="E4777">
        <v>8</v>
      </c>
      <c r="F4777" t="s">
        <v>10020</v>
      </c>
      <c r="G4777" t="s">
        <v>10021</v>
      </c>
      <c r="H4777" s="6">
        <v>45144</v>
      </c>
      <c r="I4777">
        <f t="shared" si="148"/>
        <v>0</v>
      </c>
      <c r="J4777" t="str">
        <f t="shared" si="149"/>
        <v>Complete</v>
      </c>
      <c r="K4777">
        <f>COUNTIFS(RawData[Item], B4777,RawData[Quantity],C4777,RawData[Price Per Unit],D4777,RawData[Total Spent],E4777,RawData[Payment Method],F4777,RawData[Location],G4777,RawData[Transaction Date],H4777)</f>
        <v>1</v>
      </c>
      <c r="L4777"/>
    </row>
    <row r="4778" spans="1:12" x14ac:dyDescent="0.3">
      <c r="A4778" t="s">
        <v>4784</v>
      </c>
      <c r="B4778" t="s">
        <v>10010</v>
      </c>
      <c r="C4778">
        <v>0</v>
      </c>
      <c r="D4778">
        <v>1</v>
      </c>
      <c r="E4778">
        <v>4</v>
      </c>
      <c r="F4778" t="s">
        <v>10018</v>
      </c>
      <c r="G4778" t="s">
        <v>10102</v>
      </c>
      <c r="H4778" s="6">
        <v>45146</v>
      </c>
      <c r="I4778">
        <f t="shared" si="148"/>
        <v>0</v>
      </c>
      <c r="J4778" t="str">
        <f t="shared" si="149"/>
        <v>Complete</v>
      </c>
      <c r="K4778">
        <f>COUNTIFS(RawData[Item], B4778,RawData[Quantity],C4778,RawData[Price Per Unit],D4778,RawData[Total Spent],E4778,RawData[Payment Method],F4778,RawData[Location],G4778,RawData[Transaction Date],H4778)</f>
        <v>1</v>
      </c>
      <c r="L4778"/>
    </row>
    <row r="4779" spans="1:12" x14ac:dyDescent="0.3">
      <c r="A4779" t="s">
        <v>4785</v>
      </c>
      <c r="B4779" t="s">
        <v>10009</v>
      </c>
      <c r="C4779">
        <v>1</v>
      </c>
      <c r="D4779" t="s">
        <v>10013</v>
      </c>
      <c r="E4779">
        <v>3</v>
      </c>
      <c r="F4779" t="s">
        <v>10020</v>
      </c>
      <c r="G4779" t="s">
        <v>10021</v>
      </c>
      <c r="H4779" s="6">
        <v>45270</v>
      </c>
      <c r="I4779">
        <f t="shared" si="148"/>
        <v>1</v>
      </c>
      <c r="J4779" t="str">
        <f t="shared" si="149"/>
        <v>Complete</v>
      </c>
      <c r="K4779">
        <f>COUNTIFS(RawData[Item], B4779,RawData[Quantity],C4779,RawData[Price Per Unit],D4779,RawData[Total Spent],E4779,RawData[Payment Method],F4779,RawData[Location],G4779,RawData[Transaction Date],H4779)</f>
        <v>1</v>
      </c>
      <c r="L4779"/>
    </row>
    <row r="4780" spans="1:12" x14ac:dyDescent="0.3">
      <c r="A4780" t="s">
        <v>4786</v>
      </c>
      <c r="B4780" t="s">
        <v>10012</v>
      </c>
      <c r="C4780">
        <v>3</v>
      </c>
      <c r="D4780">
        <v>4</v>
      </c>
      <c r="E4780">
        <v>12</v>
      </c>
      <c r="F4780" t="s">
        <v>10069</v>
      </c>
      <c r="G4780" t="s">
        <v>10102</v>
      </c>
      <c r="H4780" s="6">
        <v>44951</v>
      </c>
      <c r="I4780">
        <f t="shared" si="148"/>
        <v>0</v>
      </c>
      <c r="J4780" t="str">
        <f t="shared" si="149"/>
        <v>Complete</v>
      </c>
      <c r="K4780">
        <f>COUNTIFS(RawData[Item], B4780,RawData[Quantity],C4780,RawData[Price Per Unit],D4780,RawData[Total Spent],E4780,RawData[Payment Method],F4780,RawData[Location],G4780,RawData[Transaction Date],H4780)</f>
        <v>1</v>
      </c>
      <c r="L4780"/>
    </row>
    <row r="4781" spans="1:12" x14ac:dyDescent="0.3">
      <c r="A4781" t="s">
        <v>4787</v>
      </c>
      <c r="B4781" t="s">
        <v>10012</v>
      </c>
      <c r="C4781">
        <v>2</v>
      </c>
      <c r="D4781">
        <v>4</v>
      </c>
      <c r="E4781">
        <v>8</v>
      </c>
      <c r="F4781" t="s">
        <v>10020</v>
      </c>
      <c r="G4781" t="s">
        <v>10104</v>
      </c>
      <c r="H4781" s="6">
        <v>45084</v>
      </c>
      <c r="I4781">
        <f t="shared" si="148"/>
        <v>1</v>
      </c>
      <c r="J4781" t="str">
        <f t="shared" si="149"/>
        <v>Complete</v>
      </c>
      <c r="K4781">
        <f>COUNTIFS(RawData[Item], B4781,RawData[Quantity],C4781,RawData[Price Per Unit],D4781,RawData[Total Spent],E4781,RawData[Payment Method],F4781,RawData[Location],G4781,RawData[Transaction Date],H4781)</f>
        <v>1</v>
      </c>
      <c r="L4781"/>
    </row>
    <row r="4782" spans="1:12" x14ac:dyDescent="0.3">
      <c r="A4782" t="s">
        <v>4788</v>
      </c>
      <c r="B4782" t="s">
        <v>10017</v>
      </c>
      <c r="C4782">
        <v>3</v>
      </c>
      <c r="D4782">
        <v>1.5</v>
      </c>
      <c r="E4782">
        <v>4.5</v>
      </c>
      <c r="F4782" t="s">
        <v>10020</v>
      </c>
      <c r="G4782" t="s">
        <v>10102</v>
      </c>
      <c r="H4782" s="6">
        <v>45218</v>
      </c>
      <c r="I4782">
        <f t="shared" si="148"/>
        <v>0</v>
      </c>
      <c r="J4782" t="str">
        <f t="shared" si="149"/>
        <v>Complete</v>
      </c>
      <c r="K4782">
        <f>COUNTIFS(RawData[Item], B4782,RawData[Quantity],C4782,RawData[Price Per Unit],D4782,RawData[Total Spent],E4782,RawData[Payment Method],F4782,RawData[Location],G4782,RawData[Transaction Date],H4782)</f>
        <v>1</v>
      </c>
      <c r="L4782"/>
    </row>
    <row r="4783" spans="1:12" x14ac:dyDescent="0.3">
      <c r="A4783" t="s">
        <v>4789</v>
      </c>
      <c r="B4783" t="s">
        <v>10010</v>
      </c>
      <c r="C4783">
        <v>5</v>
      </c>
      <c r="D4783">
        <v>1</v>
      </c>
      <c r="E4783">
        <v>5</v>
      </c>
      <c r="F4783" t="s">
        <v>10020</v>
      </c>
      <c r="G4783" t="s">
        <v>10102</v>
      </c>
      <c r="H4783" s="6">
        <v>45005</v>
      </c>
      <c r="I4783">
        <f t="shared" si="148"/>
        <v>0</v>
      </c>
      <c r="J4783" t="str">
        <f t="shared" si="149"/>
        <v>Complete</v>
      </c>
      <c r="K4783">
        <f>COUNTIFS(RawData[Item], B4783,RawData[Quantity],C4783,RawData[Price Per Unit],D4783,RawData[Total Spent],E4783,RawData[Payment Method],F4783,RawData[Location],G4783,RawData[Transaction Date],H4783)</f>
        <v>1</v>
      </c>
      <c r="L4783"/>
    </row>
    <row r="4784" spans="1:12" x14ac:dyDescent="0.3">
      <c r="A4784" t="s">
        <v>4790</v>
      </c>
      <c r="B4784" t="s">
        <v>10013</v>
      </c>
      <c r="C4784">
        <v>4</v>
      </c>
      <c r="D4784">
        <v>5</v>
      </c>
      <c r="E4784">
        <v>20</v>
      </c>
      <c r="F4784" t="s">
        <v>10069</v>
      </c>
      <c r="G4784" t="s">
        <v>10021</v>
      </c>
      <c r="H4784" s="6">
        <v>45131</v>
      </c>
      <c r="I4784">
        <f t="shared" si="148"/>
        <v>1</v>
      </c>
      <c r="J4784" t="str">
        <f t="shared" si="149"/>
        <v>Complete</v>
      </c>
      <c r="K4784">
        <f>COUNTIFS(RawData[Item], B4784,RawData[Quantity],C4784,RawData[Price Per Unit],D4784,RawData[Total Spent],E4784,RawData[Payment Method],F4784,RawData[Location],G4784,RawData[Transaction Date],H4784)</f>
        <v>1</v>
      </c>
      <c r="L4784"/>
    </row>
    <row r="4785" spans="1:12" x14ac:dyDescent="0.3">
      <c r="A4785" t="s">
        <v>4791</v>
      </c>
      <c r="B4785" t="s">
        <v>10012</v>
      </c>
      <c r="C4785">
        <v>3</v>
      </c>
      <c r="D4785">
        <v>4</v>
      </c>
      <c r="E4785">
        <v>12</v>
      </c>
      <c r="F4785" t="s">
        <v>10019</v>
      </c>
      <c r="G4785" t="s">
        <v>10103</v>
      </c>
      <c r="H4785" s="6">
        <v>45009</v>
      </c>
      <c r="I4785">
        <f t="shared" si="148"/>
        <v>1</v>
      </c>
      <c r="J4785" t="str">
        <f t="shared" si="149"/>
        <v>Complete</v>
      </c>
      <c r="K4785">
        <f>COUNTIFS(RawData[Item], B4785,RawData[Quantity],C4785,RawData[Price Per Unit],D4785,RawData[Total Spent],E4785,RawData[Payment Method],F4785,RawData[Location],G4785,RawData[Transaction Date],H4785)</f>
        <v>1</v>
      </c>
      <c r="L4785"/>
    </row>
    <row r="4786" spans="1:12" x14ac:dyDescent="0.3">
      <c r="A4786" t="s">
        <v>4792</v>
      </c>
      <c r="B4786" t="s">
        <v>10008</v>
      </c>
      <c r="C4786">
        <v>5</v>
      </c>
      <c r="D4786">
        <v>2</v>
      </c>
      <c r="E4786">
        <v>10</v>
      </c>
      <c r="F4786" t="s">
        <v>10018</v>
      </c>
      <c r="G4786" t="s">
        <v>10069</v>
      </c>
      <c r="H4786" s="6">
        <v>45221</v>
      </c>
      <c r="I4786">
        <f t="shared" si="148"/>
        <v>0</v>
      </c>
      <c r="J4786" t="str">
        <f t="shared" si="149"/>
        <v>Complete</v>
      </c>
      <c r="K4786">
        <f>COUNTIFS(RawData[Item], B4786,RawData[Quantity],C4786,RawData[Price Per Unit],D4786,RawData[Total Spent],E4786,RawData[Payment Method],F4786,RawData[Location],G4786,RawData[Transaction Date],H4786)</f>
        <v>1</v>
      </c>
      <c r="L4786"/>
    </row>
    <row r="4787" spans="1:12" x14ac:dyDescent="0.3">
      <c r="A4787" t="s">
        <v>4793</v>
      </c>
      <c r="B4787" t="s">
        <v>10016</v>
      </c>
      <c r="C4787">
        <v>5</v>
      </c>
      <c r="D4787">
        <v>3</v>
      </c>
      <c r="E4787" t="s">
        <v>10015</v>
      </c>
      <c r="F4787" t="s">
        <v>10019</v>
      </c>
      <c r="G4787" t="s">
        <v>10021</v>
      </c>
      <c r="H4787" s="6">
        <v>45253</v>
      </c>
      <c r="I4787">
        <f t="shared" si="148"/>
        <v>1</v>
      </c>
      <c r="J4787" t="str">
        <f t="shared" si="149"/>
        <v>Complete</v>
      </c>
      <c r="K4787">
        <f>COUNTIFS(RawData[Item], B4787,RawData[Quantity],C4787,RawData[Price Per Unit],D4787,RawData[Total Spent],E4787,RawData[Payment Method],F4787,RawData[Location],G4787,RawData[Transaction Date],H4787)</f>
        <v>1</v>
      </c>
      <c r="L4787"/>
    </row>
    <row r="4788" spans="1:12" x14ac:dyDescent="0.3">
      <c r="A4788" t="s">
        <v>4794</v>
      </c>
      <c r="B4788" t="s">
        <v>10009</v>
      </c>
      <c r="C4788">
        <v>3</v>
      </c>
      <c r="D4788">
        <v>3</v>
      </c>
      <c r="E4788" t="s">
        <v>10015</v>
      </c>
      <c r="F4788" t="s">
        <v>10069</v>
      </c>
      <c r="G4788" t="s">
        <v>10102</v>
      </c>
      <c r="H4788" s="6">
        <v>45006</v>
      </c>
      <c r="I4788">
        <f t="shared" si="148"/>
        <v>1</v>
      </c>
      <c r="J4788" t="str">
        <f t="shared" si="149"/>
        <v>Complete</v>
      </c>
      <c r="K4788">
        <f>COUNTIFS(RawData[Item], B4788,RawData[Quantity],C4788,RawData[Price Per Unit],D4788,RawData[Total Spent],E4788,RawData[Payment Method],F4788,RawData[Location],G4788,RawData[Transaction Date],H4788)</f>
        <v>1</v>
      </c>
      <c r="L4788"/>
    </row>
    <row r="4789" spans="1:12" x14ac:dyDescent="0.3">
      <c r="A4789" t="s">
        <v>4795</v>
      </c>
      <c r="B4789" t="s">
        <v>10012</v>
      </c>
      <c r="C4789">
        <v>1</v>
      </c>
      <c r="D4789">
        <v>4</v>
      </c>
      <c r="E4789">
        <v>4</v>
      </c>
      <c r="F4789" t="s">
        <v>10018</v>
      </c>
      <c r="G4789" t="s">
        <v>10069</v>
      </c>
      <c r="H4789" s="6">
        <v>45050</v>
      </c>
      <c r="I4789">
        <f t="shared" si="148"/>
        <v>0</v>
      </c>
      <c r="J4789" t="str">
        <f t="shared" si="149"/>
        <v>Complete</v>
      </c>
      <c r="K4789">
        <f>COUNTIFS(RawData[Item], B4789,RawData[Quantity],C4789,RawData[Price Per Unit],D4789,RawData[Total Spent],E4789,RawData[Payment Method],F4789,RawData[Location],G4789,RawData[Transaction Date],H4789)</f>
        <v>1</v>
      </c>
      <c r="L4789"/>
    </row>
    <row r="4790" spans="1:12" x14ac:dyDescent="0.3">
      <c r="A4790" t="s">
        <v>4796</v>
      </c>
      <c r="B4790" t="s">
        <v>10017</v>
      </c>
      <c r="C4790">
        <v>2</v>
      </c>
      <c r="D4790">
        <v>1.5</v>
      </c>
      <c r="E4790">
        <v>3</v>
      </c>
      <c r="F4790" t="s">
        <v>10069</v>
      </c>
      <c r="G4790" t="s">
        <v>10021</v>
      </c>
      <c r="H4790" s="6">
        <v>45212</v>
      </c>
      <c r="I4790">
        <f t="shared" si="148"/>
        <v>0</v>
      </c>
      <c r="J4790" t="str">
        <f t="shared" si="149"/>
        <v>Complete</v>
      </c>
      <c r="K4790">
        <f>COUNTIFS(RawData[Item], B4790,RawData[Quantity],C4790,RawData[Price Per Unit],D4790,RawData[Total Spent],E4790,RawData[Payment Method],F4790,RawData[Location],G4790,RawData[Transaction Date],H4790)</f>
        <v>1</v>
      </c>
      <c r="L4790"/>
    </row>
    <row r="4791" spans="1:12" x14ac:dyDescent="0.3">
      <c r="A4791" t="s">
        <v>4797</v>
      </c>
      <c r="B4791" t="s">
        <v>10012</v>
      </c>
      <c r="C4791">
        <v>2</v>
      </c>
      <c r="D4791">
        <v>4</v>
      </c>
      <c r="E4791">
        <v>8</v>
      </c>
      <c r="F4791" t="s">
        <v>10020</v>
      </c>
      <c r="G4791" t="s">
        <v>10102</v>
      </c>
      <c r="H4791" s="6">
        <v>45222</v>
      </c>
      <c r="I4791">
        <f t="shared" si="148"/>
        <v>0</v>
      </c>
      <c r="J4791" t="str">
        <f t="shared" si="149"/>
        <v>Complete</v>
      </c>
      <c r="K4791">
        <f>COUNTIFS(RawData[Item], B4791,RawData[Quantity],C4791,RawData[Price Per Unit],D4791,RawData[Total Spent],E4791,RawData[Payment Method],F4791,RawData[Location],G4791,RawData[Transaction Date],H4791)</f>
        <v>1</v>
      </c>
      <c r="L4791"/>
    </row>
    <row r="4792" spans="1:12" x14ac:dyDescent="0.3">
      <c r="A4792" t="s">
        <v>4798</v>
      </c>
      <c r="B4792" t="s">
        <v>10012</v>
      </c>
      <c r="C4792">
        <v>5</v>
      </c>
      <c r="D4792">
        <v>4</v>
      </c>
      <c r="E4792">
        <v>20</v>
      </c>
      <c r="F4792" t="s">
        <v>10020</v>
      </c>
      <c r="G4792" t="s">
        <v>10103</v>
      </c>
      <c r="H4792" s="6">
        <v>45219</v>
      </c>
      <c r="I4792">
        <f t="shared" si="148"/>
        <v>1</v>
      </c>
      <c r="J4792" t="str">
        <f t="shared" si="149"/>
        <v>Complete</v>
      </c>
      <c r="K4792">
        <f>COUNTIFS(RawData[Item], B4792,RawData[Quantity],C4792,RawData[Price Per Unit],D4792,RawData[Total Spent],E4792,RawData[Payment Method],F4792,RawData[Location],G4792,RawData[Transaction Date],H4792)</f>
        <v>1</v>
      </c>
      <c r="L4792"/>
    </row>
    <row r="4793" spans="1:12" x14ac:dyDescent="0.3">
      <c r="A4793" t="s">
        <v>4799</v>
      </c>
      <c r="B4793" t="s">
        <v>10011</v>
      </c>
      <c r="C4793">
        <v>3</v>
      </c>
      <c r="D4793" t="s">
        <v>10015</v>
      </c>
      <c r="E4793">
        <v>15</v>
      </c>
      <c r="F4793" t="s">
        <v>10103</v>
      </c>
      <c r="G4793" t="s">
        <v>10021</v>
      </c>
      <c r="H4793" s="6">
        <v>45046</v>
      </c>
      <c r="I4793">
        <f t="shared" si="148"/>
        <v>2</v>
      </c>
      <c r="J4793" t="str">
        <f t="shared" si="149"/>
        <v>Complete</v>
      </c>
      <c r="K4793">
        <f>COUNTIFS(RawData[Item], B4793,RawData[Quantity],C4793,RawData[Price Per Unit],D4793,RawData[Total Spent],E4793,RawData[Payment Method],F4793,RawData[Location],G4793,RawData[Transaction Date],H4793)</f>
        <v>1</v>
      </c>
      <c r="L4793"/>
    </row>
    <row r="4794" spans="1:12" x14ac:dyDescent="0.3">
      <c r="A4794" t="s">
        <v>4800</v>
      </c>
      <c r="B4794" t="s">
        <v>10011</v>
      </c>
      <c r="C4794">
        <v>2</v>
      </c>
      <c r="D4794">
        <v>5</v>
      </c>
      <c r="E4794" t="s">
        <v>10015</v>
      </c>
      <c r="F4794" t="s">
        <v>10019</v>
      </c>
      <c r="G4794" t="s">
        <v>10102</v>
      </c>
      <c r="H4794" s="6">
        <v>44958</v>
      </c>
      <c r="I4794">
        <f t="shared" si="148"/>
        <v>1</v>
      </c>
      <c r="J4794" t="str">
        <f t="shared" si="149"/>
        <v>Complete</v>
      </c>
      <c r="K4794">
        <f>COUNTIFS(RawData[Item], B4794,RawData[Quantity],C4794,RawData[Price Per Unit],D4794,RawData[Total Spent],E4794,RawData[Payment Method],F4794,RawData[Location],G4794,RawData[Transaction Date],H4794)</f>
        <v>1</v>
      </c>
      <c r="L4794"/>
    </row>
    <row r="4795" spans="1:12" x14ac:dyDescent="0.3">
      <c r="A4795" t="s">
        <v>4801</v>
      </c>
      <c r="B4795" t="s">
        <v>10009</v>
      </c>
      <c r="C4795">
        <v>3</v>
      </c>
      <c r="D4795">
        <v>3</v>
      </c>
      <c r="E4795">
        <v>9</v>
      </c>
      <c r="F4795" t="s">
        <v>10020</v>
      </c>
      <c r="G4795" t="s">
        <v>10102</v>
      </c>
      <c r="H4795" s="6">
        <v>45200</v>
      </c>
      <c r="I4795">
        <f t="shared" si="148"/>
        <v>0</v>
      </c>
      <c r="J4795" t="str">
        <f t="shared" si="149"/>
        <v>Complete</v>
      </c>
      <c r="K4795">
        <f>COUNTIFS(RawData[Item], B4795,RawData[Quantity],C4795,RawData[Price Per Unit],D4795,RawData[Total Spent],E4795,RawData[Payment Method],F4795,RawData[Location],G4795,RawData[Transaction Date],H4795)</f>
        <v>1</v>
      </c>
      <c r="L4795"/>
    </row>
    <row r="4796" spans="1:12" x14ac:dyDescent="0.3">
      <c r="A4796" t="s">
        <v>4802</v>
      </c>
      <c r="B4796" t="s">
        <v>10017</v>
      </c>
      <c r="C4796">
        <v>4</v>
      </c>
      <c r="D4796">
        <v>1.5</v>
      </c>
      <c r="E4796">
        <v>6</v>
      </c>
      <c r="F4796" t="s">
        <v>10019</v>
      </c>
      <c r="G4796" t="s">
        <v>10069</v>
      </c>
      <c r="H4796" s="6">
        <v>44975</v>
      </c>
      <c r="I4796">
        <f t="shared" si="148"/>
        <v>0</v>
      </c>
      <c r="J4796" t="str">
        <f t="shared" si="149"/>
        <v>Complete</v>
      </c>
      <c r="K4796">
        <f>COUNTIFS(RawData[Item], B4796,RawData[Quantity],C4796,RawData[Price Per Unit],D4796,RawData[Total Spent],E4796,RawData[Payment Method],F4796,RawData[Location],G4796,RawData[Transaction Date],H4796)</f>
        <v>1</v>
      </c>
      <c r="L4796"/>
    </row>
    <row r="4797" spans="1:12" x14ac:dyDescent="0.3">
      <c r="A4797" t="s">
        <v>4803</v>
      </c>
      <c r="B4797" t="s">
        <v>10016</v>
      </c>
      <c r="C4797">
        <v>4</v>
      </c>
      <c r="D4797">
        <v>3</v>
      </c>
      <c r="E4797">
        <v>12</v>
      </c>
      <c r="F4797" t="s">
        <v>10018</v>
      </c>
      <c r="G4797" t="s">
        <v>10102</v>
      </c>
      <c r="H4797" s="6">
        <v>44978</v>
      </c>
      <c r="I4797">
        <f t="shared" si="148"/>
        <v>0</v>
      </c>
      <c r="J4797" t="str">
        <f t="shared" si="149"/>
        <v>Complete</v>
      </c>
      <c r="K4797">
        <f>COUNTIFS(RawData[Item], B4797,RawData[Quantity],C4797,RawData[Price Per Unit],D4797,RawData[Total Spent],E4797,RawData[Payment Method],F4797,RawData[Location],G4797,RawData[Transaction Date],H4797)</f>
        <v>1</v>
      </c>
      <c r="L4797"/>
    </row>
    <row r="4798" spans="1:12" x14ac:dyDescent="0.3">
      <c r="A4798" t="s">
        <v>4804</v>
      </c>
      <c r="B4798" t="s">
        <v>10011</v>
      </c>
      <c r="C4798">
        <v>1</v>
      </c>
      <c r="D4798">
        <v>5</v>
      </c>
      <c r="E4798">
        <v>5</v>
      </c>
      <c r="F4798" t="s">
        <v>10018</v>
      </c>
      <c r="G4798" t="s">
        <v>10021</v>
      </c>
      <c r="H4798" s="6">
        <v>44960</v>
      </c>
      <c r="I4798">
        <f t="shared" si="148"/>
        <v>0</v>
      </c>
      <c r="J4798" t="str">
        <f t="shared" si="149"/>
        <v>Complete</v>
      </c>
      <c r="K4798">
        <f>COUNTIFS(RawData[Item], B4798,RawData[Quantity],C4798,RawData[Price Per Unit],D4798,RawData[Total Spent],E4798,RawData[Payment Method],F4798,RawData[Location],G4798,RawData[Transaction Date],H4798)</f>
        <v>1</v>
      </c>
      <c r="L4798"/>
    </row>
    <row r="4799" spans="1:12" x14ac:dyDescent="0.3">
      <c r="A4799" t="s">
        <v>4805</v>
      </c>
      <c r="B4799" t="s">
        <v>10015</v>
      </c>
      <c r="C4799">
        <v>4</v>
      </c>
      <c r="D4799">
        <v>4</v>
      </c>
      <c r="E4799">
        <v>16</v>
      </c>
      <c r="F4799" t="s">
        <v>10018</v>
      </c>
      <c r="G4799" t="s">
        <v>10021</v>
      </c>
      <c r="H4799" s="6">
        <v>45255</v>
      </c>
      <c r="I4799">
        <f t="shared" si="148"/>
        <v>1</v>
      </c>
      <c r="J4799" t="str">
        <f t="shared" si="149"/>
        <v>Complete</v>
      </c>
      <c r="K4799">
        <f>COUNTIFS(RawData[Item], B4799,RawData[Quantity],C4799,RawData[Price Per Unit],D4799,RawData[Total Spent],E4799,RawData[Payment Method],F4799,RawData[Location],G4799,RawData[Transaction Date],H4799)</f>
        <v>1</v>
      </c>
      <c r="L4799"/>
    </row>
    <row r="4800" spans="1:12" x14ac:dyDescent="0.3">
      <c r="A4800" t="s">
        <v>4806</v>
      </c>
      <c r="B4800" t="s">
        <v>10014</v>
      </c>
      <c r="C4800">
        <v>5</v>
      </c>
      <c r="D4800">
        <v>4</v>
      </c>
      <c r="E4800">
        <v>0</v>
      </c>
      <c r="F4800" t="s">
        <v>10018</v>
      </c>
      <c r="G4800" t="s">
        <v>10069</v>
      </c>
      <c r="H4800" s="6">
        <v>45197</v>
      </c>
      <c r="I4800">
        <f t="shared" si="148"/>
        <v>0</v>
      </c>
      <c r="J4800" t="str">
        <f t="shared" si="149"/>
        <v>Complete</v>
      </c>
      <c r="K4800">
        <f>COUNTIFS(RawData[Item], B4800,RawData[Quantity],C4800,RawData[Price Per Unit],D4800,RawData[Total Spent],E4800,RawData[Payment Method],F4800,RawData[Location],G4800,RawData[Transaction Date],H4800)</f>
        <v>1</v>
      </c>
      <c r="L4800"/>
    </row>
    <row r="4801" spans="1:12" x14ac:dyDescent="0.3">
      <c r="A4801" t="s">
        <v>4807</v>
      </c>
      <c r="B4801" t="s">
        <v>10016</v>
      </c>
      <c r="C4801">
        <v>3</v>
      </c>
      <c r="D4801">
        <v>3</v>
      </c>
      <c r="E4801">
        <v>9</v>
      </c>
      <c r="F4801" t="s">
        <v>10103</v>
      </c>
      <c r="G4801" t="s">
        <v>10102</v>
      </c>
      <c r="H4801" s="6">
        <v>45235</v>
      </c>
      <c r="I4801">
        <f t="shared" si="148"/>
        <v>1</v>
      </c>
      <c r="J4801" t="str">
        <f t="shared" si="149"/>
        <v>Complete</v>
      </c>
      <c r="K4801">
        <f>COUNTIFS(RawData[Item], B4801,RawData[Quantity],C4801,RawData[Price Per Unit],D4801,RawData[Total Spent],E4801,RawData[Payment Method],F4801,RawData[Location],G4801,RawData[Transaction Date],H4801)</f>
        <v>1</v>
      </c>
      <c r="L4801"/>
    </row>
    <row r="4802" spans="1:12" x14ac:dyDescent="0.3">
      <c r="A4802" t="s">
        <v>4808</v>
      </c>
      <c r="B4802" t="s">
        <v>10008</v>
      </c>
      <c r="C4802" t="s">
        <v>10015</v>
      </c>
      <c r="D4802">
        <v>2</v>
      </c>
      <c r="E4802">
        <v>6</v>
      </c>
      <c r="F4802" t="s">
        <v>10069</v>
      </c>
      <c r="G4802" t="s">
        <v>10102</v>
      </c>
      <c r="H4802" s="6">
        <v>45162</v>
      </c>
      <c r="I4802">
        <f t="shared" ref="I4802:I4865" si="150">(B4802="Unknown")+(B4802="Error")+(C4802="Unknown")+(C4802="Error")+(D4802="Unknown")+(D4802="Error")+(E4802="Unknown")+(E4802="Error")+(F4802="Unknown")+(F4802="Error")+(G4802="Unknown")+(G4802="Error")+(H4802="No Date")</f>
        <v>1</v>
      </c>
      <c r="J4802" t="str">
        <f t="shared" ref="J4802:J4865" si="151">IF((H4802="No Date"),"Incomplete","Complete")</f>
        <v>Complete</v>
      </c>
      <c r="K4802">
        <f>COUNTIFS(RawData[Item], B4802,RawData[Quantity],C4802,RawData[Price Per Unit],D4802,RawData[Total Spent],E4802,RawData[Payment Method],F4802,RawData[Location],G4802,RawData[Transaction Date],H4802)</f>
        <v>1</v>
      </c>
      <c r="L4802"/>
    </row>
    <row r="4803" spans="1:12" x14ac:dyDescent="0.3">
      <c r="A4803" t="s">
        <v>4809</v>
      </c>
      <c r="B4803" t="s">
        <v>10016</v>
      </c>
      <c r="C4803">
        <v>1</v>
      </c>
      <c r="D4803">
        <v>3</v>
      </c>
      <c r="E4803">
        <v>3</v>
      </c>
      <c r="F4803" t="s">
        <v>10104</v>
      </c>
      <c r="G4803" t="s">
        <v>10069</v>
      </c>
      <c r="H4803" s="6">
        <v>45114</v>
      </c>
      <c r="I4803">
        <f t="shared" si="150"/>
        <v>1</v>
      </c>
      <c r="J4803" t="str">
        <f t="shared" si="151"/>
        <v>Complete</v>
      </c>
      <c r="K4803">
        <f>COUNTIFS(RawData[Item], B4803,RawData[Quantity],C4803,RawData[Price Per Unit],D4803,RawData[Total Spent],E4803,RawData[Payment Method],F4803,RawData[Location],G4803,RawData[Transaction Date],H4803)</f>
        <v>1</v>
      </c>
      <c r="L4803"/>
    </row>
    <row r="4804" spans="1:12" x14ac:dyDescent="0.3">
      <c r="A4804" t="s">
        <v>4810</v>
      </c>
      <c r="B4804" t="s">
        <v>10017</v>
      </c>
      <c r="C4804">
        <v>5</v>
      </c>
      <c r="D4804">
        <v>1.5</v>
      </c>
      <c r="E4804">
        <v>7.5</v>
      </c>
      <c r="F4804" t="s">
        <v>10018</v>
      </c>
      <c r="G4804" t="s">
        <v>10021</v>
      </c>
      <c r="H4804" s="6">
        <v>45221</v>
      </c>
      <c r="I4804">
        <f t="shared" si="150"/>
        <v>0</v>
      </c>
      <c r="J4804" t="str">
        <f t="shared" si="151"/>
        <v>Complete</v>
      </c>
      <c r="K4804">
        <f>COUNTIFS(RawData[Item], B4804,RawData[Quantity],C4804,RawData[Price Per Unit],D4804,RawData[Total Spent],E4804,RawData[Payment Method],F4804,RawData[Location],G4804,RawData[Transaction Date],H4804)</f>
        <v>1</v>
      </c>
      <c r="L4804"/>
    </row>
    <row r="4805" spans="1:12" x14ac:dyDescent="0.3">
      <c r="A4805" t="s">
        <v>4811</v>
      </c>
      <c r="B4805" t="s">
        <v>10009</v>
      </c>
      <c r="C4805">
        <v>5</v>
      </c>
      <c r="D4805">
        <v>3</v>
      </c>
      <c r="E4805">
        <v>15</v>
      </c>
      <c r="F4805" t="s">
        <v>10019</v>
      </c>
      <c r="G4805" t="s">
        <v>10069</v>
      </c>
      <c r="H4805" s="6">
        <v>45152</v>
      </c>
      <c r="I4805">
        <f t="shared" si="150"/>
        <v>0</v>
      </c>
      <c r="J4805" t="str">
        <f t="shared" si="151"/>
        <v>Complete</v>
      </c>
      <c r="K4805">
        <f>COUNTIFS(RawData[Item], B4805,RawData[Quantity],C4805,RawData[Price Per Unit],D4805,RawData[Total Spent],E4805,RawData[Payment Method],F4805,RawData[Location],G4805,RawData[Transaction Date],H4805)</f>
        <v>1</v>
      </c>
      <c r="L4805"/>
    </row>
    <row r="4806" spans="1:12" x14ac:dyDescent="0.3">
      <c r="A4806" t="s">
        <v>4812</v>
      </c>
      <c r="B4806" t="s">
        <v>10010</v>
      </c>
      <c r="C4806">
        <v>4</v>
      </c>
      <c r="D4806">
        <v>1</v>
      </c>
      <c r="E4806">
        <v>4</v>
      </c>
      <c r="F4806" t="s">
        <v>10069</v>
      </c>
      <c r="G4806" t="s">
        <v>10069</v>
      </c>
      <c r="H4806" s="6">
        <v>45160</v>
      </c>
      <c r="I4806">
        <f t="shared" si="150"/>
        <v>0</v>
      </c>
      <c r="J4806" t="str">
        <f t="shared" si="151"/>
        <v>Complete</v>
      </c>
      <c r="K4806">
        <f>COUNTIFS(RawData[Item], B4806,RawData[Quantity],C4806,RawData[Price Per Unit],D4806,RawData[Total Spent],E4806,RawData[Payment Method],F4806,RawData[Location],G4806,RawData[Transaction Date],H4806)</f>
        <v>1</v>
      </c>
      <c r="L4806"/>
    </row>
    <row r="4807" spans="1:12" x14ac:dyDescent="0.3">
      <c r="A4807" t="s">
        <v>4813</v>
      </c>
      <c r="B4807" t="s">
        <v>10008</v>
      </c>
      <c r="C4807">
        <v>3</v>
      </c>
      <c r="D4807">
        <v>2</v>
      </c>
      <c r="E4807">
        <v>6</v>
      </c>
      <c r="F4807" t="s">
        <v>10019</v>
      </c>
      <c r="G4807" t="s">
        <v>10102</v>
      </c>
      <c r="H4807" s="6">
        <v>45266</v>
      </c>
      <c r="I4807">
        <f t="shared" si="150"/>
        <v>0</v>
      </c>
      <c r="J4807" t="str">
        <f t="shared" si="151"/>
        <v>Complete</v>
      </c>
      <c r="K4807">
        <f>COUNTIFS(RawData[Item], B4807,RawData[Quantity],C4807,RawData[Price Per Unit],D4807,RawData[Total Spent],E4807,RawData[Payment Method],F4807,RawData[Location],G4807,RawData[Transaction Date],H4807)</f>
        <v>1</v>
      </c>
      <c r="L4807"/>
    </row>
    <row r="4808" spans="1:12" x14ac:dyDescent="0.3">
      <c r="A4808" t="s">
        <v>4814</v>
      </c>
      <c r="B4808" t="s">
        <v>10015</v>
      </c>
      <c r="C4808">
        <v>4</v>
      </c>
      <c r="D4808">
        <v>4</v>
      </c>
      <c r="E4808">
        <v>16</v>
      </c>
      <c r="F4808" t="s">
        <v>10020</v>
      </c>
      <c r="G4808" t="s">
        <v>10021</v>
      </c>
      <c r="H4808" s="6">
        <v>45052</v>
      </c>
      <c r="I4808">
        <f t="shared" si="150"/>
        <v>1</v>
      </c>
      <c r="J4808" t="str">
        <f t="shared" si="151"/>
        <v>Complete</v>
      </c>
      <c r="K4808">
        <f>COUNTIFS(RawData[Item], B4808,RawData[Quantity],C4808,RawData[Price Per Unit],D4808,RawData[Total Spent],E4808,RawData[Payment Method],F4808,RawData[Location],G4808,RawData[Transaction Date],H4808)</f>
        <v>1</v>
      </c>
      <c r="L4808"/>
    </row>
    <row r="4809" spans="1:12" x14ac:dyDescent="0.3">
      <c r="A4809" t="s">
        <v>4815</v>
      </c>
      <c r="B4809" t="s">
        <v>10069</v>
      </c>
      <c r="C4809">
        <v>2</v>
      </c>
      <c r="D4809">
        <v>3</v>
      </c>
      <c r="E4809">
        <v>6</v>
      </c>
      <c r="F4809" t="s">
        <v>10020</v>
      </c>
      <c r="G4809" t="s">
        <v>10102</v>
      </c>
      <c r="H4809" s="6">
        <v>44960</v>
      </c>
      <c r="I4809">
        <f t="shared" si="150"/>
        <v>0</v>
      </c>
      <c r="J4809" t="str">
        <f t="shared" si="151"/>
        <v>Complete</v>
      </c>
      <c r="K4809">
        <f>COUNTIFS(RawData[Item], B4809,RawData[Quantity],C4809,RawData[Price Per Unit],D4809,RawData[Total Spent],E4809,RawData[Payment Method],F4809,RawData[Location],G4809,RawData[Transaction Date],H4809)</f>
        <v>1</v>
      </c>
      <c r="L4809"/>
    </row>
    <row r="4810" spans="1:12" x14ac:dyDescent="0.3">
      <c r="A4810" t="s">
        <v>4816</v>
      </c>
      <c r="B4810" t="s">
        <v>10013</v>
      </c>
      <c r="C4810">
        <v>2</v>
      </c>
      <c r="D4810">
        <v>1.5</v>
      </c>
      <c r="E4810">
        <v>3</v>
      </c>
      <c r="F4810" t="s">
        <v>10019</v>
      </c>
      <c r="G4810" t="s">
        <v>10069</v>
      </c>
      <c r="H4810" s="6">
        <v>44964</v>
      </c>
      <c r="I4810">
        <f t="shared" si="150"/>
        <v>1</v>
      </c>
      <c r="J4810" t="str">
        <f t="shared" si="151"/>
        <v>Complete</v>
      </c>
      <c r="K4810">
        <f>COUNTIFS(RawData[Item], B4810,RawData[Quantity],C4810,RawData[Price Per Unit],D4810,RawData[Total Spent],E4810,RawData[Payment Method],F4810,RawData[Location],G4810,RawData[Transaction Date],H4810)</f>
        <v>1</v>
      </c>
      <c r="L4810"/>
    </row>
    <row r="4811" spans="1:12" x14ac:dyDescent="0.3">
      <c r="A4811" t="s">
        <v>4817</v>
      </c>
      <c r="B4811" t="s">
        <v>10008</v>
      </c>
      <c r="C4811">
        <v>4</v>
      </c>
      <c r="D4811">
        <v>2</v>
      </c>
      <c r="E4811">
        <v>8</v>
      </c>
      <c r="F4811" t="s">
        <v>10018</v>
      </c>
      <c r="G4811" t="s">
        <v>10021</v>
      </c>
      <c r="H4811" s="6">
        <v>45081</v>
      </c>
      <c r="I4811">
        <f t="shared" si="150"/>
        <v>0</v>
      </c>
      <c r="J4811" t="str">
        <f t="shared" si="151"/>
        <v>Complete</v>
      </c>
      <c r="K4811">
        <f>COUNTIFS(RawData[Item], B4811,RawData[Quantity],C4811,RawData[Price Per Unit],D4811,RawData[Total Spent],E4811,RawData[Payment Method],F4811,RawData[Location],G4811,RawData[Transaction Date],H4811)</f>
        <v>1</v>
      </c>
      <c r="L4811"/>
    </row>
    <row r="4812" spans="1:12" x14ac:dyDescent="0.3">
      <c r="A4812" t="s">
        <v>4818</v>
      </c>
      <c r="B4812" t="s">
        <v>10017</v>
      </c>
      <c r="C4812">
        <v>5</v>
      </c>
      <c r="D4812">
        <v>1.5</v>
      </c>
      <c r="E4812">
        <v>7.5</v>
      </c>
      <c r="F4812" t="s">
        <v>10020</v>
      </c>
      <c r="G4812" t="s">
        <v>10102</v>
      </c>
      <c r="H4812" s="6">
        <v>45270</v>
      </c>
      <c r="I4812">
        <f t="shared" si="150"/>
        <v>0</v>
      </c>
      <c r="J4812" t="str">
        <f t="shared" si="151"/>
        <v>Complete</v>
      </c>
      <c r="K4812">
        <f>COUNTIFS(RawData[Item], B4812,RawData[Quantity],C4812,RawData[Price Per Unit],D4812,RawData[Total Spent],E4812,RawData[Payment Method],F4812,RawData[Location],G4812,RawData[Transaction Date],H4812)</f>
        <v>1</v>
      </c>
      <c r="L4812"/>
    </row>
    <row r="4813" spans="1:12" x14ac:dyDescent="0.3">
      <c r="A4813" t="s">
        <v>4819</v>
      </c>
      <c r="B4813" t="s">
        <v>10008</v>
      </c>
      <c r="C4813">
        <v>3</v>
      </c>
      <c r="D4813">
        <v>2</v>
      </c>
      <c r="E4813">
        <v>6</v>
      </c>
      <c r="F4813" t="s">
        <v>10019</v>
      </c>
      <c r="G4813" t="s">
        <v>10102</v>
      </c>
      <c r="H4813" s="6">
        <v>45021</v>
      </c>
      <c r="I4813">
        <f t="shared" si="150"/>
        <v>0</v>
      </c>
      <c r="J4813" t="str">
        <f t="shared" si="151"/>
        <v>Complete</v>
      </c>
      <c r="K4813">
        <f>COUNTIFS(RawData[Item], B4813,RawData[Quantity],C4813,RawData[Price Per Unit],D4813,RawData[Total Spent],E4813,RawData[Payment Method],F4813,RawData[Location],G4813,RawData[Transaction Date],H4813)</f>
        <v>1</v>
      </c>
      <c r="L4813"/>
    </row>
    <row r="4814" spans="1:12" x14ac:dyDescent="0.3">
      <c r="A4814" t="s">
        <v>4820</v>
      </c>
      <c r="B4814" t="s">
        <v>10017</v>
      </c>
      <c r="C4814">
        <v>1</v>
      </c>
      <c r="D4814">
        <v>1.5</v>
      </c>
      <c r="E4814">
        <v>1.5</v>
      </c>
      <c r="F4814" t="s">
        <v>10019</v>
      </c>
      <c r="G4814" t="s">
        <v>10103</v>
      </c>
      <c r="H4814" s="6">
        <v>45094</v>
      </c>
      <c r="I4814">
        <f t="shared" si="150"/>
        <v>1</v>
      </c>
      <c r="J4814" t="str">
        <f t="shared" si="151"/>
        <v>Complete</v>
      </c>
      <c r="K4814">
        <f>COUNTIFS(RawData[Item], B4814,RawData[Quantity],C4814,RawData[Price Per Unit],D4814,RawData[Total Spent],E4814,RawData[Payment Method],F4814,RawData[Location],G4814,RawData[Transaction Date],H4814)</f>
        <v>1</v>
      </c>
      <c r="L4814"/>
    </row>
    <row r="4815" spans="1:12" x14ac:dyDescent="0.3">
      <c r="A4815" t="s">
        <v>4821</v>
      </c>
      <c r="B4815" t="s">
        <v>10011</v>
      </c>
      <c r="C4815">
        <v>1</v>
      </c>
      <c r="D4815">
        <v>5</v>
      </c>
      <c r="E4815">
        <v>5</v>
      </c>
      <c r="F4815" t="s">
        <v>10019</v>
      </c>
      <c r="G4815" t="s">
        <v>10069</v>
      </c>
      <c r="H4815" s="6">
        <v>45164</v>
      </c>
      <c r="I4815">
        <f t="shared" si="150"/>
        <v>0</v>
      </c>
      <c r="J4815" t="str">
        <f t="shared" si="151"/>
        <v>Complete</v>
      </c>
      <c r="K4815">
        <f>COUNTIFS(RawData[Item], B4815,RawData[Quantity],C4815,RawData[Price Per Unit],D4815,RawData[Total Spent],E4815,RawData[Payment Method],F4815,RawData[Location],G4815,RawData[Transaction Date],H4815)</f>
        <v>1</v>
      </c>
      <c r="L4815"/>
    </row>
    <row r="4816" spans="1:12" x14ac:dyDescent="0.3">
      <c r="A4816" t="s">
        <v>4822</v>
      </c>
      <c r="B4816" t="s">
        <v>10012</v>
      </c>
      <c r="C4816">
        <v>2</v>
      </c>
      <c r="D4816">
        <v>4</v>
      </c>
      <c r="E4816">
        <v>8</v>
      </c>
      <c r="F4816" t="s">
        <v>10020</v>
      </c>
      <c r="G4816" t="s">
        <v>10069</v>
      </c>
      <c r="H4816" s="6">
        <v>45131</v>
      </c>
      <c r="I4816">
        <f t="shared" si="150"/>
        <v>0</v>
      </c>
      <c r="J4816" t="str">
        <f t="shared" si="151"/>
        <v>Complete</v>
      </c>
      <c r="K4816">
        <f>COUNTIFS(RawData[Item], B4816,RawData[Quantity],C4816,RawData[Price Per Unit],D4816,RawData[Total Spent],E4816,RawData[Payment Method],F4816,RawData[Location],G4816,RawData[Transaction Date],H4816)</f>
        <v>1</v>
      </c>
      <c r="L4816"/>
    </row>
    <row r="4817" spans="1:12" x14ac:dyDescent="0.3">
      <c r="A4817" t="s">
        <v>4823</v>
      </c>
      <c r="B4817" t="s">
        <v>10008</v>
      </c>
      <c r="C4817">
        <v>3</v>
      </c>
      <c r="D4817">
        <v>2</v>
      </c>
      <c r="E4817">
        <v>6</v>
      </c>
      <c r="F4817" t="s">
        <v>10019</v>
      </c>
      <c r="G4817" t="s">
        <v>10102</v>
      </c>
      <c r="H4817" s="6">
        <v>45041</v>
      </c>
      <c r="I4817">
        <f t="shared" si="150"/>
        <v>0</v>
      </c>
      <c r="J4817" t="str">
        <f t="shared" si="151"/>
        <v>Complete</v>
      </c>
      <c r="K4817">
        <f>COUNTIFS(RawData[Item], B4817,RawData[Quantity],C4817,RawData[Price Per Unit],D4817,RawData[Total Spent],E4817,RawData[Payment Method],F4817,RawData[Location],G4817,RawData[Transaction Date],H4817)</f>
        <v>1</v>
      </c>
      <c r="L4817"/>
    </row>
    <row r="4818" spans="1:12" x14ac:dyDescent="0.3">
      <c r="A4818" t="s">
        <v>4824</v>
      </c>
      <c r="B4818" t="s">
        <v>10017</v>
      </c>
      <c r="C4818">
        <v>5</v>
      </c>
      <c r="D4818">
        <v>0</v>
      </c>
      <c r="E4818">
        <v>7.5</v>
      </c>
      <c r="F4818" t="s">
        <v>10069</v>
      </c>
      <c r="G4818" t="s">
        <v>10021</v>
      </c>
      <c r="H4818" s="6">
        <v>45272</v>
      </c>
      <c r="I4818">
        <f t="shared" si="150"/>
        <v>0</v>
      </c>
      <c r="J4818" t="str">
        <f t="shared" si="151"/>
        <v>Complete</v>
      </c>
      <c r="K4818">
        <f>COUNTIFS(RawData[Item], B4818,RawData[Quantity],C4818,RawData[Price Per Unit],D4818,RawData[Total Spent],E4818,RawData[Payment Method],F4818,RawData[Location],G4818,RawData[Transaction Date],H4818)</f>
        <v>1</v>
      </c>
      <c r="L4818"/>
    </row>
    <row r="4819" spans="1:12" x14ac:dyDescent="0.3">
      <c r="A4819" t="s">
        <v>4825</v>
      </c>
      <c r="B4819" t="s">
        <v>10009</v>
      </c>
      <c r="C4819">
        <v>1</v>
      </c>
      <c r="D4819">
        <v>3</v>
      </c>
      <c r="E4819">
        <v>3</v>
      </c>
      <c r="F4819" t="s">
        <v>10104</v>
      </c>
      <c r="G4819" t="s">
        <v>10102</v>
      </c>
      <c r="H4819" s="6">
        <v>44999</v>
      </c>
      <c r="I4819">
        <f t="shared" si="150"/>
        <v>1</v>
      </c>
      <c r="J4819" t="str">
        <f t="shared" si="151"/>
        <v>Complete</v>
      </c>
      <c r="K4819">
        <f>COUNTIFS(RawData[Item], B4819,RawData[Quantity],C4819,RawData[Price Per Unit],D4819,RawData[Total Spent],E4819,RawData[Payment Method],F4819,RawData[Location],G4819,RawData[Transaction Date],H4819)</f>
        <v>1</v>
      </c>
      <c r="L4819"/>
    </row>
    <row r="4820" spans="1:12" x14ac:dyDescent="0.3">
      <c r="A4820" t="s">
        <v>4826</v>
      </c>
      <c r="B4820" t="s">
        <v>10014</v>
      </c>
      <c r="C4820">
        <v>5</v>
      </c>
      <c r="D4820">
        <v>4</v>
      </c>
      <c r="E4820">
        <v>20</v>
      </c>
      <c r="F4820" t="s">
        <v>10019</v>
      </c>
      <c r="G4820" t="s">
        <v>10102</v>
      </c>
      <c r="H4820" s="6">
        <v>45184</v>
      </c>
      <c r="I4820">
        <f t="shared" si="150"/>
        <v>0</v>
      </c>
      <c r="J4820" t="str">
        <f t="shared" si="151"/>
        <v>Complete</v>
      </c>
      <c r="K4820">
        <f>COUNTIFS(RawData[Item], B4820,RawData[Quantity],C4820,RawData[Price Per Unit],D4820,RawData[Total Spent],E4820,RawData[Payment Method],F4820,RawData[Location],G4820,RawData[Transaction Date],H4820)</f>
        <v>1</v>
      </c>
      <c r="L4820"/>
    </row>
    <row r="4821" spans="1:12" x14ac:dyDescent="0.3">
      <c r="A4821" t="s">
        <v>4827</v>
      </c>
      <c r="B4821" t="s">
        <v>10008</v>
      </c>
      <c r="C4821">
        <v>2</v>
      </c>
      <c r="D4821">
        <v>2</v>
      </c>
      <c r="E4821">
        <v>4</v>
      </c>
      <c r="F4821" t="s">
        <v>10069</v>
      </c>
      <c r="G4821" t="s">
        <v>10069</v>
      </c>
      <c r="H4821" s="6">
        <v>44930</v>
      </c>
      <c r="I4821">
        <f t="shared" si="150"/>
        <v>0</v>
      </c>
      <c r="J4821" t="str">
        <f t="shared" si="151"/>
        <v>Complete</v>
      </c>
      <c r="K4821">
        <f>COUNTIFS(RawData[Item], B4821,RawData[Quantity],C4821,RawData[Price Per Unit],D4821,RawData[Total Spent],E4821,RawData[Payment Method],F4821,RawData[Location],G4821,RawData[Transaction Date],H4821)</f>
        <v>1</v>
      </c>
      <c r="L4821"/>
    </row>
    <row r="4822" spans="1:12" x14ac:dyDescent="0.3">
      <c r="A4822" t="s">
        <v>4828</v>
      </c>
      <c r="B4822" t="s">
        <v>10017</v>
      </c>
      <c r="C4822">
        <v>1</v>
      </c>
      <c r="D4822">
        <v>1.5</v>
      </c>
      <c r="E4822">
        <v>1.5</v>
      </c>
      <c r="F4822" t="s">
        <v>10019</v>
      </c>
      <c r="G4822" t="s">
        <v>10102</v>
      </c>
      <c r="H4822" s="6">
        <v>44958</v>
      </c>
      <c r="I4822">
        <f t="shared" si="150"/>
        <v>0</v>
      </c>
      <c r="J4822" t="str">
        <f t="shared" si="151"/>
        <v>Complete</v>
      </c>
      <c r="K4822">
        <f>COUNTIFS(RawData[Item], B4822,RawData[Quantity],C4822,RawData[Price Per Unit],D4822,RawData[Total Spent],E4822,RawData[Payment Method],F4822,RawData[Location],G4822,RawData[Transaction Date],H4822)</f>
        <v>1</v>
      </c>
      <c r="L4822"/>
    </row>
    <row r="4823" spans="1:12" x14ac:dyDescent="0.3">
      <c r="A4823" t="s">
        <v>4829</v>
      </c>
      <c r="B4823" t="s">
        <v>10014</v>
      </c>
      <c r="C4823">
        <v>3</v>
      </c>
      <c r="D4823">
        <v>4</v>
      </c>
      <c r="E4823">
        <v>12</v>
      </c>
      <c r="F4823" t="s">
        <v>10020</v>
      </c>
      <c r="G4823" t="s">
        <v>10021</v>
      </c>
      <c r="H4823" s="6">
        <v>45025</v>
      </c>
      <c r="I4823">
        <f t="shared" si="150"/>
        <v>0</v>
      </c>
      <c r="J4823" t="str">
        <f t="shared" si="151"/>
        <v>Complete</v>
      </c>
      <c r="K4823">
        <f>COUNTIFS(RawData[Item], B4823,RawData[Quantity],C4823,RawData[Price Per Unit],D4823,RawData[Total Spent],E4823,RawData[Payment Method],F4823,RawData[Location],G4823,RawData[Transaction Date],H4823)</f>
        <v>1</v>
      </c>
      <c r="L4823"/>
    </row>
    <row r="4824" spans="1:12" x14ac:dyDescent="0.3">
      <c r="A4824" t="s">
        <v>4830</v>
      </c>
      <c r="B4824" t="s">
        <v>10009</v>
      </c>
      <c r="C4824">
        <v>1</v>
      </c>
      <c r="D4824">
        <v>3</v>
      </c>
      <c r="E4824">
        <v>3</v>
      </c>
      <c r="F4824" t="s">
        <v>10020</v>
      </c>
      <c r="G4824" t="s">
        <v>10102</v>
      </c>
      <c r="H4824" s="6">
        <v>44934</v>
      </c>
      <c r="I4824">
        <f t="shared" si="150"/>
        <v>0</v>
      </c>
      <c r="J4824" t="str">
        <f t="shared" si="151"/>
        <v>Complete</v>
      </c>
      <c r="K4824">
        <f>COUNTIFS(RawData[Item], B4824,RawData[Quantity],C4824,RawData[Price Per Unit],D4824,RawData[Total Spent],E4824,RawData[Payment Method],F4824,RawData[Location],G4824,RawData[Transaction Date],H4824)</f>
        <v>1</v>
      </c>
      <c r="L4824"/>
    </row>
    <row r="4825" spans="1:12" x14ac:dyDescent="0.3">
      <c r="A4825" t="s">
        <v>4831</v>
      </c>
      <c r="B4825" t="s">
        <v>10014</v>
      </c>
      <c r="C4825">
        <v>4</v>
      </c>
      <c r="D4825">
        <v>4</v>
      </c>
      <c r="E4825">
        <v>16</v>
      </c>
      <c r="F4825" t="s">
        <v>10019</v>
      </c>
      <c r="G4825" t="s">
        <v>10069</v>
      </c>
      <c r="H4825" s="6">
        <v>45167</v>
      </c>
      <c r="I4825">
        <f t="shared" si="150"/>
        <v>0</v>
      </c>
      <c r="J4825" t="str">
        <f t="shared" si="151"/>
        <v>Complete</v>
      </c>
      <c r="K4825">
        <f>COUNTIFS(RawData[Item], B4825,RawData[Quantity],C4825,RawData[Price Per Unit],D4825,RawData[Total Spent],E4825,RawData[Payment Method],F4825,RawData[Location],G4825,RawData[Transaction Date],H4825)</f>
        <v>1</v>
      </c>
      <c r="L4825"/>
    </row>
    <row r="4826" spans="1:12" x14ac:dyDescent="0.3">
      <c r="A4826" t="s">
        <v>4832</v>
      </c>
      <c r="B4826" t="s">
        <v>10012</v>
      </c>
      <c r="C4826">
        <v>1</v>
      </c>
      <c r="D4826">
        <v>4</v>
      </c>
      <c r="E4826">
        <v>4</v>
      </c>
      <c r="F4826" t="s">
        <v>10069</v>
      </c>
      <c r="G4826" t="s">
        <v>10102</v>
      </c>
      <c r="H4826" s="6">
        <v>45107</v>
      </c>
      <c r="I4826">
        <f t="shared" si="150"/>
        <v>0</v>
      </c>
      <c r="J4826" t="str">
        <f t="shared" si="151"/>
        <v>Complete</v>
      </c>
      <c r="K4826">
        <f>COUNTIFS(RawData[Item], B4826,RawData[Quantity],C4826,RawData[Price Per Unit],D4826,RawData[Total Spent],E4826,RawData[Payment Method],F4826,RawData[Location],G4826,RawData[Transaction Date],H4826)</f>
        <v>1</v>
      </c>
      <c r="L4826"/>
    </row>
    <row r="4827" spans="1:12" x14ac:dyDescent="0.3">
      <c r="A4827" t="s">
        <v>4833</v>
      </c>
      <c r="B4827" t="s">
        <v>10014</v>
      </c>
      <c r="C4827">
        <v>2</v>
      </c>
      <c r="D4827">
        <v>4</v>
      </c>
      <c r="E4827">
        <v>8</v>
      </c>
      <c r="F4827" t="s">
        <v>10019</v>
      </c>
      <c r="G4827" t="s">
        <v>10021</v>
      </c>
      <c r="H4827" s="6">
        <v>45023</v>
      </c>
      <c r="I4827">
        <f t="shared" si="150"/>
        <v>0</v>
      </c>
      <c r="J4827" t="str">
        <f t="shared" si="151"/>
        <v>Complete</v>
      </c>
      <c r="K4827">
        <f>COUNTIFS(RawData[Item], B4827,RawData[Quantity],C4827,RawData[Price Per Unit],D4827,RawData[Total Spent],E4827,RawData[Payment Method],F4827,RawData[Location],G4827,RawData[Transaction Date],H4827)</f>
        <v>1</v>
      </c>
      <c r="L4827"/>
    </row>
    <row r="4828" spans="1:12" x14ac:dyDescent="0.3">
      <c r="A4828" t="s">
        <v>4834</v>
      </c>
      <c r="B4828" t="s">
        <v>10010</v>
      </c>
      <c r="C4828">
        <v>2</v>
      </c>
      <c r="D4828">
        <v>1</v>
      </c>
      <c r="E4828">
        <v>2</v>
      </c>
      <c r="F4828" t="s">
        <v>10019</v>
      </c>
      <c r="G4828" t="s">
        <v>10069</v>
      </c>
      <c r="H4828" s="6">
        <v>45252</v>
      </c>
      <c r="I4828">
        <f t="shared" si="150"/>
        <v>0</v>
      </c>
      <c r="J4828" t="str">
        <f t="shared" si="151"/>
        <v>Complete</v>
      </c>
      <c r="K4828">
        <f>COUNTIFS(RawData[Item], B4828,RawData[Quantity],C4828,RawData[Price Per Unit],D4828,RawData[Total Spent],E4828,RawData[Payment Method],F4828,RawData[Location],G4828,RawData[Transaction Date],H4828)</f>
        <v>1</v>
      </c>
      <c r="L4828"/>
    </row>
    <row r="4829" spans="1:12" x14ac:dyDescent="0.3">
      <c r="A4829" t="s">
        <v>4835</v>
      </c>
      <c r="B4829" t="s">
        <v>10008</v>
      </c>
      <c r="C4829">
        <v>3</v>
      </c>
      <c r="D4829">
        <v>2</v>
      </c>
      <c r="E4829">
        <v>6</v>
      </c>
      <c r="F4829" t="s">
        <v>10019</v>
      </c>
      <c r="G4829" t="s">
        <v>10021</v>
      </c>
      <c r="H4829" s="6">
        <v>45215</v>
      </c>
      <c r="I4829">
        <f t="shared" si="150"/>
        <v>0</v>
      </c>
      <c r="J4829" t="str">
        <f t="shared" si="151"/>
        <v>Complete</v>
      </c>
      <c r="K4829">
        <f>COUNTIFS(RawData[Item], B4829,RawData[Quantity],C4829,RawData[Price Per Unit],D4829,RawData[Total Spent],E4829,RawData[Payment Method],F4829,RawData[Location],G4829,RawData[Transaction Date],H4829)</f>
        <v>1</v>
      </c>
      <c r="L4829"/>
    </row>
    <row r="4830" spans="1:12" x14ac:dyDescent="0.3">
      <c r="A4830" t="s">
        <v>4836</v>
      </c>
      <c r="B4830" t="s">
        <v>10010</v>
      </c>
      <c r="C4830">
        <v>2</v>
      </c>
      <c r="D4830">
        <v>1</v>
      </c>
      <c r="E4830">
        <v>2</v>
      </c>
      <c r="F4830" t="s">
        <v>10020</v>
      </c>
      <c r="G4830" t="s">
        <v>10069</v>
      </c>
      <c r="H4830" s="6">
        <v>45255</v>
      </c>
      <c r="I4830">
        <f t="shared" si="150"/>
        <v>0</v>
      </c>
      <c r="J4830" t="str">
        <f t="shared" si="151"/>
        <v>Complete</v>
      </c>
      <c r="K4830">
        <f>COUNTIFS(RawData[Item], B4830,RawData[Quantity],C4830,RawData[Price Per Unit],D4830,RawData[Total Spent],E4830,RawData[Payment Method],F4830,RawData[Location],G4830,RawData[Transaction Date],H4830)</f>
        <v>2</v>
      </c>
      <c r="L4830"/>
    </row>
    <row r="4831" spans="1:12" x14ac:dyDescent="0.3">
      <c r="A4831" t="s">
        <v>4837</v>
      </c>
      <c r="B4831" t="s">
        <v>10008</v>
      </c>
      <c r="C4831">
        <v>4</v>
      </c>
      <c r="D4831">
        <v>2</v>
      </c>
      <c r="E4831">
        <v>8</v>
      </c>
      <c r="F4831" t="s">
        <v>10018</v>
      </c>
      <c r="G4831" t="s">
        <v>10021</v>
      </c>
      <c r="H4831" s="6">
        <v>45095</v>
      </c>
      <c r="I4831">
        <f t="shared" si="150"/>
        <v>0</v>
      </c>
      <c r="J4831" t="str">
        <f t="shared" si="151"/>
        <v>Complete</v>
      </c>
      <c r="K4831">
        <f>COUNTIFS(RawData[Item], B4831,RawData[Quantity],C4831,RawData[Price Per Unit],D4831,RawData[Total Spent],E4831,RawData[Payment Method],F4831,RawData[Location],G4831,RawData[Transaction Date],H4831)</f>
        <v>1</v>
      </c>
      <c r="L4831"/>
    </row>
    <row r="4832" spans="1:12" x14ac:dyDescent="0.3">
      <c r="A4832" t="s">
        <v>4838</v>
      </c>
      <c r="B4832" t="s">
        <v>10017</v>
      </c>
      <c r="C4832" t="s">
        <v>10013</v>
      </c>
      <c r="D4832">
        <v>1.5</v>
      </c>
      <c r="E4832">
        <v>1.5</v>
      </c>
      <c r="F4832" t="s">
        <v>10018</v>
      </c>
      <c r="G4832" t="s">
        <v>10069</v>
      </c>
      <c r="H4832" s="6">
        <v>45112</v>
      </c>
      <c r="I4832">
        <f t="shared" si="150"/>
        <v>1</v>
      </c>
      <c r="J4832" t="str">
        <f t="shared" si="151"/>
        <v>Complete</v>
      </c>
      <c r="K4832">
        <f>COUNTIFS(RawData[Item], B4832,RawData[Quantity],C4832,RawData[Price Per Unit],D4832,RawData[Total Spent],E4832,RawData[Payment Method],F4832,RawData[Location],G4832,RawData[Transaction Date],H4832)</f>
        <v>1</v>
      </c>
      <c r="L4832"/>
    </row>
    <row r="4833" spans="1:12" x14ac:dyDescent="0.3">
      <c r="A4833" t="s">
        <v>4839</v>
      </c>
      <c r="B4833" t="s">
        <v>10069</v>
      </c>
      <c r="C4833">
        <v>2</v>
      </c>
      <c r="D4833">
        <v>4</v>
      </c>
      <c r="E4833">
        <v>0</v>
      </c>
      <c r="F4833" t="s">
        <v>10020</v>
      </c>
      <c r="G4833" t="s">
        <v>10069</v>
      </c>
      <c r="H4833" s="6">
        <v>45136</v>
      </c>
      <c r="I4833">
        <f t="shared" si="150"/>
        <v>0</v>
      </c>
      <c r="J4833" t="str">
        <f t="shared" si="151"/>
        <v>Complete</v>
      </c>
      <c r="K4833">
        <f>COUNTIFS(RawData[Item], B4833,RawData[Quantity],C4833,RawData[Price Per Unit],D4833,RawData[Total Spent],E4833,RawData[Payment Method],F4833,RawData[Location],G4833,RawData[Transaction Date],H4833)</f>
        <v>1</v>
      </c>
      <c r="L4833"/>
    </row>
    <row r="4834" spans="1:12" x14ac:dyDescent="0.3">
      <c r="A4834" t="s">
        <v>4840</v>
      </c>
      <c r="B4834" t="s">
        <v>10011</v>
      </c>
      <c r="C4834">
        <v>4</v>
      </c>
      <c r="D4834">
        <v>5</v>
      </c>
      <c r="E4834">
        <v>20</v>
      </c>
      <c r="F4834" t="s">
        <v>10018</v>
      </c>
      <c r="G4834" t="s">
        <v>10103</v>
      </c>
      <c r="H4834" s="6">
        <v>45133</v>
      </c>
      <c r="I4834">
        <f t="shared" si="150"/>
        <v>1</v>
      </c>
      <c r="J4834" t="str">
        <f t="shared" si="151"/>
        <v>Complete</v>
      </c>
      <c r="K4834">
        <f>COUNTIFS(RawData[Item], B4834,RawData[Quantity],C4834,RawData[Price Per Unit],D4834,RawData[Total Spent],E4834,RawData[Payment Method],F4834,RawData[Location],G4834,RawData[Transaction Date],H4834)</f>
        <v>1</v>
      </c>
      <c r="L4834"/>
    </row>
    <row r="4835" spans="1:12" x14ac:dyDescent="0.3">
      <c r="A4835" t="s">
        <v>4841</v>
      </c>
      <c r="B4835" t="s">
        <v>10010</v>
      </c>
      <c r="C4835">
        <v>2</v>
      </c>
      <c r="D4835">
        <v>1</v>
      </c>
      <c r="E4835">
        <v>2</v>
      </c>
      <c r="F4835" t="s">
        <v>10018</v>
      </c>
      <c r="G4835" t="s">
        <v>10069</v>
      </c>
      <c r="H4835" s="6">
        <v>45209</v>
      </c>
      <c r="I4835">
        <f t="shared" si="150"/>
        <v>0</v>
      </c>
      <c r="J4835" t="str">
        <f t="shared" si="151"/>
        <v>Complete</v>
      </c>
      <c r="K4835">
        <f>COUNTIFS(RawData[Item], B4835,RawData[Quantity],C4835,RawData[Price Per Unit],D4835,RawData[Total Spent],E4835,RawData[Payment Method],F4835,RawData[Location],G4835,RawData[Transaction Date],H4835)</f>
        <v>1</v>
      </c>
      <c r="L4835"/>
    </row>
    <row r="4836" spans="1:12" x14ac:dyDescent="0.3">
      <c r="A4836" t="s">
        <v>4842</v>
      </c>
      <c r="B4836" t="s">
        <v>10008</v>
      </c>
      <c r="C4836">
        <v>2</v>
      </c>
      <c r="D4836">
        <v>2</v>
      </c>
      <c r="E4836">
        <v>4</v>
      </c>
      <c r="F4836" t="s">
        <v>10019</v>
      </c>
      <c r="G4836" t="s">
        <v>10021</v>
      </c>
      <c r="H4836" s="6">
        <v>45025</v>
      </c>
      <c r="I4836">
        <f t="shared" si="150"/>
        <v>0</v>
      </c>
      <c r="J4836" t="str">
        <f t="shared" si="151"/>
        <v>Complete</v>
      </c>
      <c r="K4836">
        <f>COUNTIFS(RawData[Item], B4836,RawData[Quantity],C4836,RawData[Price Per Unit],D4836,RawData[Total Spent],E4836,RawData[Payment Method],F4836,RawData[Location],G4836,RawData[Transaction Date],H4836)</f>
        <v>1</v>
      </c>
      <c r="L4836"/>
    </row>
    <row r="4837" spans="1:12" x14ac:dyDescent="0.3">
      <c r="A4837" t="s">
        <v>4843</v>
      </c>
      <c r="B4837" t="s">
        <v>10012</v>
      </c>
      <c r="C4837">
        <v>4</v>
      </c>
      <c r="D4837">
        <v>4</v>
      </c>
      <c r="E4837">
        <v>16</v>
      </c>
      <c r="F4837" t="s">
        <v>10020</v>
      </c>
      <c r="G4837" t="s">
        <v>10069</v>
      </c>
      <c r="H4837" s="6">
        <v>45083</v>
      </c>
      <c r="I4837">
        <f t="shared" si="150"/>
        <v>0</v>
      </c>
      <c r="J4837" t="str">
        <f t="shared" si="151"/>
        <v>Complete</v>
      </c>
      <c r="K4837">
        <f>COUNTIFS(RawData[Item], B4837,RawData[Quantity],C4837,RawData[Price Per Unit],D4837,RawData[Total Spent],E4837,RawData[Payment Method],F4837,RawData[Location],G4837,RawData[Transaction Date],H4837)</f>
        <v>1</v>
      </c>
      <c r="L4837"/>
    </row>
    <row r="4838" spans="1:12" x14ac:dyDescent="0.3">
      <c r="A4838" t="s">
        <v>4844</v>
      </c>
      <c r="B4838" t="s">
        <v>10012</v>
      </c>
      <c r="C4838">
        <v>3</v>
      </c>
      <c r="D4838">
        <v>4</v>
      </c>
      <c r="E4838">
        <v>12</v>
      </c>
      <c r="F4838" t="s">
        <v>10020</v>
      </c>
      <c r="G4838" t="s">
        <v>10069</v>
      </c>
      <c r="H4838" s="6">
        <v>45129</v>
      </c>
      <c r="I4838">
        <f t="shared" si="150"/>
        <v>0</v>
      </c>
      <c r="J4838" t="str">
        <f t="shared" si="151"/>
        <v>Complete</v>
      </c>
      <c r="K4838">
        <f>COUNTIFS(RawData[Item], B4838,RawData[Quantity],C4838,RawData[Price Per Unit],D4838,RawData[Total Spent],E4838,RawData[Payment Method],F4838,RawData[Location],G4838,RawData[Transaction Date],H4838)</f>
        <v>1</v>
      </c>
      <c r="L4838"/>
    </row>
    <row r="4839" spans="1:12" x14ac:dyDescent="0.3">
      <c r="A4839" t="s">
        <v>4845</v>
      </c>
      <c r="B4839" t="s">
        <v>10012</v>
      </c>
      <c r="C4839">
        <v>1</v>
      </c>
      <c r="D4839">
        <v>4</v>
      </c>
      <c r="E4839">
        <v>4</v>
      </c>
      <c r="F4839" t="s">
        <v>10069</v>
      </c>
      <c r="G4839" t="s">
        <v>10021</v>
      </c>
      <c r="H4839" s="6">
        <v>45183</v>
      </c>
      <c r="I4839">
        <f t="shared" si="150"/>
        <v>0</v>
      </c>
      <c r="J4839" t="str">
        <f t="shared" si="151"/>
        <v>Complete</v>
      </c>
      <c r="K4839">
        <f>COUNTIFS(RawData[Item], B4839,RawData[Quantity],C4839,RawData[Price Per Unit],D4839,RawData[Total Spent],E4839,RawData[Payment Method],F4839,RawData[Location],G4839,RawData[Transaction Date],H4839)</f>
        <v>1</v>
      </c>
      <c r="L4839"/>
    </row>
    <row r="4840" spans="1:12" x14ac:dyDescent="0.3">
      <c r="A4840" t="s">
        <v>4846</v>
      </c>
      <c r="B4840" t="s">
        <v>10013</v>
      </c>
      <c r="C4840">
        <v>1</v>
      </c>
      <c r="D4840">
        <v>4</v>
      </c>
      <c r="E4840">
        <v>4</v>
      </c>
      <c r="F4840" t="s">
        <v>10019</v>
      </c>
      <c r="G4840" t="s">
        <v>10102</v>
      </c>
      <c r="H4840" s="6">
        <v>45262</v>
      </c>
      <c r="I4840">
        <f t="shared" si="150"/>
        <v>1</v>
      </c>
      <c r="J4840" t="str">
        <f t="shared" si="151"/>
        <v>Complete</v>
      </c>
      <c r="K4840">
        <f>COUNTIFS(RawData[Item], B4840,RawData[Quantity],C4840,RawData[Price Per Unit],D4840,RawData[Total Spent],E4840,RawData[Payment Method],F4840,RawData[Location],G4840,RawData[Transaction Date],H4840)</f>
        <v>1</v>
      </c>
      <c r="L4840"/>
    </row>
    <row r="4841" spans="1:12" x14ac:dyDescent="0.3">
      <c r="A4841" t="s">
        <v>4847</v>
      </c>
      <c r="B4841" t="s">
        <v>10014</v>
      </c>
      <c r="C4841">
        <v>1</v>
      </c>
      <c r="D4841">
        <v>4</v>
      </c>
      <c r="E4841">
        <v>4</v>
      </c>
      <c r="F4841" t="s">
        <v>10019</v>
      </c>
      <c r="G4841" t="s">
        <v>10102</v>
      </c>
      <c r="H4841" s="6">
        <v>45064</v>
      </c>
      <c r="I4841">
        <f t="shared" si="150"/>
        <v>0</v>
      </c>
      <c r="J4841" t="str">
        <f t="shared" si="151"/>
        <v>Complete</v>
      </c>
      <c r="K4841">
        <f>COUNTIFS(RawData[Item], B4841,RawData[Quantity],C4841,RawData[Price Per Unit],D4841,RawData[Total Spent],E4841,RawData[Payment Method],F4841,RawData[Location],G4841,RawData[Transaction Date],H4841)</f>
        <v>1</v>
      </c>
      <c r="L4841"/>
    </row>
    <row r="4842" spans="1:12" x14ac:dyDescent="0.3">
      <c r="A4842" t="s">
        <v>4848</v>
      </c>
      <c r="B4842" t="s">
        <v>10016</v>
      </c>
      <c r="C4842">
        <v>3</v>
      </c>
      <c r="D4842">
        <v>3</v>
      </c>
      <c r="E4842">
        <v>9</v>
      </c>
      <c r="F4842" t="s">
        <v>10019</v>
      </c>
      <c r="G4842" t="s">
        <v>10021</v>
      </c>
      <c r="H4842" s="6">
        <v>45132</v>
      </c>
      <c r="I4842">
        <f t="shared" si="150"/>
        <v>0</v>
      </c>
      <c r="J4842" t="str">
        <f t="shared" si="151"/>
        <v>Complete</v>
      </c>
      <c r="K4842">
        <f>COUNTIFS(RawData[Item], B4842,RawData[Quantity],C4842,RawData[Price Per Unit],D4842,RawData[Total Spent],E4842,RawData[Payment Method],F4842,RawData[Location],G4842,RawData[Transaction Date],H4842)</f>
        <v>1</v>
      </c>
      <c r="L4842"/>
    </row>
    <row r="4843" spans="1:12" x14ac:dyDescent="0.3">
      <c r="A4843" t="s">
        <v>4849</v>
      </c>
      <c r="B4843" t="s">
        <v>10016</v>
      </c>
      <c r="C4843">
        <v>1</v>
      </c>
      <c r="D4843">
        <v>3</v>
      </c>
      <c r="E4843">
        <v>3</v>
      </c>
      <c r="F4843" t="s">
        <v>10069</v>
      </c>
      <c r="G4843" t="s">
        <v>10021</v>
      </c>
      <c r="H4843" s="6">
        <v>45230</v>
      </c>
      <c r="I4843">
        <f t="shared" si="150"/>
        <v>0</v>
      </c>
      <c r="J4843" t="str">
        <f t="shared" si="151"/>
        <v>Complete</v>
      </c>
      <c r="K4843">
        <f>COUNTIFS(RawData[Item], B4843,RawData[Quantity],C4843,RawData[Price Per Unit],D4843,RawData[Total Spent],E4843,RawData[Payment Method],F4843,RawData[Location],G4843,RawData[Transaction Date],H4843)</f>
        <v>1</v>
      </c>
      <c r="L4843"/>
    </row>
    <row r="4844" spans="1:12" x14ac:dyDescent="0.3">
      <c r="A4844" t="s">
        <v>4850</v>
      </c>
      <c r="B4844" t="s">
        <v>10013</v>
      </c>
      <c r="C4844">
        <v>1</v>
      </c>
      <c r="D4844">
        <v>4</v>
      </c>
      <c r="E4844">
        <v>4</v>
      </c>
      <c r="F4844" t="s">
        <v>10019</v>
      </c>
      <c r="G4844" t="s">
        <v>10069</v>
      </c>
      <c r="H4844" s="6">
        <v>45118</v>
      </c>
      <c r="I4844">
        <f t="shared" si="150"/>
        <v>1</v>
      </c>
      <c r="J4844" t="str">
        <f t="shared" si="151"/>
        <v>Complete</v>
      </c>
      <c r="K4844">
        <f>COUNTIFS(RawData[Item], B4844,RawData[Quantity],C4844,RawData[Price Per Unit],D4844,RawData[Total Spent],E4844,RawData[Payment Method],F4844,RawData[Location],G4844,RawData[Transaction Date],H4844)</f>
        <v>1</v>
      </c>
      <c r="L4844"/>
    </row>
    <row r="4845" spans="1:12" x14ac:dyDescent="0.3">
      <c r="A4845" t="s">
        <v>4851</v>
      </c>
      <c r="B4845" t="s">
        <v>10017</v>
      </c>
      <c r="C4845">
        <v>1</v>
      </c>
      <c r="D4845">
        <v>1.5</v>
      </c>
      <c r="E4845">
        <v>1.5</v>
      </c>
      <c r="F4845" t="s">
        <v>10069</v>
      </c>
      <c r="G4845" t="s">
        <v>10102</v>
      </c>
      <c r="H4845" s="6">
        <v>45121</v>
      </c>
      <c r="I4845">
        <f t="shared" si="150"/>
        <v>0</v>
      </c>
      <c r="J4845" t="str">
        <f t="shared" si="151"/>
        <v>Complete</v>
      </c>
      <c r="K4845">
        <f>COUNTIFS(RawData[Item], B4845,RawData[Quantity],C4845,RawData[Price Per Unit],D4845,RawData[Total Spent],E4845,RawData[Payment Method],F4845,RawData[Location],G4845,RawData[Transaction Date],H4845)</f>
        <v>1</v>
      </c>
      <c r="L4845"/>
    </row>
    <row r="4846" spans="1:12" x14ac:dyDescent="0.3">
      <c r="A4846" t="s">
        <v>4852</v>
      </c>
      <c r="B4846" t="s">
        <v>10012</v>
      </c>
      <c r="C4846">
        <v>3</v>
      </c>
      <c r="D4846">
        <v>4</v>
      </c>
      <c r="E4846">
        <v>12</v>
      </c>
      <c r="F4846" t="s">
        <v>10020</v>
      </c>
      <c r="G4846" t="s">
        <v>10021</v>
      </c>
      <c r="H4846" s="6">
        <v>45256</v>
      </c>
      <c r="I4846">
        <f t="shared" si="150"/>
        <v>0</v>
      </c>
      <c r="J4846" t="str">
        <f t="shared" si="151"/>
        <v>Complete</v>
      </c>
      <c r="K4846">
        <f>COUNTIFS(RawData[Item], B4846,RawData[Quantity],C4846,RawData[Price Per Unit],D4846,RawData[Total Spent],E4846,RawData[Payment Method],F4846,RawData[Location],G4846,RawData[Transaction Date],H4846)</f>
        <v>1</v>
      </c>
      <c r="L4846"/>
    </row>
    <row r="4847" spans="1:12" x14ac:dyDescent="0.3">
      <c r="A4847" t="s">
        <v>4853</v>
      </c>
      <c r="B4847" t="s">
        <v>10011</v>
      </c>
      <c r="C4847">
        <v>0</v>
      </c>
      <c r="D4847">
        <v>5</v>
      </c>
      <c r="E4847">
        <v>20</v>
      </c>
      <c r="F4847" t="s">
        <v>10069</v>
      </c>
      <c r="G4847" t="s">
        <v>10102</v>
      </c>
      <c r="H4847" s="6">
        <v>45212</v>
      </c>
      <c r="I4847">
        <f t="shared" si="150"/>
        <v>0</v>
      </c>
      <c r="J4847" t="str">
        <f t="shared" si="151"/>
        <v>Complete</v>
      </c>
      <c r="K4847">
        <f>COUNTIFS(RawData[Item], B4847,RawData[Quantity],C4847,RawData[Price Per Unit],D4847,RawData[Total Spent],E4847,RawData[Payment Method],F4847,RawData[Location],G4847,RawData[Transaction Date],H4847)</f>
        <v>1</v>
      </c>
      <c r="L4847"/>
    </row>
    <row r="4848" spans="1:12" x14ac:dyDescent="0.3">
      <c r="A4848" t="s">
        <v>4854</v>
      </c>
      <c r="B4848" t="s">
        <v>10009</v>
      </c>
      <c r="C4848">
        <v>2</v>
      </c>
      <c r="D4848">
        <v>3</v>
      </c>
      <c r="E4848">
        <v>6</v>
      </c>
      <c r="F4848" t="s">
        <v>10069</v>
      </c>
      <c r="G4848" t="s">
        <v>10102</v>
      </c>
      <c r="H4848" s="6">
        <v>44947</v>
      </c>
      <c r="I4848">
        <f t="shared" si="150"/>
        <v>0</v>
      </c>
      <c r="J4848" t="str">
        <f t="shared" si="151"/>
        <v>Complete</v>
      </c>
      <c r="K4848">
        <f>COUNTIFS(RawData[Item], B4848,RawData[Quantity],C4848,RawData[Price Per Unit],D4848,RawData[Total Spent],E4848,RawData[Payment Method],F4848,RawData[Location],G4848,RawData[Transaction Date],H4848)</f>
        <v>1</v>
      </c>
      <c r="L4848"/>
    </row>
    <row r="4849" spans="1:12" x14ac:dyDescent="0.3">
      <c r="A4849" t="s">
        <v>4855</v>
      </c>
      <c r="B4849" t="s">
        <v>10014</v>
      </c>
      <c r="C4849">
        <v>5</v>
      </c>
      <c r="D4849">
        <v>4</v>
      </c>
      <c r="E4849">
        <v>20</v>
      </c>
      <c r="F4849" t="s">
        <v>10020</v>
      </c>
      <c r="G4849" t="s">
        <v>10069</v>
      </c>
      <c r="H4849" s="6">
        <v>45133</v>
      </c>
      <c r="I4849">
        <f t="shared" si="150"/>
        <v>0</v>
      </c>
      <c r="J4849" t="str">
        <f t="shared" si="151"/>
        <v>Complete</v>
      </c>
      <c r="K4849">
        <f>COUNTIFS(RawData[Item], B4849,RawData[Quantity],C4849,RawData[Price Per Unit],D4849,RawData[Total Spent],E4849,RawData[Payment Method],F4849,RawData[Location],G4849,RawData[Transaction Date],H4849)</f>
        <v>1</v>
      </c>
      <c r="L4849"/>
    </row>
    <row r="4850" spans="1:12" x14ac:dyDescent="0.3">
      <c r="A4850" t="s">
        <v>4856</v>
      </c>
      <c r="B4850" t="s">
        <v>10017</v>
      </c>
      <c r="C4850">
        <v>1</v>
      </c>
      <c r="D4850">
        <v>1.5</v>
      </c>
      <c r="E4850">
        <v>1.5</v>
      </c>
      <c r="F4850" t="s">
        <v>10018</v>
      </c>
      <c r="G4850" t="s">
        <v>10021</v>
      </c>
      <c r="H4850" s="6">
        <v>45020</v>
      </c>
      <c r="I4850">
        <f t="shared" si="150"/>
        <v>0</v>
      </c>
      <c r="J4850" t="str">
        <f t="shared" si="151"/>
        <v>Complete</v>
      </c>
      <c r="K4850">
        <f>COUNTIFS(RawData[Item], B4850,RawData[Quantity],C4850,RawData[Price Per Unit],D4850,RawData[Total Spent],E4850,RawData[Payment Method],F4850,RawData[Location],G4850,RawData[Transaction Date],H4850)</f>
        <v>1</v>
      </c>
      <c r="L4850"/>
    </row>
    <row r="4851" spans="1:12" x14ac:dyDescent="0.3">
      <c r="A4851" t="s">
        <v>4857</v>
      </c>
      <c r="B4851" t="s">
        <v>10011</v>
      </c>
      <c r="C4851">
        <v>4</v>
      </c>
      <c r="D4851">
        <v>5</v>
      </c>
      <c r="E4851">
        <v>20</v>
      </c>
      <c r="F4851" t="s">
        <v>10019</v>
      </c>
      <c r="G4851" t="s">
        <v>10021</v>
      </c>
      <c r="H4851" s="6">
        <v>45037</v>
      </c>
      <c r="I4851">
        <f t="shared" si="150"/>
        <v>0</v>
      </c>
      <c r="J4851" t="str">
        <f t="shared" si="151"/>
        <v>Complete</v>
      </c>
      <c r="K4851">
        <f>COUNTIFS(RawData[Item], B4851,RawData[Quantity],C4851,RawData[Price Per Unit],D4851,RawData[Total Spent],E4851,RawData[Payment Method],F4851,RawData[Location],G4851,RawData[Transaction Date],H4851)</f>
        <v>1</v>
      </c>
      <c r="L4851"/>
    </row>
    <row r="4852" spans="1:12" x14ac:dyDescent="0.3">
      <c r="A4852" t="s">
        <v>4858</v>
      </c>
      <c r="B4852" t="s">
        <v>10009</v>
      </c>
      <c r="C4852">
        <v>2</v>
      </c>
      <c r="D4852">
        <v>3</v>
      </c>
      <c r="E4852">
        <v>6</v>
      </c>
      <c r="F4852" t="s">
        <v>10019</v>
      </c>
      <c r="G4852" t="s">
        <v>10103</v>
      </c>
      <c r="H4852" s="6">
        <v>45128</v>
      </c>
      <c r="I4852">
        <f t="shared" si="150"/>
        <v>1</v>
      </c>
      <c r="J4852" t="str">
        <f t="shared" si="151"/>
        <v>Complete</v>
      </c>
      <c r="K4852">
        <f>COUNTIFS(RawData[Item], B4852,RawData[Quantity],C4852,RawData[Price Per Unit],D4852,RawData[Total Spent],E4852,RawData[Payment Method],F4852,RawData[Location],G4852,RawData[Transaction Date],H4852)</f>
        <v>1</v>
      </c>
      <c r="L4852"/>
    </row>
    <row r="4853" spans="1:12" x14ac:dyDescent="0.3">
      <c r="A4853" t="s">
        <v>4859</v>
      </c>
      <c r="B4853" t="s">
        <v>10016</v>
      </c>
      <c r="C4853">
        <v>3</v>
      </c>
      <c r="D4853">
        <v>3</v>
      </c>
      <c r="E4853">
        <v>9</v>
      </c>
      <c r="F4853" t="s">
        <v>10069</v>
      </c>
      <c r="G4853" t="s">
        <v>10069</v>
      </c>
      <c r="H4853" s="6">
        <v>45261</v>
      </c>
      <c r="I4853">
        <f t="shared" si="150"/>
        <v>0</v>
      </c>
      <c r="J4853" t="str">
        <f t="shared" si="151"/>
        <v>Complete</v>
      </c>
      <c r="K4853">
        <f>COUNTIFS(RawData[Item], B4853,RawData[Quantity],C4853,RawData[Price Per Unit],D4853,RawData[Total Spent],E4853,RawData[Payment Method],F4853,RawData[Location],G4853,RawData[Transaction Date],H4853)</f>
        <v>1</v>
      </c>
      <c r="L4853"/>
    </row>
    <row r="4854" spans="1:12" x14ac:dyDescent="0.3">
      <c r="A4854" t="s">
        <v>4860</v>
      </c>
      <c r="B4854" t="s">
        <v>10014</v>
      </c>
      <c r="C4854">
        <v>4</v>
      </c>
      <c r="D4854">
        <v>4</v>
      </c>
      <c r="E4854">
        <v>16</v>
      </c>
      <c r="F4854" t="s">
        <v>10069</v>
      </c>
      <c r="G4854" t="s">
        <v>10069</v>
      </c>
      <c r="H4854" s="6">
        <v>45001</v>
      </c>
      <c r="I4854">
        <f t="shared" si="150"/>
        <v>0</v>
      </c>
      <c r="J4854" t="str">
        <f t="shared" si="151"/>
        <v>Complete</v>
      </c>
      <c r="K4854">
        <f>COUNTIFS(RawData[Item], B4854,RawData[Quantity],C4854,RawData[Price Per Unit],D4854,RawData[Total Spent],E4854,RawData[Payment Method],F4854,RawData[Location],G4854,RawData[Transaction Date],H4854)</f>
        <v>1</v>
      </c>
      <c r="L4854"/>
    </row>
    <row r="4855" spans="1:12" x14ac:dyDescent="0.3">
      <c r="A4855" t="s">
        <v>4861</v>
      </c>
      <c r="B4855" t="s">
        <v>10069</v>
      </c>
      <c r="C4855">
        <v>4</v>
      </c>
      <c r="D4855">
        <v>4</v>
      </c>
      <c r="E4855">
        <v>16</v>
      </c>
      <c r="F4855" t="s">
        <v>10018</v>
      </c>
      <c r="G4855" t="s">
        <v>10069</v>
      </c>
      <c r="H4855" s="6">
        <v>45000</v>
      </c>
      <c r="I4855">
        <f t="shared" si="150"/>
        <v>0</v>
      </c>
      <c r="J4855" t="str">
        <f t="shared" si="151"/>
        <v>Complete</v>
      </c>
      <c r="K4855">
        <f>COUNTIFS(RawData[Item], B4855,RawData[Quantity],C4855,RawData[Price Per Unit],D4855,RawData[Total Spent],E4855,RawData[Payment Method],F4855,RawData[Location],G4855,RawData[Transaction Date],H4855)</f>
        <v>1</v>
      </c>
      <c r="L4855"/>
    </row>
    <row r="4856" spans="1:12" x14ac:dyDescent="0.3">
      <c r="A4856" t="s">
        <v>4862</v>
      </c>
      <c r="B4856" t="s">
        <v>10010</v>
      </c>
      <c r="C4856">
        <v>3</v>
      </c>
      <c r="D4856">
        <v>1</v>
      </c>
      <c r="E4856">
        <v>3</v>
      </c>
      <c r="F4856" t="s">
        <v>10019</v>
      </c>
      <c r="G4856" t="s">
        <v>10069</v>
      </c>
      <c r="H4856" s="6">
        <v>45000</v>
      </c>
      <c r="I4856">
        <f t="shared" si="150"/>
        <v>0</v>
      </c>
      <c r="J4856" t="str">
        <f t="shared" si="151"/>
        <v>Complete</v>
      </c>
      <c r="K4856">
        <f>COUNTIFS(RawData[Item], B4856,RawData[Quantity],C4856,RawData[Price Per Unit],D4856,RawData[Total Spent],E4856,RawData[Payment Method],F4856,RawData[Location],G4856,RawData[Transaction Date],H4856)</f>
        <v>1</v>
      </c>
      <c r="L4856"/>
    </row>
    <row r="4857" spans="1:12" x14ac:dyDescent="0.3">
      <c r="A4857" t="s">
        <v>4863</v>
      </c>
      <c r="B4857" t="s">
        <v>10009</v>
      </c>
      <c r="C4857">
        <v>2</v>
      </c>
      <c r="D4857">
        <v>3</v>
      </c>
      <c r="E4857">
        <v>6</v>
      </c>
      <c r="F4857" t="s">
        <v>10019</v>
      </c>
      <c r="G4857" t="s">
        <v>10102</v>
      </c>
      <c r="H4857" s="6">
        <v>45071</v>
      </c>
      <c r="I4857">
        <f t="shared" si="150"/>
        <v>0</v>
      </c>
      <c r="J4857" t="str">
        <f t="shared" si="151"/>
        <v>Complete</v>
      </c>
      <c r="K4857">
        <f>COUNTIFS(RawData[Item], B4857,RawData[Quantity],C4857,RawData[Price Per Unit],D4857,RawData[Total Spent],E4857,RawData[Payment Method],F4857,RawData[Location],G4857,RawData[Transaction Date],H4857)</f>
        <v>1</v>
      </c>
      <c r="L4857"/>
    </row>
    <row r="4858" spans="1:12" x14ac:dyDescent="0.3">
      <c r="A4858" t="s">
        <v>4864</v>
      </c>
      <c r="B4858" t="s">
        <v>10009</v>
      </c>
      <c r="C4858">
        <v>4</v>
      </c>
      <c r="D4858">
        <v>3</v>
      </c>
      <c r="E4858">
        <v>0</v>
      </c>
      <c r="F4858" t="s">
        <v>10019</v>
      </c>
      <c r="G4858" t="s">
        <v>10102</v>
      </c>
      <c r="H4858" s="6">
        <v>45014</v>
      </c>
      <c r="I4858">
        <f t="shared" si="150"/>
        <v>0</v>
      </c>
      <c r="J4858" t="str">
        <f t="shared" si="151"/>
        <v>Complete</v>
      </c>
      <c r="K4858">
        <f>COUNTIFS(RawData[Item], B4858,RawData[Quantity],C4858,RawData[Price Per Unit],D4858,RawData[Total Spent],E4858,RawData[Payment Method],F4858,RawData[Location],G4858,RawData[Transaction Date],H4858)</f>
        <v>1</v>
      </c>
      <c r="L4858"/>
    </row>
    <row r="4859" spans="1:12" x14ac:dyDescent="0.3">
      <c r="A4859" t="s">
        <v>4865</v>
      </c>
      <c r="B4859" t="s">
        <v>10008</v>
      </c>
      <c r="C4859">
        <v>3</v>
      </c>
      <c r="D4859">
        <v>2</v>
      </c>
      <c r="E4859">
        <v>6</v>
      </c>
      <c r="F4859" t="s">
        <v>10020</v>
      </c>
      <c r="G4859" t="s">
        <v>10069</v>
      </c>
      <c r="H4859" s="6">
        <v>45257</v>
      </c>
      <c r="I4859">
        <f t="shared" si="150"/>
        <v>0</v>
      </c>
      <c r="J4859" t="str">
        <f t="shared" si="151"/>
        <v>Complete</v>
      </c>
      <c r="K4859">
        <f>COUNTIFS(RawData[Item], B4859,RawData[Quantity],C4859,RawData[Price Per Unit],D4859,RawData[Total Spent],E4859,RawData[Payment Method],F4859,RawData[Location],G4859,RawData[Transaction Date],H4859)</f>
        <v>1</v>
      </c>
      <c r="L4859"/>
    </row>
    <row r="4860" spans="1:12" x14ac:dyDescent="0.3">
      <c r="A4860" t="s">
        <v>4866</v>
      </c>
      <c r="B4860" t="s">
        <v>10012</v>
      </c>
      <c r="C4860">
        <v>5</v>
      </c>
      <c r="D4860">
        <v>4</v>
      </c>
      <c r="E4860">
        <v>20</v>
      </c>
      <c r="F4860" t="s">
        <v>10018</v>
      </c>
      <c r="G4860" t="s">
        <v>10102</v>
      </c>
      <c r="H4860" s="6">
        <v>45153</v>
      </c>
      <c r="I4860">
        <f t="shared" si="150"/>
        <v>0</v>
      </c>
      <c r="J4860" t="str">
        <f t="shared" si="151"/>
        <v>Complete</v>
      </c>
      <c r="K4860">
        <f>COUNTIFS(RawData[Item], B4860,RawData[Quantity],C4860,RawData[Price Per Unit],D4860,RawData[Total Spent],E4860,RawData[Payment Method],F4860,RawData[Location],G4860,RawData[Transaction Date],H4860)</f>
        <v>1</v>
      </c>
      <c r="L4860"/>
    </row>
    <row r="4861" spans="1:12" x14ac:dyDescent="0.3">
      <c r="A4861" t="s">
        <v>4867</v>
      </c>
      <c r="B4861" t="s">
        <v>10010</v>
      </c>
      <c r="C4861">
        <v>3</v>
      </c>
      <c r="D4861">
        <v>1</v>
      </c>
      <c r="E4861">
        <v>3</v>
      </c>
      <c r="F4861" t="s">
        <v>10018</v>
      </c>
      <c r="G4861" t="s">
        <v>10021</v>
      </c>
      <c r="H4861" s="6">
        <v>45225</v>
      </c>
      <c r="I4861">
        <f t="shared" si="150"/>
        <v>0</v>
      </c>
      <c r="J4861" t="str">
        <f t="shared" si="151"/>
        <v>Complete</v>
      </c>
      <c r="K4861">
        <f>COUNTIFS(RawData[Item], B4861,RawData[Quantity],C4861,RawData[Price Per Unit],D4861,RawData[Total Spent],E4861,RawData[Payment Method],F4861,RawData[Location],G4861,RawData[Transaction Date],H4861)</f>
        <v>1</v>
      </c>
      <c r="L4861"/>
    </row>
    <row r="4862" spans="1:12" x14ac:dyDescent="0.3">
      <c r="A4862" t="s">
        <v>4868</v>
      </c>
      <c r="B4862" t="s">
        <v>10015</v>
      </c>
      <c r="C4862">
        <v>5</v>
      </c>
      <c r="D4862">
        <v>1.5</v>
      </c>
      <c r="E4862">
        <v>7.5</v>
      </c>
      <c r="F4862" t="s">
        <v>10019</v>
      </c>
      <c r="G4862" t="s">
        <v>10102</v>
      </c>
      <c r="H4862" s="6">
        <v>45257</v>
      </c>
      <c r="I4862">
        <f t="shared" si="150"/>
        <v>1</v>
      </c>
      <c r="J4862" t="str">
        <f t="shared" si="151"/>
        <v>Complete</v>
      </c>
      <c r="K4862">
        <f>COUNTIFS(RawData[Item], B4862,RawData[Quantity],C4862,RawData[Price Per Unit],D4862,RawData[Total Spent],E4862,RawData[Payment Method],F4862,RawData[Location],G4862,RawData[Transaction Date],H4862)</f>
        <v>1</v>
      </c>
      <c r="L4862"/>
    </row>
    <row r="4863" spans="1:12" x14ac:dyDescent="0.3">
      <c r="A4863" t="s">
        <v>4869</v>
      </c>
      <c r="B4863" t="s">
        <v>10010</v>
      </c>
      <c r="C4863">
        <v>5</v>
      </c>
      <c r="D4863">
        <v>1</v>
      </c>
      <c r="E4863">
        <v>5</v>
      </c>
      <c r="F4863" t="s">
        <v>10018</v>
      </c>
      <c r="G4863" t="s">
        <v>10102</v>
      </c>
      <c r="H4863" s="6">
        <v>44971</v>
      </c>
      <c r="I4863">
        <f t="shared" si="150"/>
        <v>0</v>
      </c>
      <c r="J4863" t="str">
        <f t="shared" si="151"/>
        <v>Complete</v>
      </c>
      <c r="K4863">
        <f>COUNTIFS(RawData[Item], B4863,RawData[Quantity],C4863,RawData[Price Per Unit],D4863,RawData[Total Spent],E4863,RawData[Payment Method],F4863,RawData[Location],G4863,RawData[Transaction Date],H4863)</f>
        <v>2</v>
      </c>
      <c r="L4863"/>
    </row>
    <row r="4864" spans="1:12" x14ac:dyDescent="0.3">
      <c r="A4864" t="s">
        <v>4870</v>
      </c>
      <c r="B4864" t="s">
        <v>10008</v>
      </c>
      <c r="C4864">
        <v>1</v>
      </c>
      <c r="D4864">
        <v>0</v>
      </c>
      <c r="E4864">
        <v>2</v>
      </c>
      <c r="F4864" t="s">
        <v>10069</v>
      </c>
      <c r="G4864" t="s">
        <v>10069</v>
      </c>
      <c r="H4864" s="6">
        <v>45215</v>
      </c>
      <c r="I4864">
        <f t="shared" si="150"/>
        <v>0</v>
      </c>
      <c r="J4864" t="str">
        <f t="shared" si="151"/>
        <v>Complete</v>
      </c>
      <c r="K4864">
        <f>COUNTIFS(RawData[Item], B4864,RawData[Quantity],C4864,RawData[Price Per Unit],D4864,RawData[Total Spent],E4864,RawData[Payment Method],F4864,RawData[Location],G4864,RawData[Transaction Date],H4864)</f>
        <v>1</v>
      </c>
      <c r="L4864"/>
    </row>
    <row r="4865" spans="1:12" x14ac:dyDescent="0.3">
      <c r="A4865" t="s">
        <v>4871</v>
      </c>
      <c r="B4865" t="s">
        <v>10014</v>
      </c>
      <c r="C4865">
        <v>3</v>
      </c>
      <c r="D4865">
        <v>4</v>
      </c>
      <c r="E4865">
        <v>12</v>
      </c>
      <c r="F4865" t="s">
        <v>10018</v>
      </c>
      <c r="G4865" t="s">
        <v>10069</v>
      </c>
      <c r="H4865" s="6">
        <v>45024</v>
      </c>
      <c r="I4865">
        <f t="shared" si="150"/>
        <v>0</v>
      </c>
      <c r="J4865" t="str">
        <f t="shared" si="151"/>
        <v>Complete</v>
      </c>
      <c r="K4865">
        <f>COUNTIFS(RawData[Item], B4865,RawData[Quantity],C4865,RawData[Price Per Unit],D4865,RawData[Total Spent],E4865,RawData[Payment Method],F4865,RawData[Location],G4865,RawData[Transaction Date],H4865)</f>
        <v>1</v>
      </c>
      <c r="L4865"/>
    </row>
    <row r="4866" spans="1:12" x14ac:dyDescent="0.3">
      <c r="A4866" t="s">
        <v>4872</v>
      </c>
      <c r="B4866" t="s">
        <v>10013</v>
      </c>
      <c r="C4866">
        <v>4</v>
      </c>
      <c r="D4866">
        <v>5</v>
      </c>
      <c r="E4866">
        <v>20</v>
      </c>
      <c r="F4866" t="s">
        <v>10069</v>
      </c>
      <c r="G4866" t="s">
        <v>10069</v>
      </c>
      <c r="H4866" s="6">
        <v>45070</v>
      </c>
      <c r="I4866">
        <f t="shared" ref="I4866:I4929" si="152">(B4866="Unknown")+(B4866="Error")+(C4866="Unknown")+(C4866="Error")+(D4866="Unknown")+(D4866="Error")+(E4866="Unknown")+(E4866="Error")+(F4866="Unknown")+(F4866="Error")+(G4866="Unknown")+(G4866="Error")+(H4866="No Date")</f>
        <v>1</v>
      </c>
      <c r="J4866" t="str">
        <f t="shared" ref="J4866:J4929" si="153">IF((H4866="No Date"),"Incomplete","Complete")</f>
        <v>Complete</v>
      </c>
      <c r="K4866">
        <f>COUNTIFS(RawData[Item], B4866,RawData[Quantity],C4866,RawData[Price Per Unit],D4866,RawData[Total Spent],E4866,RawData[Payment Method],F4866,RawData[Location],G4866,RawData[Transaction Date],H4866)</f>
        <v>1</v>
      </c>
      <c r="L4866"/>
    </row>
    <row r="4867" spans="1:12" x14ac:dyDescent="0.3">
      <c r="A4867" t="s">
        <v>4873</v>
      </c>
      <c r="B4867" t="s">
        <v>10008</v>
      </c>
      <c r="C4867">
        <v>4</v>
      </c>
      <c r="D4867">
        <v>2</v>
      </c>
      <c r="E4867">
        <v>8</v>
      </c>
      <c r="F4867" t="s">
        <v>10019</v>
      </c>
      <c r="G4867" t="s">
        <v>10102</v>
      </c>
      <c r="H4867" s="6">
        <v>45128</v>
      </c>
      <c r="I4867">
        <f t="shared" si="152"/>
        <v>0</v>
      </c>
      <c r="J4867" t="str">
        <f t="shared" si="153"/>
        <v>Complete</v>
      </c>
      <c r="K4867">
        <f>COUNTIFS(RawData[Item], B4867,RawData[Quantity],C4867,RawData[Price Per Unit],D4867,RawData[Total Spent],E4867,RawData[Payment Method],F4867,RawData[Location],G4867,RawData[Transaction Date],H4867)</f>
        <v>1</v>
      </c>
      <c r="L4867"/>
    </row>
    <row r="4868" spans="1:12" x14ac:dyDescent="0.3">
      <c r="A4868" t="s">
        <v>4874</v>
      </c>
      <c r="B4868" t="s">
        <v>10010</v>
      </c>
      <c r="C4868">
        <v>4</v>
      </c>
      <c r="D4868">
        <v>1</v>
      </c>
      <c r="E4868">
        <v>4</v>
      </c>
      <c r="F4868" t="s">
        <v>10020</v>
      </c>
      <c r="G4868" t="s">
        <v>10069</v>
      </c>
      <c r="H4868" s="6">
        <v>45034</v>
      </c>
      <c r="I4868">
        <f t="shared" si="152"/>
        <v>0</v>
      </c>
      <c r="J4868" t="str">
        <f t="shared" si="153"/>
        <v>Complete</v>
      </c>
      <c r="K4868">
        <f>COUNTIFS(RawData[Item], B4868,RawData[Quantity],C4868,RawData[Price Per Unit],D4868,RawData[Total Spent],E4868,RawData[Payment Method],F4868,RawData[Location],G4868,RawData[Transaction Date],H4868)</f>
        <v>1</v>
      </c>
      <c r="L4868"/>
    </row>
    <row r="4869" spans="1:12" x14ac:dyDescent="0.3">
      <c r="A4869" t="s">
        <v>4875</v>
      </c>
      <c r="B4869" t="s">
        <v>10012</v>
      </c>
      <c r="C4869">
        <v>4</v>
      </c>
      <c r="D4869">
        <v>4</v>
      </c>
      <c r="E4869">
        <v>16</v>
      </c>
      <c r="F4869" t="s">
        <v>10069</v>
      </c>
      <c r="G4869" t="s">
        <v>10069</v>
      </c>
      <c r="H4869" s="6">
        <v>45285</v>
      </c>
      <c r="I4869">
        <f t="shared" si="152"/>
        <v>0</v>
      </c>
      <c r="J4869" t="str">
        <f t="shared" si="153"/>
        <v>Complete</v>
      </c>
      <c r="K4869">
        <f>COUNTIFS(RawData[Item], B4869,RawData[Quantity],C4869,RawData[Price Per Unit],D4869,RawData[Total Spent],E4869,RawData[Payment Method],F4869,RawData[Location],G4869,RawData[Transaction Date],H4869)</f>
        <v>1</v>
      </c>
      <c r="L4869"/>
    </row>
    <row r="4870" spans="1:12" x14ac:dyDescent="0.3">
      <c r="A4870" t="s">
        <v>4876</v>
      </c>
      <c r="B4870" t="s">
        <v>10014</v>
      </c>
      <c r="C4870">
        <v>1</v>
      </c>
      <c r="D4870">
        <v>4</v>
      </c>
      <c r="E4870">
        <v>4</v>
      </c>
      <c r="F4870" t="s">
        <v>10069</v>
      </c>
      <c r="G4870" t="s">
        <v>10102</v>
      </c>
      <c r="H4870" s="6">
        <v>45127</v>
      </c>
      <c r="I4870">
        <f t="shared" si="152"/>
        <v>0</v>
      </c>
      <c r="J4870" t="str">
        <f t="shared" si="153"/>
        <v>Complete</v>
      </c>
      <c r="K4870">
        <f>COUNTIFS(RawData[Item], B4870,RawData[Quantity],C4870,RawData[Price Per Unit],D4870,RawData[Total Spent],E4870,RawData[Payment Method],F4870,RawData[Location],G4870,RawData[Transaction Date],H4870)</f>
        <v>1</v>
      </c>
      <c r="L4870"/>
    </row>
    <row r="4871" spans="1:12" x14ac:dyDescent="0.3">
      <c r="A4871" t="s">
        <v>4877</v>
      </c>
      <c r="B4871" t="s">
        <v>10009</v>
      </c>
      <c r="C4871">
        <v>2</v>
      </c>
      <c r="D4871">
        <v>3</v>
      </c>
      <c r="E4871">
        <v>6</v>
      </c>
      <c r="F4871" t="s">
        <v>10019</v>
      </c>
      <c r="G4871" t="s">
        <v>10069</v>
      </c>
      <c r="H4871" s="6">
        <v>45108</v>
      </c>
      <c r="I4871">
        <f t="shared" si="152"/>
        <v>0</v>
      </c>
      <c r="J4871" t="str">
        <f t="shared" si="153"/>
        <v>Complete</v>
      </c>
      <c r="K4871">
        <f>COUNTIFS(RawData[Item], B4871,RawData[Quantity],C4871,RawData[Price Per Unit],D4871,RawData[Total Spent],E4871,RawData[Payment Method],F4871,RawData[Location],G4871,RawData[Transaction Date],H4871)</f>
        <v>1</v>
      </c>
      <c r="L4871"/>
    </row>
    <row r="4872" spans="1:12" x14ac:dyDescent="0.3">
      <c r="A4872" t="s">
        <v>4878</v>
      </c>
      <c r="B4872" t="s">
        <v>10017</v>
      </c>
      <c r="C4872" t="s">
        <v>10013</v>
      </c>
      <c r="D4872">
        <v>1.5</v>
      </c>
      <c r="E4872">
        <v>6</v>
      </c>
      <c r="F4872" t="s">
        <v>10020</v>
      </c>
      <c r="G4872" t="s">
        <v>10021</v>
      </c>
      <c r="H4872" s="6">
        <v>45092</v>
      </c>
      <c r="I4872">
        <f t="shared" si="152"/>
        <v>1</v>
      </c>
      <c r="J4872" t="str">
        <f t="shared" si="153"/>
        <v>Complete</v>
      </c>
      <c r="K4872">
        <f>COUNTIFS(RawData[Item], B4872,RawData[Quantity],C4872,RawData[Price Per Unit],D4872,RawData[Total Spent],E4872,RawData[Payment Method],F4872,RawData[Location],G4872,RawData[Transaction Date],H4872)</f>
        <v>1</v>
      </c>
      <c r="L4872"/>
    </row>
    <row r="4873" spans="1:12" x14ac:dyDescent="0.3">
      <c r="A4873" t="s">
        <v>4879</v>
      </c>
      <c r="B4873" t="s">
        <v>10009</v>
      </c>
      <c r="C4873">
        <v>5</v>
      </c>
      <c r="D4873">
        <v>3</v>
      </c>
      <c r="E4873">
        <v>0</v>
      </c>
      <c r="F4873" t="s">
        <v>10018</v>
      </c>
      <c r="G4873" t="s">
        <v>10102</v>
      </c>
      <c r="H4873" s="6">
        <v>45254</v>
      </c>
      <c r="I4873">
        <f t="shared" si="152"/>
        <v>0</v>
      </c>
      <c r="J4873" t="str">
        <f t="shared" si="153"/>
        <v>Complete</v>
      </c>
      <c r="K4873">
        <f>COUNTIFS(RawData[Item], B4873,RawData[Quantity],C4873,RawData[Price Per Unit],D4873,RawData[Total Spent],E4873,RawData[Payment Method],F4873,RawData[Location],G4873,RawData[Transaction Date],H4873)</f>
        <v>1</v>
      </c>
      <c r="L4873"/>
    </row>
    <row r="4874" spans="1:12" x14ac:dyDescent="0.3">
      <c r="A4874" t="s">
        <v>4880</v>
      </c>
      <c r="B4874" t="s">
        <v>10015</v>
      </c>
      <c r="C4874">
        <v>3</v>
      </c>
      <c r="D4874">
        <v>3</v>
      </c>
      <c r="E4874">
        <v>9</v>
      </c>
      <c r="F4874" t="s">
        <v>10103</v>
      </c>
      <c r="G4874" t="s">
        <v>10102</v>
      </c>
      <c r="H4874" s="6">
        <v>45175</v>
      </c>
      <c r="I4874">
        <f t="shared" si="152"/>
        <v>2</v>
      </c>
      <c r="J4874" t="str">
        <f t="shared" si="153"/>
        <v>Complete</v>
      </c>
      <c r="K4874">
        <f>COUNTIFS(RawData[Item], B4874,RawData[Quantity],C4874,RawData[Price Per Unit],D4874,RawData[Total Spent],E4874,RawData[Payment Method],F4874,RawData[Location],G4874,RawData[Transaction Date],H4874)</f>
        <v>1</v>
      </c>
      <c r="L4874"/>
    </row>
    <row r="4875" spans="1:12" x14ac:dyDescent="0.3">
      <c r="A4875" t="s">
        <v>4881</v>
      </c>
      <c r="B4875" t="s">
        <v>10009</v>
      </c>
      <c r="C4875">
        <v>1</v>
      </c>
      <c r="D4875">
        <v>3</v>
      </c>
      <c r="E4875">
        <v>3</v>
      </c>
      <c r="F4875" t="s">
        <v>10019</v>
      </c>
      <c r="G4875" t="s">
        <v>10021</v>
      </c>
      <c r="H4875" s="6">
        <v>44947</v>
      </c>
      <c r="I4875">
        <f t="shared" si="152"/>
        <v>0</v>
      </c>
      <c r="J4875" t="str">
        <f t="shared" si="153"/>
        <v>Complete</v>
      </c>
      <c r="K4875">
        <f>COUNTIFS(RawData[Item], B4875,RawData[Quantity],C4875,RawData[Price Per Unit],D4875,RawData[Total Spent],E4875,RawData[Payment Method],F4875,RawData[Location],G4875,RawData[Transaction Date],H4875)</f>
        <v>1</v>
      </c>
      <c r="L4875"/>
    </row>
    <row r="4876" spans="1:12" x14ac:dyDescent="0.3">
      <c r="A4876" t="s">
        <v>4882</v>
      </c>
      <c r="B4876" t="s">
        <v>10016</v>
      </c>
      <c r="C4876">
        <v>1</v>
      </c>
      <c r="D4876">
        <v>3</v>
      </c>
      <c r="E4876">
        <v>3</v>
      </c>
      <c r="F4876" t="s">
        <v>10020</v>
      </c>
      <c r="G4876" t="s">
        <v>10069</v>
      </c>
      <c r="H4876" s="6">
        <v>44938</v>
      </c>
      <c r="I4876">
        <f t="shared" si="152"/>
        <v>0</v>
      </c>
      <c r="J4876" t="str">
        <f t="shared" si="153"/>
        <v>Complete</v>
      </c>
      <c r="K4876">
        <f>COUNTIFS(RawData[Item], B4876,RawData[Quantity],C4876,RawData[Price Per Unit],D4876,RawData[Total Spent],E4876,RawData[Payment Method],F4876,RawData[Location],G4876,RawData[Transaction Date],H4876)</f>
        <v>1</v>
      </c>
      <c r="L4876"/>
    </row>
    <row r="4877" spans="1:12" x14ac:dyDescent="0.3">
      <c r="A4877" t="s">
        <v>4883</v>
      </c>
      <c r="B4877" t="s">
        <v>10013</v>
      </c>
      <c r="C4877">
        <v>1</v>
      </c>
      <c r="D4877">
        <v>4</v>
      </c>
      <c r="E4877">
        <v>4</v>
      </c>
      <c r="F4877" t="s">
        <v>10069</v>
      </c>
      <c r="G4877" t="s">
        <v>10069</v>
      </c>
      <c r="H4877" s="6">
        <v>45204</v>
      </c>
      <c r="I4877">
        <f t="shared" si="152"/>
        <v>1</v>
      </c>
      <c r="J4877" t="str">
        <f t="shared" si="153"/>
        <v>Complete</v>
      </c>
      <c r="K4877">
        <f>COUNTIFS(RawData[Item], B4877,RawData[Quantity],C4877,RawData[Price Per Unit],D4877,RawData[Total Spent],E4877,RawData[Payment Method],F4877,RawData[Location],G4877,RawData[Transaction Date],H4877)</f>
        <v>1</v>
      </c>
      <c r="L4877"/>
    </row>
    <row r="4878" spans="1:12" x14ac:dyDescent="0.3">
      <c r="A4878" t="s">
        <v>4884</v>
      </c>
      <c r="B4878" t="s">
        <v>10010</v>
      </c>
      <c r="C4878">
        <v>5</v>
      </c>
      <c r="D4878">
        <v>1</v>
      </c>
      <c r="E4878">
        <v>5</v>
      </c>
      <c r="F4878" t="s">
        <v>10020</v>
      </c>
      <c r="G4878" t="s">
        <v>10021</v>
      </c>
      <c r="H4878" s="6">
        <v>45011</v>
      </c>
      <c r="I4878">
        <f t="shared" si="152"/>
        <v>0</v>
      </c>
      <c r="J4878" t="str">
        <f t="shared" si="153"/>
        <v>Complete</v>
      </c>
      <c r="K4878">
        <f>COUNTIFS(RawData[Item], B4878,RawData[Quantity],C4878,RawData[Price Per Unit],D4878,RawData[Total Spent],E4878,RawData[Payment Method],F4878,RawData[Location],G4878,RawData[Transaction Date],H4878)</f>
        <v>1</v>
      </c>
      <c r="L4878"/>
    </row>
    <row r="4879" spans="1:12" x14ac:dyDescent="0.3">
      <c r="A4879" t="s">
        <v>4885</v>
      </c>
      <c r="B4879" t="s">
        <v>10016</v>
      </c>
      <c r="C4879">
        <v>1</v>
      </c>
      <c r="D4879">
        <v>3</v>
      </c>
      <c r="E4879">
        <v>3</v>
      </c>
      <c r="F4879" t="s">
        <v>10018</v>
      </c>
      <c r="G4879" t="s">
        <v>10069</v>
      </c>
      <c r="H4879" s="6">
        <v>45273</v>
      </c>
      <c r="I4879">
        <f t="shared" si="152"/>
        <v>0</v>
      </c>
      <c r="J4879" t="str">
        <f t="shared" si="153"/>
        <v>Complete</v>
      </c>
      <c r="K4879">
        <f>COUNTIFS(RawData[Item], B4879,RawData[Quantity],C4879,RawData[Price Per Unit],D4879,RawData[Total Spent],E4879,RawData[Payment Method],F4879,RawData[Location],G4879,RawData[Transaction Date],H4879)</f>
        <v>1</v>
      </c>
      <c r="L4879"/>
    </row>
    <row r="4880" spans="1:12" x14ac:dyDescent="0.3">
      <c r="A4880" t="s">
        <v>4886</v>
      </c>
      <c r="B4880" t="s">
        <v>10014</v>
      </c>
      <c r="C4880">
        <v>1</v>
      </c>
      <c r="D4880">
        <v>4</v>
      </c>
      <c r="E4880">
        <v>4</v>
      </c>
      <c r="F4880" t="s">
        <v>10018</v>
      </c>
      <c r="G4880" t="s">
        <v>10069</v>
      </c>
      <c r="H4880" s="6">
        <v>44947</v>
      </c>
      <c r="I4880">
        <f t="shared" si="152"/>
        <v>0</v>
      </c>
      <c r="J4880" t="str">
        <f t="shared" si="153"/>
        <v>Complete</v>
      </c>
      <c r="K4880">
        <f>COUNTIFS(RawData[Item], B4880,RawData[Quantity],C4880,RawData[Price Per Unit],D4880,RawData[Total Spent],E4880,RawData[Payment Method],F4880,RawData[Location],G4880,RawData[Transaction Date],H4880)</f>
        <v>1</v>
      </c>
      <c r="L4880"/>
    </row>
    <row r="4881" spans="1:12" x14ac:dyDescent="0.3">
      <c r="A4881" t="s">
        <v>4887</v>
      </c>
      <c r="B4881" t="s">
        <v>10009</v>
      </c>
      <c r="C4881">
        <v>4</v>
      </c>
      <c r="D4881">
        <v>3</v>
      </c>
      <c r="E4881">
        <v>12</v>
      </c>
      <c r="F4881" t="s">
        <v>10019</v>
      </c>
      <c r="G4881" t="s">
        <v>10021</v>
      </c>
      <c r="H4881" s="6">
        <v>45109</v>
      </c>
      <c r="I4881">
        <f t="shared" si="152"/>
        <v>0</v>
      </c>
      <c r="J4881" t="str">
        <f t="shared" si="153"/>
        <v>Complete</v>
      </c>
      <c r="K4881">
        <f>COUNTIFS(RawData[Item], B4881,RawData[Quantity],C4881,RawData[Price Per Unit],D4881,RawData[Total Spent],E4881,RawData[Payment Method],F4881,RawData[Location],G4881,RawData[Transaction Date],H4881)</f>
        <v>1</v>
      </c>
      <c r="L4881"/>
    </row>
    <row r="4882" spans="1:12" x14ac:dyDescent="0.3">
      <c r="A4882" t="s">
        <v>4888</v>
      </c>
      <c r="B4882" t="s">
        <v>10010</v>
      </c>
      <c r="C4882">
        <v>3</v>
      </c>
      <c r="D4882">
        <v>1</v>
      </c>
      <c r="E4882">
        <v>3</v>
      </c>
      <c r="F4882" t="s">
        <v>10019</v>
      </c>
      <c r="G4882" t="s">
        <v>10102</v>
      </c>
      <c r="H4882" s="6">
        <v>45237</v>
      </c>
      <c r="I4882">
        <f t="shared" si="152"/>
        <v>0</v>
      </c>
      <c r="J4882" t="str">
        <f t="shared" si="153"/>
        <v>Complete</v>
      </c>
      <c r="K4882">
        <f>COUNTIFS(RawData[Item], B4882,RawData[Quantity],C4882,RawData[Price Per Unit],D4882,RawData[Total Spent],E4882,RawData[Payment Method],F4882,RawData[Location],G4882,RawData[Transaction Date],H4882)</f>
        <v>1</v>
      </c>
      <c r="L4882"/>
    </row>
    <row r="4883" spans="1:12" x14ac:dyDescent="0.3">
      <c r="A4883" t="s">
        <v>4889</v>
      </c>
      <c r="B4883" t="s">
        <v>10010</v>
      </c>
      <c r="C4883">
        <v>1</v>
      </c>
      <c r="D4883">
        <v>1</v>
      </c>
      <c r="E4883">
        <v>1</v>
      </c>
      <c r="F4883" t="s">
        <v>10069</v>
      </c>
      <c r="G4883" t="s">
        <v>10069</v>
      </c>
      <c r="H4883" s="6">
        <v>45101</v>
      </c>
      <c r="I4883">
        <f t="shared" si="152"/>
        <v>0</v>
      </c>
      <c r="J4883" t="str">
        <f t="shared" si="153"/>
        <v>Complete</v>
      </c>
      <c r="K4883">
        <f>COUNTIFS(RawData[Item], B4883,RawData[Quantity],C4883,RawData[Price Per Unit],D4883,RawData[Total Spent],E4883,RawData[Payment Method],F4883,RawData[Location],G4883,RawData[Transaction Date],H4883)</f>
        <v>1</v>
      </c>
      <c r="L4883"/>
    </row>
    <row r="4884" spans="1:12" x14ac:dyDescent="0.3">
      <c r="A4884" t="s">
        <v>4890</v>
      </c>
      <c r="B4884" t="s">
        <v>10016</v>
      </c>
      <c r="C4884">
        <v>2</v>
      </c>
      <c r="D4884">
        <v>3</v>
      </c>
      <c r="E4884">
        <v>6</v>
      </c>
      <c r="F4884" t="s">
        <v>10019</v>
      </c>
      <c r="G4884" t="s">
        <v>10102</v>
      </c>
      <c r="H4884" s="6">
        <v>45006</v>
      </c>
      <c r="I4884">
        <f t="shared" si="152"/>
        <v>0</v>
      </c>
      <c r="J4884" t="str">
        <f t="shared" si="153"/>
        <v>Complete</v>
      </c>
      <c r="K4884">
        <f>COUNTIFS(RawData[Item], B4884,RawData[Quantity],C4884,RawData[Price Per Unit],D4884,RawData[Total Spent],E4884,RawData[Payment Method],F4884,RawData[Location],G4884,RawData[Transaction Date],H4884)</f>
        <v>1</v>
      </c>
      <c r="L4884"/>
    </row>
    <row r="4885" spans="1:12" x14ac:dyDescent="0.3">
      <c r="A4885" t="s">
        <v>4891</v>
      </c>
      <c r="B4885" t="s">
        <v>10008</v>
      </c>
      <c r="C4885" t="s">
        <v>10015</v>
      </c>
      <c r="D4885">
        <v>2</v>
      </c>
      <c r="E4885">
        <v>8</v>
      </c>
      <c r="F4885" t="s">
        <v>10019</v>
      </c>
      <c r="G4885" t="s">
        <v>10021</v>
      </c>
      <c r="H4885" s="6">
        <v>45146</v>
      </c>
      <c r="I4885">
        <f t="shared" si="152"/>
        <v>1</v>
      </c>
      <c r="J4885" t="str">
        <f t="shared" si="153"/>
        <v>Complete</v>
      </c>
      <c r="K4885">
        <f>COUNTIFS(RawData[Item], B4885,RawData[Quantity],C4885,RawData[Price Per Unit],D4885,RawData[Total Spent],E4885,RawData[Payment Method],F4885,RawData[Location],G4885,RawData[Transaction Date],H4885)</f>
        <v>1</v>
      </c>
      <c r="L4885"/>
    </row>
    <row r="4886" spans="1:12" x14ac:dyDescent="0.3">
      <c r="A4886" t="s">
        <v>4892</v>
      </c>
      <c r="B4886" t="s">
        <v>10011</v>
      </c>
      <c r="C4886">
        <v>1</v>
      </c>
      <c r="D4886">
        <v>5</v>
      </c>
      <c r="E4886">
        <v>5</v>
      </c>
      <c r="F4886" t="s">
        <v>10020</v>
      </c>
      <c r="G4886" t="s">
        <v>10021</v>
      </c>
      <c r="H4886" s="6">
        <v>44949</v>
      </c>
      <c r="I4886">
        <f t="shared" si="152"/>
        <v>0</v>
      </c>
      <c r="J4886" t="str">
        <f t="shared" si="153"/>
        <v>Complete</v>
      </c>
      <c r="K4886">
        <f>COUNTIFS(RawData[Item], B4886,RawData[Quantity],C4886,RawData[Price Per Unit],D4886,RawData[Total Spent],E4886,RawData[Payment Method],F4886,RawData[Location],G4886,RawData[Transaction Date],H4886)</f>
        <v>1</v>
      </c>
      <c r="L4886"/>
    </row>
    <row r="4887" spans="1:12" x14ac:dyDescent="0.3">
      <c r="A4887" t="s">
        <v>4893</v>
      </c>
      <c r="B4887" t="s">
        <v>10009</v>
      </c>
      <c r="C4887">
        <v>2</v>
      </c>
      <c r="D4887">
        <v>3</v>
      </c>
      <c r="E4887">
        <v>6</v>
      </c>
      <c r="F4887" t="s">
        <v>10103</v>
      </c>
      <c r="G4887" t="s">
        <v>10069</v>
      </c>
      <c r="H4887" s="6">
        <v>45030</v>
      </c>
      <c r="I4887">
        <f t="shared" si="152"/>
        <v>1</v>
      </c>
      <c r="J4887" t="str">
        <f t="shared" si="153"/>
        <v>Complete</v>
      </c>
      <c r="K4887">
        <f>COUNTIFS(RawData[Item], B4887,RawData[Quantity],C4887,RawData[Price Per Unit],D4887,RawData[Total Spent],E4887,RawData[Payment Method],F4887,RawData[Location],G4887,RawData[Transaction Date],H4887)</f>
        <v>1</v>
      </c>
      <c r="L4887"/>
    </row>
    <row r="4888" spans="1:12" x14ac:dyDescent="0.3">
      <c r="A4888" t="s">
        <v>4894</v>
      </c>
      <c r="B4888" t="s">
        <v>10015</v>
      </c>
      <c r="C4888">
        <v>2</v>
      </c>
      <c r="D4888">
        <v>1.5</v>
      </c>
      <c r="E4888">
        <v>3</v>
      </c>
      <c r="F4888" t="s">
        <v>10019</v>
      </c>
      <c r="G4888" t="s">
        <v>10069</v>
      </c>
      <c r="H4888" s="6">
        <v>45217</v>
      </c>
      <c r="I4888">
        <f t="shared" si="152"/>
        <v>1</v>
      </c>
      <c r="J4888" t="str">
        <f t="shared" si="153"/>
        <v>Complete</v>
      </c>
      <c r="K4888">
        <f>COUNTIFS(RawData[Item], B4888,RawData[Quantity],C4888,RawData[Price Per Unit],D4888,RawData[Total Spent],E4888,RawData[Payment Method],F4888,RawData[Location],G4888,RawData[Transaction Date],H4888)</f>
        <v>1</v>
      </c>
      <c r="L4888"/>
    </row>
    <row r="4889" spans="1:12" x14ac:dyDescent="0.3">
      <c r="A4889" t="s">
        <v>4895</v>
      </c>
      <c r="B4889" t="s">
        <v>10017</v>
      </c>
      <c r="C4889">
        <v>5</v>
      </c>
      <c r="D4889">
        <v>1.5</v>
      </c>
      <c r="E4889">
        <v>7.5</v>
      </c>
      <c r="F4889" t="s">
        <v>10019</v>
      </c>
      <c r="G4889" t="s">
        <v>10069</v>
      </c>
      <c r="H4889" s="6">
        <v>44984</v>
      </c>
      <c r="I4889">
        <f t="shared" si="152"/>
        <v>0</v>
      </c>
      <c r="J4889" t="str">
        <f t="shared" si="153"/>
        <v>Complete</v>
      </c>
      <c r="K4889">
        <f>COUNTIFS(RawData[Item], B4889,RawData[Quantity],C4889,RawData[Price Per Unit],D4889,RawData[Total Spent],E4889,RawData[Payment Method],F4889,RawData[Location],G4889,RawData[Transaction Date],H4889)</f>
        <v>1</v>
      </c>
      <c r="L4889"/>
    </row>
    <row r="4890" spans="1:12" x14ac:dyDescent="0.3">
      <c r="A4890" t="s">
        <v>4896</v>
      </c>
      <c r="B4890" t="s">
        <v>10016</v>
      </c>
      <c r="C4890">
        <v>4</v>
      </c>
      <c r="D4890" t="s">
        <v>10013</v>
      </c>
      <c r="E4890">
        <v>12</v>
      </c>
      <c r="F4890" t="s">
        <v>10020</v>
      </c>
      <c r="G4890" t="s">
        <v>10069</v>
      </c>
      <c r="H4890" s="6">
        <v>45008</v>
      </c>
      <c r="I4890">
        <f t="shared" si="152"/>
        <v>1</v>
      </c>
      <c r="J4890" t="str">
        <f t="shared" si="153"/>
        <v>Complete</v>
      </c>
      <c r="K4890">
        <f>COUNTIFS(RawData[Item], B4890,RawData[Quantity],C4890,RawData[Price Per Unit],D4890,RawData[Total Spent],E4890,RawData[Payment Method],F4890,RawData[Location],G4890,RawData[Transaction Date],H4890)</f>
        <v>1</v>
      </c>
      <c r="L4890"/>
    </row>
    <row r="4891" spans="1:12" x14ac:dyDescent="0.3">
      <c r="A4891" t="s">
        <v>4897</v>
      </c>
      <c r="B4891" t="s">
        <v>10016</v>
      </c>
      <c r="C4891">
        <v>1</v>
      </c>
      <c r="D4891">
        <v>0</v>
      </c>
      <c r="E4891">
        <v>3</v>
      </c>
      <c r="F4891" t="s">
        <v>10069</v>
      </c>
      <c r="G4891" t="s">
        <v>10069</v>
      </c>
      <c r="H4891" s="6">
        <v>44985</v>
      </c>
      <c r="I4891">
        <f t="shared" si="152"/>
        <v>0</v>
      </c>
      <c r="J4891" t="str">
        <f t="shared" si="153"/>
        <v>Complete</v>
      </c>
      <c r="K4891">
        <f>COUNTIFS(RawData[Item], B4891,RawData[Quantity],C4891,RawData[Price Per Unit],D4891,RawData[Total Spent],E4891,RawData[Payment Method],F4891,RawData[Location],G4891,RawData[Transaction Date],H4891)</f>
        <v>1</v>
      </c>
      <c r="L4891"/>
    </row>
    <row r="4892" spans="1:12" x14ac:dyDescent="0.3">
      <c r="A4892" t="s">
        <v>4898</v>
      </c>
      <c r="B4892" t="s">
        <v>10010</v>
      </c>
      <c r="C4892">
        <v>4</v>
      </c>
      <c r="D4892">
        <v>1</v>
      </c>
      <c r="E4892">
        <v>4</v>
      </c>
      <c r="F4892" t="s">
        <v>10020</v>
      </c>
      <c r="G4892" t="s">
        <v>10069</v>
      </c>
      <c r="H4892" s="6">
        <v>45190</v>
      </c>
      <c r="I4892">
        <f t="shared" si="152"/>
        <v>0</v>
      </c>
      <c r="J4892" t="str">
        <f t="shared" si="153"/>
        <v>Complete</v>
      </c>
      <c r="K4892">
        <f>COUNTIFS(RawData[Item], B4892,RawData[Quantity],C4892,RawData[Price Per Unit],D4892,RawData[Total Spent],E4892,RawData[Payment Method],F4892,RawData[Location],G4892,RawData[Transaction Date],H4892)</f>
        <v>1</v>
      </c>
      <c r="L4892"/>
    </row>
    <row r="4893" spans="1:12" x14ac:dyDescent="0.3">
      <c r="A4893" t="s">
        <v>4899</v>
      </c>
      <c r="B4893" t="s">
        <v>10009</v>
      </c>
      <c r="C4893">
        <v>5</v>
      </c>
      <c r="D4893">
        <v>3</v>
      </c>
      <c r="E4893">
        <v>15</v>
      </c>
      <c r="F4893" t="s">
        <v>10069</v>
      </c>
      <c r="G4893" t="s">
        <v>10103</v>
      </c>
      <c r="H4893" s="6">
        <v>45073</v>
      </c>
      <c r="I4893">
        <f t="shared" si="152"/>
        <v>1</v>
      </c>
      <c r="J4893" t="str">
        <f t="shared" si="153"/>
        <v>Complete</v>
      </c>
      <c r="K4893">
        <f>COUNTIFS(RawData[Item], B4893,RawData[Quantity],C4893,RawData[Price Per Unit],D4893,RawData[Total Spent],E4893,RawData[Payment Method],F4893,RawData[Location],G4893,RawData[Transaction Date],H4893)</f>
        <v>1</v>
      </c>
      <c r="L4893"/>
    </row>
    <row r="4894" spans="1:12" x14ac:dyDescent="0.3">
      <c r="A4894" t="s">
        <v>4900</v>
      </c>
      <c r="B4894" t="s">
        <v>10016</v>
      </c>
      <c r="C4894">
        <v>5</v>
      </c>
      <c r="D4894" t="s">
        <v>10015</v>
      </c>
      <c r="E4894">
        <v>15</v>
      </c>
      <c r="F4894" t="s">
        <v>10069</v>
      </c>
      <c r="G4894" t="s">
        <v>10102</v>
      </c>
      <c r="H4894" s="6">
        <v>45170</v>
      </c>
      <c r="I4894">
        <f t="shared" si="152"/>
        <v>1</v>
      </c>
      <c r="J4894" t="str">
        <f t="shared" si="153"/>
        <v>Complete</v>
      </c>
      <c r="K4894">
        <f>COUNTIFS(RawData[Item], B4894,RawData[Quantity],C4894,RawData[Price Per Unit],D4894,RawData[Total Spent],E4894,RawData[Payment Method],F4894,RawData[Location],G4894,RawData[Transaction Date],H4894)</f>
        <v>1</v>
      </c>
      <c r="L4894"/>
    </row>
    <row r="4895" spans="1:12" x14ac:dyDescent="0.3">
      <c r="A4895" t="s">
        <v>4901</v>
      </c>
      <c r="B4895" t="s">
        <v>10009</v>
      </c>
      <c r="C4895">
        <v>3</v>
      </c>
      <c r="D4895">
        <v>3</v>
      </c>
      <c r="E4895">
        <v>9</v>
      </c>
      <c r="F4895" t="s">
        <v>10020</v>
      </c>
      <c r="G4895" t="s">
        <v>10021</v>
      </c>
      <c r="H4895" s="6">
        <v>45133</v>
      </c>
      <c r="I4895">
        <f t="shared" si="152"/>
        <v>0</v>
      </c>
      <c r="J4895" t="str">
        <f t="shared" si="153"/>
        <v>Complete</v>
      </c>
      <c r="K4895">
        <f>COUNTIFS(RawData[Item], B4895,RawData[Quantity],C4895,RawData[Price Per Unit],D4895,RawData[Total Spent],E4895,RawData[Payment Method],F4895,RawData[Location],G4895,RawData[Transaction Date],H4895)</f>
        <v>1</v>
      </c>
      <c r="L4895"/>
    </row>
    <row r="4896" spans="1:12" x14ac:dyDescent="0.3">
      <c r="A4896" t="s">
        <v>4902</v>
      </c>
      <c r="B4896" t="s">
        <v>10012</v>
      </c>
      <c r="C4896">
        <v>2</v>
      </c>
      <c r="D4896">
        <v>4</v>
      </c>
      <c r="E4896">
        <v>8</v>
      </c>
      <c r="F4896" t="s">
        <v>10019</v>
      </c>
      <c r="G4896" t="s">
        <v>10102</v>
      </c>
      <c r="H4896" s="6">
        <v>45115</v>
      </c>
      <c r="I4896">
        <f t="shared" si="152"/>
        <v>0</v>
      </c>
      <c r="J4896" t="str">
        <f t="shared" si="153"/>
        <v>Complete</v>
      </c>
      <c r="K4896">
        <f>COUNTIFS(RawData[Item], B4896,RawData[Quantity],C4896,RawData[Price Per Unit],D4896,RawData[Total Spent],E4896,RawData[Payment Method],F4896,RawData[Location],G4896,RawData[Transaction Date],H4896)</f>
        <v>1</v>
      </c>
      <c r="L4896"/>
    </row>
    <row r="4897" spans="1:12" x14ac:dyDescent="0.3">
      <c r="A4897" t="s">
        <v>4903</v>
      </c>
      <c r="B4897" t="s">
        <v>10011</v>
      </c>
      <c r="C4897">
        <v>4</v>
      </c>
      <c r="D4897">
        <v>5</v>
      </c>
      <c r="E4897">
        <v>20</v>
      </c>
      <c r="F4897" t="s">
        <v>10019</v>
      </c>
      <c r="G4897" t="s">
        <v>10069</v>
      </c>
      <c r="H4897" s="6">
        <v>45168</v>
      </c>
      <c r="I4897">
        <f t="shared" si="152"/>
        <v>0</v>
      </c>
      <c r="J4897" t="str">
        <f t="shared" si="153"/>
        <v>Complete</v>
      </c>
      <c r="K4897">
        <f>COUNTIFS(RawData[Item], B4897,RawData[Quantity],C4897,RawData[Price Per Unit],D4897,RawData[Total Spent],E4897,RawData[Payment Method],F4897,RawData[Location],G4897,RawData[Transaction Date],H4897)</f>
        <v>1</v>
      </c>
      <c r="L4897"/>
    </row>
    <row r="4898" spans="1:12" x14ac:dyDescent="0.3">
      <c r="A4898" t="s">
        <v>4904</v>
      </c>
      <c r="B4898" t="s">
        <v>10011</v>
      </c>
      <c r="C4898">
        <v>5</v>
      </c>
      <c r="D4898">
        <v>5</v>
      </c>
      <c r="E4898">
        <v>25</v>
      </c>
      <c r="F4898" t="s">
        <v>10069</v>
      </c>
      <c r="G4898" t="s">
        <v>10069</v>
      </c>
      <c r="H4898" s="6">
        <v>45097</v>
      </c>
      <c r="I4898">
        <f t="shared" si="152"/>
        <v>0</v>
      </c>
      <c r="J4898" t="str">
        <f t="shared" si="153"/>
        <v>Complete</v>
      </c>
      <c r="K4898">
        <f>COUNTIFS(RawData[Item], B4898,RawData[Quantity],C4898,RawData[Price Per Unit],D4898,RawData[Total Spent],E4898,RawData[Payment Method],F4898,RawData[Location],G4898,RawData[Transaction Date],H4898)</f>
        <v>1</v>
      </c>
      <c r="L4898"/>
    </row>
    <row r="4899" spans="1:12" x14ac:dyDescent="0.3">
      <c r="A4899" t="s">
        <v>4905</v>
      </c>
      <c r="B4899" t="s">
        <v>10008</v>
      </c>
      <c r="C4899">
        <v>1</v>
      </c>
      <c r="D4899">
        <v>2</v>
      </c>
      <c r="E4899">
        <v>2</v>
      </c>
      <c r="F4899" t="s">
        <v>10019</v>
      </c>
      <c r="G4899" t="s">
        <v>10102</v>
      </c>
      <c r="H4899" s="6">
        <v>45187</v>
      </c>
      <c r="I4899">
        <f t="shared" si="152"/>
        <v>0</v>
      </c>
      <c r="J4899" t="str">
        <f t="shared" si="153"/>
        <v>Complete</v>
      </c>
      <c r="K4899">
        <f>COUNTIFS(RawData[Item], B4899,RawData[Quantity],C4899,RawData[Price Per Unit],D4899,RawData[Total Spent],E4899,RawData[Payment Method],F4899,RawData[Location],G4899,RawData[Transaction Date],H4899)</f>
        <v>1</v>
      </c>
      <c r="L4899"/>
    </row>
    <row r="4900" spans="1:12" x14ac:dyDescent="0.3">
      <c r="A4900" t="s">
        <v>4906</v>
      </c>
      <c r="B4900" t="s">
        <v>10010</v>
      </c>
      <c r="C4900">
        <v>4</v>
      </c>
      <c r="D4900">
        <v>1</v>
      </c>
      <c r="E4900">
        <v>4</v>
      </c>
      <c r="F4900" t="s">
        <v>10019</v>
      </c>
      <c r="G4900" t="s">
        <v>10069</v>
      </c>
      <c r="H4900" s="6">
        <v>45011</v>
      </c>
      <c r="I4900">
        <f t="shared" si="152"/>
        <v>0</v>
      </c>
      <c r="J4900" t="str">
        <f t="shared" si="153"/>
        <v>Complete</v>
      </c>
      <c r="K4900">
        <f>COUNTIFS(RawData[Item], B4900,RawData[Quantity],C4900,RawData[Price Per Unit],D4900,RawData[Total Spent],E4900,RawData[Payment Method],F4900,RawData[Location],G4900,RawData[Transaction Date],H4900)</f>
        <v>1</v>
      </c>
      <c r="L4900"/>
    </row>
    <row r="4901" spans="1:12" x14ac:dyDescent="0.3">
      <c r="A4901" t="s">
        <v>4907</v>
      </c>
      <c r="B4901" t="s">
        <v>10016</v>
      </c>
      <c r="C4901">
        <v>3</v>
      </c>
      <c r="D4901">
        <v>3</v>
      </c>
      <c r="E4901">
        <v>9</v>
      </c>
      <c r="F4901" t="s">
        <v>10069</v>
      </c>
      <c r="G4901" t="s">
        <v>10104</v>
      </c>
      <c r="H4901" s="6">
        <v>44983</v>
      </c>
      <c r="I4901">
        <f t="shared" si="152"/>
        <v>1</v>
      </c>
      <c r="J4901" t="str">
        <f t="shared" si="153"/>
        <v>Complete</v>
      </c>
      <c r="K4901">
        <f>COUNTIFS(RawData[Item], B4901,RawData[Quantity],C4901,RawData[Price Per Unit],D4901,RawData[Total Spent],E4901,RawData[Payment Method],F4901,RawData[Location],G4901,RawData[Transaction Date],H4901)</f>
        <v>1</v>
      </c>
      <c r="L4901"/>
    </row>
    <row r="4902" spans="1:12" x14ac:dyDescent="0.3">
      <c r="A4902" t="s">
        <v>4908</v>
      </c>
      <c r="B4902" t="s">
        <v>10012</v>
      </c>
      <c r="C4902">
        <v>4</v>
      </c>
      <c r="D4902">
        <v>4</v>
      </c>
      <c r="E4902">
        <v>16</v>
      </c>
      <c r="F4902" t="s">
        <v>10069</v>
      </c>
      <c r="G4902" t="s">
        <v>10102</v>
      </c>
      <c r="H4902" s="6">
        <v>45079</v>
      </c>
      <c r="I4902">
        <f t="shared" si="152"/>
        <v>0</v>
      </c>
      <c r="J4902" t="str">
        <f t="shared" si="153"/>
        <v>Complete</v>
      </c>
      <c r="K4902">
        <f>COUNTIFS(RawData[Item], B4902,RawData[Quantity],C4902,RawData[Price Per Unit],D4902,RawData[Total Spent],E4902,RawData[Payment Method],F4902,RawData[Location],G4902,RawData[Transaction Date],H4902)</f>
        <v>1</v>
      </c>
      <c r="L4902"/>
    </row>
    <row r="4903" spans="1:12" x14ac:dyDescent="0.3">
      <c r="A4903" t="s">
        <v>4909</v>
      </c>
      <c r="B4903" t="s">
        <v>10016</v>
      </c>
      <c r="C4903">
        <v>3</v>
      </c>
      <c r="D4903">
        <v>3</v>
      </c>
      <c r="E4903">
        <v>9</v>
      </c>
      <c r="F4903" t="s">
        <v>10069</v>
      </c>
      <c r="G4903" t="s">
        <v>10069</v>
      </c>
      <c r="H4903" s="6">
        <v>45273</v>
      </c>
      <c r="I4903">
        <f t="shared" si="152"/>
        <v>0</v>
      </c>
      <c r="J4903" t="str">
        <f t="shared" si="153"/>
        <v>Complete</v>
      </c>
      <c r="K4903">
        <f>COUNTIFS(RawData[Item], B4903,RawData[Quantity],C4903,RawData[Price Per Unit],D4903,RawData[Total Spent],E4903,RawData[Payment Method],F4903,RawData[Location],G4903,RawData[Transaction Date],H4903)</f>
        <v>1</v>
      </c>
      <c r="L4903"/>
    </row>
    <row r="4904" spans="1:12" x14ac:dyDescent="0.3">
      <c r="A4904" t="s">
        <v>4910</v>
      </c>
      <c r="B4904" t="s">
        <v>10011</v>
      </c>
      <c r="C4904">
        <v>5</v>
      </c>
      <c r="D4904">
        <v>5</v>
      </c>
      <c r="E4904">
        <v>25</v>
      </c>
      <c r="F4904" t="s">
        <v>10069</v>
      </c>
      <c r="G4904" t="s">
        <v>10103</v>
      </c>
      <c r="H4904" s="6">
        <v>45230</v>
      </c>
      <c r="I4904">
        <f t="shared" si="152"/>
        <v>1</v>
      </c>
      <c r="J4904" t="str">
        <f t="shared" si="153"/>
        <v>Complete</v>
      </c>
      <c r="K4904">
        <f>COUNTIFS(RawData[Item], B4904,RawData[Quantity],C4904,RawData[Price Per Unit],D4904,RawData[Total Spent],E4904,RawData[Payment Method],F4904,RawData[Location],G4904,RawData[Transaction Date],H4904)</f>
        <v>1</v>
      </c>
      <c r="L4904"/>
    </row>
    <row r="4905" spans="1:12" x14ac:dyDescent="0.3">
      <c r="A4905" t="s">
        <v>4911</v>
      </c>
      <c r="B4905" t="s">
        <v>10010</v>
      </c>
      <c r="C4905">
        <v>3</v>
      </c>
      <c r="D4905">
        <v>0</v>
      </c>
      <c r="E4905">
        <v>3</v>
      </c>
      <c r="F4905" t="s">
        <v>10069</v>
      </c>
      <c r="G4905" t="s">
        <v>10103</v>
      </c>
      <c r="H4905" s="6">
        <v>44962</v>
      </c>
      <c r="I4905">
        <f t="shared" si="152"/>
        <v>1</v>
      </c>
      <c r="J4905" t="str">
        <f t="shared" si="153"/>
        <v>Complete</v>
      </c>
      <c r="K4905">
        <f>COUNTIFS(RawData[Item], B4905,RawData[Quantity],C4905,RawData[Price Per Unit],D4905,RawData[Total Spent],E4905,RawData[Payment Method],F4905,RawData[Location],G4905,RawData[Transaction Date],H4905)</f>
        <v>1</v>
      </c>
      <c r="L4905"/>
    </row>
    <row r="4906" spans="1:12" x14ac:dyDescent="0.3">
      <c r="A4906" t="s">
        <v>4912</v>
      </c>
      <c r="B4906" t="s">
        <v>10016</v>
      </c>
      <c r="C4906">
        <v>3</v>
      </c>
      <c r="D4906">
        <v>3</v>
      </c>
      <c r="E4906">
        <v>9</v>
      </c>
      <c r="F4906" t="s">
        <v>10019</v>
      </c>
      <c r="G4906" t="s">
        <v>10069</v>
      </c>
      <c r="H4906" s="6">
        <v>45107</v>
      </c>
      <c r="I4906">
        <f t="shared" si="152"/>
        <v>0</v>
      </c>
      <c r="J4906" t="str">
        <f t="shared" si="153"/>
        <v>Complete</v>
      </c>
      <c r="K4906">
        <f>COUNTIFS(RawData[Item], B4906,RawData[Quantity],C4906,RawData[Price Per Unit],D4906,RawData[Total Spent],E4906,RawData[Payment Method],F4906,RawData[Location],G4906,RawData[Transaction Date],H4906)</f>
        <v>1</v>
      </c>
      <c r="L4906"/>
    </row>
    <row r="4907" spans="1:12" x14ac:dyDescent="0.3">
      <c r="A4907" t="s">
        <v>4913</v>
      </c>
      <c r="B4907" t="s">
        <v>10014</v>
      </c>
      <c r="C4907">
        <v>3</v>
      </c>
      <c r="D4907">
        <v>4</v>
      </c>
      <c r="E4907">
        <v>12</v>
      </c>
      <c r="F4907" t="s">
        <v>10069</v>
      </c>
      <c r="G4907" t="s">
        <v>10102</v>
      </c>
      <c r="H4907" s="6">
        <v>45162</v>
      </c>
      <c r="I4907">
        <f t="shared" si="152"/>
        <v>0</v>
      </c>
      <c r="J4907" t="str">
        <f t="shared" si="153"/>
        <v>Complete</v>
      </c>
      <c r="K4907">
        <f>COUNTIFS(RawData[Item], B4907,RawData[Quantity],C4907,RawData[Price Per Unit],D4907,RawData[Total Spent],E4907,RawData[Payment Method],F4907,RawData[Location],G4907,RawData[Transaction Date],H4907)</f>
        <v>1</v>
      </c>
      <c r="L4907"/>
    </row>
    <row r="4908" spans="1:12" x14ac:dyDescent="0.3">
      <c r="A4908" t="s">
        <v>4914</v>
      </c>
      <c r="B4908" t="s">
        <v>10015</v>
      </c>
      <c r="C4908">
        <v>4</v>
      </c>
      <c r="D4908">
        <v>4</v>
      </c>
      <c r="E4908">
        <v>16</v>
      </c>
      <c r="F4908" t="s">
        <v>10069</v>
      </c>
      <c r="G4908" t="s">
        <v>10021</v>
      </c>
      <c r="H4908" s="6" t="s">
        <v>10112</v>
      </c>
      <c r="I4908">
        <f t="shared" si="152"/>
        <v>2</v>
      </c>
      <c r="J4908" t="str">
        <f t="shared" si="153"/>
        <v>Incomplete</v>
      </c>
      <c r="K4908">
        <f>COUNTIFS(RawData[Item], B4908,RawData[Quantity],C4908,RawData[Price Per Unit],D4908,RawData[Total Spent],E4908,RawData[Payment Method],F4908,RawData[Location],G4908,RawData[Transaction Date],H4908)</f>
        <v>1</v>
      </c>
      <c r="L4908"/>
    </row>
    <row r="4909" spans="1:12" x14ac:dyDescent="0.3">
      <c r="A4909" t="s">
        <v>4915</v>
      </c>
      <c r="B4909" t="s">
        <v>10009</v>
      </c>
      <c r="C4909">
        <v>3</v>
      </c>
      <c r="D4909">
        <v>3</v>
      </c>
      <c r="E4909">
        <v>9</v>
      </c>
      <c r="F4909" t="s">
        <v>10020</v>
      </c>
      <c r="G4909" t="s">
        <v>10102</v>
      </c>
      <c r="H4909" s="6">
        <v>45221</v>
      </c>
      <c r="I4909">
        <f t="shared" si="152"/>
        <v>0</v>
      </c>
      <c r="J4909" t="str">
        <f t="shared" si="153"/>
        <v>Complete</v>
      </c>
      <c r="K4909">
        <f>COUNTIFS(RawData[Item], B4909,RawData[Quantity],C4909,RawData[Price Per Unit],D4909,RawData[Total Spent],E4909,RawData[Payment Method],F4909,RawData[Location],G4909,RawData[Transaction Date],H4909)</f>
        <v>1</v>
      </c>
      <c r="L4909"/>
    </row>
    <row r="4910" spans="1:12" x14ac:dyDescent="0.3">
      <c r="A4910" t="s">
        <v>4916</v>
      </c>
      <c r="B4910" t="s">
        <v>10016</v>
      </c>
      <c r="C4910">
        <v>3</v>
      </c>
      <c r="D4910">
        <v>3</v>
      </c>
      <c r="E4910">
        <v>9</v>
      </c>
      <c r="F4910" t="s">
        <v>10019</v>
      </c>
      <c r="G4910" t="s">
        <v>10102</v>
      </c>
      <c r="H4910" s="6">
        <v>44981</v>
      </c>
      <c r="I4910">
        <f t="shared" si="152"/>
        <v>0</v>
      </c>
      <c r="J4910" t="str">
        <f t="shared" si="153"/>
        <v>Complete</v>
      </c>
      <c r="K4910">
        <f>COUNTIFS(RawData[Item], B4910,RawData[Quantity],C4910,RawData[Price Per Unit],D4910,RawData[Total Spent],E4910,RawData[Payment Method],F4910,RawData[Location],G4910,RawData[Transaction Date],H4910)</f>
        <v>1</v>
      </c>
      <c r="L4910"/>
    </row>
    <row r="4911" spans="1:12" x14ac:dyDescent="0.3">
      <c r="A4911" t="s">
        <v>4917</v>
      </c>
      <c r="B4911" t="s">
        <v>10015</v>
      </c>
      <c r="C4911">
        <v>3</v>
      </c>
      <c r="D4911">
        <v>4</v>
      </c>
      <c r="E4911">
        <v>12</v>
      </c>
      <c r="F4911" t="s">
        <v>10069</v>
      </c>
      <c r="G4911" t="s">
        <v>10021</v>
      </c>
      <c r="H4911" s="6">
        <v>45284</v>
      </c>
      <c r="I4911">
        <f t="shared" si="152"/>
        <v>1</v>
      </c>
      <c r="J4911" t="str">
        <f t="shared" si="153"/>
        <v>Complete</v>
      </c>
      <c r="K4911">
        <f>COUNTIFS(RawData[Item], B4911,RawData[Quantity],C4911,RawData[Price Per Unit],D4911,RawData[Total Spent],E4911,RawData[Payment Method],F4911,RawData[Location],G4911,RawData[Transaction Date],H4911)</f>
        <v>1</v>
      </c>
      <c r="L4911"/>
    </row>
    <row r="4912" spans="1:12" x14ac:dyDescent="0.3">
      <c r="A4912" t="s">
        <v>4918</v>
      </c>
      <c r="B4912" t="s">
        <v>10008</v>
      </c>
      <c r="C4912">
        <v>4</v>
      </c>
      <c r="D4912">
        <v>2</v>
      </c>
      <c r="E4912">
        <v>8</v>
      </c>
      <c r="F4912" t="s">
        <v>10018</v>
      </c>
      <c r="G4912" t="s">
        <v>10102</v>
      </c>
      <c r="H4912" s="6">
        <v>45103</v>
      </c>
      <c r="I4912">
        <f t="shared" si="152"/>
        <v>0</v>
      </c>
      <c r="J4912" t="str">
        <f t="shared" si="153"/>
        <v>Complete</v>
      </c>
      <c r="K4912">
        <f>COUNTIFS(RawData[Item], B4912,RawData[Quantity],C4912,RawData[Price Per Unit],D4912,RawData[Total Spent],E4912,RawData[Payment Method],F4912,RawData[Location],G4912,RawData[Transaction Date],H4912)</f>
        <v>1</v>
      </c>
      <c r="L4912"/>
    </row>
    <row r="4913" spans="1:12" x14ac:dyDescent="0.3">
      <c r="A4913" t="s">
        <v>4919</v>
      </c>
      <c r="B4913" t="s">
        <v>10016</v>
      </c>
      <c r="C4913">
        <v>5</v>
      </c>
      <c r="D4913">
        <v>3</v>
      </c>
      <c r="E4913">
        <v>15</v>
      </c>
      <c r="F4913" t="s">
        <v>10020</v>
      </c>
      <c r="G4913" t="s">
        <v>10021</v>
      </c>
      <c r="H4913" s="6">
        <v>45272</v>
      </c>
      <c r="I4913">
        <f t="shared" si="152"/>
        <v>0</v>
      </c>
      <c r="J4913" t="str">
        <f t="shared" si="153"/>
        <v>Complete</v>
      </c>
      <c r="K4913">
        <f>COUNTIFS(RawData[Item], B4913,RawData[Quantity],C4913,RawData[Price Per Unit],D4913,RawData[Total Spent],E4913,RawData[Payment Method],F4913,RawData[Location],G4913,RawData[Transaction Date],H4913)</f>
        <v>1</v>
      </c>
      <c r="L4913"/>
    </row>
    <row r="4914" spans="1:12" x14ac:dyDescent="0.3">
      <c r="A4914" t="s">
        <v>4920</v>
      </c>
      <c r="B4914" t="s">
        <v>10011</v>
      </c>
      <c r="C4914">
        <v>5</v>
      </c>
      <c r="D4914">
        <v>5</v>
      </c>
      <c r="E4914">
        <v>25</v>
      </c>
      <c r="F4914" t="s">
        <v>10019</v>
      </c>
      <c r="G4914" t="s">
        <v>10021</v>
      </c>
      <c r="H4914" s="6">
        <v>45164</v>
      </c>
      <c r="I4914">
        <f t="shared" si="152"/>
        <v>0</v>
      </c>
      <c r="J4914" t="str">
        <f t="shared" si="153"/>
        <v>Complete</v>
      </c>
      <c r="K4914">
        <f>COUNTIFS(RawData[Item], B4914,RawData[Quantity],C4914,RawData[Price Per Unit],D4914,RawData[Total Spent],E4914,RawData[Payment Method],F4914,RawData[Location],G4914,RawData[Transaction Date],H4914)</f>
        <v>1</v>
      </c>
      <c r="L4914"/>
    </row>
    <row r="4915" spans="1:12" x14ac:dyDescent="0.3">
      <c r="A4915" t="s">
        <v>4921</v>
      </c>
      <c r="B4915" t="s">
        <v>10008</v>
      </c>
      <c r="C4915">
        <v>1</v>
      </c>
      <c r="D4915">
        <v>2</v>
      </c>
      <c r="E4915">
        <v>2</v>
      </c>
      <c r="F4915" t="s">
        <v>10018</v>
      </c>
      <c r="G4915" t="s">
        <v>10069</v>
      </c>
      <c r="H4915" s="6">
        <v>45144</v>
      </c>
      <c r="I4915">
        <f t="shared" si="152"/>
        <v>0</v>
      </c>
      <c r="J4915" t="str">
        <f t="shared" si="153"/>
        <v>Complete</v>
      </c>
      <c r="K4915">
        <f>COUNTIFS(RawData[Item], B4915,RawData[Quantity],C4915,RawData[Price Per Unit],D4915,RawData[Total Spent],E4915,RawData[Payment Method],F4915,RawData[Location],G4915,RawData[Transaction Date],H4915)</f>
        <v>1</v>
      </c>
      <c r="L4915"/>
    </row>
    <row r="4916" spans="1:12" x14ac:dyDescent="0.3">
      <c r="A4916" t="s">
        <v>4922</v>
      </c>
      <c r="B4916" t="s">
        <v>10014</v>
      </c>
      <c r="C4916">
        <v>3</v>
      </c>
      <c r="D4916">
        <v>4</v>
      </c>
      <c r="E4916">
        <v>12</v>
      </c>
      <c r="F4916" t="s">
        <v>10069</v>
      </c>
      <c r="G4916" t="s">
        <v>10069</v>
      </c>
      <c r="H4916" s="6">
        <v>45219</v>
      </c>
      <c r="I4916">
        <f t="shared" si="152"/>
        <v>0</v>
      </c>
      <c r="J4916" t="str">
        <f t="shared" si="153"/>
        <v>Complete</v>
      </c>
      <c r="K4916">
        <f>COUNTIFS(RawData[Item], B4916,RawData[Quantity],C4916,RawData[Price Per Unit],D4916,RawData[Total Spent],E4916,RawData[Payment Method],F4916,RawData[Location],G4916,RawData[Transaction Date],H4916)</f>
        <v>1</v>
      </c>
      <c r="L4916"/>
    </row>
    <row r="4917" spans="1:12" x14ac:dyDescent="0.3">
      <c r="A4917" t="s">
        <v>4923</v>
      </c>
      <c r="B4917" t="s">
        <v>10069</v>
      </c>
      <c r="C4917">
        <v>5</v>
      </c>
      <c r="D4917">
        <v>4</v>
      </c>
      <c r="E4917">
        <v>20</v>
      </c>
      <c r="F4917" t="s">
        <v>10020</v>
      </c>
      <c r="G4917" t="s">
        <v>10021</v>
      </c>
      <c r="H4917" s="6" t="s">
        <v>10112</v>
      </c>
      <c r="I4917">
        <f t="shared" si="152"/>
        <v>1</v>
      </c>
      <c r="J4917" t="str">
        <f t="shared" si="153"/>
        <v>Incomplete</v>
      </c>
      <c r="K4917">
        <f>COUNTIFS(RawData[Item], B4917,RawData[Quantity],C4917,RawData[Price Per Unit],D4917,RawData[Total Spent],E4917,RawData[Payment Method],F4917,RawData[Location],G4917,RawData[Transaction Date],H4917)</f>
        <v>1</v>
      </c>
      <c r="L4917"/>
    </row>
    <row r="4918" spans="1:12" x14ac:dyDescent="0.3">
      <c r="A4918" t="s">
        <v>4924</v>
      </c>
      <c r="B4918" t="s">
        <v>10016</v>
      </c>
      <c r="C4918">
        <v>5</v>
      </c>
      <c r="D4918">
        <v>3</v>
      </c>
      <c r="E4918">
        <v>15</v>
      </c>
      <c r="F4918" t="s">
        <v>10018</v>
      </c>
      <c r="G4918" t="s">
        <v>10069</v>
      </c>
      <c r="H4918" s="6" t="s">
        <v>10112</v>
      </c>
      <c r="I4918">
        <f t="shared" si="152"/>
        <v>1</v>
      </c>
      <c r="J4918" t="str">
        <f t="shared" si="153"/>
        <v>Incomplete</v>
      </c>
      <c r="K4918">
        <f>COUNTIFS(RawData[Item], B4918,RawData[Quantity],C4918,RawData[Price Per Unit],D4918,RawData[Total Spent],E4918,RawData[Payment Method],F4918,RawData[Location],G4918,RawData[Transaction Date],H4918)</f>
        <v>3</v>
      </c>
      <c r="L4918"/>
    </row>
    <row r="4919" spans="1:12" x14ac:dyDescent="0.3">
      <c r="A4919" t="s">
        <v>4925</v>
      </c>
      <c r="B4919" t="s">
        <v>10017</v>
      </c>
      <c r="C4919">
        <v>5</v>
      </c>
      <c r="D4919">
        <v>1.5</v>
      </c>
      <c r="E4919">
        <v>7.5</v>
      </c>
      <c r="F4919" t="s">
        <v>10018</v>
      </c>
      <c r="G4919" t="s">
        <v>10103</v>
      </c>
      <c r="H4919" s="6" t="s">
        <v>10112</v>
      </c>
      <c r="I4919">
        <f t="shared" si="152"/>
        <v>2</v>
      </c>
      <c r="J4919" t="str">
        <f t="shared" si="153"/>
        <v>Incomplete</v>
      </c>
      <c r="K4919">
        <f>COUNTIFS(RawData[Item], B4919,RawData[Quantity],C4919,RawData[Price Per Unit],D4919,RawData[Total Spent],E4919,RawData[Payment Method],F4919,RawData[Location],G4919,RawData[Transaction Date],H4919)</f>
        <v>1</v>
      </c>
      <c r="L4919"/>
    </row>
    <row r="4920" spans="1:12" x14ac:dyDescent="0.3">
      <c r="A4920" t="s">
        <v>4926</v>
      </c>
      <c r="B4920" t="s">
        <v>10017</v>
      </c>
      <c r="C4920">
        <v>1</v>
      </c>
      <c r="D4920">
        <v>1.5</v>
      </c>
      <c r="E4920">
        <v>1.5</v>
      </c>
      <c r="F4920" t="s">
        <v>10018</v>
      </c>
      <c r="G4920" t="s">
        <v>10021</v>
      </c>
      <c r="H4920" s="6">
        <v>45042</v>
      </c>
      <c r="I4920">
        <f t="shared" si="152"/>
        <v>0</v>
      </c>
      <c r="J4920" t="str">
        <f t="shared" si="153"/>
        <v>Complete</v>
      </c>
      <c r="K4920">
        <f>COUNTIFS(RawData[Item], B4920,RawData[Quantity],C4920,RawData[Price Per Unit],D4920,RawData[Total Spent],E4920,RawData[Payment Method],F4920,RawData[Location],G4920,RawData[Transaction Date],H4920)</f>
        <v>1</v>
      </c>
      <c r="L4920"/>
    </row>
    <row r="4921" spans="1:12" x14ac:dyDescent="0.3">
      <c r="A4921" t="s">
        <v>4927</v>
      </c>
      <c r="B4921" t="s">
        <v>10012</v>
      </c>
      <c r="C4921">
        <v>3</v>
      </c>
      <c r="D4921">
        <v>4</v>
      </c>
      <c r="E4921">
        <v>12</v>
      </c>
      <c r="F4921" t="s">
        <v>10018</v>
      </c>
      <c r="G4921" t="s">
        <v>10102</v>
      </c>
      <c r="H4921" s="6">
        <v>45205</v>
      </c>
      <c r="I4921">
        <f t="shared" si="152"/>
        <v>0</v>
      </c>
      <c r="J4921" t="str">
        <f t="shared" si="153"/>
        <v>Complete</v>
      </c>
      <c r="K4921">
        <f>COUNTIFS(RawData[Item], B4921,RawData[Quantity],C4921,RawData[Price Per Unit],D4921,RawData[Total Spent],E4921,RawData[Payment Method],F4921,RawData[Location],G4921,RawData[Transaction Date],H4921)</f>
        <v>1</v>
      </c>
      <c r="L4921"/>
    </row>
    <row r="4922" spans="1:12" x14ac:dyDescent="0.3">
      <c r="A4922" t="s">
        <v>4928</v>
      </c>
      <c r="B4922" t="s">
        <v>10009</v>
      </c>
      <c r="C4922">
        <v>1</v>
      </c>
      <c r="D4922">
        <v>3</v>
      </c>
      <c r="E4922">
        <v>3</v>
      </c>
      <c r="F4922" t="s">
        <v>10020</v>
      </c>
      <c r="G4922" t="s">
        <v>10102</v>
      </c>
      <c r="H4922" s="6">
        <v>45289</v>
      </c>
      <c r="I4922">
        <f t="shared" si="152"/>
        <v>0</v>
      </c>
      <c r="J4922" t="str">
        <f t="shared" si="153"/>
        <v>Complete</v>
      </c>
      <c r="K4922">
        <f>COUNTIFS(RawData[Item], B4922,RawData[Quantity],C4922,RawData[Price Per Unit],D4922,RawData[Total Spent],E4922,RawData[Payment Method],F4922,RawData[Location],G4922,RawData[Transaction Date],H4922)</f>
        <v>1</v>
      </c>
      <c r="L4922"/>
    </row>
    <row r="4923" spans="1:12" x14ac:dyDescent="0.3">
      <c r="A4923" t="s">
        <v>4929</v>
      </c>
      <c r="B4923" t="s">
        <v>10008</v>
      </c>
      <c r="C4923">
        <v>5</v>
      </c>
      <c r="D4923">
        <v>2</v>
      </c>
      <c r="E4923">
        <v>10</v>
      </c>
      <c r="F4923" t="s">
        <v>10018</v>
      </c>
      <c r="G4923" t="s">
        <v>10102</v>
      </c>
      <c r="H4923" s="6">
        <v>45210</v>
      </c>
      <c r="I4923">
        <f t="shared" si="152"/>
        <v>0</v>
      </c>
      <c r="J4923" t="str">
        <f t="shared" si="153"/>
        <v>Complete</v>
      </c>
      <c r="K4923">
        <f>COUNTIFS(RawData[Item], B4923,RawData[Quantity],C4923,RawData[Price Per Unit],D4923,RawData[Total Spent],E4923,RawData[Payment Method],F4923,RawData[Location],G4923,RawData[Transaction Date],H4923)</f>
        <v>1</v>
      </c>
      <c r="L4923"/>
    </row>
    <row r="4924" spans="1:12" x14ac:dyDescent="0.3">
      <c r="A4924" t="s">
        <v>4930</v>
      </c>
      <c r="B4924" t="s">
        <v>10009</v>
      </c>
      <c r="C4924">
        <v>3</v>
      </c>
      <c r="D4924">
        <v>3</v>
      </c>
      <c r="E4924">
        <v>9</v>
      </c>
      <c r="F4924" t="s">
        <v>10019</v>
      </c>
      <c r="G4924" t="s">
        <v>10069</v>
      </c>
      <c r="H4924" s="6">
        <v>45213</v>
      </c>
      <c r="I4924">
        <f t="shared" si="152"/>
        <v>0</v>
      </c>
      <c r="J4924" t="str">
        <f t="shared" si="153"/>
        <v>Complete</v>
      </c>
      <c r="K4924">
        <f>COUNTIFS(RawData[Item], B4924,RawData[Quantity],C4924,RawData[Price Per Unit],D4924,RawData[Total Spent],E4924,RawData[Payment Method],F4924,RawData[Location],G4924,RawData[Transaction Date],H4924)</f>
        <v>1</v>
      </c>
      <c r="L4924"/>
    </row>
    <row r="4925" spans="1:12" x14ac:dyDescent="0.3">
      <c r="A4925" t="s">
        <v>4931</v>
      </c>
      <c r="B4925" t="s">
        <v>10016</v>
      </c>
      <c r="C4925">
        <v>3</v>
      </c>
      <c r="D4925">
        <v>3</v>
      </c>
      <c r="E4925">
        <v>9</v>
      </c>
      <c r="F4925" t="s">
        <v>10069</v>
      </c>
      <c r="G4925" t="s">
        <v>10102</v>
      </c>
      <c r="H4925" s="6">
        <v>45173</v>
      </c>
      <c r="I4925">
        <f t="shared" si="152"/>
        <v>0</v>
      </c>
      <c r="J4925" t="str">
        <f t="shared" si="153"/>
        <v>Complete</v>
      </c>
      <c r="K4925">
        <f>COUNTIFS(RawData[Item], B4925,RawData[Quantity],C4925,RawData[Price Per Unit],D4925,RawData[Total Spent],E4925,RawData[Payment Method],F4925,RawData[Location],G4925,RawData[Transaction Date],H4925)</f>
        <v>1</v>
      </c>
      <c r="L4925"/>
    </row>
    <row r="4926" spans="1:12" x14ac:dyDescent="0.3">
      <c r="A4926" t="s">
        <v>4932</v>
      </c>
      <c r="B4926" t="s">
        <v>10010</v>
      </c>
      <c r="C4926">
        <v>5</v>
      </c>
      <c r="D4926" t="s">
        <v>10013</v>
      </c>
      <c r="E4926">
        <v>5</v>
      </c>
      <c r="F4926" t="s">
        <v>10069</v>
      </c>
      <c r="G4926" t="s">
        <v>10021</v>
      </c>
      <c r="H4926" s="6">
        <v>44971</v>
      </c>
      <c r="I4926">
        <f t="shared" si="152"/>
        <v>1</v>
      </c>
      <c r="J4926" t="str">
        <f t="shared" si="153"/>
        <v>Complete</v>
      </c>
      <c r="K4926">
        <f>COUNTIFS(RawData[Item], B4926,RawData[Quantity],C4926,RawData[Price Per Unit],D4926,RawData[Total Spent],E4926,RawData[Payment Method],F4926,RawData[Location],G4926,RawData[Transaction Date],H4926)</f>
        <v>1</v>
      </c>
      <c r="L4926"/>
    </row>
    <row r="4927" spans="1:12" x14ac:dyDescent="0.3">
      <c r="A4927" t="s">
        <v>4933</v>
      </c>
      <c r="B4927" t="s">
        <v>10012</v>
      </c>
      <c r="C4927">
        <v>4</v>
      </c>
      <c r="D4927">
        <v>4</v>
      </c>
      <c r="E4927">
        <v>16</v>
      </c>
      <c r="F4927" t="s">
        <v>10018</v>
      </c>
      <c r="G4927" t="s">
        <v>10069</v>
      </c>
      <c r="H4927" s="6" t="s">
        <v>10112</v>
      </c>
      <c r="I4927">
        <f t="shared" si="152"/>
        <v>1</v>
      </c>
      <c r="J4927" t="str">
        <f t="shared" si="153"/>
        <v>Incomplete</v>
      </c>
      <c r="K4927">
        <f>COUNTIFS(RawData[Item], B4927,RawData[Quantity],C4927,RawData[Price Per Unit],D4927,RawData[Total Spent],E4927,RawData[Payment Method],F4927,RawData[Location],G4927,RawData[Transaction Date],H4927)</f>
        <v>3</v>
      </c>
      <c r="L4927"/>
    </row>
    <row r="4928" spans="1:12" x14ac:dyDescent="0.3">
      <c r="A4928" t="s">
        <v>4934</v>
      </c>
      <c r="B4928" t="s">
        <v>10017</v>
      </c>
      <c r="C4928">
        <v>4</v>
      </c>
      <c r="D4928">
        <v>1.5</v>
      </c>
      <c r="E4928">
        <v>6</v>
      </c>
      <c r="F4928" t="s">
        <v>10018</v>
      </c>
      <c r="G4928" t="s">
        <v>10021</v>
      </c>
      <c r="H4928" s="6">
        <v>44932</v>
      </c>
      <c r="I4928">
        <f t="shared" si="152"/>
        <v>0</v>
      </c>
      <c r="J4928" t="str">
        <f t="shared" si="153"/>
        <v>Complete</v>
      </c>
      <c r="K4928">
        <f>COUNTIFS(RawData[Item], B4928,RawData[Quantity],C4928,RawData[Price Per Unit],D4928,RawData[Total Spent],E4928,RawData[Payment Method],F4928,RawData[Location],G4928,RawData[Transaction Date],H4928)</f>
        <v>1</v>
      </c>
      <c r="L4928"/>
    </row>
    <row r="4929" spans="1:12" x14ac:dyDescent="0.3">
      <c r="A4929" t="s">
        <v>4935</v>
      </c>
      <c r="B4929" t="s">
        <v>10069</v>
      </c>
      <c r="C4929">
        <v>5</v>
      </c>
      <c r="D4929">
        <v>4</v>
      </c>
      <c r="E4929">
        <v>20</v>
      </c>
      <c r="F4929" t="s">
        <v>10019</v>
      </c>
      <c r="G4929" t="s">
        <v>10069</v>
      </c>
      <c r="H4929" s="6">
        <v>45265</v>
      </c>
      <c r="I4929">
        <f t="shared" si="152"/>
        <v>0</v>
      </c>
      <c r="J4929" t="str">
        <f t="shared" si="153"/>
        <v>Complete</v>
      </c>
      <c r="K4929">
        <f>COUNTIFS(RawData[Item], B4929,RawData[Quantity],C4929,RawData[Price Per Unit],D4929,RawData[Total Spent],E4929,RawData[Payment Method],F4929,RawData[Location],G4929,RawData[Transaction Date],H4929)</f>
        <v>1</v>
      </c>
      <c r="L4929"/>
    </row>
    <row r="4930" spans="1:12" x14ac:dyDescent="0.3">
      <c r="A4930" t="s">
        <v>4936</v>
      </c>
      <c r="B4930" t="s">
        <v>10011</v>
      </c>
      <c r="C4930">
        <v>4</v>
      </c>
      <c r="D4930">
        <v>5</v>
      </c>
      <c r="E4930">
        <v>20</v>
      </c>
      <c r="F4930" t="s">
        <v>10020</v>
      </c>
      <c r="G4930" t="s">
        <v>10102</v>
      </c>
      <c r="H4930" s="6">
        <v>44936</v>
      </c>
      <c r="I4930">
        <f t="shared" ref="I4930:I4993" si="154">(B4930="Unknown")+(B4930="Error")+(C4930="Unknown")+(C4930="Error")+(D4930="Unknown")+(D4930="Error")+(E4930="Unknown")+(E4930="Error")+(F4930="Unknown")+(F4930="Error")+(G4930="Unknown")+(G4930="Error")+(H4930="No Date")</f>
        <v>0</v>
      </c>
      <c r="J4930" t="str">
        <f t="shared" ref="J4930:J4993" si="155">IF((H4930="No Date"),"Incomplete","Complete")</f>
        <v>Complete</v>
      </c>
      <c r="K4930">
        <f>COUNTIFS(RawData[Item], B4930,RawData[Quantity],C4930,RawData[Price Per Unit],D4930,RawData[Total Spent],E4930,RawData[Payment Method],F4930,RawData[Location],G4930,RawData[Transaction Date],H4930)</f>
        <v>1</v>
      </c>
      <c r="L4930"/>
    </row>
    <row r="4931" spans="1:12" x14ac:dyDescent="0.3">
      <c r="A4931" t="s">
        <v>4937</v>
      </c>
      <c r="B4931" t="s">
        <v>10008</v>
      </c>
      <c r="C4931">
        <v>4</v>
      </c>
      <c r="D4931">
        <v>2</v>
      </c>
      <c r="E4931">
        <v>8</v>
      </c>
      <c r="F4931" t="s">
        <v>10018</v>
      </c>
      <c r="G4931" t="s">
        <v>10102</v>
      </c>
      <c r="H4931" s="6">
        <v>45236</v>
      </c>
      <c r="I4931">
        <f t="shared" si="154"/>
        <v>0</v>
      </c>
      <c r="J4931" t="str">
        <f t="shared" si="155"/>
        <v>Complete</v>
      </c>
      <c r="K4931">
        <f>COUNTIFS(RawData[Item], B4931,RawData[Quantity],C4931,RawData[Price Per Unit],D4931,RawData[Total Spent],E4931,RawData[Payment Method],F4931,RawData[Location],G4931,RawData[Transaction Date],H4931)</f>
        <v>1</v>
      </c>
      <c r="L4931"/>
    </row>
    <row r="4932" spans="1:12" x14ac:dyDescent="0.3">
      <c r="A4932" t="s">
        <v>4938</v>
      </c>
      <c r="B4932" t="s">
        <v>10014</v>
      </c>
      <c r="C4932">
        <v>2</v>
      </c>
      <c r="D4932">
        <v>4</v>
      </c>
      <c r="E4932">
        <v>8</v>
      </c>
      <c r="F4932" t="s">
        <v>10020</v>
      </c>
      <c r="G4932" t="s">
        <v>10021</v>
      </c>
      <c r="H4932" s="6">
        <v>45160</v>
      </c>
      <c r="I4932">
        <f t="shared" si="154"/>
        <v>0</v>
      </c>
      <c r="J4932" t="str">
        <f t="shared" si="155"/>
        <v>Complete</v>
      </c>
      <c r="K4932">
        <f>COUNTIFS(RawData[Item], B4932,RawData[Quantity],C4932,RawData[Price Per Unit],D4932,RawData[Total Spent],E4932,RawData[Payment Method],F4932,RawData[Location],G4932,RawData[Transaction Date],H4932)</f>
        <v>1</v>
      </c>
      <c r="L4932"/>
    </row>
    <row r="4933" spans="1:12" x14ac:dyDescent="0.3">
      <c r="A4933" t="s">
        <v>4939</v>
      </c>
      <c r="B4933" t="s">
        <v>10010</v>
      </c>
      <c r="C4933">
        <v>1</v>
      </c>
      <c r="D4933">
        <v>1</v>
      </c>
      <c r="E4933" t="s">
        <v>10013</v>
      </c>
      <c r="F4933" t="s">
        <v>10018</v>
      </c>
      <c r="G4933" t="s">
        <v>10021</v>
      </c>
      <c r="H4933" s="6">
        <v>45208</v>
      </c>
      <c r="I4933">
        <f t="shared" si="154"/>
        <v>1</v>
      </c>
      <c r="J4933" t="str">
        <f t="shared" si="155"/>
        <v>Complete</v>
      </c>
      <c r="K4933">
        <f>COUNTIFS(RawData[Item], B4933,RawData[Quantity],C4933,RawData[Price Per Unit],D4933,RawData[Total Spent],E4933,RawData[Payment Method],F4933,RawData[Location],G4933,RawData[Transaction Date],H4933)</f>
        <v>1</v>
      </c>
      <c r="L4933"/>
    </row>
    <row r="4934" spans="1:12" x14ac:dyDescent="0.3">
      <c r="A4934" t="s">
        <v>4940</v>
      </c>
      <c r="B4934" t="s">
        <v>10010</v>
      </c>
      <c r="C4934">
        <v>2</v>
      </c>
      <c r="D4934">
        <v>1</v>
      </c>
      <c r="E4934">
        <v>2</v>
      </c>
      <c r="F4934" t="s">
        <v>10019</v>
      </c>
      <c r="G4934" t="s">
        <v>10069</v>
      </c>
      <c r="H4934" s="6">
        <v>45238</v>
      </c>
      <c r="I4934">
        <f t="shared" si="154"/>
        <v>0</v>
      </c>
      <c r="J4934" t="str">
        <f t="shared" si="155"/>
        <v>Complete</v>
      </c>
      <c r="K4934">
        <f>COUNTIFS(RawData[Item], B4934,RawData[Quantity],C4934,RawData[Price Per Unit],D4934,RawData[Total Spent],E4934,RawData[Payment Method],F4934,RawData[Location],G4934,RawData[Transaction Date],H4934)</f>
        <v>1</v>
      </c>
      <c r="L4934"/>
    </row>
    <row r="4935" spans="1:12" x14ac:dyDescent="0.3">
      <c r="A4935" t="s">
        <v>4941</v>
      </c>
      <c r="B4935" t="s">
        <v>10016</v>
      </c>
      <c r="C4935">
        <v>2</v>
      </c>
      <c r="D4935">
        <v>3</v>
      </c>
      <c r="E4935">
        <v>6</v>
      </c>
      <c r="F4935" t="s">
        <v>10019</v>
      </c>
      <c r="G4935" t="s">
        <v>10021</v>
      </c>
      <c r="H4935" s="6">
        <v>44970</v>
      </c>
      <c r="I4935">
        <f t="shared" si="154"/>
        <v>0</v>
      </c>
      <c r="J4935" t="str">
        <f t="shared" si="155"/>
        <v>Complete</v>
      </c>
      <c r="K4935">
        <f>COUNTIFS(RawData[Item], B4935,RawData[Quantity],C4935,RawData[Price Per Unit],D4935,RawData[Total Spent],E4935,RawData[Payment Method],F4935,RawData[Location],G4935,RawData[Transaction Date],H4935)</f>
        <v>1</v>
      </c>
      <c r="L4935"/>
    </row>
    <row r="4936" spans="1:12" x14ac:dyDescent="0.3">
      <c r="A4936" t="s">
        <v>4942</v>
      </c>
      <c r="B4936" t="s">
        <v>10010</v>
      </c>
      <c r="C4936">
        <v>4</v>
      </c>
      <c r="D4936">
        <v>1</v>
      </c>
      <c r="E4936">
        <v>4</v>
      </c>
      <c r="F4936" t="s">
        <v>10069</v>
      </c>
      <c r="G4936" t="s">
        <v>10102</v>
      </c>
      <c r="H4936" s="6">
        <v>44933</v>
      </c>
      <c r="I4936">
        <f t="shared" si="154"/>
        <v>0</v>
      </c>
      <c r="J4936" t="str">
        <f t="shared" si="155"/>
        <v>Complete</v>
      </c>
      <c r="K4936">
        <f>COUNTIFS(RawData[Item], B4936,RawData[Quantity],C4936,RawData[Price Per Unit],D4936,RawData[Total Spent],E4936,RawData[Payment Method],F4936,RawData[Location],G4936,RawData[Transaction Date],H4936)</f>
        <v>1</v>
      </c>
      <c r="L4936"/>
    </row>
    <row r="4937" spans="1:12" x14ac:dyDescent="0.3">
      <c r="A4937" t="s">
        <v>4943</v>
      </c>
      <c r="B4937" t="s">
        <v>10013</v>
      </c>
      <c r="C4937">
        <v>4</v>
      </c>
      <c r="D4937">
        <v>1.5</v>
      </c>
      <c r="E4937">
        <v>6</v>
      </c>
      <c r="F4937" t="s">
        <v>10069</v>
      </c>
      <c r="G4937" t="s">
        <v>10102</v>
      </c>
      <c r="H4937" s="6">
        <v>45039</v>
      </c>
      <c r="I4937">
        <f t="shared" si="154"/>
        <v>1</v>
      </c>
      <c r="J4937" t="str">
        <f t="shared" si="155"/>
        <v>Complete</v>
      </c>
      <c r="K4937">
        <f>COUNTIFS(RawData[Item], B4937,RawData[Quantity],C4937,RawData[Price Per Unit],D4937,RawData[Total Spent],E4937,RawData[Payment Method],F4937,RawData[Location],G4937,RawData[Transaction Date],H4937)</f>
        <v>1</v>
      </c>
      <c r="L4937"/>
    </row>
    <row r="4938" spans="1:12" x14ac:dyDescent="0.3">
      <c r="A4938" t="s">
        <v>4944</v>
      </c>
      <c r="B4938" t="s">
        <v>10012</v>
      </c>
      <c r="C4938">
        <v>2</v>
      </c>
      <c r="D4938">
        <v>4</v>
      </c>
      <c r="E4938">
        <v>8</v>
      </c>
      <c r="F4938" t="s">
        <v>10019</v>
      </c>
      <c r="G4938" t="s">
        <v>10021</v>
      </c>
      <c r="H4938" s="6">
        <v>45270</v>
      </c>
      <c r="I4938">
        <f t="shared" si="154"/>
        <v>0</v>
      </c>
      <c r="J4938" t="str">
        <f t="shared" si="155"/>
        <v>Complete</v>
      </c>
      <c r="K4938">
        <f>COUNTIFS(RawData[Item], B4938,RawData[Quantity],C4938,RawData[Price Per Unit],D4938,RawData[Total Spent],E4938,RawData[Payment Method],F4938,RawData[Location],G4938,RawData[Transaction Date],H4938)</f>
        <v>1</v>
      </c>
      <c r="L4938"/>
    </row>
    <row r="4939" spans="1:12" x14ac:dyDescent="0.3">
      <c r="A4939" t="s">
        <v>4945</v>
      </c>
      <c r="B4939" t="s">
        <v>10010</v>
      </c>
      <c r="C4939">
        <v>1</v>
      </c>
      <c r="D4939">
        <v>1</v>
      </c>
      <c r="E4939">
        <v>1</v>
      </c>
      <c r="F4939" t="s">
        <v>10069</v>
      </c>
      <c r="G4939" t="s">
        <v>10021</v>
      </c>
      <c r="H4939" s="6">
        <v>44970</v>
      </c>
      <c r="I4939">
        <f t="shared" si="154"/>
        <v>0</v>
      </c>
      <c r="J4939" t="str">
        <f t="shared" si="155"/>
        <v>Complete</v>
      </c>
      <c r="K4939">
        <f>COUNTIFS(RawData[Item], B4939,RawData[Quantity],C4939,RawData[Price Per Unit],D4939,RawData[Total Spent],E4939,RawData[Payment Method],F4939,RawData[Location],G4939,RawData[Transaction Date],H4939)</f>
        <v>1</v>
      </c>
      <c r="L4939"/>
    </row>
    <row r="4940" spans="1:12" x14ac:dyDescent="0.3">
      <c r="A4940" t="s">
        <v>4946</v>
      </c>
      <c r="B4940" t="s">
        <v>10016</v>
      </c>
      <c r="C4940">
        <v>4</v>
      </c>
      <c r="D4940">
        <v>3</v>
      </c>
      <c r="E4940">
        <v>12</v>
      </c>
      <c r="F4940" t="s">
        <v>10018</v>
      </c>
      <c r="G4940" t="s">
        <v>10102</v>
      </c>
      <c r="H4940" s="6">
        <v>45022</v>
      </c>
      <c r="I4940">
        <f t="shared" si="154"/>
        <v>0</v>
      </c>
      <c r="J4940" t="str">
        <f t="shared" si="155"/>
        <v>Complete</v>
      </c>
      <c r="K4940">
        <f>COUNTIFS(RawData[Item], B4940,RawData[Quantity],C4940,RawData[Price Per Unit],D4940,RawData[Total Spent],E4940,RawData[Payment Method],F4940,RawData[Location],G4940,RawData[Transaction Date],H4940)</f>
        <v>1</v>
      </c>
      <c r="L4940"/>
    </row>
    <row r="4941" spans="1:12" x14ac:dyDescent="0.3">
      <c r="A4941" t="s">
        <v>4947</v>
      </c>
      <c r="B4941" t="s">
        <v>10013</v>
      </c>
      <c r="C4941">
        <v>1</v>
      </c>
      <c r="D4941">
        <v>3</v>
      </c>
      <c r="E4941">
        <v>3</v>
      </c>
      <c r="F4941" t="s">
        <v>10018</v>
      </c>
      <c r="G4941" t="s">
        <v>10021</v>
      </c>
      <c r="H4941" s="6">
        <v>44985</v>
      </c>
      <c r="I4941">
        <f t="shared" si="154"/>
        <v>1</v>
      </c>
      <c r="J4941" t="str">
        <f t="shared" si="155"/>
        <v>Complete</v>
      </c>
      <c r="K4941">
        <f>COUNTIFS(RawData[Item], B4941,RawData[Quantity],C4941,RawData[Price Per Unit],D4941,RawData[Total Spent],E4941,RawData[Payment Method],F4941,RawData[Location],G4941,RawData[Transaction Date],H4941)</f>
        <v>1</v>
      </c>
      <c r="L4941"/>
    </row>
    <row r="4942" spans="1:12" x14ac:dyDescent="0.3">
      <c r="A4942" t="s">
        <v>4948</v>
      </c>
      <c r="B4942" t="s">
        <v>10011</v>
      </c>
      <c r="C4942">
        <v>2</v>
      </c>
      <c r="D4942">
        <v>5</v>
      </c>
      <c r="E4942">
        <v>10</v>
      </c>
      <c r="F4942" t="s">
        <v>10069</v>
      </c>
      <c r="G4942" t="s">
        <v>10021</v>
      </c>
      <c r="H4942" s="6">
        <v>45023</v>
      </c>
      <c r="I4942">
        <f t="shared" si="154"/>
        <v>0</v>
      </c>
      <c r="J4942" t="str">
        <f t="shared" si="155"/>
        <v>Complete</v>
      </c>
      <c r="K4942">
        <f>COUNTIFS(RawData[Item], B4942,RawData[Quantity],C4942,RawData[Price Per Unit],D4942,RawData[Total Spent],E4942,RawData[Payment Method],F4942,RawData[Location],G4942,RawData[Transaction Date],H4942)</f>
        <v>1</v>
      </c>
      <c r="L4942"/>
    </row>
    <row r="4943" spans="1:12" x14ac:dyDescent="0.3">
      <c r="A4943" t="s">
        <v>4949</v>
      </c>
      <c r="B4943" t="s">
        <v>10016</v>
      </c>
      <c r="C4943">
        <v>1</v>
      </c>
      <c r="D4943">
        <v>3</v>
      </c>
      <c r="E4943">
        <v>3</v>
      </c>
      <c r="F4943" t="s">
        <v>10069</v>
      </c>
      <c r="G4943" t="s">
        <v>10069</v>
      </c>
      <c r="H4943" s="6">
        <v>45093</v>
      </c>
      <c r="I4943">
        <f t="shared" si="154"/>
        <v>0</v>
      </c>
      <c r="J4943" t="str">
        <f t="shared" si="155"/>
        <v>Complete</v>
      </c>
      <c r="K4943">
        <f>COUNTIFS(RawData[Item], B4943,RawData[Quantity],C4943,RawData[Price Per Unit],D4943,RawData[Total Spent],E4943,RawData[Payment Method],F4943,RawData[Location],G4943,RawData[Transaction Date],H4943)</f>
        <v>1</v>
      </c>
      <c r="L4943"/>
    </row>
    <row r="4944" spans="1:12" x14ac:dyDescent="0.3">
      <c r="A4944" t="s">
        <v>4950</v>
      </c>
      <c r="B4944" t="s">
        <v>10010</v>
      </c>
      <c r="C4944">
        <v>2</v>
      </c>
      <c r="D4944">
        <v>1</v>
      </c>
      <c r="E4944">
        <v>2</v>
      </c>
      <c r="F4944" t="s">
        <v>10020</v>
      </c>
      <c r="G4944" t="s">
        <v>10069</v>
      </c>
      <c r="H4944" s="6">
        <v>45255</v>
      </c>
      <c r="I4944">
        <f t="shared" si="154"/>
        <v>0</v>
      </c>
      <c r="J4944" t="str">
        <f t="shared" si="155"/>
        <v>Complete</v>
      </c>
      <c r="K4944">
        <f>COUNTIFS(RawData[Item], B4944,RawData[Quantity],C4944,RawData[Price Per Unit],D4944,RawData[Total Spent],E4944,RawData[Payment Method],F4944,RawData[Location],G4944,RawData[Transaction Date],H4944)</f>
        <v>2</v>
      </c>
      <c r="L4944"/>
    </row>
    <row r="4945" spans="1:12" x14ac:dyDescent="0.3">
      <c r="A4945" t="s">
        <v>4951</v>
      </c>
      <c r="B4945" t="s">
        <v>10009</v>
      </c>
      <c r="C4945">
        <v>2</v>
      </c>
      <c r="D4945">
        <v>3</v>
      </c>
      <c r="E4945">
        <v>6</v>
      </c>
      <c r="F4945" t="s">
        <v>10019</v>
      </c>
      <c r="G4945" t="s">
        <v>10069</v>
      </c>
      <c r="H4945" s="6">
        <v>44943</v>
      </c>
      <c r="I4945">
        <f t="shared" si="154"/>
        <v>0</v>
      </c>
      <c r="J4945" t="str">
        <f t="shared" si="155"/>
        <v>Complete</v>
      </c>
      <c r="K4945">
        <f>COUNTIFS(RawData[Item], B4945,RawData[Quantity],C4945,RawData[Price Per Unit],D4945,RawData[Total Spent],E4945,RawData[Payment Method],F4945,RawData[Location],G4945,RawData[Transaction Date],H4945)</f>
        <v>1</v>
      </c>
      <c r="L4945"/>
    </row>
    <row r="4946" spans="1:12" x14ac:dyDescent="0.3">
      <c r="A4946" t="s">
        <v>4952</v>
      </c>
      <c r="B4946" t="s">
        <v>10011</v>
      </c>
      <c r="C4946">
        <v>1</v>
      </c>
      <c r="D4946">
        <v>5</v>
      </c>
      <c r="E4946">
        <v>5</v>
      </c>
      <c r="F4946" t="s">
        <v>10019</v>
      </c>
      <c r="G4946" t="s">
        <v>10069</v>
      </c>
      <c r="H4946" s="6">
        <v>45218</v>
      </c>
      <c r="I4946">
        <f t="shared" si="154"/>
        <v>0</v>
      </c>
      <c r="J4946" t="str">
        <f t="shared" si="155"/>
        <v>Complete</v>
      </c>
      <c r="K4946">
        <f>COUNTIFS(RawData[Item], B4946,RawData[Quantity],C4946,RawData[Price Per Unit],D4946,RawData[Total Spent],E4946,RawData[Payment Method],F4946,RawData[Location],G4946,RawData[Transaction Date],H4946)</f>
        <v>1</v>
      </c>
      <c r="L4946"/>
    </row>
    <row r="4947" spans="1:12" x14ac:dyDescent="0.3">
      <c r="A4947" t="s">
        <v>4953</v>
      </c>
      <c r="B4947" t="s">
        <v>10010</v>
      </c>
      <c r="C4947">
        <v>3</v>
      </c>
      <c r="D4947">
        <v>1</v>
      </c>
      <c r="E4947">
        <v>3</v>
      </c>
      <c r="F4947" t="s">
        <v>10020</v>
      </c>
      <c r="G4947" t="s">
        <v>10021</v>
      </c>
      <c r="H4947" s="6">
        <v>44983</v>
      </c>
      <c r="I4947">
        <f t="shared" si="154"/>
        <v>0</v>
      </c>
      <c r="J4947" t="str">
        <f t="shared" si="155"/>
        <v>Complete</v>
      </c>
      <c r="K4947">
        <f>COUNTIFS(RawData[Item], B4947,RawData[Quantity],C4947,RawData[Price Per Unit],D4947,RawData[Total Spent],E4947,RawData[Payment Method],F4947,RawData[Location],G4947,RawData[Transaction Date],H4947)</f>
        <v>1</v>
      </c>
      <c r="L4947"/>
    </row>
    <row r="4948" spans="1:12" x14ac:dyDescent="0.3">
      <c r="A4948" t="s">
        <v>4954</v>
      </c>
      <c r="B4948" t="s">
        <v>10014</v>
      </c>
      <c r="C4948">
        <v>3</v>
      </c>
      <c r="D4948">
        <v>4</v>
      </c>
      <c r="E4948">
        <v>12</v>
      </c>
      <c r="F4948" t="s">
        <v>10069</v>
      </c>
      <c r="G4948" t="s">
        <v>10102</v>
      </c>
      <c r="H4948" s="6">
        <v>45266</v>
      </c>
      <c r="I4948">
        <f t="shared" si="154"/>
        <v>0</v>
      </c>
      <c r="J4948" t="str">
        <f t="shared" si="155"/>
        <v>Complete</v>
      </c>
      <c r="K4948">
        <f>COUNTIFS(RawData[Item], B4948,RawData[Quantity],C4948,RawData[Price Per Unit],D4948,RawData[Total Spent],E4948,RawData[Payment Method],F4948,RawData[Location],G4948,RawData[Transaction Date],H4948)</f>
        <v>2</v>
      </c>
      <c r="L4948"/>
    </row>
    <row r="4949" spans="1:12" x14ac:dyDescent="0.3">
      <c r="A4949" t="s">
        <v>4955</v>
      </c>
      <c r="B4949" t="s">
        <v>10069</v>
      </c>
      <c r="C4949">
        <v>1</v>
      </c>
      <c r="D4949">
        <v>2</v>
      </c>
      <c r="E4949">
        <v>2</v>
      </c>
      <c r="F4949" t="s">
        <v>10069</v>
      </c>
      <c r="G4949" t="s">
        <v>10102</v>
      </c>
      <c r="H4949" s="6">
        <v>44973</v>
      </c>
      <c r="I4949">
        <f t="shared" si="154"/>
        <v>0</v>
      </c>
      <c r="J4949" t="str">
        <f t="shared" si="155"/>
        <v>Complete</v>
      </c>
      <c r="K4949">
        <f>COUNTIFS(RawData[Item], B4949,RawData[Quantity],C4949,RawData[Price Per Unit],D4949,RawData[Total Spent],E4949,RawData[Payment Method],F4949,RawData[Location],G4949,RawData[Transaction Date],H4949)</f>
        <v>1</v>
      </c>
      <c r="L4949"/>
    </row>
    <row r="4950" spans="1:12" x14ac:dyDescent="0.3">
      <c r="A4950" t="s">
        <v>4956</v>
      </c>
      <c r="B4950" t="s">
        <v>10008</v>
      </c>
      <c r="C4950">
        <v>1</v>
      </c>
      <c r="D4950">
        <v>2</v>
      </c>
      <c r="E4950">
        <v>2</v>
      </c>
      <c r="F4950" t="s">
        <v>10019</v>
      </c>
      <c r="G4950" t="s">
        <v>10102</v>
      </c>
      <c r="H4950" s="6">
        <v>45147</v>
      </c>
      <c r="I4950">
        <f t="shared" si="154"/>
        <v>0</v>
      </c>
      <c r="J4950" t="str">
        <f t="shared" si="155"/>
        <v>Complete</v>
      </c>
      <c r="K4950">
        <f>COUNTIFS(RawData[Item], B4950,RawData[Quantity],C4950,RawData[Price Per Unit],D4950,RawData[Total Spent],E4950,RawData[Payment Method],F4950,RawData[Location],G4950,RawData[Transaction Date],H4950)</f>
        <v>1</v>
      </c>
      <c r="L4950"/>
    </row>
    <row r="4951" spans="1:12" x14ac:dyDescent="0.3">
      <c r="A4951" t="s">
        <v>4957</v>
      </c>
      <c r="B4951" t="s">
        <v>10012</v>
      </c>
      <c r="C4951">
        <v>5</v>
      </c>
      <c r="D4951">
        <v>4</v>
      </c>
      <c r="E4951">
        <v>20</v>
      </c>
      <c r="F4951" t="s">
        <v>10019</v>
      </c>
      <c r="G4951" t="s">
        <v>10103</v>
      </c>
      <c r="H4951" s="6">
        <v>44979</v>
      </c>
      <c r="I4951">
        <f t="shared" si="154"/>
        <v>1</v>
      </c>
      <c r="J4951" t="str">
        <f t="shared" si="155"/>
        <v>Complete</v>
      </c>
      <c r="K4951">
        <f>COUNTIFS(RawData[Item], B4951,RawData[Quantity],C4951,RawData[Price Per Unit],D4951,RawData[Total Spent],E4951,RawData[Payment Method],F4951,RawData[Location],G4951,RawData[Transaction Date],H4951)</f>
        <v>1</v>
      </c>
      <c r="L4951"/>
    </row>
    <row r="4952" spans="1:12" x14ac:dyDescent="0.3">
      <c r="A4952" t="s">
        <v>4958</v>
      </c>
      <c r="B4952" t="s">
        <v>10012</v>
      </c>
      <c r="C4952">
        <v>2</v>
      </c>
      <c r="D4952">
        <v>4</v>
      </c>
      <c r="E4952">
        <v>8</v>
      </c>
      <c r="F4952" t="s">
        <v>10069</v>
      </c>
      <c r="G4952" t="s">
        <v>10102</v>
      </c>
      <c r="H4952" s="6">
        <v>44936</v>
      </c>
      <c r="I4952">
        <f t="shared" si="154"/>
        <v>0</v>
      </c>
      <c r="J4952" t="str">
        <f t="shared" si="155"/>
        <v>Complete</v>
      </c>
      <c r="K4952">
        <f>COUNTIFS(RawData[Item], B4952,RawData[Quantity],C4952,RawData[Price Per Unit],D4952,RawData[Total Spent],E4952,RawData[Payment Method],F4952,RawData[Location],G4952,RawData[Transaction Date],H4952)</f>
        <v>1</v>
      </c>
      <c r="L4952"/>
    </row>
    <row r="4953" spans="1:12" x14ac:dyDescent="0.3">
      <c r="A4953" t="s">
        <v>4959</v>
      </c>
      <c r="B4953" t="s">
        <v>10016</v>
      </c>
      <c r="C4953">
        <v>3</v>
      </c>
      <c r="D4953">
        <v>3</v>
      </c>
      <c r="E4953">
        <v>9</v>
      </c>
      <c r="F4953" t="s">
        <v>10069</v>
      </c>
      <c r="G4953" t="s">
        <v>10104</v>
      </c>
      <c r="H4953" s="6">
        <v>44940</v>
      </c>
      <c r="I4953">
        <f t="shared" si="154"/>
        <v>1</v>
      </c>
      <c r="J4953" t="str">
        <f t="shared" si="155"/>
        <v>Complete</v>
      </c>
      <c r="K4953">
        <f>COUNTIFS(RawData[Item], B4953,RawData[Quantity],C4953,RawData[Price Per Unit],D4953,RawData[Total Spent],E4953,RawData[Payment Method],F4953,RawData[Location],G4953,RawData[Transaction Date],H4953)</f>
        <v>1</v>
      </c>
      <c r="L4953"/>
    </row>
    <row r="4954" spans="1:12" x14ac:dyDescent="0.3">
      <c r="A4954" t="s">
        <v>4960</v>
      </c>
      <c r="B4954" t="s">
        <v>10010</v>
      </c>
      <c r="C4954">
        <v>5</v>
      </c>
      <c r="D4954">
        <v>1</v>
      </c>
      <c r="E4954">
        <v>5</v>
      </c>
      <c r="F4954" t="s">
        <v>10069</v>
      </c>
      <c r="G4954" t="s">
        <v>10069</v>
      </c>
      <c r="H4954" s="6">
        <v>45170</v>
      </c>
      <c r="I4954">
        <f t="shared" si="154"/>
        <v>0</v>
      </c>
      <c r="J4954" t="str">
        <f t="shared" si="155"/>
        <v>Complete</v>
      </c>
      <c r="K4954">
        <f>COUNTIFS(RawData[Item], B4954,RawData[Quantity],C4954,RawData[Price Per Unit],D4954,RawData[Total Spent],E4954,RawData[Payment Method],F4954,RawData[Location],G4954,RawData[Transaction Date],H4954)</f>
        <v>1</v>
      </c>
      <c r="L4954"/>
    </row>
    <row r="4955" spans="1:12" x14ac:dyDescent="0.3">
      <c r="A4955" t="s">
        <v>4961</v>
      </c>
      <c r="B4955" t="s">
        <v>10014</v>
      </c>
      <c r="C4955">
        <v>1</v>
      </c>
      <c r="D4955">
        <v>4</v>
      </c>
      <c r="E4955">
        <v>4</v>
      </c>
      <c r="F4955" t="s">
        <v>10069</v>
      </c>
      <c r="G4955" t="s">
        <v>10069</v>
      </c>
      <c r="H4955" s="6">
        <v>45012</v>
      </c>
      <c r="I4955">
        <f t="shared" si="154"/>
        <v>0</v>
      </c>
      <c r="J4955" t="str">
        <f t="shared" si="155"/>
        <v>Complete</v>
      </c>
      <c r="K4955">
        <f>COUNTIFS(RawData[Item], B4955,RawData[Quantity],C4955,RawData[Price Per Unit],D4955,RawData[Total Spent],E4955,RawData[Payment Method],F4955,RawData[Location],G4955,RawData[Transaction Date],H4955)</f>
        <v>1</v>
      </c>
      <c r="L4955"/>
    </row>
    <row r="4956" spans="1:12" x14ac:dyDescent="0.3">
      <c r="A4956" t="s">
        <v>4962</v>
      </c>
      <c r="B4956" t="s">
        <v>10014</v>
      </c>
      <c r="C4956">
        <v>5</v>
      </c>
      <c r="D4956">
        <v>4</v>
      </c>
      <c r="E4956">
        <v>20</v>
      </c>
      <c r="F4956" t="s">
        <v>10018</v>
      </c>
      <c r="G4956" t="s">
        <v>10069</v>
      </c>
      <c r="H4956" s="6">
        <v>44934</v>
      </c>
      <c r="I4956">
        <f t="shared" si="154"/>
        <v>0</v>
      </c>
      <c r="J4956" t="str">
        <f t="shared" si="155"/>
        <v>Complete</v>
      </c>
      <c r="K4956">
        <f>COUNTIFS(RawData[Item], B4956,RawData[Quantity],C4956,RawData[Price Per Unit],D4956,RawData[Total Spent],E4956,RawData[Payment Method],F4956,RawData[Location],G4956,RawData[Transaction Date],H4956)</f>
        <v>1</v>
      </c>
      <c r="L4956"/>
    </row>
    <row r="4957" spans="1:12" x14ac:dyDescent="0.3">
      <c r="A4957" t="s">
        <v>4963</v>
      </c>
      <c r="B4957" t="s">
        <v>10011</v>
      </c>
      <c r="C4957">
        <v>5</v>
      </c>
      <c r="D4957">
        <v>5</v>
      </c>
      <c r="E4957">
        <v>25</v>
      </c>
      <c r="F4957" t="s">
        <v>10069</v>
      </c>
      <c r="G4957" t="s">
        <v>10021</v>
      </c>
      <c r="H4957" s="6">
        <v>45110</v>
      </c>
      <c r="I4957">
        <f t="shared" si="154"/>
        <v>0</v>
      </c>
      <c r="J4957" t="str">
        <f t="shared" si="155"/>
        <v>Complete</v>
      </c>
      <c r="K4957">
        <f>COUNTIFS(RawData[Item], B4957,RawData[Quantity],C4957,RawData[Price Per Unit],D4957,RawData[Total Spent],E4957,RawData[Payment Method],F4957,RawData[Location],G4957,RawData[Transaction Date],H4957)</f>
        <v>1</v>
      </c>
      <c r="L4957"/>
    </row>
    <row r="4958" spans="1:12" x14ac:dyDescent="0.3">
      <c r="A4958" t="s">
        <v>4964</v>
      </c>
      <c r="B4958" t="s">
        <v>10011</v>
      </c>
      <c r="C4958">
        <v>1</v>
      </c>
      <c r="D4958">
        <v>5</v>
      </c>
      <c r="E4958">
        <v>5</v>
      </c>
      <c r="F4958" t="s">
        <v>10018</v>
      </c>
      <c r="G4958" t="s">
        <v>10021</v>
      </c>
      <c r="H4958" s="6">
        <v>45052</v>
      </c>
      <c r="I4958">
        <f t="shared" si="154"/>
        <v>0</v>
      </c>
      <c r="J4958" t="str">
        <f t="shared" si="155"/>
        <v>Complete</v>
      </c>
      <c r="K4958">
        <f>COUNTIFS(RawData[Item], B4958,RawData[Quantity],C4958,RawData[Price Per Unit],D4958,RawData[Total Spent],E4958,RawData[Payment Method],F4958,RawData[Location],G4958,RawData[Transaction Date],H4958)</f>
        <v>1</v>
      </c>
      <c r="L4958"/>
    </row>
    <row r="4959" spans="1:12" x14ac:dyDescent="0.3">
      <c r="A4959" t="s">
        <v>4965</v>
      </c>
      <c r="B4959" t="s">
        <v>10017</v>
      </c>
      <c r="C4959">
        <v>4</v>
      </c>
      <c r="D4959">
        <v>1.5</v>
      </c>
      <c r="E4959">
        <v>0</v>
      </c>
      <c r="F4959" t="s">
        <v>10019</v>
      </c>
      <c r="G4959" t="s">
        <v>10103</v>
      </c>
      <c r="H4959" s="6">
        <v>45163</v>
      </c>
      <c r="I4959">
        <f t="shared" si="154"/>
        <v>1</v>
      </c>
      <c r="J4959" t="str">
        <f t="shared" si="155"/>
        <v>Complete</v>
      </c>
      <c r="K4959">
        <f>COUNTIFS(RawData[Item], B4959,RawData[Quantity],C4959,RawData[Price Per Unit],D4959,RawData[Total Spent],E4959,RawData[Payment Method],F4959,RawData[Location],G4959,RawData[Transaction Date],H4959)</f>
        <v>1</v>
      </c>
      <c r="L4959"/>
    </row>
    <row r="4960" spans="1:12" x14ac:dyDescent="0.3">
      <c r="A4960" t="s">
        <v>4966</v>
      </c>
      <c r="B4960" t="s">
        <v>10012</v>
      </c>
      <c r="C4960">
        <v>5</v>
      </c>
      <c r="D4960">
        <v>4</v>
      </c>
      <c r="E4960">
        <v>20</v>
      </c>
      <c r="F4960" t="s">
        <v>10103</v>
      </c>
      <c r="G4960" t="s">
        <v>10021</v>
      </c>
      <c r="H4960" s="6">
        <v>45016</v>
      </c>
      <c r="I4960">
        <f t="shared" si="154"/>
        <v>1</v>
      </c>
      <c r="J4960" t="str">
        <f t="shared" si="155"/>
        <v>Complete</v>
      </c>
      <c r="K4960">
        <f>COUNTIFS(RawData[Item], B4960,RawData[Quantity],C4960,RawData[Price Per Unit],D4960,RawData[Total Spent],E4960,RawData[Payment Method],F4960,RawData[Location],G4960,RawData[Transaction Date],H4960)</f>
        <v>1</v>
      </c>
      <c r="L4960"/>
    </row>
    <row r="4961" spans="1:12" x14ac:dyDescent="0.3">
      <c r="A4961" t="s">
        <v>4967</v>
      </c>
      <c r="B4961" t="s">
        <v>10009</v>
      </c>
      <c r="C4961">
        <v>4</v>
      </c>
      <c r="D4961">
        <v>3</v>
      </c>
      <c r="E4961">
        <v>12</v>
      </c>
      <c r="F4961" t="s">
        <v>10020</v>
      </c>
      <c r="G4961" t="s">
        <v>10102</v>
      </c>
      <c r="H4961" s="6">
        <v>45069</v>
      </c>
      <c r="I4961">
        <f t="shared" si="154"/>
        <v>0</v>
      </c>
      <c r="J4961" t="str">
        <f t="shared" si="155"/>
        <v>Complete</v>
      </c>
      <c r="K4961">
        <f>COUNTIFS(RawData[Item], B4961,RawData[Quantity],C4961,RawData[Price Per Unit],D4961,RawData[Total Spent],E4961,RawData[Payment Method],F4961,RawData[Location],G4961,RawData[Transaction Date],H4961)</f>
        <v>1</v>
      </c>
      <c r="L4961"/>
    </row>
    <row r="4962" spans="1:12" x14ac:dyDescent="0.3">
      <c r="A4962" t="s">
        <v>4968</v>
      </c>
      <c r="B4962" t="s">
        <v>10016</v>
      </c>
      <c r="C4962">
        <v>1</v>
      </c>
      <c r="D4962">
        <v>3</v>
      </c>
      <c r="E4962">
        <v>3</v>
      </c>
      <c r="F4962" t="s">
        <v>10069</v>
      </c>
      <c r="G4962" t="s">
        <v>10102</v>
      </c>
      <c r="H4962" s="6">
        <v>44995</v>
      </c>
      <c r="I4962">
        <f t="shared" si="154"/>
        <v>0</v>
      </c>
      <c r="J4962" t="str">
        <f t="shared" si="155"/>
        <v>Complete</v>
      </c>
      <c r="K4962">
        <f>COUNTIFS(RawData[Item], B4962,RawData[Quantity],C4962,RawData[Price Per Unit],D4962,RawData[Total Spent],E4962,RawData[Payment Method],F4962,RawData[Location],G4962,RawData[Transaction Date],H4962)</f>
        <v>1</v>
      </c>
      <c r="L4962"/>
    </row>
    <row r="4963" spans="1:12" x14ac:dyDescent="0.3">
      <c r="A4963" t="s">
        <v>4969</v>
      </c>
      <c r="B4963" t="s">
        <v>10012</v>
      </c>
      <c r="C4963">
        <v>5</v>
      </c>
      <c r="D4963">
        <v>0</v>
      </c>
      <c r="E4963">
        <v>20</v>
      </c>
      <c r="F4963" t="s">
        <v>10018</v>
      </c>
      <c r="G4963" t="s">
        <v>10069</v>
      </c>
      <c r="H4963" s="6">
        <v>45138</v>
      </c>
      <c r="I4963">
        <f t="shared" si="154"/>
        <v>0</v>
      </c>
      <c r="J4963" t="str">
        <f t="shared" si="155"/>
        <v>Complete</v>
      </c>
      <c r="K4963">
        <f>COUNTIFS(RawData[Item], B4963,RawData[Quantity],C4963,RawData[Price Per Unit],D4963,RawData[Total Spent],E4963,RawData[Payment Method],F4963,RawData[Location],G4963,RawData[Transaction Date],H4963)</f>
        <v>1</v>
      </c>
      <c r="L4963"/>
    </row>
    <row r="4964" spans="1:12" x14ac:dyDescent="0.3">
      <c r="A4964" t="s">
        <v>4970</v>
      </c>
      <c r="B4964" t="s">
        <v>10008</v>
      </c>
      <c r="C4964">
        <v>1</v>
      </c>
      <c r="D4964">
        <v>2</v>
      </c>
      <c r="E4964">
        <v>2</v>
      </c>
      <c r="F4964" t="s">
        <v>10019</v>
      </c>
      <c r="G4964" t="s">
        <v>10021</v>
      </c>
      <c r="H4964" s="6">
        <v>45245</v>
      </c>
      <c r="I4964">
        <f t="shared" si="154"/>
        <v>0</v>
      </c>
      <c r="J4964" t="str">
        <f t="shared" si="155"/>
        <v>Complete</v>
      </c>
      <c r="K4964">
        <f>COUNTIFS(RawData[Item], B4964,RawData[Quantity],C4964,RawData[Price Per Unit],D4964,RawData[Total Spent],E4964,RawData[Payment Method],F4964,RawData[Location],G4964,RawData[Transaction Date],H4964)</f>
        <v>1</v>
      </c>
      <c r="L4964"/>
    </row>
    <row r="4965" spans="1:12" x14ac:dyDescent="0.3">
      <c r="A4965" t="s">
        <v>4971</v>
      </c>
      <c r="B4965" t="s">
        <v>10014</v>
      </c>
      <c r="C4965">
        <v>5</v>
      </c>
      <c r="D4965">
        <v>4</v>
      </c>
      <c r="E4965">
        <v>0</v>
      </c>
      <c r="F4965" t="s">
        <v>10069</v>
      </c>
      <c r="G4965" t="s">
        <v>10069</v>
      </c>
      <c r="H4965" s="6">
        <v>45275</v>
      </c>
      <c r="I4965">
        <f t="shared" si="154"/>
        <v>0</v>
      </c>
      <c r="J4965" t="str">
        <f t="shared" si="155"/>
        <v>Complete</v>
      </c>
      <c r="K4965">
        <f>COUNTIFS(RawData[Item], B4965,RawData[Quantity],C4965,RawData[Price Per Unit],D4965,RawData[Total Spent],E4965,RawData[Payment Method],F4965,RawData[Location],G4965,RawData[Transaction Date],H4965)</f>
        <v>1</v>
      </c>
      <c r="L4965"/>
    </row>
    <row r="4966" spans="1:12" x14ac:dyDescent="0.3">
      <c r="A4966" t="s">
        <v>4972</v>
      </c>
      <c r="B4966" t="s">
        <v>10011</v>
      </c>
      <c r="C4966">
        <v>2</v>
      </c>
      <c r="D4966">
        <v>5</v>
      </c>
      <c r="E4966">
        <v>10</v>
      </c>
      <c r="F4966" t="s">
        <v>10020</v>
      </c>
      <c r="G4966" t="s">
        <v>10021</v>
      </c>
      <c r="H4966" s="6">
        <v>45186</v>
      </c>
      <c r="I4966">
        <f t="shared" si="154"/>
        <v>0</v>
      </c>
      <c r="J4966" t="str">
        <f t="shared" si="155"/>
        <v>Complete</v>
      </c>
      <c r="K4966">
        <f>COUNTIFS(RawData[Item], B4966,RawData[Quantity],C4966,RawData[Price Per Unit],D4966,RawData[Total Spent],E4966,RawData[Payment Method],F4966,RawData[Location],G4966,RawData[Transaction Date],H4966)</f>
        <v>1</v>
      </c>
      <c r="L4966"/>
    </row>
    <row r="4967" spans="1:12" x14ac:dyDescent="0.3">
      <c r="A4967" t="s">
        <v>4973</v>
      </c>
      <c r="B4967" t="s">
        <v>10010</v>
      </c>
      <c r="C4967">
        <v>5</v>
      </c>
      <c r="D4967">
        <v>1</v>
      </c>
      <c r="E4967">
        <v>5</v>
      </c>
      <c r="F4967" t="s">
        <v>10020</v>
      </c>
      <c r="G4967" t="s">
        <v>10021</v>
      </c>
      <c r="H4967" s="6">
        <v>45091</v>
      </c>
      <c r="I4967">
        <f t="shared" si="154"/>
        <v>0</v>
      </c>
      <c r="J4967" t="str">
        <f t="shared" si="155"/>
        <v>Complete</v>
      </c>
      <c r="K4967">
        <f>COUNTIFS(RawData[Item], B4967,RawData[Quantity],C4967,RawData[Price Per Unit],D4967,RawData[Total Spent],E4967,RawData[Payment Method],F4967,RawData[Location],G4967,RawData[Transaction Date],H4967)</f>
        <v>1</v>
      </c>
      <c r="L4967"/>
    </row>
    <row r="4968" spans="1:12" x14ac:dyDescent="0.3">
      <c r="A4968" t="s">
        <v>4974</v>
      </c>
      <c r="B4968" t="s">
        <v>10017</v>
      </c>
      <c r="C4968">
        <v>2</v>
      </c>
      <c r="D4968">
        <v>1.5</v>
      </c>
      <c r="E4968">
        <v>3</v>
      </c>
      <c r="F4968" t="s">
        <v>10104</v>
      </c>
      <c r="G4968" t="s">
        <v>10069</v>
      </c>
      <c r="H4968" s="6">
        <v>45253</v>
      </c>
      <c r="I4968">
        <f t="shared" si="154"/>
        <v>1</v>
      </c>
      <c r="J4968" t="str">
        <f t="shared" si="155"/>
        <v>Complete</v>
      </c>
      <c r="K4968">
        <f>COUNTIFS(RawData[Item], B4968,RawData[Quantity],C4968,RawData[Price Per Unit],D4968,RawData[Total Spent],E4968,RawData[Payment Method],F4968,RawData[Location],G4968,RawData[Transaction Date],H4968)</f>
        <v>1</v>
      </c>
      <c r="L4968"/>
    </row>
    <row r="4969" spans="1:12" x14ac:dyDescent="0.3">
      <c r="A4969" t="s">
        <v>4975</v>
      </c>
      <c r="B4969" t="s">
        <v>10014</v>
      </c>
      <c r="C4969">
        <v>4</v>
      </c>
      <c r="D4969">
        <v>4</v>
      </c>
      <c r="E4969">
        <v>16</v>
      </c>
      <c r="F4969" t="s">
        <v>10020</v>
      </c>
      <c r="G4969" t="s">
        <v>10102</v>
      </c>
      <c r="H4969" s="6">
        <v>45029</v>
      </c>
      <c r="I4969">
        <f t="shared" si="154"/>
        <v>0</v>
      </c>
      <c r="J4969" t="str">
        <f t="shared" si="155"/>
        <v>Complete</v>
      </c>
      <c r="K4969">
        <f>COUNTIFS(RawData[Item], B4969,RawData[Quantity],C4969,RawData[Price Per Unit],D4969,RawData[Total Spent],E4969,RawData[Payment Method],F4969,RawData[Location],G4969,RawData[Transaction Date],H4969)</f>
        <v>1</v>
      </c>
      <c r="L4969"/>
    </row>
    <row r="4970" spans="1:12" x14ac:dyDescent="0.3">
      <c r="A4970" t="s">
        <v>4976</v>
      </c>
      <c r="B4970" t="s">
        <v>10016</v>
      </c>
      <c r="C4970">
        <v>4</v>
      </c>
      <c r="D4970">
        <v>3</v>
      </c>
      <c r="E4970">
        <v>12</v>
      </c>
      <c r="F4970" t="s">
        <v>10069</v>
      </c>
      <c r="G4970" t="s">
        <v>10021</v>
      </c>
      <c r="H4970" s="6">
        <v>45229</v>
      </c>
      <c r="I4970">
        <f t="shared" si="154"/>
        <v>0</v>
      </c>
      <c r="J4970" t="str">
        <f t="shared" si="155"/>
        <v>Complete</v>
      </c>
      <c r="K4970">
        <f>COUNTIFS(RawData[Item], B4970,RawData[Quantity],C4970,RawData[Price Per Unit],D4970,RawData[Total Spent],E4970,RawData[Payment Method],F4970,RawData[Location],G4970,RawData[Transaction Date],H4970)</f>
        <v>1</v>
      </c>
      <c r="L4970"/>
    </row>
    <row r="4971" spans="1:12" x14ac:dyDescent="0.3">
      <c r="A4971" t="s">
        <v>4977</v>
      </c>
      <c r="B4971" t="s">
        <v>10017</v>
      </c>
      <c r="C4971">
        <v>2</v>
      </c>
      <c r="D4971">
        <v>1.5</v>
      </c>
      <c r="E4971">
        <v>3</v>
      </c>
      <c r="F4971" t="s">
        <v>10019</v>
      </c>
      <c r="G4971" t="s">
        <v>10021</v>
      </c>
      <c r="H4971" s="6">
        <v>44953</v>
      </c>
      <c r="I4971">
        <f t="shared" si="154"/>
        <v>0</v>
      </c>
      <c r="J4971" t="str">
        <f t="shared" si="155"/>
        <v>Complete</v>
      </c>
      <c r="K4971">
        <f>COUNTIFS(RawData[Item], B4971,RawData[Quantity],C4971,RawData[Price Per Unit],D4971,RawData[Total Spent],E4971,RawData[Payment Method],F4971,RawData[Location],G4971,RawData[Transaction Date],H4971)</f>
        <v>1</v>
      </c>
      <c r="L4971"/>
    </row>
    <row r="4972" spans="1:12" x14ac:dyDescent="0.3">
      <c r="A4972" t="s">
        <v>4978</v>
      </c>
      <c r="B4972" t="s">
        <v>10017</v>
      </c>
      <c r="C4972">
        <v>3</v>
      </c>
      <c r="D4972">
        <v>1.5</v>
      </c>
      <c r="E4972">
        <v>4.5</v>
      </c>
      <c r="F4972" t="s">
        <v>10069</v>
      </c>
      <c r="G4972" t="s">
        <v>10021</v>
      </c>
      <c r="H4972" s="6">
        <v>44990</v>
      </c>
      <c r="I4972">
        <f t="shared" si="154"/>
        <v>0</v>
      </c>
      <c r="J4972" t="str">
        <f t="shared" si="155"/>
        <v>Complete</v>
      </c>
      <c r="K4972">
        <f>COUNTIFS(RawData[Item], B4972,RawData[Quantity],C4972,RawData[Price Per Unit],D4972,RawData[Total Spent],E4972,RawData[Payment Method],F4972,RawData[Location],G4972,RawData[Transaction Date],H4972)</f>
        <v>1</v>
      </c>
      <c r="L4972"/>
    </row>
    <row r="4973" spans="1:12" x14ac:dyDescent="0.3">
      <c r="A4973" t="s">
        <v>4979</v>
      </c>
      <c r="B4973" t="s">
        <v>10008</v>
      </c>
      <c r="C4973">
        <v>1</v>
      </c>
      <c r="D4973">
        <v>2</v>
      </c>
      <c r="E4973">
        <v>2</v>
      </c>
      <c r="F4973" t="s">
        <v>10019</v>
      </c>
      <c r="G4973" t="s">
        <v>10103</v>
      </c>
      <c r="H4973" s="6">
        <v>45288</v>
      </c>
      <c r="I4973">
        <f t="shared" si="154"/>
        <v>1</v>
      </c>
      <c r="J4973" t="str">
        <f t="shared" si="155"/>
        <v>Complete</v>
      </c>
      <c r="K4973">
        <f>COUNTIFS(RawData[Item], B4973,RawData[Quantity],C4973,RawData[Price Per Unit],D4973,RawData[Total Spent],E4973,RawData[Payment Method],F4973,RawData[Location],G4973,RawData[Transaction Date],H4973)</f>
        <v>1</v>
      </c>
      <c r="L4973"/>
    </row>
    <row r="4974" spans="1:12" x14ac:dyDescent="0.3">
      <c r="A4974" t="s">
        <v>4980</v>
      </c>
      <c r="B4974" t="s">
        <v>10012</v>
      </c>
      <c r="C4974">
        <v>4</v>
      </c>
      <c r="D4974">
        <v>4</v>
      </c>
      <c r="E4974">
        <v>16</v>
      </c>
      <c r="F4974" t="s">
        <v>10020</v>
      </c>
      <c r="G4974" t="s">
        <v>10021</v>
      </c>
      <c r="H4974" s="6">
        <v>45199</v>
      </c>
      <c r="I4974">
        <f t="shared" si="154"/>
        <v>0</v>
      </c>
      <c r="J4974" t="str">
        <f t="shared" si="155"/>
        <v>Complete</v>
      </c>
      <c r="K4974">
        <f>COUNTIFS(RawData[Item], B4974,RawData[Quantity],C4974,RawData[Price Per Unit],D4974,RawData[Total Spent],E4974,RawData[Payment Method],F4974,RawData[Location],G4974,RawData[Transaction Date],H4974)</f>
        <v>1</v>
      </c>
      <c r="L4974"/>
    </row>
    <row r="4975" spans="1:12" x14ac:dyDescent="0.3">
      <c r="A4975" t="s">
        <v>4981</v>
      </c>
      <c r="B4975" t="s">
        <v>10011</v>
      </c>
      <c r="C4975">
        <v>1</v>
      </c>
      <c r="D4975">
        <v>5</v>
      </c>
      <c r="E4975">
        <v>5</v>
      </c>
      <c r="F4975" t="s">
        <v>10018</v>
      </c>
      <c r="G4975" t="s">
        <v>10069</v>
      </c>
      <c r="H4975" s="6">
        <v>45071</v>
      </c>
      <c r="I4975">
        <f t="shared" si="154"/>
        <v>0</v>
      </c>
      <c r="J4975" t="str">
        <f t="shared" si="155"/>
        <v>Complete</v>
      </c>
      <c r="K4975">
        <f>COUNTIFS(RawData[Item], B4975,RawData[Quantity],C4975,RawData[Price Per Unit],D4975,RawData[Total Spent],E4975,RawData[Payment Method],F4975,RawData[Location],G4975,RawData[Transaction Date],H4975)</f>
        <v>1</v>
      </c>
      <c r="L4975"/>
    </row>
    <row r="4976" spans="1:12" x14ac:dyDescent="0.3">
      <c r="A4976" t="s">
        <v>4982</v>
      </c>
      <c r="B4976" t="s">
        <v>10010</v>
      </c>
      <c r="C4976">
        <v>3</v>
      </c>
      <c r="D4976">
        <v>1</v>
      </c>
      <c r="E4976">
        <v>3</v>
      </c>
      <c r="F4976" t="s">
        <v>10018</v>
      </c>
      <c r="G4976" t="s">
        <v>10102</v>
      </c>
      <c r="H4976" s="6">
        <v>44945</v>
      </c>
      <c r="I4976">
        <f t="shared" si="154"/>
        <v>0</v>
      </c>
      <c r="J4976" t="str">
        <f t="shared" si="155"/>
        <v>Complete</v>
      </c>
      <c r="K4976">
        <f>COUNTIFS(RawData[Item], B4976,RawData[Quantity],C4976,RawData[Price Per Unit],D4976,RawData[Total Spent],E4976,RawData[Payment Method],F4976,RawData[Location],G4976,RawData[Transaction Date],H4976)</f>
        <v>1</v>
      </c>
      <c r="L4976"/>
    </row>
    <row r="4977" spans="1:12" x14ac:dyDescent="0.3">
      <c r="A4977" t="s">
        <v>4983</v>
      </c>
      <c r="B4977" t="s">
        <v>10017</v>
      </c>
      <c r="C4977" t="s">
        <v>10013</v>
      </c>
      <c r="D4977">
        <v>1.5</v>
      </c>
      <c r="E4977">
        <v>1.5</v>
      </c>
      <c r="F4977" t="s">
        <v>10069</v>
      </c>
      <c r="G4977" t="s">
        <v>10104</v>
      </c>
      <c r="H4977" s="6">
        <v>45173</v>
      </c>
      <c r="I4977">
        <f t="shared" si="154"/>
        <v>2</v>
      </c>
      <c r="J4977" t="str">
        <f t="shared" si="155"/>
        <v>Complete</v>
      </c>
      <c r="K4977">
        <f>COUNTIFS(RawData[Item], B4977,RawData[Quantity],C4977,RawData[Price Per Unit],D4977,RawData[Total Spent],E4977,RawData[Payment Method],F4977,RawData[Location],G4977,RawData[Transaction Date],H4977)</f>
        <v>1</v>
      </c>
      <c r="L4977"/>
    </row>
    <row r="4978" spans="1:12" x14ac:dyDescent="0.3">
      <c r="A4978" t="s">
        <v>4984</v>
      </c>
      <c r="B4978" t="s">
        <v>10009</v>
      </c>
      <c r="C4978">
        <v>1</v>
      </c>
      <c r="D4978">
        <v>3</v>
      </c>
      <c r="E4978">
        <v>3</v>
      </c>
      <c r="F4978" t="s">
        <v>10018</v>
      </c>
      <c r="G4978" t="s">
        <v>10069</v>
      </c>
      <c r="H4978" s="6">
        <v>45229</v>
      </c>
      <c r="I4978">
        <f t="shared" si="154"/>
        <v>0</v>
      </c>
      <c r="J4978" t="str">
        <f t="shared" si="155"/>
        <v>Complete</v>
      </c>
      <c r="K4978">
        <f>COUNTIFS(RawData[Item], B4978,RawData[Quantity],C4978,RawData[Price Per Unit],D4978,RawData[Total Spent],E4978,RawData[Payment Method],F4978,RawData[Location],G4978,RawData[Transaction Date],H4978)</f>
        <v>1</v>
      </c>
      <c r="L4978"/>
    </row>
    <row r="4979" spans="1:12" x14ac:dyDescent="0.3">
      <c r="A4979" t="s">
        <v>4985</v>
      </c>
      <c r="B4979" t="s">
        <v>10011</v>
      </c>
      <c r="C4979">
        <v>2</v>
      </c>
      <c r="D4979">
        <v>5</v>
      </c>
      <c r="E4979">
        <v>10</v>
      </c>
      <c r="F4979" t="s">
        <v>10019</v>
      </c>
      <c r="G4979" t="s">
        <v>10102</v>
      </c>
      <c r="H4979" s="6">
        <v>45157</v>
      </c>
      <c r="I4979">
        <f t="shared" si="154"/>
        <v>0</v>
      </c>
      <c r="J4979" t="str">
        <f t="shared" si="155"/>
        <v>Complete</v>
      </c>
      <c r="K4979">
        <f>COUNTIFS(RawData[Item], B4979,RawData[Quantity],C4979,RawData[Price Per Unit],D4979,RawData[Total Spent],E4979,RawData[Payment Method],F4979,RawData[Location],G4979,RawData[Transaction Date],H4979)</f>
        <v>1</v>
      </c>
      <c r="L4979"/>
    </row>
    <row r="4980" spans="1:12" x14ac:dyDescent="0.3">
      <c r="A4980" t="s">
        <v>4986</v>
      </c>
      <c r="B4980" t="s">
        <v>10011</v>
      </c>
      <c r="C4980" t="s">
        <v>10013</v>
      </c>
      <c r="D4980">
        <v>5</v>
      </c>
      <c r="E4980">
        <v>25</v>
      </c>
      <c r="F4980" t="s">
        <v>10018</v>
      </c>
      <c r="G4980" t="s">
        <v>10102</v>
      </c>
      <c r="H4980" s="6">
        <v>45029</v>
      </c>
      <c r="I4980">
        <f t="shared" si="154"/>
        <v>1</v>
      </c>
      <c r="J4980" t="str">
        <f t="shared" si="155"/>
        <v>Complete</v>
      </c>
      <c r="K4980">
        <f>COUNTIFS(RawData[Item], B4980,RawData[Quantity],C4980,RawData[Price Per Unit],D4980,RawData[Total Spent],E4980,RawData[Payment Method],F4980,RawData[Location],G4980,RawData[Transaction Date],H4980)</f>
        <v>1</v>
      </c>
      <c r="L4980"/>
    </row>
    <row r="4981" spans="1:12" x14ac:dyDescent="0.3">
      <c r="A4981" t="s">
        <v>4987</v>
      </c>
      <c r="B4981" t="s">
        <v>10010</v>
      </c>
      <c r="C4981">
        <v>1</v>
      </c>
      <c r="D4981">
        <v>1</v>
      </c>
      <c r="E4981">
        <v>1</v>
      </c>
      <c r="F4981" t="s">
        <v>10019</v>
      </c>
      <c r="G4981" t="s">
        <v>10102</v>
      </c>
      <c r="H4981" s="6">
        <v>45231</v>
      </c>
      <c r="I4981">
        <f t="shared" si="154"/>
        <v>0</v>
      </c>
      <c r="J4981" t="str">
        <f t="shared" si="155"/>
        <v>Complete</v>
      </c>
      <c r="K4981">
        <f>COUNTIFS(RawData[Item], B4981,RawData[Quantity],C4981,RawData[Price Per Unit],D4981,RawData[Total Spent],E4981,RawData[Payment Method],F4981,RawData[Location],G4981,RawData[Transaction Date],H4981)</f>
        <v>1</v>
      </c>
      <c r="L4981"/>
    </row>
    <row r="4982" spans="1:12" x14ac:dyDescent="0.3">
      <c r="A4982" t="s">
        <v>4988</v>
      </c>
      <c r="B4982" t="s">
        <v>10012</v>
      </c>
      <c r="C4982">
        <v>2</v>
      </c>
      <c r="D4982">
        <v>0</v>
      </c>
      <c r="E4982">
        <v>8</v>
      </c>
      <c r="F4982" t="s">
        <v>10069</v>
      </c>
      <c r="G4982" t="s">
        <v>10069</v>
      </c>
      <c r="H4982" s="6">
        <v>45166</v>
      </c>
      <c r="I4982">
        <f t="shared" si="154"/>
        <v>0</v>
      </c>
      <c r="J4982" t="str">
        <f t="shared" si="155"/>
        <v>Complete</v>
      </c>
      <c r="K4982">
        <f>COUNTIFS(RawData[Item], B4982,RawData[Quantity],C4982,RawData[Price Per Unit],D4982,RawData[Total Spent],E4982,RawData[Payment Method],F4982,RawData[Location],G4982,RawData[Transaction Date],H4982)</f>
        <v>1</v>
      </c>
      <c r="L4982"/>
    </row>
    <row r="4983" spans="1:12" x14ac:dyDescent="0.3">
      <c r="A4983" t="s">
        <v>4989</v>
      </c>
      <c r="B4983" t="s">
        <v>10014</v>
      </c>
      <c r="C4983">
        <v>2</v>
      </c>
      <c r="D4983">
        <v>4</v>
      </c>
      <c r="E4983">
        <v>8</v>
      </c>
      <c r="F4983" t="s">
        <v>10020</v>
      </c>
      <c r="G4983" t="s">
        <v>10021</v>
      </c>
      <c r="H4983" s="6">
        <v>45247</v>
      </c>
      <c r="I4983">
        <f t="shared" si="154"/>
        <v>0</v>
      </c>
      <c r="J4983" t="str">
        <f t="shared" si="155"/>
        <v>Complete</v>
      </c>
      <c r="K4983">
        <f>COUNTIFS(RawData[Item], B4983,RawData[Quantity],C4983,RawData[Price Per Unit],D4983,RawData[Total Spent],E4983,RawData[Payment Method],F4983,RawData[Location],G4983,RawData[Transaction Date],H4983)</f>
        <v>1</v>
      </c>
      <c r="L4983"/>
    </row>
    <row r="4984" spans="1:12" x14ac:dyDescent="0.3">
      <c r="A4984" t="s">
        <v>4990</v>
      </c>
      <c r="B4984" t="s">
        <v>10009</v>
      </c>
      <c r="C4984">
        <v>3</v>
      </c>
      <c r="D4984">
        <v>3</v>
      </c>
      <c r="E4984">
        <v>0</v>
      </c>
      <c r="F4984" t="s">
        <v>10018</v>
      </c>
      <c r="G4984" t="s">
        <v>10103</v>
      </c>
      <c r="H4984" s="6">
        <v>44943</v>
      </c>
      <c r="I4984">
        <f t="shared" si="154"/>
        <v>1</v>
      </c>
      <c r="J4984" t="str">
        <f t="shared" si="155"/>
        <v>Complete</v>
      </c>
      <c r="K4984">
        <f>COUNTIFS(RawData[Item], B4984,RawData[Quantity],C4984,RawData[Price Per Unit],D4984,RawData[Total Spent],E4984,RawData[Payment Method],F4984,RawData[Location],G4984,RawData[Transaction Date],H4984)</f>
        <v>1</v>
      </c>
      <c r="L4984"/>
    </row>
    <row r="4985" spans="1:12" x14ac:dyDescent="0.3">
      <c r="A4985" t="s">
        <v>4991</v>
      </c>
      <c r="B4985" t="s">
        <v>10016</v>
      </c>
      <c r="C4985">
        <v>2</v>
      </c>
      <c r="D4985">
        <v>3</v>
      </c>
      <c r="E4985">
        <v>6</v>
      </c>
      <c r="F4985" t="s">
        <v>10069</v>
      </c>
      <c r="G4985" t="s">
        <v>10102</v>
      </c>
      <c r="H4985" s="6">
        <v>45196</v>
      </c>
      <c r="I4985">
        <f t="shared" si="154"/>
        <v>0</v>
      </c>
      <c r="J4985" t="str">
        <f t="shared" si="155"/>
        <v>Complete</v>
      </c>
      <c r="K4985">
        <f>COUNTIFS(RawData[Item], B4985,RawData[Quantity],C4985,RawData[Price Per Unit],D4985,RawData[Total Spent],E4985,RawData[Payment Method],F4985,RawData[Location],G4985,RawData[Transaction Date],H4985)</f>
        <v>1</v>
      </c>
      <c r="L4985"/>
    </row>
    <row r="4986" spans="1:12" x14ac:dyDescent="0.3">
      <c r="A4986" t="s">
        <v>4992</v>
      </c>
      <c r="B4986" t="s">
        <v>10008</v>
      </c>
      <c r="C4986">
        <v>1</v>
      </c>
      <c r="D4986">
        <v>2</v>
      </c>
      <c r="E4986">
        <v>2</v>
      </c>
      <c r="F4986" t="s">
        <v>10019</v>
      </c>
      <c r="G4986" t="s">
        <v>10069</v>
      </c>
      <c r="H4986" s="6">
        <v>45237</v>
      </c>
      <c r="I4986">
        <f t="shared" si="154"/>
        <v>0</v>
      </c>
      <c r="J4986" t="str">
        <f t="shared" si="155"/>
        <v>Complete</v>
      </c>
      <c r="K4986">
        <f>COUNTIFS(RawData[Item], B4986,RawData[Quantity],C4986,RawData[Price Per Unit],D4986,RawData[Total Spent],E4986,RawData[Payment Method],F4986,RawData[Location],G4986,RawData[Transaction Date],H4986)</f>
        <v>1</v>
      </c>
      <c r="L4986"/>
    </row>
    <row r="4987" spans="1:12" x14ac:dyDescent="0.3">
      <c r="A4987" t="s">
        <v>4993</v>
      </c>
      <c r="B4987" t="s">
        <v>10013</v>
      </c>
      <c r="C4987">
        <v>1</v>
      </c>
      <c r="D4987">
        <v>4</v>
      </c>
      <c r="E4987">
        <v>4</v>
      </c>
      <c r="F4987" t="s">
        <v>10018</v>
      </c>
      <c r="G4987" t="s">
        <v>10069</v>
      </c>
      <c r="H4987" s="6">
        <v>45273</v>
      </c>
      <c r="I4987">
        <f t="shared" si="154"/>
        <v>1</v>
      </c>
      <c r="J4987" t="str">
        <f t="shared" si="155"/>
        <v>Complete</v>
      </c>
      <c r="K4987">
        <f>COUNTIFS(RawData[Item], B4987,RawData[Quantity],C4987,RawData[Price Per Unit],D4987,RawData[Total Spent],E4987,RawData[Payment Method],F4987,RawData[Location],G4987,RawData[Transaction Date],H4987)</f>
        <v>1</v>
      </c>
      <c r="L4987"/>
    </row>
    <row r="4988" spans="1:12" x14ac:dyDescent="0.3">
      <c r="A4988" t="s">
        <v>4994</v>
      </c>
      <c r="B4988" t="s">
        <v>10012</v>
      </c>
      <c r="C4988">
        <v>5</v>
      </c>
      <c r="D4988">
        <v>4</v>
      </c>
      <c r="E4988">
        <v>20</v>
      </c>
      <c r="F4988" t="s">
        <v>10018</v>
      </c>
      <c r="G4988" t="s">
        <v>10102</v>
      </c>
      <c r="H4988" s="6" t="s">
        <v>10112</v>
      </c>
      <c r="I4988">
        <f t="shared" si="154"/>
        <v>1</v>
      </c>
      <c r="J4988" t="str">
        <f t="shared" si="155"/>
        <v>Incomplete</v>
      </c>
      <c r="K4988">
        <f>COUNTIFS(RawData[Item], B4988,RawData[Quantity],C4988,RawData[Price Per Unit],D4988,RawData[Total Spent],E4988,RawData[Payment Method],F4988,RawData[Location],G4988,RawData[Transaction Date],H4988)</f>
        <v>1</v>
      </c>
      <c r="L4988"/>
    </row>
    <row r="4989" spans="1:12" x14ac:dyDescent="0.3">
      <c r="A4989" t="s">
        <v>4995</v>
      </c>
      <c r="B4989" t="s">
        <v>10011</v>
      </c>
      <c r="C4989">
        <v>3</v>
      </c>
      <c r="D4989">
        <v>5</v>
      </c>
      <c r="E4989">
        <v>15</v>
      </c>
      <c r="F4989" t="s">
        <v>10019</v>
      </c>
      <c r="G4989" t="s">
        <v>10021</v>
      </c>
      <c r="H4989" s="6">
        <v>45236</v>
      </c>
      <c r="I4989">
        <f t="shared" si="154"/>
        <v>0</v>
      </c>
      <c r="J4989" t="str">
        <f t="shared" si="155"/>
        <v>Complete</v>
      </c>
      <c r="K4989">
        <f>COUNTIFS(RawData[Item], B4989,RawData[Quantity],C4989,RawData[Price Per Unit],D4989,RawData[Total Spent],E4989,RawData[Payment Method],F4989,RawData[Location],G4989,RawData[Transaction Date],H4989)</f>
        <v>1</v>
      </c>
      <c r="L4989"/>
    </row>
    <row r="4990" spans="1:12" x14ac:dyDescent="0.3">
      <c r="A4990" t="s">
        <v>4996</v>
      </c>
      <c r="B4990" t="s">
        <v>10008</v>
      </c>
      <c r="C4990">
        <v>1</v>
      </c>
      <c r="D4990">
        <v>2</v>
      </c>
      <c r="E4990">
        <v>2</v>
      </c>
      <c r="F4990" t="s">
        <v>10018</v>
      </c>
      <c r="G4990" t="s">
        <v>10103</v>
      </c>
      <c r="H4990" s="6">
        <v>45037</v>
      </c>
      <c r="I4990">
        <f t="shared" si="154"/>
        <v>1</v>
      </c>
      <c r="J4990" t="str">
        <f t="shared" si="155"/>
        <v>Complete</v>
      </c>
      <c r="K4990">
        <f>COUNTIFS(RawData[Item], B4990,RawData[Quantity],C4990,RawData[Price Per Unit],D4990,RawData[Total Spent],E4990,RawData[Payment Method],F4990,RawData[Location],G4990,RawData[Transaction Date],H4990)</f>
        <v>1</v>
      </c>
      <c r="L4990"/>
    </row>
    <row r="4991" spans="1:12" x14ac:dyDescent="0.3">
      <c r="A4991" t="s">
        <v>4997</v>
      </c>
      <c r="B4991" t="s">
        <v>10012</v>
      </c>
      <c r="C4991">
        <v>5</v>
      </c>
      <c r="D4991">
        <v>4</v>
      </c>
      <c r="E4991">
        <v>20</v>
      </c>
      <c r="F4991" t="s">
        <v>10019</v>
      </c>
      <c r="G4991" t="s">
        <v>10069</v>
      </c>
      <c r="H4991" s="6">
        <v>45162</v>
      </c>
      <c r="I4991">
        <f t="shared" si="154"/>
        <v>0</v>
      </c>
      <c r="J4991" t="str">
        <f t="shared" si="155"/>
        <v>Complete</v>
      </c>
      <c r="K4991">
        <f>COUNTIFS(RawData[Item], B4991,RawData[Quantity],C4991,RawData[Price Per Unit],D4991,RawData[Total Spent],E4991,RawData[Payment Method],F4991,RawData[Location],G4991,RawData[Transaction Date],H4991)</f>
        <v>2</v>
      </c>
      <c r="L4991"/>
    </row>
    <row r="4992" spans="1:12" x14ac:dyDescent="0.3">
      <c r="A4992" t="s">
        <v>4998</v>
      </c>
      <c r="B4992" t="s">
        <v>10011</v>
      </c>
      <c r="C4992">
        <v>5</v>
      </c>
      <c r="D4992" t="s">
        <v>10015</v>
      </c>
      <c r="E4992">
        <v>25</v>
      </c>
      <c r="F4992" t="s">
        <v>10020</v>
      </c>
      <c r="G4992" t="s">
        <v>10069</v>
      </c>
      <c r="H4992" s="6">
        <v>44995</v>
      </c>
      <c r="I4992">
        <f t="shared" si="154"/>
        <v>1</v>
      </c>
      <c r="J4992" t="str">
        <f t="shared" si="155"/>
        <v>Complete</v>
      </c>
      <c r="K4992">
        <f>COUNTIFS(RawData[Item], B4992,RawData[Quantity],C4992,RawData[Price Per Unit],D4992,RawData[Total Spent],E4992,RawData[Payment Method],F4992,RawData[Location],G4992,RawData[Transaction Date],H4992)</f>
        <v>1</v>
      </c>
      <c r="L4992"/>
    </row>
    <row r="4993" spans="1:12" x14ac:dyDescent="0.3">
      <c r="A4993" t="s">
        <v>4999</v>
      </c>
      <c r="B4993" t="s">
        <v>10014</v>
      </c>
      <c r="C4993">
        <v>4</v>
      </c>
      <c r="D4993">
        <v>4</v>
      </c>
      <c r="E4993">
        <v>16</v>
      </c>
      <c r="F4993" t="s">
        <v>10020</v>
      </c>
      <c r="G4993" t="s">
        <v>10102</v>
      </c>
      <c r="H4993" s="6">
        <v>45098</v>
      </c>
      <c r="I4993">
        <f t="shared" si="154"/>
        <v>0</v>
      </c>
      <c r="J4993" t="str">
        <f t="shared" si="155"/>
        <v>Complete</v>
      </c>
      <c r="K4993">
        <f>COUNTIFS(RawData[Item], B4993,RawData[Quantity],C4993,RawData[Price Per Unit],D4993,RawData[Total Spent],E4993,RawData[Payment Method],F4993,RawData[Location],G4993,RawData[Transaction Date],H4993)</f>
        <v>1</v>
      </c>
      <c r="L4993"/>
    </row>
    <row r="4994" spans="1:12" x14ac:dyDescent="0.3">
      <c r="A4994" t="s">
        <v>5000</v>
      </c>
      <c r="B4994" t="s">
        <v>10011</v>
      </c>
      <c r="C4994">
        <v>2</v>
      </c>
      <c r="D4994">
        <v>5</v>
      </c>
      <c r="E4994">
        <v>10</v>
      </c>
      <c r="F4994" t="s">
        <v>10018</v>
      </c>
      <c r="G4994" t="s">
        <v>10104</v>
      </c>
      <c r="H4994" s="6">
        <v>45243</v>
      </c>
      <c r="I4994">
        <f t="shared" ref="I4994:I5057" si="156">(B4994="Unknown")+(B4994="Error")+(C4994="Unknown")+(C4994="Error")+(D4994="Unknown")+(D4994="Error")+(E4994="Unknown")+(E4994="Error")+(F4994="Unknown")+(F4994="Error")+(G4994="Unknown")+(G4994="Error")+(H4994="No Date")</f>
        <v>1</v>
      </c>
      <c r="J4994" t="str">
        <f t="shared" ref="J4994:J5057" si="157">IF((H4994="No Date"),"Incomplete","Complete")</f>
        <v>Complete</v>
      </c>
      <c r="K4994">
        <f>COUNTIFS(RawData[Item], B4994,RawData[Quantity],C4994,RawData[Price Per Unit],D4994,RawData[Total Spent],E4994,RawData[Payment Method],F4994,RawData[Location],G4994,RawData[Transaction Date],H4994)</f>
        <v>1</v>
      </c>
      <c r="L4994"/>
    </row>
    <row r="4995" spans="1:12" x14ac:dyDescent="0.3">
      <c r="A4995" t="s">
        <v>5001</v>
      </c>
      <c r="B4995" t="s">
        <v>10012</v>
      </c>
      <c r="C4995">
        <v>3</v>
      </c>
      <c r="D4995">
        <v>4</v>
      </c>
      <c r="E4995">
        <v>12</v>
      </c>
      <c r="F4995" t="s">
        <v>10069</v>
      </c>
      <c r="G4995" t="s">
        <v>10104</v>
      </c>
      <c r="H4995" s="6">
        <v>44977</v>
      </c>
      <c r="I4995">
        <f t="shared" si="156"/>
        <v>1</v>
      </c>
      <c r="J4995" t="str">
        <f t="shared" si="157"/>
        <v>Complete</v>
      </c>
      <c r="K4995">
        <f>COUNTIFS(RawData[Item], B4995,RawData[Quantity],C4995,RawData[Price Per Unit],D4995,RawData[Total Spent],E4995,RawData[Payment Method],F4995,RawData[Location],G4995,RawData[Transaction Date],H4995)</f>
        <v>1</v>
      </c>
      <c r="L4995"/>
    </row>
    <row r="4996" spans="1:12" x14ac:dyDescent="0.3">
      <c r="A4996" t="s">
        <v>5002</v>
      </c>
      <c r="B4996" t="s">
        <v>10010</v>
      </c>
      <c r="C4996">
        <v>0</v>
      </c>
      <c r="D4996">
        <v>1</v>
      </c>
      <c r="E4996">
        <v>4</v>
      </c>
      <c r="F4996" t="s">
        <v>10018</v>
      </c>
      <c r="G4996" t="s">
        <v>10021</v>
      </c>
      <c r="H4996" s="6">
        <v>44964</v>
      </c>
      <c r="I4996">
        <f t="shared" si="156"/>
        <v>0</v>
      </c>
      <c r="J4996" t="str">
        <f t="shared" si="157"/>
        <v>Complete</v>
      </c>
      <c r="K4996">
        <f>COUNTIFS(RawData[Item], B4996,RawData[Quantity],C4996,RawData[Price Per Unit],D4996,RawData[Total Spent],E4996,RawData[Payment Method],F4996,RawData[Location],G4996,RawData[Transaction Date],H4996)</f>
        <v>1</v>
      </c>
      <c r="L4996"/>
    </row>
    <row r="4997" spans="1:12" x14ac:dyDescent="0.3">
      <c r="A4997" t="s">
        <v>5003</v>
      </c>
      <c r="B4997" t="s">
        <v>10069</v>
      </c>
      <c r="C4997">
        <v>3</v>
      </c>
      <c r="D4997">
        <v>4</v>
      </c>
      <c r="E4997">
        <v>12</v>
      </c>
      <c r="F4997" t="s">
        <v>10019</v>
      </c>
      <c r="G4997" t="s">
        <v>10021</v>
      </c>
      <c r="H4997" s="6">
        <v>45169</v>
      </c>
      <c r="I4997">
        <f t="shared" si="156"/>
        <v>0</v>
      </c>
      <c r="J4997" t="str">
        <f t="shared" si="157"/>
        <v>Complete</v>
      </c>
      <c r="K4997">
        <f>COUNTIFS(RawData[Item], B4997,RawData[Quantity],C4997,RawData[Price Per Unit],D4997,RawData[Total Spent],E4997,RawData[Payment Method],F4997,RawData[Location],G4997,RawData[Transaction Date],H4997)</f>
        <v>1</v>
      </c>
      <c r="L4997"/>
    </row>
    <row r="4998" spans="1:12" x14ac:dyDescent="0.3">
      <c r="A4998" t="s">
        <v>5004</v>
      </c>
      <c r="B4998" t="s">
        <v>10014</v>
      </c>
      <c r="C4998">
        <v>1</v>
      </c>
      <c r="D4998">
        <v>4</v>
      </c>
      <c r="E4998">
        <v>4</v>
      </c>
      <c r="F4998" t="s">
        <v>10020</v>
      </c>
      <c r="G4998" t="s">
        <v>10069</v>
      </c>
      <c r="H4998" s="6">
        <v>44930</v>
      </c>
      <c r="I4998">
        <f t="shared" si="156"/>
        <v>0</v>
      </c>
      <c r="J4998" t="str">
        <f t="shared" si="157"/>
        <v>Complete</v>
      </c>
      <c r="K4998">
        <f>COUNTIFS(RawData[Item], B4998,RawData[Quantity],C4998,RawData[Price Per Unit],D4998,RawData[Total Spent],E4998,RawData[Payment Method],F4998,RawData[Location],G4998,RawData[Transaction Date],H4998)</f>
        <v>1</v>
      </c>
      <c r="L4998"/>
    </row>
    <row r="4999" spans="1:12" x14ac:dyDescent="0.3">
      <c r="A4999" t="s">
        <v>5005</v>
      </c>
      <c r="B4999" t="s">
        <v>10011</v>
      </c>
      <c r="C4999">
        <v>2</v>
      </c>
      <c r="D4999">
        <v>5</v>
      </c>
      <c r="E4999">
        <v>10</v>
      </c>
      <c r="F4999" t="s">
        <v>10019</v>
      </c>
      <c r="G4999" t="s">
        <v>10021</v>
      </c>
      <c r="H4999" s="6">
        <v>45124</v>
      </c>
      <c r="I4999">
        <f t="shared" si="156"/>
        <v>0</v>
      </c>
      <c r="J4999" t="str">
        <f t="shared" si="157"/>
        <v>Complete</v>
      </c>
      <c r="K4999">
        <f>COUNTIFS(RawData[Item], B4999,RawData[Quantity],C4999,RawData[Price Per Unit],D4999,RawData[Total Spent],E4999,RawData[Payment Method],F4999,RawData[Location],G4999,RawData[Transaction Date],H4999)</f>
        <v>1</v>
      </c>
      <c r="L4999"/>
    </row>
    <row r="5000" spans="1:12" x14ac:dyDescent="0.3">
      <c r="A5000" t="s">
        <v>5006</v>
      </c>
      <c r="B5000" t="s">
        <v>10015</v>
      </c>
      <c r="C5000">
        <v>3</v>
      </c>
      <c r="D5000">
        <v>2</v>
      </c>
      <c r="E5000">
        <v>6</v>
      </c>
      <c r="F5000" t="s">
        <v>10018</v>
      </c>
      <c r="G5000" t="s">
        <v>10069</v>
      </c>
      <c r="H5000" s="6">
        <v>45189</v>
      </c>
      <c r="I5000">
        <f t="shared" si="156"/>
        <v>1</v>
      </c>
      <c r="J5000" t="str">
        <f t="shared" si="157"/>
        <v>Complete</v>
      </c>
      <c r="K5000">
        <f>COUNTIFS(RawData[Item], B5000,RawData[Quantity],C5000,RawData[Price Per Unit],D5000,RawData[Total Spent],E5000,RawData[Payment Method],F5000,RawData[Location],G5000,RawData[Transaction Date],H5000)</f>
        <v>1</v>
      </c>
      <c r="L5000"/>
    </row>
    <row r="5001" spans="1:12" x14ac:dyDescent="0.3">
      <c r="A5001" t="s">
        <v>5007</v>
      </c>
      <c r="B5001" t="s">
        <v>10012</v>
      </c>
      <c r="C5001">
        <v>5</v>
      </c>
      <c r="D5001">
        <v>0</v>
      </c>
      <c r="E5001">
        <v>20</v>
      </c>
      <c r="F5001" t="s">
        <v>10069</v>
      </c>
      <c r="G5001" t="s">
        <v>10069</v>
      </c>
      <c r="H5001" s="6">
        <v>45063</v>
      </c>
      <c r="I5001">
        <f t="shared" si="156"/>
        <v>0</v>
      </c>
      <c r="J5001" t="str">
        <f t="shared" si="157"/>
        <v>Complete</v>
      </c>
      <c r="K5001">
        <f>COUNTIFS(RawData[Item], B5001,RawData[Quantity],C5001,RawData[Price Per Unit],D5001,RawData[Total Spent],E5001,RawData[Payment Method],F5001,RawData[Location],G5001,RawData[Transaction Date],H5001)</f>
        <v>1</v>
      </c>
      <c r="L5001"/>
    </row>
    <row r="5002" spans="1:12" x14ac:dyDescent="0.3">
      <c r="A5002" t="s">
        <v>5008</v>
      </c>
      <c r="B5002" t="s">
        <v>10012</v>
      </c>
      <c r="C5002">
        <v>3</v>
      </c>
      <c r="D5002">
        <v>4</v>
      </c>
      <c r="E5002">
        <v>12</v>
      </c>
      <c r="F5002" t="s">
        <v>10018</v>
      </c>
      <c r="G5002" t="s">
        <v>10021</v>
      </c>
      <c r="H5002" s="6">
        <v>45114</v>
      </c>
      <c r="I5002">
        <f t="shared" si="156"/>
        <v>0</v>
      </c>
      <c r="J5002" t="str">
        <f t="shared" si="157"/>
        <v>Complete</v>
      </c>
      <c r="K5002">
        <f>COUNTIFS(RawData[Item], B5002,RawData[Quantity],C5002,RawData[Price Per Unit],D5002,RawData[Total Spent],E5002,RawData[Payment Method],F5002,RawData[Location],G5002,RawData[Transaction Date],H5002)</f>
        <v>1</v>
      </c>
      <c r="L5002"/>
    </row>
    <row r="5003" spans="1:12" x14ac:dyDescent="0.3">
      <c r="A5003" t="s">
        <v>5009</v>
      </c>
      <c r="B5003" t="s">
        <v>10016</v>
      </c>
      <c r="C5003">
        <v>2</v>
      </c>
      <c r="D5003" t="s">
        <v>10015</v>
      </c>
      <c r="E5003">
        <v>6</v>
      </c>
      <c r="F5003" t="s">
        <v>10020</v>
      </c>
      <c r="G5003" t="s">
        <v>10021</v>
      </c>
      <c r="H5003" s="6">
        <v>44972</v>
      </c>
      <c r="I5003">
        <f t="shared" si="156"/>
        <v>1</v>
      </c>
      <c r="J5003" t="str">
        <f t="shared" si="157"/>
        <v>Complete</v>
      </c>
      <c r="K5003">
        <f>COUNTIFS(RawData[Item], B5003,RawData[Quantity],C5003,RawData[Price Per Unit],D5003,RawData[Total Spent],E5003,RawData[Payment Method],F5003,RawData[Location],G5003,RawData[Transaction Date],H5003)</f>
        <v>1</v>
      </c>
      <c r="L5003"/>
    </row>
    <row r="5004" spans="1:12" x14ac:dyDescent="0.3">
      <c r="A5004" t="s">
        <v>5010</v>
      </c>
      <c r="B5004" t="s">
        <v>10008</v>
      </c>
      <c r="C5004">
        <v>2</v>
      </c>
      <c r="D5004">
        <v>2</v>
      </c>
      <c r="E5004">
        <v>4</v>
      </c>
      <c r="F5004" t="s">
        <v>10069</v>
      </c>
      <c r="G5004" t="s">
        <v>10021</v>
      </c>
      <c r="H5004" s="6">
        <v>45034</v>
      </c>
      <c r="I5004">
        <f t="shared" si="156"/>
        <v>0</v>
      </c>
      <c r="J5004" t="str">
        <f t="shared" si="157"/>
        <v>Complete</v>
      </c>
      <c r="K5004">
        <f>COUNTIFS(RawData[Item], B5004,RawData[Quantity],C5004,RawData[Price Per Unit],D5004,RawData[Total Spent],E5004,RawData[Payment Method],F5004,RawData[Location],G5004,RawData[Transaction Date],H5004)</f>
        <v>1</v>
      </c>
      <c r="L5004"/>
    </row>
    <row r="5005" spans="1:12" x14ac:dyDescent="0.3">
      <c r="A5005" t="s">
        <v>5011</v>
      </c>
      <c r="B5005" t="s">
        <v>10010</v>
      </c>
      <c r="C5005">
        <v>2</v>
      </c>
      <c r="D5005">
        <v>1</v>
      </c>
      <c r="E5005">
        <v>2</v>
      </c>
      <c r="F5005" t="s">
        <v>10020</v>
      </c>
      <c r="G5005" t="s">
        <v>10102</v>
      </c>
      <c r="H5005" s="6" t="s">
        <v>10112</v>
      </c>
      <c r="I5005">
        <f t="shared" si="156"/>
        <v>1</v>
      </c>
      <c r="J5005" t="str">
        <f t="shared" si="157"/>
        <v>Incomplete</v>
      </c>
      <c r="K5005">
        <f>COUNTIFS(RawData[Item], B5005,RawData[Quantity],C5005,RawData[Price Per Unit],D5005,RawData[Total Spent],E5005,RawData[Payment Method],F5005,RawData[Location],G5005,RawData[Transaction Date],H5005)</f>
        <v>1</v>
      </c>
      <c r="L5005"/>
    </row>
    <row r="5006" spans="1:12" x14ac:dyDescent="0.3">
      <c r="A5006" t="s">
        <v>5012</v>
      </c>
      <c r="B5006" t="s">
        <v>10008</v>
      </c>
      <c r="C5006">
        <v>1</v>
      </c>
      <c r="D5006">
        <v>2</v>
      </c>
      <c r="E5006">
        <v>2</v>
      </c>
      <c r="F5006" t="s">
        <v>10069</v>
      </c>
      <c r="G5006" t="s">
        <v>10102</v>
      </c>
      <c r="H5006" s="6">
        <v>45011</v>
      </c>
      <c r="I5006">
        <f t="shared" si="156"/>
        <v>0</v>
      </c>
      <c r="J5006" t="str">
        <f t="shared" si="157"/>
        <v>Complete</v>
      </c>
      <c r="K5006">
        <f>COUNTIFS(RawData[Item], B5006,RawData[Quantity],C5006,RawData[Price Per Unit],D5006,RawData[Total Spent],E5006,RawData[Payment Method],F5006,RawData[Location],G5006,RawData[Transaction Date],H5006)</f>
        <v>1</v>
      </c>
      <c r="L5006"/>
    </row>
    <row r="5007" spans="1:12" x14ac:dyDescent="0.3">
      <c r="A5007" t="s">
        <v>5013</v>
      </c>
      <c r="B5007" t="s">
        <v>10017</v>
      </c>
      <c r="C5007">
        <v>5</v>
      </c>
      <c r="D5007" t="s">
        <v>10013</v>
      </c>
      <c r="E5007">
        <v>7.5</v>
      </c>
      <c r="F5007" t="s">
        <v>10020</v>
      </c>
      <c r="G5007" t="s">
        <v>10069</v>
      </c>
      <c r="H5007" s="6">
        <v>45286</v>
      </c>
      <c r="I5007">
        <f t="shared" si="156"/>
        <v>1</v>
      </c>
      <c r="J5007" t="str">
        <f t="shared" si="157"/>
        <v>Complete</v>
      </c>
      <c r="K5007">
        <f>COUNTIFS(RawData[Item], B5007,RawData[Quantity],C5007,RawData[Price Per Unit],D5007,RawData[Total Spent],E5007,RawData[Payment Method],F5007,RawData[Location],G5007,RawData[Transaction Date],H5007)</f>
        <v>1</v>
      </c>
      <c r="L5007"/>
    </row>
    <row r="5008" spans="1:12" x14ac:dyDescent="0.3">
      <c r="A5008" t="s">
        <v>5014</v>
      </c>
      <c r="B5008" t="s">
        <v>10014</v>
      </c>
      <c r="C5008">
        <v>4</v>
      </c>
      <c r="D5008">
        <v>4</v>
      </c>
      <c r="E5008">
        <v>16</v>
      </c>
      <c r="F5008" t="s">
        <v>10069</v>
      </c>
      <c r="G5008" t="s">
        <v>10021</v>
      </c>
      <c r="H5008" s="6">
        <v>45178</v>
      </c>
      <c r="I5008">
        <f t="shared" si="156"/>
        <v>0</v>
      </c>
      <c r="J5008" t="str">
        <f t="shared" si="157"/>
        <v>Complete</v>
      </c>
      <c r="K5008">
        <f>COUNTIFS(RawData[Item], B5008,RawData[Quantity],C5008,RawData[Price Per Unit],D5008,RawData[Total Spent],E5008,RawData[Payment Method],F5008,RawData[Location],G5008,RawData[Transaction Date],H5008)</f>
        <v>1</v>
      </c>
      <c r="L5008"/>
    </row>
    <row r="5009" spans="1:12" x14ac:dyDescent="0.3">
      <c r="A5009" t="s">
        <v>5015</v>
      </c>
      <c r="B5009" t="s">
        <v>10010</v>
      </c>
      <c r="C5009">
        <v>4</v>
      </c>
      <c r="D5009">
        <v>1</v>
      </c>
      <c r="E5009">
        <v>4</v>
      </c>
      <c r="F5009" t="s">
        <v>10019</v>
      </c>
      <c r="G5009" t="s">
        <v>10102</v>
      </c>
      <c r="H5009" s="6">
        <v>45215</v>
      </c>
      <c r="I5009">
        <f t="shared" si="156"/>
        <v>0</v>
      </c>
      <c r="J5009" t="str">
        <f t="shared" si="157"/>
        <v>Complete</v>
      </c>
      <c r="K5009">
        <f>COUNTIFS(RawData[Item], B5009,RawData[Quantity],C5009,RawData[Price Per Unit],D5009,RawData[Total Spent],E5009,RawData[Payment Method],F5009,RawData[Location],G5009,RawData[Transaction Date],H5009)</f>
        <v>1</v>
      </c>
      <c r="L5009"/>
    </row>
    <row r="5010" spans="1:12" x14ac:dyDescent="0.3">
      <c r="A5010" t="s">
        <v>5016</v>
      </c>
      <c r="B5010" t="s">
        <v>10009</v>
      </c>
      <c r="C5010">
        <v>5</v>
      </c>
      <c r="D5010">
        <v>3</v>
      </c>
      <c r="E5010">
        <v>15</v>
      </c>
      <c r="F5010" t="s">
        <v>10020</v>
      </c>
      <c r="G5010" t="s">
        <v>10102</v>
      </c>
      <c r="H5010" s="6">
        <v>45132</v>
      </c>
      <c r="I5010">
        <f t="shared" si="156"/>
        <v>0</v>
      </c>
      <c r="J5010" t="str">
        <f t="shared" si="157"/>
        <v>Complete</v>
      </c>
      <c r="K5010">
        <f>COUNTIFS(RawData[Item], B5010,RawData[Quantity],C5010,RawData[Price Per Unit],D5010,RawData[Total Spent],E5010,RawData[Payment Method],F5010,RawData[Location],G5010,RawData[Transaction Date],H5010)</f>
        <v>1</v>
      </c>
      <c r="L5010"/>
    </row>
    <row r="5011" spans="1:12" x14ac:dyDescent="0.3">
      <c r="A5011" t="s">
        <v>5017</v>
      </c>
      <c r="B5011" t="s">
        <v>10017</v>
      </c>
      <c r="C5011">
        <v>4</v>
      </c>
      <c r="D5011">
        <v>1.5</v>
      </c>
      <c r="E5011">
        <v>6</v>
      </c>
      <c r="F5011" t="s">
        <v>10104</v>
      </c>
      <c r="G5011" t="s">
        <v>10102</v>
      </c>
      <c r="H5011" s="6">
        <v>45194</v>
      </c>
      <c r="I5011">
        <f t="shared" si="156"/>
        <v>1</v>
      </c>
      <c r="J5011" t="str">
        <f t="shared" si="157"/>
        <v>Complete</v>
      </c>
      <c r="K5011">
        <f>COUNTIFS(RawData[Item], B5011,RawData[Quantity],C5011,RawData[Price Per Unit],D5011,RawData[Total Spent],E5011,RawData[Payment Method],F5011,RawData[Location],G5011,RawData[Transaction Date],H5011)</f>
        <v>1</v>
      </c>
      <c r="L5011"/>
    </row>
    <row r="5012" spans="1:12" x14ac:dyDescent="0.3">
      <c r="A5012" t="s">
        <v>5018</v>
      </c>
      <c r="B5012" t="s">
        <v>10016</v>
      </c>
      <c r="C5012">
        <v>4</v>
      </c>
      <c r="D5012">
        <v>3</v>
      </c>
      <c r="E5012">
        <v>12</v>
      </c>
      <c r="F5012" t="s">
        <v>10069</v>
      </c>
      <c r="G5012" t="s">
        <v>10102</v>
      </c>
      <c r="H5012" s="6">
        <v>45282</v>
      </c>
      <c r="I5012">
        <f t="shared" si="156"/>
        <v>0</v>
      </c>
      <c r="J5012" t="str">
        <f t="shared" si="157"/>
        <v>Complete</v>
      </c>
      <c r="K5012">
        <f>COUNTIFS(RawData[Item], B5012,RawData[Quantity],C5012,RawData[Price Per Unit],D5012,RawData[Total Spent],E5012,RawData[Payment Method],F5012,RawData[Location],G5012,RawData[Transaction Date],H5012)</f>
        <v>1</v>
      </c>
      <c r="L5012"/>
    </row>
    <row r="5013" spans="1:12" x14ac:dyDescent="0.3">
      <c r="A5013" t="s">
        <v>5019</v>
      </c>
      <c r="B5013" t="s">
        <v>10011</v>
      </c>
      <c r="C5013">
        <v>1</v>
      </c>
      <c r="D5013">
        <v>0</v>
      </c>
      <c r="E5013">
        <v>5</v>
      </c>
      <c r="F5013" t="s">
        <v>10018</v>
      </c>
      <c r="G5013" t="s">
        <v>10102</v>
      </c>
      <c r="H5013" s="6">
        <v>44946</v>
      </c>
      <c r="I5013">
        <f t="shared" si="156"/>
        <v>0</v>
      </c>
      <c r="J5013" t="str">
        <f t="shared" si="157"/>
        <v>Complete</v>
      </c>
      <c r="K5013">
        <f>COUNTIFS(RawData[Item], B5013,RawData[Quantity],C5013,RawData[Price Per Unit],D5013,RawData[Total Spent],E5013,RawData[Payment Method],F5013,RawData[Location],G5013,RawData[Transaction Date],H5013)</f>
        <v>1</v>
      </c>
      <c r="L5013"/>
    </row>
    <row r="5014" spans="1:12" x14ac:dyDescent="0.3">
      <c r="A5014" t="s">
        <v>5020</v>
      </c>
      <c r="B5014" t="s">
        <v>10016</v>
      </c>
      <c r="C5014">
        <v>1</v>
      </c>
      <c r="D5014">
        <v>3</v>
      </c>
      <c r="E5014">
        <v>3</v>
      </c>
      <c r="F5014" t="s">
        <v>10019</v>
      </c>
      <c r="G5014" t="s">
        <v>10102</v>
      </c>
      <c r="H5014" s="6">
        <v>45284</v>
      </c>
      <c r="I5014">
        <f t="shared" si="156"/>
        <v>0</v>
      </c>
      <c r="J5014" t="str">
        <f t="shared" si="157"/>
        <v>Complete</v>
      </c>
      <c r="K5014">
        <f>COUNTIFS(RawData[Item], B5014,RawData[Quantity],C5014,RawData[Price Per Unit],D5014,RawData[Total Spent],E5014,RawData[Payment Method],F5014,RawData[Location],G5014,RawData[Transaction Date],H5014)</f>
        <v>1</v>
      </c>
      <c r="L5014"/>
    </row>
    <row r="5015" spans="1:12" x14ac:dyDescent="0.3">
      <c r="A5015" t="s">
        <v>5021</v>
      </c>
      <c r="B5015" t="s">
        <v>10015</v>
      </c>
      <c r="C5015" t="s">
        <v>10015</v>
      </c>
      <c r="D5015">
        <v>2</v>
      </c>
      <c r="E5015">
        <v>2</v>
      </c>
      <c r="F5015" t="s">
        <v>10018</v>
      </c>
      <c r="G5015" t="s">
        <v>10069</v>
      </c>
      <c r="H5015" s="6">
        <v>45114</v>
      </c>
      <c r="I5015">
        <f t="shared" si="156"/>
        <v>2</v>
      </c>
      <c r="J5015" t="str">
        <f t="shared" si="157"/>
        <v>Complete</v>
      </c>
      <c r="K5015">
        <f>COUNTIFS(RawData[Item], B5015,RawData[Quantity],C5015,RawData[Price Per Unit],D5015,RawData[Total Spent],E5015,RawData[Payment Method],F5015,RawData[Location],G5015,RawData[Transaction Date],H5015)</f>
        <v>1</v>
      </c>
      <c r="L5015"/>
    </row>
    <row r="5016" spans="1:12" x14ac:dyDescent="0.3">
      <c r="A5016" t="s">
        <v>5022</v>
      </c>
      <c r="B5016" t="s">
        <v>10069</v>
      </c>
      <c r="C5016">
        <v>3</v>
      </c>
      <c r="D5016">
        <v>3</v>
      </c>
      <c r="E5016">
        <v>9</v>
      </c>
      <c r="F5016" t="s">
        <v>10019</v>
      </c>
      <c r="G5016" t="s">
        <v>10069</v>
      </c>
      <c r="H5016" s="6">
        <v>45192</v>
      </c>
      <c r="I5016">
        <f t="shared" si="156"/>
        <v>0</v>
      </c>
      <c r="J5016" t="str">
        <f t="shared" si="157"/>
        <v>Complete</v>
      </c>
      <c r="K5016">
        <f>COUNTIFS(RawData[Item], B5016,RawData[Quantity],C5016,RawData[Price Per Unit],D5016,RawData[Total Spent],E5016,RawData[Payment Method],F5016,RawData[Location],G5016,RawData[Transaction Date],H5016)</f>
        <v>1</v>
      </c>
      <c r="L5016"/>
    </row>
    <row r="5017" spans="1:12" x14ac:dyDescent="0.3">
      <c r="A5017" t="s">
        <v>5023</v>
      </c>
      <c r="B5017" t="s">
        <v>10011</v>
      </c>
      <c r="C5017">
        <v>1</v>
      </c>
      <c r="D5017">
        <v>5</v>
      </c>
      <c r="E5017">
        <v>5</v>
      </c>
      <c r="F5017" t="s">
        <v>10018</v>
      </c>
      <c r="G5017" t="s">
        <v>10069</v>
      </c>
      <c r="H5017" s="6">
        <v>45006</v>
      </c>
      <c r="I5017">
        <f t="shared" si="156"/>
        <v>0</v>
      </c>
      <c r="J5017" t="str">
        <f t="shared" si="157"/>
        <v>Complete</v>
      </c>
      <c r="K5017">
        <f>COUNTIFS(RawData[Item], B5017,RawData[Quantity],C5017,RawData[Price Per Unit],D5017,RawData[Total Spent],E5017,RawData[Payment Method],F5017,RawData[Location],G5017,RawData[Transaction Date],H5017)</f>
        <v>1</v>
      </c>
      <c r="L5017"/>
    </row>
    <row r="5018" spans="1:12" x14ac:dyDescent="0.3">
      <c r="A5018" t="s">
        <v>5024</v>
      </c>
      <c r="B5018" t="s">
        <v>10010</v>
      </c>
      <c r="C5018">
        <v>5</v>
      </c>
      <c r="D5018">
        <v>1</v>
      </c>
      <c r="E5018">
        <v>5</v>
      </c>
      <c r="F5018" t="s">
        <v>10019</v>
      </c>
      <c r="G5018" t="s">
        <v>10069</v>
      </c>
      <c r="H5018" s="6">
        <v>44969</v>
      </c>
      <c r="I5018">
        <f t="shared" si="156"/>
        <v>0</v>
      </c>
      <c r="J5018" t="str">
        <f t="shared" si="157"/>
        <v>Complete</v>
      </c>
      <c r="K5018">
        <f>COUNTIFS(RawData[Item], B5018,RawData[Quantity],C5018,RawData[Price Per Unit],D5018,RawData[Total Spent],E5018,RawData[Payment Method],F5018,RawData[Location],G5018,RawData[Transaction Date],H5018)</f>
        <v>1</v>
      </c>
      <c r="L5018"/>
    </row>
    <row r="5019" spans="1:12" x14ac:dyDescent="0.3">
      <c r="A5019" t="s">
        <v>5025</v>
      </c>
      <c r="B5019" t="s">
        <v>10012</v>
      </c>
      <c r="C5019">
        <v>1</v>
      </c>
      <c r="D5019">
        <v>4</v>
      </c>
      <c r="E5019">
        <v>4</v>
      </c>
      <c r="F5019" t="s">
        <v>10020</v>
      </c>
      <c r="G5019" t="s">
        <v>10069</v>
      </c>
      <c r="H5019" s="6">
        <v>45073</v>
      </c>
      <c r="I5019">
        <f t="shared" si="156"/>
        <v>0</v>
      </c>
      <c r="J5019" t="str">
        <f t="shared" si="157"/>
        <v>Complete</v>
      </c>
      <c r="K5019">
        <f>COUNTIFS(RawData[Item], B5019,RawData[Quantity],C5019,RawData[Price Per Unit],D5019,RawData[Total Spent],E5019,RawData[Payment Method],F5019,RawData[Location],G5019,RawData[Transaction Date],H5019)</f>
        <v>1</v>
      </c>
      <c r="L5019"/>
    </row>
    <row r="5020" spans="1:12" x14ac:dyDescent="0.3">
      <c r="A5020" t="s">
        <v>5026</v>
      </c>
      <c r="B5020" t="s">
        <v>10009</v>
      </c>
      <c r="C5020">
        <v>3</v>
      </c>
      <c r="D5020">
        <v>3</v>
      </c>
      <c r="E5020">
        <v>9</v>
      </c>
      <c r="F5020" t="s">
        <v>10069</v>
      </c>
      <c r="G5020" t="s">
        <v>10104</v>
      </c>
      <c r="H5020" s="6">
        <v>45199</v>
      </c>
      <c r="I5020">
        <f t="shared" si="156"/>
        <v>1</v>
      </c>
      <c r="J5020" t="str">
        <f t="shared" si="157"/>
        <v>Complete</v>
      </c>
      <c r="K5020">
        <f>COUNTIFS(RawData[Item], B5020,RawData[Quantity],C5020,RawData[Price Per Unit],D5020,RawData[Total Spent],E5020,RawData[Payment Method],F5020,RawData[Location],G5020,RawData[Transaction Date],H5020)</f>
        <v>1</v>
      </c>
      <c r="L5020"/>
    </row>
    <row r="5021" spans="1:12" x14ac:dyDescent="0.3">
      <c r="A5021" t="s">
        <v>5027</v>
      </c>
      <c r="B5021" t="s">
        <v>10011</v>
      </c>
      <c r="C5021">
        <v>4</v>
      </c>
      <c r="D5021">
        <v>5</v>
      </c>
      <c r="E5021">
        <v>20</v>
      </c>
      <c r="F5021" t="s">
        <v>10069</v>
      </c>
      <c r="G5021" t="s">
        <v>10102</v>
      </c>
      <c r="H5021" s="6">
        <v>45015</v>
      </c>
      <c r="I5021">
        <f t="shared" si="156"/>
        <v>0</v>
      </c>
      <c r="J5021" t="str">
        <f t="shared" si="157"/>
        <v>Complete</v>
      </c>
      <c r="K5021">
        <f>COUNTIFS(RawData[Item], B5021,RawData[Quantity],C5021,RawData[Price Per Unit],D5021,RawData[Total Spent],E5021,RawData[Payment Method],F5021,RawData[Location],G5021,RawData[Transaction Date],H5021)</f>
        <v>1</v>
      </c>
      <c r="L5021"/>
    </row>
    <row r="5022" spans="1:12" x14ac:dyDescent="0.3">
      <c r="A5022" t="s">
        <v>5028</v>
      </c>
      <c r="B5022" t="s">
        <v>10016</v>
      </c>
      <c r="C5022">
        <v>2</v>
      </c>
      <c r="D5022">
        <v>3</v>
      </c>
      <c r="E5022">
        <v>6</v>
      </c>
      <c r="F5022" t="s">
        <v>10019</v>
      </c>
      <c r="G5022" t="s">
        <v>10069</v>
      </c>
      <c r="H5022" s="6">
        <v>45096</v>
      </c>
      <c r="I5022">
        <f t="shared" si="156"/>
        <v>0</v>
      </c>
      <c r="J5022" t="str">
        <f t="shared" si="157"/>
        <v>Complete</v>
      </c>
      <c r="K5022">
        <f>COUNTIFS(RawData[Item], B5022,RawData[Quantity],C5022,RawData[Price Per Unit],D5022,RawData[Total Spent],E5022,RawData[Payment Method],F5022,RawData[Location],G5022,RawData[Transaction Date],H5022)</f>
        <v>1</v>
      </c>
      <c r="L5022"/>
    </row>
    <row r="5023" spans="1:12" x14ac:dyDescent="0.3">
      <c r="A5023" t="s">
        <v>5029</v>
      </c>
      <c r="B5023" t="s">
        <v>10016</v>
      </c>
      <c r="C5023">
        <v>4</v>
      </c>
      <c r="D5023">
        <v>3</v>
      </c>
      <c r="E5023">
        <v>12</v>
      </c>
      <c r="F5023" t="s">
        <v>10020</v>
      </c>
      <c r="G5023" t="s">
        <v>10021</v>
      </c>
      <c r="H5023" s="6">
        <v>45175</v>
      </c>
      <c r="I5023">
        <f t="shared" si="156"/>
        <v>0</v>
      </c>
      <c r="J5023" t="str">
        <f t="shared" si="157"/>
        <v>Complete</v>
      </c>
      <c r="K5023">
        <f>COUNTIFS(RawData[Item], B5023,RawData[Quantity],C5023,RawData[Price Per Unit],D5023,RawData[Total Spent],E5023,RawData[Payment Method],F5023,RawData[Location],G5023,RawData[Transaction Date],H5023)</f>
        <v>1</v>
      </c>
      <c r="L5023"/>
    </row>
    <row r="5024" spans="1:12" x14ac:dyDescent="0.3">
      <c r="A5024" t="s">
        <v>5030</v>
      </c>
      <c r="B5024" t="s">
        <v>10014</v>
      </c>
      <c r="C5024">
        <v>2</v>
      </c>
      <c r="D5024">
        <v>4</v>
      </c>
      <c r="E5024" t="s">
        <v>10015</v>
      </c>
      <c r="F5024" t="s">
        <v>10018</v>
      </c>
      <c r="G5024" t="s">
        <v>10021</v>
      </c>
      <c r="H5024" s="6">
        <v>45128</v>
      </c>
      <c r="I5024">
        <f t="shared" si="156"/>
        <v>1</v>
      </c>
      <c r="J5024" t="str">
        <f t="shared" si="157"/>
        <v>Complete</v>
      </c>
      <c r="K5024">
        <f>COUNTIFS(RawData[Item], B5024,RawData[Quantity],C5024,RawData[Price Per Unit],D5024,RawData[Total Spent],E5024,RawData[Payment Method],F5024,RawData[Location],G5024,RawData[Transaction Date],H5024)</f>
        <v>1</v>
      </c>
      <c r="L5024"/>
    </row>
    <row r="5025" spans="1:12" x14ac:dyDescent="0.3">
      <c r="A5025" t="s">
        <v>5031</v>
      </c>
      <c r="B5025" t="s">
        <v>10010</v>
      </c>
      <c r="C5025">
        <v>2</v>
      </c>
      <c r="D5025">
        <v>1</v>
      </c>
      <c r="E5025">
        <v>2</v>
      </c>
      <c r="F5025" t="s">
        <v>10069</v>
      </c>
      <c r="G5025" t="s">
        <v>10069</v>
      </c>
      <c r="H5025" s="6">
        <v>45278</v>
      </c>
      <c r="I5025">
        <f t="shared" si="156"/>
        <v>0</v>
      </c>
      <c r="J5025" t="str">
        <f t="shared" si="157"/>
        <v>Complete</v>
      </c>
      <c r="K5025">
        <f>COUNTIFS(RawData[Item], B5025,RawData[Quantity],C5025,RawData[Price Per Unit],D5025,RawData[Total Spent],E5025,RawData[Payment Method],F5025,RawData[Location],G5025,RawData[Transaction Date],H5025)</f>
        <v>1</v>
      </c>
      <c r="L5025"/>
    </row>
    <row r="5026" spans="1:12" x14ac:dyDescent="0.3">
      <c r="A5026" t="s">
        <v>5032</v>
      </c>
      <c r="B5026" t="s">
        <v>10012</v>
      </c>
      <c r="C5026" t="s">
        <v>10013</v>
      </c>
      <c r="D5026">
        <v>4</v>
      </c>
      <c r="E5026">
        <v>12</v>
      </c>
      <c r="F5026" t="s">
        <v>10020</v>
      </c>
      <c r="G5026" t="s">
        <v>10069</v>
      </c>
      <c r="H5026" s="6">
        <v>45283</v>
      </c>
      <c r="I5026">
        <f t="shared" si="156"/>
        <v>1</v>
      </c>
      <c r="J5026" t="str">
        <f t="shared" si="157"/>
        <v>Complete</v>
      </c>
      <c r="K5026">
        <f>COUNTIFS(RawData[Item], B5026,RawData[Quantity],C5026,RawData[Price Per Unit],D5026,RawData[Total Spent],E5026,RawData[Payment Method],F5026,RawData[Location],G5026,RawData[Transaction Date],H5026)</f>
        <v>1</v>
      </c>
      <c r="L5026"/>
    </row>
    <row r="5027" spans="1:12" x14ac:dyDescent="0.3">
      <c r="A5027" t="s">
        <v>5033</v>
      </c>
      <c r="B5027" t="s">
        <v>10017</v>
      </c>
      <c r="C5027">
        <v>1</v>
      </c>
      <c r="D5027">
        <v>1.5</v>
      </c>
      <c r="E5027">
        <v>1.5</v>
      </c>
      <c r="F5027" t="s">
        <v>10069</v>
      </c>
      <c r="G5027" t="s">
        <v>10102</v>
      </c>
      <c r="H5027" s="6">
        <v>45106</v>
      </c>
      <c r="I5027">
        <f t="shared" si="156"/>
        <v>0</v>
      </c>
      <c r="J5027" t="str">
        <f t="shared" si="157"/>
        <v>Complete</v>
      </c>
      <c r="K5027">
        <f>COUNTIFS(RawData[Item], B5027,RawData[Quantity],C5027,RawData[Price Per Unit],D5027,RawData[Total Spent],E5027,RawData[Payment Method],F5027,RawData[Location],G5027,RawData[Transaction Date],H5027)</f>
        <v>1</v>
      </c>
      <c r="L5027"/>
    </row>
    <row r="5028" spans="1:12" x14ac:dyDescent="0.3">
      <c r="A5028" t="s">
        <v>5034</v>
      </c>
      <c r="B5028" t="s">
        <v>10014</v>
      </c>
      <c r="C5028">
        <v>1</v>
      </c>
      <c r="D5028">
        <v>4</v>
      </c>
      <c r="E5028">
        <v>4</v>
      </c>
      <c r="F5028" t="s">
        <v>10103</v>
      </c>
      <c r="G5028" t="s">
        <v>10102</v>
      </c>
      <c r="H5028" s="6">
        <v>45097</v>
      </c>
      <c r="I5028">
        <f t="shared" si="156"/>
        <v>1</v>
      </c>
      <c r="J5028" t="str">
        <f t="shared" si="157"/>
        <v>Complete</v>
      </c>
      <c r="K5028">
        <f>COUNTIFS(RawData[Item], B5028,RawData[Quantity],C5028,RawData[Price Per Unit],D5028,RawData[Total Spent],E5028,RawData[Payment Method],F5028,RawData[Location],G5028,RawData[Transaction Date],H5028)</f>
        <v>1</v>
      </c>
      <c r="L5028"/>
    </row>
    <row r="5029" spans="1:12" x14ac:dyDescent="0.3">
      <c r="A5029" t="s">
        <v>5035</v>
      </c>
      <c r="B5029" t="s">
        <v>10014</v>
      </c>
      <c r="C5029">
        <v>3</v>
      </c>
      <c r="D5029">
        <v>4</v>
      </c>
      <c r="E5029">
        <v>12</v>
      </c>
      <c r="F5029" t="s">
        <v>10020</v>
      </c>
      <c r="G5029" t="s">
        <v>10069</v>
      </c>
      <c r="H5029" s="6">
        <v>45067</v>
      </c>
      <c r="I5029">
        <f t="shared" si="156"/>
        <v>0</v>
      </c>
      <c r="J5029" t="str">
        <f t="shared" si="157"/>
        <v>Complete</v>
      </c>
      <c r="K5029">
        <f>COUNTIFS(RawData[Item], B5029,RawData[Quantity],C5029,RawData[Price Per Unit],D5029,RawData[Total Spent],E5029,RawData[Payment Method],F5029,RawData[Location],G5029,RawData[Transaction Date],H5029)</f>
        <v>1</v>
      </c>
      <c r="L5029"/>
    </row>
    <row r="5030" spans="1:12" x14ac:dyDescent="0.3">
      <c r="A5030" t="s">
        <v>5036</v>
      </c>
      <c r="B5030" t="s">
        <v>10014</v>
      </c>
      <c r="C5030">
        <v>5</v>
      </c>
      <c r="D5030">
        <v>4</v>
      </c>
      <c r="E5030">
        <v>20</v>
      </c>
      <c r="F5030" t="s">
        <v>10019</v>
      </c>
      <c r="G5030" t="s">
        <v>10102</v>
      </c>
      <c r="H5030" s="6">
        <v>44932</v>
      </c>
      <c r="I5030">
        <f t="shared" si="156"/>
        <v>0</v>
      </c>
      <c r="J5030" t="str">
        <f t="shared" si="157"/>
        <v>Complete</v>
      </c>
      <c r="K5030">
        <f>COUNTIFS(RawData[Item], B5030,RawData[Quantity],C5030,RawData[Price Per Unit],D5030,RawData[Total Spent],E5030,RawData[Payment Method],F5030,RawData[Location],G5030,RawData[Transaction Date],H5030)</f>
        <v>1</v>
      </c>
      <c r="L5030"/>
    </row>
    <row r="5031" spans="1:12" x14ac:dyDescent="0.3">
      <c r="A5031" t="s">
        <v>5037</v>
      </c>
      <c r="B5031" t="s">
        <v>10017</v>
      </c>
      <c r="C5031">
        <v>1</v>
      </c>
      <c r="D5031">
        <v>1.5</v>
      </c>
      <c r="E5031">
        <v>1.5</v>
      </c>
      <c r="F5031" t="s">
        <v>10018</v>
      </c>
      <c r="G5031" t="s">
        <v>10021</v>
      </c>
      <c r="H5031" s="6">
        <v>45115</v>
      </c>
      <c r="I5031">
        <f t="shared" si="156"/>
        <v>0</v>
      </c>
      <c r="J5031" t="str">
        <f t="shared" si="157"/>
        <v>Complete</v>
      </c>
      <c r="K5031">
        <f>COUNTIFS(RawData[Item], B5031,RawData[Quantity],C5031,RawData[Price Per Unit],D5031,RawData[Total Spent],E5031,RawData[Payment Method],F5031,RawData[Location],G5031,RawData[Transaction Date],H5031)</f>
        <v>1</v>
      </c>
      <c r="L5031"/>
    </row>
    <row r="5032" spans="1:12" x14ac:dyDescent="0.3">
      <c r="A5032" t="s">
        <v>5038</v>
      </c>
      <c r="B5032" t="s">
        <v>10014</v>
      </c>
      <c r="C5032">
        <v>1</v>
      </c>
      <c r="D5032">
        <v>4</v>
      </c>
      <c r="E5032">
        <v>4</v>
      </c>
      <c r="F5032" t="s">
        <v>10069</v>
      </c>
      <c r="G5032" t="s">
        <v>10102</v>
      </c>
      <c r="H5032" s="6">
        <v>45266</v>
      </c>
      <c r="I5032">
        <f t="shared" si="156"/>
        <v>0</v>
      </c>
      <c r="J5032" t="str">
        <f t="shared" si="157"/>
        <v>Complete</v>
      </c>
      <c r="K5032">
        <f>COUNTIFS(RawData[Item], B5032,RawData[Quantity],C5032,RawData[Price Per Unit],D5032,RawData[Total Spent],E5032,RawData[Payment Method],F5032,RawData[Location],G5032,RawData[Transaction Date],H5032)</f>
        <v>1</v>
      </c>
      <c r="L5032"/>
    </row>
    <row r="5033" spans="1:12" x14ac:dyDescent="0.3">
      <c r="A5033" t="s">
        <v>5039</v>
      </c>
      <c r="B5033" t="s">
        <v>10008</v>
      </c>
      <c r="C5033">
        <v>1</v>
      </c>
      <c r="D5033">
        <v>2</v>
      </c>
      <c r="E5033">
        <v>2</v>
      </c>
      <c r="F5033" t="s">
        <v>10069</v>
      </c>
      <c r="G5033" t="s">
        <v>10069</v>
      </c>
      <c r="H5033" s="6">
        <v>45269</v>
      </c>
      <c r="I5033">
        <f t="shared" si="156"/>
        <v>0</v>
      </c>
      <c r="J5033" t="str">
        <f t="shared" si="157"/>
        <v>Complete</v>
      </c>
      <c r="K5033">
        <f>COUNTIFS(RawData[Item], B5033,RawData[Quantity],C5033,RawData[Price Per Unit],D5033,RawData[Total Spent],E5033,RawData[Payment Method],F5033,RawData[Location],G5033,RawData[Transaction Date],H5033)</f>
        <v>1</v>
      </c>
      <c r="L5033"/>
    </row>
    <row r="5034" spans="1:12" x14ac:dyDescent="0.3">
      <c r="A5034" t="s">
        <v>5040</v>
      </c>
      <c r="B5034" t="s">
        <v>10013</v>
      </c>
      <c r="C5034">
        <v>3</v>
      </c>
      <c r="D5034">
        <v>1.5</v>
      </c>
      <c r="E5034">
        <v>4.5</v>
      </c>
      <c r="F5034" t="s">
        <v>10018</v>
      </c>
      <c r="G5034" t="s">
        <v>10102</v>
      </c>
      <c r="H5034" s="6">
        <v>45248</v>
      </c>
      <c r="I5034">
        <f t="shared" si="156"/>
        <v>1</v>
      </c>
      <c r="J5034" t="str">
        <f t="shared" si="157"/>
        <v>Complete</v>
      </c>
      <c r="K5034">
        <f>COUNTIFS(RawData[Item], B5034,RawData[Quantity],C5034,RawData[Price Per Unit],D5034,RawData[Total Spent],E5034,RawData[Payment Method],F5034,RawData[Location],G5034,RawData[Transaction Date],H5034)</f>
        <v>1</v>
      </c>
      <c r="L5034"/>
    </row>
    <row r="5035" spans="1:12" x14ac:dyDescent="0.3">
      <c r="A5035" t="s">
        <v>5041</v>
      </c>
      <c r="B5035" t="s">
        <v>10009</v>
      </c>
      <c r="C5035">
        <v>2</v>
      </c>
      <c r="D5035">
        <v>3</v>
      </c>
      <c r="E5035">
        <v>6</v>
      </c>
      <c r="F5035" t="s">
        <v>10104</v>
      </c>
      <c r="G5035" t="s">
        <v>10069</v>
      </c>
      <c r="H5035" s="6">
        <v>45024</v>
      </c>
      <c r="I5035">
        <f t="shared" si="156"/>
        <v>1</v>
      </c>
      <c r="J5035" t="str">
        <f t="shared" si="157"/>
        <v>Complete</v>
      </c>
      <c r="K5035">
        <f>COUNTIFS(RawData[Item], B5035,RawData[Quantity],C5035,RawData[Price Per Unit],D5035,RawData[Total Spent],E5035,RawData[Payment Method],F5035,RawData[Location],G5035,RawData[Transaction Date],H5035)</f>
        <v>1</v>
      </c>
      <c r="L5035"/>
    </row>
    <row r="5036" spans="1:12" x14ac:dyDescent="0.3">
      <c r="A5036" t="s">
        <v>5042</v>
      </c>
      <c r="B5036" t="s">
        <v>10012</v>
      </c>
      <c r="C5036">
        <v>4</v>
      </c>
      <c r="D5036">
        <v>4</v>
      </c>
      <c r="E5036">
        <v>16</v>
      </c>
      <c r="F5036" t="s">
        <v>10019</v>
      </c>
      <c r="G5036" t="s">
        <v>10021</v>
      </c>
      <c r="H5036" s="6">
        <v>45147</v>
      </c>
      <c r="I5036">
        <f t="shared" si="156"/>
        <v>0</v>
      </c>
      <c r="J5036" t="str">
        <f t="shared" si="157"/>
        <v>Complete</v>
      </c>
      <c r="K5036">
        <f>COUNTIFS(RawData[Item], B5036,RawData[Quantity],C5036,RawData[Price Per Unit],D5036,RawData[Total Spent],E5036,RawData[Payment Method],F5036,RawData[Location],G5036,RawData[Transaction Date],H5036)</f>
        <v>1</v>
      </c>
      <c r="L5036"/>
    </row>
    <row r="5037" spans="1:12" x14ac:dyDescent="0.3">
      <c r="A5037" t="s">
        <v>5043</v>
      </c>
      <c r="B5037" t="s">
        <v>10016</v>
      </c>
      <c r="C5037">
        <v>2</v>
      </c>
      <c r="D5037">
        <v>3</v>
      </c>
      <c r="E5037">
        <v>6</v>
      </c>
      <c r="F5037" t="s">
        <v>10019</v>
      </c>
      <c r="G5037" t="s">
        <v>10021</v>
      </c>
      <c r="H5037" s="6">
        <v>45011</v>
      </c>
      <c r="I5037">
        <f t="shared" si="156"/>
        <v>0</v>
      </c>
      <c r="J5037" t="str">
        <f t="shared" si="157"/>
        <v>Complete</v>
      </c>
      <c r="K5037">
        <f>COUNTIFS(RawData[Item], B5037,RawData[Quantity],C5037,RawData[Price Per Unit],D5037,RawData[Total Spent],E5037,RawData[Payment Method],F5037,RawData[Location],G5037,RawData[Transaction Date],H5037)</f>
        <v>1</v>
      </c>
      <c r="L5037"/>
    </row>
    <row r="5038" spans="1:12" x14ac:dyDescent="0.3">
      <c r="A5038" t="s">
        <v>5044</v>
      </c>
      <c r="B5038" t="s">
        <v>10010</v>
      </c>
      <c r="C5038">
        <v>2</v>
      </c>
      <c r="D5038">
        <v>1</v>
      </c>
      <c r="E5038">
        <v>2</v>
      </c>
      <c r="F5038" t="s">
        <v>10069</v>
      </c>
      <c r="G5038" t="s">
        <v>10069</v>
      </c>
      <c r="H5038" s="6">
        <v>44987</v>
      </c>
      <c r="I5038">
        <f t="shared" si="156"/>
        <v>0</v>
      </c>
      <c r="J5038" t="str">
        <f t="shared" si="157"/>
        <v>Complete</v>
      </c>
      <c r="K5038">
        <f>COUNTIFS(RawData[Item], B5038,RawData[Quantity],C5038,RawData[Price Per Unit],D5038,RawData[Total Spent],E5038,RawData[Payment Method],F5038,RawData[Location],G5038,RawData[Transaction Date],H5038)</f>
        <v>1</v>
      </c>
      <c r="L5038"/>
    </row>
    <row r="5039" spans="1:12" x14ac:dyDescent="0.3">
      <c r="A5039" t="s">
        <v>5045</v>
      </c>
      <c r="B5039" t="s">
        <v>10016</v>
      </c>
      <c r="C5039">
        <v>2</v>
      </c>
      <c r="D5039">
        <v>3</v>
      </c>
      <c r="E5039">
        <v>6</v>
      </c>
      <c r="F5039" t="s">
        <v>10020</v>
      </c>
      <c r="G5039" t="s">
        <v>10021</v>
      </c>
      <c r="H5039" s="6" t="s">
        <v>10112</v>
      </c>
      <c r="I5039">
        <f t="shared" si="156"/>
        <v>1</v>
      </c>
      <c r="J5039" t="str">
        <f t="shared" si="157"/>
        <v>Incomplete</v>
      </c>
      <c r="K5039">
        <f>COUNTIFS(RawData[Item], B5039,RawData[Quantity],C5039,RawData[Price Per Unit],D5039,RawData[Total Spent],E5039,RawData[Payment Method],F5039,RawData[Location],G5039,RawData[Transaction Date],H5039)</f>
        <v>1</v>
      </c>
      <c r="L5039"/>
    </row>
    <row r="5040" spans="1:12" x14ac:dyDescent="0.3">
      <c r="A5040" t="s">
        <v>5046</v>
      </c>
      <c r="B5040" t="s">
        <v>10015</v>
      </c>
      <c r="C5040">
        <v>2</v>
      </c>
      <c r="D5040">
        <v>1.5</v>
      </c>
      <c r="E5040">
        <v>3</v>
      </c>
      <c r="F5040" t="s">
        <v>10018</v>
      </c>
      <c r="G5040" t="s">
        <v>10102</v>
      </c>
      <c r="H5040" s="6">
        <v>45147</v>
      </c>
      <c r="I5040">
        <f t="shared" si="156"/>
        <v>1</v>
      </c>
      <c r="J5040" t="str">
        <f t="shared" si="157"/>
        <v>Complete</v>
      </c>
      <c r="K5040">
        <f>COUNTIFS(RawData[Item], B5040,RawData[Quantity],C5040,RawData[Price Per Unit],D5040,RawData[Total Spent],E5040,RawData[Payment Method],F5040,RawData[Location],G5040,RawData[Transaction Date],H5040)</f>
        <v>1</v>
      </c>
      <c r="L5040"/>
    </row>
    <row r="5041" spans="1:12" x14ac:dyDescent="0.3">
      <c r="A5041" t="s">
        <v>5047</v>
      </c>
      <c r="B5041" t="s">
        <v>10015</v>
      </c>
      <c r="C5041">
        <v>5</v>
      </c>
      <c r="D5041">
        <v>0</v>
      </c>
      <c r="E5041">
        <v>10</v>
      </c>
      <c r="F5041" t="s">
        <v>10018</v>
      </c>
      <c r="G5041" t="s">
        <v>10021</v>
      </c>
      <c r="H5041" s="6">
        <v>45136</v>
      </c>
      <c r="I5041">
        <f t="shared" si="156"/>
        <v>1</v>
      </c>
      <c r="J5041" t="str">
        <f t="shared" si="157"/>
        <v>Complete</v>
      </c>
      <c r="K5041">
        <f>COUNTIFS(RawData[Item], B5041,RawData[Quantity],C5041,RawData[Price Per Unit],D5041,RawData[Total Spent],E5041,RawData[Payment Method],F5041,RawData[Location],G5041,RawData[Transaction Date],H5041)</f>
        <v>1</v>
      </c>
      <c r="L5041"/>
    </row>
    <row r="5042" spans="1:12" x14ac:dyDescent="0.3">
      <c r="A5042" t="s">
        <v>5048</v>
      </c>
      <c r="B5042" t="s">
        <v>10014</v>
      </c>
      <c r="C5042">
        <v>5</v>
      </c>
      <c r="D5042">
        <v>4</v>
      </c>
      <c r="E5042">
        <v>20</v>
      </c>
      <c r="F5042" t="s">
        <v>10069</v>
      </c>
      <c r="G5042" t="s">
        <v>10069</v>
      </c>
      <c r="H5042" s="6">
        <v>45067</v>
      </c>
      <c r="I5042">
        <f t="shared" si="156"/>
        <v>0</v>
      </c>
      <c r="J5042" t="str">
        <f t="shared" si="157"/>
        <v>Complete</v>
      </c>
      <c r="K5042">
        <f>COUNTIFS(RawData[Item], B5042,RawData[Quantity],C5042,RawData[Price Per Unit],D5042,RawData[Total Spent],E5042,RawData[Payment Method],F5042,RawData[Location],G5042,RawData[Transaction Date],H5042)</f>
        <v>1</v>
      </c>
      <c r="L5042"/>
    </row>
    <row r="5043" spans="1:12" x14ac:dyDescent="0.3">
      <c r="A5043" t="s">
        <v>5049</v>
      </c>
      <c r="B5043" t="s">
        <v>10012</v>
      </c>
      <c r="C5043">
        <v>3</v>
      </c>
      <c r="D5043">
        <v>4</v>
      </c>
      <c r="E5043">
        <v>12</v>
      </c>
      <c r="F5043" t="s">
        <v>10069</v>
      </c>
      <c r="G5043" t="s">
        <v>10102</v>
      </c>
      <c r="H5043" s="6">
        <v>45227</v>
      </c>
      <c r="I5043">
        <f t="shared" si="156"/>
        <v>0</v>
      </c>
      <c r="J5043" t="str">
        <f t="shared" si="157"/>
        <v>Complete</v>
      </c>
      <c r="K5043">
        <f>COUNTIFS(RawData[Item], B5043,RawData[Quantity],C5043,RawData[Price Per Unit],D5043,RawData[Total Spent],E5043,RawData[Payment Method],F5043,RawData[Location],G5043,RawData[Transaction Date],H5043)</f>
        <v>1</v>
      </c>
      <c r="L5043"/>
    </row>
    <row r="5044" spans="1:12" x14ac:dyDescent="0.3">
      <c r="A5044" t="s">
        <v>5050</v>
      </c>
      <c r="B5044" t="s">
        <v>10017</v>
      </c>
      <c r="C5044">
        <v>1</v>
      </c>
      <c r="D5044">
        <v>1.5</v>
      </c>
      <c r="E5044">
        <v>1.5</v>
      </c>
      <c r="F5044" t="s">
        <v>10069</v>
      </c>
      <c r="G5044" t="s">
        <v>10069</v>
      </c>
      <c r="H5044" s="6">
        <v>44947</v>
      </c>
      <c r="I5044">
        <f t="shared" si="156"/>
        <v>0</v>
      </c>
      <c r="J5044" t="str">
        <f t="shared" si="157"/>
        <v>Complete</v>
      </c>
      <c r="K5044">
        <f>COUNTIFS(RawData[Item], B5044,RawData[Quantity],C5044,RawData[Price Per Unit],D5044,RawData[Total Spent],E5044,RawData[Payment Method],F5044,RawData[Location],G5044,RawData[Transaction Date],H5044)</f>
        <v>1</v>
      </c>
      <c r="L5044"/>
    </row>
    <row r="5045" spans="1:12" x14ac:dyDescent="0.3">
      <c r="A5045" t="s">
        <v>5051</v>
      </c>
      <c r="B5045" t="s">
        <v>10016</v>
      </c>
      <c r="C5045">
        <v>4</v>
      </c>
      <c r="D5045">
        <v>3</v>
      </c>
      <c r="E5045">
        <v>12</v>
      </c>
      <c r="F5045" t="s">
        <v>10020</v>
      </c>
      <c r="G5045" t="s">
        <v>10103</v>
      </c>
      <c r="H5045" s="6">
        <v>45153</v>
      </c>
      <c r="I5045">
        <f t="shared" si="156"/>
        <v>1</v>
      </c>
      <c r="J5045" t="str">
        <f t="shared" si="157"/>
        <v>Complete</v>
      </c>
      <c r="K5045">
        <f>COUNTIFS(RawData[Item], B5045,RawData[Quantity],C5045,RawData[Price Per Unit],D5045,RawData[Total Spent],E5045,RawData[Payment Method],F5045,RawData[Location],G5045,RawData[Transaction Date],H5045)</f>
        <v>1</v>
      </c>
      <c r="L5045"/>
    </row>
    <row r="5046" spans="1:12" x14ac:dyDescent="0.3">
      <c r="A5046" t="s">
        <v>5052</v>
      </c>
      <c r="B5046" t="s">
        <v>10008</v>
      </c>
      <c r="C5046">
        <v>4</v>
      </c>
      <c r="D5046">
        <v>2</v>
      </c>
      <c r="E5046">
        <v>8</v>
      </c>
      <c r="F5046" t="s">
        <v>10019</v>
      </c>
      <c r="G5046" t="s">
        <v>10102</v>
      </c>
      <c r="H5046" s="6">
        <v>45288</v>
      </c>
      <c r="I5046">
        <f t="shared" si="156"/>
        <v>0</v>
      </c>
      <c r="J5046" t="str">
        <f t="shared" si="157"/>
        <v>Complete</v>
      </c>
      <c r="K5046">
        <f>COUNTIFS(RawData[Item], B5046,RawData[Quantity],C5046,RawData[Price Per Unit],D5046,RawData[Total Spent],E5046,RawData[Payment Method],F5046,RawData[Location],G5046,RawData[Transaction Date],H5046)</f>
        <v>1</v>
      </c>
      <c r="L5046"/>
    </row>
    <row r="5047" spans="1:12" x14ac:dyDescent="0.3">
      <c r="A5047" t="s">
        <v>5053</v>
      </c>
      <c r="B5047" t="s">
        <v>10069</v>
      </c>
      <c r="C5047">
        <v>4</v>
      </c>
      <c r="D5047">
        <v>4</v>
      </c>
      <c r="E5047">
        <v>16</v>
      </c>
      <c r="F5047" t="s">
        <v>10020</v>
      </c>
      <c r="G5047" t="s">
        <v>10021</v>
      </c>
      <c r="H5047" s="6">
        <v>45021</v>
      </c>
      <c r="I5047">
        <f t="shared" si="156"/>
        <v>0</v>
      </c>
      <c r="J5047" t="str">
        <f t="shared" si="157"/>
        <v>Complete</v>
      </c>
      <c r="K5047">
        <f>COUNTIFS(RawData[Item], B5047,RawData[Quantity],C5047,RawData[Price Per Unit],D5047,RawData[Total Spent],E5047,RawData[Payment Method],F5047,RawData[Location],G5047,RawData[Transaction Date],H5047)</f>
        <v>1</v>
      </c>
      <c r="L5047"/>
    </row>
    <row r="5048" spans="1:12" x14ac:dyDescent="0.3">
      <c r="A5048" t="s">
        <v>5054</v>
      </c>
      <c r="B5048" t="s">
        <v>10012</v>
      </c>
      <c r="C5048">
        <v>2</v>
      </c>
      <c r="D5048">
        <v>4</v>
      </c>
      <c r="E5048">
        <v>8</v>
      </c>
      <c r="F5048" t="s">
        <v>10018</v>
      </c>
      <c r="G5048" t="s">
        <v>10069</v>
      </c>
      <c r="H5048" s="6">
        <v>45101</v>
      </c>
      <c r="I5048">
        <f t="shared" si="156"/>
        <v>0</v>
      </c>
      <c r="J5048" t="str">
        <f t="shared" si="157"/>
        <v>Complete</v>
      </c>
      <c r="K5048">
        <f>COUNTIFS(RawData[Item], B5048,RawData[Quantity],C5048,RawData[Price Per Unit],D5048,RawData[Total Spent],E5048,RawData[Payment Method],F5048,RawData[Location],G5048,RawData[Transaction Date],H5048)</f>
        <v>1</v>
      </c>
      <c r="L5048"/>
    </row>
    <row r="5049" spans="1:12" x14ac:dyDescent="0.3">
      <c r="A5049" t="s">
        <v>5055</v>
      </c>
      <c r="B5049" t="s">
        <v>10017</v>
      </c>
      <c r="C5049">
        <v>3</v>
      </c>
      <c r="D5049">
        <v>0</v>
      </c>
      <c r="E5049">
        <v>4.5</v>
      </c>
      <c r="F5049" t="s">
        <v>10019</v>
      </c>
      <c r="G5049" t="s">
        <v>10069</v>
      </c>
      <c r="H5049" s="6">
        <v>45157</v>
      </c>
      <c r="I5049">
        <f t="shared" si="156"/>
        <v>0</v>
      </c>
      <c r="J5049" t="str">
        <f t="shared" si="157"/>
        <v>Complete</v>
      </c>
      <c r="K5049">
        <f>COUNTIFS(RawData[Item], B5049,RawData[Quantity],C5049,RawData[Price Per Unit],D5049,RawData[Total Spent],E5049,RawData[Payment Method],F5049,RawData[Location],G5049,RawData[Transaction Date],H5049)</f>
        <v>1</v>
      </c>
      <c r="L5049"/>
    </row>
    <row r="5050" spans="1:12" x14ac:dyDescent="0.3">
      <c r="A5050" t="s">
        <v>5056</v>
      </c>
      <c r="B5050" t="s">
        <v>10011</v>
      </c>
      <c r="C5050">
        <v>1</v>
      </c>
      <c r="D5050">
        <v>5</v>
      </c>
      <c r="E5050">
        <v>5</v>
      </c>
      <c r="F5050" t="s">
        <v>10069</v>
      </c>
      <c r="G5050" t="s">
        <v>10069</v>
      </c>
      <c r="H5050" s="6">
        <v>45145</v>
      </c>
      <c r="I5050">
        <f t="shared" si="156"/>
        <v>0</v>
      </c>
      <c r="J5050" t="str">
        <f t="shared" si="157"/>
        <v>Complete</v>
      </c>
      <c r="K5050">
        <f>COUNTIFS(RawData[Item], B5050,RawData[Quantity],C5050,RawData[Price Per Unit],D5050,RawData[Total Spent],E5050,RawData[Payment Method],F5050,RawData[Location],G5050,RawData[Transaction Date],H5050)</f>
        <v>1</v>
      </c>
      <c r="L5050"/>
    </row>
    <row r="5051" spans="1:12" x14ac:dyDescent="0.3">
      <c r="A5051" t="s">
        <v>5057</v>
      </c>
      <c r="B5051" t="s">
        <v>10011</v>
      </c>
      <c r="C5051">
        <v>3</v>
      </c>
      <c r="D5051">
        <v>5</v>
      </c>
      <c r="E5051">
        <v>15</v>
      </c>
      <c r="F5051" t="s">
        <v>10020</v>
      </c>
      <c r="G5051" t="s">
        <v>10102</v>
      </c>
      <c r="H5051" s="6">
        <v>45193</v>
      </c>
      <c r="I5051">
        <f t="shared" si="156"/>
        <v>0</v>
      </c>
      <c r="J5051" t="str">
        <f t="shared" si="157"/>
        <v>Complete</v>
      </c>
      <c r="K5051">
        <f>COUNTIFS(RawData[Item], B5051,RawData[Quantity],C5051,RawData[Price Per Unit],D5051,RawData[Total Spent],E5051,RawData[Payment Method],F5051,RawData[Location],G5051,RawData[Transaction Date],H5051)</f>
        <v>1</v>
      </c>
      <c r="L5051"/>
    </row>
    <row r="5052" spans="1:12" x14ac:dyDescent="0.3">
      <c r="A5052" t="s">
        <v>5058</v>
      </c>
      <c r="B5052" t="s">
        <v>10009</v>
      </c>
      <c r="C5052">
        <v>1</v>
      </c>
      <c r="D5052">
        <v>3</v>
      </c>
      <c r="E5052">
        <v>3</v>
      </c>
      <c r="F5052" t="s">
        <v>10103</v>
      </c>
      <c r="G5052" t="s">
        <v>10069</v>
      </c>
      <c r="H5052" s="6">
        <v>44983</v>
      </c>
      <c r="I5052">
        <f t="shared" si="156"/>
        <v>1</v>
      </c>
      <c r="J5052" t="str">
        <f t="shared" si="157"/>
        <v>Complete</v>
      </c>
      <c r="K5052">
        <f>COUNTIFS(RawData[Item], B5052,RawData[Quantity],C5052,RawData[Price Per Unit],D5052,RawData[Total Spent],E5052,RawData[Payment Method],F5052,RawData[Location],G5052,RawData[Transaction Date],H5052)</f>
        <v>1</v>
      </c>
      <c r="L5052"/>
    </row>
    <row r="5053" spans="1:12" x14ac:dyDescent="0.3">
      <c r="A5053" t="s">
        <v>5059</v>
      </c>
      <c r="B5053" t="s">
        <v>10009</v>
      </c>
      <c r="C5053">
        <v>5</v>
      </c>
      <c r="D5053">
        <v>3</v>
      </c>
      <c r="E5053">
        <v>15</v>
      </c>
      <c r="F5053" t="s">
        <v>10069</v>
      </c>
      <c r="G5053" t="s">
        <v>10021</v>
      </c>
      <c r="H5053" s="6">
        <v>45022</v>
      </c>
      <c r="I5053">
        <f t="shared" si="156"/>
        <v>0</v>
      </c>
      <c r="J5053" t="str">
        <f t="shared" si="157"/>
        <v>Complete</v>
      </c>
      <c r="K5053">
        <f>COUNTIFS(RawData[Item], B5053,RawData[Quantity],C5053,RawData[Price Per Unit],D5053,RawData[Total Spent],E5053,RawData[Payment Method],F5053,RawData[Location],G5053,RawData[Transaction Date],H5053)</f>
        <v>1</v>
      </c>
      <c r="L5053"/>
    </row>
    <row r="5054" spans="1:12" x14ac:dyDescent="0.3">
      <c r="A5054" t="s">
        <v>5060</v>
      </c>
      <c r="B5054" t="s">
        <v>10010</v>
      </c>
      <c r="C5054">
        <v>4</v>
      </c>
      <c r="D5054">
        <v>1</v>
      </c>
      <c r="E5054">
        <v>4</v>
      </c>
      <c r="F5054" t="s">
        <v>10019</v>
      </c>
      <c r="G5054" t="s">
        <v>10069</v>
      </c>
      <c r="H5054" s="6">
        <v>45239</v>
      </c>
      <c r="I5054">
        <f t="shared" si="156"/>
        <v>0</v>
      </c>
      <c r="J5054" t="str">
        <f t="shared" si="157"/>
        <v>Complete</v>
      </c>
      <c r="K5054">
        <f>COUNTIFS(RawData[Item], B5054,RawData[Quantity],C5054,RawData[Price Per Unit],D5054,RawData[Total Spent],E5054,RawData[Payment Method],F5054,RawData[Location],G5054,RawData[Transaction Date],H5054)</f>
        <v>1</v>
      </c>
      <c r="L5054"/>
    </row>
    <row r="5055" spans="1:12" x14ac:dyDescent="0.3">
      <c r="A5055" t="s">
        <v>5061</v>
      </c>
      <c r="B5055" t="s">
        <v>10015</v>
      </c>
      <c r="C5055">
        <v>5</v>
      </c>
      <c r="D5055">
        <v>5</v>
      </c>
      <c r="E5055">
        <v>25</v>
      </c>
      <c r="F5055" t="s">
        <v>10019</v>
      </c>
      <c r="G5055" t="s">
        <v>10102</v>
      </c>
      <c r="H5055" s="6">
        <v>45008</v>
      </c>
      <c r="I5055">
        <f t="shared" si="156"/>
        <v>1</v>
      </c>
      <c r="J5055" t="str">
        <f t="shared" si="157"/>
        <v>Complete</v>
      </c>
      <c r="K5055">
        <f>COUNTIFS(RawData[Item], B5055,RawData[Quantity],C5055,RawData[Price Per Unit],D5055,RawData[Total Spent],E5055,RawData[Payment Method],F5055,RawData[Location],G5055,RawData[Transaction Date],H5055)</f>
        <v>1</v>
      </c>
      <c r="L5055"/>
    </row>
    <row r="5056" spans="1:12" x14ac:dyDescent="0.3">
      <c r="A5056" t="s">
        <v>5062</v>
      </c>
      <c r="B5056" t="s">
        <v>10011</v>
      </c>
      <c r="C5056">
        <v>5</v>
      </c>
      <c r="D5056">
        <v>5</v>
      </c>
      <c r="E5056">
        <v>25</v>
      </c>
      <c r="F5056" t="s">
        <v>10020</v>
      </c>
      <c r="G5056" t="s">
        <v>10102</v>
      </c>
      <c r="H5056" s="6">
        <v>45062</v>
      </c>
      <c r="I5056">
        <f t="shared" si="156"/>
        <v>0</v>
      </c>
      <c r="J5056" t="str">
        <f t="shared" si="157"/>
        <v>Complete</v>
      </c>
      <c r="K5056">
        <f>COUNTIFS(RawData[Item], B5056,RawData[Quantity],C5056,RawData[Price Per Unit],D5056,RawData[Total Spent],E5056,RawData[Payment Method],F5056,RawData[Location],G5056,RawData[Transaction Date],H5056)</f>
        <v>1</v>
      </c>
      <c r="L5056"/>
    </row>
    <row r="5057" spans="1:12" x14ac:dyDescent="0.3">
      <c r="A5057" t="s">
        <v>5063</v>
      </c>
      <c r="B5057" t="s">
        <v>10008</v>
      </c>
      <c r="C5057">
        <v>3</v>
      </c>
      <c r="D5057">
        <v>2</v>
      </c>
      <c r="E5057">
        <v>6</v>
      </c>
      <c r="F5057" t="s">
        <v>10069</v>
      </c>
      <c r="G5057" t="s">
        <v>10069</v>
      </c>
      <c r="H5057" s="6">
        <v>45021</v>
      </c>
      <c r="I5057">
        <f t="shared" si="156"/>
        <v>0</v>
      </c>
      <c r="J5057" t="str">
        <f t="shared" si="157"/>
        <v>Complete</v>
      </c>
      <c r="K5057">
        <f>COUNTIFS(RawData[Item], B5057,RawData[Quantity],C5057,RawData[Price Per Unit],D5057,RawData[Total Spent],E5057,RawData[Payment Method],F5057,RawData[Location],G5057,RawData[Transaction Date],H5057)</f>
        <v>1</v>
      </c>
      <c r="L5057"/>
    </row>
    <row r="5058" spans="1:12" x14ac:dyDescent="0.3">
      <c r="A5058" t="s">
        <v>5064</v>
      </c>
      <c r="B5058" t="s">
        <v>10008</v>
      </c>
      <c r="C5058">
        <v>2</v>
      </c>
      <c r="D5058">
        <v>2</v>
      </c>
      <c r="E5058">
        <v>4</v>
      </c>
      <c r="F5058" t="s">
        <v>10069</v>
      </c>
      <c r="G5058" t="s">
        <v>10021</v>
      </c>
      <c r="H5058" s="6">
        <v>45018</v>
      </c>
      <c r="I5058">
        <f t="shared" ref="I5058:I5121" si="158">(B5058="Unknown")+(B5058="Error")+(C5058="Unknown")+(C5058="Error")+(D5058="Unknown")+(D5058="Error")+(E5058="Unknown")+(E5058="Error")+(F5058="Unknown")+(F5058="Error")+(G5058="Unknown")+(G5058="Error")+(H5058="No Date")</f>
        <v>0</v>
      </c>
      <c r="J5058" t="str">
        <f t="shared" ref="J5058:J5121" si="159">IF((H5058="No Date"),"Incomplete","Complete")</f>
        <v>Complete</v>
      </c>
      <c r="K5058">
        <f>COUNTIFS(RawData[Item], B5058,RawData[Quantity],C5058,RawData[Price Per Unit],D5058,RawData[Total Spent],E5058,RawData[Payment Method],F5058,RawData[Location],G5058,RawData[Transaction Date],H5058)</f>
        <v>1</v>
      </c>
      <c r="L5058"/>
    </row>
    <row r="5059" spans="1:12" x14ac:dyDescent="0.3">
      <c r="A5059" t="s">
        <v>5065</v>
      </c>
      <c r="B5059" t="s">
        <v>10011</v>
      </c>
      <c r="C5059">
        <v>5</v>
      </c>
      <c r="D5059">
        <v>5</v>
      </c>
      <c r="E5059">
        <v>25</v>
      </c>
      <c r="F5059" t="s">
        <v>10019</v>
      </c>
      <c r="G5059" t="s">
        <v>10102</v>
      </c>
      <c r="H5059" s="6">
        <v>45268</v>
      </c>
      <c r="I5059">
        <f t="shared" si="158"/>
        <v>0</v>
      </c>
      <c r="J5059" t="str">
        <f t="shared" si="159"/>
        <v>Complete</v>
      </c>
      <c r="K5059">
        <f>COUNTIFS(RawData[Item], B5059,RawData[Quantity],C5059,RawData[Price Per Unit],D5059,RawData[Total Spent],E5059,RawData[Payment Method],F5059,RawData[Location],G5059,RawData[Transaction Date],H5059)</f>
        <v>1</v>
      </c>
      <c r="L5059"/>
    </row>
    <row r="5060" spans="1:12" x14ac:dyDescent="0.3">
      <c r="A5060" t="s">
        <v>5066</v>
      </c>
      <c r="B5060" t="s">
        <v>10014</v>
      </c>
      <c r="C5060">
        <v>3</v>
      </c>
      <c r="D5060">
        <v>4</v>
      </c>
      <c r="E5060">
        <v>12</v>
      </c>
      <c r="F5060" t="s">
        <v>10018</v>
      </c>
      <c r="G5060" t="s">
        <v>10069</v>
      </c>
      <c r="H5060" s="6">
        <v>45173</v>
      </c>
      <c r="I5060">
        <f t="shared" si="158"/>
        <v>0</v>
      </c>
      <c r="J5060" t="str">
        <f t="shared" si="159"/>
        <v>Complete</v>
      </c>
      <c r="K5060">
        <f>COUNTIFS(RawData[Item], B5060,RawData[Quantity],C5060,RawData[Price Per Unit],D5060,RawData[Total Spent],E5060,RawData[Payment Method],F5060,RawData[Location],G5060,RawData[Transaction Date],H5060)</f>
        <v>1</v>
      </c>
      <c r="L5060"/>
    </row>
    <row r="5061" spans="1:12" x14ac:dyDescent="0.3">
      <c r="A5061" t="s">
        <v>5067</v>
      </c>
      <c r="B5061" t="s">
        <v>10010</v>
      </c>
      <c r="C5061">
        <v>5</v>
      </c>
      <c r="D5061">
        <v>1</v>
      </c>
      <c r="E5061">
        <v>5</v>
      </c>
      <c r="F5061" t="s">
        <v>10019</v>
      </c>
      <c r="G5061" t="s">
        <v>10021</v>
      </c>
      <c r="H5061" s="6">
        <v>45269</v>
      </c>
      <c r="I5061">
        <f t="shared" si="158"/>
        <v>0</v>
      </c>
      <c r="J5061" t="str">
        <f t="shared" si="159"/>
        <v>Complete</v>
      </c>
      <c r="K5061">
        <f>COUNTIFS(RawData[Item], B5061,RawData[Quantity],C5061,RawData[Price Per Unit],D5061,RawData[Total Spent],E5061,RawData[Payment Method],F5061,RawData[Location],G5061,RawData[Transaction Date],H5061)</f>
        <v>1</v>
      </c>
      <c r="L5061"/>
    </row>
    <row r="5062" spans="1:12" x14ac:dyDescent="0.3">
      <c r="A5062" t="s">
        <v>5068</v>
      </c>
      <c r="B5062" t="s">
        <v>10016</v>
      </c>
      <c r="C5062">
        <v>2</v>
      </c>
      <c r="D5062">
        <v>3</v>
      </c>
      <c r="E5062">
        <v>6</v>
      </c>
      <c r="F5062" t="s">
        <v>10103</v>
      </c>
      <c r="G5062" t="s">
        <v>10021</v>
      </c>
      <c r="H5062" s="6">
        <v>45291</v>
      </c>
      <c r="I5062">
        <f t="shared" si="158"/>
        <v>1</v>
      </c>
      <c r="J5062" t="str">
        <f t="shared" si="159"/>
        <v>Complete</v>
      </c>
      <c r="K5062">
        <f>COUNTIFS(RawData[Item], B5062,RawData[Quantity],C5062,RawData[Price Per Unit],D5062,RawData[Total Spent],E5062,RawData[Payment Method],F5062,RawData[Location],G5062,RawData[Transaction Date],H5062)</f>
        <v>1</v>
      </c>
      <c r="L5062"/>
    </row>
    <row r="5063" spans="1:12" x14ac:dyDescent="0.3">
      <c r="A5063" t="s">
        <v>5069</v>
      </c>
      <c r="B5063" t="s">
        <v>10014</v>
      </c>
      <c r="C5063">
        <v>2</v>
      </c>
      <c r="D5063">
        <v>4</v>
      </c>
      <c r="E5063">
        <v>8</v>
      </c>
      <c r="F5063" t="s">
        <v>10018</v>
      </c>
      <c r="G5063" t="s">
        <v>10069</v>
      </c>
      <c r="H5063" s="6">
        <v>45222</v>
      </c>
      <c r="I5063">
        <f t="shared" si="158"/>
        <v>0</v>
      </c>
      <c r="J5063" t="str">
        <f t="shared" si="159"/>
        <v>Complete</v>
      </c>
      <c r="K5063">
        <f>COUNTIFS(RawData[Item], B5063,RawData[Quantity],C5063,RawData[Price Per Unit],D5063,RawData[Total Spent],E5063,RawData[Payment Method],F5063,RawData[Location],G5063,RawData[Transaction Date],H5063)</f>
        <v>1</v>
      </c>
      <c r="L5063"/>
    </row>
    <row r="5064" spans="1:12" x14ac:dyDescent="0.3">
      <c r="A5064" t="s">
        <v>5070</v>
      </c>
      <c r="B5064" t="s">
        <v>10016</v>
      </c>
      <c r="C5064">
        <v>5</v>
      </c>
      <c r="D5064">
        <v>3</v>
      </c>
      <c r="E5064">
        <v>15</v>
      </c>
      <c r="F5064" t="s">
        <v>10104</v>
      </c>
      <c r="G5064" t="s">
        <v>10021</v>
      </c>
      <c r="H5064" s="6">
        <v>44978</v>
      </c>
      <c r="I5064">
        <f t="shared" si="158"/>
        <v>1</v>
      </c>
      <c r="J5064" t="str">
        <f t="shared" si="159"/>
        <v>Complete</v>
      </c>
      <c r="K5064">
        <f>COUNTIFS(RawData[Item], B5064,RawData[Quantity],C5064,RawData[Price Per Unit],D5064,RawData[Total Spent],E5064,RawData[Payment Method],F5064,RawData[Location],G5064,RawData[Transaction Date],H5064)</f>
        <v>1</v>
      </c>
      <c r="L5064"/>
    </row>
    <row r="5065" spans="1:12" x14ac:dyDescent="0.3">
      <c r="A5065" t="s">
        <v>5071</v>
      </c>
      <c r="B5065" t="s">
        <v>10010</v>
      </c>
      <c r="C5065">
        <v>1</v>
      </c>
      <c r="D5065">
        <v>1</v>
      </c>
      <c r="E5065">
        <v>1</v>
      </c>
      <c r="F5065" t="s">
        <v>10018</v>
      </c>
      <c r="G5065" t="s">
        <v>10069</v>
      </c>
      <c r="H5065" s="6">
        <v>45193</v>
      </c>
      <c r="I5065">
        <f t="shared" si="158"/>
        <v>0</v>
      </c>
      <c r="J5065" t="str">
        <f t="shared" si="159"/>
        <v>Complete</v>
      </c>
      <c r="K5065">
        <f>COUNTIFS(RawData[Item], B5065,RawData[Quantity],C5065,RawData[Price Per Unit],D5065,RawData[Total Spent],E5065,RawData[Payment Method],F5065,RawData[Location],G5065,RawData[Transaction Date],H5065)</f>
        <v>1</v>
      </c>
      <c r="L5065"/>
    </row>
    <row r="5066" spans="1:12" x14ac:dyDescent="0.3">
      <c r="A5066" t="s">
        <v>5072</v>
      </c>
      <c r="B5066" t="s">
        <v>10008</v>
      </c>
      <c r="C5066">
        <v>2</v>
      </c>
      <c r="D5066">
        <v>2</v>
      </c>
      <c r="E5066">
        <v>4</v>
      </c>
      <c r="F5066" t="s">
        <v>10069</v>
      </c>
      <c r="G5066" t="s">
        <v>10102</v>
      </c>
      <c r="H5066" s="6">
        <v>45230</v>
      </c>
      <c r="I5066">
        <f t="shared" si="158"/>
        <v>0</v>
      </c>
      <c r="J5066" t="str">
        <f t="shared" si="159"/>
        <v>Complete</v>
      </c>
      <c r="K5066">
        <f>COUNTIFS(RawData[Item], B5066,RawData[Quantity],C5066,RawData[Price Per Unit],D5066,RawData[Total Spent],E5066,RawData[Payment Method],F5066,RawData[Location],G5066,RawData[Transaction Date],H5066)</f>
        <v>1</v>
      </c>
      <c r="L5066"/>
    </row>
    <row r="5067" spans="1:12" x14ac:dyDescent="0.3">
      <c r="A5067" t="s">
        <v>5073</v>
      </c>
      <c r="B5067" t="s">
        <v>10016</v>
      </c>
      <c r="C5067">
        <v>5</v>
      </c>
      <c r="D5067">
        <v>3</v>
      </c>
      <c r="E5067">
        <v>15</v>
      </c>
      <c r="F5067" t="s">
        <v>10069</v>
      </c>
      <c r="G5067" t="s">
        <v>10102</v>
      </c>
      <c r="H5067" s="6">
        <v>45059</v>
      </c>
      <c r="I5067">
        <f t="shared" si="158"/>
        <v>0</v>
      </c>
      <c r="J5067" t="str">
        <f t="shared" si="159"/>
        <v>Complete</v>
      </c>
      <c r="K5067">
        <f>COUNTIFS(RawData[Item], B5067,RawData[Quantity],C5067,RawData[Price Per Unit],D5067,RawData[Total Spent],E5067,RawData[Payment Method],F5067,RawData[Location],G5067,RawData[Transaction Date],H5067)</f>
        <v>1</v>
      </c>
      <c r="L5067"/>
    </row>
    <row r="5068" spans="1:12" x14ac:dyDescent="0.3">
      <c r="A5068" t="s">
        <v>5074</v>
      </c>
      <c r="B5068" t="s">
        <v>10010</v>
      </c>
      <c r="C5068">
        <v>3</v>
      </c>
      <c r="D5068">
        <v>1</v>
      </c>
      <c r="E5068">
        <v>3</v>
      </c>
      <c r="F5068" t="s">
        <v>10069</v>
      </c>
      <c r="G5068" t="s">
        <v>10069</v>
      </c>
      <c r="H5068" s="6">
        <v>45258</v>
      </c>
      <c r="I5068">
        <f t="shared" si="158"/>
        <v>0</v>
      </c>
      <c r="J5068" t="str">
        <f t="shared" si="159"/>
        <v>Complete</v>
      </c>
      <c r="K5068">
        <f>COUNTIFS(RawData[Item], B5068,RawData[Quantity],C5068,RawData[Price Per Unit],D5068,RawData[Total Spent],E5068,RawData[Payment Method],F5068,RawData[Location],G5068,RawData[Transaction Date],H5068)</f>
        <v>1</v>
      </c>
      <c r="L5068"/>
    </row>
    <row r="5069" spans="1:12" x14ac:dyDescent="0.3">
      <c r="A5069" t="s">
        <v>5075</v>
      </c>
      <c r="B5069" t="s">
        <v>10014</v>
      </c>
      <c r="C5069">
        <v>1</v>
      </c>
      <c r="D5069">
        <v>4</v>
      </c>
      <c r="E5069">
        <v>4</v>
      </c>
      <c r="F5069" t="s">
        <v>10019</v>
      </c>
      <c r="G5069" t="s">
        <v>10102</v>
      </c>
      <c r="H5069" s="6">
        <v>45186</v>
      </c>
      <c r="I5069">
        <f t="shared" si="158"/>
        <v>0</v>
      </c>
      <c r="J5069" t="str">
        <f t="shared" si="159"/>
        <v>Complete</v>
      </c>
      <c r="K5069">
        <f>COUNTIFS(RawData[Item], B5069,RawData[Quantity],C5069,RawData[Price Per Unit],D5069,RawData[Total Spent],E5069,RawData[Payment Method],F5069,RawData[Location],G5069,RawData[Transaction Date],H5069)</f>
        <v>1</v>
      </c>
      <c r="L5069"/>
    </row>
    <row r="5070" spans="1:12" x14ac:dyDescent="0.3">
      <c r="A5070" t="s">
        <v>5076</v>
      </c>
      <c r="B5070" t="s">
        <v>10013</v>
      </c>
      <c r="C5070">
        <v>2</v>
      </c>
      <c r="D5070">
        <v>2</v>
      </c>
      <c r="E5070">
        <v>4</v>
      </c>
      <c r="F5070" t="s">
        <v>10018</v>
      </c>
      <c r="G5070" t="s">
        <v>10069</v>
      </c>
      <c r="H5070" s="6">
        <v>45093</v>
      </c>
      <c r="I5070">
        <f t="shared" si="158"/>
        <v>1</v>
      </c>
      <c r="J5070" t="str">
        <f t="shared" si="159"/>
        <v>Complete</v>
      </c>
      <c r="K5070">
        <f>COUNTIFS(RawData[Item], B5070,RawData[Quantity],C5070,RawData[Price Per Unit],D5070,RawData[Total Spent],E5070,RawData[Payment Method],F5070,RawData[Location],G5070,RawData[Transaction Date],H5070)</f>
        <v>1</v>
      </c>
      <c r="L5070"/>
    </row>
    <row r="5071" spans="1:12" x14ac:dyDescent="0.3">
      <c r="A5071" t="s">
        <v>5077</v>
      </c>
      <c r="B5071" t="s">
        <v>10016</v>
      </c>
      <c r="C5071">
        <v>3</v>
      </c>
      <c r="D5071">
        <v>3</v>
      </c>
      <c r="E5071" t="s">
        <v>10015</v>
      </c>
      <c r="F5071" t="s">
        <v>10018</v>
      </c>
      <c r="G5071" t="s">
        <v>10069</v>
      </c>
      <c r="H5071" s="6">
        <v>45116</v>
      </c>
      <c r="I5071">
        <f t="shared" si="158"/>
        <v>1</v>
      </c>
      <c r="J5071" t="str">
        <f t="shared" si="159"/>
        <v>Complete</v>
      </c>
      <c r="K5071">
        <f>COUNTIFS(RawData[Item], B5071,RawData[Quantity],C5071,RawData[Price Per Unit],D5071,RawData[Total Spent],E5071,RawData[Payment Method],F5071,RawData[Location],G5071,RawData[Transaction Date],H5071)</f>
        <v>1</v>
      </c>
      <c r="L5071"/>
    </row>
    <row r="5072" spans="1:12" x14ac:dyDescent="0.3">
      <c r="A5072" t="s">
        <v>5078</v>
      </c>
      <c r="B5072" t="s">
        <v>10010</v>
      </c>
      <c r="C5072">
        <v>4</v>
      </c>
      <c r="D5072">
        <v>1</v>
      </c>
      <c r="E5072">
        <v>4</v>
      </c>
      <c r="F5072" t="s">
        <v>10069</v>
      </c>
      <c r="G5072" t="s">
        <v>10102</v>
      </c>
      <c r="H5072" s="6">
        <v>45111</v>
      </c>
      <c r="I5072">
        <f t="shared" si="158"/>
        <v>0</v>
      </c>
      <c r="J5072" t="str">
        <f t="shared" si="159"/>
        <v>Complete</v>
      </c>
      <c r="K5072">
        <f>COUNTIFS(RawData[Item], B5072,RawData[Quantity],C5072,RawData[Price Per Unit],D5072,RawData[Total Spent],E5072,RawData[Payment Method],F5072,RawData[Location],G5072,RawData[Transaction Date],H5072)</f>
        <v>1</v>
      </c>
      <c r="L5072"/>
    </row>
    <row r="5073" spans="1:12" x14ac:dyDescent="0.3">
      <c r="A5073" t="s">
        <v>5079</v>
      </c>
      <c r="B5073" t="s">
        <v>10009</v>
      </c>
      <c r="C5073">
        <v>5</v>
      </c>
      <c r="D5073">
        <v>3</v>
      </c>
      <c r="E5073">
        <v>15</v>
      </c>
      <c r="F5073" t="s">
        <v>10018</v>
      </c>
      <c r="G5073" t="s">
        <v>10069</v>
      </c>
      <c r="H5073" s="6" t="s">
        <v>10112</v>
      </c>
      <c r="I5073">
        <f t="shared" si="158"/>
        <v>1</v>
      </c>
      <c r="J5073" t="str">
        <f t="shared" si="159"/>
        <v>Incomplete</v>
      </c>
      <c r="K5073">
        <f>COUNTIFS(RawData[Item], B5073,RawData[Quantity],C5073,RawData[Price Per Unit],D5073,RawData[Total Spent],E5073,RawData[Payment Method],F5073,RawData[Location],G5073,RawData[Transaction Date],H5073)</f>
        <v>6</v>
      </c>
      <c r="L5073"/>
    </row>
    <row r="5074" spans="1:12" x14ac:dyDescent="0.3">
      <c r="A5074" t="s">
        <v>5080</v>
      </c>
      <c r="B5074" t="s">
        <v>10011</v>
      </c>
      <c r="C5074">
        <v>5</v>
      </c>
      <c r="D5074">
        <v>5</v>
      </c>
      <c r="E5074">
        <v>25</v>
      </c>
      <c r="F5074" t="s">
        <v>10018</v>
      </c>
      <c r="G5074" t="s">
        <v>10069</v>
      </c>
      <c r="H5074" s="6">
        <v>45154</v>
      </c>
      <c r="I5074">
        <f t="shared" si="158"/>
        <v>0</v>
      </c>
      <c r="J5074" t="str">
        <f t="shared" si="159"/>
        <v>Complete</v>
      </c>
      <c r="K5074">
        <f>COUNTIFS(RawData[Item], B5074,RawData[Quantity],C5074,RawData[Price Per Unit],D5074,RawData[Total Spent],E5074,RawData[Payment Method],F5074,RawData[Location],G5074,RawData[Transaction Date],H5074)</f>
        <v>1</v>
      </c>
      <c r="L5074"/>
    </row>
    <row r="5075" spans="1:12" x14ac:dyDescent="0.3">
      <c r="A5075" t="s">
        <v>5081</v>
      </c>
      <c r="B5075" t="s">
        <v>10012</v>
      </c>
      <c r="C5075">
        <v>2</v>
      </c>
      <c r="D5075">
        <v>4</v>
      </c>
      <c r="E5075">
        <v>8</v>
      </c>
      <c r="F5075" t="s">
        <v>10020</v>
      </c>
      <c r="G5075" t="s">
        <v>10069</v>
      </c>
      <c r="H5075" s="6">
        <v>45018</v>
      </c>
      <c r="I5075">
        <f t="shared" si="158"/>
        <v>0</v>
      </c>
      <c r="J5075" t="str">
        <f t="shared" si="159"/>
        <v>Complete</v>
      </c>
      <c r="K5075">
        <f>COUNTIFS(RawData[Item], B5075,RawData[Quantity],C5075,RawData[Price Per Unit],D5075,RawData[Total Spent],E5075,RawData[Payment Method],F5075,RawData[Location],G5075,RawData[Transaction Date],H5075)</f>
        <v>1</v>
      </c>
      <c r="L5075"/>
    </row>
    <row r="5076" spans="1:12" x14ac:dyDescent="0.3">
      <c r="A5076" t="s">
        <v>5082</v>
      </c>
      <c r="B5076" t="s">
        <v>10016</v>
      </c>
      <c r="C5076">
        <v>5</v>
      </c>
      <c r="D5076">
        <v>3</v>
      </c>
      <c r="E5076">
        <v>15</v>
      </c>
      <c r="F5076" t="s">
        <v>10020</v>
      </c>
      <c r="G5076" t="s">
        <v>10102</v>
      </c>
      <c r="H5076" s="6">
        <v>45020</v>
      </c>
      <c r="I5076">
        <f t="shared" si="158"/>
        <v>0</v>
      </c>
      <c r="J5076" t="str">
        <f t="shared" si="159"/>
        <v>Complete</v>
      </c>
      <c r="K5076">
        <f>COUNTIFS(RawData[Item], B5076,RawData[Quantity],C5076,RawData[Price Per Unit],D5076,RawData[Total Spent],E5076,RawData[Payment Method],F5076,RawData[Location],G5076,RawData[Transaction Date],H5076)</f>
        <v>1</v>
      </c>
      <c r="L5076"/>
    </row>
    <row r="5077" spans="1:12" x14ac:dyDescent="0.3">
      <c r="A5077" t="s">
        <v>5083</v>
      </c>
      <c r="B5077" t="s">
        <v>10017</v>
      </c>
      <c r="C5077">
        <v>5</v>
      </c>
      <c r="D5077">
        <v>1.5</v>
      </c>
      <c r="E5077">
        <v>7.5</v>
      </c>
      <c r="F5077" t="s">
        <v>10019</v>
      </c>
      <c r="G5077" t="s">
        <v>10069</v>
      </c>
      <c r="H5077" s="6">
        <v>45202</v>
      </c>
      <c r="I5077">
        <f t="shared" si="158"/>
        <v>0</v>
      </c>
      <c r="J5077" t="str">
        <f t="shared" si="159"/>
        <v>Complete</v>
      </c>
      <c r="K5077">
        <f>COUNTIFS(RawData[Item], B5077,RawData[Quantity],C5077,RawData[Price Per Unit],D5077,RawData[Total Spent],E5077,RawData[Payment Method],F5077,RawData[Location],G5077,RawData[Transaction Date],H5077)</f>
        <v>1</v>
      </c>
      <c r="L5077"/>
    </row>
    <row r="5078" spans="1:12" x14ac:dyDescent="0.3">
      <c r="A5078" t="s">
        <v>5084</v>
      </c>
      <c r="B5078" t="s">
        <v>10014</v>
      </c>
      <c r="C5078">
        <v>5</v>
      </c>
      <c r="D5078">
        <v>4</v>
      </c>
      <c r="E5078">
        <v>20</v>
      </c>
      <c r="F5078" t="s">
        <v>10019</v>
      </c>
      <c r="G5078" t="s">
        <v>10104</v>
      </c>
      <c r="H5078" s="6" t="s">
        <v>10112</v>
      </c>
      <c r="I5078">
        <f t="shared" si="158"/>
        <v>2</v>
      </c>
      <c r="J5078" t="str">
        <f t="shared" si="159"/>
        <v>Incomplete</v>
      </c>
      <c r="K5078">
        <f>COUNTIFS(RawData[Item], B5078,RawData[Quantity],C5078,RawData[Price Per Unit],D5078,RawData[Total Spent],E5078,RawData[Payment Method],F5078,RawData[Location],G5078,RawData[Transaction Date],H5078)</f>
        <v>1</v>
      </c>
      <c r="L5078"/>
    </row>
    <row r="5079" spans="1:12" x14ac:dyDescent="0.3">
      <c r="A5079" t="s">
        <v>5085</v>
      </c>
      <c r="B5079" t="s">
        <v>10008</v>
      </c>
      <c r="C5079">
        <v>5</v>
      </c>
      <c r="D5079">
        <v>2</v>
      </c>
      <c r="E5079">
        <v>10</v>
      </c>
      <c r="F5079" t="s">
        <v>10069</v>
      </c>
      <c r="G5079" t="s">
        <v>10021</v>
      </c>
      <c r="H5079" s="6">
        <v>45084</v>
      </c>
      <c r="I5079">
        <f t="shared" si="158"/>
        <v>0</v>
      </c>
      <c r="J5079" t="str">
        <f t="shared" si="159"/>
        <v>Complete</v>
      </c>
      <c r="K5079">
        <f>COUNTIFS(RawData[Item], B5079,RawData[Quantity],C5079,RawData[Price Per Unit],D5079,RawData[Total Spent],E5079,RawData[Payment Method],F5079,RawData[Location],G5079,RawData[Transaction Date],H5079)</f>
        <v>1</v>
      </c>
      <c r="L5079"/>
    </row>
    <row r="5080" spans="1:12" x14ac:dyDescent="0.3">
      <c r="A5080" t="s">
        <v>5086</v>
      </c>
      <c r="B5080" t="s">
        <v>10010</v>
      </c>
      <c r="C5080">
        <v>3</v>
      </c>
      <c r="D5080">
        <v>1</v>
      </c>
      <c r="E5080">
        <v>3</v>
      </c>
      <c r="F5080" t="s">
        <v>10069</v>
      </c>
      <c r="G5080" t="s">
        <v>10069</v>
      </c>
      <c r="H5080" s="6" t="s">
        <v>10112</v>
      </c>
      <c r="I5080">
        <f t="shared" si="158"/>
        <v>1</v>
      </c>
      <c r="J5080" t="str">
        <f t="shared" si="159"/>
        <v>Incomplete</v>
      </c>
      <c r="K5080">
        <f>COUNTIFS(RawData[Item], B5080,RawData[Quantity],C5080,RawData[Price Per Unit],D5080,RawData[Total Spent],E5080,RawData[Payment Method],F5080,RawData[Location],G5080,RawData[Transaction Date],H5080)</f>
        <v>1</v>
      </c>
      <c r="L5080"/>
    </row>
    <row r="5081" spans="1:12" x14ac:dyDescent="0.3">
      <c r="A5081" t="s">
        <v>5087</v>
      </c>
      <c r="B5081" t="s">
        <v>10009</v>
      </c>
      <c r="C5081">
        <v>2</v>
      </c>
      <c r="D5081">
        <v>3</v>
      </c>
      <c r="E5081">
        <v>6</v>
      </c>
      <c r="F5081" t="s">
        <v>10020</v>
      </c>
      <c r="G5081" t="s">
        <v>10069</v>
      </c>
      <c r="H5081" s="6">
        <v>45185</v>
      </c>
      <c r="I5081">
        <f t="shared" si="158"/>
        <v>0</v>
      </c>
      <c r="J5081" t="str">
        <f t="shared" si="159"/>
        <v>Complete</v>
      </c>
      <c r="K5081">
        <f>COUNTIFS(RawData[Item], B5081,RawData[Quantity],C5081,RawData[Price Per Unit],D5081,RawData[Total Spent],E5081,RawData[Payment Method],F5081,RawData[Location],G5081,RawData[Transaction Date],H5081)</f>
        <v>1</v>
      </c>
      <c r="L5081"/>
    </row>
    <row r="5082" spans="1:12" x14ac:dyDescent="0.3">
      <c r="A5082" t="s">
        <v>5088</v>
      </c>
      <c r="B5082" t="s">
        <v>10011</v>
      </c>
      <c r="C5082">
        <v>2</v>
      </c>
      <c r="D5082" t="s">
        <v>10015</v>
      </c>
      <c r="E5082">
        <v>10</v>
      </c>
      <c r="F5082" t="s">
        <v>10018</v>
      </c>
      <c r="G5082" t="s">
        <v>10102</v>
      </c>
      <c r="H5082" s="6">
        <v>44948</v>
      </c>
      <c r="I5082">
        <f t="shared" si="158"/>
        <v>1</v>
      </c>
      <c r="J5082" t="str">
        <f t="shared" si="159"/>
        <v>Complete</v>
      </c>
      <c r="K5082">
        <f>COUNTIFS(RawData[Item], B5082,RawData[Quantity],C5082,RawData[Price Per Unit],D5082,RawData[Total Spent],E5082,RawData[Payment Method],F5082,RawData[Location],G5082,RawData[Transaction Date],H5082)</f>
        <v>1</v>
      </c>
      <c r="L5082"/>
    </row>
    <row r="5083" spans="1:12" x14ac:dyDescent="0.3">
      <c r="A5083" t="s">
        <v>5089</v>
      </c>
      <c r="B5083" t="s">
        <v>10016</v>
      </c>
      <c r="C5083">
        <v>1</v>
      </c>
      <c r="D5083">
        <v>3</v>
      </c>
      <c r="E5083">
        <v>3</v>
      </c>
      <c r="F5083" t="s">
        <v>10018</v>
      </c>
      <c r="G5083" t="s">
        <v>10069</v>
      </c>
      <c r="H5083" s="6">
        <v>45055</v>
      </c>
      <c r="I5083">
        <f t="shared" si="158"/>
        <v>0</v>
      </c>
      <c r="J5083" t="str">
        <f t="shared" si="159"/>
        <v>Complete</v>
      </c>
      <c r="K5083">
        <f>COUNTIFS(RawData[Item], B5083,RawData[Quantity],C5083,RawData[Price Per Unit],D5083,RawData[Total Spent],E5083,RawData[Payment Method],F5083,RawData[Location],G5083,RawData[Transaction Date],H5083)</f>
        <v>1</v>
      </c>
      <c r="L5083"/>
    </row>
    <row r="5084" spans="1:12" x14ac:dyDescent="0.3">
      <c r="A5084" t="s">
        <v>5090</v>
      </c>
      <c r="B5084" t="s">
        <v>10016</v>
      </c>
      <c r="C5084">
        <v>3</v>
      </c>
      <c r="D5084">
        <v>3</v>
      </c>
      <c r="E5084">
        <v>9</v>
      </c>
      <c r="F5084" t="s">
        <v>10019</v>
      </c>
      <c r="G5084" t="s">
        <v>10069</v>
      </c>
      <c r="H5084" s="6">
        <v>45270</v>
      </c>
      <c r="I5084">
        <f t="shared" si="158"/>
        <v>0</v>
      </c>
      <c r="J5084" t="str">
        <f t="shared" si="159"/>
        <v>Complete</v>
      </c>
      <c r="K5084">
        <f>COUNTIFS(RawData[Item], B5084,RawData[Quantity],C5084,RawData[Price Per Unit],D5084,RawData[Total Spent],E5084,RawData[Payment Method],F5084,RawData[Location],G5084,RawData[Transaction Date],H5084)</f>
        <v>1</v>
      </c>
      <c r="L5084"/>
    </row>
    <row r="5085" spans="1:12" x14ac:dyDescent="0.3">
      <c r="A5085" t="s">
        <v>5091</v>
      </c>
      <c r="B5085" t="s">
        <v>10008</v>
      </c>
      <c r="C5085">
        <v>5</v>
      </c>
      <c r="D5085">
        <v>2</v>
      </c>
      <c r="E5085">
        <v>10</v>
      </c>
      <c r="F5085" t="s">
        <v>10069</v>
      </c>
      <c r="G5085" t="s">
        <v>10069</v>
      </c>
      <c r="H5085" s="6">
        <v>45115</v>
      </c>
      <c r="I5085">
        <f t="shared" si="158"/>
        <v>0</v>
      </c>
      <c r="J5085" t="str">
        <f t="shared" si="159"/>
        <v>Complete</v>
      </c>
      <c r="K5085">
        <f>COUNTIFS(RawData[Item], B5085,RawData[Quantity],C5085,RawData[Price Per Unit],D5085,RawData[Total Spent],E5085,RawData[Payment Method],F5085,RawData[Location],G5085,RawData[Transaction Date],H5085)</f>
        <v>1</v>
      </c>
      <c r="L5085"/>
    </row>
    <row r="5086" spans="1:12" x14ac:dyDescent="0.3">
      <c r="A5086" t="s">
        <v>5092</v>
      </c>
      <c r="B5086" t="s">
        <v>10011</v>
      </c>
      <c r="C5086">
        <v>3</v>
      </c>
      <c r="D5086">
        <v>5</v>
      </c>
      <c r="E5086">
        <v>15</v>
      </c>
      <c r="F5086" t="s">
        <v>10019</v>
      </c>
      <c r="G5086" t="s">
        <v>10102</v>
      </c>
      <c r="H5086" s="6">
        <v>44964</v>
      </c>
      <c r="I5086">
        <f t="shared" si="158"/>
        <v>0</v>
      </c>
      <c r="J5086" t="str">
        <f t="shared" si="159"/>
        <v>Complete</v>
      </c>
      <c r="K5086">
        <f>COUNTIFS(RawData[Item], B5086,RawData[Quantity],C5086,RawData[Price Per Unit],D5086,RawData[Total Spent],E5086,RawData[Payment Method],F5086,RawData[Location],G5086,RawData[Transaction Date],H5086)</f>
        <v>1</v>
      </c>
      <c r="L5086"/>
    </row>
    <row r="5087" spans="1:12" x14ac:dyDescent="0.3">
      <c r="A5087" t="s">
        <v>5093</v>
      </c>
      <c r="B5087" t="s">
        <v>10013</v>
      </c>
      <c r="C5087">
        <v>2</v>
      </c>
      <c r="D5087">
        <v>1</v>
      </c>
      <c r="E5087">
        <v>2</v>
      </c>
      <c r="F5087" t="s">
        <v>10018</v>
      </c>
      <c r="G5087" t="s">
        <v>10102</v>
      </c>
      <c r="H5087" s="6">
        <v>45199</v>
      </c>
      <c r="I5087">
        <f t="shared" si="158"/>
        <v>1</v>
      </c>
      <c r="J5087" t="str">
        <f t="shared" si="159"/>
        <v>Complete</v>
      </c>
      <c r="K5087">
        <f>COUNTIFS(RawData[Item], B5087,RawData[Quantity],C5087,RawData[Price Per Unit],D5087,RawData[Total Spent],E5087,RawData[Payment Method],F5087,RawData[Location],G5087,RawData[Transaction Date],H5087)</f>
        <v>1</v>
      </c>
      <c r="L5087"/>
    </row>
    <row r="5088" spans="1:12" x14ac:dyDescent="0.3">
      <c r="A5088" t="s">
        <v>5094</v>
      </c>
      <c r="B5088" t="s">
        <v>10009</v>
      </c>
      <c r="C5088">
        <v>1</v>
      </c>
      <c r="D5088">
        <v>3</v>
      </c>
      <c r="E5088">
        <v>3</v>
      </c>
      <c r="F5088" t="s">
        <v>10018</v>
      </c>
      <c r="G5088" t="s">
        <v>10069</v>
      </c>
      <c r="H5088" s="6">
        <v>45146</v>
      </c>
      <c r="I5088">
        <f t="shared" si="158"/>
        <v>0</v>
      </c>
      <c r="J5088" t="str">
        <f t="shared" si="159"/>
        <v>Complete</v>
      </c>
      <c r="K5088">
        <f>COUNTIFS(RawData[Item], B5088,RawData[Quantity],C5088,RawData[Price Per Unit],D5088,RawData[Total Spent],E5088,RawData[Payment Method],F5088,RawData[Location],G5088,RawData[Transaction Date],H5088)</f>
        <v>1</v>
      </c>
      <c r="L5088"/>
    </row>
    <row r="5089" spans="1:12" x14ac:dyDescent="0.3">
      <c r="A5089" t="s">
        <v>5095</v>
      </c>
      <c r="B5089" t="s">
        <v>10009</v>
      </c>
      <c r="C5089">
        <v>3</v>
      </c>
      <c r="D5089">
        <v>3</v>
      </c>
      <c r="E5089">
        <v>9</v>
      </c>
      <c r="F5089" t="s">
        <v>10019</v>
      </c>
      <c r="G5089" t="s">
        <v>10102</v>
      </c>
      <c r="H5089" s="6">
        <v>45200</v>
      </c>
      <c r="I5089">
        <f t="shared" si="158"/>
        <v>0</v>
      </c>
      <c r="J5089" t="str">
        <f t="shared" si="159"/>
        <v>Complete</v>
      </c>
      <c r="K5089">
        <f>COUNTIFS(RawData[Item], B5089,RawData[Quantity],C5089,RawData[Price Per Unit],D5089,RawData[Total Spent],E5089,RawData[Payment Method],F5089,RawData[Location],G5089,RawData[Transaction Date],H5089)</f>
        <v>1</v>
      </c>
      <c r="L5089"/>
    </row>
    <row r="5090" spans="1:12" x14ac:dyDescent="0.3">
      <c r="A5090" t="s">
        <v>5096</v>
      </c>
      <c r="B5090" t="s">
        <v>10013</v>
      </c>
      <c r="C5090">
        <v>2</v>
      </c>
      <c r="D5090">
        <v>2</v>
      </c>
      <c r="E5090">
        <v>4</v>
      </c>
      <c r="F5090" t="s">
        <v>10069</v>
      </c>
      <c r="G5090" t="s">
        <v>10069</v>
      </c>
      <c r="H5090" s="6">
        <v>45005</v>
      </c>
      <c r="I5090">
        <f t="shared" si="158"/>
        <v>1</v>
      </c>
      <c r="J5090" t="str">
        <f t="shared" si="159"/>
        <v>Complete</v>
      </c>
      <c r="K5090">
        <f>COUNTIFS(RawData[Item], B5090,RawData[Quantity],C5090,RawData[Price Per Unit],D5090,RawData[Total Spent],E5090,RawData[Payment Method],F5090,RawData[Location],G5090,RawData[Transaction Date],H5090)</f>
        <v>1</v>
      </c>
      <c r="L5090"/>
    </row>
    <row r="5091" spans="1:12" x14ac:dyDescent="0.3">
      <c r="A5091" t="s">
        <v>5097</v>
      </c>
      <c r="B5091" t="s">
        <v>10017</v>
      </c>
      <c r="C5091">
        <v>3</v>
      </c>
      <c r="D5091">
        <v>1.5</v>
      </c>
      <c r="E5091" t="s">
        <v>10015</v>
      </c>
      <c r="F5091" t="s">
        <v>10069</v>
      </c>
      <c r="G5091" t="s">
        <v>10021</v>
      </c>
      <c r="H5091" s="6">
        <v>45061</v>
      </c>
      <c r="I5091">
        <f t="shared" si="158"/>
        <v>1</v>
      </c>
      <c r="J5091" t="str">
        <f t="shared" si="159"/>
        <v>Complete</v>
      </c>
      <c r="K5091">
        <f>COUNTIFS(RawData[Item], B5091,RawData[Quantity],C5091,RawData[Price Per Unit],D5091,RawData[Total Spent],E5091,RawData[Payment Method],F5091,RawData[Location],G5091,RawData[Transaction Date],H5091)</f>
        <v>1</v>
      </c>
      <c r="L5091"/>
    </row>
    <row r="5092" spans="1:12" x14ac:dyDescent="0.3">
      <c r="A5092" t="s">
        <v>5098</v>
      </c>
      <c r="B5092" t="s">
        <v>10010</v>
      </c>
      <c r="C5092">
        <v>3</v>
      </c>
      <c r="D5092">
        <v>1</v>
      </c>
      <c r="E5092">
        <v>3</v>
      </c>
      <c r="F5092" t="s">
        <v>10020</v>
      </c>
      <c r="G5092" t="s">
        <v>10102</v>
      </c>
      <c r="H5092" s="6">
        <v>44989</v>
      </c>
      <c r="I5092">
        <f t="shared" si="158"/>
        <v>0</v>
      </c>
      <c r="J5092" t="str">
        <f t="shared" si="159"/>
        <v>Complete</v>
      </c>
      <c r="K5092">
        <f>COUNTIFS(RawData[Item], B5092,RawData[Quantity],C5092,RawData[Price Per Unit],D5092,RawData[Total Spent],E5092,RawData[Payment Method],F5092,RawData[Location],G5092,RawData[Transaction Date],H5092)</f>
        <v>1</v>
      </c>
      <c r="L5092"/>
    </row>
    <row r="5093" spans="1:12" x14ac:dyDescent="0.3">
      <c r="A5093" t="s">
        <v>5099</v>
      </c>
      <c r="B5093" t="s">
        <v>10008</v>
      </c>
      <c r="C5093">
        <v>4</v>
      </c>
      <c r="D5093">
        <v>2</v>
      </c>
      <c r="E5093">
        <v>8</v>
      </c>
      <c r="F5093" t="s">
        <v>10069</v>
      </c>
      <c r="G5093" t="s">
        <v>10102</v>
      </c>
      <c r="H5093" s="6">
        <v>45161</v>
      </c>
      <c r="I5093">
        <f t="shared" si="158"/>
        <v>0</v>
      </c>
      <c r="J5093" t="str">
        <f t="shared" si="159"/>
        <v>Complete</v>
      </c>
      <c r="K5093">
        <f>COUNTIFS(RawData[Item], B5093,RawData[Quantity],C5093,RawData[Price Per Unit],D5093,RawData[Total Spent],E5093,RawData[Payment Method],F5093,RawData[Location],G5093,RawData[Transaction Date],H5093)</f>
        <v>1</v>
      </c>
      <c r="L5093"/>
    </row>
    <row r="5094" spans="1:12" x14ac:dyDescent="0.3">
      <c r="A5094" t="s">
        <v>5100</v>
      </c>
      <c r="B5094" t="s">
        <v>10011</v>
      </c>
      <c r="C5094">
        <v>4</v>
      </c>
      <c r="D5094">
        <v>5</v>
      </c>
      <c r="E5094">
        <v>20</v>
      </c>
      <c r="F5094" t="s">
        <v>10019</v>
      </c>
      <c r="G5094" t="s">
        <v>10102</v>
      </c>
      <c r="H5094" s="6">
        <v>45259</v>
      </c>
      <c r="I5094">
        <f t="shared" si="158"/>
        <v>0</v>
      </c>
      <c r="J5094" t="str">
        <f t="shared" si="159"/>
        <v>Complete</v>
      </c>
      <c r="K5094">
        <f>COUNTIFS(RawData[Item], B5094,RawData[Quantity],C5094,RawData[Price Per Unit],D5094,RawData[Total Spent],E5094,RawData[Payment Method],F5094,RawData[Location],G5094,RawData[Transaction Date],H5094)</f>
        <v>1</v>
      </c>
      <c r="L5094"/>
    </row>
    <row r="5095" spans="1:12" x14ac:dyDescent="0.3">
      <c r="A5095" t="s">
        <v>5101</v>
      </c>
      <c r="B5095" t="s">
        <v>10012</v>
      </c>
      <c r="C5095" t="s">
        <v>10015</v>
      </c>
      <c r="D5095">
        <v>4</v>
      </c>
      <c r="E5095">
        <v>16</v>
      </c>
      <c r="F5095" t="s">
        <v>10018</v>
      </c>
      <c r="G5095" t="s">
        <v>10021</v>
      </c>
      <c r="H5095" s="6">
        <v>44978</v>
      </c>
      <c r="I5095">
        <f t="shared" si="158"/>
        <v>1</v>
      </c>
      <c r="J5095" t="str">
        <f t="shared" si="159"/>
        <v>Complete</v>
      </c>
      <c r="K5095">
        <f>COUNTIFS(RawData[Item], B5095,RawData[Quantity],C5095,RawData[Price Per Unit],D5095,RawData[Total Spent],E5095,RawData[Payment Method],F5095,RawData[Location],G5095,RawData[Transaction Date],H5095)</f>
        <v>1</v>
      </c>
      <c r="L5095"/>
    </row>
    <row r="5096" spans="1:12" x14ac:dyDescent="0.3">
      <c r="A5096" t="s">
        <v>5102</v>
      </c>
      <c r="B5096" t="s">
        <v>10008</v>
      </c>
      <c r="C5096">
        <v>2</v>
      </c>
      <c r="D5096">
        <v>2</v>
      </c>
      <c r="E5096">
        <v>4</v>
      </c>
      <c r="F5096" t="s">
        <v>10020</v>
      </c>
      <c r="G5096" t="s">
        <v>10104</v>
      </c>
      <c r="H5096" s="6">
        <v>45064</v>
      </c>
      <c r="I5096">
        <f t="shared" si="158"/>
        <v>1</v>
      </c>
      <c r="J5096" t="str">
        <f t="shared" si="159"/>
        <v>Complete</v>
      </c>
      <c r="K5096">
        <f>COUNTIFS(RawData[Item], B5096,RawData[Quantity],C5096,RawData[Price Per Unit],D5096,RawData[Total Spent],E5096,RawData[Payment Method],F5096,RawData[Location],G5096,RawData[Transaction Date],H5096)</f>
        <v>1</v>
      </c>
      <c r="L5096"/>
    </row>
    <row r="5097" spans="1:12" x14ac:dyDescent="0.3">
      <c r="A5097" t="s">
        <v>5103</v>
      </c>
      <c r="B5097" t="s">
        <v>10008</v>
      </c>
      <c r="C5097" t="s">
        <v>10013</v>
      </c>
      <c r="D5097">
        <v>2</v>
      </c>
      <c r="E5097">
        <v>6</v>
      </c>
      <c r="F5097" t="s">
        <v>10019</v>
      </c>
      <c r="G5097" t="s">
        <v>10102</v>
      </c>
      <c r="H5097" s="6">
        <v>45162</v>
      </c>
      <c r="I5097">
        <f t="shared" si="158"/>
        <v>1</v>
      </c>
      <c r="J5097" t="str">
        <f t="shared" si="159"/>
        <v>Complete</v>
      </c>
      <c r="K5097">
        <f>COUNTIFS(RawData[Item], B5097,RawData[Quantity],C5097,RawData[Price Per Unit],D5097,RawData[Total Spent],E5097,RawData[Payment Method],F5097,RawData[Location],G5097,RawData[Transaction Date],H5097)</f>
        <v>1</v>
      </c>
      <c r="L5097"/>
    </row>
    <row r="5098" spans="1:12" x14ac:dyDescent="0.3">
      <c r="A5098" t="s">
        <v>5104</v>
      </c>
      <c r="B5098" t="s">
        <v>10017</v>
      </c>
      <c r="C5098">
        <v>5</v>
      </c>
      <c r="D5098" t="s">
        <v>10015</v>
      </c>
      <c r="E5098">
        <v>7.5</v>
      </c>
      <c r="F5098" t="s">
        <v>10069</v>
      </c>
      <c r="G5098" t="s">
        <v>10102</v>
      </c>
      <c r="H5098" s="6">
        <v>45052</v>
      </c>
      <c r="I5098">
        <f t="shared" si="158"/>
        <v>1</v>
      </c>
      <c r="J5098" t="str">
        <f t="shared" si="159"/>
        <v>Complete</v>
      </c>
      <c r="K5098">
        <f>COUNTIFS(RawData[Item], B5098,RawData[Quantity],C5098,RawData[Price Per Unit],D5098,RawData[Total Spent],E5098,RawData[Payment Method],F5098,RawData[Location],G5098,RawData[Transaction Date],H5098)</f>
        <v>1</v>
      </c>
      <c r="L5098"/>
    </row>
    <row r="5099" spans="1:12" x14ac:dyDescent="0.3">
      <c r="A5099" t="s">
        <v>5105</v>
      </c>
      <c r="B5099" t="s">
        <v>10012</v>
      </c>
      <c r="C5099">
        <v>3</v>
      </c>
      <c r="D5099">
        <v>4</v>
      </c>
      <c r="E5099">
        <v>12</v>
      </c>
      <c r="F5099" t="s">
        <v>10019</v>
      </c>
      <c r="G5099" t="s">
        <v>10104</v>
      </c>
      <c r="H5099" s="6">
        <v>44974</v>
      </c>
      <c r="I5099">
        <f t="shared" si="158"/>
        <v>1</v>
      </c>
      <c r="J5099" t="str">
        <f t="shared" si="159"/>
        <v>Complete</v>
      </c>
      <c r="K5099">
        <f>COUNTIFS(RawData[Item], B5099,RawData[Quantity],C5099,RawData[Price Per Unit],D5099,RawData[Total Spent],E5099,RawData[Payment Method],F5099,RawData[Location],G5099,RawData[Transaction Date],H5099)</f>
        <v>1</v>
      </c>
      <c r="L5099"/>
    </row>
    <row r="5100" spans="1:12" x14ac:dyDescent="0.3">
      <c r="A5100" t="s">
        <v>5106</v>
      </c>
      <c r="B5100" t="s">
        <v>10016</v>
      </c>
      <c r="C5100">
        <v>1</v>
      </c>
      <c r="D5100">
        <v>3</v>
      </c>
      <c r="E5100">
        <v>3</v>
      </c>
      <c r="F5100" t="s">
        <v>10020</v>
      </c>
      <c r="G5100" t="s">
        <v>10102</v>
      </c>
      <c r="H5100" s="6">
        <v>45000</v>
      </c>
      <c r="I5100">
        <f t="shared" si="158"/>
        <v>0</v>
      </c>
      <c r="J5100" t="str">
        <f t="shared" si="159"/>
        <v>Complete</v>
      </c>
      <c r="K5100">
        <f>COUNTIFS(RawData[Item], B5100,RawData[Quantity],C5100,RawData[Price Per Unit],D5100,RawData[Total Spent],E5100,RawData[Payment Method],F5100,RawData[Location],G5100,RawData[Transaction Date],H5100)</f>
        <v>1</v>
      </c>
      <c r="L5100"/>
    </row>
    <row r="5101" spans="1:12" x14ac:dyDescent="0.3">
      <c r="A5101" t="s">
        <v>5107</v>
      </c>
      <c r="B5101" t="s">
        <v>10010</v>
      </c>
      <c r="C5101">
        <v>5</v>
      </c>
      <c r="D5101" t="s">
        <v>10015</v>
      </c>
      <c r="E5101">
        <v>5</v>
      </c>
      <c r="F5101" t="s">
        <v>10018</v>
      </c>
      <c r="G5101" t="s">
        <v>10102</v>
      </c>
      <c r="H5101" s="6">
        <v>45219</v>
      </c>
      <c r="I5101">
        <f t="shared" si="158"/>
        <v>1</v>
      </c>
      <c r="J5101" t="str">
        <f t="shared" si="159"/>
        <v>Complete</v>
      </c>
      <c r="K5101">
        <f>COUNTIFS(RawData[Item], B5101,RawData[Quantity],C5101,RawData[Price Per Unit],D5101,RawData[Total Spent],E5101,RawData[Payment Method],F5101,RawData[Location],G5101,RawData[Transaction Date],H5101)</f>
        <v>1</v>
      </c>
      <c r="L5101"/>
    </row>
    <row r="5102" spans="1:12" x14ac:dyDescent="0.3">
      <c r="A5102" t="s">
        <v>5108</v>
      </c>
      <c r="B5102" t="s">
        <v>10011</v>
      </c>
      <c r="C5102">
        <v>2</v>
      </c>
      <c r="D5102">
        <v>5</v>
      </c>
      <c r="E5102">
        <v>10</v>
      </c>
      <c r="F5102" t="s">
        <v>10069</v>
      </c>
      <c r="G5102" t="s">
        <v>10102</v>
      </c>
      <c r="H5102" s="6">
        <v>45044</v>
      </c>
      <c r="I5102">
        <f t="shared" si="158"/>
        <v>0</v>
      </c>
      <c r="J5102" t="str">
        <f t="shared" si="159"/>
        <v>Complete</v>
      </c>
      <c r="K5102">
        <f>COUNTIFS(RawData[Item], B5102,RawData[Quantity],C5102,RawData[Price Per Unit],D5102,RawData[Total Spent],E5102,RawData[Payment Method],F5102,RawData[Location],G5102,RawData[Transaction Date],H5102)</f>
        <v>1</v>
      </c>
      <c r="L5102"/>
    </row>
    <row r="5103" spans="1:12" x14ac:dyDescent="0.3">
      <c r="A5103" t="s">
        <v>5109</v>
      </c>
      <c r="B5103" t="s">
        <v>10017</v>
      </c>
      <c r="C5103">
        <v>4</v>
      </c>
      <c r="D5103">
        <v>1.5</v>
      </c>
      <c r="E5103">
        <v>6</v>
      </c>
      <c r="F5103" t="s">
        <v>10018</v>
      </c>
      <c r="G5103" t="s">
        <v>10021</v>
      </c>
      <c r="H5103" s="6">
        <v>45250</v>
      </c>
      <c r="I5103">
        <f t="shared" si="158"/>
        <v>0</v>
      </c>
      <c r="J5103" t="str">
        <f t="shared" si="159"/>
        <v>Complete</v>
      </c>
      <c r="K5103">
        <f>COUNTIFS(RawData[Item], B5103,RawData[Quantity],C5103,RawData[Price Per Unit],D5103,RawData[Total Spent],E5103,RawData[Payment Method],F5103,RawData[Location],G5103,RawData[Transaction Date],H5103)</f>
        <v>1</v>
      </c>
      <c r="L5103"/>
    </row>
    <row r="5104" spans="1:12" x14ac:dyDescent="0.3">
      <c r="A5104" t="s">
        <v>5110</v>
      </c>
      <c r="B5104" t="s">
        <v>10012</v>
      </c>
      <c r="C5104" t="s">
        <v>10015</v>
      </c>
      <c r="D5104">
        <v>4</v>
      </c>
      <c r="E5104">
        <v>8</v>
      </c>
      <c r="F5104" t="s">
        <v>10103</v>
      </c>
      <c r="G5104" t="s">
        <v>10069</v>
      </c>
      <c r="H5104" s="6">
        <v>44950</v>
      </c>
      <c r="I5104">
        <f t="shared" si="158"/>
        <v>2</v>
      </c>
      <c r="J5104" t="str">
        <f t="shared" si="159"/>
        <v>Complete</v>
      </c>
      <c r="K5104">
        <f>COUNTIFS(RawData[Item], B5104,RawData[Quantity],C5104,RawData[Price Per Unit],D5104,RawData[Total Spent],E5104,RawData[Payment Method],F5104,RawData[Location],G5104,RawData[Transaction Date],H5104)</f>
        <v>1</v>
      </c>
      <c r="L5104"/>
    </row>
    <row r="5105" spans="1:12" x14ac:dyDescent="0.3">
      <c r="A5105" t="s">
        <v>5111</v>
      </c>
      <c r="B5105" t="s">
        <v>10012</v>
      </c>
      <c r="C5105">
        <v>1</v>
      </c>
      <c r="D5105">
        <v>4</v>
      </c>
      <c r="E5105">
        <v>4</v>
      </c>
      <c r="F5105" t="s">
        <v>10020</v>
      </c>
      <c r="G5105" t="s">
        <v>10102</v>
      </c>
      <c r="H5105" s="6">
        <v>45046</v>
      </c>
      <c r="I5105">
        <f t="shared" si="158"/>
        <v>0</v>
      </c>
      <c r="J5105" t="str">
        <f t="shared" si="159"/>
        <v>Complete</v>
      </c>
      <c r="K5105">
        <f>COUNTIFS(RawData[Item], B5105,RawData[Quantity],C5105,RawData[Price Per Unit],D5105,RawData[Total Spent],E5105,RawData[Payment Method],F5105,RawData[Location],G5105,RawData[Transaction Date],H5105)</f>
        <v>2</v>
      </c>
      <c r="L5105"/>
    </row>
    <row r="5106" spans="1:12" x14ac:dyDescent="0.3">
      <c r="A5106" t="s">
        <v>5112</v>
      </c>
      <c r="B5106" t="s">
        <v>10014</v>
      </c>
      <c r="C5106">
        <v>5</v>
      </c>
      <c r="D5106">
        <v>4</v>
      </c>
      <c r="E5106">
        <v>20</v>
      </c>
      <c r="F5106" t="s">
        <v>10019</v>
      </c>
      <c r="G5106" t="s">
        <v>10102</v>
      </c>
      <c r="H5106" s="6">
        <v>45196</v>
      </c>
      <c r="I5106">
        <f t="shared" si="158"/>
        <v>0</v>
      </c>
      <c r="J5106" t="str">
        <f t="shared" si="159"/>
        <v>Complete</v>
      </c>
      <c r="K5106">
        <f>COUNTIFS(RawData[Item], B5106,RawData[Quantity],C5106,RawData[Price Per Unit],D5106,RawData[Total Spent],E5106,RawData[Payment Method],F5106,RawData[Location],G5106,RawData[Transaction Date],H5106)</f>
        <v>2</v>
      </c>
      <c r="L5106"/>
    </row>
    <row r="5107" spans="1:12" x14ac:dyDescent="0.3">
      <c r="A5107" t="s">
        <v>5113</v>
      </c>
      <c r="B5107" t="s">
        <v>10008</v>
      </c>
      <c r="C5107">
        <v>5</v>
      </c>
      <c r="D5107" t="s">
        <v>10015</v>
      </c>
      <c r="E5107">
        <v>10</v>
      </c>
      <c r="F5107" t="s">
        <v>10020</v>
      </c>
      <c r="G5107" t="s">
        <v>10102</v>
      </c>
      <c r="H5107" s="6">
        <v>44960</v>
      </c>
      <c r="I5107">
        <f t="shared" si="158"/>
        <v>1</v>
      </c>
      <c r="J5107" t="str">
        <f t="shared" si="159"/>
        <v>Complete</v>
      </c>
      <c r="K5107">
        <f>COUNTIFS(RawData[Item], B5107,RawData[Quantity],C5107,RawData[Price Per Unit],D5107,RawData[Total Spent],E5107,RawData[Payment Method],F5107,RawData[Location],G5107,RawData[Transaction Date],H5107)</f>
        <v>1</v>
      </c>
      <c r="L5107"/>
    </row>
    <row r="5108" spans="1:12" x14ac:dyDescent="0.3">
      <c r="A5108" t="s">
        <v>5114</v>
      </c>
      <c r="B5108" t="s">
        <v>10015</v>
      </c>
      <c r="C5108">
        <v>3</v>
      </c>
      <c r="D5108">
        <v>3</v>
      </c>
      <c r="E5108">
        <v>9</v>
      </c>
      <c r="F5108" t="s">
        <v>10020</v>
      </c>
      <c r="G5108" t="s">
        <v>10102</v>
      </c>
      <c r="H5108" s="6">
        <v>45246</v>
      </c>
      <c r="I5108">
        <f t="shared" si="158"/>
        <v>1</v>
      </c>
      <c r="J5108" t="str">
        <f t="shared" si="159"/>
        <v>Complete</v>
      </c>
      <c r="K5108">
        <f>COUNTIFS(RawData[Item], B5108,RawData[Quantity],C5108,RawData[Price Per Unit],D5108,RawData[Total Spent],E5108,RawData[Payment Method],F5108,RawData[Location],G5108,RawData[Transaction Date],H5108)</f>
        <v>1</v>
      </c>
      <c r="L5108"/>
    </row>
    <row r="5109" spans="1:12" x14ac:dyDescent="0.3">
      <c r="A5109" t="s">
        <v>5115</v>
      </c>
      <c r="B5109" t="s">
        <v>10012</v>
      </c>
      <c r="C5109">
        <v>3</v>
      </c>
      <c r="D5109">
        <v>4</v>
      </c>
      <c r="E5109">
        <v>12</v>
      </c>
      <c r="F5109" t="s">
        <v>10020</v>
      </c>
      <c r="G5109" t="s">
        <v>10069</v>
      </c>
      <c r="H5109" s="6">
        <v>45007</v>
      </c>
      <c r="I5109">
        <f t="shared" si="158"/>
        <v>0</v>
      </c>
      <c r="J5109" t="str">
        <f t="shared" si="159"/>
        <v>Complete</v>
      </c>
      <c r="K5109">
        <f>COUNTIFS(RawData[Item], B5109,RawData[Quantity],C5109,RawData[Price Per Unit],D5109,RawData[Total Spent],E5109,RawData[Payment Method],F5109,RawData[Location],G5109,RawData[Transaction Date],H5109)</f>
        <v>1</v>
      </c>
      <c r="L5109"/>
    </row>
    <row r="5110" spans="1:12" x14ac:dyDescent="0.3">
      <c r="A5110" t="s">
        <v>5116</v>
      </c>
      <c r="B5110" t="s">
        <v>10010</v>
      </c>
      <c r="C5110">
        <v>1</v>
      </c>
      <c r="D5110">
        <v>1</v>
      </c>
      <c r="E5110">
        <v>1</v>
      </c>
      <c r="F5110" t="s">
        <v>10018</v>
      </c>
      <c r="G5110" t="s">
        <v>10102</v>
      </c>
      <c r="H5110" s="6">
        <v>44940</v>
      </c>
      <c r="I5110">
        <f t="shared" si="158"/>
        <v>0</v>
      </c>
      <c r="J5110" t="str">
        <f t="shared" si="159"/>
        <v>Complete</v>
      </c>
      <c r="K5110">
        <f>COUNTIFS(RawData[Item], B5110,RawData[Quantity],C5110,RawData[Price Per Unit],D5110,RawData[Total Spent],E5110,RawData[Payment Method],F5110,RawData[Location],G5110,RawData[Transaction Date],H5110)</f>
        <v>1</v>
      </c>
      <c r="L5110"/>
    </row>
    <row r="5111" spans="1:12" x14ac:dyDescent="0.3">
      <c r="A5111" t="s">
        <v>5117</v>
      </c>
      <c r="B5111" t="s">
        <v>10014</v>
      </c>
      <c r="C5111">
        <v>3</v>
      </c>
      <c r="D5111">
        <v>4</v>
      </c>
      <c r="E5111">
        <v>12</v>
      </c>
      <c r="F5111" t="s">
        <v>10104</v>
      </c>
      <c r="G5111" t="s">
        <v>10021</v>
      </c>
      <c r="H5111" s="6">
        <v>45236</v>
      </c>
      <c r="I5111">
        <f t="shared" si="158"/>
        <v>1</v>
      </c>
      <c r="J5111" t="str">
        <f t="shared" si="159"/>
        <v>Complete</v>
      </c>
      <c r="K5111">
        <f>COUNTIFS(RawData[Item], B5111,RawData[Quantity],C5111,RawData[Price Per Unit],D5111,RawData[Total Spent],E5111,RawData[Payment Method],F5111,RawData[Location],G5111,RawData[Transaction Date],H5111)</f>
        <v>1</v>
      </c>
      <c r="L5111"/>
    </row>
    <row r="5112" spans="1:12" x14ac:dyDescent="0.3">
      <c r="A5112" t="s">
        <v>5118</v>
      </c>
      <c r="B5112" t="s">
        <v>10010</v>
      </c>
      <c r="C5112">
        <v>2</v>
      </c>
      <c r="D5112">
        <v>1</v>
      </c>
      <c r="E5112">
        <v>2</v>
      </c>
      <c r="F5112" t="s">
        <v>10020</v>
      </c>
      <c r="G5112" t="s">
        <v>10069</v>
      </c>
      <c r="H5112" s="6">
        <v>45083</v>
      </c>
      <c r="I5112">
        <f t="shared" si="158"/>
        <v>0</v>
      </c>
      <c r="J5112" t="str">
        <f t="shared" si="159"/>
        <v>Complete</v>
      </c>
      <c r="K5112">
        <f>COUNTIFS(RawData[Item], B5112,RawData[Quantity],C5112,RawData[Price Per Unit],D5112,RawData[Total Spent],E5112,RawData[Payment Method],F5112,RawData[Location],G5112,RawData[Transaction Date],H5112)</f>
        <v>1</v>
      </c>
      <c r="L5112"/>
    </row>
    <row r="5113" spans="1:12" x14ac:dyDescent="0.3">
      <c r="A5113" t="s">
        <v>5119</v>
      </c>
      <c r="B5113" t="s">
        <v>10011</v>
      </c>
      <c r="C5113">
        <v>3</v>
      </c>
      <c r="D5113">
        <v>5</v>
      </c>
      <c r="E5113">
        <v>15</v>
      </c>
      <c r="F5113" t="s">
        <v>10069</v>
      </c>
      <c r="G5113" t="s">
        <v>10102</v>
      </c>
      <c r="H5113" s="6">
        <v>45135</v>
      </c>
      <c r="I5113">
        <f t="shared" si="158"/>
        <v>0</v>
      </c>
      <c r="J5113" t="str">
        <f t="shared" si="159"/>
        <v>Complete</v>
      </c>
      <c r="K5113">
        <f>COUNTIFS(RawData[Item], B5113,RawData[Quantity],C5113,RawData[Price Per Unit],D5113,RawData[Total Spent],E5113,RawData[Payment Method],F5113,RawData[Location],G5113,RawData[Transaction Date],H5113)</f>
        <v>1</v>
      </c>
      <c r="L5113"/>
    </row>
    <row r="5114" spans="1:12" x14ac:dyDescent="0.3">
      <c r="A5114" t="s">
        <v>5120</v>
      </c>
      <c r="B5114" t="s">
        <v>10017</v>
      </c>
      <c r="C5114">
        <v>2</v>
      </c>
      <c r="D5114">
        <v>1.5</v>
      </c>
      <c r="E5114">
        <v>3</v>
      </c>
      <c r="F5114" t="s">
        <v>10019</v>
      </c>
      <c r="G5114" t="s">
        <v>10102</v>
      </c>
      <c r="H5114" s="6">
        <v>45257</v>
      </c>
      <c r="I5114">
        <f t="shared" si="158"/>
        <v>0</v>
      </c>
      <c r="J5114" t="str">
        <f t="shared" si="159"/>
        <v>Complete</v>
      </c>
      <c r="K5114">
        <f>COUNTIFS(RawData[Item], B5114,RawData[Quantity],C5114,RawData[Price Per Unit],D5114,RawData[Total Spent],E5114,RawData[Payment Method],F5114,RawData[Location],G5114,RawData[Transaction Date],H5114)</f>
        <v>1</v>
      </c>
      <c r="L5114"/>
    </row>
    <row r="5115" spans="1:12" x14ac:dyDescent="0.3">
      <c r="A5115" t="s">
        <v>5121</v>
      </c>
      <c r="B5115" t="s">
        <v>10008</v>
      </c>
      <c r="C5115" t="s">
        <v>10015</v>
      </c>
      <c r="D5115">
        <v>2</v>
      </c>
      <c r="E5115">
        <v>8</v>
      </c>
      <c r="F5115" t="s">
        <v>10020</v>
      </c>
      <c r="G5115" t="s">
        <v>10102</v>
      </c>
      <c r="H5115" s="6">
        <v>45087</v>
      </c>
      <c r="I5115">
        <f t="shared" si="158"/>
        <v>1</v>
      </c>
      <c r="J5115" t="str">
        <f t="shared" si="159"/>
        <v>Complete</v>
      </c>
      <c r="K5115">
        <f>COUNTIFS(RawData[Item], B5115,RawData[Quantity],C5115,RawData[Price Per Unit],D5115,RawData[Total Spent],E5115,RawData[Payment Method],F5115,RawData[Location],G5115,RawData[Transaction Date],H5115)</f>
        <v>1</v>
      </c>
      <c r="L5115"/>
    </row>
    <row r="5116" spans="1:12" x14ac:dyDescent="0.3">
      <c r="A5116" t="s">
        <v>5122</v>
      </c>
      <c r="B5116" t="s">
        <v>10015</v>
      </c>
      <c r="C5116">
        <v>1</v>
      </c>
      <c r="D5116">
        <v>3</v>
      </c>
      <c r="E5116" t="s">
        <v>10013</v>
      </c>
      <c r="F5116" t="s">
        <v>10018</v>
      </c>
      <c r="G5116" t="s">
        <v>10102</v>
      </c>
      <c r="H5116" s="6">
        <v>45093</v>
      </c>
      <c r="I5116">
        <f t="shared" si="158"/>
        <v>2</v>
      </c>
      <c r="J5116" t="str">
        <f t="shared" si="159"/>
        <v>Complete</v>
      </c>
      <c r="K5116">
        <f>COUNTIFS(RawData[Item], B5116,RawData[Quantity],C5116,RawData[Price Per Unit],D5116,RawData[Total Spent],E5116,RawData[Payment Method],F5116,RawData[Location],G5116,RawData[Transaction Date],H5116)</f>
        <v>1</v>
      </c>
      <c r="L5116"/>
    </row>
    <row r="5117" spans="1:12" x14ac:dyDescent="0.3">
      <c r="A5117" t="s">
        <v>5123</v>
      </c>
      <c r="B5117" t="s">
        <v>10010</v>
      </c>
      <c r="C5117">
        <v>3</v>
      </c>
      <c r="D5117">
        <v>1</v>
      </c>
      <c r="E5117">
        <v>3</v>
      </c>
      <c r="F5117" t="s">
        <v>10019</v>
      </c>
      <c r="G5117" t="s">
        <v>10102</v>
      </c>
      <c r="H5117" s="6">
        <v>45212</v>
      </c>
      <c r="I5117">
        <f t="shared" si="158"/>
        <v>0</v>
      </c>
      <c r="J5117" t="str">
        <f t="shared" si="159"/>
        <v>Complete</v>
      </c>
      <c r="K5117">
        <f>COUNTIFS(RawData[Item], B5117,RawData[Quantity],C5117,RawData[Price Per Unit],D5117,RawData[Total Spent],E5117,RawData[Payment Method],F5117,RawData[Location],G5117,RawData[Transaction Date],H5117)</f>
        <v>1</v>
      </c>
      <c r="L5117"/>
    </row>
    <row r="5118" spans="1:12" x14ac:dyDescent="0.3">
      <c r="A5118" t="s">
        <v>5124</v>
      </c>
      <c r="B5118" t="s">
        <v>10012</v>
      </c>
      <c r="C5118">
        <v>3</v>
      </c>
      <c r="D5118">
        <v>4</v>
      </c>
      <c r="E5118" t="s">
        <v>10013</v>
      </c>
      <c r="F5118" t="s">
        <v>10019</v>
      </c>
      <c r="G5118" t="s">
        <v>10102</v>
      </c>
      <c r="H5118" s="6">
        <v>45179</v>
      </c>
      <c r="I5118">
        <f t="shared" si="158"/>
        <v>1</v>
      </c>
      <c r="J5118" t="str">
        <f t="shared" si="159"/>
        <v>Complete</v>
      </c>
      <c r="K5118">
        <f>COUNTIFS(RawData[Item], B5118,RawData[Quantity],C5118,RawData[Price Per Unit],D5118,RawData[Total Spent],E5118,RawData[Payment Method],F5118,RawData[Location],G5118,RawData[Transaction Date],H5118)</f>
        <v>1</v>
      </c>
      <c r="L5118"/>
    </row>
    <row r="5119" spans="1:12" x14ac:dyDescent="0.3">
      <c r="A5119" t="s">
        <v>5125</v>
      </c>
      <c r="B5119" t="s">
        <v>10011</v>
      </c>
      <c r="C5119">
        <v>3</v>
      </c>
      <c r="D5119">
        <v>5</v>
      </c>
      <c r="E5119">
        <v>15</v>
      </c>
      <c r="F5119" t="s">
        <v>10019</v>
      </c>
      <c r="G5119" t="s">
        <v>10069</v>
      </c>
      <c r="H5119" s="6">
        <v>45258</v>
      </c>
      <c r="I5119">
        <f t="shared" si="158"/>
        <v>0</v>
      </c>
      <c r="J5119" t="str">
        <f t="shared" si="159"/>
        <v>Complete</v>
      </c>
      <c r="K5119">
        <f>COUNTIFS(RawData[Item], B5119,RawData[Quantity],C5119,RawData[Price Per Unit],D5119,RawData[Total Spent],E5119,RawData[Payment Method],F5119,RawData[Location],G5119,RawData[Transaction Date],H5119)</f>
        <v>1</v>
      </c>
      <c r="L5119"/>
    </row>
    <row r="5120" spans="1:12" x14ac:dyDescent="0.3">
      <c r="A5120" t="s">
        <v>5126</v>
      </c>
      <c r="B5120" t="s">
        <v>10009</v>
      </c>
      <c r="C5120">
        <v>2</v>
      </c>
      <c r="D5120">
        <v>3</v>
      </c>
      <c r="E5120">
        <v>6</v>
      </c>
      <c r="F5120" t="s">
        <v>10019</v>
      </c>
      <c r="G5120" t="s">
        <v>10102</v>
      </c>
      <c r="H5120" s="6">
        <v>44968</v>
      </c>
      <c r="I5120">
        <f t="shared" si="158"/>
        <v>0</v>
      </c>
      <c r="J5120" t="str">
        <f t="shared" si="159"/>
        <v>Complete</v>
      </c>
      <c r="K5120">
        <f>COUNTIFS(RawData[Item], B5120,RawData[Quantity],C5120,RawData[Price Per Unit],D5120,RawData[Total Spent],E5120,RawData[Payment Method],F5120,RawData[Location],G5120,RawData[Transaction Date],H5120)</f>
        <v>2</v>
      </c>
      <c r="L5120"/>
    </row>
    <row r="5121" spans="1:12" x14ac:dyDescent="0.3">
      <c r="A5121" t="s">
        <v>5127</v>
      </c>
      <c r="B5121" t="s">
        <v>10015</v>
      </c>
      <c r="C5121">
        <v>4</v>
      </c>
      <c r="D5121">
        <v>3</v>
      </c>
      <c r="E5121">
        <v>12</v>
      </c>
      <c r="F5121" t="s">
        <v>10018</v>
      </c>
      <c r="G5121" t="s">
        <v>10102</v>
      </c>
      <c r="H5121" s="6">
        <v>45061</v>
      </c>
      <c r="I5121">
        <f t="shared" si="158"/>
        <v>1</v>
      </c>
      <c r="J5121" t="str">
        <f t="shared" si="159"/>
        <v>Complete</v>
      </c>
      <c r="K5121">
        <f>COUNTIFS(RawData[Item], B5121,RawData[Quantity],C5121,RawData[Price Per Unit],D5121,RawData[Total Spent],E5121,RawData[Payment Method],F5121,RawData[Location],G5121,RawData[Transaction Date],H5121)</f>
        <v>1</v>
      </c>
      <c r="L5121"/>
    </row>
    <row r="5122" spans="1:12" x14ac:dyDescent="0.3">
      <c r="A5122" t="s">
        <v>5128</v>
      </c>
      <c r="B5122" t="s">
        <v>10012</v>
      </c>
      <c r="C5122">
        <v>1</v>
      </c>
      <c r="D5122">
        <v>4</v>
      </c>
      <c r="E5122">
        <v>4</v>
      </c>
      <c r="F5122" t="s">
        <v>10069</v>
      </c>
      <c r="G5122" t="s">
        <v>10102</v>
      </c>
      <c r="H5122" s="6">
        <v>44950</v>
      </c>
      <c r="I5122">
        <f t="shared" ref="I5122:I5185" si="160">(B5122="Unknown")+(B5122="Error")+(C5122="Unknown")+(C5122="Error")+(D5122="Unknown")+(D5122="Error")+(E5122="Unknown")+(E5122="Error")+(F5122="Unknown")+(F5122="Error")+(G5122="Unknown")+(G5122="Error")+(H5122="No Date")</f>
        <v>0</v>
      </c>
      <c r="J5122" t="str">
        <f t="shared" ref="J5122:J5185" si="161">IF((H5122="No Date"),"Incomplete","Complete")</f>
        <v>Complete</v>
      </c>
      <c r="K5122">
        <f>COUNTIFS(RawData[Item], B5122,RawData[Quantity],C5122,RawData[Price Per Unit],D5122,RawData[Total Spent],E5122,RawData[Payment Method],F5122,RawData[Location],G5122,RawData[Transaction Date],H5122)</f>
        <v>1</v>
      </c>
      <c r="L5122"/>
    </row>
    <row r="5123" spans="1:12" x14ac:dyDescent="0.3">
      <c r="A5123" t="s">
        <v>5129</v>
      </c>
      <c r="B5123" t="s">
        <v>10008</v>
      </c>
      <c r="C5123">
        <v>3</v>
      </c>
      <c r="D5123">
        <v>2</v>
      </c>
      <c r="E5123" t="s">
        <v>10013</v>
      </c>
      <c r="F5123" t="s">
        <v>10019</v>
      </c>
      <c r="G5123" t="s">
        <v>10069</v>
      </c>
      <c r="H5123" s="6">
        <v>45196</v>
      </c>
      <c r="I5123">
        <f t="shared" si="160"/>
        <v>1</v>
      </c>
      <c r="J5123" t="str">
        <f t="shared" si="161"/>
        <v>Complete</v>
      </c>
      <c r="K5123">
        <f>COUNTIFS(RawData[Item], B5123,RawData[Quantity],C5123,RawData[Price Per Unit],D5123,RawData[Total Spent],E5123,RawData[Payment Method],F5123,RawData[Location],G5123,RawData[Transaction Date],H5123)</f>
        <v>1</v>
      </c>
      <c r="L5123"/>
    </row>
    <row r="5124" spans="1:12" x14ac:dyDescent="0.3">
      <c r="A5124" t="s">
        <v>5130</v>
      </c>
      <c r="B5124" t="s">
        <v>10008</v>
      </c>
      <c r="C5124" t="s">
        <v>10013</v>
      </c>
      <c r="D5124">
        <v>2</v>
      </c>
      <c r="E5124">
        <v>10</v>
      </c>
      <c r="F5124" t="s">
        <v>10019</v>
      </c>
      <c r="G5124" t="s">
        <v>10069</v>
      </c>
      <c r="H5124" s="6" t="s">
        <v>10112</v>
      </c>
      <c r="I5124">
        <f t="shared" si="160"/>
        <v>2</v>
      </c>
      <c r="J5124" t="str">
        <f t="shared" si="161"/>
        <v>Incomplete</v>
      </c>
      <c r="K5124">
        <f>COUNTIFS(RawData[Item], B5124,RawData[Quantity],C5124,RawData[Price Per Unit],D5124,RawData[Total Spent],E5124,RawData[Payment Method],F5124,RawData[Location],G5124,RawData[Transaction Date],H5124)</f>
        <v>1</v>
      </c>
      <c r="L5124"/>
    </row>
    <row r="5125" spans="1:12" x14ac:dyDescent="0.3">
      <c r="A5125" t="s">
        <v>5131</v>
      </c>
      <c r="B5125" t="s">
        <v>10012</v>
      </c>
      <c r="C5125">
        <v>4</v>
      </c>
      <c r="D5125">
        <v>4</v>
      </c>
      <c r="E5125">
        <v>16</v>
      </c>
      <c r="F5125" t="s">
        <v>10018</v>
      </c>
      <c r="G5125" t="s">
        <v>10069</v>
      </c>
      <c r="H5125" s="6">
        <v>45100</v>
      </c>
      <c r="I5125">
        <f t="shared" si="160"/>
        <v>0</v>
      </c>
      <c r="J5125" t="str">
        <f t="shared" si="161"/>
        <v>Complete</v>
      </c>
      <c r="K5125">
        <f>COUNTIFS(RawData[Item], B5125,RawData[Quantity],C5125,RawData[Price Per Unit],D5125,RawData[Total Spent],E5125,RawData[Payment Method],F5125,RawData[Location],G5125,RawData[Transaction Date],H5125)</f>
        <v>1</v>
      </c>
      <c r="L5125"/>
    </row>
    <row r="5126" spans="1:12" x14ac:dyDescent="0.3">
      <c r="A5126" t="s">
        <v>5132</v>
      </c>
      <c r="B5126" t="s">
        <v>10010</v>
      </c>
      <c r="C5126">
        <v>2</v>
      </c>
      <c r="D5126">
        <v>1</v>
      </c>
      <c r="E5126">
        <v>2</v>
      </c>
      <c r="F5126" t="s">
        <v>10020</v>
      </c>
      <c r="G5126" t="s">
        <v>10069</v>
      </c>
      <c r="H5126" s="6">
        <v>45235</v>
      </c>
      <c r="I5126">
        <f t="shared" si="160"/>
        <v>0</v>
      </c>
      <c r="J5126" t="str">
        <f t="shared" si="161"/>
        <v>Complete</v>
      </c>
      <c r="K5126">
        <f>COUNTIFS(RawData[Item], B5126,RawData[Quantity],C5126,RawData[Price Per Unit],D5126,RawData[Total Spent],E5126,RawData[Payment Method],F5126,RawData[Location],G5126,RawData[Transaction Date],H5126)</f>
        <v>1</v>
      </c>
      <c r="L5126"/>
    </row>
    <row r="5127" spans="1:12" x14ac:dyDescent="0.3">
      <c r="A5127" t="s">
        <v>5133</v>
      </c>
      <c r="B5127" t="s">
        <v>10069</v>
      </c>
      <c r="C5127">
        <v>1</v>
      </c>
      <c r="D5127">
        <v>3</v>
      </c>
      <c r="E5127">
        <v>3</v>
      </c>
      <c r="F5127" t="s">
        <v>10104</v>
      </c>
      <c r="G5127" t="s">
        <v>10069</v>
      </c>
      <c r="H5127" s="6">
        <v>45172</v>
      </c>
      <c r="I5127">
        <f t="shared" si="160"/>
        <v>1</v>
      </c>
      <c r="J5127" t="str">
        <f t="shared" si="161"/>
        <v>Complete</v>
      </c>
      <c r="K5127">
        <f>COUNTIFS(RawData[Item], B5127,RawData[Quantity],C5127,RawData[Price Per Unit],D5127,RawData[Total Spent],E5127,RawData[Payment Method],F5127,RawData[Location],G5127,RawData[Transaction Date],H5127)</f>
        <v>1</v>
      </c>
      <c r="L5127"/>
    </row>
    <row r="5128" spans="1:12" x14ac:dyDescent="0.3">
      <c r="A5128" t="s">
        <v>5134</v>
      </c>
      <c r="B5128" t="s">
        <v>10017</v>
      </c>
      <c r="C5128">
        <v>3</v>
      </c>
      <c r="D5128">
        <v>1.5</v>
      </c>
      <c r="E5128">
        <v>4.5</v>
      </c>
      <c r="F5128" t="s">
        <v>10020</v>
      </c>
      <c r="G5128" t="s">
        <v>10102</v>
      </c>
      <c r="H5128" s="6">
        <v>45182</v>
      </c>
      <c r="I5128">
        <f t="shared" si="160"/>
        <v>0</v>
      </c>
      <c r="J5128" t="str">
        <f t="shared" si="161"/>
        <v>Complete</v>
      </c>
      <c r="K5128">
        <f>COUNTIFS(RawData[Item], B5128,RawData[Quantity],C5128,RawData[Price Per Unit],D5128,RawData[Total Spent],E5128,RawData[Payment Method],F5128,RawData[Location],G5128,RawData[Transaction Date],H5128)</f>
        <v>1</v>
      </c>
      <c r="L5128"/>
    </row>
    <row r="5129" spans="1:12" x14ac:dyDescent="0.3">
      <c r="A5129" t="s">
        <v>5135</v>
      </c>
      <c r="B5129" t="s">
        <v>10011</v>
      </c>
      <c r="C5129">
        <v>3</v>
      </c>
      <c r="D5129">
        <v>5</v>
      </c>
      <c r="E5129">
        <v>15</v>
      </c>
      <c r="F5129" t="s">
        <v>10019</v>
      </c>
      <c r="G5129" t="s">
        <v>10069</v>
      </c>
      <c r="H5129" s="6">
        <v>44937</v>
      </c>
      <c r="I5129">
        <f t="shared" si="160"/>
        <v>0</v>
      </c>
      <c r="J5129" t="str">
        <f t="shared" si="161"/>
        <v>Complete</v>
      </c>
      <c r="K5129">
        <f>COUNTIFS(RawData[Item], B5129,RawData[Quantity],C5129,RawData[Price Per Unit],D5129,RawData[Total Spent],E5129,RawData[Payment Method],F5129,RawData[Location],G5129,RawData[Transaction Date],H5129)</f>
        <v>1</v>
      </c>
      <c r="L5129"/>
    </row>
    <row r="5130" spans="1:12" x14ac:dyDescent="0.3">
      <c r="A5130" t="s">
        <v>5136</v>
      </c>
      <c r="B5130" t="s">
        <v>10011</v>
      </c>
      <c r="C5130">
        <v>4</v>
      </c>
      <c r="D5130">
        <v>5</v>
      </c>
      <c r="E5130">
        <v>20</v>
      </c>
      <c r="F5130" t="s">
        <v>10020</v>
      </c>
      <c r="G5130" t="s">
        <v>10069</v>
      </c>
      <c r="H5130" s="6">
        <v>45131</v>
      </c>
      <c r="I5130">
        <f t="shared" si="160"/>
        <v>0</v>
      </c>
      <c r="J5130" t="str">
        <f t="shared" si="161"/>
        <v>Complete</v>
      </c>
      <c r="K5130">
        <f>COUNTIFS(RawData[Item], B5130,RawData[Quantity],C5130,RawData[Price Per Unit],D5130,RawData[Total Spent],E5130,RawData[Payment Method],F5130,RawData[Location],G5130,RawData[Transaction Date],H5130)</f>
        <v>1</v>
      </c>
      <c r="L5130"/>
    </row>
    <row r="5131" spans="1:12" x14ac:dyDescent="0.3">
      <c r="A5131" t="s">
        <v>5137</v>
      </c>
      <c r="B5131" t="s">
        <v>10012</v>
      </c>
      <c r="C5131">
        <v>4</v>
      </c>
      <c r="D5131">
        <v>4</v>
      </c>
      <c r="E5131">
        <v>16</v>
      </c>
      <c r="F5131" t="s">
        <v>10020</v>
      </c>
      <c r="G5131" t="s">
        <v>10102</v>
      </c>
      <c r="H5131" s="6">
        <v>45261</v>
      </c>
      <c r="I5131">
        <f t="shared" si="160"/>
        <v>0</v>
      </c>
      <c r="J5131" t="str">
        <f t="shared" si="161"/>
        <v>Complete</v>
      </c>
      <c r="K5131">
        <f>COUNTIFS(RawData[Item], B5131,RawData[Quantity],C5131,RawData[Price Per Unit],D5131,RawData[Total Spent],E5131,RawData[Payment Method],F5131,RawData[Location],G5131,RawData[Transaction Date],H5131)</f>
        <v>1</v>
      </c>
      <c r="L5131"/>
    </row>
    <row r="5132" spans="1:12" x14ac:dyDescent="0.3">
      <c r="A5132" t="s">
        <v>5138</v>
      </c>
      <c r="B5132" t="s">
        <v>10008</v>
      </c>
      <c r="C5132">
        <v>3</v>
      </c>
      <c r="D5132">
        <v>2</v>
      </c>
      <c r="E5132">
        <v>6</v>
      </c>
      <c r="F5132" t="s">
        <v>10069</v>
      </c>
      <c r="G5132" t="s">
        <v>10102</v>
      </c>
      <c r="H5132" s="6">
        <v>45116</v>
      </c>
      <c r="I5132">
        <f t="shared" si="160"/>
        <v>0</v>
      </c>
      <c r="J5132" t="str">
        <f t="shared" si="161"/>
        <v>Complete</v>
      </c>
      <c r="K5132">
        <f>COUNTIFS(RawData[Item], B5132,RawData[Quantity],C5132,RawData[Price Per Unit],D5132,RawData[Total Spent],E5132,RawData[Payment Method],F5132,RawData[Location],G5132,RawData[Transaction Date],H5132)</f>
        <v>1</v>
      </c>
      <c r="L5132"/>
    </row>
    <row r="5133" spans="1:12" x14ac:dyDescent="0.3">
      <c r="A5133" t="s">
        <v>5139</v>
      </c>
      <c r="B5133" t="s">
        <v>10012</v>
      </c>
      <c r="C5133">
        <v>4</v>
      </c>
      <c r="D5133">
        <v>4</v>
      </c>
      <c r="E5133">
        <v>16</v>
      </c>
      <c r="F5133" t="s">
        <v>10069</v>
      </c>
      <c r="G5133" t="s">
        <v>10021</v>
      </c>
      <c r="H5133" s="6">
        <v>45008</v>
      </c>
      <c r="I5133">
        <f t="shared" si="160"/>
        <v>0</v>
      </c>
      <c r="J5133" t="str">
        <f t="shared" si="161"/>
        <v>Complete</v>
      </c>
      <c r="K5133">
        <f>COUNTIFS(RawData[Item], B5133,RawData[Quantity],C5133,RawData[Price Per Unit],D5133,RawData[Total Spent],E5133,RawData[Payment Method],F5133,RawData[Location],G5133,RawData[Transaction Date],H5133)</f>
        <v>1</v>
      </c>
      <c r="L5133"/>
    </row>
    <row r="5134" spans="1:12" x14ac:dyDescent="0.3">
      <c r="A5134" t="s">
        <v>5140</v>
      </c>
      <c r="B5134" t="s">
        <v>10012</v>
      </c>
      <c r="C5134">
        <v>1</v>
      </c>
      <c r="D5134">
        <v>4</v>
      </c>
      <c r="E5134">
        <v>4</v>
      </c>
      <c r="F5134" t="s">
        <v>10069</v>
      </c>
      <c r="G5134" t="s">
        <v>10102</v>
      </c>
      <c r="H5134" s="6">
        <v>44951</v>
      </c>
      <c r="I5134">
        <f t="shared" si="160"/>
        <v>0</v>
      </c>
      <c r="J5134" t="str">
        <f t="shared" si="161"/>
        <v>Complete</v>
      </c>
      <c r="K5134">
        <f>COUNTIFS(RawData[Item], B5134,RawData[Quantity],C5134,RawData[Price Per Unit],D5134,RawData[Total Spent],E5134,RawData[Payment Method],F5134,RawData[Location],G5134,RawData[Transaction Date],H5134)</f>
        <v>1</v>
      </c>
      <c r="L5134"/>
    </row>
    <row r="5135" spans="1:12" x14ac:dyDescent="0.3">
      <c r="A5135" t="s">
        <v>5141</v>
      </c>
      <c r="B5135" t="s">
        <v>10069</v>
      </c>
      <c r="C5135">
        <v>2</v>
      </c>
      <c r="D5135">
        <v>1.5</v>
      </c>
      <c r="E5135">
        <v>3</v>
      </c>
      <c r="F5135" t="s">
        <v>10019</v>
      </c>
      <c r="G5135" t="s">
        <v>10069</v>
      </c>
      <c r="H5135" s="6">
        <v>45270</v>
      </c>
      <c r="I5135">
        <f t="shared" si="160"/>
        <v>0</v>
      </c>
      <c r="J5135" t="str">
        <f t="shared" si="161"/>
        <v>Complete</v>
      </c>
      <c r="K5135">
        <f>COUNTIFS(RawData[Item], B5135,RawData[Quantity],C5135,RawData[Price Per Unit],D5135,RawData[Total Spent],E5135,RawData[Payment Method],F5135,RawData[Location],G5135,RawData[Transaction Date],H5135)</f>
        <v>1</v>
      </c>
      <c r="L5135"/>
    </row>
    <row r="5136" spans="1:12" x14ac:dyDescent="0.3">
      <c r="A5136" t="s">
        <v>5142</v>
      </c>
      <c r="B5136" t="s">
        <v>10012</v>
      </c>
      <c r="C5136">
        <v>4</v>
      </c>
      <c r="D5136">
        <v>4</v>
      </c>
      <c r="E5136">
        <v>16</v>
      </c>
      <c r="F5136" t="s">
        <v>10018</v>
      </c>
      <c r="G5136" t="s">
        <v>10102</v>
      </c>
      <c r="H5136" s="6">
        <v>45149</v>
      </c>
      <c r="I5136">
        <f t="shared" si="160"/>
        <v>0</v>
      </c>
      <c r="J5136" t="str">
        <f t="shared" si="161"/>
        <v>Complete</v>
      </c>
      <c r="K5136">
        <f>COUNTIFS(RawData[Item], B5136,RawData[Quantity],C5136,RawData[Price Per Unit],D5136,RawData[Total Spent],E5136,RawData[Payment Method],F5136,RawData[Location],G5136,RawData[Transaction Date],H5136)</f>
        <v>1</v>
      </c>
      <c r="L5136"/>
    </row>
    <row r="5137" spans="1:12" x14ac:dyDescent="0.3">
      <c r="A5137" t="s">
        <v>5143</v>
      </c>
      <c r="B5137" t="s">
        <v>10069</v>
      </c>
      <c r="C5137" t="s">
        <v>10013</v>
      </c>
      <c r="D5137">
        <v>2</v>
      </c>
      <c r="E5137">
        <v>2</v>
      </c>
      <c r="F5137" t="s">
        <v>10018</v>
      </c>
      <c r="G5137" t="s">
        <v>10069</v>
      </c>
      <c r="H5137" s="6">
        <v>44943</v>
      </c>
      <c r="I5137">
        <f t="shared" si="160"/>
        <v>1</v>
      </c>
      <c r="J5137" t="str">
        <f t="shared" si="161"/>
        <v>Complete</v>
      </c>
      <c r="K5137">
        <f>COUNTIFS(RawData[Item], B5137,RawData[Quantity],C5137,RawData[Price Per Unit],D5137,RawData[Total Spent],E5137,RawData[Payment Method],F5137,RawData[Location],G5137,RawData[Transaction Date],H5137)</f>
        <v>1</v>
      </c>
      <c r="L5137"/>
    </row>
    <row r="5138" spans="1:12" x14ac:dyDescent="0.3">
      <c r="A5138" t="s">
        <v>5144</v>
      </c>
      <c r="B5138" t="s">
        <v>10012</v>
      </c>
      <c r="C5138">
        <v>3</v>
      </c>
      <c r="D5138">
        <v>4</v>
      </c>
      <c r="E5138">
        <v>12</v>
      </c>
      <c r="F5138" t="s">
        <v>10069</v>
      </c>
      <c r="G5138" t="s">
        <v>10069</v>
      </c>
      <c r="H5138" s="6">
        <v>44930</v>
      </c>
      <c r="I5138">
        <f t="shared" si="160"/>
        <v>0</v>
      </c>
      <c r="J5138" t="str">
        <f t="shared" si="161"/>
        <v>Complete</v>
      </c>
      <c r="K5138">
        <f>COUNTIFS(RawData[Item], B5138,RawData[Quantity],C5138,RawData[Price Per Unit],D5138,RawData[Total Spent],E5138,RawData[Payment Method],F5138,RawData[Location],G5138,RawData[Transaction Date],H5138)</f>
        <v>1</v>
      </c>
      <c r="L5138"/>
    </row>
    <row r="5139" spans="1:12" x14ac:dyDescent="0.3">
      <c r="A5139" t="s">
        <v>5145</v>
      </c>
      <c r="B5139" t="s">
        <v>10017</v>
      </c>
      <c r="C5139">
        <v>2</v>
      </c>
      <c r="D5139">
        <v>1.5</v>
      </c>
      <c r="E5139">
        <v>3</v>
      </c>
      <c r="F5139" t="s">
        <v>10019</v>
      </c>
      <c r="G5139" t="s">
        <v>10069</v>
      </c>
      <c r="H5139" s="6">
        <v>45289</v>
      </c>
      <c r="I5139">
        <f t="shared" si="160"/>
        <v>0</v>
      </c>
      <c r="J5139" t="str">
        <f t="shared" si="161"/>
        <v>Complete</v>
      </c>
      <c r="K5139">
        <f>COUNTIFS(RawData[Item], B5139,RawData[Quantity],C5139,RawData[Price Per Unit],D5139,RawData[Total Spent],E5139,RawData[Payment Method],F5139,RawData[Location],G5139,RawData[Transaction Date],H5139)</f>
        <v>1</v>
      </c>
      <c r="L5139"/>
    </row>
    <row r="5140" spans="1:12" x14ac:dyDescent="0.3">
      <c r="A5140" t="s">
        <v>5146</v>
      </c>
      <c r="B5140" t="s">
        <v>10009</v>
      </c>
      <c r="C5140">
        <v>2</v>
      </c>
      <c r="D5140">
        <v>3</v>
      </c>
      <c r="E5140">
        <v>6</v>
      </c>
      <c r="F5140" t="s">
        <v>10018</v>
      </c>
      <c r="G5140" t="s">
        <v>10102</v>
      </c>
      <c r="H5140" s="6">
        <v>45037</v>
      </c>
      <c r="I5140">
        <f t="shared" si="160"/>
        <v>0</v>
      </c>
      <c r="J5140" t="str">
        <f t="shared" si="161"/>
        <v>Complete</v>
      </c>
      <c r="K5140">
        <f>COUNTIFS(RawData[Item], B5140,RawData[Quantity],C5140,RawData[Price Per Unit],D5140,RawData[Total Spent],E5140,RawData[Payment Method],F5140,RawData[Location],G5140,RawData[Transaction Date],H5140)</f>
        <v>1</v>
      </c>
      <c r="L5140"/>
    </row>
    <row r="5141" spans="1:12" x14ac:dyDescent="0.3">
      <c r="A5141" t="s">
        <v>5147</v>
      </c>
      <c r="B5141" t="s">
        <v>10012</v>
      </c>
      <c r="C5141">
        <v>5</v>
      </c>
      <c r="D5141">
        <v>4</v>
      </c>
      <c r="E5141">
        <v>20</v>
      </c>
      <c r="F5141" t="s">
        <v>10019</v>
      </c>
      <c r="G5141" t="s">
        <v>10069</v>
      </c>
      <c r="H5141" s="6">
        <v>45229</v>
      </c>
      <c r="I5141">
        <f t="shared" si="160"/>
        <v>0</v>
      </c>
      <c r="J5141" t="str">
        <f t="shared" si="161"/>
        <v>Complete</v>
      </c>
      <c r="K5141">
        <f>COUNTIFS(RawData[Item], B5141,RawData[Quantity],C5141,RawData[Price Per Unit],D5141,RawData[Total Spent],E5141,RawData[Payment Method],F5141,RawData[Location],G5141,RawData[Transaction Date],H5141)</f>
        <v>1</v>
      </c>
      <c r="L5141"/>
    </row>
    <row r="5142" spans="1:12" x14ac:dyDescent="0.3">
      <c r="A5142" t="s">
        <v>5148</v>
      </c>
      <c r="B5142" t="s">
        <v>10016</v>
      </c>
      <c r="C5142">
        <v>0</v>
      </c>
      <c r="D5142">
        <v>3</v>
      </c>
      <c r="E5142">
        <v>9</v>
      </c>
      <c r="F5142" t="s">
        <v>10020</v>
      </c>
      <c r="G5142" t="s">
        <v>10021</v>
      </c>
      <c r="H5142" s="6">
        <v>45135</v>
      </c>
      <c r="I5142">
        <f t="shared" si="160"/>
        <v>0</v>
      </c>
      <c r="J5142" t="str">
        <f t="shared" si="161"/>
        <v>Complete</v>
      </c>
      <c r="K5142">
        <f>COUNTIFS(RawData[Item], B5142,RawData[Quantity],C5142,RawData[Price Per Unit],D5142,RawData[Total Spent],E5142,RawData[Payment Method],F5142,RawData[Location],G5142,RawData[Transaction Date],H5142)</f>
        <v>1</v>
      </c>
      <c r="L5142"/>
    </row>
    <row r="5143" spans="1:12" x14ac:dyDescent="0.3">
      <c r="A5143" t="s">
        <v>5149</v>
      </c>
      <c r="B5143" t="s">
        <v>10011</v>
      </c>
      <c r="C5143">
        <v>1</v>
      </c>
      <c r="D5143">
        <v>5</v>
      </c>
      <c r="E5143">
        <v>5</v>
      </c>
      <c r="F5143" t="s">
        <v>10020</v>
      </c>
      <c r="G5143" t="s">
        <v>10102</v>
      </c>
      <c r="H5143" s="6">
        <v>45172</v>
      </c>
      <c r="I5143">
        <f t="shared" si="160"/>
        <v>0</v>
      </c>
      <c r="J5143" t="str">
        <f t="shared" si="161"/>
        <v>Complete</v>
      </c>
      <c r="K5143">
        <f>COUNTIFS(RawData[Item], B5143,RawData[Quantity],C5143,RawData[Price Per Unit],D5143,RawData[Total Spent],E5143,RawData[Payment Method],F5143,RawData[Location],G5143,RawData[Transaction Date],H5143)</f>
        <v>1</v>
      </c>
      <c r="L5143"/>
    </row>
    <row r="5144" spans="1:12" x14ac:dyDescent="0.3">
      <c r="A5144" t="s">
        <v>5150</v>
      </c>
      <c r="B5144" t="s">
        <v>10016</v>
      </c>
      <c r="C5144">
        <v>5</v>
      </c>
      <c r="D5144">
        <v>3</v>
      </c>
      <c r="E5144">
        <v>15</v>
      </c>
      <c r="F5144" t="s">
        <v>10104</v>
      </c>
      <c r="G5144" t="s">
        <v>10102</v>
      </c>
      <c r="H5144" s="6">
        <v>45218</v>
      </c>
      <c r="I5144">
        <f t="shared" si="160"/>
        <v>1</v>
      </c>
      <c r="J5144" t="str">
        <f t="shared" si="161"/>
        <v>Complete</v>
      </c>
      <c r="K5144">
        <f>COUNTIFS(RawData[Item], B5144,RawData[Quantity],C5144,RawData[Price Per Unit],D5144,RawData[Total Spent],E5144,RawData[Payment Method],F5144,RawData[Location],G5144,RawData[Transaction Date],H5144)</f>
        <v>1</v>
      </c>
      <c r="L5144"/>
    </row>
    <row r="5145" spans="1:12" x14ac:dyDescent="0.3">
      <c r="A5145" t="s">
        <v>5151</v>
      </c>
      <c r="B5145" t="s">
        <v>10009</v>
      </c>
      <c r="C5145">
        <v>3</v>
      </c>
      <c r="D5145">
        <v>3</v>
      </c>
      <c r="E5145">
        <v>9</v>
      </c>
      <c r="F5145" t="s">
        <v>10018</v>
      </c>
      <c r="G5145" t="s">
        <v>10021</v>
      </c>
      <c r="H5145" s="6">
        <v>45201</v>
      </c>
      <c r="I5145">
        <f t="shared" si="160"/>
        <v>0</v>
      </c>
      <c r="J5145" t="str">
        <f t="shared" si="161"/>
        <v>Complete</v>
      </c>
      <c r="K5145">
        <f>COUNTIFS(RawData[Item], B5145,RawData[Quantity],C5145,RawData[Price Per Unit],D5145,RawData[Total Spent],E5145,RawData[Payment Method],F5145,RawData[Location],G5145,RawData[Transaction Date],H5145)</f>
        <v>1</v>
      </c>
      <c r="L5145"/>
    </row>
    <row r="5146" spans="1:12" x14ac:dyDescent="0.3">
      <c r="A5146" t="s">
        <v>5152</v>
      </c>
      <c r="B5146" t="s">
        <v>10008</v>
      </c>
      <c r="C5146">
        <v>1</v>
      </c>
      <c r="D5146">
        <v>2</v>
      </c>
      <c r="E5146">
        <v>2</v>
      </c>
      <c r="F5146" t="s">
        <v>10018</v>
      </c>
      <c r="G5146" t="s">
        <v>10069</v>
      </c>
      <c r="H5146" s="6">
        <v>45213</v>
      </c>
      <c r="I5146">
        <f t="shared" si="160"/>
        <v>0</v>
      </c>
      <c r="J5146" t="str">
        <f t="shared" si="161"/>
        <v>Complete</v>
      </c>
      <c r="K5146">
        <f>COUNTIFS(RawData[Item], B5146,RawData[Quantity],C5146,RawData[Price Per Unit],D5146,RawData[Total Spent],E5146,RawData[Payment Method],F5146,RawData[Location],G5146,RawData[Transaction Date],H5146)</f>
        <v>1</v>
      </c>
      <c r="L5146"/>
    </row>
    <row r="5147" spans="1:12" x14ac:dyDescent="0.3">
      <c r="A5147" t="s">
        <v>5153</v>
      </c>
      <c r="B5147" t="s">
        <v>10017</v>
      </c>
      <c r="C5147">
        <v>4</v>
      </c>
      <c r="D5147">
        <v>1.5</v>
      </c>
      <c r="E5147">
        <v>6</v>
      </c>
      <c r="F5147" t="s">
        <v>10019</v>
      </c>
      <c r="G5147" t="s">
        <v>10069</v>
      </c>
      <c r="H5147" s="6">
        <v>45016</v>
      </c>
      <c r="I5147">
        <f t="shared" si="160"/>
        <v>0</v>
      </c>
      <c r="J5147" t="str">
        <f t="shared" si="161"/>
        <v>Complete</v>
      </c>
      <c r="K5147">
        <f>COUNTIFS(RawData[Item], B5147,RawData[Quantity],C5147,RawData[Price Per Unit],D5147,RawData[Total Spent],E5147,RawData[Payment Method],F5147,RawData[Location],G5147,RawData[Transaction Date],H5147)</f>
        <v>1</v>
      </c>
      <c r="L5147"/>
    </row>
    <row r="5148" spans="1:12" x14ac:dyDescent="0.3">
      <c r="A5148" t="s">
        <v>5154</v>
      </c>
      <c r="B5148" t="s">
        <v>10014</v>
      </c>
      <c r="C5148">
        <v>2</v>
      </c>
      <c r="D5148">
        <v>4</v>
      </c>
      <c r="E5148">
        <v>8</v>
      </c>
      <c r="F5148" t="s">
        <v>10069</v>
      </c>
      <c r="G5148" t="s">
        <v>10069</v>
      </c>
      <c r="H5148" s="6">
        <v>44996</v>
      </c>
      <c r="I5148">
        <f t="shared" si="160"/>
        <v>0</v>
      </c>
      <c r="J5148" t="str">
        <f t="shared" si="161"/>
        <v>Complete</v>
      </c>
      <c r="K5148">
        <f>COUNTIFS(RawData[Item], B5148,RawData[Quantity],C5148,RawData[Price Per Unit],D5148,RawData[Total Spent],E5148,RawData[Payment Method],F5148,RawData[Location],G5148,RawData[Transaction Date],H5148)</f>
        <v>1</v>
      </c>
      <c r="L5148"/>
    </row>
    <row r="5149" spans="1:12" x14ac:dyDescent="0.3">
      <c r="A5149" t="s">
        <v>5155</v>
      </c>
      <c r="B5149" t="s">
        <v>10010</v>
      </c>
      <c r="C5149">
        <v>4</v>
      </c>
      <c r="D5149">
        <v>1</v>
      </c>
      <c r="E5149">
        <v>4</v>
      </c>
      <c r="F5149" t="s">
        <v>10069</v>
      </c>
      <c r="G5149" t="s">
        <v>10069</v>
      </c>
      <c r="H5149" s="6" t="s">
        <v>10112</v>
      </c>
      <c r="I5149">
        <f t="shared" si="160"/>
        <v>1</v>
      </c>
      <c r="J5149" t="str">
        <f t="shared" si="161"/>
        <v>Incomplete</v>
      </c>
      <c r="K5149">
        <f>COUNTIFS(RawData[Item], B5149,RawData[Quantity],C5149,RawData[Price Per Unit],D5149,RawData[Total Spent],E5149,RawData[Payment Method],F5149,RawData[Location],G5149,RawData[Transaction Date],H5149)</f>
        <v>1</v>
      </c>
      <c r="L5149"/>
    </row>
    <row r="5150" spans="1:12" x14ac:dyDescent="0.3">
      <c r="A5150" t="s">
        <v>5156</v>
      </c>
      <c r="B5150" t="s">
        <v>10009</v>
      </c>
      <c r="C5150">
        <v>3</v>
      </c>
      <c r="D5150">
        <v>3</v>
      </c>
      <c r="E5150">
        <v>9</v>
      </c>
      <c r="F5150" t="s">
        <v>10020</v>
      </c>
      <c r="G5150" t="s">
        <v>10102</v>
      </c>
      <c r="H5150" s="6">
        <v>45234</v>
      </c>
      <c r="I5150">
        <f t="shared" si="160"/>
        <v>0</v>
      </c>
      <c r="J5150" t="str">
        <f t="shared" si="161"/>
        <v>Complete</v>
      </c>
      <c r="K5150">
        <f>COUNTIFS(RawData[Item], B5150,RawData[Quantity],C5150,RawData[Price Per Unit],D5150,RawData[Total Spent],E5150,RawData[Payment Method],F5150,RawData[Location],G5150,RawData[Transaction Date],H5150)</f>
        <v>1</v>
      </c>
      <c r="L5150"/>
    </row>
    <row r="5151" spans="1:12" x14ac:dyDescent="0.3">
      <c r="A5151" t="s">
        <v>5157</v>
      </c>
      <c r="B5151" t="s">
        <v>10010</v>
      </c>
      <c r="C5151">
        <v>3</v>
      </c>
      <c r="D5151">
        <v>1</v>
      </c>
      <c r="E5151">
        <v>3</v>
      </c>
      <c r="F5151" t="s">
        <v>10069</v>
      </c>
      <c r="G5151" t="s">
        <v>10021</v>
      </c>
      <c r="H5151" s="6">
        <v>45181</v>
      </c>
      <c r="I5151">
        <f t="shared" si="160"/>
        <v>0</v>
      </c>
      <c r="J5151" t="str">
        <f t="shared" si="161"/>
        <v>Complete</v>
      </c>
      <c r="K5151">
        <f>COUNTIFS(RawData[Item], B5151,RawData[Quantity],C5151,RawData[Price Per Unit],D5151,RawData[Total Spent],E5151,RawData[Payment Method],F5151,RawData[Location],G5151,RawData[Transaction Date],H5151)</f>
        <v>1</v>
      </c>
      <c r="L5151"/>
    </row>
    <row r="5152" spans="1:12" x14ac:dyDescent="0.3">
      <c r="A5152" t="s">
        <v>5158</v>
      </c>
      <c r="B5152" t="s">
        <v>10012</v>
      </c>
      <c r="C5152">
        <v>1</v>
      </c>
      <c r="D5152">
        <v>4</v>
      </c>
      <c r="E5152" t="s">
        <v>10013</v>
      </c>
      <c r="F5152" t="s">
        <v>10069</v>
      </c>
      <c r="G5152" t="s">
        <v>10102</v>
      </c>
      <c r="H5152" s="6">
        <v>44993</v>
      </c>
      <c r="I5152">
        <f t="shared" si="160"/>
        <v>1</v>
      </c>
      <c r="J5152" t="str">
        <f t="shared" si="161"/>
        <v>Complete</v>
      </c>
      <c r="K5152">
        <f>COUNTIFS(RawData[Item], B5152,RawData[Quantity],C5152,RawData[Price Per Unit],D5152,RawData[Total Spent],E5152,RawData[Payment Method],F5152,RawData[Location],G5152,RawData[Transaction Date],H5152)</f>
        <v>1</v>
      </c>
      <c r="L5152"/>
    </row>
    <row r="5153" spans="1:12" x14ac:dyDescent="0.3">
      <c r="A5153" t="s">
        <v>5159</v>
      </c>
      <c r="B5153" t="s">
        <v>10017</v>
      </c>
      <c r="C5153">
        <v>3</v>
      </c>
      <c r="D5153">
        <v>1.5</v>
      </c>
      <c r="E5153">
        <v>4.5</v>
      </c>
      <c r="F5153" t="s">
        <v>10020</v>
      </c>
      <c r="G5153" t="s">
        <v>10069</v>
      </c>
      <c r="H5153" s="6">
        <v>45283</v>
      </c>
      <c r="I5153">
        <f t="shared" si="160"/>
        <v>0</v>
      </c>
      <c r="J5153" t="str">
        <f t="shared" si="161"/>
        <v>Complete</v>
      </c>
      <c r="K5153">
        <f>COUNTIFS(RawData[Item], B5153,RawData[Quantity],C5153,RawData[Price Per Unit],D5153,RawData[Total Spent],E5153,RawData[Payment Method],F5153,RawData[Location],G5153,RawData[Transaction Date],H5153)</f>
        <v>1</v>
      </c>
      <c r="L5153"/>
    </row>
    <row r="5154" spans="1:12" x14ac:dyDescent="0.3">
      <c r="A5154" t="s">
        <v>5160</v>
      </c>
      <c r="B5154" t="s">
        <v>10016</v>
      </c>
      <c r="C5154">
        <v>2</v>
      </c>
      <c r="D5154">
        <v>3</v>
      </c>
      <c r="E5154">
        <v>6</v>
      </c>
      <c r="F5154" t="s">
        <v>10018</v>
      </c>
      <c r="G5154" t="s">
        <v>10103</v>
      </c>
      <c r="H5154" s="6">
        <v>45005</v>
      </c>
      <c r="I5154">
        <f t="shared" si="160"/>
        <v>1</v>
      </c>
      <c r="J5154" t="str">
        <f t="shared" si="161"/>
        <v>Complete</v>
      </c>
      <c r="K5154">
        <f>COUNTIFS(RawData[Item], B5154,RawData[Quantity],C5154,RawData[Price Per Unit],D5154,RawData[Total Spent],E5154,RawData[Payment Method],F5154,RawData[Location],G5154,RawData[Transaction Date],H5154)</f>
        <v>1</v>
      </c>
      <c r="L5154"/>
    </row>
    <row r="5155" spans="1:12" x14ac:dyDescent="0.3">
      <c r="A5155" t="s">
        <v>5161</v>
      </c>
      <c r="B5155" t="s">
        <v>10011</v>
      </c>
      <c r="C5155">
        <v>5</v>
      </c>
      <c r="D5155">
        <v>5</v>
      </c>
      <c r="E5155">
        <v>25</v>
      </c>
      <c r="F5155" t="s">
        <v>10020</v>
      </c>
      <c r="G5155" t="s">
        <v>10069</v>
      </c>
      <c r="H5155" s="6" t="s">
        <v>10112</v>
      </c>
      <c r="I5155">
        <f t="shared" si="160"/>
        <v>1</v>
      </c>
      <c r="J5155" t="str">
        <f t="shared" si="161"/>
        <v>Incomplete</v>
      </c>
      <c r="K5155">
        <f>COUNTIFS(RawData[Item], B5155,RawData[Quantity],C5155,RawData[Price Per Unit],D5155,RawData[Total Spent],E5155,RawData[Payment Method],F5155,RawData[Location],G5155,RawData[Transaction Date],H5155)</f>
        <v>2</v>
      </c>
      <c r="L5155"/>
    </row>
    <row r="5156" spans="1:12" x14ac:dyDescent="0.3">
      <c r="A5156" t="s">
        <v>5162</v>
      </c>
      <c r="B5156" t="s">
        <v>10011</v>
      </c>
      <c r="C5156">
        <v>2</v>
      </c>
      <c r="D5156">
        <v>5</v>
      </c>
      <c r="E5156">
        <v>10</v>
      </c>
      <c r="F5156" t="s">
        <v>10019</v>
      </c>
      <c r="G5156" t="s">
        <v>10069</v>
      </c>
      <c r="H5156" s="6">
        <v>45202</v>
      </c>
      <c r="I5156">
        <f t="shared" si="160"/>
        <v>0</v>
      </c>
      <c r="J5156" t="str">
        <f t="shared" si="161"/>
        <v>Complete</v>
      </c>
      <c r="K5156">
        <f>COUNTIFS(RawData[Item], B5156,RawData[Quantity],C5156,RawData[Price Per Unit],D5156,RawData[Total Spent],E5156,RawData[Payment Method],F5156,RawData[Location],G5156,RawData[Transaction Date],H5156)</f>
        <v>1</v>
      </c>
      <c r="L5156"/>
    </row>
    <row r="5157" spans="1:12" x14ac:dyDescent="0.3">
      <c r="A5157" t="s">
        <v>5163</v>
      </c>
      <c r="B5157" t="s">
        <v>10016</v>
      </c>
      <c r="C5157">
        <v>3</v>
      </c>
      <c r="D5157">
        <v>3</v>
      </c>
      <c r="E5157">
        <v>9</v>
      </c>
      <c r="F5157" t="s">
        <v>10020</v>
      </c>
      <c r="G5157" t="s">
        <v>10103</v>
      </c>
      <c r="H5157" s="6">
        <v>45152</v>
      </c>
      <c r="I5157">
        <f t="shared" si="160"/>
        <v>1</v>
      </c>
      <c r="J5157" t="str">
        <f t="shared" si="161"/>
        <v>Complete</v>
      </c>
      <c r="K5157">
        <f>COUNTIFS(RawData[Item], B5157,RawData[Quantity],C5157,RawData[Price Per Unit],D5157,RawData[Total Spent],E5157,RawData[Payment Method],F5157,RawData[Location],G5157,RawData[Transaction Date],H5157)</f>
        <v>1</v>
      </c>
      <c r="L5157"/>
    </row>
    <row r="5158" spans="1:12" x14ac:dyDescent="0.3">
      <c r="A5158" t="s">
        <v>5164</v>
      </c>
      <c r="B5158" t="s">
        <v>10011</v>
      </c>
      <c r="C5158">
        <v>1</v>
      </c>
      <c r="D5158" t="s">
        <v>10013</v>
      </c>
      <c r="E5158">
        <v>5</v>
      </c>
      <c r="F5158" t="s">
        <v>10020</v>
      </c>
      <c r="G5158" t="s">
        <v>10021</v>
      </c>
      <c r="H5158" s="6">
        <v>45154</v>
      </c>
      <c r="I5158">
        <f t="shared" si="160"/>
        <v>1</v>
      </c>
      <c r="J5158" t="str">
        <f t="shared" si="161"/>
        <v>Complete</v>
      </c>
      <c r="K5158">
        <f>COUNTIFS(RawData[Item], B5158,RawData[Quantity],C5158,RawData[Price Per Unit],D5158,RawData[Total Spent],E5158,RawData[Payment Method],F5158,RawData[Location],G5158,RawData[Transaction Date],H5158)</f>
        <v>1</v>
      </c>
      <c r="L5158"/>
    </row>
    <row r="5159" spans="1:12" x14ac:dyDescent="0.3">
      <c r="A5159" t="s">
        <v>5165</v>
      </c>
      <c r="B5159" t="s">
        <v>10016</v>
      </c>
      <c r="C5159">
        <v>4</v>
      </c>
      <c r="D5159">
        <v>3</v>
      </c>
      <c r="E5159">
        <v>12</v>
      </c>
      <c r="F5159" t="s">
        <v>10018</v>
      </c>
      <c r="G5159" t="s">
        <v>10104</v>
      </c>
      <c r="H5159" s="6">
        <v>45137</v>
      </c>
      <c r="I5159">
        <f t="shared" si="160"/>
        <v>1</v>
      </c>
      <c r="J5159" t="str">
        <f t="shared" si="161"/>
        <v>Complete</v>
      </c>
      <c r="K5159">
        <f>COUNTIFS(RawData[Item], B5159,RawData[Quantity],C5159,RawData[Price Per Unit],D5159,RawData[Total Spent],E5159,RawData[Payment Method],F5159,RawData[Location],G5159,RawData[Transaction Date],H5159)</f>
        <v>1</v>
      </c>
      <c r="L5159"/>
    </row>
    <row r="5160" spans="1:12" x14ac:dyDescent="0.3">
      <c r="A5160" t="s">
        <v>5166</v>
      </c>
      <c r="B5160" t="s">
        <v>10008</v>
      </c>
      <c r="C5160">
        <v>2</v>
      </c>
      <c r="D5160">
        <v>2</v>
      </c>
      <c r="E5160">
        <v>4</v>
      </c>
      <c r="F5160" t="s">
        <v>10019</v>
      </c>
      <c r="G5160" t="s">
        <v>10021</v>
      </c>
      <c r="H5160" s="6">
        <v>44987</v>
      </c>
      <c r="I5160">
        <f t="shared" si="160"/>
        <v>0</v>
      </c>
      <c r="J5160" t="str">
        <f t="shared" si="161"/>
        <v>Complete</v>
      </c>
      <c r="K5160">
        <f>COUNTIFS(RawData[Item], B5160,RawData[Quantity],C5160,RawData[Price Per Unit],D5160,RawData[Total Spent],E5160,RawData[Payment Method],F5160,RawData[Location],G5160,RawData[Transaction Date],H5160)</f>
        <v>1</v>
      </c>
      <c r="L5160"/>
    </row>
    <row r="5161" spans="1:12" x14ac:dyDescent="0.3">
      <c r="A5161" t="s">
        <v>5167</v>
      </c>
      <c r="B5161" t="s">
        <v>10008</v>
      </c>
      <c r="C5161">
        <v>1</v>
      </c>
      <c r="D5161">
        <v>2</v>
      </c>
      <c r="E5161">
        <v>2</v>
      </c>
      <c r="F5161" t="s">
        <v>10020</v>
      </c>
      <c r="G5161" t="s">
        <v>10102</v>
      </c>
      <c r="H5161" s="6">
        <v>45152</v>
      </c>
      <c r="I5161">
        <f t="shared" si="160"/>
        <v>0</v>
      </c>
      <c r="J5161" t="str">
        <f t="shared" si="161"/>
        <v>Complete</v>
      </c>
      <c r="K5161">
        <f>COUNTIFS(RawData[Item], B5161,RawData[Quantity],C5161,RawData[Price Per Unit],D5161,RawData[Total Spent],E5161,RawData[Payment Method],F5161,RawData[Location],G5161,RawData[Transaction Date],H5161)</f>
        <v>1</v>
      </c>
      <c r="L5161"/>
    </row>
    <row r="5162" spans="1:12" x14ac:dyDescent="0.3">
      <c r="A5162" t="s">
        <v>5168</v>
      </c>
      <c r="B5162" t="s">
        <v>10012</v>
      </c>
      <c r="C5162">
        <v>4</v>
      </c>
      <c r="D5162">
        <v>4</v>
      </c>
      <c r="E5162">
        <v>16</v>
      </c>
      <c r="F5162" t="s">
        <v>10020</v>
      </c>
      <c r="G5162" t="s">
        <v>10102</v>
      </c>
      <c r="H5162" s="6">
        <v>45260</v>
      </c>
      <c r="I5162">
        <f t="shared" si="160"/>
        <v>0</v>
      </c>
      <c r="J5162" t="str">
        <f t="shared" si="161"/>
        <v>Complete</v>
      </c>
      <c r="K5162">
        <f>COUNTIFS(RawData[Item], B5162,RawData[Quantity],C5162,RawData[Price Per Unit],D5162,RawData[Total Spent],E5162,RawData[Payment Method],F5162,RawData[Location],G5162,RawData[Transaction Date],H5162)</f>
        <v>1</v>
      </c>
      <c r="L5162"/>
    </row>
    <row r="5163" spans="1:12" x14ac:dyDescent="0.3">
      <c r="A5163" t="s">
        <v>5169</v>
      </c>
      <c r="B5163" t="s">
        <v>10009</v>
      </c>
      <c r="C5163">
        <v>3</v>
      </c>
      <c r="D5163">
        <v>3</v>
      </c>
      <c r="E5163">
        <v>9</v>
      </c>
      <c r="F5163" t="s">
        <v>10020</v>
      </c>
      <c r="G5163" t="s">
        <v>10069</v>
      </c>
      <c r="H5163" s="6">
        <v>45022</v>
      </c>
      <c r="I5163">
        <f t="shared" si="160"/>
        <v>0</v>
      </c>
      <c r="J5163" t="str">
        <f t="shared" si="161"/>
        <v>Complete</v>
      </c>
      <c r="K5163">
        <f>COUNTIFS(RawData[Item], B5163,RawData[Quantity],C5163,RawData[Price Per Unit],D5163,RawData[Total Spent],E5163,RawData[Payment Method],F5163,RawData[Location],G5163,RawData[Transaction Date],H5163)</f>
        <v>1</v>
      </c>
      <c r="L5163"/>
    </row>
    <row r="5164" spans="1:12" x14ac:dyDescent="0.3">
      <c r="A5164" t="s">
        <v>5170</v>
      </c>
      <c r="B5164" t="s">
        <v>10012</v>
      </c>
      <c r="C5164">
        <v>2</v>
      </c>
      <c r="D5164">
        <v>4</v>
      </c>
      <c r="E5164">
        <v>8</v>
      </c>
      <c r="F5164" t="s">
        <v>10018</v>
      </c>
      <c r="G5164" t="s">
        <v>10021</v>
      </c>
      <c r="H5164" s="6">
        <v>45182</v>
      </c>
      <c r="I5164">
        <f t="shared" si="160"/>
        <v>0</v>
      </c>
      <c r="J5164" t="str">
        <f t="shared" si="161"/>
        <v>Complete</v>
      </c>
      <c r="K5164">
        <f>COUNTIFS(RawData[Item], B5164,RawData[Quantity],C5164,RawData[Price Per Unit],D5164,RawData[Total Spent],E5164,RawData[Payment Method],F5164,RawData[Location],G5164,RawData[Transaction Date],H5164)</f>
        <v>1</v>
      </c>
      <c r="L5164"/>
    </row>
    <row r="5165" spans="1:12" x14ac:dyDescent="0.3">
      <c r="A5165" t="s">
        <v>5171</v>
      </c>
      <c r="B5165" t="s">
        <v>10008</v>
      </c>
      <c r="C5165">
        <v>5</v>
      </c>
      <c r="D5165">
        <v>2</v>
      </c>
      <c r="E5165">
        <v>10</v>
      </c>
      <c r="F5165" t="s">
        <v>10069</v>
      </c>
      <c r="G5165" t="s">
        <v>10069</v>
      </c>
      <c r="H5165" s="6">
        <v>45219</v>
      </c>
      <c r="I5165">
        <f t="shared" si="160"/>
        <v>0</v>
      </c>
      <c r="J5165" t="str">
        <f t="shared" si="161"/>
        <v>Complete</v>
      </c>
      <c r="K5165">
        <f>COUNTIFS(RawData[Item], B5165,RawData[Quantity],C5165,RawData[Price Per Unit],D5165,RawData[Total Spent],E5165,RawData[Payment Method],F5165,RawData[Location],G5165,RawData[Transaction Date],H5165)</f>
        <v>1</v>
      </c>
      <c r="L5165"/>
    </row>
    <row r="5166" spans="1:12" x14ac:dyDescent="0.3">
      <c r="A5166" t="s">
        <v>5172</v>
      </c>
      <c r="B5166" t="s">
        <v>10014</v>
      </c>
      <c r="C5166">
        <v>5</v>
      </c>
      <c r="D5166">
        <v>4</v>
      </c>
      <c r="E5166" t="s">
        <v>10015</v>
      </c>
      <c r="F5166" t="s">
        <v>10019</v>
      </c>
      <c r="G5166" t="s">
        <v>10021</v>
      </c>
      <c r="H5166" s="6">
        <v>44997</v>
      </c>
      <c r="I5166">
        <f t="shared" si="160"/>
        <v>1</v>
      </c>
      <c r="J5166" t="str">
        <f t="shared" si="161"/>
        <v>Complete</v>
      </c>
      <c r="K5166">
        <f>COUNTIFS(RawData[Item], B5166,RawData[Quantity],C5166,RawData[Price Per Unit],D5166,RawData[Total Spent],E5166,RawData[Payment Method],F5166,RawData[Location],G5166,RawData[Transaction Date],H5166)</f>
        <v>1</v>
      </c>
      <c r="L5166"/>
    </row>
    <row r="5167" spans="1:12" x14ac:dyDescent="0.3">
      <c r="A5167" t="s">
        <v>5173</v>
      </c>
      <c r="B5167" t="s">
        <v>10013</v>
      </c>
      <c r="C5167">
        <v>4</v>
      </c>
      <c r="D5167">
        <v>1.5</v>
      </c>
      <c r="E5167">
        <v>6</v>
      </c>
      <c r="F5167" t="s">
        <v>10018</v>
      </c>
      <c r="G5167" t="s">
        <v>10069</v>
      </c>
      <c r="H5167" s="6">
        <v>45246</v>
      </c>
      <c r="I5167">
        <f t="shared" si="160"/>
        <v>1</v>
      </c>
      <c r="J5167" t="str">
        <f t="shared" si="161"/>
        <v>Complete</v>
      </c>
      <c r="K5167">
        <f>COUNTIFS(RawData[Item], B5167,RawData[Quantity],C5167,RawData[Price Per Unit],D5167,RawData[Total Spent],E5167,RawData[Payment Method],F5167,RawData[Location],G5167,RawData[Transaction Date],H5167)</f>
        <v>1</v>
      </c>
      <c r="L5167"/>
    </row>
    <row r="5168" spans="1:12" x14ac:dyDescent="0.3">
      <c r="A5168" t="s">
        <v>5174</v>
      </c>
      <c r="B5168" t="s">
        <v>10011</v>
      </c>
      <c r="C5168">
        <v>1</v>
      </c>
      <c r="D5168">
        <v>5</v>
      </c>
      <c r="E5168">
        <v>5</v>
      </c>
      <c r="F5168" t="s">
        <v>10019</v>
      </c>
      <c r="G5168" t="s">
        <v>10102</v>
      </c>
      <c r="H5168" s="6">
        <v>44982</v>
      </c>
      <c r="I5168">
        <f t="shared" si="160"/>
        <v>0</v>
      </c>
      <c r="J5168" t="str">
        <f t="shared" si="161"/>
        <v>Complete</v>
      </c>
      <c r="K5168">
        <f>COUNTIFS(RawData[Item], B5168,RawData[Quantity],C5168,RawData[Price Per Unit],D5168,RawData[Total Spent],E5168,RawData[Payment Method],F5168,RawData[Location],G5168,RawData[Transaction Date],H5168)</f>
        <v>1</v>
      </c>
      <c r="L5168"/>
    </row>
    <row r="5169" spans="1:12" x14ac:dyDescent="0.3">
      <c r="A5169" t="s">
        <v>5175</v>
      </c>
      <c r="B5169" t="s">
        <v>10012</v>
      </c>
      <c r="C5169" t="s">
        <v>10013</v>
      </c>
      <c r="D5169">
        <v>4</v>
      </c>
      <c r="E5169">
        <v>20</v>
      </c>
      <c r="F5169" t="s">
        <v>10020</v>
      </c>
      <c r="G5169" t="s">
        <v>10069</v>
      </c>
      <c r="H5169" s="6">
        <v>45036</v>
      </c>
      <c r="I5169">
        <f t="shared" si="160"/>
        <v>1</v>
      </c>
      <c r="J5169" t="str">
        <f t="shared" si="161"/>
        <v>Complete</v>
      </c>
      <c r="K5169">
        <f>COUNTIFS(RawData[Item], B5169,RawData[Quantity],C5169,RawData[Price Per Unit],D5169,RawData[Total Spent],E5169,RawData[Payment Method],F5169,RawData[Location],G5169,RawData[Transaction Date],H5169)</f>
        <v>1</v>
      </c>
      <c r="L5169"/>
    </row>
    <row r="5170" spans="1:12" x14ac:dyDescent="0.3">
      <c r="A5170" t="s">
        <v>5176</v>
      </c>
      <c r="B5170" t="s">
        <v>10008</v>
      </c>
      <c r="C5170">
        <v>2</v>
      </c>
      <c r="D5170">
        <v>2</v>
      </c>
      <c r="E5170">
        <v>4</v>
      </c>
      <c r="F5170" t="s">
        <v>10020</v>
      </c>
      <c r="G5170" t="s">
        <v>10069</v>
      </c>
      <c r="H5170" s="6">
        <v>45145</v>
      </c>
      <c r="I5170">
        <f t="shared" si="160"/>
        <v>0</v>
      </c>
      <c r="J5170" t="str">
        <f t="shared" si="161"/>
        <v>Complete</v>
      </c>
      <c r="K5170">
        <f>COUNTIFS(RawData[Item], B5170,RawData[Quantity],C5170,RawData[Price Per Unit],D5170,RawData[Total Spent],E5170,RawData[Payment Method],F5170,RawData[Location],G5170,RawData[Transaction Date],H5170)</f>
        <v>1</v>
      </c>
      <c r="L5170"/>
    </row>
    <row r="5171" spans="1:12" x14ac:dyDescent="0.3">
      <c r="A5171" t="s">
        <v>5177</v>
      </c>
      <c r="B5171" t="s">
        <v>10009</v>
      </c>
      <c r="C5171">
        <v>3</v>
      </c>
      <c r="D5171">
        <v>3</v>
      </c>
      <c r="E5171">
        <v>9</v>
      </c>
      <c r="F5171" t="s">
        <v>10018</v>
      </c>
      <c r="G5171" t="s">
        <v>10069</v>
      </c>
      <c r="H5171" s="6">
        <v>44954</v>
      </c>
      <c r="I5171">
        <f t="shared" si="160"/>
        <v>0</v>
      </c>
      <c r="J5171" t="str">
        <f t="shared" si="161"/>
        <v>Complete</v>
      </c>
      <c r="K5171">
        <f>COUNTIFS(RawData[Item], B5171,RawData[Quantity],C5171,RawData[Price Per Unit],D5171,RawData[Total Spent],E5171,RawData[Payment Method],F5171,RawData[Location],G5171,RawData[Transaction Date],H5171)</f>
        <v>1</v>
      </c>
      <c r="L5171"/>
    </row>
    <row r="5172" spans="1:12" x14ac:dyDescent="0.3">
      <c r="A5172" t="s">
        <v>5178</v>
      </c>
      <c r="B5172" t="s">
        <v>10017</v>
      </c>
      <c r="C5172">
        <v>2</v>
      </c>
      <c r="D5172">
        <v>1.5</v>
      </c>
      <c r="E5172">
        <v>3</v>
      </c>
      <c r="F5172" t="s">
        <v>10020</v>
      </c>
      <c r="G5172" t="s">
        <v>10069</v>
      </c>
      <c r="H5172" s="6">
        <v>45192</v>
      </c>
      <c r="I5172">
        <f t="shared" si="160"/>
        <v>0</v>
      </c>
      <c r="J5172" t="str">
        <f t="shared" si="161"/>
        <v>Complete</v>
      </c>
      <c r="K5172">
        <f>COUNTIFS(RawData[Item], B5172,RawData[Quantity],C5172,RawData[Price Per Unit],D5172,RawData[Total Spent],E5172,RawData[Payment Method],F5172,RawData[Location],G5172,RawData[Transaction Date],H5172)</f>
        <v>1</v>
      </c>
      <c r="L5172"/>
    </row>
    <row r="5173" spans="1:12" x14ac:dyDescent="0.3">
      <c r="A5173" t="s">
        <v>5179</v>
      </c>
      <c r="B5173" t="s">
        <v>10011</v>
      </c>
      <c r="C5173">
        <v>1</v>
      </c>
      <c r="D5173">
        <v>5</v>
      </c>
      <c r="E5173">
        <v>5</v>
      </c>
      <c r="F5173" t="s">
        <v>10020</v>
      </c>
      <c r="G5173" t="s">
        <v>10021</v>
      </c>
      <c r="H5173" s="6">
        <v>45117</v>
      </c>
      <c r="I5173">
        <f t="shared" si="160"/>
        <v>0</v>
      </c>
      <c r="J5173" t="str">
        <f t="shared" si="161"/>
        <v>Complete</v>
      </c>
      <c r="K5173">
        <f>COUNTIFS(RawData[Item], B5173,RawData[Quantity],C5173,RawData[Price Per Unit],D5173,RawData[Total Spent],E5173,RawData[Payment Method],F5173,RawData[Location],G5173,RawData[Transaction Date],H5173)</f>
        <v>1</v>
      </c>
      <c r="L5173"/>
    </row>
    <row r="5174" spans="1:12" x14ac:dyDescent="0.3">
      <c r="A5174" t="s">
        <v>5180</v>
      </c>
      <c r="B5174" t="s">
        <v>10012</v>
      </c>
      <c r="C5174">
        <v>2</v>
      </c>
      <c r="D5174" t="s">
        <v>10015</v>
      </c>
      <c r="E5174">
        <v>8</v>
      </c>
      <c r="F5174" t="s">
        <v>10018</v>
      </c>
      <c r="G5174" t="s">
        <v>10069</v>
      </c>
      <c r="H5174" s="6">
        <v>45083</v>
      </c>
      <c r="I5174">
        <f t="shared" si="160"/>
        <v>1</v>
      </c>
      <c r="J5174" t="str">
        <f t="shared" si="161"/>
        <v>Complete</v>
      </c>
      <c r="K5174">
        <f>COUNTIFS(RawData[Item], B5174,RawData[Quantity],C5174,RawData[Price Per Unit],D5174,RawData[Total Spent],E5174,RawData[Payment Method],F5174,RawData[Location],G5174,RawData[Transaction Date],H5174)</f>
        <v>1</v>
      </c>
      <c r="L5174"/>
    </row>
    <row r="5175" spans="1:12" x14ac:dyDescent="0.3">
      <c r="A5175" t="s">
        <v>5181</v>
      </c>
      <c r="B5175" t="s">
        <v>10009</v>
      </c>
      <c r="C5175">
        <v>4</v>
      </c>
      <c r="D5175">
        <v>0</v>
      </c>
      <c r="E5175">
        <v>12</v>
      </c>
      <c r="F5175" t="s">
        <v>10069</v>
      </c>
      <c r="G5175" t="s">
        <v>10021</v>
      </c>
      <c r="H5175" s="6">
        <v>45077</v>
      </c>
      <c r="I5175">
        <f t="shared" si="160"/>
        <v>0</v>
      </c>
      <c r="J5175" t="str">
        <f t="shared" si="161"/>
        <v>Complete</v>
      </c>
      <c r="K5175">
        <f>COUNTIFS(RawData[Item], B5175,RawData[Quantity],C5175,RawData[Price Per Unit],D5175,RawData[Total Spent],E5175,RawData[Payment Method],F5175,RawData[Location],G5175,RawData[Transaction Date],H5175)</f>
        <v>1</v>
      </c>
      <c r="L5175"/>
    </row>
    <row r="5176" spans="1:12" x14ac:dyDescent="0.3">
      <c r="A5176" t="s">
        <v>5182</v>
      </c>
      <c r="B5176" t="s">
        <v>10008</v>
      </c>
      <c r="C5176">
        <v>2</v>
      </c>
      <c r="D5176">
        <v>2</v>
      </c>
      <c r="E5176">
        <v>4</v>
      </c>
      <c r="F5176" t="s">
        <v>10020</v>
      </c>
      <c r="G5176" t="s">
        <v>10069</v>
      </c>
      <c r="H5176" s="6">
        <v>45228</v>
      </c>
      <c r="I5176">
        <f t="shared" si="160"/>
        <v>0</v>
      </c>
      <c r="J5176" t="str">
        <f t="shared" si="161"/>
        <v>Complete</v>
      </c>
      <c r="K5176">
        <f>COUNTIFS(RawData[Item], B5176,RawData[Quantity],C5176,RawData[Price Per Unit],D5176,RawData[Total Spent],E5176,RawData[Payment Method],F5176,RawData[Location],G5176,RawData[Transaction Date],H5176)</f>
        <v>1</v>
      </c>
      <c r="L5176"/>
    </row>
    <row r="5177" spans="1:12" x14ac:dyDescent="0.3">
      <c r="A5177" t="s">
        <v>5183</v>
      </c>
      <c r="B5177" t="s">
        <v>10011</v>
      </c>
      <c r="C5177">
        <v>5</v>
      </c>
      <c r="D5177">
        <v>5</v>
      </c>
      <c r="E5177">
        <v>25</v>
      </c>
      <c r="F5177" t="s">
        <v>10020</v>
      </c>
      <c r="G5177" t="s">
        <v>10021</v>
      </c>
      <c r="H5177" s="6">
        <v>45052</v>
      </c>
      <c r="I5177">
        <f t="shared" si="160"/>
        <v>0</v>
      </c>
      <c r="J5177" t="str">
        <f t="shared" si="161"/>
        <v>Complete</v>
      </c>
      <c r="K5177">
        <f>COUNTIFS(RawData[Item], B5177,RawData[Quantity],C5177,RawData[Price Per Unit],D5177,RawData[Total Spent],E5177,RawData[Payment Method],F5177,RawData[Location],G5177,RawData[Transaction Date],H5177)</f>
        <v>1</v>
      </c>
      <c r="L5177"/>
    </row>
    <row r="5178" spans="1:12" x14ac:dyDescent="0.3">
      <c r="A5178" t="s">
        <v>5184</v>
      </c>
      <c r="B5178" t="s">
        <v>10010</v>
      </c>
      <c r="C5178">
        <v>4</v>
      </c>
      <c r="D5178">
        <v>1</v>
      </c>
      <c r="E5178">
        <v>4</v>
      </c>
      <c r="F5178" t="s">
        <v>10019</v>
      </c>
      <c r="G5178" t="s">
        <v>10102</v>
      </c>
      <c r="H5178" s="6">
        <v>45145</v>
      </c>
      <c r="I5178">
        <f t="shared" si="160"/>
        <v>0</v>
      </c>
      <c r="J5178" t="str">
        <f t="shared" si="161"/>
        <v>Complete</v>
      </c>
      <c r="K5178">
        <f>COUNTIFS(RawData[Item], B5178,RawData[Quantity],C5178,RawData[Price Per Unit],D5178,RawData[Total Spent],E5178,RawData[Payment Method],F5178,RawData[Location],G5178,RawData[Transaction Date],H5178)</f>
        <v>1</v>
      </c>
      <c r="L5178"/>
    </row>
    <row r="5179" spans="1:12" x14ac:dyDescent="0.3">
      <c r="A5179" t="s">
        <v>5185</v>
      </c>
      <c r="B5179" t="s">
        <v>10016</v>
      </c>
      <c r="C5179">
        <v>3</v>
      </c>
      <c r="D5179">
        <v>3</v>
      </c>
      <c r="E5179">
        <v>9</v>
      </c>
      <c r="F5179" t="s">
        <v>10020</v>
      </c>
      <c r="G5179" t="s">
        <v>10021</v>
      </c>
      <c r="H5179" s="6">
        <v>44949</v>
      </c>
      <c r="I5179">
        <f t="shared" si="160"/>
        <v>0</v>
      </c>
      <c r="J5179" t="str">
        <f t="shared" si="161"/>
        <v>Complete</v>
      </c>
      <c r="K5179">
        <f>COUNTIFS(RawData[Item], B5179,RawData[Quantity],C5179,RawData[Price Per Unit],D5179,RawData[Total Spent],E5179,RawData[Payment Method],F5179,RawData[Location],G5179,RawData[Transaction Date],H5179)</f>
        <v>1</v>
      </c>
      <c r="L5179"/>
    </row>
    <row r="5180" spans="1:12" x14ac:dyDescent="0.3">
      <c r="A5180" t="s">
        <v>5186</v>
      </c>
      <c r="B5180" t="s">
        <v>10009</v>
      </c>
      <c r="C5180">
        <v>1</v>
      </c>
      <c r="D5180">
        <v>3</v>
      </c>
      <c r="E5180">
        <v>3</v>
      </c>
      <c r="F5180" t="s">
        <v>10020</v>
      </c>
      <c r="G5180" t="s">
        <v>10104</v>
      </c>
      <c r="H5180" s="6">
        <v>45117</v>
      </c>
      <c r="I5180">
        <f t="shared" si="160"/>
        <v>1</v>
      </c>
      <c r="J5180" t="str">
        <f t="shared" si="161"/>
        <v>Complete</v>
      </c>
      <c r="K5180">
        <f>COUNTIFS(RawData[Item], B5180,RawData[Quantity],C5180,RawData[Price Per Unit],D5180,RawData[Total Spent],E5180,RawData[Payment Method],F5180,RawData[Location],G5180,RawData[Transaction Date],H5180)</f>
        <v>1</v>
      </c>
      <c r="L5180"/>
    </row>
    <row r="5181" spans="1:12" x14ac:dyDescent="0.3">
      <c r="A5181" t="s">
        <v>5187</v>
      </c>
      <c r="B5181" t="s">
        <v>10009</v>
      </c>
      <c r="C5181">
        <v>5</v>
      </c>
      <c r="D5181">
        <v>3</v>
      </c>
      <c r="E5181">
        <v>15</v>
      </c>
      <c r="F5181" t="s">
        <v>10069</v>
      </c>
      <c r="G5181" t="s">
        <v>10021</v>
      </c>
      <c r="H5181" s="6" t="s">
        <v>10112</v>
      </c>
      <c r="I5181">
        <f t="shared" si="160"/>
        <v>1</v>
      </c>
      <c r="J5181" t="str">
        <f t="shared" si="161"/>
        <v>Incomplete</v>
      </c>
      <c r="K5181">
        <f>COUNTIFS(RawData[Item], B5181,RawData[Quantity],C5181,RawData[Price Per Unit],D5181,RawData[Total Spent],E5181,RawData[Payment Method],F5181,RawData[Location],G5181,RawData[Transaction Date],H5181)</f>
        <v>2</v>
      </c>
      <c r="L5181"/>
    </row>
    <row r="5182" spans="1:12" x14ac:dyDescent="0.3">
      <c r="A5182" t="s">
        <v>5188</v>
      </c>
      <c r="B5182" t="s">
        <v>10011</v>
      </c>
      <c r="C5182">
        <v>4</v>
      </c>
      <c r="D5182">
        <v>5</v>
      </c>
      <c r="E5182" t="s">
        <v>10013</v>
      </c>
      <c r="F5182" t="s">
        <v>10020</v>
      </c>
      <c r="G5182" t="s">
        <v>10102</v>
      </c>
      <c r="H5182" s="6">
        <v>45274</v>
      </c>
      <c r="I5182">
        <f t="shared" si="160"/>
        <v>1</v>
      </c>
      <c r="J5182" t="str">
        <f t="shared" si="161"/>
        <v>Complete</v>
      </c>
      <c r="K5182">
        <f>COUNTIFS(RawData[Item], B5182,RawData[Quantity],C5182,RawData[Price Per Unit],D5182,RawData[Total Spent],E5182,RawData[Payment Method],F5182,RawData[Location],G5182,RawData[Transaction Date],H5182)</f>
        <v>1</v>
      </c>
      <c r="L5182"/>
    </row>
    <row r="5183" spans="1:12" x14ac:dyDescent="0.3">
      <c r="A5183" t="s">
        <v>5189</v>
      </c>
      <c r="B5183" t="s">
        <v>10012</v>
      </c>
      <c r="C5183">
        <v>4</v>
      </c>
      <c r="D5183">
        <v>4</v>
      </c>
      <c r="E5183">
        <v>16</v>
      </c>
      <c r="F5183" t="s">
        <v>10069</v>
      </c>
      <c r="G5183" t="s">
        <v>10069</v>
      </c>
      <c r="H5183" s="6">
        <v>45191</v>
      </c>
      <c r="I5183">
        <f t="shared" si="160"/>
        <v>0</v>
      </c>
      <c r="J5183" t="str">
        <f t="shared" si="161"/>
        <v>Complete</v>
      </c>
      <c r="K5183">
        <f>COUNTIFS(RawData[Item], B5183,RawData[Quantity],C5183,RawData[Price Per Unit],D5183,RawData[Total Spent],E5183,RawData[Payment Method],F5183,RawData[Location],G5183,RawData[Transaction Date],H5183)</f>
        <v>1</v>
      </c>
      <c r="L5183"/>
    </row>
    <row r="5184" spans="1:12" x14ac:dyDescent="0.3">
      <c r="A5184" t="s">
        <v>5190</v>
      </c>
      <c r="B5184" t="s">
        <v>10010</v>
      </c>
      <c r="C5184">
        <v>2</v>
      </c>
      <c r="D5184">
        <v>1</v>
      </c>
      <c r="E5184">
        <v>2</v>
      </c>
      <c r="F5184" t="s">
        <v>10019</v>
      </c>
      <c r="G5184" t="s">
        <v>10021</v>
      </c>
      <c r="H5184" s="6">
        <v>45033</v>
      </c>
      <c r="I5184">
        <f t="shared" si="160"/>
        <v>0</v>
      </c>
      <c r="J5184" t="str">
        <f t="shared" si="161"/>
        <v>Complete</v>
      </c>
      <c r="K5184">
        <f>COUNTIFS(RawData[Item], B5184,RawData[Quantity],C5184,RawData[Price Per Unit],D5184,RawData[Total Spent],E5184,RawData[Payment Method],F5184,RawData[Location],G5184,RawData[Transaction Date],H5184)</f>
        <v>1</v>
      </c>
      <c r="L5184"/>
    </row>
    <row r="5185" spans="1:12" x14ac:dyDescent="0.3">
      <c r="A5185" t="s">
        <v>5191</v>
      </c>
      <c r="B5185" t="s">
        <v>10014</v>
      </c>
      <c r="C5185" t="s">
        <v>10013</v>
      </c>
      <c r="D5185">
        <v>4</v>
      </c>
      <c r="E5185">
        <v>8</v>
      </c>
      <c r="F5185" t="s">
        <v>10018</v>
      </c>
      <c r="G5185" t="s">
        <v>10102</v>
      </c>
      <c r="H5185" s="6">
        <v>45102</v>
      </c>
      <c r="I5185">
        <f t="shared" si="160"/>
        <v>1</v>
      </c>
      <c r="J5185" t="str">
        <f t="shared" si="161"/>
        <v>Complete</v>
      </c>
      <c r="K5185">
        <f>COUNTIFS(RawData[Item], B5185,RawData[Quantity],C5185,RawData[Price Per Unit],D5185,RawData[Total Spent],E5185,RawData[Payment Method],F5185,RawData[Location],G5185,RawData[Transaction Date],H5185)</f>
        <v>1</v>
      </c>
      <c r="L5185"/>
    </row>
    <row r="5186" spans="1:12" x14ac:dyDescent="0.3">
      <c r="A5186" t="s">
        <v>5192</v>
      </c>
      <c r="B5186" t="s">
        <v>10014</v>
      </c>
      <c r="C5186">
        <v>1</v>
      </c>
      <c r="D5186">
        <v>4</v>
      </c>
      <c r="E5186">
        <v>4</v>
      </c>
      <c r="F5186" t="s">
        <v>10019</v>
      </c>
      <c r="G5186" t="s">
        <v>10021</v>
      </c>
      <c r="H5186" s="6">
        <v>45122</v>
      </c>
      <c r="I5186">
        <f t="shared" ref="I5186:I5249" si="162">(B5186="Unknown")+(B5186="Error")+(C5186="Unknown")+(C5186="Error")+(D5186="Unknown")+(D5186="Error")+(E5186="Unknown")+(E5186="Error")+(F5186="Unknown")+(F5186="Error")+(G5186="Unknown")+(G5186="Error")+(H5186="No Date")</f>
        <v>0</v>
      </c>
      <c r="J5186" t="str">
        <f t="shared" ref="J5186:J5249" si="163">IF((H5186="No Date"),"Incomplete","Complete")</f>
        <v>Complete</v>
      </c>
      <c r="K5186">
        <f>COUNTIFS(RawData[Item], B5186,RawData[Quantity],C5186,RawData[Price Per Unit],D5186,RawData[Total Spent],E5186,RawData[Payment Method],F5186,RawData[Location],G5186,RawData[Transaction Date],H5186)</f>
        <v>1</v>
      </c>
      <c r="L5186"/>
    </row>
    <row r="5187" spans="1:12" x14ac:dyDescent="0.3">
      <c r="A5187" t="s">
        <v>5193</v>
      </c>
      <c r="B5187" t="s">
        <v>10008</v>
      </c>
      <c r="C5187">
        <v>1</v>
      </c>
      <c r="D5187">
        <v>2</v>
      </c>
      <c r="E5187">
        <v>2</v>
      </c>
      <c r="F5187" t="s">
        <v>10069</v>
      </c>
      <c r="G5187" t="s">
        <v>10069</v>
      </c>
      <c r="H5187" s="6">
        <v>44985</v>
      </c>
      <c r="I5187">
        <f t="shared" si="162"/>
        <v>0</v>
      </c>
      <c r="J5187" t="str">
        <f t="shared" si="163"/>
        <v>Complete</v>
      </c>
      <c r="K5187">
        <f>COUNTIFS(RawData[Item], B5187,RawData[Quantity],C5187,RawData[Price Per Unit],D5187,RawData[Total Spent],E5187,RawData[Payment Method],F5187,RawData[Location],G5187,RawData[Transaction Date],H5187)</f>
        <v>1</v>
      </c>
      <c r="L5187"/>
    </row>
    <row r="5188" spans="1:12" x14ac:dyDescent="0.3">
      <c r="A5188" t="s">
        <v>5194</v>
      </c>
      <c r="B5188" t="s">
        <v>10011</v>
      </c>
      <c r="C5188">
        <v>1</v>
      </c>
      <c r="D5188">
        <v>5</v>
      </c>
      <c r="E5188">
        <v>5</v>
      </c>
      <c r="F5188" t="s">
        <v>10069</v>
      </c>
      <c r="G5188" t="s">
        <v>10069</v>
      </c>
      <c r="H5188" s="6">
        <v>45264</v>
      </c>
      <c r="I5188">
        <f t="shared" si="162"/>
        <v>0</v>
      </c>
      <c r="J5188" t="str">
        <f t="shared" si="163"/>
        <v>Complete</v>
      </c>
      <c r="K5188">
        <f>COUNTIFS(RawData[Item], B5188,RawData[Quantity],C5188,RawData[Price Per Unit],D5188,RawData[Total Spent],E5188,RawData[Payment Method],F5188,RawData[Location],G5188,RawData[Transaction Date],H5188)</f>
        <v>1</v>
      </c>
      <c r="L5188"/>
    </row>
    <row r="5189" spans="1:12" x14ac:dyDescent="0.3">
      <c r="A5189" t="s">
        <v>5195</v>
      </c>
      <c r="B5189" t="s">
        <v>10008</v>
      </c>
      <c r="C5189">
        <v>1</v>
      </c>
      <c r="D5189">
        <v>2</v>
      </c>
      <c r="E5189">
        <v>2</v>
      </c>
      <c r="F5189" t="s">
        <v>10019</v>
      </c>
      <c r="G5189" t="s">
        <v>10102</v>
      </c>
      <c r="H5189" s="6">
        <v>45022</v>
      </c>
      <c r="I5189">
        <f t="shared" si="162"/>
        <v>0</v>
      </c>
      <c r="J5189" t="str">
        <f t="shared" si="163"/>
        <v>Complete</v>
      </c>
      <c r="K5189">
        <f>COUNTIFS(RawData[Item], B5189,RawData[Quantity],C5189,RawData[Price Per Unit],D5189,RawData[Total Spent],E5189,RawData[Payment Method],F5189,RawData[Location],G5189,RawData[Transaction Date],H5189)</f>
        <v>1</v>
      </c>
      <c r="L5189"/>
    </row>
    <row r="5190" spans="1:12" x14ac:dyDescent="0.3">
      <c r="A5190" t="s">
        <v>5196</v>
      </c>
      <c r="B5190" t="s">
        <v>10014</v>
      </c>
      <c r="C5190">
        <v>3</v>
      </c>
      <c r="D5190">
        <v>4</v>
      </c>
      <c r="E5190">
        <v>12</v>
      </c>
      <c r="F5190" t="s">
        <v>10020</v>
      </c>
      <c r="G5190" t="s">
        <v>10021</v>
      </c>
      <c r="H5190" s="6">
        <v>45031</v>
      </c>
      <c r="I5190">
        <f t="shared" si="162"/>
        <v>0</v>
      </c>
      <c r="J5190" t="str">
        <f t="shared" si="163"/>
        <v>Complete</v>
      </c>
      <c r="K5190">
        <f>COUNTIFS(RawData[Item], B5190,RawData[Quantity],C5190,RawData[Price Per Unit],D5190,RawData[Total Spent],E5190,RawData[Payment Method],F5190,RawData[Location],G5190,RawData[Transaction Date],H5190)</f>
        <v>1</v>
      </c>
      <c r="L5190"/>
    </row>
    <row r="5191" spans="1:12" x14ac:dyDescent="0.3">
      <c r="A5191" t="s">
        <v>5197</v>
      </c>
      <c r="B5191" t="s">
        <v>10012</v>
      </c>
      <c r="C5191">
        <v>3</v>
      </c>
      <c r="D5191">
        <v>4</v>
      </c>
      <c r="E5191">
        <v>12</v>
      </c>
      <c r="F5191" t="s">
        <v>10069</v>
      </c>
      <c r="G5191" t="s">
        <v>10102</v>
      </c>
      <c r="H5191" s="6">
        <v>45020</v>
      </c>
      <c r="I5191">
        <f t="shared" si="162"/>
        <v>0</v>
      </c>
      <c r="J5191" t="str">
        <f t="shared" si="163"/>
        <v>Complete</v>
      </c>
      <c r="K5191">
        <f>COUNTIFS(RawData[Item], B5191,RawData[Quantity],C5191,RawData[Price Per Unit],D5191,RawData[Total Spent],E5191,RawData[Payment Method],F5191,RawData[Location],G5191,RawData[Transaction Date],H5191)</f>
        <v>1</v>
      </c>
      <c r="L5191"/>
    </row>
    <row r="5192" spans="1:12" x14ac:dyDescent="0.3">
      <c r="A5192" t="s">
        <v>5198</v>
      </c>
      <c r="B5192" t="s">
        <v>10010</v>
      </c>
      <c r="C5192">
        <v>2</v>
      </c>
      <c r="D5192">
        <v>1</v>
      </c>
      <c r="E5192">
        <v>2</v>
      </c>
      <c r="F5192" t="s">
        <v>10018</v>
      </c>
      <c r="G5192" t="s">
        <v>10021</v>
      </c>
      <c r="H5192" s="6">
        <v>45207</v>
      </c>
      <c r="I5192">
        <f t="shared" si="162"/>
        <v>0</v>
      </c>
      <c r="J5192" t="str">
        <f t="shared" si="163"/>
        <v>Complete</v>
      </c>
      <c r="K5192">
        <f>COUNTIFS(RawData[Item], B5192,RawData[Quantity],C5192,RawData[Price Per Unit],D5192,RawData[Total Spent],E5192,RawData[Payment Method],F5192,RawData[Location],G5192,RawData[Transaction Date],H5192)</f>
        <v>2</v>
      </c>
      <c r="L5192"/>
    </row>
    <row r="5193" spans="1:12" x14ac:dyDescent="0.3">
      <c r="A5193" t="s">
        <v>5199</v>
      </c>
      <c r="B5193" t="s">
        <v>10008</v>
      </c>
      <c r="C5193">
        <v>4</v>
      </c>
      <c r="D5193">
        <v>2</v>
      </c>
      <c r="E5193">
        <v>8</v>
      </c>
      <c r="F5193" t="s">
        <v>10018</v>
      </c>
      <c r="G5193" t="s">
        <v>10069</v>
      </c>
      <c r="H5193" s="6">
        <v>44993</v>
      </c>
      <c r="I5193">
        <f t="shared" si="162"/>
        <v>0</v>
      </c>
      <c r="J5193" t="str">
        <f t="shared" si="163"/>
        <v>Complete</v>
      </c>
      <c r="K5193">
        <f>COUNTIFS(RawData[Item], B5193,RawData[Quantity],C5193,RawData[Price Per Unit],D5193,RawData[Total Spent],E5193,RawData[Payment Method],F5193,RawData[Location],G5193,RawData[Transaction Date],H5193)</f>
        <v>1</v>
      </c>
      <c r="L5193"/>
    </row>
    <row r="5194" spans="1:12" x14ac:dyDescent="0.3">
      <c r="A5194" t="s">
        <v>5200</v>
      </c>
      <c r="B5194" t="s">
        <v>10013</v>
      </c>
      <c r="C5194">
        <v>2</v>
      </c>
      <c r="D5194">
        <v>1.5</v>
      </c>
      <c r="E5194">
        <v>3</v>
      </c>
      <c r="F5194" t="s">
        <v>10018</v>
      </c>
      <c r="G5194" t="s">
        <v>10021</v>
      </c>
      <c r="H5194" s="6">
        <v>44928</v>
      </c>
      <c r="I5194">
        <f t="shared" si="162"/>
        <v>1</v>
      </c>
      <c r="J5194" t="str">
        <f t="shared" si="163"/>
        <v>Complete</v>
      </c>
      <c r="K5194">
        <f>COUNTIFS(RawData[Item], B5194,RawData[Quantity],C5194,RawData[Price Per Unit],D5194,RawData[Total Spent],E5194,RawData[Payment Method],F5194,RawData[Location],G5194,RawData[Transaction Date],H5194)</f>
        <v>1</v>
      </c>
      <c r="L5194"/>
    </row>
    <row r="5195" spans="1:12" x14ac:dyDescent="0.3">
      <c r="A5195" t="s">
        <v>5201</v>
      </c>
      <c r="B5195" t="s">
        <v>10069</v>
      </c>
      <c r="C5195">
        <v>1</v>
      </c>
      <c r="D5195">
        <v>1</v>
      </c>
      <c r="E5195">
        <v>1</v>
      </c>
      <c r="F5195" t="s">
        <v>10018</v>
      </c>
      <c r="G5195" t="s">
        <v>10069</v>
      </c>
      <c r="H5195" s="6">
        <v>45157</v>
      </c>
      <c r="I5195">
        <f t="shared" si="162"/>
        <v>0</v>
      </c>
      <c r="J5195" t="str">
        <f t="shared" si="163"/>
        <v>Complete</v>
      </c>
      <c r="K5195">
        <f>COUNTIFS(RawData[Item], B5195,RawData[Quantity],C5195,RawData[Price Per Unit],D5195,RawData[Total Spent],E5195,RawData[Payment Method],F5195,RawData[Location],G5195,RawData[Transaction Date],H5195)</f>
        <v>1</v>
      </c>
      <c r="L5195"/>
    </row>
    <row r="5196" spans="1:12" x14ac:dyDescent="0.3">
      <c r="A5196" t="s">
        <v>5202</v>
      </c>
      <c r="B5196" t="s">
        <v>10017</v>
      </c>
      <c r="C5196" t="s">
        <v>10015</v>
      </c>
      <c r="D5196">
        <v>1.5</v>
      </c>
      <c r="E5196">
        <v>4.5</v>
      </c>
      <c r="F5196" t="s">
        <v>10069</v>
      </c>
      <c r="G5196" t="s">
        <v>10102</v>
      </c>
      <c r="H5196" s="6" t="s">
        <v>10112</v>
      </c>
      <c r="I5196">
        <f t="shared" si="162"/>
        <v>2</v>
      </c>
      <c r="J5196" t="str">
        <f t="shared" si="163"/>
        <v>Incomplete</v>
      </c>
      <c r="K5196">
        <f>COUNTIFS(RawData[Item], B5196,RawData[Quantity],C5196,RawData[Price Per Unit],D5196,RawData[Total Spent],E5196,RawData[Payment Method],F5196,RawData[Location],G5196,RawData[Transaction Date],H5196)</f>
        <v>1</v>
      </c>
      <c r="L5196"/>
    </row>
    <row r="5197" spans="1:12" x14ac:dyDescent="0.3">
      <c r="A5197" t="s">
        <v>5203</v>
      </c>
      <c r="B5197" t="s">
        <v>10017</v>
      </c>
      <c r="C5197">
        <v>4</v>
      </c>
      <c r="D5197">
        <v>1.5</v>
      </c>
      <c r="E5197" t="s">
        <v>10015</v>
      </c>
      <c r="F5197" t="s">
        <v>10069</v>
      </c>
      <c r="G5197" t="s">
        <v>10102</v>
      </c>
      <c r="H5197" s="6">
        <v>45095</v>
      </c>
      <c r="I5197">
        <f t="shared" si="162"/>
        <v>1</v>
      </c>
      <c r="J5197" t="str">
        <f t="shared" si="163"/>
        <v>Complete</v>
      </c>
      <c r="K5197">
        <f>COUNTIFS(RawData[Item], B5197,RawData[Quantity],C5197,RawData[Price Per Unit],D5197,RawData[Total Spent],E5197,RawData[Payment Method],F5197,RawData[Location],G5197,RawData[Transaction Date],H5197)</f>
        <v>1</v>
      </c>
      <c r="L5197"/>
    </row>
    <row r="5198" spans="1:12" x14ac:dyDescent="0.3">
      <c r="A5198" t="s">
        <v>5204</v>
      </c>
      <c r="B5198" t="s">
        <v>10014</v>
      </c>
      <c r="C5198">
        <v>4</v>
      </c>
      <c r="D5198">
        <v>4</v>
      </c>
      <c r="E5198">
        <v>16</v>
      </c>
      <c r="F5198" t="s">
        <v>10020</v>
      </c>
      <c r="G5198" t="s">
        <v>10069</v>
      </c>
      <c r="H5198" s="6">
        <v>45046</v>
      </c>
      <c r="I5198">
        <f t="shared" si="162"/>
        <v>0</v>
      </c>
      <c r="J5198" t="str">
        <f t="shared" si="163"/>
        <v>Complete</v>
      </c>
      <c r="K5198">
        <f>COUNTIFS(RawData[Item], B5198,RawData[Quantity],C5198,RawData[Price Per Unit],D5198,RawData[Total Spent],E5198,RawData[Payment Method],F5198,RawData[Location],G5198,RawData[Transaction Date],H5198)</f>
        <v>1</v>
      </c>
      <c r="L5198"/>
    </row>
    <row r="5199" spans="1:12" x14ac:dyDescent="0.3">
      <c r="A5199" t="s">
        <v>5205</v>
      </c>
      <c r="B5199" t="s">
        <v>10015</v>
      </c>
      <c r="C5199">
        <v>5</v>
      </c>
      <c r="D5199">
        <v>3</v>
      </c>
      <c r="E5199">
        <v>15</v>
      </c>
      <c r="F5199" t="s">
        <v>10069</v>
      </c>
      <c r="G5199" t="s">
        <v>10021</v>
      </c>
      <c r="H5199" s="6" t="s">
        <v>10112</v>
      </c>
      <c r="I5199">
        <f t="shared" si="162"/>
        <v>2</v>
      </c>
      <c r="J5199" t="str">
        <f t="shared" si="163"/>
        <v>Incomplete</v>
      </c>
      <c r="K5199">
        <f>COUNTIFS(RawData[Item], B5199,RawData[Quantity],C5199,RawData[Price Per Unit],D5199,RawData[Total Spent],E5199,RawData[Payment Method],F5199,RawData[Location],G5199,RawData[Transaction Date],H5199)</f>
        <v>1</v>
      </c>
      <c r="L5199"/>
    </row>
    <row r="5200" spans="1:12" x14ac:dyDescent="0.3">
      <c r="A5200" t="s">
        <v>5206</v>
      </c>
      <c r="B5200" t="s">
        <v>10016</v>
      </c>
      <c r="C5200">
        <v>3</v>
      </c>
      <c r="D5200">
        <v>3</v>
      </c>
      <c r="E5200">
        <v>9</v>
      </c>
      <c r="F5200" t="s">
        <v>10020</v>
      </c>
      <c r="G5200" t="s">
        <v>10021</v>
      </c>
      <c r="H5200" s="6">
        <v>45266</v>
      </c>
      <c r="I5200">
        <f t="shared" si="162"/>
        <v>0</v>
      </c>
      <c r="J5200" t="str">
        <f t="shared" si="163"/>
        <v>Complete</v>
      </c>
      <c r="K5200">
        <f>COUNTIFS(RawData[Item], B5200,RawData[Quantity],C5200,RawData[Price Per Unit],D5200,RawData[Total Spent],E5200,RawData[Payment Method],F5200,RawData[Location],G5200,RawData[Transaction Date],H5200)</f>
        <v>1</v>
      </c>
      <c r="L5200"/>
    </row>
    <row r="5201" spans="1:12" x14ac:dyDescent="0.3">
      <c r="A5201" t="s">
        <v>5207</v>
      </c>
      <c r="B5201" t="s">
        <v>10008</v>
      </c>
      <c r="C5201">
        <v>3</v>
      </c>
      <c r="D5201">
        <v>2</v>
      </c>
      <c r="E5201">
        <v>6</v>
      </c>
      <c r="F5201" t="s">
        <v>10018</v>
      </c>
      <c r="G5201" t="s">
        <v>10102</v>
      </c>
      <c r="H5201" s="6">
        <v>44979</v>
      </c>
      <c r="I5201">
        <f t="shared" si="162"/>
        <v>0</v>
      </c>
      <c r="J5201" t="str">
        <f t="shared" si="163"/>
        <v>Complete</v>
      </c>
      <c r="K5201">
        <f>COUNTIFS(RawData[Item], B5201,RawData[Quantity],C5201,RawData[Price Per Unit],D5201,RawData[Total Spent],E5201,RawData[Payment Method],F5201,RawData[Location],G5201,RawData[Transaction Date],H5201)</f>
        <v>1</v>
      </c>
      <c r="L5201"/>
    </row>
    <row r="5202" spans="1:12" x14ac:dyDescent="0.3">
      <c r="A5202" t="s">
        <v>5208</v>
      </c>
      <c r="B5202" t="s">
        <v>10017</v>
      </c>
      <c r="C5202">
        <v>3</v>
      </c>
      <c r="D5202">
        <v>1.5</v>
      </c>
      <c r="E5202">
        <v>4.5</v>
      </c>
      <c r="F5202" t="s">
        <v>10103</v>
      </c>
      <c r="G5202" t="s">
        <v>10102</v>
      </c>
      <c r="H5202" s="6">
        <v>45014</v>
      </c>
      <c r="I5202">
        <f t="shared" si="162"/>
        <v>1</v>
      </c>
      <c r="J5202" t="str">
        <f t="shared" si="163"/>
        <v>Complete</v>
      </c>
      <c r="K5202">
        <f>COUNTIFS(RawData[Item], B5202,RawData[Quantity],C5202,RawData[Price Per Unit],D5202,RawData[Total Spent],E5202,RawData[Payment Method],F5202,RawData[Location],G5202,RawData[Transaction Date],H5202)</f>
        <v>1</v>
      </c>
      <c r="L5202"/>
    </row>
    <row r="5203" spans="1:12" x14ac:dyDescent="0.3">
      <c r="A5203" t="s">
        <v>5209</v>
      </c>
      <c r="B5203" t="s">
        <v>10017</v>
      </c>
      <c r="C5203">
        <v>5</v>
      </c>
      <c r="D5203" t="s">
        <v>10015</v>
      </c>
      <c r="E5203">
        <v>7.5</v>
      </c>
      <c r="F5203" t="s">
        <v>10018</v>
      </c>
      <c r="G5203" t="s">
        <v>10102</v>
      </c>
      <c r="H5203" s="6">
        <v>44976</v>
      </c>
      <c r="I5203">
        <f t="shared" si="162"/>
        <v>1</v>
      </c>
      <c r="J5203" t="str">
        <f t="shared" si="163"/>
        <v>Complete</v>
      </c>
      <c r="K5203">
        <f>COUNTIFS(RawData[Item], B5203,RawData[Quantity],C5203,RawData[Price Per Unit],D5203,RawData[Total Spent],E5203,RawData[Payment Method],F5203,RawData[Location],G5203,RawData[Transaction Date],H5203)</f>
        <v>1</v>
      </c>
      <c r="L5203"/>
    </row>
    <row r="5204" spans="1:12" x14ac:dyDescent="0.3">
      <c r="A5204" t="s">
        <v>5210</v>
      </c>
      <c r="B5204" t="s">
        <v>10069</v>
      </c>
      <c r="C5204">
        <v>0</v>
      </c>
      <c r="D5204">
        <v>1.5</v>
      </c>
      <c r="E5204">
        <v>1.5</v>
      </c>
      <c r="F5204" t="s">
        <v>10019</v>
      </c>
      <c r="G5204" t="s">
        <v>10021</v>
      </c>
      <c r="H5204" s="6">
        <v>44975</v>
      </c>
      <c r="I5204">
        <f t="shared" si="162"/>
        <v>0</v>
      </c>
      <c r="J5204" t="str">
        <f t="shared" si="163"/>
        <v>Complete</v>
      </c>
      <c r="K5204">
        <f>COUNTIFS(RawData[Item], B5204,RawData[Quantity],C5204,RawData[Price Per Unit],D5204,RawData[Total Spent],E5204,RawData[Payment Method],F5204,RawData[Location],G5204,RawData[Transaction Date],H5204)</f>
        <v>1</v>
      </c>
      <c r="L5204"/>
    </row>
    <row r="5205" spans="1:12" x14ac:dyDescent="0.3">
      <c r="A5205" t="s">
        <v>5211</v>
      </c>
      <c r="B5205" t="s">
        <v>10011</v>
      </c>
      <c r="C5205">
        <v>2</v>
      </c>
      <c r="D5205">
        <v>5</v>
      </c>
      <c r="E5205">
        <v>10</v>
      </c>
      <c r="F5205" t="s">
        <v>10018</v>
      </c>
      <c r="G5205" t="s">
        <v>10021</v>
      </c>
      <c r="H5205" s="6">
        <v>45106</v>
      </c>
      <c r="I5205">
        <f t="shared" si="162"/>
        <v>0</v>
      </c>
      <c r="J5205" t="str">
        <f t="shared" si="163"/>
        <v>Complete</v>
      </c>
      <c r="K5205">
        <f>COUNTIFS(RawData[Item], B5205,RawData[Quantity],C5205,RawData[Price Per Unit],D5205,RawData[Total Spent],E5205,RawData[Payment Method],F5205,RawData[Location],G5205,RawData[Transaction Date],H5205)</f>
        <v>1</v>
      </c>
      <c r="L5205"/>
    </row>
    <row r="5206" spans="1:12" x14ac:dyDescent="0.3">
      <c r="A5206" t="s">
        <v>5212</v>
      </c>
      <c r="B5206" t="s">
        <v>10012</v>
      </c>
      <c r="C5206">
        <v>1</v>
      </c>
      <c r="D5206">
        <v>4</v>
      </c>
      <c r="E5206">
        <v>4</v>
      </c>
      <c r="F5206" t="s">
        <v>10019</v>
      </c>
      <c r="G5206" t="s">
        <v>10069</v>
      </c>
      <c r="H5206" s="6" t="s">
        <v>10112</v>
      </c>
      <c r="I5206">
        <f t="shared" si="162"/>
        <v>1</v>
      </c>
      <c r="J5206" t="str">
        <f t="shared" si="163"/>
        <v>Incomplete</v>
      </c>
      <c r="K5206">
        <f>COUNTIFS(RawData[Item], B5206,RawData[Quantity],C5206,RawData[Price Per Unit],D5206,RawData[Total Spent],E5206,RawData[Payment Method],F5206,RawData[Location],G5206,RawData[Transaction Date],H5206)</f>
        <v>1</v>
      </c>
      <c r="L5206"/>
    </row>
    <row r="5207" spans="1:12" x14ac:dyDescent="0.3">
      <c r="A5207" t="s">
        <v>5213</v>
      </c>
      <c r="B5207" t="s">
        <v>10011</v>
      </c>
      <c r="C5207">
        <v>4</v>
      </c>
      <c r="D5207">
        <v>5</v>
      </c>
      <c r="E5207">
        <v>20</v>
      </c>
      <c r="F5207" t="s">
        <v>10018</v>
      </c>
      <c r="G5207" t="s">
        <v>10104</v>
      </c>
      <c r="H5207" s="6">
        <v>45181</v>
      </c>
      <c r="I5207">
        <f t="shared" si="162"/>
        <v>1</v>
      </c>
      <c r="J5207" t="str">
        <f t="shared" si="163"/>
        <v>Complete</v>
      </c>
      <c r="K5207">
        <f>COUNTIFS(RawData[Item], B5207,RawData[Quantity],C5207,RawData[Price Per Unit],D5207,RawData[Total Spent],E5207,RawData[Payment Method],F5207,RawData[Location],G5207,RawData[Transaction Date],H5207)</f>
        <v>1</v>
      </c>
      <c r="L5207"/>
    </row>
    <row r="5208" spans="1:12" x14ac:dyDescent="0.3">
      <c r="A5208" t="s">
        <v>5214</v>
      </c>
      <c r="B5208" t="s">
        <v>10010</v>
      </c>
      <c r="C5208">
        <v>5</v>
      </c>
      <c r="D5208">
        <v>1</v>
      </c>
      <c r="E5208">
        <v>5</v>
      </c>
      <c r="F5208" t="s">
        <v>10020</v>
      </c>
      <c r="G5208" t="s">
        <v>10102</v>
      </c>
      <c r="H5208" s="6">
        <v>45024</v>
      </c>
      <c r="I5208">
        <f t="shared" si="162"/>
        <v>0</v>
      </c>
      <c r="J5208" t="str">
        <f t="shared" si="163"/>
        <v>Complete</v>
      </c>
      <c r="K5208">
        <f>COUNTIFS(RawData[Item], B5208,RawData[Quantity],C5208,RawData[Price Per Unit],D5208,RawData[Total Spent],E5208,RawData[Payment Method],F5208,RawData[Location],G5208,RawData[Transaction Date],H5208)</f>
        <v>2</v>
      </c>
      <c r="L5208"/>
    </row>
    <row r="5209" spans="1:12" x14ac:dyDescent="0.3">
      <c r="A5209" t="s">
        <v>5215</v>
      </c>
      <c r="B5209" t="s">
        <v>10012</v>
      </c>
      <c r="C5209">
        <v>1</v>
      </c>
      <c r="D5209">
        <v>4</v>
      </c>
      <c r="E5209">
        <v>4</v>
      </c>
      <c r="F5209" t="s">
        <v>10019</v>
      </c>
      <c r="G5209" t="s">
        <v>10069</v>
      </c>
      <c r="H5209" s="6">
        <v>45138</v>
      </c>
      <c r="I5209">
        <f t="shared" si="162"/>
        <v>0</v>
      </c>
      <c r="J5209" t="str">
        <f t="shared" si="163"/>
        <v>Complete</v>
      </c>
      <c r="K5209">
        <f>COUNTIFS(RawData[Item], B5209,RawData[Quantity],C5209,RawData[Price Per Unit],D5209,RawData[Total Spent],E5209,RawData[Payment Method],F5209,RawData[Location],G5209,RawData[Transaction Date],H5209)</f>
        <v>1</v>
      </c>
      <c r="L5209"/>
    </row>
    <row r="5210" spans="1:12" x14ac:dyDescent="0.3">
      <c r="A5210" t="s">
        <v>5216</v>
      </c>
      <c r="B5210" t="s">
        <v>10017</v>
      </c>
      <c r="C5210">
        <v>3</v>
      </c>
      <c r="D5210">
        <v>1.5</v>
      </c>
      <c r="E5210">
        <v>4.5</v>
      </c>
      <c r="F5210" t="s">
        <v>10018</v>
      </c>
      <c r="G5210" t="s">
        <v>10102</v>
      </c>
      <c r="H5210" s="6">
        <v>45220</v>
      </c>
      <c r="I5210">
        <f t="shared" si="162"/>
        <v>0</v>
      </c>
      <c r="J5210" t="str">
        <f t="shared" si="163"/>
        <v>Complete</v>
      </c>
      <c r="K5210">
        <f>COUNTIFS(RawData[Item], B5210,RawData[Quantity],C5210,RawData[Price Per Unit],D5210,RawData[Total Spent],E5210,RawData[Payment Method],F5210,RawData[Location],G5210,RawData[Transaction Date],H5210)</f>
        <v>1</v>
      </c>
      <c r="L5210"/>
    </row>
    <row r="5211" spans="1:12" x14ac:dyDescent="0.3">
      <c r="A5211" t="s">
        <v>5217</v>
      </c>
      <c r="B5211" t="s">
        <v>10014</v>
      </c>
      <c r="C5211">
        <v>5</v>
      </c>
      <c r="D5211">
        <v>4</v>
      </c>
      <c r="E5211">
        <v>20</v>
      </c>
      <c r="F5211" t="s">
        <v>10019</v>
      </c>
      <c r="G5211" t="s">
        <v>10103</v>
      </c>
      <c r="H5211" s="6">
        <v>45198</v>
      </c>
      <c r="I5211">
        <f t="shared" si="162"/>
        <v>1</v>
      </c>
      <c r="J5211" t="str">
        <f t="shared" si="163"/>
        <v>Complete</v>
      </c>
      <c r="K5211">
        <f>COUNTIFS(RawData[Item], B5211,RawData[Quantity],C5211,RawData[Price Per Unit],D5211,RawData[Total Spent],E5211,RawData[Payment Method],F5211,RawData[Location],G5211,RawData[Transaction Date],H5211)</f>
        <v>1</v>
      </c>
      <c r="L5211"/>
    </row>
    <row r="5212" spans="1:12" x14ac:dyDescent="0.3">
      <c r="A5212" t="s">
        <v>5218</v>
      </c>
      <c r="B5212" t="s">
        <v>10008</v>
      </c>
      <c r="C5212">
        <v>4</v>
      </c>
      <c r="D5212">
        <v>2</v>
      </c>
      <c r="E5212">
        <v>8</v>
      </c>
      <c r="F5212" t="s">
        <v>10069</v>
      </c>
      <c r="G5212" t="s">
        <v>10102</v>
      </c>
      <c r="H5212" s="6">
        <v>45162</v>
      </c>
      <c r="I5212">
        <f t="shared" si="162"/>
        <v>0</v>
      </c>
      <c r="J5212" t="str">
        <f t="shared" si="163"/>
        <v>Complete</v>
      </c>
      <c r="K5212">
        <f>COUNTIFS(RawData[Item], B5212,RawData[Quantity],C5212,RawData[Price Per Unit],D5212,RawData[Total Spent],E5212,RawData[Payment Method],F5212,RawData[Location],G5212,RawData[Transaction Date],H5212)</f>
        <v>1</v>
      </c>
      <c r="L5212"/>
    </row>
    <row r="5213" spans="1:12" x14ac:dyDescent="0.3">
      <c r="A5213" t="s">
        <v>5219</v>
      </c>
      <c r="B5213" t="s">
        <v>10010</v>
      </c>
      <c r="C5213">
        <v>2</v>
      </c>
      <c r="D5213">
        <v>1</v>
      </c>
      <c r="E5213">
        <v>2</v>
      </c>
      <c r="F5213" t="s">
        <v>10103</v>
      </c>
      <c r="G5213" t="s">
        <v>10102</v>
      </c>
      <c r="H5213" s="6">
        <v>45154</v>
      </c>
      <c r="I5213">
        <f t="shared" si="162"/>
        <v>1</v>
      </c>
      <c r="J5213" t="str">
        <f t="shared" si="163"/>
        <v>Complete</v>
      </c>
      <c r="K5213">
        <f>COUNTIFS(RawData[Item], B5213,RawData[Quantity],C5213,RawData[Price Per Unit],D5213,RawData[Total Spent],E5213,RawData[Payment Method],F5213,RawData[Location],G5213,RawData[Transaction Date],H5213)</f>
        <v>1</v>
      </c>
      <c r="L5213"/>
    </row>
    <row r="5214" spans="1:12" x14ac:dyDescent="0.3">
      <c r="A5214" t="s">
        <v>5220</v>
      </c>
      <c r="B5214" t="s">
        <v>10016</v>
      </c>
      <c r="C5214" t="s">
        <v>10013</v>
      </c>
      <c r="D5214">
        <v>3</v>
      </c>
      <c r="E5214">
        <v>12</v>
      </c>
      <c r="F5214" t="s">
        <v>10020</v>
      </c>
      <c r="G5214" t="s">
        <v>10021</v>
      </c>
      <c r="H5214" s="6">
        <v>45264</v>
      </c>
      <c r="I5214">
        <f t="shared" si="162"/>
        <v>1</v>
      </c>
      <c r="J5214" t="str">
        <f t="shared" si="163"/>
        <v>Complete</v>
      </c>
      <c r="K5214">
        <f>COUNTIFS(RawData[Item], B5214,RawData[Quantity],C5214,RawData[Price Per Unit],D5214,RawData[Total Spent],E5214,RawData[Payment Method],F5214,RawData[Location],G5214,RawData[Transaction Date],H5214)</f>
        <v>1</v>
      </c>
      <c r="L5214"/>
    </row>
    <row r="5215" spans="1:12" x14ac:dyDescent="0.3">
      <c r="A5215" t="s">
        <v>5221</v>
      </c>
      <c r="B5215" t="s">
        <v>10069</v>
      </c>
      <c r="C5215">
        <v>5</v>
      </c>
      <c r="D5215">
        <v>4</v>
      </c>
      <c r="E5215">
        <v>20</v>
      </c>
      <c r="F5215" t="s">
        <v>10019</v>
      </c>
      <c r="G5215" t="s">
        <v>10021</v>
      </c>
      <c r="H5215" s="6">
        <v>45082</v>
      </c>
      <c r="I5215">
        <f t="shared" si="162"/>
        <v>0</v>
      </c>
      <c r="J5215" t="str">
        <f t="shared" si="163"/>
        <v>Complete</v>
      </c>
      <c r="K5215">
        <f>COUNTIFS(RawData[Item], B5215,RawData[Quantity],C5215,RawData[Price Per Unit],D5215,RawData[Total Spent],E5215,RawData[Payment Method],F5215,RawData[Location],G5215,RawData[Transaction Date],H5215)</f>
        <v>1</v>
      </c>
      <c r="L5215"/>
    </row>
    <row r="5216" spans="1:12" x14ac:dyDescent="0.3">
      <c r="A5216" t="s">
        <v>5222</v>
      </c>
      <c r="B5216" t="s">
        <v>10012</v>
      </c>
      <c r="C5216">
        <v>4</v>
      </c>
      <c r="D5216">
        <v>0</v>
      </c>
      <c r="E5216">
        <v>16</v>
      </c>
      <c r="F5216" t="s">
        <v>10020</v>
      </c>
      <c r="G5216" t="s">
        <v>10102</v>
      </c>
      <c r="H5216" s="6">
        <v>45286</v>
      </c>
      <c r="I5216">
        <f t="shared" si="162"/>
        <v>0</v>
      </c>
      <c r="J5216" t="str">
        <f t="shared" si="163"/>
        <v>Complete</v>
      </c>
      <c r="K5216">
        <f>COUNTIFS(RawData[Item], B5216,RawData[Quantity],C5216,RawData[Price Per Unit],D5216,RawData[Total Spent],E5216,RawData[Payment Method],F5216,RawData[Location],G5216,RawData[Transaction Date],H5216)</f>
        <v>1</v>
      </c>
      <c r="L5216"/>
    </row>
    <row r="5217" spans="1:12" x14ac:dyDescent="0.3">
      <c r="A5217" t="s">
        <v>5223</v>
      </c>
      <c r="B5217" t="s">
        <v>10017</v>
      </c>
      <c r="C5217">
        <v>1</v>
      </c>
      <c r="D5217">
        <v>0</v>
      </c>
      <c r="E5217">
        <v>1.5</v>
      </c>
      <c r="F5217" t="s">
        <v>10069</v>
      </c>
      <c r="G5217" t="s">
        <v>10102</v>
      </c>
      <c r="H5217" s="6">
        <v>45243</v>
      </c>
      <c r="I5217">
        <f t="shared" si="162"/>
        <v>0</v>
      </c>
      <c r="J5217" t="str">
        <f t="shared" si="163"/>
        <v>Complete</v>
      </c>
      <c r="K5217">
        <f>COUNTIFS(RawData[Item], B5217,RawData[Quantity],C5217,RawData[Price Per Unit],D5217,RawData[Total Spent],E5217,RawData[Payment Method],F5217,RawData[Location],G5217,RawData[Transaction Date],H5217)</f>
        <v>1</v>
      </c>
      <c r="L5217"/>
    </row>
    <row r="5218" spans="1:12" x14ac:dyDescent="0.3">
      <c r="A5218" t="s">
        <v>5224</v>
      </c>
      <c r="B5218" t="s">
        <v>10015</v>
      </c>
      <c r="C5218">
        <v>5</v>
      </c>
      <c r="D5218">
        <v>4</v>
      </c>
      <c r="E5218">
        <v>20</v>
      </c>
      <c r="F5218" t="s">
        <v>10069</v>
      </c>
      <c r="G5218" t="s">
        <v>10069</v>
      </c>
      <c r="H5218" s="6">
        <v>44971</v>
      </c>
      <c r="I5218">
        <f t="shared" si="162"/>
        <v>1</v>
      </c>
      <c r="J5218" t="str">
        <f t="shared" si="163"/>
        <v>Complete</v>
      </c>
      <c r="K5218">
        <f>COUNTIFS(RawData[Item], B5218,RawData[Quantity],C5218,RawData[Price Per Unit],D5218,RawData[Total Spent],E5218,RawData[Payment Method],F5218,RawData[Location],G5218,RawData[Transaction Date],H5218)</f>
        <v>1</v>
      </c>
      <c r="L5218"/>
    </row>
    <row r="5219" spans="1:12" x14ac:dyDescent="0.3">
      <c r="A5219" t="s">
        <v>5225</v>
      </c>
      <c r="B5219" t="s">
        <v>10010</v>
      </c>
      <c r="C5219">
        <v>5</v>
      </c>
      <c r="D5219">
        <v>1</v>
      </c>
      <c r="E5219">
        <v>5</v>
      </c>
      <c r="F5219" t="s">
        <v>10019</v>
      </c>
      <c r="G5219" t="s">
        <v>10021</v>
      </c>
      <c r="H5219" s="6">
        <v>45282</v>
      </c>
      <c r="I5219">
        <f t="shared" si="162"/>
        <v>0</v>
      </c>
      <c r="J5219" t="str">
        <f t="shared" si="163"/>
        <v>Complete</v>
      </c>
      <c r="K5219">
        <f>COUNTIFS(RawData[Item], B5219,RawData[Quantity],C5219,RawData[Price Per Unit],D5219,RawData[Total Spent],E5219,RawData[Payment Method],F5219,RawData[Location],G5219,RawData[Transaction Date],H5219)</f>
        <v>1</v>
      </c>
      <c r="L5219"/>
    </row>
    <row r="5220" spans="1:12" x14ac:dyDescent="0.3">
      <c r="A5220" t="s">
        <v>5226</v>
      </c>
      <c r="B5220" t="s">
        <v>10016</v>
      </c>
      <c r="C5220">
        <v>2</v>
      </c>
      <c r="D5220">
        <v>3</v>
      </c>
      <c r="E5220">
        <v>6</v>
      </c>
      <c r="F5220" t="s">
        <v>10020</v>
      </c>
      <c r="G5220" t="s">
        <v>10021</v>
      </c>
      <c r="H5220" s="6">
        <v>45149</v>
      </c>
      <c r="I5220">
        <f t="shared" si="162"/>
        <v>0</v>
      </c>
      <c r="J5220" t="str">
        <f t="shared" si="163"/>
        <v>Complete</v>
      </c>
      <c r="K5220">
        <f>COUNTIFS(RawData[Item], B5220,RawData[Quantity],C5220,RawData[Price Per Unit],D5220,RawData[Total Spent],E5220,RawData[Payment Method],F5220,RawData[Location],G5220,RawData[Transaction Date],H5220)</f>
        <v>1</v>
      </c>
      <c r="L5220"/>
    </row>
    <row r="5221" spans="1:12" x14ac:dyDescent="0.3">
      <c r="A5221" t="s">
        <v>5227</v>
      </c>
      <c r="B5221" t="s">
        <v>10016</v>
      </c>
      <c r="C5221">
        <v>5</v>
      </c>
      <c r="D5221">
        <v>0</v>
      </c>
      <c r="E5221">
        <v>15</v>
      </c>
      <c r="F5221" t="s">
        <v>10018</v>
      </c>
      <c r="G5221" t="s">
        <v>10069</v>
      </c>
      <c r="H5221" s="6">
        <v>45258</v>
      </c>
      <c r="I5221">
        <f t="shared" si="162"/>
        <v>0</v>
      </c>
      <c r="J5221" t="str">
        <f t="shared" si="163"/>
        <v>Complete</v>
      </c>
      <c r="K5221">
        <f>COUNTIFS(RawData[Item], B5221,RawData[Quantity],C5221,RawData[Price Per Unit],D5221,RawData[Total Spent],E5221,RawData[Payment Method],F5221,RawData[Location],G5221,RawData[Transaction Date],H5221)</f>
        <v>1</v>
      </c>
      <c r="L5221"/>
    </row>
    <row r="5222" spans="1:12" x14ac:dyDescent="0.3">
      <c r="A5222" t="s">
        <v>5228</v>
      </c>
      <c r="B5222" t="s">
        <v>10008</v>
      </c>
      <c r="C5222">
        <v>3</v>
      </c>
      <c r="D5222">
        <v>2</v>
      </c>
      <c r="E5222" t="s">
        <v>10013</v>
      </c>
      <c r="F5222" t="s">
        <v>10069</v>
      </c>
      <c r="G5222" t="s">
        <v>10102</v>
      </c>
      <c r="H5222" s="6">
        <v>45111</v>
      </c>
      <c r="I5222">
        <f t="shared" si="162"/>
        <v>1</v>
      </c>
      <c r="J5222" t="str">
        <f t="shared" si="163"/>
        <v>Complete</v>
      </c>
      <c r="K5222">
        <f>COUNTIFS(RawData[Item], B5222,RawData[Quantity],C5222,RawData[Price Per Unit],D5222,RawData[Total Spent],E5222,RawData[Payment Method],F5222,RawData[Location],G5222,RawData[Transaction Date],H5222)</f>
        <v>1</v>
      </c>
      <c r="L5222"/>
    </row>
    <row r="5223" spans="1:12" x14ac:dyDescent="0.3">
      <c r="A5223" t="s">
        <v>5229</v>
      </c>
      <c r="B5223" t="s">
        <v>10009</v>
      </c>
      <c r="C5223">
        <v>1</v>
      </c>
      <c r="D5223">
        <v>3</v>
      </c>
      <c r="E5223">
        <v>3</v>
      </c>
      <c r="F5223" t="s">
        <v>10069</v>
      </c>
      <c r="G5223" t="s">
        <v>10102</v>
      </c>
      <c r="H5223" s="6">
        <v>45088</v>
      </c>
      <c r="I5223">
        <f t="shared" si="162"/>
        <v>0</v>
      </c>
      <c r="J5223" t="str">
        <f t="shared" si="163"/>
        <v>Complete</v>
      </c>
      <c r="K5223">
        <f>COUNTIFS(RawData[Item], B5223,RawData[Quantity],C5223,RawData[Price Per Unit],D5223,RawData[Total Spent],E5223,RawData[Payment Method],F5223,RawData[Location],G5223,RawData[Transaction Date],H5223)</f>
        <v>1</v>
      </c>
      <c r="L5223"/>
    </row>
    <row r="5224" spans="1:12" x14ac:dyDescent="0.3">
      <c r="A5224" t="s">
        <v>5230</v>
      </c>
      <c r="B5224" t="s">
        <v>10011</v>
      </c>
      <c r="C5224">
        <v>4</v>
      </c>
      <c r="D5224">
        <v>5</v>
      </c>
      <c r="E5224">
        <v>20</v>
      </c>
      <c r="F5224" t="s">
        <v>10020</v>
      </c>
      <c r="G5224" t="s">
        <v>10069</v>
      </c>
      <c r="H5224" s="6">
        <v>44978</v>
      </c>
      <c r="I5224">
        <f t="shared" si="162"/>
        <v>0</v>
      </c>
      <c r="J5224" t="str">
        <f t="shared" si="163"/>
        <v>Complete</v>
      </c>
      <c r="K5224">
        <f>COUNTIFS(RawData[Item], B5224,RawData[Quantity],C5224,RawData[Price Per Unit],D5224,RawData[Total Spent],E5224,RawData[Payment Method],F5224,RawData[Location],G5224,RawData[Transaction Date],H5224)</f>
        <v>1</v>
      </c>
      <c r="L5224"/>
    </row>
    <row r="5225" spans="1:12" x14ac:dyDescent="0.3">
      <c r="A5225" t="s">
        <v>5231</v>
      </c>
      <c r="B5225" t="s">
        <v>10011</v>
      </c>
      <c r="C5225">
        <v>3</v>
      </c>
      <c r="D5225" t="s">
        <v>10015</v>
      </c>
      <c r="E5225">
        <v>15</v>
      </c>
      <c r="F5225" t="s">
        <v>10018</v>
      </c>
      <c r="G5225" t="s">
        <v>10102</v>
      </c>
      <c r="H5225" s="6">
        <v>45015</v>
      </c>
      <c r="I5225">
        <f t="shared" si="162"/>
        <v>1</v>
      </c>
      <c r="J5225" t="str">
        <f t="shared" si="163"/>
        <v>Complete</v>
      </c>
      <c r="K5225">
        <f>COUNTIFS(RawData[Item], B5225,RawData[Quantity],C5225,RawData[Price Per Unit],D5225,RawData[Total Spent],E5225,RawData[Payment Method],F5225,RawData[Location],G5225,RawData[Transaction Date],H5225)</f>
        <v>1</v>
      </c>
      <c r="L5225"/>
    </row>
    <row r="5226" spans="1:12" x14ac:dyDescent="0.3">
      <c r="A5226" t="s">
        <v>5232</v>
      </c>
      <c r="B5226" t="s">
        <v>10012</v>
      </c>
      <c r="C5226">
        <v>1</v>
      </c>
      <c r="D5226">
        <v>4</v>
      </c>
      <c r="E5226">
        <v>0</v>
      </c>
      <c r="F5226" t="s">
        <v>10019</v>
      </c>
      <c r="G5226" t="s">
        <v>10069</v>
      </c>
      <c r="H5226" s="6" t="s">
        <v>10112</v>
      </c>
      <c r="I5226">
        <f t="shared" si="162"/>
        <v>1</v>
      </c>
      <c r="J5226" t="str">
        <f t="shared" si="163"/>
        <v>Incomplete</v>
      </c>
      <c r="K5226">
        <f>COUNTIFS(RawData[Item], B5226,RawData[Quantity],C5226,RawData[Price Per Unit],D5226,RawData[Total Spent],E5226,RawData[Payment Method],F5226,RawData[Location],G5226,RawData[Transaction Date],H5226)</f>
        <v>1</v>
      </c>
      <c r="L5226"/>
    </row>
    <row r="5227" spans="1:12" x14ac:dyDescent="0.3">
      <c r="A5227" t="s">
        <v>5233</v>
      </c>
      <c r="B5227" t="s">
        <v>10014</v>
      </c>
      <c r="C5227">
        <v>5</v>
      </c>
      <c r="D5227">
        <v>4</v>
      </c>
      <c r="E5227">
        <v>20</v>
      </c>
      <c r="F5227" t="s">
        <v>10020</v>
      </c>
      <c r="G5227" t="s">
        <v>10102</v>
      </c>
      <c r="H5227" s="6">
        <v>45149</v>
      </c>
      <c r="I5227">
        <f t="shared" si="162"/>
        <v>0</v>
      </c>
      <c r="J5227" t="str">
        <f t="shared" si="163"/>
        <v>Complete</v>
      </c>
      <c r="K5227">
        <f>COUNTIFS(RawData[Item], B5227,RawData[Quantity],C5227,RawData[Price Per Unit],D5227,RawData[Total Spent],E5227,RawData[Payment Method],F5227,RawData[Location],G5227,RawData[Transaction Date],H5227)</f>
        <v>1</v>
      </c>
      <c r="L5227"/>
    </row>
    <row r="5228" spans="1:12" x14ac:dyDescent="0.3">
      <c r="A5228" t="s">
        <v>5234</v>
      </c>
      <c r="B5228" t="s">
        <v>10014</v>
      </c>
      <c r="C5228">
        <v>5</v>
      </c>
      <c r="D5228">
        <v>4</v>
      </c>
      <c r="E5228">
        <v>20</v>
      </c>
      <c r="F5228" t="s">
        <v>10018</v>
      </c>
      <c r="G5228" t="s">
        <v>10102</v>
      </c>
      <c r="H5228" s="6">
        <v>44967</v>
      </c>
      <c r="I5228">
        <f t="shared" si="162"/>
        <v>0</v>
      </c>
      <c r="J5228" t="str">
        <f t="shared" si="163"/>
        <v>Complete</v>
      </c>
      <c r="K5228">
        <f>COUNTIFS(RawData[Item], B5228,RawData[Quantity],C5228,RawData[Price Per Unit],D5228,RawData[Total Spent],E5228,RawData[Payment Method],F5228,RawData[Location],G5228,RawData[Transaction Date],H5228)</f>
        <v>1</v>
      </c>
      <c r="L5228"/>
    </row>
    <row r="5229" spans="1:12" x14ac:dyDescent="0.3">
      <c r="A5229" t="s">
        <v>5235</v>
      </c>
      <c r="B5229" t="s">
        <v>10014</v>
      </c>
      <c r="C5229">
        <v>4</v>
      </c>
      <c r="D5229">
        <v>4</v>
      </c>
      <c r="E5229">
        <v>16</v>
      </c>
      <c r="F5229" t="s">
        <v>10019</v>
      </c>
      <c r="G5229" t="s">
        <v>10102</v>
      </c>
      <c r="H5229" s="6">
        <v>44978</v>
      </c>
      <c r="I5229">
        <f t="shared" si="162"/>
        <v>0</v>
      </c>
      <c r="J5229" t="str">
        <f t="shared" si="163"/>
        <v>Complete</v>
      </c>
      <c r="K5229">
        <f>COUNTIFS(RawData[Item], B5229,RawData[Quantity],C5229,RawData[Price Per Unit],D5229,RawData[Total Spent],E5229,RawData[Payment Method],F5229,RawData[Location],G5229,RawData[Transaction Date],H5229)</f>
        <v>1</v>
      </c>
      <c r="L5229"/>
    </row>
    <row r="5230" spans="1:12" x14ac:dyDescent="0.3">
      <c r="A5230" t="s">
        <v>5236</v>
      </c>
      <c r="B5230" t="s">
        <v>10017</v>
      </c>
      <c r="C5230">
        <v>5</v>
      </c>
      <c r="D5230">
        <v>1.5</v>
      </c>
      <c r="E5230">
        <v>7.5</v>
      </c>
      <c r="F5230" t="s">
        <v>10020</v>
      </c>
      <c r="G5230" t="s">
        <v>10021</v>
      </c>
      <c r="H5230" s="6">
        <v>45016</v>
      </c>
      <c r="I5230">
        <f t="shared" si="162"/>
        <v>0</v>
      </c>
      <c r="J5230" t="str">
        <f t="shared" si="163"/>
        <v>Complete</v>
      </c>
      <c r="K5230">
        <f>COUNTIFS(RawData[Item], B5230,RawData[Quantity],C5230,RawData[Price Per Unit],D5230,RawData[Total Spent],E5230,RawData[Payment Method],F5230,RawData[Location],G5230,RawData[Transaction Date],H5230)</f>
        <v>1</v>
      </c>
      <c r="L5230"/>
    </row>
    <row r="5231" spans="1:12" x14ac:dyDescent="0.3">
      <c r="A5231" t="s">
        <v>5237</v>
      </c>
      <c r="B5231" t="s">
        <v>10012</v>
      </c>
      <c r="C5231" t="s">
        <v>10013</v>
      </c>
      <c r="D5231">
        <v>4</v>
      </c>
      <c r="E5231">
        <v>16</v>
      </c>
      <c r="F5231" t="s">
        <v>10020</v>
      </c>
      <c r="G5231" t="s">
        <v>10069</v>
      </c>
      <c r="H5231" s="6">
        <v>45099</v>
      </c>
      <c r="I5231">
        <f t="shared" si="162"/>
        <v>1</v>
      </c>
      <c r="J5231" t="str">
        <f t="shared" si="163"/>
        <v>Complete</v>
      </c>
      <c r="K5231">
        <f>COUNTIFS(RawData[Item], B5231,RawData[Quantity],C5231,RawData[Price Per Unit],D5231,RawData[Total Spent],E5231,RawData[Payment Method],F5231,RawData[Location],G5231,RawData[Transaction Date],H5231)</f>
        <v>1</v>
      </c>
      <c r="L5231"/>
    </row>
    <row r="5232" spans="1:12" x14ac:dyDescent="0.3">
      <c r="A5232" t="s">
        <v>5238</v>
      </c>
      <c r="B5232" t="s">
        <v>10016</v>
      </c>
      <c r="C5232">
        <v>5</v>
      </c>
      <c r="D5232">
        <v>3</v>
      </c>
      <c r="E5232">
        <v>15</v>
      </c>
      <c r="F5232" t="s">
        <v>10104</v>
      </c>
      <c r="G5232" t="s">
        <v>10069</v>
      </c>
      <c r="H5232" s="6">
        <v>44972</v>
      </c>
      <c r="I5232">
        <f t="shared" si="162"/>
        <v>1</v>
      </c>
      <c r="J5232" t="str">
        <f t="shared" si="163"/>
        <v>Complete</v>
      </c>
      <c r="K5232">
        <f>COUNTIFS(RawData[Item], B5232,RawData[Quantity],C5232,RawData[Price Per Unit],D5232,RawData[Total Spent],E5232,RawData[Payment Method],F5232,RawData[Location],G5232,RawData[Transaction Date],H5232)</f>
        <v>1</v>
      </c>
      <c r="L5232"/>
    </row>
    <row r="5233" spans="1:12" x14ac:dyDescent="0.3">
      <c r="A5233" t="s">
        <v>5239</v>
      </c>
      <c r="B5233" t="s">
        <v>10008</v>
      </c>
      <c r="C5233">
        <v>5</v>
      </c>
      <c r="D5233">
        <v>2</v>
      </c>
      <c r="E5233">
        <v>10</v>
      </c>
      <c r="F5233" t="s">
        <v>10020</v>
      </c>
      <c r="G5233" t="s">
        <v>10021</v>
      </c>
      <c r="H5233" s="6">
        <v>44988</v>
      </c>
      <c r="I5233">
        <f t="shared" si="162"/>
        <v>0</v>
      </c>
      <c r="J5233" t="str">
        <f t="shared" si="163"/>
        <v>Complete</v>
      </c>
      <c r="K5233">
        <f>COUNTIFS(RawData[Item], B5233,RawData[Quantity],C5233,RawData[Price Per Unit],D5233,RawData[Total Spent],E5233,RawData[Payment Method],F5233,RawData[Location],G5233,RawData[Transaction Date],H5233)</f>
        <v>2</v>
      </c>
      <c r="L5233"/>
    </row>
    <row r="5234" spans="1:12" x14ac:dyDescent="0.3">
      <c r="A5234" t="s">
        <v>5240</v>
      </c>
      <c r="B5234" t="s">
        <v>10008</v>
      </c>
      <c r="C5234">
        <v>1</v>
      </c>
      <c r="D5234">
        <v>0</v>
      </c>
      <c r="E5234">
        <v>2</v>
      </c>
      <c r="F5234" t="s">
        <v>10069</v>
      </c>
      <c r="G5234" t="s">
        <v>10103</v>
      </c>
      <c r="H5234" s="6">
        <v>45039</v>
      </c>
      <c r="I5234">
        <f t="shared" si="162"/>
        <v>1</v>
      </c>
      <c r="J5234" t="str">
        <f t="shared" si="163"/>
        <v>Complete</v>
      </c>
      <c r="K5234">
        <f>COUNTIFS(RawData[Item], B5234,RawData[Quantity],C5234,RawData[Price Per Unit],D5234,RawData[Total Spent],E5234,RawData[Payment Method],F5234,RawData[Location],G5234,RawData[Transaction Date],H5234)</f>
        <v>1</v>
      </c>
      <c r="L5234"/>
    </row>
    <row r="5235" spans="1:12" x14ac:dyDescent="0.3">
      <c r="A5235" t="s">
        <v>5241</v>
      </c>
      <c r="B5235" t="s">
        <v>10010</v>
      </c>
      <c r="C5235">
        <v>2</v>
      </c>
      <c r="D5235">
        <v>1</v>
      </c>
      <c r="E5235">
        <v>2</v>
      </c>
      <c r="F5235" t="s">
        <v>10019</v>
      </c>
      <c r="G5235" t="s">
        <v>10021</v>
      </c>
      <c r="H5235" s="6">
        <v>45274</v>
      </c>
      <c r="I5235">
        <f t="shared" si="162"/>
        <v>0</v>
      </c>
      <c r="J5235" t="str">
        <f t="shared" si="163"/>
        <v>Complete</v>
      </c>
      <c r="K5235">
        <f>COUNTIFS(RawData[Item], B5235,RawData[Quantity],C5235,RawData[Price Per Unit],D5235,RawData[Total Spent],E5235,RawData[Payment Method],F5235,RawData[Location],G5235,RawData[Transaction Date],H5235)</f>
        <v>1</v>
      </c>
      <c r="L5235"/>
    </row>
    <row r="5236" spans="1:12" x14ac:dyDescent="0.3">
      <c r="A5236" t="s">
        <v>5242</v>
      </c>
      <c r="B5236" t="s">
        <v>10010</v>
      </c>
      <c r="C5236">
        <v>3</v>
      </c>
      <c r="D5236">
        <v>1</v>
      </c>
      <c r="E5236">
        <v>3</v>
      </c>
      <c r="F5236" t="s">
        <v>10020</v>
      </c>
      <c r="G5236" t="s">
        <v>10102</v>
      </c>
      <c r="H5236" s="6">
        <v>44940</v>
      </c>
      <c r="I5236">
        <f t="shared" si="162"/>
        <v>0</v>
      </c>
      <c r="J5236" t="str">
        <f t="shared" si="163"/>
        <v>Complete</v>
      </c>
      <c r="K5236">
        <f>COUNTIFS(RawData[Item], B5236,RawData[Quantity],C5236,RawData[Price Per Unit],D5236,RawData[Total Spent],E5236,RawData[Payment Method],F5236,RawData[Location],G5236,RawData[Transaction Date],H5236)</f>
        <v>1</v>
      </c>
      <c r="L5236"/>
    </row>
    <row r="5237" spans="1:12" x14ac:dyDescent="0.3">
      <c r="A5237" t="s">
        <v>5243</v>
      </c>
      <c r="B5237" t="s">
        <v>10008</v>
      </c>
      <c r="C5237">
        <v>5</v>
      </c>
      <c r="D5237">
        <v>2</v>
      </c>
      <c r="E5237">
        <v>10</v>
      </c>
      <c r="F5237" t="s">
        <v>10019</v>
      </c>
      <c r="G5237" t="s">
        <v>10102</v>
      </c>
      <c r="H5237" s="6">
        <v>45012</v>
      </c>
      <c r="I5237">
        <f t="shared" si="162"/>
        <v>0</v>
      </c>
      <c r="J5237" t="str">
        <f t="shared" si="163"/>
        <v>Complete</v>
      </c>
      <c r="K5237">
        <f>COUNTIFS(RawData[Item], B5237,RawData[Quantity],C5237,RawData[Price Per Unit],D5237,RawData[Total Spent],E5237,RawData[Payment Method],F5237,RawData[Location],G5237,RawData[Transaction Date],H5237)</f>
        <v>1</v>
      </c>
      <c r="L5237"/>
    </row>
    <row r="5238" spans="1:12" x14ac:dyDescent="0.3">
      <c r="A5238" t="s">
        <v>5244</v>
      </c>
      <c r="B5238" t="s">
        <v>10011</v>
      </c>
      <c r="C5238">
        <v>3</v>
      </c>
      <c r="D5238">
        <v>5</v>
      </c>
      <c r="E5238">
        <v>15</v>
      </c>
      <c r="F5238" t="s">
        <v>10020</v>
      </c>
      <c r="G5238" t="s">
        <v>10102</v>
      </c>
      <c r="H5238" s="6" t="s">
        <v>10112</v>
      </c>
      <c r="I5238">
        <f t="shared" si="162"/>
        <v>1</v>
      </c>
      <c r="J5238" t="str">
        <f t="shared" si="163"/>
        <v>Incomplete</v>
      </c>
      <c r="K5238">
        <f>COUNTIFS(RawData[Item], B5238,RawData[Quantity],C5238,RawData[Price Per Unit],D5238,RawData[Total Spent],E5238,RawData[Payment Method],F5238,RawData[Location],G5238,RawData[Transaction Date],H5238)</f>
        <v>1</v>
      </c>
      <c r="L5238"/>
    </row>
    <row r="5239" spans="1:12" x14ac:dyDescent="0.3">
      <c r="A5239" t="s">
        <v>5245</v>
      </c>
      <c r="B5239" t="s">
        <v>10016</v>
      </c>
      <c r="C5239">
        <v>1</v>
      </c>
      <c r="D5239">
        <v>3</v>
      </c>
      <c r="E5239">
        <v>3</v>
      </c>
      <c r="F5239" t="s">
        <v>10069</v>
      </c>
      <c r="G5239" t="s">
        <v>10069</v>
      </c>
      <c r="H5239" s="6">
        <v>45180</v>
      </c>
      <c r="I5239">
        <f t="shared" si="162"/>
        <v>0</v>
      </c>
      <c r="J5239" t="str">
        <f t="shared" si="163"/>
        <v>Complete</v>
      </c>
      <c r="K5239">
        <f>COUNTIFS(RawData[Item], B5239,RawData[Quantity],C5239,RawData[Price Per Unit],D5239,RawData[Total Spent],E5239,RawData[Payment Method],F5239,RawData[Location],G5239,RawData[Transaction Date],H5239)</f>
        <v>1</v>
      </c>
      <c r="L5239"/>
    </row>
    <row r="5240" spans="1:12" x14ac:dyDescent="0.3">
      <c r="A5240" t="s">
        <v>5246</v>
      </c>
      <c r="B5240" t="s">
        <v>10011</v>
      </c>
      <c r="C5240">
        <v>5</v>
      </c>
      <c r="D5240">
        <v>5</v>
      </c>
      <c r="E5240">
        <v>25</v>
      </c>
      <c r="F5240" t="s">
        <v>10019</v>
      </c>
      <c r="G5240" t="s">
        <v>10069</v>
      </c>
      <c r="H5240" s="6">
        <v>45097</v>
      </c>
      <c r="I5240">
        <f t="shared" si="162"/>
        <v>0</v>
      </c>
      <c r="J5240" t="str">
        <f t="shared" si="163"/>
        <v>Complete</v>
      </c>
      <c r="K5240">
        <f>COUNTIFS(RawData[Item], B5240,RawData[Quantity],C5240,RawData[Price Per Unit],D5240,RawData[Total Spent],E5240,RawData[Payment Method],F5240,RawData[Location],G5240,RawData[Transaction Date],H5240)</f>
        <v>1</v>
      </c>
      <c r="L5240"/>
    </row>
    <row r="5241" spans="1:12" x14ac:dyDescent="0.3">
      <c r="A5241" t="s">
        <v>5247</v>
      </c>
      <c r="B5241" t="s">
        <v>10011</v>
      </c>
      <c r="C5241">
        <v>2</v>
      </c>
      <c r="D5241">
        <v>5</v>
      </c>
      <c r="E5241">
        <v>10</v>
      </c>
      <c r="F5241" t="s">
        <v>10019</v>
      </c>
      <c r="G5241" t="s">
        <v>10102</v>
      </c>
      <c r="H5241" s="6">
        <v>45222</v>
      </c>
      <c r="I5241">
        <f t="shared" si="162"/>
        <v>0</v>
      </c>
      <c r="J5241" t="str">
        <f t="shared" si="163"/>
        <v>Complete</v>
      </c>
      <c r="K5241">
        <f>COUNTIFS(RawData[Item], B5241,RawData[Quantity],C5241,RawData[Price Per Unit],D5241,RawData[Total Spent],E5241,RawData[Payment Method],F5241,RawData[Location],G5241,RawData[Transaction Date],H5241)</f>
        <v>1</v>
      </c>
      <c r="L5241"/>
    </row>
    <row r="5242" spans="1:12" x14ac:dyDescent="0.3">
      <c r="A5242" t="s">
        <v>5248</v>
      </c>
      <c r="B5242" t="s">
        <v>10017</v>
      </c>
      <c r="C5242">
        <v>3</v>
      </c>
      <c r="D5242">
        <v>1.5</v>
      </c>
      <c r="E5242">
        <v>4.5</v>
      </c>
      <c r="F5242" t="s">
        <v>10020</v>
      </c>
      <c r="G5242" t="s">
        <v>10102</v>
      </c>
      <c r="H5242" s="6">
        <v>45165</v>
      </c>
      <c r="I5242">
        <f t="shared" si="162"/>
        <v>0</v>
      </c>
      <c r="J5242" t="str">
        <f t="shared" si="163"/>
        <v>Complete</v>
      </c>
      <c r="K5242">
        <f>COUNTIFS(RawData[Item], B5242,RawData[Quantity],C5242,RawData[Price Per Unit],D5242,RawData[Total Spent],E5242,RawData[Payment Method],F5242,RawData[Location],G5242,RawData[Transaction Date],H5242)</f>
        <v>1</v>
      </c>
      <c r="L5242"/>
    </row>
    <row r="5243" spans="1:12" x14ac:dyDescent="0.3">
      <c r="A5243" t="s">
        <v>5249</v>
      </c>
      <c r="B5243" t="s">
        <v>10017</v>
      </c>
      <c r="C5243">
        <v>0</v>
      </c>
      <c r="D5243">
        <v>1.5</v>
      </c>
      <c r="E5243">
        <v>1.5</v>
      </c>
      <c r="F5243" t="s">
        <v>10020</v>
      </c>
      <c r="G5243" t="s">
        <v>10021</v>
      </c>
      <c r="H5243" s="6">
        <v>45237</v>
      </c>
      <c r="I5243">
        <f t="shared" si="162"/>
        <v>0</v>
      </c>
      <c r="J5243" t="str">
        <f t="shared" si="163"/>
        <v>Complete</v>
      </c>
      <c r="K5243">
        <f>COUNTIFS(RawData[Item], B5243,RawData[Quantity],C5243,RawData[Price Per Unit],D5243,RawData[Total Spent],E5243,RawData[Payment Method],F5243,RawData[Location],G5243,RawData[Transaction Date],H5243)</f>
        <v>1</v>
      </c>
      <c r="L5243"/>
    </row>
    <row r="5244" spans="1:12" x14ac:dyDescent="0.3">
      <c r="A5244" t="s">
        <v>5250</v>
      </c>
      <c r="B5244" t="s">
        <v>10012</v>
      </c>
      <c r="C5244">
        <v>5</v>
      </c>
      <c r="D5244">
        <v>4</v>
      </c>
      <c r="E5244" t="s">
        <v>10013</v>
      </c>
      <c r="F5244" t="s">
        <v>10019</v>
      </c>
      <c r="G5244" t="s">
        <v>10021</v>
      </c>
      <c r="H5244" s="6">
        <v>45023</v>
      </c>
      <c r="I5244">
        <f t="shared" si="162"/>
        <v>1</v>
      </c>
      <c r="J5244" t="str">
        <f t="shared" si="163"/>
        <v>Complete</v>
      </c>
      <c r="K5244">
        <f>COUNTIFS(RawData[Item], B5244,RawData[Quantity],C5244,RawData[Price Per Unit],D5244,RawData[Total Spent],E5244,RawData[Payment Method],F5244,RawData[Location],G5244,RawData[Transaction Date],H5244)</f>
        <v>1</v>
      </c>
      <c r="L5244"/>
    </row>
    <row r="5245" spans="1:12" x14ac:dyDescent="0.3">
      <c r="A5245" t="s">
        <v>5251</v>
      </c>
      <c r="B5245" t="s">
        <v>10010</v>
      </c>
      <c r="C5245">
        <v>3</v>
      </c>
      <c r="D5245" t="s">
        <v>10015</v>
      </c>
      <c r="E5245">
        <v>3</v>
      </c>
      <c r="F5245" t="s">
        <v>10020</v>
      </c>
      <c r="G5245" t="s">
        <v>10102</v>
      </c>
      <c r="H5245" s="6">
        <v>45196</v>
      </c>
      <c r="I5245">
        <f t="shared" si="162"/>
        <v>1</v>
      </c>
      <c r="J5245" t="str">
        <f t="shared" si="163"/>
        <v>Complete</v>
      </c>
      <c r="K5245">
        <f>COUNTIFS(RawData[Item], B5245,RawData[Quantity],C5245,RawData[Price Per Unit],D5245,RawData[Total Spent],E5245,RawData[Payment Method],F5245,RawData[Location],G5245,RawData[Transaction Date],H5245)</f>
        <v>1</v>
      </c>
      <c r="L5245"/>
    </row>
    <row r="5246" spans="1:12" x14ac:dyDescent="0.3">
      <c r="A5246" t="s">
        <v>5252</v>
      </c>
      <c r="B5246" t="s">
        <v>10008</v>
      </c>
      <c r="C5246">
        <v>5</v>
      </c>
      <c r="D5246">
        <v>2</v>
      </c>
      <c r="E5246">
        <v>10</v>
      </c>
      <c r="F5246" t="s">
        <v>10069</v>
      </c>
      <c r="G5246" t="s">
        <v>10021</v>
      </c>
      <c r="H5246" s="6">
        <v>44995</v>
      </c>
      <c r="I5246">
        <f t="shared" si="162"/>
        <v>0</v>
      </c>
      <c r="J5246" t="str">
        <f t="shared" si="163"/>
        <v>Complete</v>
      </c>
      <c r="K5246">
        <f>COUNTIFS(RawData[Item], B5246,RawData[Quantity],C5246,RawData[Price Per Unit],D5246,RawData[Total Spent],E5246,RawData[Payment Method],F5246,RawData[Location],G5246,RawData[Transaction Date],H5246)</f>
        <v>1</v>
      </c>
      <c r="L5246"/>
    </row>
    <row r="5247" spans="1:12" x14ac:dyDescent="0.3">
      <c r="A5247" t="s">
        <v>5253</v>
      </c>
      <c r="B5247" t="s">
        <v>10069</v>
      </c>
      <c r="C5247">
        <v>3</v>
      </c>
      <c r="D5247">
        <v>3</v>
      </c>
      <c r="E5247">
        <v>9</v>
      </c>
      <c r="F5247" t="s">
        <v>10018</v>
      </c>
      <c r="G5247" t="s">
        <v>10021</v>
      </c>
      <c r="H5247" s="6">
        <v>44939</v>
      </c>
      <c r="I5247">
        <f t="shared" si="162"/>
        <v>0</v>
      </c>
      <c r="J5247" t="str">
        <f t="shared" si="163"/>
        <v>Complete</v>
      </c>
      <c r="K5247">
        <f>COUNTIFS(RawData[Item], B5247,RawData[Quantity],C5247,RawData[Price Per Unit],D5247,RawData[Total Spent],E5247,RawData[Payment Method],F5247,RawData[Location],G5247,RawData[Transaction Date],H5247)</f>
        <v>1</v>
      </c>
      <c r="L5247"/>
    </row>
    <row r="5248" spans="1:12" x14ac:dyDescent="0.3">
      <c r="A5248" t="s">
        <v>5254</v>
      </c>
      <c r="B5248" t="s">
        <v>10012</v>
      </c>
      <c r="C5248">
        <v>4</v>
      </c>
      <c r="D5248">
        <v>4</v>
      </c>
      <c r="E5248">
        <v>16</v>
      </c>
      <c r="F5248" t="s">
        <v>10020</v>
      </c>
      <c r="G5248" t="s">
        <v>10102</v>
      </c>
      <c r="H5248" s="6">
        <v>45216</v>
      </c>
      <c r="I5248">
        <f t="shared" si="162"/>
        <v>0</v>
      </c>
      <c r="J5248" t="str">
        <f t="shared" si="163"/>
        <v>Complete</v>
      </c>
      <c r="K5248">
        <f>COUNTIFS(RawData[Item], B5248,RawData[Quantity],C5248,RawData[Price Per Unit],D5248,RawData[Total Spent],E5248,RawData[Payment Method],F5248,RawData[Location],G5248,RawData[Transaction Date],H5248)</f>
        <v>1</v>
      </c>
      <c r="L5248"/>
    </row>
    <row r="5249" spans="1:12" x14ac:dyDescent="0.3">
      <c r="A5249" t="s">
        <v>5255</v>
      </c>
      <c r="B5249" t="s">
        <v>10016</v>
      </c>
      <c r="C5249">
        <v>3</v>
      </c>
      <c r="D5249">
        <v>3</v>
      </c>
      <c r="E5249">
        <v>9</v>
      </c>
      <c r="F5249" t="s">
        <v>10020</v>
      </c>
      <c r="G5249" t="s">
        <v>10021</v>
      </c>
      <c r="H5249" s="6">
        <v>45010</v>
      </c>
      <c r="I5249">
        <f t="shared" si="162"/>
        <v>0</v>
      </c>
      <c r="J5249" t="str">
        <f t="shared" si="163"/>
        <v>Complete</v>
      </c>
      <c r="K5249">
        <f>COUNTIFS(RawData[Item], B5249,RawData[Quantity],C5249,RawData[Price Per Unit],D5249,RawData[Total Spent],E5249,RawData[Payment Method],F5249,RawData[Location],G5249,RawData[Transaction Date],H5249)</f>
        <v>1</v>
      </c>
      <c r="L5249"/>
    </row>
    <row r="5250" spans="1:12" x14ac:dyDescent="0.3">
      <c r="A5250" t="s">
        <v>5256</v>
      </c>
      <c r="B5250" t="s">
        <v>10012</v>
      </c>
      <c r="C5250">
        <v>1</v>
      </c>
      <c r="D5250">
        <v>4</v>
      </c>
      <c r="E5250">
        <v>4</v>
      </c>
      <c r="F5250" t="s">
        <v>10020</v>
      </c>
      <c r="G5250" t="s">
        <v>10069</v>
      </c>
      <c r="H5250" s="6">
        <v>44970</v>
      </c>
      <c r="I5250">
        <f t="shared" ref="I5250:I5313" si="164">(B5250="Unknown")+(B5250="Error")+(C5250="Unknown")+(C5250="Error")+(D5250="Unknown")+(D5250="Error")+(E5250="Unknown")+(E5250="Error")+(F5250="Unknown")+(F5250="Error")+(G5250="Unknown")+(G5250="Error")+(H5250="No Date")</f>
        <v>0</v>
      </c>
      <c r="J5250" t="str">
        <f t="shared" ref="J5250:J5313" si="165">IF((H5250="No Date"),"Incomplete","Complete")</f>
        <v>Complete</v>
      </c>
      <c r="K5250">
        <f>COUNTIFS(RawData[Item], B5250,RawData[Quantity],C5250,RawData[Price Per Unit],D5250,RawData[Total Spent],E5250,RawData[Payment Method],F5250,RawData[Location],G5250,RawData[Transaction Date],H5250)</f>
        <v>1</v>
      </c>
      <c r="L5250"/>
    </row>
    <row r="5251" spans="1:12" x14ac:dyDescent="0.3">
      <c r="A5251" t="s">
        <v>5257</v>
      </c>
      <c r="B5251" t="s">
        <v>10012</v>
      </c>
      <c r="C5251">
        <v>4</v>
      </c>
      <c r="D5251">
        <v>4</v>
      </c>
      <c r="E5251">
        <v>16</v>
      </c>
      <c r="F5251" t="s">
        <v>10018</v>
      </c>
      <c r="G5251" t="s">
        <v>10069</v>
      </c>
      <c r="H5251" s="6">
        <v>44966</v>
      </c>
      <c r="I5251">
        <f t="shared" si="164"/>
        <v>0</v>
      </c>
      <c r="J5251" t="str">
        <f t="shared" si="165"/>
        <v>Complete</v>
      </c>
      <c r="K5251">
        <f>COUNTIFS(RawData[Item], B5251,RawData[Quantity],C5251,RawData[Price Per Unit],D5251,RawData[Total Spent],E5251,RawData[Payment Method],F5251,RawData[Location],G5251,RawData[Transaction Date],H5251)</f>
        <v>1</v>
      </c>
      <c r="L5251"/>
    </row>
    <row r="5252" spans="1:12" x14ac:dyDescent="0.3">
      <c r="A5252" t="s">
        <v>5258</v>
      </c>
      <c r="B5252" t="s">
        <v>10013</v>
      </c>
      <c r="C5252">
        <v>3</v>
      </c>
      <c r="D5252">
        <v>4</v>
      </c>
      <c r="E5252">
        <v>12</v>
      </c>
      <c r="F5252" t="s">
        <v>10019</v>
      </c>
      <c r="G5252" t="s">
        <v>10069</v>
      </c>
      <c r="H5252" s="6">
        <v>44969</v>
      </c>
      <c r="I5252">
        <f t="shared" si="164"/>
        <v>1</v>
      </c>
      <c r="J5252" t="str">
        <f t="shared" si="165"/>
        <v>Complete</v>
      </c>
      <c r="K5252">
        <f>COUNTIFS(RawData[Item], B5252,RawData[Quantity],C5252,RawData[Price Per Unit],D5252,RawData[Total Spent],E5252,RawData[Payment Method],F5252,RawData[Location],G5252,RawData[Transaction Date],H5252)</f>
        <v>1</v>
      </c>
      <c r="L5252"/>
    </row>
    <row r="5253" spans="1:12" x14ac:dyDescent="0.3">
      <c r="A5253" t="s">
        <v>5259</v>
      </c>
      <c r="B5253" t="s">
        <v>10009</v>
      </c>
      <c r="C5253">
        <v>2</v>
      </c>
      <c r="D5253">
        <v>3</v>
      </c>
      <c r="E5253">
        <v>6</v>
      </c>
      <c r="F5253" t="s">
        <v>10019</v>
      </c>
      <c r="G5253" t="s">
        <v>10069</v>
      </c>
      <c r="H5253" s="6">
        <v>45169</v>
      </c>
      <c r="I5253">
        <f t="shared" si="164"/>
        <v>0</v>
      </c>
      <c r="J5253" t="str">
        <f t="shared" si="165"/>
        <v>Complete</v>
      </c>
      <c r="K5253">
        <f>COUNTIFS(RawData[Item], B5253,RawData[Quantity],C5253,RawData[Price Per Unit],D5253,RawData[Total Spent],E5253,RawData[Payment Method],F5253,RawData[Location],G5253,RawData[Transaction Date],H5253)</f>
        <v>1</v>
      </c>
      <c r="L5253"/>
    </row>
    <row r="5254" spans="1:12" x14ac:dyDescent="0.3">
      <c r="A5254" t="s">
        <v>5260</v>
      </c>
      <c r="B5254" t="s">
        <v>10013</v>
      </c>
      <c r="C5254">
        <v>1</v>
      </c>
      <c r="D5254">
        <v>1.5</v>
      </c>
      <c r="E5254">
        <v>1.5</v>
      </c>
      <c r="F5254" t="s">
        <v>10069</v>
      </c>
      <c r="G5254" t="s">
        <v>10102</v>
      </c>
      <c r="H5254" s="6">
        <v>44982</v>
      </c>
      <c r="I5254">
        <f t="shared" si="164"/>
        <v>1</v>
      </c>
      <c r="J5254" t="str">
        <f t="shared" si="165"/>
        <v>Complete</v>
      </c>
      <c r="K5254">
        <f>COUNTIFS(RawData[Item], B5254,RawData[Quantity],C5254,RawData[Price Per Unit],D5254,RawData[Total Spent],E5254,RawData[Payment Method],F5254,RawData[Location],G5254,RawData[Transaction Date],H5254)</f>
        <v>1</v>
      </c>
      <c r="L5254"/>
    </row>
    <row r="5255" spans="1:12" x14ac:dyDescent="0.3">
      <c r="A5255" t="s">
        <v>5261</v>
      </c>
      <c r="B5255" t="s">
        <v>10014</v>
      </c>
      <c r="C5255">
        <v>4</v>
      </c>
      <c r="D5255">
        <v>4</v>
      </c>
      <c r="E5255">
        <v>16</v>
      </c>
      <c r="F5255" t="s">
        <v>10018</v>
      </c>
      <c r="G5255" t="s">
        <v>10102</v>
      </c>
      <c r="H5255" s="6">
        <v>44957</v>
      </c>
      <c r="I5255">
        <f t="shared" si="164"/>
        <v>0</v>
      </c>
      <c r="J5255" t="str">
        <f t="shared" si="165"/>
        <v>Complete</v>
      </c>
      <c r="K5255">
        <f>COUNTIFS(RawData[Item], B5255,RawData[Quantity],C5255,RawData[Price Per Unit],D5255,RawData[Total Spent],E5255,RawData[Payment Method],F5255,RawData[Location],G5255,RawData[Transaction Date],H5255)</f>
        <v>1</v>
      </c>
      <c r="L5255"/>
    </row>
    <row r="5256" spans="1:12" x14ac:dyDescent="0.3">
      <c r="A5256" t="s">
        <v>5262</v>
      </c>
      <c r="B5256" t="s">
        <v>10016</v>
      </c>
      <c r="C5256">
        <v>1</v>
      </c>
      <c r="D5256">
        <v>3</v>
      </c>
      <c r="E5256">
        <v>3</v>
      </c>
      <c r="F5256" t="s">
        <v>10018</v>
      </c>
      <c r="G5256" t="s">
        <v>10069</v>
      </c>
      <c r="H5256" s="6">
        <v>45283</v>
      </c>
      <c r="I5256">
        <f t="shared" si="164"/>
        <v>0</v>
      </c>
      <c r="J5256" t="str">
        <f t="shared" si="165"/>
        <v>Complete</v>
      </c>
      <c r="K5256">
        <f>COUNTIFS(RawData[Item], B5256,RawData[Quantity],C5256,RawData[Price Per Unit],D5256,RawData[Total Spent],E5256,RawData[Payment Method],F5256,RawData[Location],G5256,RawData[Transaction Date],H5256)</f>
        <v>1</v>
      </c>
      <c r="L5256"/>
    </row>
    <row r="5257" spans="1:12" x14ac:dyDescent="0.3">
      <c r="A5257" t="s">
        <v>5263</v>
      </c>
      <c r="B5257" t="s">
        <v>10014</v>
      </c>
      <c r="C5257">
        <v>1</v>
      </c>
      <c r="D5257">
        <v>4</v>
      </c>
      <c r="E5257">
        <v>4</v>
      </c>
      <c r="F5257" t="s">
        <v>10069</v>
      </c>
      <c r="G5257" t="s">
        <v>10069</v>
      </c>
      <c r="H5257" s="6">
        <v>44961</v>
      </c>
      <c r="I5257">
        <f t="shared" si="164"/>
        <v>0</v>
      </c>
      <c r="J5257" t="str">
        <f t="shared" si="165"/>
        <v>Complete</v>
      </c>
      <c r="K5257">
        <f>COUNTIFS(RawData[Item], B5257,RawData[Quantity],C5257,RawData[Price Per Unit],D5257,RawData[Total Spent],E5257,RawData[Payment Method],F5257,RawData[Location],G5257,RawData[Transaction Date],H5257)</f>
        <v>1</v>
      </c>
      <c r="L5257"/>
    </row>
    <row r="5258" spans="1:12" x14ac:dyDescent="0.3">
      <c r="A5258" t="s">
        <v>5264</v>
      </c>
      <c r="B5258" t="s">
        <v>10008</v>
      </c>
      <c r="C5258">
        <v>5</v>
      </c>
      <c r="D5258" t="s">
        <v>10015</v>
      </c>
      <c r="E5258">
        <v>10</v>
      </c>
      <c r="F5258" t="s">
        <v>10069</v>
      </c>
      <c r="G5258" t="s">
        <v>10069</v>
      </c>
      <c r="H5258" s="6">
        <v>45148</v>
      </c>
      <c r="I5258">
        <f t="shared" si="164"/>
        <v>1</v>
      </c>
      <c r="J5258" t="str">
        <f t="shared" si="165"/>
        <v>Complete</v>
      </c>
      <c r="K5258">
        <f>COUNTIFS(RawData[Item], B5258,RawData[Quantity],C5258,RawData[Price Per Unit],D5258,RawData[Total Spent],E5258,RawData[Payment Method],F5258,RawData[Location],G5258,RawData[Transaction Date],H5258)</f>
        <v>1</v>
      </c>
      <c r="L5258"/>
    </row>
    <row r="5259" spans="1:12" x14ac:dyDescent="0.3">
      <c r="A5259" t="s">
        <v>5265</v>
      </c>
      <c r="B5259" t="s">
        <v>10010</v>
      </c>
      <c r="C5259">
        <v>5</v>
      </c>
      <c r="D5259">
        <v>1</v>
      </c>
      <c r="E5259">
        <v>5</v>
      </c>
      <c r="F5259" t="s">
        <v>10018</v>
      </c>
      <c r="G5259" t="s">
        <v>10069</v>
      </c>
      <c r="H5259" s="6">
        <v>45144</v>
      </c>
      <c r="I5259">
        <f t="shared" si="164"/>
        <v>0</v>
      </c>
      <c r="J5259" t="str">
        <f t="shared" si="165"/>
        <v>Complete</v>
      </c>
      <c r="K5259">
        <f>COUNTIFS(RawData[Item], B5259,RawData[Quantity],C5259,RawData[Price Per Unit],D5259,RawData[Total Spent],E5259,RawData[Payment Method],F5259,RawData[Location],G5259,RawData[Transaction Date],H5259)</f>
        <v>1</v>
      </c>
      <c r="L5259"/>
    </row>
    <row r="5260" spans="1:12" x14ac:dyDescent="0.3">
      <c r="A5260" t="s">
        <v>5266</v>
      </c>
      <c r="B5260" t="s">
        <v>10008</v>
      </c>
      <c r="C5260">
        <v>1</v>
      </c>
      <c r="D5260">
        <v>2</v>
      </c>
      <c r="E5260">
        <v>2</v>
      </c>
      <c r="F5260" t="s">
        <v>10018</v>
      </c>
      <c r="G5260" t="s">
        <v>10021</v>
      </c>
      <c r="H5260" s="6">
        <v>45188</v>
      </c>
      <c r="I5260">
        <f t="shared" si="164"/>
        <v>0</v>
      </c>
      <c r="J5260" t="str">
        <f t="shared" si="165"/>
        <v>Complete</v>
      </c>
      <c r="K5260">
        <f>COUNTIFS(RawData[Item], B5260,RawData[Quantity],C5260,RawData[Price Per Unit],D5260,RawData[Total Spent],E5260,RawData[Payment Method],F5260,RawData[Location],G5260,RawData[Transaction Date],H5260)</f>
        <v>1</v>
      </c>
      <c r="L5260"/>
    </row>
    <row r="5261" spans="1:12" x14ac:dyDescent="0.3">
      <c r="A5261" t="s">
        <v>5267</v>
      </c>
      <c r="B5261" t="s">
        <v>10016</v>
      </c>
      <c r="C5261">
        <v>4</v>
      </c>
      <c r="D5261">
        <v>3</v>
      </c>
      <c r="E5261">
        <v>12</v>
      </c>
      <c r="F5261" t="s">
        <v>10069</v>
      </c>
      <c r="G5261" t="s">
        <v>10069</v>
      </c>
      <c r="H5261" s="6">
        <v>45088</v>
      </c>
      <c r="I5261">
        <f t="shared" si="164"/>
        <v>0</v>
      </c>
      <c r="J5261" t="str">
        <f t="shared" si="165"/>
        <v>Complete</v>
      </c>
      <c r="K5261">
        <f>COUNTIFS(RawData[Item], B5261,RawData[Quantity],C5261,RawData[Price Per Unit],D5261,RawData[Total Spent],E5261,RawData[Payment Method],F5261,RawData[Location],G5261,RawData[Transaction Date],H5261)</f>
        <v>1</v>
      </c>
      <c r="L5261"/>
    </row>
    <row r="5262" spans="1:12" x14ac:dyDescent="0.3">
      <c r="A5262" t="s">
        <v>5268</v>
      </c>
      <c r="B5262" t="s">
        <v>10016</v>
      </c>
      <c r="C5262">
        <v>5</v>
      </c>
      <c r="D5262">
        <v>3</v>
      </c>
      <c r="E5262">
        <v>15</v>
      </c>
      <c r="F5262" t="s">
        <v>10069</v>
      </c>
      <c r="G5262" t="s">
        <v>10021</v>
      </c>
      <c r="H5262" s="6">
        <v>44953</v>
      </c>
      <c r="I5262">
        <f t="shared" si="164"/>
        <v>0</v>
      </c>
      <c r="J5262" t="str">
        <f t="shared" si="165"/>
        <v>Complete</v>
      </c>
      <c r="K5262">
        <f>COUNTIFS(RawData[Item], B5262,RawData[Quantity],C5262,RawData[Price Per Unit],D5262,RawData[Total Spent],E5262,RawData[Payment Method],F5262,RawData[Location],G5262,RawData[Transaction Date],H5262)</f>
        <v>1</v>
      </c>
      <c r="L5262"/>
    </row>
    <row r="5263" spans="1:12" x14ac:dyDescent="0.3">
      <c r="A5263" t="s">
        <v>5269</v>
      </c>
      <c r="B5263" t="s">
        <v>10016</v>
      </c>
      <c r="C5263">
        <v>3</v>
      </c>
      <c r="D5263">
        <v>3</v>
      </c>
      <c r="E5263">
        <v>9</v>
      </c>
      <c r="F5263" t="s">
        <v>10020</v>
      </c>
      <c r="G5263" t="s">
        <v>10069</v>
      </c>
      <c r="H5263" s="6">
        <v>45212</v>
      </c>
      <c r="I5263">
        <f t="shared" si="164"/>
        <v>0</v>
      </c>
      <c r="J5263" t="str">
        <f t="shared" si="165"/>
        <v>Complete</v>
      </c>
      <c r="K5263">
        <f>COUNTIFS(RawData[Item], B5263,RawData[Quantity],C5263,RawData[Price Per Unit],D5263,RawData[Total Spent],E5263,RawData[Payment Method],F5263,RawData[Location],G5263,RawData[Transaction Date],H5263)</f>
        <v>2</v>
      </c>
      <c r="L5263"/>
    </row>
    <row r="5264" spans="1:12" x14ac:dyDescent="0.3">
      <c r="A5264" t="s">
        <v>5270</v>
      </c>
      <c r="B5264" t="s">
        <v>10013</v>
      </c>
      <c r="C5264">
        <v>5</v>
      </c>
      <c r="D5264">
        <v>4</v>
      </c>
      <c r="E5264">
        <v>20</v>
      </c>
      <c r="F5264" t="s">
        <v>10018</v>
      </c>
      <c r="G5264" t="s">
        <v>10021</v>
      </c>
      <c r="H5264" s="6">
        <v>45033</v>
      </c>
      <c r="I5264">
        <f t="shared" si="164"/>
        <v>1</v>
      </c>
      <c r="J5264" t="str">
        <f t="shared" si="165"/>
        <v>Complete</v>
      </c>
      <c r="K5264">
        <f>COUNTIFS(RawData[Item], B5264,RawData[Quantity],C5264,RawData[Price Per Unit],D5264,RawData[Total Spent],E5264,RawData[Payment Method],F5264,RawData[Location],G5264,RawData[Transaction Date],H5264)</f>
        <v>1</v>
      </c>
      <c r="L5264"/>
    </row>
    <row r="5265" spans="1:12" x14ac:dyDescent="0.3">
      <c r="A5265" t="s">
        <v>5271</v>
      </c>
      <c r="B5265" t="s">
        <v>10011</v>
      </c>
      <c r="C5265" t="s">
        <v>10013</v>
      </c>
      <c r="D5265">
        <v>5</v>
      </c>
      <c r="E5265">
        <v>25</v>
      </c>
      <c r="F5265" t="s">
        <v>10069</v>
      </c>
      <c r="G5265" t="s">
        <v>10069</v>
      </c>
      <c r="H5265" s="6">
        <v>45162</v>
      </c>
      <c r="I5265">
        <f t="shared" si="164"/>
        <v>1</v>
      </c>
      <c r="J5265" t="str">
        <f t="shared" si="165"/>
        <v>Complete</v>
      </c>
      <c r="K5265">
        <f>COUNTIFS(RawData[Item], B5265,RawData[Quantity],C5265,RawData[Price Per Unit],D5265,RawData[Total Spent],E5265,RawData[Payment Method],F5265,RawData[Location],G5265,RawData[Transaction Date],H5265)</f>
        <v>1</v>
      </c>
      <c r="L5265"/>
    </row>
    <row r="5266" spans="1:12" x14ac:dyDescent="0.3">
      <c r="A5266" t="s">
        <v>5272</v>
      </c>
      <c r="B5266" t="s">
        <v>10012</v>
      </c>
      <c r="C5266">
        <v>1</v>
      </c>
      <c r="D5266">
        <v>4</v>
      </c>
      <c r="E5266">
        <v>4</v>
      </c>
      <c r="F5266" t="s">
        <v>10018</v>
      </c>
      <c r="G5266" t="s">
        <v>10102</v>
      </c>
      <c r="H5266" s="6" t="s">
        <v>10112</v>
      </c>
      <c r="I5266">
        <f t="shared" si="164"/>
        <v>1</v>
      </c>
      <c r="J5266" t="str">
        <f t="shared" si="165"/>
        <v>Incomplete</v>
      </c>
      <c r="K5266">
        <f>COUNTIFS(RawData[Item], B5266,RawData[Quantity],C5266,RawData[Price Per Unit],D5266,RawData[Total Spent],E5266,RawData[Payment Method],F5266,RawData[Location],G5266,RawData[Transaction Date],H5266)</f>
        <v>1</v>
      </c>
      <c r="L5266"/>
    </row>
    <row r="5267" spans="1:12" x14ac:dyDescent="0.3">
      <c r="A5267" t="s">
        <v>5273</v>
      </c>
      <c r="B5267" t="s">
        <v>10017</v>
      </c>
      <c r="C5267">
        <v>1</v>
      </c>
      <c r="D5267">
        <v>1.5</v>
      </c>
      <c r="E5267">
        <v>1.5</v>
      </c>
      <c r="F5267" t="s">
        <v>10103</v>
      </c>
      <c r="G5267" t="s">
        <v>10069</v>
      </c>
      <c r="H5267" s="6">
        <v>45088</v>
      </c>
      <c r="I5267">
        <f t="shared" si="164"/>
        <v>1</v>
      </c>
      <c r="J5267" t="str">
        <f t="shared" si="165"/>
        <v>Complete</v>
      </c>
      <c r="K5267">
        <f>COUNTIFS(RawData[Item], B5267,RawData[Quantity],C5267,RawData[Price Per Unit],D5267,RawData[Total Spent],E5267,RawData[Payment Method],F5267,RawData[Location],G5267,RawData[Transaction Date],H5267)</f>
        <v>1</v>
      </c>
      <c r="L5267"/>
    </row>
    <row r="5268" spans="1:12" x14ac:dyDescent="0.3">
      <c r="A5268" t="s">
        <v>5274</v>
      </c>
      <c r="B5268" t="s">
        <v>10010</v>
      </c>
      <c r="C5268">
        <v>5</v>
      </c>
      <c r="D5268">
        <v>1</v>
      </c>
      <c r="E5268">
        <v>5</v>
      </c>
      <c r="F5268" t="s">
        <v>10019</v>
      </c>
      <c r="G5268" t="s">
        <v>10069</v>
      </c>
      <c r="H5268" s="6">
        <v>45185</v>
      </c>
      <c r="I5268">
        <f t="shared" si="164"/>
        <v>0</v>
      </c>
      <c r="J5268" t="str">
        <f t="shared" si="165"/>
        <v>Complete</v>
      </c>
      <c r="K5268">
        <f>COUNTIFS(RawData[Item], B5268,RawData[Quantity],C5268,RawData[Price Per Unit],D5268,RawData[Total Spent],E5268,RawData[Payment Method],F5268,RawData[Location],G5268,RawData[Transaction Date],H5268)</f>
        <v>1</v>
      </c>
      <c r="L5268"/>
    </row>
    <row r="5269" spans="1:12" x14ac:dyDescent="0.3">
      <c r="A5269" t="s">
        <v>5275</v>
      </c>
      <c r="B5269" t="s">
        <v>10014</v>
      </c>
      <c r="C5269">
        <v>5</v>
      </c>
      <c r="D5269">
        <v>4</v>
      </c>
      <c r="E5269" t="s">
        <v>10013</v>
      </c>
      <c r="F5269" t="s">
        <v>10103</v>
      </c>
      <c r="G5269" t="s">
        <v>10021</v>
      </c>
      <c r="H5269" s="6">
        <v>45078</v>
      </c>
      <c r="I5269">
        <f t="shared" si="164"/>
        <v>2</v>
      </c>
      <c r="J5269" t="str">
        <f t="shared" si="165"/>
        <v>Complete</v>
      </c>
      <c r="K5269">
        <f>COUNTIFS(RawData[Item], B5269,RawData[Quantity],C5269,RawData[Price Per Unit],D5269,RawData[Total Spent],E5269,RawData[Payment Method],F5269,RawData[Location],G5269,RawData[Transaction Date],H5269)</f>
        <v>1</v>
      </c>
      <c r="L5269"/>
    </row>
    <row r="5270" spans="1:12" x14ac:dyDescent="0.3">
      <c r="A5270" t="s">
        <v>5276</v>
      </c>
      <c r="B5270" t="s">
        <v>10011</v>
      </c>
      <c r="C5270">
        <v>2</v>
      </c>
      <c r="D5270" t="s">
        <v>10015</v>
      </c>
      <c r="E5270">
        <v>10</v>
      </c>
      <c r="F5270" t="s">
        <v>10020</v>
      </c>
      <c r="G5270" t="s">
        <v>10069</v>
      </c>
      <c r="H5270" s="6">
        <v>44982</v>
      </c>
      <c r="I5270">
        <f t="shared" si="164"/>
        <v>1</v>
      </c>
      <c r="J5270" t="str">
        <f t="shared" si="165"/>
        <v>Complete</v>
      </c>
      <c r="K5270">
        <f>COUNTIFS(RawData[Item], B5270,RawData[Quantity],C5270,RawData[Price Per Unit],D5270,RawData[Total Spent],E5270,RawData[Payment Method],F5270,RawData[Location],G5270,RawData[Transaction Date],H5270)</f>
        <v>1</v>
      </c>
      <c r="L5270"/>
    </row>
    <row r="5271" spans="1:12" x14ac:dyDescent="0.3">
      <c r="A5271" t="s">
        <v>5277</v>
      </c>
      <c r="B5271" t="s">
        <v>10009</v>
      </c>
      <c r="C5271">
        <v>1</v>
      </c>
      <c r="D5271">
        <v>3</v>
      </c>
      <c r="E5271">
        <v>3</v>
      </c>
      <c r="F5271" t="s">
        <v>10069</v>
      </c>
      <c r="G5271" t="s">
        <v>10069</v>
      </c>
      <c r="H5271" s="6">
        <v>45259</v>
      </c>
      <c r="I5271">
        <f t="shared" si="164"/>
        <v>0</v>
      </c>
      <c r="J5271" t="str">
        <f t="shared" si="165"/>
        <v>Complete</v>
      </c>
      <c r="K5271">
        <f>COUNTIFS(RawData[Item], B5271,RawData[Quantity],C5271,RawData[Price Per Unit],D5271,RawData[Total Spent],E5271,RawData[Payment Method],F5271,RawData[Location],G5271,RawData[Transaction Date],H5271)</f>
        <v>1</v>
      </c>
      <c r="L5271"/>
    </row>
    <row r="5272" spans="1:12" x14ac:dyDescent="0.3">
      <c r="A5272" t="s">
        <v>5278</v>
      </c>
      <c r="B5272" t="s">
        <v>10012</v>
      </c>
      <c r="C5272">
        <v>5</v>
      </c>
      <c r="D5272">
        <v>4</v>
      </c>
      <c r="E5272">
        <v>20</v>
      </c>
      <c r="F5272" t="s">
        <v>10020</v>
      </c>
      <c r="G5272" t="s">
        <v>10104</v>
      </c>
      <c r="H5272" s="6">
        <v>45069</v>
      </c>
      <c r="I5272">
        <f t="shared" si="164"/>
        <v>1</v>
      </c>
      <c r="J5272" t="str">
        <f t="shared" si="165"/>
        <v>Complete</v>
      </c>
      <c r="K5272">
        <f>COUNTIFS(RawData[Item], B5272,RawData[Quantity],C5272,RawData[Price Per Unit],D5272,RawData[Total Spent],E5272,RawData[Payment Method],F5272,RawData[Location],G5272,RawData[Transaction Date],H5272)</f>
        <v>1</v>
      </c>
      <c r="L5272"/>
    </row>
    <row r="5273" spans="1:12" x14ac:dyDescent="0.3">
      <c r="A5273" t="s">
        <v>5279</v>
      </c>
      <c r="B5273" t="s">
        <v>10011</v>
      </c>
      <c r="C5273">
        <v>3</v>
      </c>
      <c r="D5273">
        <v>5</v>
      </c>
      <c r="E5273">
        <v>15</v>
      </c>
      <c r="F5273" t="s">
        <v>10019</v>
      </c>
      <c r="G5273" t="s">
        <v>10069</v>
      </c>
      <c r="H5273" s="6">
        <v>45263</v>
      </c>
      <c r="I5273">
        <f t="shared" si="164"/>
        <v>0</v>
      </c>
      <c r="J5273" t="str">
        <f t="shared" si="165"/>
        <v>Complete</v>
      </c>
      <c r="K5273">
        <f>COUNTIFS(RawData[Item], B5273,RawData[Quantity],C5273,RawData[Price Per Unit],D5273,RawData[Total Spent],E5273,RawData[Payment Method],F5273,RawData[Location],G5273,RawData[Transaction Date],H5273)</f>
        <v>1</v>
      </c>
      <c r="L5273"/>
    </row>
    <row r="5274" spans="1:12" x14ac:dyDescent="0.3">
      <c r="A5274" t="s">
        <v>5280</v>
      </c>
      <c r="B5274" t="s">
        <v>10012</v>
      </c>
      <c r="C5274">
        <v>5</v>
      </c>
      <c r="D5274">
        <v>4</v>
      </c>
      <c r="E5274">
        <v>20</v>
      </c>
      <c r="F5274" t="s">
        <v>10069</v>
      </c>
      <c r="G5274" t="s">
        <v>10021</v>
      </c>
      <c r="H5274" s="6">
        <v>44959</v>
      </c>
      <c r="I5274">
        <f t="shared" si="164"/>
        <v>0</v>
      </c>
      <c r="J5274" t="str">
        <f t="shared" si="165"/>
        <v>Complete</v>
      </c>
      <c r="K5274">
        <f>COUNTIFS(RawData[Item], B5274,RawData[Quantity],C5274,RawData[Price Per Unit],D5274,RawData[Total Spent],E5274,RawData[Payment Method],F5274,RawData[Location],G5274,RawData[Transaction Date],H5274)</f>
        <v>1</v>
      </c>
      <c r="L5274"/>
    </row>
    <row r="5275" spans="1:12" x14ac:dyDescent="0.3">
      <c r="A5275" t="s">
        <v>5281</v>
      </c>
      <c r="B5275" t="s">
        <v>10008</v>
      </c>
      <c r="C5275">
        <v>2</v>
      </c>
      <c r="D5275">
        <v>2</v>
      </c>
      <c r="E5275">
        <v>4</v>
      </c>
      <c r="F5275" t="s">
        <v>10020</v>
      </c>
      <c r="G5275" t="s">
        <v>10102</v>
      </c>
      <c r="H5275" s="6">
        <v>45017</v>
      </c>
      <c r="I5275">
        <f t="shared" si="164"/>
        <v>0</v>
      </c>
      <c r="J5275" t="str">
        <f t="shared" si="165"/>
        <v>Complete</v>
      </c>
      <c r="K5275">
        <f>COUNTIFS(RawData[Item], B5275,RawData[Quantity],C5275,RawData[Price Per Unit],D5275,RawData[Total Spent],E5275,RawData[Payment Method],F5275,RawData[Location],G5275,RawData[Transaction Date],H5275)</f>
        <v>1</v>
      </c>
      <c r="L5275"/>
    </row>
    <row r="5276" spans="1:12" x14ac:dyDescent="0.3">
      <c r="A5276" t="s">
        <v>5282</v>
      </c>
      <c r="B5276" t="s">
        <v>10014</v>
      </c>
      <c r="C5276">
        <v>3</v>
      </c>
      <c r="D5276">
        <v>4</v>
      </c>
      <c r="E5276">
        <v>12</v>
      </c>
      <c r="F5276" t="s">
        <v>10018</v>
      </c>
      <c r="G5276" t="s">
        <v>10102</v>
      </c>
      <c r="H5276" s="6">
        <v>45095</v>
      </c>
      <c r="I5276">
        <f t="shared" si="164"/>
        <v>0</v>
      </c>
      <c r="J5276" t="str">
        <f t="shared" si="165"/>
        <v>Complete</v>
      </c>
      <c r="K5276">
        <f>COUNTIFS(RawData[Item], B5276,RawData[Quantity],C5276,RawData[Price Per Unit],D5276,RawData[Total Spent],E5276,RawData[Payment Method],F5276,RawData[Location],G5276,RawData[Transaction Date],H5276)</f>
        <v>1</v>
      </c>
      <c r="L5276"/>
    </row>
    <row r="5277" spans="1:12" x14ac:dyDescent="0.3">
      <c r="A5277" t="s">
        <v>5283</v>
      </c>
      <c r="B5277" t="s">
        <v>10017</v>
      </c>
      <c r="C5277">
        <v>2</v>
      </c>
      <c r="D5277" t="s">
        <v>10013</v>
      </c>
      <c r="E5277">
        <v>3</v>
      </c>
      <c r="F5277" t="s">
        <v>10020</v>
      </c>
      <c r="G5277" t="s">
        <v>10104</v>
      </c>
      <c r="H5277" s="6">
        <v>45222</v>
      </c>
      <c r="I5277">
        <f t="shared" si="164"/>
        <v>2</v>
      </c>
      <c r="J5277" t="str">
        <f t="shared" si="165"/>
        <v>Complete</v>
      </c>
      <c r="K5277">
        <f>COUNTIFS(RawData[Item], B5277,RawData[Quantity],C5277,RawData[Price Per Unit],D5277,RawData[Total Spent],E5277,RawData[Payment Method],F5277,RawData[Location],G5277,RawData[Transaction Date],H5277)</f>
        <v>1</v>
      </c>
      <c r="L5277"/>
    </row>
    <row r="5278" spans="1:12" x14ac:dyDescent="0.3">
      <c r="A5278" t="s">
        <v>5284</v>
      </c>
      <c r="B5278" t="s">
        <v>10009</v>
      </c>
      <c r="C5278">
        <v>5</v>
      </c>
      <c r="D5278" t="s">
        <v>10013</v>
      </c>
      <c r="E5278">
        <v>15</v>
      </c>
      <c r="F5278" t="s">
        <v>10069</v>
      </c>
      <c r="G5278" t="s">
        <v>10102</v>
      </c>
      <c r="H5278" s="6">
        <v>45145</v>
      </c>
      <c r="I5278">
        <f t="shared" si="164"/>
        <v>1</v>
      </c>
      <c r="J5278" t="str">
        <f t="shared" si="165"/>
        <v>Complete</v>
      </c>
      <c r="K5278">
        <f>COUNTIFS(RawData[Item], B5278,RawData[Quantity],C5278,RawData[Price Per Unit],D5278,RawData[Total Spent],E5278,RawData[Payment Method],F5278,RawData[Location],G5278,RawData[Transaction Date],H5278)</f>
        <v>1</v>
      </c>
      <c r="L5278"/>
    </row>
    <row r="5279" spans="1:12" x14ac:dyDescent="0.3">
      <c r="A5279" t="s">
        <v>5285</v>
      </c>
      <c r="B5279" t="s">
        <v>10016</v>
      </c>
      <c r="C5279">
        <v>2</v>
      </c>
      <c r="D5279">
        <v>3</v>
      </c>
      <c r="E5279">
        <v>6</v>
      </c>
      <c r="F5279" t="s">
        <v>10019</v>
      </c>
      <c r="G5279" t="s">
        <v>10103</v>
      </c>
      <c r="H5279" s="6">
        <v>45077</v>
      </c>
      <c r="I5279">
        <f t="shared" si="164"/>
        <v>1</v>
      </c>
      <c r="J5279" t="str">
        <f t="shared" si="165"/>
        <v>Complete</v>
      </c>
      <c r="K5279">
        <f>COUNTIFS(RawData[Item], B5279,RawData[Quantity],C5279,RawData[Price Per Unit],D5279,RawData[Total Spent],E5279,RawData[Payment Method],F5279,RawData[Location],G5279,RawData[Transaction Date],H5279)</f>
        <v>1</v>
      </c>
      <c r="L5279"/>
    </row>
    <row r="5280" spans="1:12" x14ac:dyDescent="0.3">
      <c r="A5280" t="s">
        <v>5286</v>
      </c>
      <c r="B5280" t="s">
        <v>10009</v>
      </c>
      <c r="C5280">
        <v>4</v>
      </c>
      <c r="D5280">
        <v>3</v>
      </c>
      <c r="E5280">
        <v>12</v>
      </c>
      <c r="F5280" t="s">
        <v>10020</v>
      </c>
      <c r="G5280" t="s">
        <v>10021</v>
      </c>
      <c r="H5280" s="6">
        <v>45150</v>
      </c>
      <c r="I5280">
        <f t="shared" si="164"/>
        <v>0</v>
      </c>
      <c r="J5280" t="str">
        <f t="shared" si="165"/>
        <v>Complete</v>
      </c>
      <c r="K5280">
        <f>COUNTIFS(RawData[Item], B5280,RawData[Quantity],C5280,RawData[Price Per Unit],D5280,RawData[Total Spent],E5280,RawData[Payment Method],F5280,RawData[Location],G5280,RawData[Transaction Date],H5280)</f>
        <v>1</v>
      </c>
      <c r="L5280"/>
    </row>
    <row r="5281" spans="1:12" x14ac:dyDescent="0.3">
      <c r="A5281" t="s">
        <v>5287</v>
      </c>
      <c r="B5281" t="s">
        <v>10017</v>
      </c>
      <c r="C5281">
        <v>4</v>
      </c>
      <c r="D5281">
        <v>0</v>
      </c>
      <c r="E5281">
        <v>6</v>
      </c>
      <c r="F5281" t="s">
        <v>10020</v>
      </c>
      <c r="G5281" t="s">
        <v>10069</v>
      </c>
      <c r="H5281" s="6">
        <v>44943</v>
      </c>
      <c r="I5281">
        <f t="shared" si="164"/>
        <v>0</v>
      </c>
      <c r="J5281" t="str">
        <f t="shared" si="165"/>
        <v>Complete</v>
      </c>
      <c r="K5281">
        <f>COUNTIFS(RawData[Item], B5281,RawData[Quantity],C5281,RawData[Price Per Unit],D5281,RawData[Total Spent],E5281,RawData[Payment Method],F5281,RawData[Location],G5281,RawData[Transaction Date],H5281)</f>
        <v>1</v>
      </c>
      <c r="L5281"/>
    </row>
    <row r="5282" spans="1:12" x14ac:dyDescent="0.3">
      <c r="A5282" t="s">
        <v>5288</v>
      </c>
      <c r="B5282" t="s">
        <v>10009</v>
      </c>
      <c r="C5282">
        <v>3</v>
      </c>
      <c r="D5282">
        <v>3</v>
      </c>
      <c r="E5282">
        <v>9</v>
      </c>
      <c r="F5282" t="s">
        <v>10069</v>
      </c>
      <c r="G5282" t="s">
        <v>10069</v>
      </c>
      <c r="H5282" s="6">
        <v>45173</v>
      </c>
      <c r="I5282">
        <f t="shared" si="164"/>
        <v>0</v>
      </c>
      <c r="J5282" t="str">
        <f t="shared" si="165"/>
        <v>Complete</v>
      </c>
      <c r="K5282">
        <f>COUNTIFS(RawData[Item], B5282,RawData[Quantity],C5282,RawData[Price Per Unit],D5282,RawData[Total Spent],E5282,RawData[Payment Method],F5282,RawData[Location],G5282,RawData[Transaction Date],H5282)</f>
        <v>1</v>
      </c>
      <c r="L5282"/>
    </row>
    <row r="5283" spans="1:12" x14ac:dyDescent="0.3">
      <c r="A5283" t="s">
        <v>5289</v>
      </c>
      <c r="B5283" t="s">
        <v>10010</v>
      </c>
      <c r="C5283">
        <v>4</v>
      </c>
      <c r="D5283">
        <v>1</v>
      </c>
      <c r="E5283">
        <v>4</v>
      </c>
      <c r="F5283" t="s">
        <v>10020</v>
      </c>
      <c r="G5283" t="s">
        <v>10021</v>
      </c>
      <c r="H5283" s="6">
        <v>45191</v>
      </c>
      <c r="I5283">
        <f t="shared" si="164"/>
        <v>0</v>
      </c>
      <c r="J5283" t="str">
        <f t="shared" si="165"/>
        <v>Complete</v>
      </c>
      <c r="K5283">
        <f>COUNTIFS(RawData[Item], B5283,RawData[Quantity],C5283,RawData[Price Per Unit],D5283,RawData[Total Spent],E5283,RawData[Payment Method],F5283,RawData[Location],G5283,RawData[Transaction Date],H5283)</f>
        <v>1</v>
      </c>
      <c r="L5283"/>
    </row>
    <row r="5284" spans="1:12" x14ac:dyDescent="0.3">
      <c r="A5284" t="s">
        <v>5290</v>
      </c>
      <c r="B5284" t="s">
        <v>10010</v>
      </c>
      <c r="C5284">
        <v>4</v>
      </c>
      <c r="D5284">
        <v>1</v>
      </c>
      <c r="E5284">
        <v>4</v>
      </c>
      <c r="F5284" t="s">
        <v>10020</v>
      </c>
      <c r="G5284" t="s">
        <v>10102</v>
      </c>
      <c r="H5284" s="6" t="s">
        <v>10112</v>
      </c>
      <c r="I5284">
        <f t="shared" si="164"/>
        <v>1</v>
      </c>
      <c r="J5284" t="str">
        <f t="shared" si="165"/>
        <v>Incomplete</v>
      </c>
      <c r="K5284">
        <f>COUNTIFS(RawData[Item], B5284,RawData[Quantity],C5284,RawData[Price Per Unit],D5284,RawData[Total Spent],E5284,RawData[Payment Method],F5284,RawData[Location],G5284,RawData[Transaction Date],H5284)</f>
        <v>2</v>
      </c>
      <c r="L5284"/>
    </row>
    <row r="5285" spans="1:12" x14ac:dyDescent="0.3">
      <c r="A5285" t="s">
        <v>5291</v>
      </c>
      <c r="B5285" t="s">
        <v>10008</v>
      </c>
      <c r="C5285">
        <v>1</v>
      </c>
      <c r="D5285">
        <v>2</v>
      </c>
      <c r="E5285">
        <v>2</v>
      </c>
      <c r="F5285" t="s">
        <v>10018</v>
      </c>
      <c r="G5285" t="s">
        <v>10102</v>
      </c>
      <c r="H5285" s="6">
        <v>45254</v>
      </c>
      <c r="I5285">
        <f t="shared" si="164"/>
        <v>0</v>
      </c>
      <c r="J5285" t="str">
        <f t="shared" si="165"/>
        <v>Complete</v>
      </c>
      <c r="K5285">
        <f>COUNTIFS(RawData[Item], B5285,RawData[Quantity],C5285,RawData[Price Per Unit],D5285,RawData[Total Spent],E5285,RawData[Payment Method],F5285,RawData[Location],G5285,RawData[Transaction Date],H5285)</f>
        <v>1</v>
      </c>
      <c r="L5285"/>
    </row>
    <row r="5286" spans="1:12" x14ac:dyDescent="0.3">
      <c r="A5286" t="s">
        <v>5292</v>
      </c>
      <c r="B5286" t="s">
        <v>10011</v>
      </c>
      <c r="C5286">
        <v>5</v>
      </c>
      <c r="D5286">
        <v>5</v>
      </c>
      <c r="E5286">
        <v>25</v>
      </c>
      <c r="F5286" t="s">
        <v>10104</v>
      </c>
      <c r="G5286" t="s">
        <v>10021</v>
      </c>
      <c r="H5286" s="6">
        <v>45082</v>
      </c>
      <c r="I5286">
        <f t="shared" si="164"/>
        <v>1</v>
      </c>
      <c r="J5286" t="str">
        <f t="shared" si="165"/>
        <v>Complete</v>
      </c>
      <c r="K5286">
        <f>COUNTIFS(RawData[Item], B5286,RawData[Quantity],C5286,RawData[Price Per Unit],D5286,RawData[Total Spent],E5286,RawData[Payment Method],F5286,RawData[Location],G5286,RawData[Transaction Date],H5286)</f>
        <v>1</v>
      </c>
      <c r="L5286"/>
    </row>
    <row r="5287" spans="1:12" x14ac:dyDescent="0.3">
      <c r="A5287" t="s">
        <v>5293</v>
      </c>
      <c r="B5287" t="s">
        <v>10017</v>
      </c>
      <c r="C5287">
        <v>2</v>
      </c>
      <c r="D5287">
        <v>1.5</v>
      </c>
      <c r="E5287">
        <v>3</v>
      </c>
      <c r="F5287" t="s">
        <v>10103</v>
      </c>
      <c r="G5287" t="s">
        <v>10069</v>
      </c>
      <c r="H5287" s="6" t="s">
        <v>10112</v>
      </c>
      <c r="I5287">
        <f t="shared" si="164"/>
        <v>2</v>
      </c>
      <c r="J5287" t="str">
        <f t="shared" si="165"/>
        <v>Incomplete</v>
      </c>
      <c r="K5287">
        <f>COUNTIFS(RawData[Item], B5287,RawData[Quantity],C5287,RawData[Price Per Unit],D5287,RawData[Total Spent],E5287,RawData[Payment Method],F5287,RawData[Location],G5287,RawData[Transaction Date],H5287)</f>
        <v>1</v>
      </c>
      <c r="L5287"/>
    </row>
    <row r="5288" spans="1:12" x14ac:dyDescent="0.3">
      <c r="A5288" t="s">
        <v>5294</v>
      </c>
      <c r="B5288" t="s">
        <v>10009</v>
      </c>
      <c r="C5288">
        <v>5</v>
      </c>
      <c r="D5288">
        <v>3</v>
      </c>
      <c r="E5288">
        <v>15</v>
      </c>
      <c r="F5288" t="s">
        <v>10020</v>
      </c>
      <c r="G5288" t="s">
        <v>10021</v>
      </c>
      <c r="H5288" s="6">
        <v>45062</v>
      </c>
      <c r="I5288">
        <f t="shared" si="164"/>
        <v>0</v>
      </c>
      <c r="J5288" t="str">
        <f t="shared" si="165"/>
        <v>Complete</v>
      </c>
      <c r="K5288">
        <f>COUNTIFS(RawData[Item], B5288,RawData[Quantity],C5288,RawData[Price Per Unit],D5288,RawData[Total Spent],E5288,RawData[Payment Method],F5288,RawData[Location],G5288,RawData[Transaction Date],H5288)</f>
        <v>1</v>
      </c>
      <c r="L5288"/>
    </row>
    <row r="5289" spans="1:12" x14ac:dyDescent="0.3">
      <c r="A5289" t="s">
        <v>5295</v>
      </c>
      <c r="B5289" t="s">
        <v>10011</v>
      </c>
      <c r="C5289">
        <v>5</v>
      </c>
      <c r="D5289">
        <v>5</v>
      </c>
      <c r="E5289">
        <v>25</v>
      </c>
      <c r="F5289" t="s">
        <v>10069</v>
      </c>
      <c r="G5289" t="s">
        <v>10103</v>
      </c>
      <c r="H5289" s="6">
        <v>44951</v>
      </c>
      <c r="I5289">
        <f t="shared" si="164"/>
        <v>1</v>
      </c>
      <c r="J5289" t="str">
        <f t="shared" si="165"/>
        <v>Complete</v>
      </c>
      <c r="K5289">
        <f>COUNTIFS(RawData[Item], B5289,RawData[Quantity],C5289,RawData[Price Per Unit],D5289,RawData[Total Spent],E5289,RawData[Payment Method],F5289,RawData[Location],G5289,RawData[Transaction Date],H5289)</f>
        <v>1</v>
      </c>
      <c r="L5289"/>
    </row>
    <row r="5290" spans="1:12" x14ac:dyDescent="0.3">
      <c r="A5290" t="s">
        <v>5296</v>
      </c>
      <c r="B5290" t="s">
        <v>10008</v>
      </c>
      <c r="C5290">
        <v>4</v>
      </c>
      <c r="D5290">
        <v>2</v>
      </c>
      <c r="E5290">
        <v>8</v>
      </c>
      <c r="F5290" t="s">
        <v>10069</v>
      </c>
      <c r="G5290" t="s">
        <v>10102</v>
      </c>
      <c r="H5290" s="6">
        <v>45112</v>
      </c>
      <c r="I5290">
        <f t="shared" si="164"/>
        <v>0</v>
      </c>
      <c r="J5290" t="str">
        <f t="shared" si="165"/>
        <v>Complete</v>
      </c>
      <c r="K5290">
        <f>COUNTIFS(RawData[Item], B5290,RawData[Quantity],C5290,RawData[Price Per Unit],D5290,RawData[Total Spent],E5290,RawData[Payment Method],F5290,RawData[Location],G5290,RawData[Transaction Date],H5290)</f>
        <v>1</v>
      </c>
      <c r="L5290"/>
    </row>
    <row r="5291" spans="1:12" x14ac:dyDescent="0.3">
      <c r="A5291" t="s">
        <v>5297</v>
      </c>
      <c r="B5291" t="s">
        <v>10014</v>
      </c>
      <c r="C5291">
        <v>1</v>
      </c>
      <c r="D5291">
        <v>4</v>
      </c>
      <c r="E5291">
        <v>4</v>
      </c>
      <c r="F5291" t="s">
        <v>10020</v>
      </c>
      <c r="G5291" t="s">
        <v>10021</v>
      </c>
      <c r="H5291" s="6">
        <v>45092</v>
      </c>
      <c r="I5291">
        <f t="shared" si="164"/>
        <v>0</v>
      </c>
      <c r="J5291" t="str">
        <f t="shared" si="165"/>
        <v>Complete</v>
      </c>
      <c r="K5291">
        <f>COUNTIFS(RawData[Item], B5291,RawData[Quantity],C5291,RawData[Price Per Unit],D5291,RawData[Total Spent],E5291,RawData[Payment Method],F5291,RawData[Location],G5291,RawData[Transaction Date],H5291)</f>
        <v>2</v>
      </c>
      <c r="L5291"/>
    </row>
    <row r="5292" spans="1:12" x14ac:dyDescent="0.3">
      <c r="A5292" t="s">
        <v>5298</v>
      </c>
      <c r="B5292" t="s">
        <v>10009</v>
      </c>
      <c r="C5292">
        <v>4</v>
      </c>
      <c r="D5292">
        <v>3</v>
      </c>
      <c r="E5292">
        <v>12</v>
      </c>
      <c r="F5292" t="s">
        <v>10018</v>
      </c>
      <c r="G5292" t="s">
        <v>10021</v>
      </c>
      <c r="H5292" s="6">
        <v>45033</v>
      </c>
      <c r="I5292">
        <f t="shared" si="164"/>
        <v>0</v>
      </c>
      <c r="J5292" t="str">
        <f t="shared" si="165"/>
        <v>Complete</v>
      </c>
      <c r="K5292">
        <f>COUNTIFS(RawData[Item], B5292,RawData[Quantity],C5292,RawData[Price Per Unit],D5292,RawData[Total Spent],E5292,RawData[Payment Method],F5292,RawData[Location],G5292,RawData[Transaction Date],H5292)</f>
        <v>1</v>
      </c>
      <c r="L5292"/>
    </row>
    <row r="5293" spans="1:12" x14ac:dyDescent="0.3">
      <c r="A5293" t="s">
        <v>5299</v>
      </c>
      <c r="B5293" t="s">
        <v>10016</v>
      </c>
      <c r="C5293">
        <v>5</v>
      </c>
      <c r="D5293" t="s">
        <v>10015</v>
      </c>
      <c r="E5293">
        <v>15</v>
      </c>
      <c r="F5293" t="s">
        <v>10104</v>
      </c>
      <c r="G5293" t="s">
        <v>10021</v>
      </c>
      <c r="H5293" s="6">
        <v>45049</v>
      </c>
      <c r="I5293">
        <f t="shared" si="164"/>
        <v>2</v>
      </c>
      <c r="J5293" t="str">
        <f t="shared" si="165"/>
        <v>Complete</v>
      </c>
      <c r="K5293">
        <f>COUNTIFS(RawData[Item], B5293,RawData[Quantity],C5293,RawData[Price Per Unit],D5293,RawData[Total Spent],E5293,RawData[Payment Method],F5293,RawData[Location],G5293,RawData[Transaction Date],H5293)</f>
        <v>1</v>
      </c>
      <c r="L5293"/>
    </row>
    <row r="5294" spans="1:12" x14ac:dyDescent="0.3">
      <c r="A5294" t="s">
        <v>5300</v>
      </c>
      <c r="B5294" t="s">
        <v>10010</v>
      </c>
      <c r="C5294">
        <v>2</v>
      </c>
      <c r="D5294">
        <v>1</v>
      </c>
      <c r="E5294">
        <v>2</v>
      </c>
      <c r="F5294" t="s">
        <v>10104</v>
      </c>
      <c r="G5294" t="s">
        <v>10102</v>
      </c>
      <c r="H5294" s="6" t="s">
        <v>10112</v>
      </c>
      <c r="I5294">
        <f t="shared" si="164"/>
        <v>2</v>
      </c>
      <c r="J5294" t="str">
        <f t="shared" si="165"/>
        <v>Incomplete</v>
      </c>
      <c r="K5294">
        <f>COUNTIFS(RawData[Item], B5294,RawData[Quantity],C5294,RawData[Price Per Unit],D5294,RawData[Total Spent],E5294,RawData[Payment Method],F5294,RawData[Location],G5294,RawData[Transaction Date],H5294)</f>
        <v>1</v>
      </c>
      <c r="L5294"/>
    </row>
    <row r="5295" spans="1:12" x14ac:dyDescent="0.3">
      <c r="A5295" t="s">
        <v>5301</v>
      </c>
      <c r="B5295" t="s">
        <v>10009</v>
      </c>
      <c r="C5295">
        <v>2</v>
      </c>
      <c r="D5295">
        <v>3</v>
      </c>
      <c r="E5295">
        <v>6</v>
      </c>
      <c r="F5295" t="s">
        <v>10069</v>
      </c>
      <c r="G5295" t="s">
        <v>10069</v>
      </c>
      <c r="H5295" s="6">
        <v>45100</v>
      </c>
      <c r="I5295">
        <f t="shared" si="164"/>
        <v>0</v>
      </c>
      <c r="J5295" t="str">
        <f t="shared" si="165"/>
        <v>Complete</v>
      </c>
      <c r="K5295">
        <f>COUNTIFS(RawData[Item], B5295,RawData[Quantity],C5295,RawData[Price Per Unit],D5295,RawData[Total Spent],E5295,RawData[Payment Method],F5295,RawData[Location],G5295,RawData[Transaction Date],H5295)</f>
        <v>1</v>
      </c>
      <c r="L5295"/>
    </row>
    <row r="5296" spans="1:12" x14ac:dyDescent="0.3">
      <c r="A5296" t="s">
        <v>5302</v>
      </c>
      <c r="B5296" t="s">
        <v>10014</v>
      </c>
      <c r="C5296">
        <v>3</v>
      </c>
      <c r="D5296">
        <v>4</v>
      </c>
      <c r="E5296">
        <v>12</v>
      </c>
      <c r="F5296" t="s">
        <v>10069</v>
      </c>
      <c r="G5296" t="s">
        <v>10021</v>
      </c>
      <c r="H5296" s="6">
        <v>45113</v>
      </c>
      <c r="I5296">
        <f t="shared" si="164"/>
        <v>0</v>
      </c>
      <c r="J5296" t="str">
        <f t="shared" si="165"/>
        <v>Complete</v>
      </c>
      <c r="K5296">
        <f>COUNTIFS(RawData[Item], B5296,RawData[Quantity],C5296,RawData[Price Per Unit],D5296,RawData[Total Spent],E5296,RawData[Payment Method],F5296,RawData[Location],G5296,RawData[Transaction Date],H5296)</f>
        <v>1</v>
      </c>
      <c r="L5296"/>
    </row>
    <row r="5297" spans="1:12" x14ac:dyDescent="0.3">
      <c r="A5297" t="s">
        <v>5303</v>
      </c>
      <c r="B5297" t="s">
        <v>10011</v>
      </c>
      <c r="C5297">
        <v>4</v>
      </c>
      <c r="D5297">
        <v>5</v>
      </c>
      <c r="E5297">
        <v>20</v>
      </c>
      <c r="F5297" t="s">
        <v>10069</v>
      </c>
      <c r="G5297" t="s">
        <v>10021</v>
      </c>
      <c r="H5297" s="6">
        <v>45180</v>
      </c>
      <c r="I5297">
        <f t="shared" si="164"/>
        <v>0</v>
      </c>
      <c r="J5297" t="str">
        <f t="shared" si="165"/>
        <v>Complete</v>
      </c>
      <c r="K5297">
        <f>COUNTIFS(RawData[Item], B5297,RawData[Quantity],C5297,RawData[Price Per Unit],D5297,RawData[Total Spent],E5297,RawData[Payment Method],F5297,RawData[Location],G5297,RawData[Transaction Date],H5297)</f>
        <v>1</v>
      </c>
      <c r="L5297"/>
    </row>
    <row r="5298" spans="1:12" x14ac:dyDescent="0.3">
      <c r="A5298" t="s">
        <v>5304</v>
      </c>
      <c r="B5298" t="s">
        <v>10017</v>
      </c>
      <c r="C5298">
        <v>2</v>
      </c>
      <c r="D5298">
        <v>1.5</v>
      </c>
      <c r="E5298">
        <v>3</v>
      </c>
      <c r="F5298" t="s">
        <v>10020</v>
      </c>
      <c r="G5298" t="s">
        <v>10102</v>
      </c>
      <c r="H5298" s="6">
        <v>45145</v>
      </c>
      <c r="I5298">
        <f t="shared" si="164"/>
        <v>0</v>
      </c>
      <c r="J5298" t="str">
        <f t="shared" si="165"/>
        <v>Complete</v>
      </c>
      <c r="K5298">
        <f>COUNTIFS(RawData[Item], B5298,RawData[Quantity],C5298,RawData[Price Per Unit],D5298,RawData[Total Spent],E5298,RawData[Payment Method],F5298,RawData[Location],G5298,RawData[Transaction Date],H5298)</f>
        <v>1</v>
      </c>
      <c r="L5298"/>
    </row>
    <row r="5299" spans="1:12" x14ac:dyDescent="0.3">
      <c r="A5299" t="s">
        <v>5305</v>
      </c>
      <c r="B5299" t="s">
        <v>10012</v>
      </c>
      <c r="C5299">
        <v>4</v>
      </c>
      <c r="D5299">
        <v>4</v>
      </c>
      <c r="E5299">
        <v>16</v>
      </c>
      <c r="F5299" t="s">
        <v>10019</v>
      </c>
      <c r="G5299" t="s">
        <v>10102</v>
      </c>
      <c r="H5299" s="6">
        <v>45216</v>
      </c>
      <c r="I5299">
        <f t="shared" si="164"/>
        <v>0</v>
      </c>
      <c r="J5299" t="str">
        <f t="shared" si="165"/>
        <v>Complete</v>
      </c>
      <c r="K5299">
        <f>COUNTIFS(RawData[Item], B5299,RawData[Quantity],C5299,RawData[Price Per Unit],D5299,RawData[Total Spent],E5299,RawData[Payment Method],F5299,RawData[Location],G5299,RawData[Transaction Date],H5299)</f>
        <v>1</v>
      </c>
      <c r="L5299"/>
    </row>
    <row r="5300" spans="1:12" x14ac:dyDescent="0.3">
      <c r="A5300" t="s">
        <v>5306</v>
      </c>
      <c r="B5300" t="s">
        <v>10017</v>
      </c>
      <c r="C5300">
        <v>1</v>
      </c>
      <c r="D5300">
        <v>1.5</v>
      </c>
      <c r="E5300">
        <v>1.5</v>
      </c>
      <c r="F5300" t="s">
        <v>10018</v>
      </c>
      <c r="G5300" t="s">
        <v>10021</v>
      </c>
      <c r="H5300" s="6">
        <v>44998</v>
      </c>
      <c r="I5300">
        <f t="shared" si="164"/>
        <v>0</v>
      </c>
      <c r="J5300" t="str">
        <f t="shared" si="165"/>
        <v>Complete</v>
      </c>
      <c r="K5300">
        <f>COUNTIFS(RawData[Item], B5300,RawData[Quantity],C5300,RawData[Price Per Unit],D5300,RawData[Total Spent],E5300,RawData[Payment Method],F5300,RawData[Location],G5300,RawData[Transaction Date],H5300)</f>
        <v>1</v>
      </c>
      <c r="L5300"/>
    </row>
    <row r="5301" spans="1:12" x14ac:dyDescent="0.3">
      <c r="A5301" t="s">
        <v>5307</v>
      </c>
      <c r="B5301" t="s">
        <v>10009</v>
      </c>
      <c r="C5301">
        <v>4</v>
      </c>
      <c r="D5301">
        <v>3</v>
      </c>
      <c r="E5301">
        <v>12</v>
      </c>
      <c r="F5301" t="s">
        <v>10103</v>
      </c>
      <c r="G5301" t="s">
        <v>10102</v>
      </c>
      <c r="H5301" s="6">
        <v>45264</v>
      </c>
      <c r="I5301">
        <f t="shared" si="164"/>
        <v>1</v>
      </c>
      <c r="J5301" t="str">
        <f t="shared" si="165"/>
        <v>Complete</v>
      </c>
      <c r="K5301">
        <f>COUNTIFS(RawData[Item], B5301,RawData[Quantity],C5301,RawData[Price Per Unit],D5301,RawData[Total Spent],E5301,RawData[Payment Method],F5301,RawData[Location],G5301,RawData[Transaction Date],H5301)</f>
        <v>1</v>
      </c>
      <c r="L5301"/>
    </row>
    <row r="5302" spans="1:12" x14ac:dyDescent="0.3">
      <c r="A5302" t="s">
        <v>5308</v>
      </c>
      <c r="B5302" t="s">
        <v>10015</v>
      </c>
      <c r="C5302">
        <v>2</v>
      </c>
      <c r="D5302">
        <v>3</v>
      </c>
      <c r="E5302">
        <v>6</v>
      </c>
      <c r="F5302" t="s">
        <v>10018</v>
      </c>
      <c r="G5302" t="s">
        <v>10021</v>
      </c>
      <c r="H5302" s="6">
        <v>45152</v>
      </c>
      <c r="I5302">
        <f t="shared" si="164"/>
        <v>1</v>
      </c>
      <c r="J5302" t="str">
        <f t="shared" si="165"/>
        <v>Complete</v>
      </c>
      <c r="K5302">
        <f>COUNTIFS(RawData[Item], B5302,RawData[Quantity],C5302,RawData[Price Per Unit],D5302,RawData[Total Spent],E5302,RawData[Payment Method],F5302,RawData[Location],G5302,RawData[Transaction Date],H5302)</f>
        <v>1</v>
      </c>
      <c r="L5302"/>
    </row>
    <row r="5303" spans="1:12" x14ac:dyDescent="0.3">
      <c r="A5303" t="s">
        <v>5309</v>
      </c>
      <c r="B5303" t="s">
        <v>10012</v>
      </c>
      <c r="C5303">
        <v>4</v>
      </c>
      <c r="D5303">
        <v>4</v>
      </c>
      <c r="E5303">
        <v>16</v>
      </c>
      <c r="F5303" t="s">
        <v>10019</v>
      </c>
      <c r="G5303" t="s">
        <v>10102</v>
      </c>
      <c r="H5303" s="6">
        <v>45158</v>
      </c>
      <c r="I5303">
        <f t="shared" si="164"/>
        <v>0</v>
      </c>
      <c r="J5303" t="str">
        <f t="shared" si="165"/>
        <v>Complete</v>
      </c>
      <c r="K5303">
        <f>COUNTIFS(RawData[Item], B5303,RawData[Quantity],C5303,RawData[Price Per Unit],D5303,RawData[Total Spent],E5303,RawData[Payment Method],F5303,RawData[Location],G5303,RawData[Transaction Date],H5303)</f>
        <v>1</v>
      </c>
      <c r="L5303"/>
    </row>
    <row r="5304" spans="1:12" x14ac:dyDescent="0.3">
      <c r="A5304" t="s">
        <v>5310</v>
      </c>
      <c r="B5304" t="s">
        <v>10016</v>
      </c>
      <c r="C5304">
        <v>1</v>
      </c>
      <c r="D5304">
        <v>3</v>
      </c>
      <c r="E5304">
        <v>3</v>
      </c>
      <c r="F5304" t="s">
        <v>10020</v>
      </c>
      <c r="G5304" t="s">
        <v>10102</v>
      </c>
      <c r="H5304" s="6">
        <v>45269</v>
      </c>
      <c r="I5304">
        <f t="shared" si="164"/>
        <v>0</v>
      </c>
      <c r="J5304" t="str">
        <f t="shared" si="165"/>
        <v>Complete</v>
      </c>
      <c r="K5304">
        <f>COUNTIFS(RawData[Item], B5304,RawData[Quantity],C5304,RawData[Price Per Unit],D5304,RawData[Total Spent],E5304,RawData[Payment Method],F5304,RawData[Location],G5304,RawData[Transaction Date],H5304)</f>
        <v>1</v>
      </c>
      <c r="L5304"/>
    </row>
    <row r="5305" spans="1:12" x14ac:dyDescent="0.3">
      <c r="A5305" t="s">
        <v>5311</v>
      </c>
      <c r="B5305" t="s">
        <v>10011</v>
      </c>
      <c r="C5305">
        <v>3</v>
      </c>
      <c r="D5305">
        <v>5</v>
      </c>
      <c r="E5305">
        <v>15</v>
      </c>
      <c r="F5305" t="s">
        <v>10069</v>
      </c>
      <c r="G5305" t="s">
        <v>10021</v>
      </c>
      <c r="H5305" s="6">
        <v>45201</v>
      </c>
      <c r="I5305">
        <f t="shared" si="164"/>
        <v>0</v>
      </c>
      <c r="J5305" t="str">
        <f t="shared" si="165"/>
        <v>Complete</v>
      </c>
      <c r="K5305">
        <f>COUNTIFS(RawData[Item], B5305,RawData[Quantity],C5305,RawData[Price Per Unit],D5305,RawData[Total Spent],E5305,RawData[Payment Method],F5305,RawData[Location],G5305,RawData[Transaction Date],H5305)</f>
        <v>1</v>
      </c>
      <c r="L5305"/>
    </row>
    <row r="5306" spans="1:12" x14ac:dyDescent="0.3">
      <c r="A5306" t="s">
        <v>5312</v>
      </c>
      <c r="B5306" t="s">
        <v>10008</v>
      </c>
      <c r="C5306">
        <v>5</v>
      </c>
      <c r="D5306">
        <v>2</v>
      </c>
      <c r="E5306">
        <v>10</v>
      </c>
      <c r="F5306" t="s">
        <v>10018</v>
      </c>
      <c r="G5306" t="s">
        <v>10102</v>
      </c>
      <c r="H5306" s="6">
        <v>45106</v>
      </c>
      <c r="I5306">
        <f t="shared" si="164"/>
        <v>0</v>
      </c>
      <c r="J5306" t="str">
        <f t="shared" si="165"/>
        <v>Complete</v>
      </c>
      <c r="K5306">
        <f>COUNTIFS(RawData[Item], B5306,RawData[Quantity],C5306,RawData[Price Per Unit],D5306,RawData[Total Spent],E5306,RawData[Payment Method],F5306,RawData[Location],G5306,RawData[Transaction Date],H5306)</f>
        <v>1</v>
      </c>
      <c r="L5306"/>
    </row>
    <row r="5307" spans="1:12" x14ac:dyDescent="0.3">
      <c r="A5307" t="s">
        <v>5313</v>
      </c>
      <c r="B5307" t="s">
        <v>10009</v>
      </c>
      <c r="C5307">
        <v>4</v>
      </c>
      <c r="D5307">
        <v>3</v>
      </c>
      <c r="E5307">
        <v>12</v>
      </c>
      <c r="F5307" t="s">
        <v>10018</v>
      </c>
      <c r="G5307" t="s">
        <v>10069</v>
      </c>
      <c r="H5307" s="6">
        <v>45244</v>
      </c>
      <c r="I5307">
        <f t="shared" si="164"/>
        <v>0</v>
      </c>
      <c r="J5307" t="str">
        <f t="shared" si="165"/>
        <v>Complete</v>
      </c>
      <c r="K5307">
        <f>COUNTIFS(RawData[Item], B5307,RawData[Quantity],C5307,RawData[Price Per Unit],D5307,RawData[Total Spent],E5307,RawData[Payment Method],F5307,RawData[Location],G5307,RawData[Transaction Date],H5307)</f>
        <v>1</v>
      </c>
      <c r="L5307"/>
    </row>
    <row r="5308" spans="1:12" x14ac:dyDescent="0.3">
      <c r="A5308" t="s">
        <v>5314</v>
      </c>
      <c r="B5308" t="s">
        <v>10016</v>
      </c>
      <c r="C5308">
        <v>3</v>
      </c>
      <c r="D5308">
        <v>3</v>
      </c>
      <c r="E5308">
        <v>9</v>
      </c>
      <c r="F5308" t="s">
        <v>10069</v>
      </c>
      <c r="G5308" t="s">
        <v>10021</v>
      </c>
      <c r="H5308" s="6">
        <v>44983</v>
      </c>
      <c r="I5308">
        <f t="shared" si="164"/>
        <v>0</v>
      </c>
      <c r="J5308" t="str">
        <f t="shared" si="165"/>
        <v>Complete</v>
      </c>
      <c r="K5308">
        <f>COUNTIFS(RawData[Item], B5308,RawData[Quantity],C5308,RawData[Price Per Unit],D5308,RawData[Total Spent],E5308,RawData[Payment Method],F5308,RawData[Location],G5308,RawData[Transaction Date],H5308)</f>
        <v>1</v>
      </c>
      <c r="L5308"/>
    </row>
    <row r="5309" spans="1:12" x14ac:dyDescent="0.3">
      <c r="A5309" t="s">
        <v>5315</v>
      </c>
      <c r="B5309" t="s">
        <v>10014</v>
      </c>
      <c r="C5309">
        <v>3</v>
      </c>
      <c r="D5309">
        <v>4</v>
      </c>
      <c r="E5309">
        <v>12</v>
      </c>
      <c r="F5309" t="s">
        <v>10069</v>
      </c>
      <c r="G5309" t="s">
        <v>10021</v>
      </c>
      <c r="H5309" s="6">
        <v>44930</v>
      </c>
      <c r="I5309">
        <f t="shared" si="164"/>
        <v>0</v>
      </c>
      <c r="J5309" t="str">
        <f t="shared" si="165"/>
        <v>Complete</v>
      </c>
      <c r="K5309">
        <f>COUNTIFS(RawData[Item], B5309,RawData[Quantity],C5309,RawData[Price Per Unit],D5309,RawData[Total Spent],E5309,RawData[Payment Method],F5309,RawData[Location],G5309,RawData[Transaction Date],H5309)</f>
        <v>1</v>
      </c>
      <c r="L5309"/>
    </row>
    <row r="5310" spans="1:12" x14ac:dyDescent="0.3">
      <c r="A5310" t="s">
        <v>5316</v>
      </c>
      <c r="B5310" t="s">
        <v>10012</v>
      </c>
      <c r="C5310">
        <v>4</v>
      </c>
      <c r="D5310">
        <v>4</v>
      </c>
      <c r="E5310">
        <v>16</v>
      </c>
      <c r="F5310" t="s">
        <v>10020</v>
      </c>
      <c r="G5310" t="s">
        <v>10069</v>
      </c>
      <c r="H5310" s="6">
        <v>45047</v>
      </c>
      <c r="I5310">
        <f t="shared" si="164"/>
        <v>0</v>
      </c>
      <c r="J5310" t="str">
        <f t="shared" si="165"/>
        <v>Complete</v>
      </c>
      <c r="K5310">
        <f>COUNTIFS(RawData[Item], B5310,RawData[Quantity],C5310,RawData[Price Per Unit],D5310,RawData[Total Spent],E5310,RawData[Payment Method],F5310,RawData[Location],G5310,RawData[Transaction Date],H5310)</f>
        <v>1</v>
      </c>
      <c r="L5310"/>
    </row>
    <row r="5311" spans="1:12" x14ac:dyDescent="0.3">
      <c r="A5311" t="s">
        <v>5317</v>
      </c>
      <c r="B5311" t="s">
        <v>10014</v>
      </c>
      <c r="C5311">
        <v>2</v>
      </c>
      <c r="D5311">
        <v>4</v>
      </c>
      <c r="E5311">
        <v>8</v>
      </c>
      <c r="F5311" t="s">
        <v>10069</v>
      </c>
      <c r="G5311" t="s">
        <v>10102</v>
      </c>
      <c r="H5311" s="6">
        <v>45088</v>
      </c>
      <c r="I5311">
        <f t="shared" si="164"/>
        <v>0</v>
      </c>
      <c r="J5311" t="str">
        <f t="shared" si="165"/>
        <v>Complete</v>
      </c>
      <c r="K5311">
        <f>COUNTIFS(RawData[Item], B5311,RawData[Quantity],C5311,RawData[Price Per Unit],D5311,RawData[Total Spent],E5311,RawData[Payment Method],F5311,RawData[Location],G5311,RawData[Transaction Date],H5311)</f>
        <v>1</v>
      </c>
      <c r="L5311"/>
    </row>
    <row r="5312" spans="1:12" x14ac:dyDescent="0.3">
      <c r="A5312" t="s">
        <v>5318</v>
      </c>
      <c r="B5312" t="s">
        <v>10008</v>
      </c>
      <c r="C5312">
        <v>3</v>
      </c>
      <c r="D5312">
        <v>2</v>
      </c>
      <c r="E5312">
        <v>6</v>
      </c>
      <c r="F5312" t="s">
        <v>10020</v>
      </c>
      <c r="G5312" t="s">
        <v>10102</v>
      </c>
      <c r="H5312" s="6">
        <v>44932</v>
      </c>
      <c r="I5312">
        <f t="shared" si="164"/>
        <v>0</v>
      </c>
      <c r="J5312" t="str">
        <f t="shared" si="165"/>
        <v>Complete</v>
      </c>
      <c r="K5312">
        <f>COUNTIFS(RawData[Item], B5312,RawData[Quantity],C5312,RawData[Price Per Unit],D5312,RawData[Total Spent],E5312,RawData[Payment Method],F5312,RawData[Location],G5312,RawData[Transaction Date],H5312)</f>
        <v>1</v>
      </c>
      <c r="L5312"/>
    </row>
    <row r="5313" spans="1:12" x14ac:dyDescent="0.3">
      <c r="A5313" t="s">
        <v>5319</v>
      </c>
      <c r="B5313" t="s">
        <v>10008</v>
      </c>
      <c r="C5313">
        <v>1</v>
      </c>
      <c r="D5313">
        <v>2</v>
      </c>
      <c r="E5313">
        <v>2</v>
      </c>
      <c r="F5313" t="s">
        <v>10019</v>
      </c>
      <c r="G5313" t="s">
        <v>10104</v>
      </c>
      <c r="H5313" s="6">
        <v>45249</v>
      </c>
      <c r="I5313">
        <f t="shared" si="164"/>
        <v>1</v>
      </c>
      <c r="J5313" t="str">
        <f t="shared" si="165"/>
        <v>Complete</v>
      </c>
      <c r="K5313">
        <f>COUNTIFS(RawData[Item], B5313,RawData[Quantity],C5313,RawData[Price Per Unit],D5313,RawData[Total Spent],E5313,RawData[Payment Method],F5313,RawData[Location],G5313,RawData[Transaction Date],H5313)</f>
        <v>1</v>
      </c>
      <c r="L5313"/>
    </row>
    <row r="5314" spans="1:12" x14ac:dyDescent="0.3">
      <c r="A5314" t="s">
        <v>5320</v>
      </c>
      <c r="B5314" t="s">
        <v>10008</v>
      </c>
      <c r="C5314">
        <v>4</v>
      </c>
      <c r="D5314">
        <v>2</v>
      </c>
      <c r="E5314">
        <v>8</v>
      </c>
      <c r="F5314" t="s">
        <v>10069</v>
      </c>
      <c r="G5314" t="s">
        <v>10069</v>
      </c>
      <c r="H5314" s="6">
        <v>45262</v>
      </c>
      <c r="I5314">
        <f t="shared" ref="I5314:I5377" si="166">(B5314="Unknown")+(B5314="Error")+(C5314="Unknown")+(C5314="Error")+(D5314="Unknown")+(D5314="Error")+(E5314="Unknown")+(E5314="Error")+(F5314="Unknown")+(F5314="Error")+(G5314="Unknown")+(G5314="Error")+(H5314="No Date")</f>
        <v>0</v>
      </c>
      <c r="J5314" t="str">
        <f t="shared" ref="J5314:J5377" si="167">IF((H5314="No Date"),"Incomplete","Complete")</f>
        <v>Complete</v>
      </c>
      <c r="K5314">
        <f>COUNTIFS(RawData[Item], B5314,RawData[Quantity],C5314,RawData[Price Per Unit],D5314,RawData[Total Spent],E5314,RawData[Payment Method],F5314,RawData[Location],G5314,RawData[Transaction Date],H5314)</f>
        <v>1</v>
      </c>
      <c r="L5314"/>
    </row>
    <row r="5315" spans="1:12" x14ac:dyDescent="0.3">
      <c r="A5315" t="s">
        <v>5321</v>
      </c>
      <c r="B5315" t="s">
        <v>10008</v>
      </c>
      <c r="C5315">
        <v>5</v>
      </c>
      <c r="D5315">
        <v>2</v>
      </c>
      <c r="E5315">
        <v>10</v>
      </c>
      <c r="F5315" t="s">
        <v>10069</v>
      </c>
      <c r="G5315" t="s">
        <v>10102</v>
      </c>
      <c r="H5315" s="6">
        <v>44931</v>
      </c>
      <c r="I5315">
        <f t="shared" si="166"/>
        <v>0</v>
      </c>
      <c r="J5315" t="str">
        <f t="shared" si="167"/>
        <v>Complete</v>
      </c>
      <c r="K5315">
        <f>COUNTIFS(RawData[Item], B5315,RawData[Quantity],C5315,RawData[Price Per Unit],D5315,RawData[Total Spent],E5315,RawData[Payment Method],F5315,RawData[Location],G5315,RawData[Transaction Date],H5315)</f>
        <v>1</v>
      </c>
      <c r="L5315"/>
    </row>
    <row r="5316" spans="1:12" x14ac:dyDescent="0.3">
      <c r="A5316" t="s">
        <v>5322</v>
      </c>
      <c r="B5316" t="s">
        <v>10009</v>
      </c>
      <c r="C5316">
        <v>3</v>
      </c>
      <c r="D5316">
        <v>3</v>
      </c>
      <c r="E5316">
        <v>9</v>
      </c>
      <c r="F5316" t="s">
        <v>10069</v>
      </c>
      <c r="G5316" t="s">
        <v>10102</v>
      </c>
      <c r="H5316" s="6">
        <v>44988</v>
      </c>
      <c r="I5316">
        <f t="shared" si="166"/>
        <v>0</v>
      </c>
      <c r="J5316" t="str">
        <f t="shared" si="167"/>
        <v>Complete</v>
      </c>
      <c r="K5316">
        <f>COUNTIFS(RawData[Item], B5316,RawData[Quantity],C5316,RawData[Price Per Unit],D5316,RawData[Total Spent],E5316,RawData[Payment Method],F5316,RawData[Location],G5316,RawData[Transaction Date],H5316)</f>
        <v>1</v>
      </c>
      <c r="L5316"/>
    </row>
    <row r="5317" spans="1:12" x14ac:dyDescent="0.3">
      <c r="A5317" t="s">
        <v>5323</v>
      </c>
      <c r="B5317" t="s">
        <v>10008</v>
      </c>
      <c r="C5317">
        <v>4</v>
      </c>
      <c r="D5317">
        <v>2</v>
      </c>
      <c r="E5317">
        <v>8</v>
      </c>
      <c r="F5317" t="s">
        <v>10018</v>
      </c>
      <c r="G5317" t="s">
        <v>10021</v>
      </c>
      <c r="H5317" s="6">
        <v>45123</v>
      </c>
      <c r="I5317">
        <f t="shared" si="166"/>
        <v>0</v>
      </c>
      <c r="J5317" t="str">
        <f t="shared" si="167"/>
        <v>Complete</v>
      </c>
      <c r="K5317">
        <f>COUNTIFS(RawData[Item], B5317,RawData[Quantity],C5317,RawData[Price Per Unit],D5317,RawData[Total Spent],E5317,RawData[Payment Method],F5317,RawData[Location],G5317,RawData[Transaction Date],H5317)</f>
        <v>1</v>
      </c>
      <c r="L5317"/>
    </row>
    <row r="5318" spans="1:12" x14ac:dyDescent="0.3">
      <c r="A5318" t="s">
        <v>5324</v>
      </c>
      <c r="B5318" t="s">
        <v>10016</v>
      </c>
      <c r="C5318">
        <v>2</v>
      </c>
      <c r="D5318">
        <v>3</v>
      </c>
      <c r="E5318">
        <v>6</v>
      </c>
      <c r="F5318" t="s">
        <v>10069</v>
      </c>
      <c r="G5318" t="s">
        <v>10069</v>
      </c>
      <c r="H5318" s="6">
        <v>44989</v>
      </c>
      <c r="I5318">
        <f t="shared" si="166"/>
        <v>0</v>
      </c>
      <c r="J5318" t="str">
        <f t="shared" si="167"/>
        <v>Complete</v>
      </c>
      <c r="K5318">
        <f>COUNTIFS(RawData[Item], B5318,RawData[Quantity],C5318,RawData[Price Per Unit],D5318,RawData[Total Spent],E5318,RawData[Payment Method],F5318,RawData[Location],G5318,RawData[Transaction Date],H5318)</f>
        <v>1</v>
      </c>
      <c r="L5318"/>
    </row>
    <row r="5319" spans="1:12" x14ac:dyDescent="0.3">
      <c r="A5319" t="s">
        <v>5325</v>
      </c>
      <c r="B5319" t="s">
        <v>10016</v>
      </c>
      <c r="C5319">
        <v>4</v>
      </c>
      <c r="D5319">
        <v>3</v>
      </c>
      <c r="E5319">
        <v>12</v>
      </c>
      <c r="F5319" t="s">
        <v>10069</v>
      </c>
      <c r="G5319" t="s">
        <v>10021</v>
      </c>
      <c r="H5319" s="6">
        <v>44936</v>
      </c>
      <c r="I5319">
        <f t="shared" si="166"/>
        <v>0</v>
      </c>
      <c r="J5319" t="str">
        <f t="shared" si="167"/>
        <v>Complete</v>
      </c>
      <c r="K5319">
        <f>COUNTIFS(RawData[Item], B5319,RawData[Quantity],C5319,RawData[Price Per Unit],D5319,RawData[Total Spent],E5319,RawData[Payment Method],F5319,RawData[Location],G5319,RawData[Transaction Date],H5319)</f>
        <v>1</v>
      </c>
      <c r="L5319"/>
    </row>
    <row r="5320" spans="1:12" x14ac:dyDescent="0.3">
      <c r="A5320" t="s">
        <v>5326</v>
      </c>
      <c r="B5320" t="s">
        <v>10014</v>
      </c>
      <c r="C5320">
        <v>4</v>
      </c>
      <c r="D5320">
        <v>4</v>
      </c>
      <c r="E5320">
        <v>16</v>
      </c>
      <c r="F5320" t="s">
        <v>10018</v>
      </c>
      <c r="G5320" t="s">
        <v>10021</v>
      </c>
      <c r="H5320" s="6">
        <v>45025</v>
      </c>
      <c r="I5320">
        <f t="shared" si="166"/>
        <v>0</v>
      </c>
      <c r="J5320" t="str">
        <f t="shared" si="167"/>
        <v>Complete</v>
      </c>
      <c r="K5320">
        <f>COUNTIFS(RawData[Item], B5320,RawData[Quantity],C5320,RawData[Price Per Unit],D5320,RawData[Total Spent],E5320,RawData[Payment Method],F5320,RawData[Location],G5320,RawData[Transaction Date],H5320)</f>
        <v>1</v>
      </c>
      <c r="L5320"/>
    </row>
    <row r="5321" spans="1:12" x14ac:dyDescent="0.3">
      <c r="A5321" t="s">
        <v>5327</v>
      </c>
      <c r="B5321" t="s">
        <v>10008</v>
      </c>
      <c r="C5321">
        <v>5</v>
      </c>
      <c r="D5321">
        <v>2</v>
      </c>
      <c r="E5321">
        <v>10</v>
      </c>
      <c r="F5321" t="s">
        <v>10019</v>
      </c>
      <c r="G5321" t="s">
        <v>10021</v>
      </c>
      <c r="H5321" s="6">
        <v>45228</v>
      </c>
      <c r="I5321">
        <f t="shared" si="166"/>
        <v>0</v>
      </c>
      <c r="J5321" t="str">
        <f t="shared" si="167"/>
        <v>Complete</v>
      </c>
      <c r="K5321">
        <f>COUNTIFS(RawData[Item], B5321,RawData[Quantity],C5321,RawData[Price Per Unit],D5321,RawData[Total Spent],E5321,RawData[Payment Method],F5321,RawData[Location],G5321,RawData[Transaction Date],H5321)</f>
        <v>1</v>
      </c>
      <c r="L5321"/>
    </row>
    <row r="5322" spans="1:12" x14ac:dyDescent="0.3">
      <c r="A5322" t="s">
        <v>5328</v>
      </c>
      <c r="B5322" t="s">
        <v>10008</v>
      </c>
      <c r="C5322">
        <v>4</v>
      </c>
      <c r="D5322">
        <v>2</v>
      </c>
      <c r="E5322">
        <v>8</v>
      </c>
      <c r="F5322" t="s">
        <v>10019</v>
      </c>
      <c r="G5322" t="s">
        <v>10021</v>
      </c>
      <c r="H5322" s="6">
        <v>45264</v>
      </c>
      <c r="I5322">
        <f t="shared" si="166"/>
        <v>0</v>
      </c>
      <c r="J5322" t="str">
        <f t="shared" si="167"/>
        <v>Complete</v>
      </c>
      <c r="K5322">
        <f>COUNTIFS(RawData[Item], B5322,RawData[Quantity],C5322,RawData[Price Per Unit],D5322,RawData[Total Spent],E5322,RawData[Payment Method],F5322,RawData[Location],G5322,RawData[Transaction Date],H5322)</f>
        <v>1</v>
      </c>
      <c r="L5322"/>
    </row>
    <row r="5323" spans="1:12" x14ac:dyDescent="0.3">
      <c r="A5323" t="s">
        <v>5329</v>
      </c>
      <c r="B5323" t="s">
        <v>10017</v>
      </c>
      <c r="C5323">
        <v>3</v>
      </c>
      <c r="D5323">
        <v>1.5</v>
      </c>
      <c r="E5323">
        <v>4.5</v>
      </c>
      <c r="F5323" t="s">
        <v>10020</v>
      </c>
      <c r="G5323" t="s">
        <v>10069</v>
      </c>
      <c r="H5323" s="6">
        <v>45233</v>
      </c>
      <c r="I5323">
        <f t="shared" si="166"/>
        <v>0</v>
      </c>
      <c r="J5323" t="str">
        <f t="shared" si="167"/>
        <v>Complete</v>
      </c>
      <c r="K5323">
        <f>COUNTIFS(RawData[Item], B5323,RawData[Quantity],C5323,RawData[Price Per Unit],D5323,RawData[Total Spent],E5323,RawData[Payment Method],F5323,RawData[Location],G5323,RawData[Transaction Date],H5323)</f>
        <v>1</v>
      </c>
      <c r="L5323"/>
    </row>
    <row r="5324" spans="1:12" x14ac:dyDescent="0.3">
      <c r="A5324" t="s">
        <v>5330</v>
      </c>
      <c r="B5324" t="s">
        <v>10016</v>
      </c>
      <c r="C5324">
        <v>4</v>
      </c>
      <c r="D5324">
        <v>3</v>
      </c>
      <c r="E5324">
        <v>12</v>
      </c>
      <c r="F5324" t="s">
        <v>10018</v>
      </c>
      <c r="G5324" t="s">
        <v>10102</v>
      </c>
      <c r="H5324" s="6">
        <v>44931</v>
      </c>
      <c r="I5324">
        <f t="shared" si="166"/>
        <v>0</v>
      </c>
      <c r="J5324" t="str">
        <f t="shared" si="167"/>
        <v>Complete</v>
      </c>
      <c r="K5324">
        <f>COUNTIFS(RawData[Item], B5324,RawData[Quantity],C5324,RawData[Price Per Unit],D5324,RawData[Total Spent],E5324,RawData[Payment Method],F5324,RawData[Location],G5324,RawData[Transaction Date],H5324)</f>
        <v>1</v>
      </c>
      <c r="L5324"/>
    </row>
    <row r="5325" spans="1:12" x14ac:dyDescent="0.3">
      <c r="A5325" t="s">
        <v>5331</v>
      </c>
      <c r="B5325" t="s">
        <v>10017</v>
      </c>
      <c r="C5325">
        <v>5</v>
      </c>
      <c r="D5325">
        <v>1.5</v>
      </c>
      <c r="E5325">
        <v>7.5</v>
      </c>
      <c r="F5325" t="s">
        <v>10019</v>
      </c>
      <c r="G5325" t="s">
        <v>10102</v>
      </c>
      <c r="H5325" s="6">
        <v>44974</v>
      </c>
      <c r="I5325">
        <f t="shared" si="166"/>
        <v>0</v>
      </c>
      <c r="J5325" t="str">
        <f t="shared" si="167"/>
        <v>Complete</v>
      </c>
      <c r="K5325">
        <f>COUNTIFS(RawData[Item], B5325,RawData[Quantity],C5325,RawData[Price Per Unit],D5325,RawData[Total Spent],E5325,RawData[Payment Method],F5325,RawData[Location],G5325,RawData[Transaction Date],H5325)</f>
        <v>1</v>
      </c>
      <c r="L5325"/>
    </row>
    <row r="5326" spans="1:12" x14ac:dyDescent="0.3">
      <c r="A5326" t="s">
        <v>5332</v>
      </c>
      <c r="B5326" t="s">
        <v>10015</v>
      </c>
      <c r="C5326">
        <v>2</v>
      </c>
      <c r="D5326">
        <v>1.5</v>
      </c>
      <c r="E5326">
        <v>0</v>
      </c>
      <c r="F5326" t="s">
        <v>10019</v>
      </c>
      <c r="G5326" t="s">
        <v>10069</v>
      </c>
      <c r="H5326" s="6">
        <v>45151</v>
      </c>
      <c r="I5326">
        <f t="shared" si="166"/>
        <v>1</v>
      </c>
      <c r="J5326" t="str">
        <f t="shared" si="167"/>
        <v>Complete</v>
      </c>
      <c r="K5326">
        <f>COUNTIFS(RawData[Item], B5326,RawData[Quantity],C5326,RawData[Price Per Unit],D5326,RawData[Total Spent],E5326,RawData[Payment Method],F5326,RawData[Location],G5326,RawData[Transaction Date],H5326)</f>
        <v>1</v>
      </c>
      <c r="L5326"/>
    </row>
    <row r="5327" spans="1:12" x14ac:dyDescent="0.3">
      <c r="A5327" t="s">
        <v>5333</v>
      </c>
      <c r="B5327" t="s">
        <v>10012</v>
      </c>
      <c r="C5327">
        <v>5</v>
      </c>
      <c r="D5327">
        <v>4</v>
      </c>
      <c r="E5327">
        <v>20</v>
      </c>
      <c r="F5327" t="s">
        <v>10019</v>
      </c>
      <c r="G5327" t="s">
        <v>10102</v>
      </c>
      <c r="H5327" s="6">
        <v>44991</v>
      </c>
      <c r="I5327">
        <f t="shared" si="166"/>
        <v>0</v>
      </c>
      <c r="J5327" t="str">
        <f t="shared" si="167"/>
        <v>Complete</v>
      </c>
      <c r="K5327">
        <f>COUNTIFS(RawData[Item], B5327,RawData[Quantity],C5327,RawData[Price Per Unit],D5327,RawData[Total Spent],E5327,RawData[Payment Method],F5327,RawData[Location],G5327,RawData[Transaction Date],H5327)</f>
        <v>1</v>
      </c>
      <c r="L5327"/>
    </row>
    <row r="5328" spans="1:12" x14ac:dyDescent="0.3">
      <c r="A5328" t="s">
        <v>5334</v>
      </c>
      <c r="B5328" t="s">
        <v>10010</v>
      </c>
      <c r="C5328">
        <v>3</v>
      </c>
      <c r="D5328">
        <v>1</v>
      </c>
      <c r="E5328">
        <v>3</v>
      </c>
      <c r="F5328" t="s">
        <v>10020</v>
      </c>
      <c r="G5328" t="s">
        <v>10102</v>
      </c>
      <c r="H5328" s="6">
        <v>45117</v>
      </c>
      <c r="I5328">
        <f t="shared" si="166"/>
        <v>0</v>
      </c>
      <c r="J5328" t="str">
        <f t="shared" si="167"/>
        <v>Complete</v>
      </c>
      <c r="K5328">
        <f>COUNTIFS(RawData[Item], B5328,RawData[Quantity],C5328,RawData[Price Per Unit],D5328,RawData[Total Spent],E5328,RawData[Payment Method],F5328,RawData[Location],G5328,RawData[Transaction Date],H5328)</f>
        <v>1</v>
      </c>
      <c r="L5328"/>
    </row>
    <row r="5329" spans="1:12" x14ac:dyDescent="0.3">
      <c r="A5329" t="s">
        <v>5335</v>
      </c>
      <c r="B5329" t="s">
        <v>10011</v>
      </c>
      <c r="C5329">
        <v>2</v>
      </c>
      <c r="D5329">
        <v>5</v>
      </c>
      <c r="E5329">
        <v>10</v>
      </c>
      <c r="F5329" t="s">
        <v>10069</v>
      </c>
      <c r="G5329" t="s">
        <v>10021</v>
      </c>
      <c r="H5329" s="6">
        <v>45092</v>
      </c>
      <c r="I5329">
        <f t="shared" si="166"/>
        <v>0</v>
      </c>
      <c r="J5329" t="str">
        <f t="shared" si="167"/>
        <v>Complete</v>
      </c>
      <c r="K5329">
        <f>COUNTIFS(RawData[Item], B5329,RawData[Quantity],C5329,RawData[Price Per Unit],D5329,RawData[Total Spent],E5329,RawData[Payment Method],F5329,RawData[Location],G5329,RawData[Transaction Date],H5329)</f>
        <v>1</v>
      </c>
      <c r="L5329"/>
    </row>
    <row r="5330" spans="1:12" x14ac:dyDescent="0.3">
      <c r="A5330" t="s">
        <v>5336</v>
      </c>
      <c r="B5330" t="s">
        <v>10017</v>
      </c>
      <c r="C5330">
        <v>3</v>
      </c>
      <c r="D5330">
        <v>1.5</v>
      </c>
      <c r="E5330">
        <v>4.5</v>
      </c>
      <c r="F5330" t="s">
        <v>10019</v>
      </c>
      <c r="G5330" t="s">
        <v>10104</v>
      </c>
      <c r="H5330" s="6">
        <v>45097</v>
      </c>
      <c r="I5330">
        <f t="shared" si="166"/>
        <v>1</v>
      </c>
      <c r="J5330" t="str">
        <f t="shared" si="167"/>
        <v>Complete</v>
      </c>
      <c r="K5330">
        <f>COUNTIFS(RawData[Item], B5330,RawData[Quantity],C5330,RawData[Price Per Unit],D5330,RawData[Total Spent],E5330,RawData[Payment Method],F5330,RawData[Location],G5330,RawData[Transaction Date],H5330)</f>
        <v>1</v>
      </c>
      <c r="L5330"/>
    </row>
    <row r="5331" spans="1:12" x14ac:dyDescent="0.3">
      <c r="A5331" t="s">
        <v>5337</v>
      </c>
      <c r="B5331" t="s">
        <v>10010</v>
      </c>
      <c r="C5331">
        <v>5</v>
      </c>
      <c r="D5331">
        <v>1</v>
      </c>
      <c r="E5331" t="s">
        <v>10013</v>
      </c>
      <c r="F5331" t="s">
        <v>10069</v>
      </c>
      <c r="G5331" t="s">
        <v>10102</v>
      </c>
      <c r="H5331" s="6">
        <v>45249</v>
      </c>
      <c r="I5331">
        <f t="shared" si="166"/>
        <v>1</v>
      </c>
      <c r="J5331" t="str">
        <f t="shared" si="167"/>
        <v>Complete</v>
      </c>
      <c r="K5331">
        <f>COUNTIFS(RawData[Item], B5331,RawData[Quantity],C5331,RawData[Price Per Unit],D5331,RawData[Total Spent],E5331,RawData[Payment Method],F5331,RawData[Location],G5331,RawData[Transaction Date],H5331)</f>
        <v>1</v>
      </c>
      <c r="L5331"/>
    </row>
    <row r="5332" spans="1:12" x14ac:dyDescent="0.3">
      <c r="A5332" t="s">
        <v>5338</v>
      </c>
      <c r="B5332" t="s">
        <v>10011</v>
      </c>
      <c r="C5332">
        <v>2</v>
      </c>
      <c r="D5332">
        <v>5</v>
      </c>
      <c r="E5332">
        <v>10</v>
      </c>
      <c r="F5332" t="s">
        <v>10018</v>
      </c>
      <c r="G5332" t="s">
        <v>10069</v>
      </c>
      <c r="H5332" s="6">
        <v>44944</v>
      </c>
      <c r="I5332">
        <f t="shared" si="166"/>
        <v>0</v>
      </c>
      <c r="J5332" t="str">
        <f t="shared" si="167"/>
        <v>Complete</v>
      </c>
      <c r="K5332">
        <f>COUNTIFS(RawData[Item], B5332,RawData[Quantity],C5332,RawData[Price Per Unit],D5332,RawData[Total Spent],E5332,RawData[Payment Method],F5332,RawData[Location],G5332,RawData[Transaction Date],H5332)</f>
        <v>1</v>
      </c>
      <c r="L5332"/>
    </row>
    <row r="5333" spans="1:12" x14ac:dyDescent="0.3">
      <c r="A5333" t="s">
        <v>5339</v>
      </c>
      <c r="B5333" t="s">
        <v>10014</v>
      </c>
      <c r="C5333">
        <v>5</v>
      </c>
      <c r="D5333">
        <v>4</v>
      </c>
      <c r="E5333">
        <v>20</v>
      </c>
      <c r="F5333" t="s">
        <v>10020</v>
      </c>
      <c r="G5333" t="s">
        <v>10021</v>
      </c>
      <c r="H5333" s="6">
        <v>45201</v>
      </c>
      <c r="I5333">
        <f t="shared" si="166"/>
        <v>0</v>
      </c>
      <c r="J5333" t="str">
        <f t="shared" si="167"/>
        <v>Complete</v>
      </c>
      <c r="K5333">
        <f>COUNTIFS(RawData[Item], B5333,RawData[Quantity],C5333,RawData[Price Per Unit],D5333,RawData[Total Spent],E5333,RawData[Payment Method],F5333,RawData[Location],G5333,RawData[Transaction Date],H5333)</f>
        <v>1</v>
      </c>
      <c r="L5333"/>
    </row>
    <row r="5334" spans="1:12" x14ac:dyDescent="0.3">
      <c r="A5334" t="s">
        <v>5340</v>
      </c>
      <c r="B5334" t="s">
        <v>10017</v>
      </c>
      <c r="C5334">
        <v>3</v>
      </c>
      <c r="D5334">
        <v>1.5</v>
      </c>
      <c r="E5334">
        <v>4.5</v>
      </c>
      <c r="F5334" t="s">
        <v>10019</v>
      </c>
      <c r="G5334" t="s">
        <v>10021</v>
      </c>
      <c r="H5334" s="6">
        <v>45007</v>
      </c>
      <c r="I5334">
        <f t="shared" si="166"/>
        <v>0</v>
      </c>
      <c r="J5334" t="str">
        <f t="shared" si="167"/>
        <v>Complete</v>
      </c>
      <c r="K5334">
        <f>COUNTIFS(RawData[Item], B5334,RawData[Quantity],C5334,RawData[Price Per Unit],D5334,RawData[Total Spent],E5334,RawData[Payment Method],F5334,RawData[Location],G5334,RawData[Transaction Date],H5334)</f>
        <v>1</v>
      </c>
      <c r="L5334"/>
    </row>
    <row r="5335" spans="1:12" x14ac:dyDescent="0.3">
      <c r="A5335" t="s">
        <v>5341</v>
      </c>
      <c r="B5335" t="s">
        <v>10010</v>
      </c>
      <c r="C5335">
        <v>2</v>
      </c>
      <c r="D5335">
        <v>1</v>
      </c>
      <c r="E5335">
        <v>2</v>
      </c>
      <c r="F5335" t="s">
        <v>10069</v>
      </c>
      <c r="G5335" t="s">
        <v>10021</v>
      </c>
      <c r="H5335" s="6">
        <v>45179</v>
      </c>
      <c r="I5335">
        <f t="shared" si="166"/>
        <v>0</v>
      </c>
      <c r="J5335" t="str">
        <f t="shared" si="167"/>
        <v>Complete</v>
      </c>
      <c r="K5335">
        <f>COUNTIFS(RawData[Item], B5335,RawData[Quantity],C5335,RawData[Price Per Unit],D5335,RawData[Total Spent],E5335,RawData[Payment Method],F5335,RawData[Location],G5335,RawData[Transaction Date],H5335)</f>
        <v>1</v>
      </c>
      <c r="L5335"/>
    </row>
    <row r="5336" spans="1:12" x14ac:dyDescent="0.3">
      <c r="A5336" t="s">
        <v>5342</v>
      </c>
      <c r="B5336" t="s">
        <v>10011</v>
      </c>
      <c r="C5336">
        <v>2</v>
      </c>
      <c r="D5336">
        <v>5</v>
      </c>
      <c r="E5336">
        <v>10</v>
      </c>
      <c r="F5336" t="s">
        <v>10020</v>
      </c>
      <c r="G5336" t="s">
        <v>10069</v>
      </c>
      <c r="H5336" s="6">
        <v>45078</v>
      </c>
      <c r="I5336">
        <f t="shared" si="166"/>
        <v>0</v>
      </c>
      <c r="J5336" t="str">
        <f t="shared" si="167"/>
        <v>Complete</v>
      </c>
      <c r="K5336">
        <f>COUNTIFS(RawData[Item], B5336,RawData[Quantity],C5336,RawData[Price Per Unit],D5336,RawData[Total Spent],E5336,RawData[Payment Method],F5336,RawData[Location],G5336,RawData[Transaction Date],H5336)</f>
        <v>1</v>
      </c>
      <c r="L5336"/>
    </row>
    <row r="5337" spans="1:12" x14ac:dyDescent="0.3">
      <c r="A5337" t="s">
        <v>5343</v>
      </c>
      <c r="B5337" t="s">
        <v>10011</v>
      </c>
      <c r="C5337">
        <v>4</v>
      </c>
      <c r="D5337" t="s">
        <v>10015</v>
      </c>
      <c r="E5337">
        <v>20</v>
      </c>
      <c r="F5337" t="s">
        <v>10020</v>
      </c>
      <c r="G5337" t="s">
        <v>10069</v>
      </c>
      <c r="H5337" s="6">
        <v>44941</v>
      </c>
      <c r="I5337">
        <f t="shared" si="166"/>
        <v>1</v>
      </c>
      <c r="J5337" t="str">
        <f t="shared" si="167"/>
        <v>Complete</v>
      </c>
      <c r="K5337">
        <f>COUNTIFS(RawData[Item], B5337,RawData[Quantity],C5337,RawData[Price Per Unit],D5337,RawData[Total Spent],E5337,RawData[Payment Method],F5337,RawData[Location],G5337,RawData[Transaction Date],H5337)</f>
        <v>1</v>
      </c>
      <c r="L5337"/>
    </row>
    <row r="5338" spans="1:12" x14ac:dyDescent="0.3">
      <c r="A5338" t="s">
        <v>5344</v>
      </c>
      <c r="B5338" t="s">
        <v>10009</v>
      </c>
      <c r="C5338">
        <v>2</v>
      </c>
      <c r="D5338">
        <v>3</v>
      </c>
      <c r="E5338">
        <v>6</v>
      </c>
      <c r="F5338" t="s">
        <v>10069</v>
      </c>
      <c r="G5338" t="s">
        <v>10102</v>
      </c>
      <c r="H5338" s="6">
        <v>45184</v>
      </c>
      <c r="I5338">
        <f t="shared" si="166"/>
        <v>0</v>
      </c>
      <c r="J5338" t="str">
        <f t="shared" si="167"/>
        <v>Complete</v>
      </c>
      <c r="K5338">
        <f>COUNTIFS(RawData[Item], B5338,RawData[Quantity],C5338,RawData[Price Per Unit],D5338,RawData[Total Spent],E5338,RawData[Payment Method],F5338,RawData[Location],G5338,RawData[Transaction Date],H5338)</f>
        <v>1</v>
      </c>
      <c r="L5338"/>
    </row>
    <row r="5339" spans="1:12" x14ac:dyDescent="0.3">
      <c r="A5339" t="s">
        <v>5345</v>
      </c>
      <c r="B5339" t="s">
        <v>10009</v>
      </c>
      <c r="C5339">
        <v>1</v>
      </c>
      <c r="D5339">
        <v>3</v>
      </c>
      <c r="E5339">
        <v>3</v>
      </c>
      <c r="F5339" t="s">
        <v>10069</v>
      </c>
      <c r="G5339" t="s">
        <v>10104</v>
      </c>
      <c r="H5339" s="6">
        <v>45230</v>
      </c>
      <c r="I5339">
        <f t="shared" si="166"/>
        <v>1</v>
      </c>
      <c r="J5339" t="str">
        <f t="shared" si="167"/>
        <v>Complete</v>
      </c>
      <c r="K5339">
        <f>COUNTIFS(RawData[Item], B5339,RawData[Quantity],C5339,RawData[Price Per Unit],D5339,RawData[Total Spent],E5339,RawData[Payment Method],F5339,RawData[Location],G5339,RawData[Transaction Date],H5339)</f>
        <v>1</v>
      </c>
      <c r="L5339"/>
    </row>
    <row r="5340" spans="1:12" x14ac:dyDescent="0.3">
      <c r="A5340" t="s">
        <v>5346</v>
      </c>
      <c r="B5340" t="s">
        <v>10014</v>
      </c>
      <c r="C5340">
        <v>2</v>
      </c>
      <c r="D5340">
        <v>4</v>
      </c>
      <c r="E5340">
        <v>8</v>
      </c>
      <c r="F5340" t="s">
        <v>10020</v>
      </c>
      <c r="G5340" t="s">
        <v>10021</v>
      </c>
      <c r="H5340" s="6">
        <v>45087</v>
      </c>
      <c r="I5340">
        <f t="shared" si="166"/>
        <v>0</v>
      </c>
      <c r="J5340" t="str">
        <f t="shared" si="167"/>
        <v>Complete</v>
      </c>
      <c r="K5340">
        <f>COUNTIFS(RawData[Item], B5340,RawData[Quantity],C5340,RawData[Price Per Unit],D5340,RawData[Total Spent],E5340,RawData[Payment Method],F5340,RawData[Location],G5340,RawData[Transaction Date],H5340)</f>
        <v>1</v>
      </c>
      <c r="L5340"/>
    </row>
    <row r="5341" spans="1:12" x14ac:dyDescent="0.3">
      <c r="A5341" t="s">
        <v>5347</v>
      </c>
      <c r="B5341" t="s">
        <v>10010</v>
      </c>
      <c r="C5341">
        <v>4</v>
      </c>
      <c r="D5341">
        <v>1</v>
      </c>
      <c r="E5341">
        <v>4</v>
      </c>
      <c r="F5341" t="s">
        <v>10069</v>
      </c>
      <c r="G5341" t="s">
        <v>10103</v>
      </c>
      <c r="H5341" s="6">
        <v>44951</v>
      </c>
      <c r="I5341">
        <f t="shared" si="166"/>
        <v>1</v>
      </c>
      <c r="J5341" t="str">
        <f t="shared" si="167"/>
        <v>Complete</v>
      </c>
      <c r="K5341">
        <f>COUNTIFS(RawData[Item], B5341,RawData[Quantity],C5341,RawData[Price Per Unit],D5341,RawData[Total Spent],E5341,RawData[Payment Method],F5341,RawData[Location],G5341,RawData[Transaction Date],H5341)</f>
        <v>1</v>
      </c>
      <c r="L5341"/>
    </row>
    <row r="5342" spans="1:12" x14ac:dyDescent="0.3">
      <c r="A5342" t="s">
        <v>5348</v>
      </c>
      <c r="B5342" t="s">
        <v>10014</v>
      </c>
      <c r="C5342">
        <v>1</v>
      </c>
      <c r="D5342">
        <v>4</v>
      </c>
      <c r="E5342">
        <v>4</v>
      </c>
      <c r="F5342" t="s">
        <v>10069</v>
      </c>
      <c r="G5342" t="s">
        <v>10069</v>
      </c>
      <c r="H5342" s="6">
        <v>45117</v>
      </c>
      <c r="I5342">
        <f t="shared" si="166"/>
        <v>0</v>
      </c>
      <c r="J5342" t="str">
        <f t="shared" si="167"/>
        <v>Complete</v>
      </c>
      <c r="K5342">
        <f>COUNTIFS(RawData[Item], B5342,RawData[Quantity],C5342,RawData[Price Per Unit],D5342,RawData[Total Spent],E5342,RawData[Payment Method],F5342,RawData[Location],G5342,RawData[Transaction Date],H5342)</f>
        <v>1</v>
      </c>
      <c r="L5342"/>
    </row>
    <row r="5343" spans="1:12" x14ac:dyDescent="0.3">
      <c r="A5343" t="s">
        <v>5349</v>
      </c>
      <c r="B5343" t="s">
        <v>10009</v>
      </c>
      <c r="C5343">
        <v>1</v>
      </c>
      <c r="D5343">
        <v>3</v>
      </c>
      <c r="E5343">
        <v>3</v>
      </c>
      <c r="F5343" t="s">
        <v>10019</v>
      </c>
      <c r="G5343" t="s">
        <v>10102</v>
      </c>
      <c r="H5343" s="6">
        <v>44938</v>
      </c>
      <c r="I5343">
        <f t="shared" si="166"/>
        <v>0</v>
      </c>
      <c r="J5343" t="str">
        <f t="shared" si="167"/>
        <v>Complete</v>
      </c>
      <c r="K5343">
        <f>COUNTIFS(RawData[Item], B5343,RawData[Quantity],C5343,RawData[Price Per Unit],D5343,RawData[Total Spent],E5343,RawData[Payment Method],F5343,RawData[Location],G5343,RawData[Transaction Date],H5343)</f>
        <v>1</v>
      </c>
      <c r="L5343"/>
    </row>
    <row r="5344" spans="1:12" x14ac:dyDescent="0.3">
      <c r="A5344" t="s">
        <v>5350</v>
      </c>
      <c r="B5344" t="s">
        <v>10010</v>
      </c>
      <c r="C5344">
        <v>5</v>
      </c>
      <c r="D5344">
        <v>1</v>
      </c>
      <c r="E5344">
        <v>5</v>
      </c>
      <c r="F5344" t="s">
        <v>10104</v>
      </c>
      <c r="G5344" t="s">
        <v>10102</v>
      </c>
      <c r="H5344" s="6">
        <v>45136</v>
      </c>
      <c r="I5344">
        <f t="shared" si="166"/>
        <v>1</v>
      </c>
      <c r="J5344" t="str">
        <f t="shared" si="167"/>
        <v>Complete</v>
      </c>
      <c r="K5344">
        <f>COUNTIFS(RawData[Item], B5344,RawData[Quantity],C5344,RawData[Price Per Unit],D5344,RawData[Total Spent],E5344,RawData[Payment Method],F5344,RawData[Location],G5344,RawData[Transaction Date],H5344)</f>
        <v>1</v>
      </c>
      <c r="L5344"/>
    </row>
    <row r="5345" spans="1:12" x14ac:dyDescent="0.3">
      <c r="A5345" t="s">
        <v>5351</v>
      </c>
      <c r="B5345" t="s">
        <v>10014</v>
      </c>
      <c r="C5345">
        <v>4</v>
      </c>
      <c r="D5345">
        <v>4</v>
      </c>
      <c r="E5345">
        <v>16</v>
      </c>
      <c r="F5345" t="s">
        <v>10019</v>
      </c>
      <c r="G5345" t="s">
        <v>10069</v>
      </c>
      <c r="H5345" s="6">
        <v>45063</v>
      </c>
      <c r="I5345">
        <f t="shared" si="166"/>
        <v>0</v>
      </c>
      <c r="J5345" t="str">
        <f t="shared" si="167"/>
        <v>Complete</v>
      </c>
      <c r="K5345">
        <f>COUNTIFS(RawData[Item], B5345,RawData[Quantity],C5345,RawData[Price Per Unit],D5345,RawData[Total Spent],E5345,RawData[Payment Method],F5345,RawData[Location],G5345,RawData[Transaction Date],H5345)</f>
        <v>1</v>
      </c>
      <c r="L5345"/>
    </row>
    <row r="5346" spans="1:12" x14ac:dyDescent="0.3">
      <c r="A5346" t="s">
        <v>5352</v>
      </c>
      <c r="B5346" t="s">
        <v>10012</v>
      </c>
      <c r="C5346">
        <v>3</v>
      </c>
      <c r="D5346">
        <v>4</v>
      </c>
      <c r="E5346">
        <v>12</v>
      </c>
      <c r="F5346" t="s">
        <v>10020</v>
      </c>
      <c r="G5346" t="s">
        <v>10021</v>
      </c>
      <c r="H5346" s="6">
        <v>45121</v>
      </c>
      <c r="I5346">
        <f t="shared" si="166"/>
        <v>0</v>
      </c>
      <c r="J5346" t="str">
        <f t="shared" si="167"/>
        <v>Complete</v>
      </c>
      <c r="K5346">
        <f>COUNTIFS(RawData[Item], B5346,RawData[Quantity],C5346,RawData[Price Per Unit],D5346,RawData[Total Spent],E5346,RawData[Payment Method],F5346,RawData[Location],G5346,RawData[Transaction Date],H5346)</f>
        <v>1</v>
      </c>
      <c r="L5346"/>
    </row>
    <row r="5347" spans="1:12" x14ac:dyDescent="0.3">
      <c r="A5347" t="s">
        <v>5353</v>
      </c>
      <c r="B5347" t="s">
        <v>10011</v>
      </c>
      <c r="C5347">
        <v>2</v>
      </c>
      <c r="D5347">
        <v>5</v>
      </c>
      <c r="E5347">
        <v>10</v>
      </c>
      <c r="F5347" t="s">
        <v>10020</v>
      </c>
      <c r="G5347" t="s">
        <v>10069</v>
      </c>
      <c r="H5347" s="6">
        <v>45226</v>
      </c>
      <c r="I5347">
        <f t="shared" si="166"/>
        <v>0</v>
      </c>
      <c r="J5347" t="str">
        <f t="shared" si="167"/>
        <v>Complete</v>
      </c>
      <c r="K5347">
        <f>COUNTIFS(RawData[Item], B5347,RawData[Quantity],C5347,RawData[Price Per Unit],D5347,RawData[Total Spent],E5347,RawData[Payment Method],F5347,RawData[Location],G5347,RawData[Transaction Date],H5347)</f>
        <v>1</v>
      </c>
      <c r="L5347"/>
    </row>
    <row r="5348" spans="1:12" x14ac:dyDescent="0.3">
      <c r="A5348" t="s">
        <v>5354</v>
      </c>
      <c r="B5348" t="s">
        <v>10017</v>
      </c>
      <c r="C5348">
        <v>1</v>
      </c>
      <c r="D5348">
        <v>1.5</v>
      </c>
      <c r="E5348">
        <v>1.5</v>
      </c>
      <c r="F5348" t="s">
        <v>10020</v>
      </c>
      <c r="G5348" t="s">
        <v>10021</v>
      </c>
      <c r="H5348" s="6" t="s">
        <v>10112</v>
      </c>
      <c r="I5348">
        <f t="shared" si="166"/>
        <v>1</v>
      </c>
      <c r="J5348" t="str">
        <f t="shared" si="167"/>
        <v>Incomplete</v>
      </c>
      <c r="K5348">
        <f>COUNTIFS(RawData[Item], B5348,RawData[Quantity],C5348,RawData[Price Per Unit],D5348,RawData[Total Spent],E5348,RawData[Payment Method],F5348,RawData[Location],G5348,RawData[Transaction Date],H5348)</f>
        <v>1</v>
      </c>
      <c r="L5348"/>
    </row>
    <row r="5349" spans="1:12" x14ac:dyDescent="0.3">
      <c r="A5349" t="s">
        <v>5355</v>
      </c>
      <c r="B5349" t="s">
        <v>10011</v>
      </c>
      <c r="C5349">
        <v>5</v>
      </c>
      <c r="D5349">
        <v>5</v>
      </c>
      <c r="E5349">
        <v>25</v>
      </c>
      <c r="F5349" t="s">
        <v>10018</v>
      </c>
      <c r="G5349" t="s">
        <v>10069</v>
      </c>
      <c r="H5349" s="6">
        <v>45106</v>
      </c>
      <c r="I5349">
        <f t="shared" si="166"/>
        <v>0</v>
      </c>
      <c r="J5349" t="str">
        <f t="shared" si="167"/>
        <v>Complete</v>
      </c>
      <c r="K5349">
        <f>COUNTIFS(RawData[Item], B5349,RawData[Quantity],C5349,RawData[Price Per Unit],D5349,RawData[Total Spent],E5349,RawData[Payment Method],F5349,RawData[Location],G5349,RawData[Transaction Date],H5349)</f>
        <v>1</v>
      </c>
      <c r="L5349"/>
    </row>
    <row r="5350" spans="1:12" x14ac:dyDescent="0.3">
      <c r="A5350" t="s">
        <v>5356</v>
      </c>
      <c r="B5350" t="s">
        <v>10010</v>
      </c>
      <c r="C5350">
        <v>4</v>
      </c>
      <c r="D5350">
        <v>1</v>
      </c>
      <c r="E5350">
        <v>4</v>
      </c>
      <c r="F5350" t="s">
        <v>10069</v>
      </c>
      <c r="G5350" t="s">
        <v>10102</v>
      </c>
      <c r="H5350" s="6">
        <v>44937</v>
      </c>
      <c r="I5350">
        <f t="shared" si="166"/>
        <v>0</v>
      </c>
      <c r="J5350" t="str">
        <f t="shared" si="167"/>
        <v>Complete</v>
      </c>
      <c r="K5350">
        <f>COUNTIFS(RawData[Item], B5350,RawData[Quantity],C5350,RawData[Price Per Unit],D5350,RawData[Total Spent],E5350,RawData[Payment Method],F5350,RawData[Location],G5350,RawData[Transaction Date],H5350)</f>
        <v>1</v>
      </c>
      <c r="L5350"/>
    </row>
    <row r="5351" spans="1:12" x14ac:dyDescent="0.3">
      <c r="A5351" t="s">
        <v>5357</v>
      </c>
      <c r="B5351" t="s">
        <v>10008</v>
      </c>
      <c r="C5351">
        <v>2</v>
      </c>
      <c r="D5351">
        <v>2</v>
      </c>
      <c r="E5351">
        <v>4</v>
      </c>
      <c r="F5351" t="s">
        <v>10019</v>
      </c>
      <c r="G5351" t="s">
        <v>10102</v>
      </c>
      <c r="H5351" s="6">
        <v>44951</v>
      </c>
      <c r="I5351">
        <f t="shared" si="166"/>
        <v>0</v>
      </c>
      <c r="J5351" t="str">
        <f t="shared" si="167"/>
        <v>Complete</v>
      </c>
      <c r="K5351">
        <f>COUNTIFS(RawData[Item], B5351,RawData[Quantity],C5351,RawData[Price Per Unit],D5351,RawData[Total Spent],E5351,RawData[Payment Method],F5351,RawData[Location],G5351,RawData[Transaction Date],H5351)</f>
        <v>1</v>
      </c>
      <c r="L5351"/>
    </row>
    <row r="5352" spans="1:12" x14ac:dyDescent="0.3">
      <c r="A5352" t="s">
        <v>5358</v>
      </c>
      <c r="B5352" t="s">
        <v>10011</v>
      </c>
      <c r="C5352">
        <v>2</v>
      </c>
      <c r="D5352">
        <v>5</v>
      </c>
      <c r="E5352">
        <v>10</v>
      </c>
      <c r="F5352" t="s">
        <v>10069</v>
      </c>
      <c r="G5352" t="s">
        <v>10021</v>
      </c>
      <c r="H5352" s="6">
        <v>45250</v>
      </c>
      <c r="I5352">
        <f t="shared" si="166"/>
        <v>0</v>
      </c>
      <c r="J5352" t="str">
        <f t="shared" si="167"/>
        <v>Complete</v>
      </c>
      <c r="K5352">
        <f>COUNTIFS(RawData[Item], B5352,RawData[Quantity],C5352,RawData[Price Per Unit],D5352,RawData[Total Spent],E5352,RawData[Payment Method],F5352,RawData[Location],G5352,RawData[Transaction Date],H5352)</f>
        <v>1</v>
      </c>
      <c r="L5352"/>
    </row>
    <row r="5353" spans="1:12" x14ac:dyDescent="0.3">
      <c r="A5353" t="s">
        <v>5359</v>
      </c>
      <c r="B5353" t="s">
        <v>10011</v>
      </c>
      <c r="C5353">
        <v>4</v>
      </c>
      <c r="D5353">
        <v>5</v>
      </c>
      <c r="E5353">
        <v>20</v>
      </c>
      <c r="F5353" t="s">
        <v>10019</v>
      </c>
      <c r="G5353" t="s">
        <v>10102</v>
      </c>
      <c r="H5353" s="6" t="s">
        <v>10112</v>
      </c>
      <c r="I5353">
        <f t="shared" si="166"/>
        <v>1</v>
      </c>
      <c r="J5353" t="str">
        <f t="shared" si="167"/>
        <v>Incomplete</v>
      </c>
      <c r="K5353">
        <f>COUNTIFS(RawData[Item], B5353,RawData[Quantity],C5353,RawData[Price Per Unit],D5353,RawData[Total Spent],E5353,RawData[Payment Method],F5353,RawData[Location],G5353,RawData[Transaction Date],H5353)</f>
        <v>1</v>
      </c>
      <c r="L5353"/>
    </row>
    <row r="5354" spans="1:12" x14ac:dyDescent="0.3">
      <c r="A5354" t="s">
        <v>5360</v>
      </c>
      <c r="B5354" t="s">
        <v>10012</v>
      </c>
      <c r="C5354">
        <v>4</v>
      </c>
      <c r="D5354">
        <v>4</v>
      </c>
      <c r="E5354">
        <v>16</v>
      </c>
      <c r="F5354" t="s">
        <v>10020</v>
      </c>
      <c r="G5354" t="s">
        <v>10102</v>
      </c>
      <c r="H5354" s="6">
        <v>45209</v>
      </c>
      <c r="I5354">
        <f t="shared" si="166"/>
        <v>0</v>
      </c>
      <c r="J5354" t="str">
        <f t="shared" si="167"/>
        <v>Complete</v>
      </c>
      <c r="K5354">
        <f>COUNTIFS(RawData[Item], B5354,RawData[Quantity],C5354,RawData[Price Per Unit],D5354,RawData[Total Spent],E5354,RawData[Payment Method],F5354,RawData[Location],G5354,RawData[Transaction Date],H5354)</f>
        <v>1</v>
      </c>
      <c r="L5354"/>
    </row>
    <row r="5355" spans="1:12" x14ac:dyDescent="0.3">
      <c r="A5355" t="s">
        <v>5361</v>
      </c>
      <c r="B5355" t="s">
        <v>10011</v>
      </c>
      <c r="C5355">
        <v>1</v>
      </c>
      <c r="D5355">
        <v>5</v>
      </c>
      <c r="E5355">
        <v>5</v>
      </c>
      <c r="F5355" t="s">
        <v>10019</v>
      </c>
      <c r="G5355" t="s">
        <v>10069</v>
      </c>
      <c r="H5355" s="6">
        <v>45267</v>
      </c>
      <c r="I5355">
        <f t="shared" si="166"/>
        <v>0</v>
      </c>
      <c r="J5355" t="str">
        <f t="shared" si="167"/>
        <v>Complete</v>
      </c>
      <c r="K5355">
        <f>COUNTIFS(RawData[Item], B5355,RawData[Quantity],C5355,RawData[Price Per Unit],D5355,RawData[Total Spent],E5355,RawData[Payment Method],F5355,RawData[Location],G5355,RawData[Transaction Date],H5355)</f>
        <v>1</v>
      </c>
      <c r="L5355"/>
    </row>
    <row r="5356" spans="1:12" x14ac:dyDescent="0.3">
      <c r="A5356" t="s">
        <v>5362</v>
      </c>
      <c r="B5356" t="s">
        <v>10016</v>
      </c>
      <c r="C5356">
        <v>4</v>
      </c>
      <c r="D5356">
        <v>3</v>
      </c>
      <c r="E5356">
        <v>12</v>
      </c>
      <c r="F5356" t="s">
        <v>10020</v>
      </c>
      <c r="G5356" t="s">
        <v>10102</v>
      </c>
      <c r="H5356" s="6">
        <v>45057</v>
      </c>
      <c r="I5356">
        <f t="shared" si="166"/>
        <v>0</v>
      </c>
      <c r="J5356" t="str">
        <f t="shared" si="167"/>
        <v>Complete</v>
      </c>
      <c r="K5356">
        <f>COUNTIFS(RawData[Item], B5356,RawData[Quantity],C5356,RawData[Price Per Unit],D5356,RawData[Total Spent],E5356,RawData[Payment Method],F5356,RawData[Location],G5356,RawData[Transaction Date],H5356)</f>
        <v>1</v>
      </c>
      <c r="L5356"/>
    </row>
    <row r="5357" spans="1:12" x14ac:dyDescent="0.3">
      <c r="A5357" t="s">
        <v>5363</v>
      </c>
      <c r="B5357" t="s">
        <v>10014</v>
      </c>
      <c r="C5357">
        <v>1</v>
      </c>
      <c r="D5357">
        <v>4</v>
      </c>
      <c r="E5357">
        <v>4</v>
      </c>
      <c r="F5357" t="s">
        <v>10069</v>
      </c>
      <c r="G5357" t="s">
        <v>10102</v>
      </c>
      <c r="H5357" s="6">
        <v>45197</v>
      </c>
      <c r="I5357">
        <f t="shared" si="166"/>
        <v>0</v>
      </c>
      <c r="J5357" t="str">
        <f t="shared" si="167"/>
        <v>Complete</v>
      </c>
      <c r="K5357">
        <f>COUNTIFS(RawData[Item], B5357,RawData[Quantity],C5357,RawData[Price Per Unit],D5357,RawData[Total Spent],E5357,RawData[Payment Method],F5357,RawData[Location],G5357,RawData[Transaction Date],H5357)</f>
        <v>1</v>
      </c>
      <c r="L5357"/>
    </row>
    <row r="5358" spans="1:12" x14ac:dyDescent="0.3">
      <c r="A5358" t="s">
        <v>5364</v>
      </c>
      <c r="B5358" t="s">
        <v>10017</v>
      </c>
      <c r="C5358">
        <v>5</v>
      </c>
      <c r="D5358">
        <v>1.5</v>
      </c>
      <c r="E5358">
        <v>0</v>
      </c>
      <c r="F5358" t="s">
        <v>10069</v>
      </c>
      <c r="G5358" t="s">
        <v>10102</v>
      </c>
      <c r="H5358" s="6">
        <v>45044</v>
      </c>
      <c r="I5358">
        <f t="shared" si="166"/>
        <v>0</v>
      </c>
      <c r="J5358" t="str">
        <f t="shared" si="167"/>
        <v>Complete</v>
      </c>
      <c r="K5358">
        <f>COUNTIFS(RawData[Item], B5358,RawData[Quantity],C5358,RawData[Price Per Unit],D5358,RawData[Total Spent],E5358,RawData[Payment Method],F5358,RawData[Location],G5358,RawData[Transaction Date],H5358)</f>
        <v>1</v>
      </c>
      <c r="L5358"/>
    </row>
    <row r="5359" spans="1:12" x14ac:dyDescent="0.3">
      <c r="A5359" t="s">
        <v>5365</v>
      </c>
      <c r="B5359" t="s">
        <v>10017</v>
      </c>
      <c r="C5359">
        <v>3</v>
      </c>
      <c r="D5359">
        <v>1.5</v>
      </c>
      <c r="E5359">
        <v>4.5</v>
      </c>
      <c r="F5359" t="s">
        <v>10019</v>
      </c>
      <c r="G5359" t="s">
        <v>10069</v>
      </c>
      <c r="H5359" s="6">
        <v>44963</v>
      </c>
      <c r="I5359">
        <f t="shared" si="166"/>
        <v>0</v>
      </c>
      <c r="J5359" t="str">
        <f t="shared" si="167"/>
        <v>Complete</v>
      </c>
      <c r="K5359">
        <f>COUNTIFS(RawData[Item], B5359,RawData[Quantity],C5359,RawData[Price Per Unit],D5359,RawData[Total Spent],E5359,RawData[Payment Method],F5359,RawData[Location],G5359,RawData[Transaction Date],H5359)</f>
        <v>1</v>
      </c>
      <c r="L5359"/>
    </row>
    <row r="5360" spans="1:12" x14ac:dyDescent="0.3">
      <c r="A5360" t="s">
        <v>5366</v>
      </c>
      <c r="B5360" t="s">
        <v>10008</v>
      </c>
      <c r="C5360">
        <v>5</v>
      </c>
      <c r="D5360">
        <v>2</v>
      </c>
      <c r="E5360">
        <v>10</v>
      </c>
      <c r="F5360" t="s">
        <v>10020</v>
      </c>
      <c r="G5360" t="s">
        <v>10102</v>
      </c>
      <c r="H5360" s="6">
        <v>45131</v>
      </c>
      <c r="I5360">
        <f t="shared" si="166"/>
        <v>0</v>
      </c>
      <c r="J5360" t="str">
        <f t="shared" si="167"/>
        <v>Complete</v>
      </c>
      <c r="K5360">
        <f>COUNTIFS(RawData[Item], B5360,RawData[Quantity],C5360,RawData[Price Per Unit],D5360,RawData[Total Spent],E5360,RawData[Payment Method],F5360,RawData[Location],G5360,RawData[Transaction Date],H5360)</f>
        <v>1</v>
      </c>
      <c r="L5360"/>
    </row>
    <row r="5361" spans="1:12" x14ac:dyDescent="0.3">
      <c r="A5361" t="s">
        <v>5367</v>
      </c>
      <c r="B5361" t="s">
        <v>10016</v>
      </c>
      <c r="C5361">
        <v>5</v>
      </c>
      <c r="D5361">
        <v>3</v>
      </c>
      <c r="E5361">
        <v>15</v>
      </c>
      <c r="F5361" t="s">
        <v>10069</v>
      </c>
      <c r="G5361" t="s">
        <v>10069</v>
      </c>
      <c r="H5361" s="6">
        <v>45125</v>
      </c>
      <c r="I5361">
        <f t="shared" si="166"/>
        <v>0</v>
      </c>
      <c r="J5361" t="str">
        <f t="shared" si="167"/>
        <v>Complete</v>
      </c>
      <c r="K5361">
        <f>COUNTIFS(RawData[Item], B5361,RawData[Quantity],C5361,RawData[Price Per Unit],D5361,RawData[Total Spent],E5361,RawData[Payment Method],F5361,RawData[Location],G5361,RawData[Transaction Date],H5361)</f>
        <v>1</v>
      </c>
      <c r="L5361"/>
    </row>
    <row r="5362" spans="1:12" x14ac:dyDescent="0.3">
      <c r="A5362" t="s">
        <v>5368</v>
      </c>
      <c r="B5362" t="s">
        <v>10010</v>
      </c>
      <c r="C5362">
        <v>4</v>
      </c>
      <c r="D5362">
        <v>1</v>
      </c>
      <c r="E5362">
        <v>4</v>
      </c>
      <c r="F5362" t="s">
        <v>10069</v>
      </c>
      <c r="G5362" t="s">
        <v>10021</v>
      </c>
      <c r="H5362" s="6">
        <v>45028</v>
      </c>
      <c r="I5362">
        <f t="shared" si="166"/>
        <v>0</v>
      </c>
      <c r="J5362" t="str">
        <f t="shared" si="167"/>
        <v>Complete</v>
      </c>
      <c r="K5362">
        <f>COUNTIFS(RawData[Item], B5362,RawData[Quantity],C5362,RawData[Price Per Unit],D5362,RawData[Total Spent],E5362,RawData[Payment Method],F5362,RawData[Location],G5362,RawData[Transaction Date],H5362)</f>
        <v>1</v>
      </c>
      <c r="L5362"/>
    </row>
    <row r="5363" spans="1:12" x14ac:dyDescent="0.3">
      <c r="A5363" t="s">
        <v>5369</v>
      </c>
      <c r="B5363" t="s">
        <v>10014</v>
      </c>
      <c r="C5363">
        <v>3</v>
      </c>
      <c r="D5363">
        <v>4</v>
      </c>
      <c r="E5363">
        <v>12</v>
      </c>
      <c r="F5363" t="s">
        <v>10020</v>
      </c>
      <c r="G5363" t="s">
        <v>10102</v>
      </c>
      <c r="H5363" s="6">
        <v>45223</v>
      </c>
      <c r="I5363">
        <f t="shared" si="166"/>
        <v>0</v>
      </c>
      <c r="J5363" t="str">
        <f t="shared" si="167"/>
        <v>Complete</v>
      </c>
      <c r="K5363">
        <f>COUNTIFS(RawData[Item], B5363,RawData[Quantity],C5363,RawData[Price Per Unit],D5363,RawData[Total Spent],E5363,RawData[Payment Method],F5363,RawData[Location],G5363,RawData[Transaction Date],H5363)</f>
        <v>1</v>
      </c>
      <c r="L5363"/>
    </row>
    <row r="5364" spans="1:12" x14ac:dyDescent="0.3">
      <c r="A5364" t="s">
        <v>5370</v>
      </c>
      <c r="B5364" t="s">
        <v>10014</v>
      </c>
      <c r="C5364">
        <v>3</v>
      </c>
      <c r="D5364">
        <v>4</v>
      </c>
      <c r="E5364">
        <v>12</v>
      </c>
      <c r="F5364" t="s">
        <v>10019</v>
      </c>
      <c r="G5364" t="s">
        <v>10021</v>
      </c>
      <c r="H5364" s="6">
        <v>45237</v>
      </c>
      <c r="I5364">
        <f t="shared" si="166"/>
        <v>0</v>
      </c>
      <c r="J5364" t="str">
        <f t="shared" si="167"/>
        <v>Complete</v>
      </c>
      <c r="K5364">
        <f>COUNTIFS(RawData[Item], B5364,RawData[Quantity],C5364,RawData[Price Per Unit],D5364,RawData[Total Spent],E5364,RawData[Payment Method],F5364,RawData[Location],G5364,RawData[Transaction Date],H5364)</f>
        <v>1</v>
      </c>
      <c r="L5364"/>
    </row>
    <row r="5365" spans="1:12" x14ac:dyDescent="0.3">
      <c r="A5365" t="s">
        <v>5371</v>
      </c>
      <c r="B5365" t="s">
        <v>10008</v>
      </c>
      <c r="C5365">
        <v>3</v>
      </c>
      <c r="D5365">
        <v>2</v>
      </c>
      <c r="E5365">
        <v>6</v>
      </c>
      <c r="F5365" t="s">
        <v>10069</v>
      </c>
      <c r="G5365" t="s">
        <v>10103</v>
      </c>
      <c r="H5365" s="6">
        <v>45098</v>
      </c>
      <c r="I5365">
        <f t="shared" si="166"/>
        <v>1</v>
      </c>
      <c r="J5365" t="str">
        <f t="shared" si="167"/>
        <v>Complete</v>
      </c>
      <c r="K5365">
        <f>COUNTIFS(RawData[Item], B5365,RawData[Quantity],C5365,RawData[Price Per Unit],D5365,RawData[Total Spent],E5365,RawData[Payment Method],F5365,RawData[Location],G5365,RawData[Transaction Date],H5365)</f>
        <v>1</v>
      </c>
      <c r="L5365"/>
    </row>
    <row r="5366" spans="1:12" x14ac:dyDescent="0.3">
      <c r="A5366" t="s">
        <v>5372</v>
      </c>
      <c r="B5366" t="s">
        <v>10008</v>
      </c>
      <c r="C5366">
        <v>1</v>
      </c>
      <c r="D5366">
        <v>2</v>
      </c>
      <c r="E5366">
        <v>2</v>
      </c>
      <c r="F5366" t="s">
        <v>10018</v>
      </c>
      <c r="G5366" t="s">
        <v>10069</v>
      </c>
      <c r="H5366" s="6">
        <v>44959</v>
      </c>
      <c r="I5366">
        <f t="shared" si="166"/>
        <v>0</v>
      </c>
      <c r="J5366" t="str">
        <f t="shared" si="167"/>
        <v>Complete</v>
      </c>
      <c r="K5366">
        <f>COUNTIFS(RawData[Item], B5366,RawData[Quantity],C5366,RawData[Price Per Unit],D5366,RawData[Total Spent],E5366,RawData[Payment Method],F5366,RawData[Location],G5366,RawData[Transaction Date],H5366)</f>
        <v>1</v>
      </c>
      <c r="L5366"/>
    </row>
    <row r="5367" spans="1:12" x14ac:dyDescent="0.3">
      <c r="A5367" t="s">
        <v>5373</v>
      </c>
      <c r="B5367" t="s">
        <v>10008</v>
      </c>
      <c r="C5367">
        <v>5</v>
      </c>
      <c r="D5367">
        <v>0</v>
      </c>
      <c r="E5367">
        <v>10</v>
      </c>
      <c r="F5367" t="s">
        <v>10069</v>
      </c>
      <c r="G5367" t="s">
        <v>10102</v>
      </c>
      <c r="H5367" s="6">
        <v>44932</v>
      </c>
      <c r="I5367">
        <f t="shared" si="166"/>
        <v>0</v>
      </c>
      <c r="J5367" t="str">
        <f t="shared" si="167"/>
        <v>Complete</v>
      </c>
      <c r="K5367">
        <f>COUNTIFS(RawData[Item], B5367,RawData[Quantity],C5367,RawData[Price Per Unit],D5367,RawData[Total Spent],E5367,RawData[Payment Method],F5367,RawData[Location],G5367,RawData[Transaction Date],H5367)</f>
        <v>1</v>
      </c>
      <c r="L5367"/>
    </row>
    <row r="5368" spans="1:12" x14ac:dyDescent="0.3">
      <c r="A5368" t="s">
        <v>5374</v>
      </c>
      <c r="B5368" t="s">
        <v>10014</v>
      </c>
      <c r="C5368" t="s">
        <v>10015</v>
      </c>
      <c r="D5368">
        <v>4</v>
      </c>
      <c r="E5368">
        <v>4</v>
      </c>
      <c r="F5368" t="s">
        <v>10020</v>
      </c>
      <c r="G5368" t="s">
        <v>10069</v>
      </c>
      <c r="H5368" s="6">
        <v>45081</v>
      </c>
      <c r="I5368">
        <f t="shared" si="166"/>
        <v>1</v>
      </c>
      <c r="J5368" t="str">
        <f t="shared" si="167"/>
        <v>Complete</v>
      </c>
      <c r="K5368">
        <f>COUNTIFS(RawData[Item], B5368,RawData[Quantity],C5368,RawData[Price Per Unit],D5368,RawData[Total Spent],E5368,RawData[Payment Method],F5368,RawData[Location],G5368,RawData[Transaction Date],H5368)</f>
        <v>1</v>
      </c>
      <c r="L5368"/>
    </row>
    <row r="5369" spans="1:12" x14ac:dyDescent="0.3">
      <c r="A5369" t="s">
        <v>5375</v>
      </c>
      <c r="B5369" t="s">
        <v>10010</v>
      </c>
      <c r="C5369">
        <v>5</v>
      </c>
      <c r="D5369">
        <v>0</v>
      </c>
      <c r="E5369">
        <v>5</v>
      </c>
      <c r="F5369" t="s">
        <v>10020</v>
      </c>
      <c r="G5369" t="s">
        <v>10021</v>
      </c>
      <c r="H5369" s="6">
        <v>45235</v>
      </c>
      <c r="I5369">
        <f t="shared" si="166"/>
        <v>0</v>
      </c>
      <c r="J5369" t="str">
        <f t="shared" si="167"/>
        <v>Complete</v>
      </c>
      <c r="K5369">
        <f>COUNTIFS(RawData[Item], B5369,RawData[Quantity],C5369,RawData[Price Per Unit],D5369,RawData[Total Spent],E5369,RawData[Payment Method],F5369,RawData[Location],G5369,RawData[Transaction Date],H5369)</f>
        <v>1</v>
      </c>
      <c r="L5369"/>
    </row>
    <row r="5370" spans="1:12" x14ac:dyDescent="0.3">
      <c r="A5370" t="s">
        <v>5376</v>
      </c>
      <c r="B5370" t="s">
        <v>10017</v>
      </c>
      <c r="C5370">
        <v>4</v>
      </c>
      <c r="D5370">
        <v>1.5</v>
      </c>
      <c r="E5370">
        <v>6</v>
      </c>
      <c r="F5370" t="s">
        <v>10069</v>
      </c>
      <c r="G5370" t="s">
        <v>10102</v>
      </c>
      <c r="H5370" s="6">
        <v>45118</v>
      </c>
      <c r="I5370">
        <f t="shared" si="166"/>
        <v>0</v>
      </c>
      <c r="J5370" t="str">
        <f t="shared" si="167"/>
        <v>Complete</v>
      </c>
      <c r="K5370">
        <f>COUNTIFS(RawData[Item], B5370,RawData[Quantity],C5370,RawData[Price Per Unit],D5370,RawData[Total Spent],E5370,RawData[Payment Method],F5370,RawData[Location],G5370,RawData[Transaction Date],H5370)</f>
        <v>1</v>
      </c>
      <c r="L5370"/>
    </row>
    <row r="5371" spans="1:12" x14ac:dyDescent="0.3">
      <c r="A5371" t="s">
        <v>5377</v>
      </c>
      <c r="B5371" t="s">
        <v>10008</v>
      </c>
      <c r="C5371">
        <v>5</v>
      </c>
      <c r="D5371">
        <v>2</v>
      </c>
      <c r="E5371">
        <v>0</v>
      </c>
      <c r="F5371" t="s">
        <v>10069</v>
      </c>
      <c r="G5371" t="s">
        <v>10069</v>
      </c>
      <c r="H5371" s="6">
        <v>44976</v>
      </c>
      <c r="I5371">
        <f t="shared" si="166"/>
        <v>0</v>
      </c>
      <c r="J5371" t="str">
        <f t="shared" si="167"/>
        <v>Complete</v>
      </c>
      <c r="K5371">
        <f>COUNTIFS(RawData[Item], B5371,RawData[Quantity],C5371,RawData[Price Per Unit],D5371,RawData[Total Spent],E5371,RawData[Payment Method],F5371,RawData[Location],G5371,RawData[Transaction Date],H5371)</f>
        <v>1</v>
      </c>
      <c r="L5371"/>
    </row>
    <row r="5372" spans="1:12" x14ac:dyDescent="0.3">
      <c r="A5372" t="s">
        <v>5378</v>
      </c>
      <c r="B5372" t="s">
        <v>10014</v>
      </c>
      <c r="C5372">
        <v>3</v>
      </c>
      <c r="D5372">
        <v>4</v>
      </c>
      <c r="E5372">
        <v>12</v>
      </c>
      <c r="F5372" t="s">
        <v>10018</v>
      </c>
      <c r="G5372" t="s">
        <v>10069</v>
      </c>
      <c r="H5372" s="6">
        <v>45136</v>
      </c>
      <c r="I5372">
        <f t="shared" si="166"/>
        <v>0</v>
      </c>
      <c r="J5372" t="str">
        <f t="shared" si="167"/>
        <v>Complete</v>
      </c>
      <c r="K5372">
        <f>COUNTIFS(RawData[Item], B5372,RawData[Quantity],C5372,RawData[Price Per Unit],D5372,RawData[Total Spent],E5372,RawData[Payment Method],F5372,RawData[Location],G5372,RawData[Transaction Date],H5372)</f>
        <v>1</v>
      </c>
      <c r="L5372"/>
    </row>
    <row r="5373" spans="1:12" x14ac:dyDescent="0.3">
      <c r="A5373" t="s">
        <v>5379</v>
      </c>
      <c r="B5373" t="s">
        <v>10016</v>
      </c>
      <c r="C5373" t="s">
        <v>10013</v>
      </c>
      <c r="D5373">
        <v>3</v>
      </c>
      <c r="E5373">
        <v>6</v>
      </c>
      <c r="F5373" t="s">
        <v>10019</v>
      </c>
      <c r="G5373" t="s">
        <v>10103</v>
      </c>
      <c r="H5373" s="6">
        <v>45190</v>
      </c>
      <c r="I5373">
        <f t="shared" si="166"/>
        <v>2</v>
      </c>
      <c r="J5373" t="str">
        <f t="shared" si="167"/>
        <v>Complete</v>
      </c>
      <c r="K5373">
        <f>COUNTIFS(RawData[Item], B5373,RawData[Quantity],C5373,RawData[Price Per Unit],D5373,RawData[Total Spent],E5373,RawData[Payment Method],F5373,RawData[Location],G5373,RawData[Transaction Date],H5373)</f>
        <v>1</v>
      </c>
      <c r="L5373"/>
    </row>
    <row r="5374" spans="1:12" x14ac:dyDescent="0.3">
      <c r="A5374" t="s">
        <v>5380</v>
      </c>
      <c r="B5374" t="s">
        <v>10069</v>
      </c>
      <c r="C5374">
        <v>2</v>
      </c>
      <c r="D5374">
        <v>5</v>
      </c>
      <c r="E5374">
        <v>10</v>
      </c>
      <c r="F5374" t="s">
        <v>10018</v>
      </c>
      <c r="G5374" t="s">
        <v>10069</v>
      </c>
      <c r="H5374" s="6">
        <v>45144</v>
      </c>
      <c r="I5374">
        <f t="shared" si="166"/>
        <v>0</v>
      </c>
      <c r="J5374" t="str">
        <f t="shared" si="167"/>
        <v>Complete</v>
      </c>
      <c r="K5374">
        <f>COUNTIFS(RawData[Item], B5374,RawData[Quantity],C5374,RawData[Price Per Unit],D5374,RawData[Total Spent],E5374,RawData[Payment Method],F5374,RawData[Location],G5374,RawData[Transaction Date],H5374)</f>
        <v>1</v>
      </c>
      <c r="L5374"/>
    </row>
    <row r="5375" spans="1:12" x14ac:dyDescent="0.3">
      <c r="A5375" t="s">
        <v>5381</v>
      </c>
      <c r="B5375" t="s">
        <v>10012</v>
      </c>
      <c r="C5375">
        <v>4</v>
      </c>
      <c r="D5375">
        <v>4</v>
      </c>
      <c r="E5375">
        <v>16</v>
      </c>
      <c r="F5375" t="s">
        <v>10018</v>
      </c>
      <c r="G5375" t="s">
        <v>10069</v>
      </c>
      <c r="H5375" s="6">
        <v>45270</v>
      </c>
      <c r="I5375">
        <f t="shared" si="166"/>
        <v>0</v>
      </c>
      <c r="J5375" t="str">
        <f t="shared" si="167"/>
        <v>Complete</v>
      </c>
      <c r="K5375">
        <f>COUNTIFS(RawData[Item], B5375,RawData[Quantity],C5375,RawData[Price Per Unit],D5375,RawData[Total Spent],E5375,RawData[Payment Method],F5375,RawData[Location],G5375,RawData[Transaction Date],H5375)</f>
        <v>1</v>
      </c>
      <c r="L5375"/>
    </row>
    <row r="5376" spans="1:12" x14ac:dyDescent="0.3">
      <c r="A5376" t="s">
        <v>5382</v>
      </c>
      <c r="B5376" t="s">
        <v>10016</v>
      </c>
      <c r="C5376">
        <v>1</v>
      </c>
      <c r="D5376">
        <v>3</v>
      </c>
      <c r="E5376">
        <v>3</v>
      </c>
      <c r="F5376" t="s">
        <v>10018</v>
      </c>
      <c r="G5376" t="s">
        <v>10102</v>
      </c>
      <c r="H5376" s="6">
        <v>45192</v>
      </c>
      <c r="I5376">
        <f t="shared" si="166"/>
        <v>0</v>
      </c>
      <c r="J5376" t="str">
        <f t="shared" si="167"/>
        <v>Complete</v>
      </c>
      <c r="K5376">
        <f>COUNTIFS(RawData[Item], B5376,RawData[Quantity],C5376,RawData[Price Per Unit],D5376,RawData[Total Spent],E5376,RawData[Payment Method],F5376,RawData[Location],G5376,RawData[Transaction Date],H5376)</f>
        <v>1</v>
      </c>
      <c r="L5376"/>
    </row>
    <row r="5377" spans="1:12" x14ac:dyDescent="0.3">
      <c r="A5377" t="s">
        <v>5383</v>
      </c>
      <c r="B5377" t="s">
        <v>10009</v>
      </c>
      <c r="C5377">
        <v>1</v>
      </c>
      <c r="D5377">
        <v>3</v>
      </c>
      <c r="E5377">
        <v>3</v>
      </c>
      <c r="F5377" t="s">
        <v>10020</v>
      </c>
      <c r="G5377" t="s">
        <v>10021</v>
      </c>
      <c r="H5377" s="6">
        <v>45218</v>
      </c>
      <c r="I5377">
        <f t="shared" si="166"/>
        <v>0</v>
      </c>
      <c r="J5377" t="str">
        <f t="shared" si="167"/>
        <v>Complete</v>
      </c>
      <c r="K5377">
        <f>COUNTIFS(RawData[Item], B5377,RawData[Quantity],C5377,RawData[Price Per Unit],D5377,RawData[Total Spent],E5377,RawData[Payment Method],F5377,RawData[Location],G5377,RawData[Transaction Date],H5377)</f>
        <v>1</v>
      </c>
      <c r="L5377"/>
    </row>
    <row r="5378" spans="1:12" x14ac:dyDescent="0.3">
      <c r="A5378" t="s">
        <v>5384</v>
      </c>
      <c r="B5378" t="s">
        <v>10014</v>
      </c>
      <c r="C5378">
        <v>3</v>
      </c>
      <c r="D5378">
        <v>4</v>
      </c>
      <c r="E5378">
        <v>12</v>
      </c>
      <c r="F5378" t="s">
        <v>10069</v>
      </c>
      <c r="G5378" t="s">
        <v>10102</v>
      </c>
      <c r="H5378" s="6">
        <v>45056</v>
      </c>
      <c r="I5378">
        <f t="shared" ref="I5378:I5441" si="168">(B5378="Unknown")+(B5378="Error")+(C5378="Unknown")+(C5378="Error")+(D5378="Unknown")+(D5378="Error")+(E5378="Unknown")+(E5378="Error")+(F5378="Unknown")+(F5378="Error")+(G5378="Unknown")+(G5378="Error")+(H5378="No Date")</f>
        <v>0</v>
      </c>
      <c r="J5378" t="str">
        <f t="shared" ref="J5378:J5441" si="169">IF((H5378="No Date"),"Incomplete","Complete")</f>
        <v>Complete</v>
      </c>
      <c r="K5378">
        <f>COUNTIFS(RawData[Item], B5378,RawData[Quantity],C5378,RawData[Price Per Unit],D5378,RawData[Total Spent],E5378,RawData[Payment Method],F5378,RawData[Location],G5378,RawData[Transaction Date],H5378)</f>
        <v>1</v>
      </c>
      <c r="L5378"/>
    </row>
    <row r="5379" spans="1:12" x14ac:dyDescent="0.3">
      <c r="A5379" t="s">
        <v>5385</v>
      </c>
      <c r="B5379" t="s">
        <v>10016</v>
      </c>
      <c r="C5379">
        <v>2</v>
      </c>
      <c r="D5379">
        <v>3</v>
      </c>
      <c r="E5379">
        <v>6</v>
      </c>
      <c r="F5379" t="s">
        <v>10069</v>
      </c>
      <c r="G5379" t="s">
        <v>10021</v>
      </c>
      <c r="H5379" s="6">
        <v>45058</v>
      </c>
      <c r="I5379">
        <f t="shared" si="168"/>
        <v>0</v>
      </c>
      <c r="J5379" t="str">
        <f t="shared" si="169"/>
        <v>Complete</v>
      </c>
      <c r="K5379">
        <f>COUNTIFS(RawData[Item], B5379,RawData[Quantity],C5379,RawData[Price Per Unit],D5379,RawData[Total Spent],E5379,RawData[Payment Method],F5379,RawData[Location],G5379,RawData[Transaction Date],H5379)</f>
        <v>1</v>
      </c>
      <c r="L5379"/>
    </row>
    <row r="5380" spans="1:12" x14ac:dyDescent="0.3">
      <c r="A5380" t="s">
        <v>5386</v>
      </c>
      <c r="B5380" t="s">
        <v>10016</v>
      </c>
      <c r="C5380">
        <v>5</v>
      </c>
      <c r="D5380">
        <v>3</v>
      </c>
      <c r="E5380">
        <v>15</v>
      </c>
      <c r="F5380" t="s">
        <v>10019</v>
      </c>
      <c r="G5380" t="s">
        <v>10021</v>
      </c>
      <c r="H5380" s="6">
        <v>45276</v>
      </c>
      <c r="I5380">
        <f t="shared" si="168"/>
        <v>0</v>
      </c>
      <c r="J5380" t="str">
        <f t="shared" si="169"/>
        <v>Complete</v>
      </c>
      <c r="K5380">
        <f>COUNTIFS(RawData[Item], B5380,RawData[Quantity],C5380,RawData[Price Per Unit],D5380,RawData[Total Spent],E5380,RawData[Payment Method],F5380,RawData[Location],G5380,RawData[Transaction Date],H5380)</f>
        <v>1</v>
      </c>
      <c r="L5380"/>
    </row>
    <row r="5381" spans="1:12" x14ac:dyDescent="0.3">
      <c r="A5381" t="s">
        <v>5387</v>
      </c>
      <c r="B5381" t="s">
        <v>10008</v>
      </c>
      <c r="C5381">
        <v>4</v>
      </c>
      <c r="D5381">
        <v>2</v>
      </c>
      <c r="E5381">
        <v>8</v>
      </c>
      <c r="F5381" t="s">
        <v>10019</v>
      </c>
      <c r="G5381" t="s">
        <v>10021</v>
      </c>
      <c r="H5381" s="6">
        <v>44991</v>
      </c>
      <c r="I5381">
        <f t="shared" si="168"/>
        <v>0</v>
      </c>
      <c r="J5381" t="str">
        <f t="shared" si="169"/>
        <v>Complete</v>
      </c>
      <c r="K5381">
        <f>COUNTIFS(RawData[Item], B5381,RawData[Quantity],C5381,RawData[Price Per Unit],D5381,RawData[Total Spent],E5381,RawData[Payment Method],F5381,RawData[Location],G5381,RawData[Transaction Date],H5381)</f>
        <v>1</v>
      </c>
      <c r="L5381"/>
    </row>
    <row r="5382" spans="1:12" x14ac:dyDescent="0.3">
      <c r="A5382" t="s">
        <v>5388</v>
      </c>
      <c r="B5382" t="s">
        <v>10010</v>
      </c>
      <c r="C5382">
        <v>1</v>
      </c>
      <c r="D5382">
        <v>1</v>
      </c>
      <c r="E5382">
        <v>1</v>
      </c>
      <c r="F5382" t="s">
        <v>10019</v>
      </c>
      <c r="G5382" t="s">
        <v>10021</v>
      </c>
      <c r="H5382" s="6">
        <v>45162</v>
      </c>
      <c r="I5382">
        <f t="shared" si="168"/>
        <v>0</v>
      </c>
      <c r="J5382" t="str">
        <f t="shared" si="169"/>
        <v>Complete</v>
      </c>
      <c r="K5382">
        <f>COUNTIFS(RawData[Item], B5382,RawData[Quantity],C5382,RawData[Price Per Unit],D5382,RawData[Total Spent],E5382,RawData[Payment Method],F5382,RawData[Location],G5382,RawData[Transaction Date],H5382)</f>
        <v>1</v>
      </c>
      <c r="L5382"/>
    </row>
    <row r="5383" spans="1:12" x14ac:dyDescent="0.3">
      <c r="A5383" t="s">
        <v>5389</v>
      </c>
      <c r="B5383" t="s">
        <v>10010</v>
      </c>
      <c r="C5383">
        <v>3</v>
      </c>
      <c r="D5383">
        <v>1</v>
      </c>
      <c r="E5383" t="s">
        <v>10013</v>
      </c>
      <c r="F5383" t="s">
        <v>10020</v>
      </c>
      <c r="G5383" t="s">
        <v>10102</v>
      </c>
      <c r="H5383" s="6">
        <v>45190</v>
      </c>
      <c r="I5383">
        <f t="shared" si="168"/>
        <v>1</v>
      </c>
      <c r="J5383" t="str">
        <f t="shared" si="169"/>
        <v>Complete</v>
      </c>
      <c r="K5383">
        <f>COUNTIFS(RawData[Item], B5383,RawData[Quantity],C5383,RawData[Price Per Unit],D5383,RawData[Total Spent],E5383,RawData[Payment Method],F5383,RawData[Location],G5383,RawData[Transaction Date],H5383)</f>
        <v>1</v>
      </c>
      <c r="L5383"/>
    </row>
    <row r="5384" spans="1:12" x14ac:dyDescent="0.3">
      <c r="A5384" t="s">
        <v>5390</v>
      </c>
      <c r="B5384" t="s">
        <v>10010</v>
      </c>
      <c r="C5384">
        <v>2</v>
      </c>
      <c r="D5384">
        <v>1</v>
      </c>
      <c r="E5384">
        <v>2</v>
      </c>
      <c r="F5384" t="s">
        <v>10069</v>
      </c>
      <c r="G5384" t="s">
        <v>10069</v>
      </c>
      <c r="H5384" s="6">
        <v>45254</v>
      </c>
      <c r="I5384">
        <f t="shared" si="168"/>
        <v>0</v>
      </c>
      <c r="J5384" t="str">
        <f t="shared" si="169"/>
        <v>Complete</v>
      </c>
      <c r="K5384">
        <f>COUNTIFS(RawData[Item], B5384,RawData[Quantity],C5384,RawData[Price Per Unit],D5384,RawData[Total Spent],E5384,RawData[Payment Method],F5384,RawData[Location],G5384,RawData[Transaction Date],H5384)</f>
        <v>1</v>
      </c>
      <c r="L5384"/>
    </row>
    <row r="5385" spans="1:12" x14ac:dyDescent="0.3">
      <c r="A5385" t="s">
        <v>5391</v>
      </c>
      <c r="B5385" t="s">
        <v>10010</v>
      </c>
      <c r="C5385">
        <v>5</v>
      </c>
      <c r="D5385">
        <v>1</v>
      </c>
      <c r="E5385">
        <v>5</v>
      </c>
      <c r="F5385" t="s">
        <v>10019</v>
      </c>
      <c r="G5385" t="s">
        <v>10021</v>
      </c>
      <c r="H5385" s="6">
        <v>45192</v>
      </c>
      <c r="I5385">
        <f t="shared" si="168"/>
        <v>0</v>
      </c>
      <c r="J5385" t="str">
        <f t="shared" si="169"/>
        <v>Complete</v>
      </c>
      <c r="K5385">
        <f>COUNTIFS(RawData[Item], B5385,RawData[Quantity],C5385,RawData[Price Per Unit],D5385,RawData[Total Spent],E5385,RawData[Payment Method],F5385,RawData[Location],G5385,RawData[Transaction Date],H5385)</f>
        <v>1</v>
      </c>
      <c r="L5385"/>
    </row>
    <row r="5386" spans="1:12" x14ac:dyDescent="0.3">
      <c r="A5386" t="s">
        <v>5392</v>
      </c>
      <c r="B5386" t="s">
        <v>10008</v>
      </c>
      <c r="C5386">
        <v>3</v>
      </c>
      <c r="D5386">
        <v>2</v>
      </c>
      <c r="E5386">
        <v>6</v>
      </c>
      <c r="F5386" t="s">
        <v>10020</v>
      </c>
      <c r="G5386" t="s">
        <v>10021</v>
      </c>
      <c r="H5386" s="6">
        <v>44977</v>
      </c>
      <c r="I5386">
        <f t="shared" si="168"/>
        <v>0</v>
      </c>
      <c r="J5386" t="str">
        <f t="shared" si="169"/>
        <v>Complete</v>
      </c>
      <c r="K5386">
        <f>COUNTIFS(RawData[Item], B5386,RawData[Quantity],C5386,RawData[Price Per Unit],D5386,RawData[Total Spent],E5386,RawData[Payment Method],F5386,RawData[Location],G5386,RawData[Transaction Date],H5386)</f>
        <v>1</v>
      </c>
      <c r="L5386"/>
    </row>
    <row r="5387" spans="1:12" x14ac:dyDescent="0.3">
      <c r="A5387" t="s">
        <v>5393</v>
      </c>
      <c r="B5387" t="s">
        <v>10008</v>
      </c>
      <c r="C5387">
        <v>5</v>
      </c>
      <c r="D5387">
        <v>2</v>
      </c>
      <c r="E5387">
        <v>10</v>
      </c>
      <c r="F5387" t="s">
        <v>10020</v>
      </c>
      <c r="G5387" t="s">
        <v>10102</v>
      </c>
      <c r="H5387" s="6">
        <v>45049</v>
      </c>
      <c r="I5387">
        <f t="shared" si="168"/>
        <v>0</v>
      </c>
      <c r="J5387" t="str">
        <f t="shared" si="169"/>
        <v>Complete</v>
      </c>
      <c r="K5387">
        <f>COUNTIFS(RawData[Item], B5387,RawData[Quantity],C5387,RawData[Price Per Unit],D5387,RawData[Total Spent],E5387,RawData[Payment Method],F5387,RawData[Location],G5387,RawData[Transaction Date],H5387)</f>
        <v>1</v>
      </c>
      <c r="L5387"/>
    </row>
    <row r="5388" spans="1:12" x14ac:dyDescent="0.3">
      <c r="A5388" t="s">
        <v>5394</v>
      </c>
      <c r="B5388" t="s">
        <v>10017</v>
      </c>
      <c r="C5388">
        <v>3</v>
      </c>
      <c r="D5388">
        <v>1.5</v>
      </c>
      <c r="E5388">
        <v>4.5</v>
      </c>
      <c r="F5388" t="s">
        <v>10018</v>
      </c>
      <c r="G5388" t="s">
        <v>10102</v>
      </c>
      <c r="H5388" s="6">
        <v>45001</v>
      </c>
      <c r="I5388">
        <f t="shared" si="168"/>
        <v>0</v>
      </c>
      <c r="J5388" t="str">
        <f t="shared" si="169"/>
        <v>Complete</v>
      </c>
      <c r="K5388">
        <f>COUNTIFS(RawData[Item], B5388,RawData[Quantity],C5388,RawData[Price Per Unit],D5388,RawData[Total Spent],E5388,RawData[Payment Method],F5388,RawData[Location],G5388,RawData[Transaction Date],H5388)</f>
        <v>1</v>
      </c>
      <c r="L5388"/>
    </row>
    <row r="5389" spans="1:12" x14ac:dyDescent="0.3">
      <c r="A5389" t="s">
        <v>5395</v>
      </c>
      <c r="B5389" t="s">
        <v>10008</v>
      </c>
      <c r="C5389">
        <v>4</v>
      </c>
      <c r="D5389">
        <v>2</v>
      </c>
      <c r="E5389">
        <v>8</v>
      </c>
      <c r="F5389" t="s">
        <v>10069</v>
      </c>
      <c r="G5389" t="s">
        <v>10021</v>
      </c>
      <c r="H5389" s="6">
        <v>45211</v>
      </c>
      <c r="I5389">
        <f t="shared" si="168"/>
        <v>0</v>
      </c>
      <c r="J5389" t="str">
        <f t="shared" si="169"/>
        <v>Complete</v>
      </c>
      <c r="K5389">
        <f>COUNTIFS(RawData[Item], B5389,RawData[Quantity],C5389,RawData[Price Per Unit],D5389,RawData[Total Spent],E5389,RawData[Payment Method],F5389,RawData[Location],G5389,RawData[Transaction Date],H5389)</f>
        <v>1</v>
      </c>
      <c r="L5389"/>
    </row>
    <row r="5390" spans="1:12" x14ac:dyDescent="0.3">
      <c r="A5390" t="s">
        <v>5396</v>
      </c>
      <c r="B5390" t="s">
        <v>10010</v>
      </c>
      <c r="C5390" t="s">
        <v>10013</v>
      </c>
      <c r="D5390">
        <v>1</v>
      </c>
      <c r="E5390">
        <v>4</v>
      </c>
      <c r="F5390" t="s">
        <v>10069</v>
      </c>
      <c r="G5390" t="s">
        <v>10021</v>
      </c>
      <c r="H5390" s="6">
        <v>44928</v>
      </c>
      <c r="I5390">
        <f t="shared" si="168"/>
        <v>1</v>
      </c>
      <c r="J5390" t="str">
        <f t="shared" si="169"/>
        <v>Complete</v>
      </c>
      <c r="K5390">
        <f>COUNTIFS(RawData[Item], B5390,RawData[Quantity],C5390,RawData[Price Per Unit],D5390,RawData[Total Spent],E5390,RawData[Payment Method],F5390,RawData[Location],G5390,RawData[Transaction Date],H5390)</f>
        <v>1</v>
      </c>
      <c r="L5390"/>
    </row>
    <row r="5391" spans="1:12" x14ac:dyDescent="0.3">
      <c r="A5391" t="s">
        <v>5397</v>
      </c>
      <c r="B5391" t="s">
        <v>10016</v>
      </c>
      <c r="C5391">
        <v>2</v>
      </c>
      <c r="D5391">
        <v>3</v>
      </c>
      <c r="E5391">
        <v>6</v>
      </c>
      <c r="F5391" t="s">
        <v>10069</v>
      </c>
      <c r="G5391" t="s">
        <v>10069</v>
      </c>
      <c r="H5391" s="6">
        <v>45151</v>
      </c>
      <c r="I5391">
        <f t="shared" si="168"/>
        <v>0</v>
      </c>
      <c r="J5391" t="str">
        <f t="shared" si="169"/>
        <v>Complete</v>
      </c>
      <c r="K5391">
        <f>COUNTIFS(RawData[Item], B5391,RawData[Quantity],C5391,RawData[Price Per Unit],D5391,RawData[Total Spent],E5391,RawData[Payment Method],F5391,RawData[Location],G5391,RawData[Transaction Date],H5391)</f>
        <v>1</v>
      </c>
      <c r="L5391"/>
    </row>
    <row r="5392" spans="1:12" x14ac:dyDescent="0.3">
      <c r="A5392" t="s">
        <v>5398</v>
      </c>
      <c r="B5392" t="s">
        <v>10010</v>
      </c>
      <c r="C5392">
        <v>1</v>
      </c>
      <c r="D5392">
        <v>1</v>
      </c>
      <c r="E5392">
        <v>1</v>
      </c>
      <c r="F5392" t="s">
        <v>10019</v>
      </c>
      <c r="G5392" t="s">
        <v>10069</v>
      </c>
      <c r="H5392" s="6">
        <v>45051</v>
      </c>
      <c r="I5392">
        <f t="shared" si="168"/>
        <v>0</v>
      </c>
      <c r="J5392" t="str">
        <f t="shared" si="169"/>
        <v>Complete</v>
      </c>
      <c r="K5392">
        <f>COUNTIFS(RawData[Item], B5392,RawData[Quantity],C5392,RawData[Price Per Unit],D5392,RawData[Total Spent],E5392,RawData[Payment Method],F5392,RawData[Location],G5392,RawData[Transaction Date],H5392)</f>
        <v>1</v>
      </c>
      <c r="L5392"/>
    </row>
    <row r="5393" spans="1:12" x14ac:dyDescent="0.3">
      <c r="A5393" t="s">
        <v>5399</v>
      </c>
      <c r="B5393" t="s">
        <v>10008</v>
      </c>
      <c r="C5393">
        <v>5</v>
      </c>
      <c r="D5393">
        <v>2</v>
      </c>
      <c r="E5393">
        <v>10</v>
      </c>
      <c r="F5393" t="s">
        <v>10069</v>
      </c>
      <c r="G5393" t="s">
        <v>10104</v>
      </c>
      <c r="H5393" s="6">
        <v>44936</v>
      </c>
      <c r="I5393">
        <f t="shared" si="168"/>
        <v>1</v>
      </c>
      <c r="J5393" t="str">
        <f t="shared" si="169"/>
        <v>Complete</v>
      </c>
      <c r="K5393">
        <f>COUNTIFS(RawData[Item], B5393,RawData[Quantity],C5393,RawData[Price Per Unit],D5393,RawData[Total Spent],E5393,RawData[Payment Method],F5393,RawData[Location],G5393,RawData[Transaction Date],H5393)</f>
        <v>1</v>
      </c>
      <c r="L5393"/>
    </row>
    <row r="5394" spans="1:12" x14ac:dyDescent="0.3">
      <c r="A5394" t="s">
        <v>5400</v>
      </c>
      <c r="B5394" t="s">
        <v>10010</v>
      </c>
      <c r="C5394">
        <v>5</v>
      </c>
      <c r="D5394">
        <v>1</v>
      </c>
      <c r="E5394">
        <v>5</v>
      </c>
      <c r="F5394" t="s">
        <v>10018</v>
      </c>
      <c r="G5394" t="s">
        <v>10021</v>
      </c>
      <c r="H5394" s="6">
        <v>45076</v>
      </c>
      <c r="I5394">
        <f t="shared" si="168"/>
        <v>0</v>
      </c>
      <c r="J5394" t="str">
        <f t="shared" si="169"/>
        <v>Complete</v>
      </c>
      <c r="K5394">
        <f>COUNTIFS(RawData[Item], B5394,RawData[Quantity],C5394,RawData[Price Per Unit],D5394,RawData[Total Spent],E5394,RawData[Payment Method],F5394,RawData[Location],G5394,RawData[Transaction Date],H5394)</f>
        <v>1</v>
      </c>
      <c r="L5394"/>
    </row>
    <row r="5395" spans="1:12" x14ac:dyDescent="0.3">
      <c r="A5395" t="s">
        <v>5401</v>
      </c>
      <c r="B5395" t="s">
        <v>10017</v>
      </c>
      <c r="C5395">
        <v>3</v>
      </c>
      <c r="D5395">
        <v>1.5</v>
      </c>
      <c r="E5395">
        <v>4.5</v>
      </c>
      <c r="F5395" t="s">
        <v>10020</v>
      </c>
      <c r="G5395" t="s">
        <v>10102</v>
      </c>
      <c r="H5395" s="6">
        <v>45274</v>
      </c>
      <c r="I5395">
        <f t="shared" si="168"/>
        <v>0</v>
      </c>
      <c r="J5395" t="str">
        <f t="shared" si="169"/>
        <v>Complete</v>
      </c>
      <c r="K5395">
        <f>COUNTIFS(RawData[Item], B5395,RawData[Quantity],C5395,RawData[Price Per Unit],D5395,RawData[Total Spent],E5395,RawData[Payment Method],F5395,RawData[Location],G5395,RawData[Transaction Date],H5395)</f>
        <v>1</v>
      </c>
      <c r="L5395"/>
    </row>
    <row r="5396" spans="1:12" x14ac:dyDescent="0.3">
      <c r="A5396" t="s">
        <v>5402</v>
      </c>
      <c r="B5396" t="s">
        <v>10069</v>
      </c>
      <c r="C5396">
        <v>2</v>
      </c>
      <c r="D5396">
        <v>1</v>
      </c>
      <c r="E5396">
        <v>2</v>
      </c>
      <c r="F5396" t="s">
        <v>10020</v>
      </c>
      <c r="G5396" t="s">
        <v>10069</v>
      </c>
      <c r="H5396" s="6">
        <v>45272</v>
      </c>
      <c r="I5396">
        <f t="shared" si="168"/>
        <v>0</v>
      </c>
      <c r="J5396" t="str">
        <f t="shared" si="169"/>
        <v>Complete</v>
      </c>
      <c r="K5396">
        <f>COUNTIFS(RawData[Item], B5396,RawData[Quantity],C5396,RawData[Price Per Unit],D5396,RawData[Total Spent],E5396,RawData[Payment Method],F5396,RawData[Location],G5396,RawData[Transaction Date],H5396)</f>
        <v>1</v>
      </c>
      <c r="L5396"/>
    </row>
    <row r="5397" spans="1:12" x14ac:dyDescent="0.3">
      <c r="A5397" t="s">
        <v>5403</v>
      </c>
      <c r="B5397" t="s">
        <v>10008</v>
      </c>
      <c r="C5397">
        <v>5</v>
      </c>
      <c r="D5397">
        <v>2</v>
      </c>
      <c r="E5397">
        <v>10</v>
      </c>
      <c r="F5397" t="s">
        <v>10020</v>
      </c>
      <c r="G5397" t="s">
        <v>10069</v>
      </c>
      <c r="H5397" s="6">
        <v>45188</v>
      </c>
      <c r="I5397">
        <f t="shared" si="168"/>
        <v>0</v>
      </c>
      <c r="J5397" t="str">
        <f t="shared" si="169"/>
        <v>Complete</v>
      </c>
      <c r="K5397">
        <f>COUNTIFS(RawData[Item], B5397,RawData[Quantity],C5397,RawData[Price Per Unit],D5397,RawData[Total Spent],E5397,RawData[Payment Method],F5397,RawData[Location],G5397,RawData[Transaction Date],H5397)</f>
        <v>1</v>
      </c>
      <c r="L5397"/>
    </row>
    <row r="5398" spans="1:12" x14ac:dyDescent="0.3">
      <c r="A5398" t="s">
        <v>5404</v>
      </c>
      <c r="B5398" t="s">
        <v>10017</v>
      </c>
      <c r="C5398">
        <v>2</v>
      </c>
      <c r="D5398">
        <v>1.5</v>
      </c>
      <c r="E5398">
        <v>3</v>
      </c>
      <c r="F5398" t="s">
        <v>10103</v>
      </c>
      <c r="G5398" t="s">
        <v>10021</v>
      </c>
      <c r="H5398" s="6">
        <v>45255</v>
      </c>
      <c r="I5398">
        <f t="shared" si="168"/>
        <v>1</v>
      </c>
      <c r="J5398" t="str">
        <f t="shared" si="169"/>
        <v>Complete</v>
      </c>
      <c r="K5398">
        <f>COUNTIFS(RawData[Item], B5398,RawData[Quantity],C5398,RawData[Price Per Unit],D5398,RawData[Total Spent],E5398,RawData[Payment Method],F5398,RawData[Location],G5398,RawData[Transaction Date],H5398)</f>
        <v>1</v>
      </c>
      <c r="L5398"/>
    </row>
    <row r="5399" spans="1:12" x14ac:dyDescent="0.3">
      <c r="A5399" t="s">
        <v>5405</v>
      </c>
      <c r="B5399" t="s">
        <v>10017</v>
      </c>
      <c r="C5399">
        <v>5</v>
      </c>
      <c r="D5399">
        <v>1.5</v>
      </c>
      <c r="E5399">
        <v>7.5</v>
      </c>
      <c r="F5399" t="s">
        <v>10018</v>
      </c>
      <c r="G5399" t="s">
        <v>10102</v>
      </c>
      <c r="H5399" s="6">
        <v>45288</v>
      </c>
      <c r="I5399">
        <f t="shared" si="168"/>
        <v>0</v>
      </c>
      <c r="J5399" t="str">
        <f t="shared" si="169"/>
        <v>Complete</v>
      </c>
      <c r="K5399">
        <f>COUNTIFS(RawData[Item], B5399,RawData[Quantity],C5399,RawData[Price Per Unit],D5399,RawData[Total Spent],E5399,RawData[Payment Method],F5399,RawData[Location],G5399,RawData[Transaction Date],H5399)</f>
        <v>1</v>
      </c>
      <c r="L5399"/>
    </row>
    <row r="5400" spans="1:12" x14ac:dyDescent="0.3">
      <c r="A5400" t="s">
        <v>5406</v>
      </c>
      <c r="B5400" t="s">
        <v>10014</v>
      </c>
      <c r="C5400">
        <v>5</v>
      </c>
      <c r="D5400">
        <v>4</v>
      </c>
      <c r="E5400">
        <v>20</v>
      </c>
      <c r="F5400" t="s">
        <v>10019</v>
      </c>
      <c r="G5400" t="s">
        <v>10021</v>
      </c>
      <c r="H5400" s="6">
        <v>45271</v>
      </c>
      <c r="I5400">
        <f t="shared" si="168"/>
        <v>0</v>
      </c>
      <c r="J5400" t="str">
        <f t="shared" si="169"/>
        <v>Complete</v>
      </c>
      <c r="K5400">
        <f>COUNTIFS(RawData[Item], B5400,RawData[Quantity],C5400,RawData[Price Per Unit],D5400,RawData[Total Spent],E5400,RawData[Payment Method],F5400,RawData[Location],G5400,RawData[Transaction Date],H5400)</f>
        <v>1</v>
      </c>
      <c r="L5400"/>
    </row>
    <row r="5401" spans="1:12" x14ac:dyDescent="0.3">
      <c r="A5401" t="s">
        <v>5407</v>
      </c>
      <c r="B5401" t="s">
        <v>10012</v>
      </c>
      <c r="C5401">
        <v>1</v>
      </c>
      <c r="D5401">
        <v>4</v>
      </c>
      <c r="E5401">
        <v>4</v>
      </c>
      <c r="F5401" t="s">
        <v>10020</v>
      </c>
      <c r="G5401" t="s">
        <v>10069</v>
      </c>
      <c r="H5401" s="6">
        <v>45221</v>
      </c>
      <c r="I5401">
        <f t="shared" si="168"/>
        <v>0</v>
      </c>
      <c r="J5401" t="str">
        <f t="shared" si="169"/>
        <v>Complete</v>
      </c>
      <c r="K5401">
        <f>COUNTIFS(RawData[Item], B5401,RawData[Quantity],C5401,RawData[Price Per Unit],D5401,RawData[Total Spent],E5401,RawData[Payment Method],F5401,RawData[Location],G5401,RawData[Transaction Date],H5401)</f>
        <v>1</v>
      </c>
      <c r="L5401"/>
    </row>
    <row r="5402" spans="1:12" x14ac:dyDescent="0.3">
      <c r="A5402" t="s">
        <v>5408</v>
      </c>
      <c r="B5402" t="s">
        <v>10011</v>
      </c>
      <c r="C5402">
        <v>4</v>
      </c>
      <c r="D5402">
        <v>5</v>
      </c>
      <c r="E5402">
        <v>20</v>
      </c>
      <c r="F5402" t="s">
        <v>10069</v>
      </c>
      <c r="G5402" t="s">
        <v>10102</v>
      </c>
      <c r="H5402" s="6">
        <v>45283</v>
      </c>
      <c r="I5402">
        <f t="shared" si="168"/>
        <v>0</v>
      </c>
      <c r="J5402" t="str">
        <f t="shared" si="169"/>
        <v>Complete</v>
      </c>
      <c r="K5402">
        <f>COUNTIFS(RawData[Item], B5402,RawData[Quantity],C5402,RawData[Price Per Unit],D5402,RawData[Total Spent],E5402,RawData[Payment Method],F5402,RawData[Location],G5402,RawData[Transaction Date],H5402)</f>
        <v>1</v>
      </c>
      <c r="L5402"/>
    </row>
    <row r="5403" spans="1:12" x14ac:dyDescent="0.3">
      <c r="A5403" t="s">
        <v>5409</v>
      </c>
      <c r="B5403" t="s">
        <v>10012</v>
      </c>
      <c r="C5403">
        <v>4</v>
      </c>
      <c r="D5403">
        <v>4</v>
      </c>
      <c r="E5403">
        <v>16</v>
      </c>
      <c r="F5403" t="s">
        <v>10020</v>
      </c>
      <c r="G5403" t="s">
        <v>10021</v>
      </c>
      <c r="H5403" s="6">
        <v>44980</v>
      </c>
      <c r="I5403">
        <f t="shared" si="168"/>
        <v>0</v>
      </c>
      <c r="J5403" t="str">
        <f t="shared" si="169"/>
        <v>Complete</v>
      </c>
      <c r="K5403">
        <f>COUNTIFS(RawData[Item], B5403,RawData[Quantity],C5403,RawData[Price Per Unit],D5403,RawData[Total Spent],E5403,RawData[Payment Method],F5403,RawData[Location],G5403,RawData[Transaction Date],H5403)</f>
        <v>1</v>
      </c>
      <c r="L5403"/>
    </row>
    <row r="5404" spans="1:12" x14ac:dyDescent="0.3">
      <c r="A5404" t="s">
        <v>5410</v>
      </c>
      <c r="B5404" t="s">
        <v>10009</v>
      </c>
      <c r="C5404">
        <v>2</v>
      </c>
      <c r="D5404">
        <v>3</v>
      </c>
      <c r="E5404">
        <v>6</v>
      </c>
      <c r="F5404" t="s">
        <v>10069</v>
      </c>
      <c r="G5404" t="s">
        <v>10069</v>
      </c>
      <c r="H5404" s="6">
        <v>45163</v>
      </c>
      <c r="I5404">
        <f t="shared" si="168"/>
        <v>0</v>
      </c>
      <c r="J5404" t="str">
        <f t="shared" si="169"/>
        <v>Complete</v>
      </c>
      <c r="K5404">
        <f>COUNTIFS(RawData[Item], B5404,RawData[Quantity],C5404,RawData[Price Per Unit],D5404,RawData[Total Spent],E5404,RawData[Payment Method],F5404,RawData[Location],G5404,RawData[Transaction Date],H5404)</f>
        <v>1</v>
      </c>
      <c r="L5404"/>
    </row>
    <row r="5405" spans="1:12" x14ac:dyDescent="0.3">
      <c r="A5405" t="s">
        <v>5411</v>
      </c>
      <c r="B5405" t="s">
        <v>10014</v>
      </c>
      <c r="C5405">
        <v>2</v>
      </c>
      <c r="D5405">
        <v>4</v>
      </c>
      <c r="E5405">
        <v>8</v>
      </c>
      <c r="F5405" t="s">
        <v>10018</v>
      </c>
      <c r="G5405" t="s">
        <v>10021</v>
      </c>
      <c r="H5405" s="6">
        <v>45139</v>
      </c>
      <c r="I5405">
        <f t="shared" si="168"/>
        <v>0</v>
      </c>
      <c r="J5405" t="str">
        <f t="shared" si="169"/>
        <v>Complete</v>
      </c>
      <c r="K5405">
        <f>COUNTIFS(RawData[Item], B5405,RawData[Quantity],C5405,RawData[Price Per Unit],D5405,RawData[Total Spent],E5405,RawData[Payment Method],F5405,RawData[Location],G5405,RawData[Transaction Date],H5405)</f>
        <v>1</v>
      </c>
      <c r="L5405"/>
    </row>
    <row r="5406" spans="1:12" x14ac:dyDescent="0.3">
      <c r="A5406" t="s">
        <v>5412</v>
      </c>
      <c r="B5406" t="s">
        <v>10008</v>
      </c>
      <c r="C5406">
        <v>2</v>
      </c>
      <c r="D5406">
        <v>2</v>
      </c>
      <c r="E5406">
        <v>4</v>
      </c>
      <c r="F5406" t="s">
        <v>10020</v>
      </c>
      <c r="G5406" t="s">
        <v>10021</v>
      </c>
      <c r="H5406" s="6">
        <v>45243</v>
      </c>
      <c r="I5406">
        <f t="shared" si="168"/>
        <v>0</v>
      </c>
      <c r="J5406" t="str">
        <f t="shared" si="169"/>
        <v>Complete</v>
      </c>
      <c r="K5406">
        <f>COUNTIFS(RawData[Item], B5406,RawData[Quantity],C5406,RawData[Price Per Unit],D5406,RawData[Total Spent],E5406,RawData[Payment Method],F5406,RawData[Location],G5406,RawData[Transaction Date],H5406)</f>
        <v>1</v>
      </c>
      <c r="L5406"/>
    </row>
    <row r="5407" spans="1:12" x14ac:dyDescent="0.3">
      <c r="A5407" t="s">
        <v>5413</v>
      </c>
      <c r="B5407" t="s">
        <v>10017</v>
      </c>
      <c r="C5407">
        <v>5</v>
      </c>
      <c r="D5407">
        <v>1.5</v>
      </c>
      <c r="E5407">
        <v>7.5</v>
      </c>
      <c r="F5407" t="s">
        <v>10018</v>
      </c>
      <c r="G5407" t="s">
        <v>10069</v>
      </c>
      <c r="H5407" s="6">
        <v>45145</v>
      </c>
      <c r="I5407">
        <f t="shared" si="168"/>
        <v>0</v>
      </c>
      <c r="J5407" t="str">
        <f t="shared" si="169"/>
        <v>Complete</v>
      </c>
      <c r="K5407">
        <f>COUNTIFS(RawData[Item], B5407,RawData[Quantity],C5407,RawData[Price Per Unit],D5407,RawData[Total Spent],E5407,RawData[Payment Method],F5407,RawData[Location],G5407,RawData[Transaction Date],H5407)</f>
        <v>1</v>
      </c>
      <c r="L5407"/>
    </row>
    <row r="5408" spans="1:12" x14ac:dyDescent="0.3">
      <c r="A5408" t="s">
        <v>5414</v>
      </c>
      <c r="B5408" t="s">
        <v>10013</v>
      </c>
      <c r="C5408">
        <v>1</v>
      </c>
      <c r="D5408">
        <v>4</v>
      </c>
      <c r="E5408">
        <v>4</v>
      </c>
      <c r="F5408" t="s">
        <v>10018</v>
      </c>
      <c r="G5408" t="s">
        <v>10102</v>
      </c>
      <c r="H5408" s="6">
        <v>45074</v>
      </c>
      <c r="I5408">
        <f t="shared" si="168"/>
        <v>1</v>
      </c>
      <c r="J5408" t="str">
        <f t="shared" si="169"/>
        <v>Complete</v>
      </c>
      <c r="K5408">
        <f>COUNTIFS(RawData[Item], B5408,RawData[Quantity],C5408,RawData[Price Per Unit],D5408,RawData[Total Spent],E5408,RawData[Payment Method],F5408,RawData[Location],G5408,RawData[Transaction Date],H5408)</f>
        <v>1</v>
      </c>
      <c r="L5408"/>
    </row>
    <row r="5409" spans="1:12" x14ac:dyDescent="0.3">
      <c r="A5409" t="s">
        <v>5415</v>
      </c>
      <c r="B5409" t="s">
        <v>10010</v>
      </c>
      <c r="C5409">
        <v>3</v>
      </c>
      <c r="D5409">
        <v>1</v>
      </c>
      <c r="E5409">
        <v>3</v>
      </c>
      <c r="F5409" t="s">
        <v>10069</v>
      </c>
      <c r="G5409" t="s">
        <v>10021</v>
      </c>
      <c r="H5409" s="6">
        <v>45127</v>
      </c>
      <c r="I5409">
        <f t="shared" si="168"/>
        <v>0</v>
      </c>
      <c r="J5409" t="str">
        <f t="shared" si="169"/>
        <v>Complete</v>
      </c>
      <c r="K5409">
        <f>COUNTIFS(RawData[Item], B5409,RawData[Quantity],C5409,RawData[Price Per Unit],D5409,RawData[Total Spent],E5409,RawData[Payment Method],F5409,RawData[Location],G5409,RawData[Transaction Date],H5409)</f>
        <v>1</v>
      </c>
      <c r="L5409"/>
    </row>
    <row r="5410" spans="1:12" x14ac:dyDescent="0.3">
      <c r="A5410" t="s">
        <v>5416</v>
      </c>
      <c r="B5410" t="s">
        <v>10011</v>
      </c>
      <c r="C5410">
        <v>2</v>
      </c>
      <c r="D5410">
        <v>5</v>
      </c>
      <c r="E5410">
        <v>10</v>
      </c>
      <c r="F5410" t="s">
        <v>10019</v>
      </c>
      <c r="G5410" t="s">
        <v>10021</v>
      </c>
      <c r="H5410" s="6">
        <v>45281</v>
      </c>
      <c r="I5410">
        <f t="shared" si="168"/>
        <v>0</v>
      </c>
      <c r="J5410" t="str">
        <f t="shared" si="169"/>
        <v>Complete</v>
      </c>
      <c r="K5410">
        <f>COUNTIFS(RawData[Item], B5410,RawData[Quantity],C5410,RawData[Price Per Unit],D5410,RawData[Total Spent],E5410,RawData[Payment Method],F5410,RawData[Location],G5410,RawData[Transaction Date],H5410)</f>
        <v>1</v>
      </c>
      <c r="L5410"/>
    </row>
    <row r="5411" spans="1:12" x14ac:dyDescent="0.3">
      <c r="A5411" t="s">
        <v>5417</v>
      </c>
      <c r="B5411" t="s">
        <v>10011</v>
      </c>
      <c r="C5411">
        <v>5</v>
      </c>
      <c r="D5411">
        <v>5</v>
      </c>
      <c r="E5411">
        <v>25</v>
      </c>
      <c r="F5411" t="s">
        <v>10020</v>
      </c>
      <c r="G5411" t="s">
        <v>10021</v>
      </c>
      <c r="H5411" s="6">
        <v>45066</v>
      </c>
      <c r="I5411">
        <f t="shared" si="168"/>
        <v>0</v>
      </c>
      <c r="J5411" t="str">
        <f t="shared" si="169"/>
        <v>Complete</v>
      </c>
      <c r="K5411">
        <f>COUNTIFS(RawData[Item], B5411,RawData[Quantity],C5411,RawData[Price Per Unit],D5411,RawData[Total Spent],E5411,RawData[Payment Method],F5411,RawData[Location],G5411,RawData[Transaction Date],H5411)</f>
        <v>1</v>
      </c>
      <c r="L5411"/>
    </row>
    <row r="5412" spans="1:12" x14ac:dyDescent="0.3">
      <c r="A5412" t="s">
        <v>5418</v>
      </c>
      <c r="B5412" t="s">
        <v>10011</v>
      </c>
      <c r="C5412">
        <v>2</v>
      </c>
      <c r="D5412">
        <v>5</v>
      </c>
      <c r="E5412">
        <v>10</v>
      </c>
      <c r="F5412" t="s">
        <v>10020</v>
      </c>
      <c r="G5412" t="s">
        <v>10102</v>
      </c>
      <c r="H5412" s="6">
        <v>45101</v>
      </c>
      <c r="I5412">
        <f t="shared" si="168"/>
        <v>0</v>
      </c>
      <c r="J5412" t="str">
        <f t="shared" si="169"/>
        <v>Complete</v>
      </c>
      <c r="K5412">
        <f>COUNTIFS(RawData[Item], B5412,RawData[Quantity],C5412,RawData[Price Per Unit],D5412,RawData[Total Spent],E5412,RawData[Payment Method],F5412,RawData[Location],G5412,RawData[Transaction Date],H5412)</f>
        <v>1</v>
      </c>
      <c r="L5412"/>
    </row>
    <row r="5413" spans="1:12" x14ac:dyDescent="0.3">
      <c r="A5413" t="s">
        <v>5419</v>
      </c>
      <c r="B5413" t="s">
        <v>10008</v>
      </c>
      <c r="C5413">
        <v>3</v>
      </c>
      <c r="D5413">
        <v>2</v>
      </c>
      <c r="E5413">
        <v>6</v>
      </c>
      <c r="F5413" t="s">
        <v>10020</v>
      </c>
      <c r="G5413" t="s">
        <v>10103</v>
      </c>
      <c r="H5413" s="6">
        <v>44957</v>
      </c>
      <c r="I5413">
        <f t="shared" si="168"/>
        <v>1</v>
      </c>
      <c r="J5413" t="str">
        <f t="shared" si="169"/>
        <v>Complete</v>
      </c>
      <c r="K5413">
        <f>COUNTIFS(RawData[Item], B5413,RawData[Quantity],C5413,RawData[Price Per Unit],D5413,RawData[Total Spent],E5413,RawData[Payment Method],F5413,RawData[Location],G5413,RawData[Transaction Date],H5413)</f>
        <v>1</v>
      </c>
      <c r="L5413"/>
    </row>
    <row r="5414" spans="1:12" x14ac:dyDescent="0.3">
      <c r="A5414" t="s">
        <v>5420</v>
      </c>
      <c r="B5414" t="s">
        <v>10016</v>
      </c>
      <c r="C5414">
        <v>5</v>
      </c>
      <c r="D5414">
        <v>3</v>
      </c>
      <c r="E5414">
        <v>15</v>
      </c>
      <c r="F5414" t="s">
        <v>10103</v>
      </c>
      <c r="G5414" t="s">
        <v>10102</v>
      </c>
      <c r="H5414" s="6">
        <v>45023</v>
      </c>
      <c r="I5414">
        <f t="shared" si="168"/>
        <v>1</v>
      </c>
      <c r="J5414" t="str">
        <f t="shared" si="169"/>
        <v>Complete</v>
      </c>
      <c r="K5414">
        <f>COUNTIFS(RawData[Item], B5414,RawData[Quantity],C5414,RawData[Price Per Unit],D5414,RawData[Total Spent],E5414,RawData[Payment Method],F5414,RawData[Location],G5414,RawData[Transaction Date],H5414)</f>
        <v>1</v>
      </c>
      <c r="L5414"/>
    </row>
    <row r="5415" spans="1:12" x14ac:dyDescent="0.3">
      <c r="A5415" t="s">
        <v>5421</v>
      </c>
      <c r="B5415" t="s">
        <v>10011</v>
      </c>
      <c r="C5415">
        <v>2</v>
      </c>
      <c r="D5415">
        <v>5</v>
      </c>
      <c r="E5415">
        <v>10</v>
      </c>
      <c r="F5415" t="s">
        <v>10020</v>
      </c>
      <c r="G5415" t="s">
        <v>10104</v>
      </c>
      <c r="H5415" s="6">
        <v>45076</v>
      </c>
      <c r="I5415">
        <f t="shared" si="168"/>
        <v>1</v>
      </c>
      <c r="J5415" t="str">
        <f t="shared" si="169"/>
        <v>Complete</v>
      </c>
      <c r="K5415">
        <f>COUNTIFS(RawData[Item], B5415,RawData[Quantity],C5415,RawData[Price Per Unit],D5415,RawData[Total Spent],E5415,RawData[Payment Method],F5415,RawData[Location],G5415,RawData[Transaction Date],H5415)</f>
        <v>1</v>
      </c>
      <c r="L5415"/>
    </row>
    <row r="5416" spans="1:12" x14ac:dyDescent="0.3">
      <c r="A5416" t="s">
        <v>5422</v>
      </c>
      <c r="B5416" t="s">
        <v>10016</v>
      </c>
      <c r="C5416">
        <v>3</v>
      </c>
      <c r="D5416">
        <v>3</v>
      </c>
      <c r="E5416">
        <v>9</v>
      </c>
      <c r="F5416" t="s">
        <v>10019</v>
      </c>
      <c r="G5416" t="s">
        <v>10021</v>
      </c>
      <c r="H5416" s="6">
        <v>44956</v>
      </c>
      <c r="I5416">
        <f t="shared" si="168"/>
        <v>0</v>
      </c>
      <c r="J5416" t="str">
        <f t="shared" si="169"/>
        <v>Complete</v>
      </c>
      <c r="K5416">
        <f>COUNTIFS(RawData[Item], B5416,RawData[Quantity],C5416,RawData[Price Per Unit],D5416,RawData[Total Spent],E5416,RawData[Payment Method],F5416,RawData[Location],G5416,RawData[Transaction Date],H5416)</f>
        <v>1</v>
      </c>
      <c r="L5416"/>
    </row>
    <row r="5417" spans="1:12" x14ac:dyDescent="0.3">
      <c r="A5417" t="s">
        <v>5423</v>
      </c>
      <c r="B5417" t="s">
        <v>10008</v>
      </c>
      <c r="C5417">
        <v>5</v>
      </c>
      <c r="D5417">
        <v>2</v>
      </c>
      <c r="E5417">
        <v>10</v>
      </c>
      <c r="F5417" t="s">
        <v>10018</v>
      </c>
      <c r="G5417" t="s">
        <v>10102</v>
      </c>
      <c r="H5417" s="6">
        <v>45073</v>
      </c>
      <c r="I5417">
        <f t="shared" si="168"/>
        <v>0</v>
      </c>
      <c r="J5417" t="str">
        <f t="shared" si="169"/>
        <v>Complete</v>
      </c>
      <c r="K5417">
        <f>COUNTIFS(RawData[Item], B5417,RawData[Quantity],C5417,RawData[Price Per Unit],D5417,RawData[Total Spent],E5417,RawData[Payment Method],F5417,RawData[Location],G5417,RawData[Transaction Date],H5417)</f>
        <v>1</v>
      </c>
      <c r="L5417"/>
    </row>
    <row r="5418" spans="1:12" x14ac:dyDescent="0.3">
      <c r="A5418" t="s">
        <v>5424</v>
      </c>
      <c r="B5418" t="s">
        <v>10017</v>
      </c>
      <c r="C5418">
        <v>3</v>
      </c>
      <c r="D5418">
        <v>1.5</v>
      </c>
      <c r="E5418">
        <v>4.5</v>
      </c>
      <c r="F5418" t="s">
        <v>10020</v>
      </c>
      <c r="G5418" t="s">
        <v>10021</v>
      </c>
      <c r="H5418" s="6">
        <v>45012</v>
      </c>
      <c r="I5418">
        <f t="shared" si="168"/>
        <v>0</v>
      </c>
      <c r="J5418" t="str">
        <f t="shared" si="169"/>
        <v>Complete</v>
      </c>
      <c r="K5418">
        <f>COUNTIFS(RawData[Item], B5418,RawData[Quantity],C5418,RawData[Price Per Unit],D5418,RawData[Total Spent],E5418,RawData[Payment Method],F5418,RawData[Location],G5418,RawData[Transaction Date],H5418)</f>
        <v>1</v>
      </c>
      <c r="L5418"/>
    </row>
    <row r="5419" spans="1:12" x14ac:dyDescent="0.3">
      <c r="A5419" t="s">
        <v>5425</v>
      </c>
      <c r="B5419" t="s">
        <v>10011</v>
      </c>
      <c r="C5419">
        <v>5</v>
      </c>
      <c r="D5419">
        <v>5</v>
      </c>
      <c r="E5419">
        <v>25</v>
      </c>
      <c r="F5419" t="s">
        <v>10019</v>
      </c>
      <c r="G5419" t="s">
        <v>10069</v>
      </c>
      <c r="H5419" s="6">
        <v>45067</v>
      </c>
      <c r="I5419">
        <f t="shared" si="168"/>
        <v>0</v>
      </c>
      <c r="J5419" t="str">
        <f t="shared" si="169"/>
        <v>Complete</v>
      </c>
      <c r="K5419">
        <f>COUNTIFS(RawData[Item], B5419,RawData[Quantity],C5419,RawData[Price Per Unit],D5419,RawData[Total Spent],E5419,RawData[Payment Method],F5419,RawData[Location],G5419,RawData[Transaction Date],H5419)</f>
        <v>1</v>
      </c>
      <c r="L5419"/>
    </row>
    <row r="5420" spans="1:12" x14ac:dyDescent="0.3">
      <c r="A5420" t="s">
        <v>5426</v>
      </c>
      <c r="B5420" t="s">
        <v>10011</v>
      </c>
      <c r="C5420">
        <v>3</v>
      </c>
      <c r="D5420">
        <v>5</v>
      </c>
      <c r="E5420">
        <v>15</v>
      </c>
      <c r="F5420" t="s">
        <v>10018</v>
      </c>
      <c r="G5420" t="s">
        <v>10021</v>
      </c>
      <c r="H5420" s="6">
        <v>45225</v>
      </c>
      <c r="I5420">
        <f t="shared" si="168"/>
        <v>0</v>
      </c>
      <c r="J5420" t="str">
        <f t="shared" si="169"/>
        <v>Complete</v>
      </c>
      <c r="K5420">
        <f>COUNTIFS(RawData[Item], B5420,RawData[Quantity],C5420,RawData[Price Per Unit],D5420,RawData[Total Spent],E5420,RawData[Payment Method],F5420,RawData[Location],G5420,RawData[Transaction Date],H5420)</f>
        <v>1</v>
      </c>
      <c r="L5420"/>
    </row>
    <row r="5421" spans="1:12" x14ac:dyDescent="0.3">
      <c r="A5421" t="s">
        <v>5427</v>
      </c>
      <c r="B5421" t="s">
        <v>10016</v>
      </c>
      <c r="C5421">
        <v>1</v>
      </c>
      <c r="D5421">
        <v>3</v>
      </c>
      <c r="E5421">
        <v>3</v>
      </c>
      <c r="F5421" t="s">
        <v>10069</v>
      </c>
      <c r="G5421" t="s">
        <v>10102</v>
      </c>
      <c r="H5421" s="6" t="s">
        <v>10112</v>
      </c>
      <c r="I5421">
        <f t="shared" si="168"/>
        <v>1</v>
      </c>
      <c r="J5421" t="str">
        <f t="shared" si="169"/>
        <v>Incomplete</v>
      </c>
      <c r="K5421">
        <f>COUNTIFS(RawData[Item], B5421,RawData[Quantity],C5421,RawData[Price Per Unit],D5421,RawData[Total Spent],E5421,RawData[Payment Method],F5421,RawData[Location],G5421,RawData[Transaction Date],H5421)</f>
        <v>1</v>
      </c>
      <c r="L5421"/>
    </row>
    <row r="5422" spans="1:12" x14ac:dyDescent="0.3">
      <c r="A5422" t="s">
        <v>5428</v>
      </c>
      <c r="B5422" t="s">
        <v>10014</v>
      </c>
      <c r="C5422">
        <v>2</v>
      </c>
      <c r="D5422">
        <v>4</v>
      </c>
      <c r="E5422">
        <v>8</v>
      </c>
      <c r="F5422" t="s">
        <v>10020</v>
      </c>
      <c r="G5422" t="s">
        <v>10021</v>
      </c>
      <c r="H5422" s="6">
        <v>45205</v>
      </c>
      <c r="I5422">
        <f t="shared" si="168"/>
        <v>0</v>
      </c>
      <c r="J5422" t="str">
        <f t="shared" si="169"/>
        <v>Complete</v>
      </c>
      <c r="K5422">
        <f>COUNTIFS(RawData[Item], B5422,RawData[Quantity],C5422,RawData[Price Per Unit],D5422,RawData[Total Spent],E5422,RawData[Payment Method],F5422,RawData[Location],G5422,RawData[Transaction Date],H5422)</f>
        <v>1</v>
      </c>
      <c r="L5422"/>
    </row>
    <row r="5423" spans="1:12" x14ac:dyDescent="0.3">
      <c r="A5423" t="s">
        <v>5429</v>
      </c>
      <c r="B5423" t="s">
        <v>10008</v>
      </c>
      <c r="C5423">
        <v>5</v>
      </c>
      <c r="D5423">
        <v>0</v>
      </c>
      <c r="E5423">
        <v>10</v>
      </c>
      <c r="F5423" t="s">
        <v>10018</v>
      </c>
      <c r="G5423" t="s">
        <v>10102</v>
      </c>
      <c r="H5423" s="6">
        <v>44996</v>
      </c>
      <c r="I5423">
        <f t="shared" si="168"/>
        <v>0</v>
      </c>
      <c r="J5423" t="str">
        <f t="shared" si="169"/>
        <v>Complete</v>
      </c>
      <c r="K5423">
        <f>COUNTIFS(RawData[Item], B5423,RawData[Quantity],C5423,RawData[Price Per Unit],D5423,RawData[Total Spent],E5423,RawData[Payment Method],F5423,RawData[Location],G5423,RawData[Transaction Date],H5423)</f>
        <v>1</v>
      </c>
      <c r="L5423"/>
    </row>
    <row r="5424" spans="1:12" x14ac:dyDescent="0.3">
      <c r="A5424" t="s">
        <v>5430</v>
      </c>
      <c r="B5424" t="s">
        <v>10016</v>
      </c>
      <c r="C5424">
        <v>4</v>
      </c>
      <c r="D5424">
        <v>3</v>
      </c>
      <c r="E5424">
        <v>12</v>
      </c>
      <c r="F5424" t="s">
        <v>10018</v>
      </c>
      <c r="G5424" t="s">
        <v>10069</v>
      </c>
      <c r="H5424" s="6">
        <v>45129</v>
      </c>
      <c r="I5424">
        <f t="shared" si="168"/>
        <v>0</v>
      </c>
      <c r="J5424" t="str">
        <f t="shared" si="169"/>
        <v>Complete</v>
      </c>
      <c r="K5424">
        <f>COUNTIFS(RawData[Item], B5424,RawData[Quantity],C5424,RawData[Price Per Unit],D5424,RawData[Total Spent],E5424,RawData[Payment Method],F5424,RawData[Location],G5424,RawData[Transaction Date],H5424)</f>
        <v>1</v>
      </c>
      <c r="L5424"/>
    </row>
    <row r="5425" spans="1:12" x14ac:dyDescent="0.3">
      <c r="A5425" t="s">
        <v>5431</v>
      </c>
      <c r="B5425" t="s">
        <v>10009</v>
      </c>
      <c r="C5425">
        <v>1</v>
      </c>
      <c r="D5425">
        <v>3</v>
      </c>
      <c r="E5425">
        <v>3</v>
      </c>
      <c r="F5425" t="s">
        <v>10018</v>
      </c>
      <c r="G5425" t="s">
        <v>10021</v>
      </c>
      <c r="H5425" s="6">
        <v>44998</v>
      </c>
      <c r="I5425">
        <f t="shared" si="168"/>
        <v>0</v>
      </c>
      <c r="J5425" t="str">
        <f t="shared" si="169"/>
        <v>Complete</v>
      </c>
      <c r="K5425">
        <f>COUNTIFS(RawData[Item], B5425,RawData[Quantity],C5425,RawData[Price Per Unit],D5425,RawData[Total Spent],E5425,RawData[Payment Method],F5425,RawData[Location],G5425,RawData[Transaction Date],H5425)</f>
        <v>1</v>
      </c>
      <c r="L5425"/>
    </row>
    <row r="5426" spans="1:12" x14ac:dyDescent="0.3">
      <c r="A5426" t="s">
        <v>5432</v>
      </c>
      <c r="B5426" t="s">
        <v>10010</v>
      </c>
      <c r="C5426">
        <v>4</v>
      </c>
      <c r="D5426">
        <v>1</v>
      </c>
      <c r="E5426">
        <v>4</v>
      </c>
      <c r="F5426" t="s">
        <v>10018</v>
      </c>
      <c r="G5426" t="s">
        <v>10069</v>
      </c>
      <c r="H5426" s="6">
        <v>45285</v>
      </c>
      <c r="I5426">
        <f t="shared" si="168"/>
        <v>0</v>
      </c>
      <c r="J5426" t="str">
        <f t="shared" si="169"/>
        <v>Complete</v>
      </c>
      <c r="K5426">
        <f>COUNTIFS(RawData[Item], B5426,RawData[Quantity],C5426,RawData[Price Per Unit],D5426,RawData[Total Spent],E5426,RawData[Payment Method],F5426,RawData[Location],G5426,RawData[Transaction Date],H5426)</f>
        <v>1</v>
      </c>
      <c r="L5426"/>
    </row>
    <row r="5427" spans="1:12" x14ac:dyDescent="0.3">
      <c r="A5427" t="s">
        <v>5433</v>
      </c>
      <c r="B5427" t="s">
        <v>10017</v>
      </c>
      <c r="C5427">
        <v>3</v>
      </c>
      <c r="D5427">
        <v>1.5</v>
      </c>
      <c r="E5427">
        <v>4.5</v>
      </c>
      <c r="F5427" t="s">
        <v>10069</v>
      </c>
      <c r="G5427" t="s">
        <v>10069</v>
      </c>
      <c r="H5427" s="6">
        <v>45289</v>
      </c>
      <c r="I5427">
        <f t="shared" si="168"/>
        <v>0</v>
      </c>
      <c r="J5427" t="str">
        <f t="shared" si="169"/>
        <v>Complete</v>
      </c>
      <c r="K5427">
        <f>COUNTIFS(RawData[Item], B5427,RawData[Quantity],C5427,RawData[Price Per Unit],D5427,RawData[Total Spent],E5427,RawData[Payment Method],F5427,RawData[Location],G5427,RawData[Transaction Date],H5427)</f>
        <v>2</v>
      </c>
      <c r="L5427"/>
    </row>
    <row r="5428" spans="1:12" x14ac:dyDescent="0.3">
      <c r="A5428" t="s">
        <v>5434</v>
      </c>
      <c r="B5428" t="s">
        <v>10012</v>
      </c>
      <c r="C5428" t="s">
        <v>10015</v>
      </c>
      <c r="D5428">
        <v>4</v>
      </c>
      <c r="E5428">
        <v>20</v>
      </c>
      <c r="F5428" t="s">
        <v>10019</v>
      </c>
      <c r="G5428" t="s">
        <v>10102</v>
      </c>
      <c r="H5428" s="6">
        <v>44998</v>
      </c>
      <c r="I5428">
        <f t="shared" si="168"/>
        <v>1</v>
      </c>
      <c r="J5428" t="str">
        <f t="shared" si="169"/>
        <v>Complete</v>
      </c>
      <c r="K5428">
        <f>COUNTIFS(RawData[Item], B5428,RawData[Quantity],C5428,RawData[Price Per Unit],D5428,RawData[Total Spent],E5428,RawData[Payment Method],F5428,RawData[Location],G5428,RawData[Transaction Date],H5428)</f>
        <v>1</v>
      </c>
      <c r="L5428"/>
    </row>
    <row r="5429" spans="1:12" x14ac:dyDescent="0.3">
      <c r="A5429" t="s">
        <v>5435</v>
      </c>
      <c r="B5429" t="s">
        <v>10014</v>
      </c>
      <c r="C5429">
        <v>1</v>
      </c>
      <c r="D5429">
        <v>4</v>
      </c>
      <c r="E5429">
        <v>4</v>
      </c>
      <c r="F5429" t="s">
        <v>10020</v>
      </c>
      <c r="G5429" t="s">
        <v>10102</v>
      </c>
      <c r="H5429" s="6">
        <v>45083</v>
      </c>
      <c r="I5429">
        <f t="shared" si="168"/>
        <v>0</v>
      </c>
      <c r="J5429" t="str">
        <f t="shared" si="169"/>
        <v>Complete</v>
      </c>
      <c r="K5429">
        <f>COUNTIFS(RawData[Item], B5429,RawData[Quantity],C5429,RawData[Price Per Unit],D5429,RawData[Total Spent],E5429,RawData[Payment Method],F5429,RawData[Location],G5429,RawData[Transaction Date],H5429)</f>
        <v>1</v>
      </c>
      <c r="L5429"/>
    </row>
    <row r="5430" spans="1:12" x14ac:dyDescent="0.3">
      <c r="A5430" t="s">
        <v>5436</v>
      </c>
      <c r="B5430" t="s">
        <v>10012</v>
      </c>
      <c r="C5430">
        <v>2</v>
      </c>
      <c r="D5430">
        <v>4</v>
      </c>
      <c r="E5430">
        <v>8</v>
      </c>
      <c r="F5430" t="s">
        <v>10018</v>
      </c>
      <c r="G5430" t="s">
        <v>10021</v>
      </c>
      <c r="H5430" s="6">
        <v>44935</v>
      </c>
      <c r="I5430">
        <f t="shared" si="168"/>
        <v>0</v>
      </c>
      <c r="J5430" t="str">
        <f t="shared" si="169"/>
        <v>Complete</v>
      </c>
      <c r="K5430">
        <f>COUNTIFS(RawData[Item], B5430,RawData[Quantity],C5430,RawData[Price Per Unit],D5430,RawData[Total Spent],E5430,RawData[Payment Method],F5430,RawData[Location],G5430,RawData[Transaction Date],H5430)</f>
        <v>1</v>
      </c>
      <c r="L5430"/>
    </row>
    <row r="5431" spans="1:12" x14ac:dyDescent="0.3">
      <c r="A5431" t="s">
        <v>5437</v>
      </c>
      <c r="B5431" t="s">
        <v>10017</v>
      </c>
      <c r="C5431">
        <v>5</v>
      </c>
      <c r="D5431">
        <v>1.5</v>
      </c>
      <c r="E5431">
        <v>7.5</v>
      </c>
      <c r="F5431" t="s">
        <v>10018</v>
      </c>
      <c r="G5431" t="s">
        <v>10102</v>
      </c>
      <c r="H5431" s="6">
        <v>45173</v>
      </c>
      <c r="I5431">
        <f t="shared" si="168"/>
        <v>0</v>
      </c>
      <c r="J5431" t="str">
        <f t="shared" si="169"/>
        <v>Complete</v>
      </c>
      <c r="K5431">
        <f>COUNTIFS(RawData[Item], B5431,RawData[Quantity],C5431,RawData[Price Per Unit],D5431,RawData[Total Spent],E5431,RawData[Payment Method],F5431,RawData[Location],G5431,RawData[Transaction Date],H5431)</f>
        <v>1</v>
      </c>
      <c r="L5431"/>
    </row>
    <row r="5432" spans="1:12" x14ac:dyDescent="0.3">
      <c r="A5432" t="s">
        <v>5438</v>
      </c>
      <c r="B5432" t="s">
        <v>10008</v>
      </c>
      <c r="C5432">
        <v>5</v>
      </c>
      <c r="D5432">
        <v>2</v>
      </c>
      <c r="E5432">
        <v>10</v>
      </c>
      <c r="F5432" t="s">
        <v>10020</v>
      </c>
      <c r="G5432" t="s">
        <v>10021</v>
      </c>
      <c r="H5432" s="6">
        <v>45278</v>
      </c>
      <c r="I5432">
        <f t="shared" si="168"/>
        <v>0</v>
      </c>
      <c r="J5432" t="str">
        <f t="shared" si="169"/>
        <v>Complete</v>
      </c>
      <c r="K5432">
        <f>COUNTIFS(RawData[Item], B5432,RawData[Quantity],C5432,RawData[Price Per Unit],D5432,RawData[Total Spent],E5432,RawData[Payment Method],F5432,RawData[Location],G5432,RawData[Transaction Date],H5432)</f>
        <v>1</v>
      </c>
      <c r="L5432"/>
    </row>
    <row r="5433" spans="1:12" x14ac:dyDescent="0.3">
      <c r="A5433" t="s">
        <v>5439</v>
      </c>
      <c r="B5433" t="s">
        <v>10017</v>
      </c>
      <c r="C5433">
        <v>2</v>
      </c>
      <c r="D5433">
        <v>1.5</v>
      </c>
      <c r="E5433">
        <v>3</v>
      </c>
      <c r="F5433" t="s">
        <v>10069</v>
      </c>
      <c r="G5433" t="s">
        <v>10069</v>
      </c>
      <c r="H5433" s="6">
        <v>45015</v>
      </c>
      <c r="I5433">
        <f t="shared" si="168"/>
        <v>0</v>
      </c>
      <c r="J5433" t="str">
        <f t="shared" si="169"/>
        <v>Complete</v>
      </c>
      <c r="K5433">
        <f>COUNTIFS(RawData[Item], B5433,RawData[Quantity],C5433,RawData[Price Per Unit],D5433,RawData[Total Spent],E5433,RawData[Payment Method],F5433,RawData[Location],G5433,RawData[Transaction Date],H5433)</f>
        <v>1</v>
      </c>
      <c r="L5433"/>
    </row>
    <row r="5434" spans="1:12" x14ac:dyDescent="0.3">
      <c r="A5434" t="s">
        <v>5440</v>
      </c>
      <c r="B5434" t="s">
        <v>10017</v>
      </c>
      <c r="C5434">
        <v>2</v>
      </c>
      <c r="D5434">
        <v>1.5</v>
      </c>
      <c r="E5434">
        <v>3</v>
      </c>
      <c r="F5434" t="s">
        <v>10020</v>
      </c>
      <c r="G5434" t="s">
        <v>10021</v>
      </c>
      <c r="H5434" s="6">
        <v>45184</v>
      </c>
      <c r="I5434">
        <f t="shared" si="168"/>
        <v>0</v>
      </c>
      <c r="J5434" t="str">
        <f t="shared" si="169"/>
        <v>Complete</v>
      </c>
      <c r="K5434">
        <f>COUNTIFS(RawData[Item], B5434,RawData[Quantity],C5434,RawData[Price Per Unit],D5434,RawData[Total Spent],E5434,RawData[Payment Method],F5434,RawData[Location],G5434,RawData[Transaction Date],H5434)</f>
        <v>1</v>
      </c>
      <c r="L5434"/>
    </row>
    <row r="5435" spans="1:12" x14ac:dyDescent="0.3">
      <c r="A5435" t="s">
        <v>5441</v>
      </c>
      <c r="B5435" t="s">
        <v>10017</v>
      </c>
      <c r="C5435">
        <v>3</v>
      </c>
      <c r="D5435">
        <v>1.5</v>
      </c>
      <c r="E5435">
        <v>4.5</v>
      </c>
      <c r="F5435" t="s">
        <v>10020</v>
      </c>
      <c r="G5435" t="s">
        <v>10021</v>
      </c>
      <c r="H5435" s="6">
        <v>45091</v>
      </c>
      <c r="I5435">
        <f t="shared" si="168"/>
        <v>0</v>
      </c>
      <c r="J5435" t="str">
        <f t="shared" si="169"/>
        <v>Complete</v>
      </c>
      <c r="K5435">
        <f>COUNTIFS(RawData[Item], B5435,RawData[Quantity],C5435,RawData[Price Per Unit],D5435,RawData[Total Spent],E5435,RawData[Payment Method],F5435,RawData[Location],G5435,RawData[Transaction Date],H5435)</f>
        <v>1</v>
      </c>
      <c r="L5435"/>
    </row>
    <row r="5436" spans="1:12" x14ac:dyDescent="0.3">
      <c r="A5436" t="s">
        <v>5442</v>
      </c>
      <c r="B5436" t="s">
        <v>10010</v>
      </c>
      <c r="C5436">
        <v>3</v>
      </c>
      <c r="D5436">
        <v>1</v>
      </c>
      <c r="E5436">
        <v>3</v>
      </c>
      <c r="F5436" t="s">
        <v>10018</v>
      </c>
      <c r="G5436" t="s">
        <v>10102</v>
      </c>
      <c r="H5436" s="6">
        <v>44947</v>
      </c>
      <c r="I5436">
        <f t="shared" si="168"/>
        <v>0</v>
      </c>
      <c r="J5436" t="str">
        <f t="shared" si="169"/>
        <v>Complete</v>
      </c>
      <c r="K5436">
        <f>COUNTIFS(RawData[Item], B5436,RawData[Quantity],C5436,RawData[Price Per Unit],D5436,RawData[Total Spent],E5436,RawData[Payment Method],F5436,RawData[Location],G5436,RawData[Transaction Date],H5436)</f>
        <v>1</v>
      </c>
      <c r="L5436"/>
    </row>
    <row r="5437" spans="1:12" x14ac:dyDescent="0.3">
      <c r="A5437" t="s">
        <v>5443</v>
      </c>
      <c r="B5437" t="s">
        <v>10011</v>
      </c>
      <c r="C5437">
        <v>1</v>
      </c>
      <c r="D5437">
        <v>5</v>
      </c>
      <c r="E5437">
        <v>5</v>
      </c>
      <c r="F5437" t="s">
        <v>10069</v>
      </c>
      <c r="G5437" t="s">
        <v>10021</v>
      </c>
      <c r="H5437" s="6">
        <v>45225</v>
      </c>
      <c r="I5437">
        <f t="shared" si="168"/>
        <v>0</v>
      </c>
      <c r="J5437" t="str">
        <f t="shared" si="169"/>
        <v>Complete</v>
      </c>
      <c r="K5437">
        <f>COUNTIFS(RawData[Item], B5437,RawData[Quantity],C5437,RawData[Price Per Unit],D5437,RawData[Total Spent],E5437,RawData[Payment Method],F5437,RawData[Location],G5437,RawData[Transaction Date],H5437)</f>
        <v>1</v>
      </c>
      <c r="L5437"/>
    </row>
    <row r="5438" spans="1:12" x14ac:dyDescent="0.3">
      <c r="A5438" t="s">
        <v>5444</v>
      </c>
      <c r="B5438" t="s">
        <v>10010</v>
      </c>
      <c r="C5438">
        <v>1</v>
      </c>
      <c r="D5438">
        <v>1</v>
      </c>
      <c r="E5438">
        <v>1</v>
      </c>
      <c r="F5438" t="s">
        <v>10018</v>
      </c>
      <c r="G5438" t="s">
        <v>10102</v>
      </c>
      <c r="H5438" s="6">
        <v>45187</v>
      </c>
      <c r="I5438">
        <f t="shared" si="168"/>
        <v>0</v>
      </c>
      <c r="J5438" t="str">
        <f t="shared" si="169"/>
        <v>Complete</v>
      </c>
      <c r="K5438">
        <f>COUNTIFS(RawData[Item], B5438,RawData[Quantity],C5438,RawData[Price Per Unit],D5438,RawData[Total Spent],E5438,RawData[Payment Method],F5438,RawData[Location],G5438,RawData[Transaction Date],H5438)</f>
        <v>1</v>
      </c>
      <c r="L5438"/>
    </row>
    <row r="5439" spans="1:12" x14ac:dyDescent="0.3">
      <c r="A5439" t="s">
        <v>5445</v>
      </c>
      <c r="B5439" t="s">
        <v>10014</v>
      </c>
      <c r="C5439">
        <v>4</v>
      </c>
      <c r="D5439">
        <v>4</v>
      </c>
      <c r="E5439">
        <v>0</v>
      </c>
      <c r="F5439" t="s">
        <v>10019</v>
      </c>
      <c r="G5439" t="s">
        <v>10069</v>
      </c>
      <c r="H5439" s="6">
        <v>45155</v>
      </c>
      <c r="I5439">
        <f t="shared" si="168"/>
        <v>0</v>
      </c>
      <c r="J5439" t="str">
        <f t="shared" si="169"/>
        <v>Complete</v>
      </c>
      <c r="K5439">
        <f>COUNTIFS(RawData[Item], B5439,RawData[Quantity],C5439,RawData[Price Per Unit],D5439,RawData[Total Spent],E5439,RawData[Payment Method],F5439,RawData[Location],G5439,RawData[Transaction Date],H5439)</f>
        <v>1</v>
      </c>
      <c r="L5439"/>
    </row>
    <row r="5440" spans="1:12" x14ac:dyDescent="0.3">
      <c r="A5440" t="s">
        <v>5446</v>
      </c>
      <c r="B5440" t="s">
        <v>10010</v>
      </c>
      <c r="C5440">
        <v>5</v>
      </c>
      <c r="D5440">
        <v>1</v>
      </c>
      <c r="E5440">
        <v>5</v>
      </c>
      <c r="F5440" t="s">
        <v>10104</v>
      </c>
      <c r="G5440" t="s">
        <v>10069</v>
      </c>
      <c r="H5440" s="6">
        <v>45117</v>
      </c>
      <c r="I5440">
        <f t="shared" si="168"/>
        <v>1</v>
      </c>
      <c r="J5440" t="str">
        <f t="shared" si="169"/>
        <v>Complete</v>
      </c>
      <c r="K5440">
        <f>COUNTIFS(RawData[Item], B5440,RawData[Quantity],C5440,RawData[Price Per Unit],D5440,RawData[Total Spent],E5440,RawData[Payment Method],F5440,RawData[Location],G5440,RawData[Transaction Date],H5440)</f>
        <v>1</v>
      </c>
      <c r="L5440"/>
    </row>
    <row r="5441" spans="1:12" x14ac:dyDescent="0.3">
      <c r="A5441" t="s">
        <v>5447</v>
      </c>
      <c r="B5441" t="s">
        <v>10009</v>
      </c>
      <c r="C5441">
        <v>3</v>
      </c>
      <c r="D5441">
        <v>3</v>
      </c>
      <c r="E5441">
        <v>9</v>
      </c>
      <c r="F5441" t="s">
        <v>10019</v>
      </c>
      <c r="G5441" t="s">
        <v>10069</v>
      </c>
      <c r="H5441" s="6">
        <v>45121</v>
      </c>
      <c r="I5441">
        <f t="shared" si="168"/>
        <v>0</v>
      </c>
      <c r="J5441" t="str">
        <f t="shared" si="169"/>
        <v>Complete</v>
      </c>
      <c r="K5441">
        <f>COUNTIFS(RawData[Item], B5441,RawData[Quantity],C5441,RawData[Price Per Unit],D5441,RawData[Total Spent],E5441,RawData[Payment Method],F5441,RawData[Location],G5441,RawData[Transaction Date],H5441)</f>
        <v>1</v>
      </c>
      <c r="L5441"/>
    </row>
    <row r="5442" spans="1:12" x14ac:dyDescent="0.3">
      <c r="A5442" t="s">
        <v>5448</v>
      </c>
      <c r="B5442" t="s">
        <v>10012</v>
      </c>
      <c r="C5442">
        <v>3</v>
      </c>
      <c r="D5442">
        <v>4</v>
      </c>
      <c r="E5442">
        <v>12</v>
      </c>
      <c r="F5442" t="s">
        <v>10104</v>
      </c>
      <c r="G5442" t="s">
        <v>10021</v>
      </c>
      <c r="H5442" s="6">
        <v>45102</v>
      </c>
      <c r="I5442">
        <f t="shared" ref="I5442:I5505" si="170">(B5442="Unknown")+(B5442="Error")+(C5442="Unknown")+(C5442="Error")+(D5442="Unknown")+(D5442="Error")+(E5442="Unknown")+(E5442="Error")+(F5442="Unknown")+(F5442="Error")+(G5442="Unknown")+(G5442="Error")+(H5442="No Date")</f>
        <v>1</v>
      </c>
      <c r="J5442" t="str">
        <f t="shared" ref="J5442:J5505" si="171">IF((H5442="No Date"),"Incomplete","Complete")</f>
        <v>Complete</v>
      </c>
      <c r="K5442">
        <f>COUNTIFS(RawData[Item], B5442,RawData[Quantity],C5442,RawData[Price Per Unit],D5442,RawData[Total Spent],E5442,RawData[Payment Method],F5442,RawData[Location],G5442,RawData[Transaction Date],H5442)</f>
        <v>1</v>
      </c>
      <c r="L5442"/>
    </row>
    <row r="5443" spans="1:12" x14ac:dyDescent="0.3">
      <c r="A5443" t="s">
        <v>5449</v>
      </c>
      <c r="B5443" t="s">
        <v>10014</v>
      </c>
      <c r="C5443">
        <v>5</v>
      </c>
      <c r="D5443">
        <v>4</v>
      </c>
      <c r="E5443">
        <v>20</v>
      </c>
      <c r="F5443" t="s">
        <v>10069</v>
      </c>
      <c r="G5443" t="s">
        <v>10069</v>
      </c>
      <c r="H5443" s="6">
        <v>45040</v>
      </c>
      <c r="I5443">
        <f t="shared" si="170"/>
        <v>0</v>
      </c>
      <c r="J5443" t="str">
        <f t="shared" si="171"/>
        <v>Complete</v>
      </c>
      <c r="K5443">
        <f>COUNTIFS(RawData[Item], B5443,RawData[Quantity],C5443,RawData[Price Per Unit],D5443,RawData[Total Spent],E5443,RawData[Payment Method],F5443,RawData[Location],G5443,RawData[Transaction Date],H5443)</f>
        <v>1</v>
      </c>
      <c r="L5443"/>
    </row>
    <row r="5444" spans="1:12" x14ac:dyDescent="0.3">
      <c r="A5444" t="s">
        <v>5450</v>
      </c>
      <c r="B5444" t="s">
        <v>10011</v>
      </c>
      <c r="C5444">
        <v>3</v>
      </c>
      <c r="D5444">
        <v>5</v>
      </c>
      <c r="E5444">
        <v>15</v>
      </c>
      <c r="F5444" t="s">
        <v>10069</v>
      </c>
      <c r="G5444" t="s">
        <v>10069</v>
      </c>
      <c r="H5444" s="6">
        <v>44990</v>
      </c>
      <c r="I5444">
        <f t="shared" si="170"/>
        <v>0</v>
      </c>
      <c r="J5444" t="str">
        <f t="shared" si="171"/>
        <v>Complete</v>
      </c>
      <c r="K5444">
        <f>COUNTIFS(RawData[Item], B5444,RawData[Quantity],C5444,RawData[Price Per Unit],D5444,RawData[Total Spent],E5444,RawData[Payment Method],F5444,RawData[Location],G5444,RawData[Transaction Date],H5444)</f>
        <v>1</v>
      </c>
      <c r="L5444"/>
    </row>
    <row r="5445" spans="1:12" x14ac:dyDescent="0.3">
      <c r="A5445" t="s">
        <v>5451</v>
      </c>
      <c r="B5445" t="s">
        <v>10012</v>
      </c>
      <c r="C5445">
        <v>2</v>
      </c>
      <c r="D5445">
        <v>4</v>
      </c>
      <c r="E5445" t="s">
        <v>10015</v>
      </c>
      <c r="F5445" t="s">
        <v>10019</v>
      </c>
      <c r="G5445" t="s">
        <v>10069</v>
      </c>
      <c r="H5445" s="6">
        <v>45148</v>
      </c>
      <c r="I5445">
        <f t="shared" si="170"/>
        <v>1</v>
      </c>
      <c r="J5445" t="str">
        <f t="shared" si="171"/>
        <v>Complete</v>
      </c>
      <c r="K5445">
        <f>COUNTIFS(RawData[Item], B5445,RawData[Quantity],C5445,RawData[Price Per Unit],D5445,RawData[Total Spent],E5445,RawData[Payment Method],F5445,RawData[Location],G5445,RawData[Transaction Date],H5445)</f>
        <v>1</v>
      </c>
      <c r="L5445"/>
    </row>
    <row r="5446" spans="1:12" x14ac:dyDescent="0.3">
      <c r="A5446" t="s">
        <v>5452</v>
      </c>
      <c r="B5446" t="s">
        <v>10017</v>
      </c>
      <c r="C5446" t="s">
        <v>10015</v>
      </c>
      <c r="D5446">
        <v>1.5</v>
      </c>
      <c r="E5446">
        <v>3</v>
      </c>
      <c r="F5446" t="s">
        <v>10018</v>
      </c>
      <c r="G5446" t="s">
        <v>10021</v>
      </c>
      <c r="H5446" s="6">
        <v>45123</v>
      </c>
      <c r="I5446">
        <f t="shared" si="170"/>
        <v>1</v>
      </c>
      <c r="J5446" t="str">
        <f t="shared" si="171"/>
        <v>Complete</v>
      </c>
      <c r="K5446">
        <f>COUNTIFS(RawData[Item], B5446,RawData[Quantity],C5446,RawData[Price Per Unit],D5446,RawData[Total Spent],E5446,RawData[Payment Method],F5446,RawData[Location],G5446,RawData[Transaction Date],H5446)</f>
        <v>1</v>
      </c>
      <c r="L5446"/>
    </row>
    <row r="5447" spans="1:12" x14ac:dyDescent="0.3">
      <c r="A5447" t="s">
        <v>5453</v>
      </c>
      <c r="B5447" t="s">
        <v>10012</v>
      </c>
      <c r="C5447">
        <v>2</v>
      </c>
      <c r="D5447">
        <v>4</v>
      </c>
      <c r="E5447">
        <v>8</v>
      </c>
      <c r="F5447" t="s">
        <v>10020</v>
      </c>
      <c r="G5447" t="s">
        <v>10021</v>
      </c>
      <c r="H5447" s="6">
        <v>45107</v>
      </c>
      <c r="I5447">
        <f t="shared" si="170"/>
        <v>0</v>
      </c>
      <c r="J5447" t="str">
        <f t="shared" si="171"/>
        <v>Complete</v>
      </c>
      <c r="K5447">
        <f>COUNTIFS(RawData[Item], B5447,RawData[Quantity],C5447,RawData[Price Per Unit],D5447,RawData[Total Spent],E5447,RawData[Payment Method],F5447,RawData[Location],G5447,RawData[Transaction Date],H5447)</f>
        <v>1</v>
      </c>
      <c r="L5447"/>
    </row>
    <row r="5448" spans="1:12" x14ac:dyDescent="0.3">
      <c r="A5448" t="s">
        <v>5454</v>
      </c>
      <c r="B5448" t="s">
        <v>10009</v>
      </c>
      <c r="C5448">
        <v>5</v>
      </c>
      <c r="D5448">
        <v>3</v>
      </c>
      <c r="E5448">
        <v>15</v>
      </c>
      <c r="F5448" t="s">
        <v>10020</v>
      </c>
      <c r="G5448" t="s">
        <v>10102</v>
      </c>
      <c r="H5448" s="6" t="s">
        <v>10112</v>
      </c>
      <c r="I5448">
        <f t="shared" si="170"/>
        <v>1</v>
      </c>
      <c r="J5448" t="str">
        <f t="shared" si="171"/>
        <v>Incomplete</v>
      </c>
      <c r="K5448">
        <f>COUNTIFS(RawData[Item], B5448,RawData[Quantity],C5448,RawData[Price Per Unit],D5448,RawData[Total Spent],E5448,RawData[Payment Method],F5448,RawData[Location],G5448,RawData[Transaction Date],H5448)</f>
        <v>1</v>
      </c>
      <c r="L5448"/>
    </row>
    <row r="5449" spans="1:12" x14ac:dyDescent="0.3">
      <c r="A5449" t="s">
        <v>5455</v>
      </c>
      <c r="B5449" t="s">
        <v>10011</v>
      </c>
      <c r="C5449">
        <v>2</v>
      </c>
      <c r="D5449">
        <v>5</v>
      </c>
      <c r="E5449">
        <v>10</v>
      </c>
      <c r="F5449" t="s">
        <v>10020</v>
      </c>
      <c r="G5449" t="s">
        <v>10021</v>
      </c>
      <c r="H5449" s="6">
        <v>45225</v>
      </c>
      <c r="I5449">
        <f t="shared" si="170"/>
        <v>0</v>
      </c>
      <c r="J5449" t="str">
        <f t="shared" si="171"/>
        <v>Complete</v>
      </c>
      <c r="K5449">
        <f>COUNTIFS(RawData[Item], B5449,RawData[Quantity],C5449,RawData[Price Per Unit],D5449,RawData[Total Spent],E5449,RawData[Payment Method],F5449,RawData[Location],G5449,RawData[Transaction Date],H5449)</f>
        <v>1</v>
      </c>
      <c r="L5449"/>
    </row>
    <row r="5450" spans="1:12" x14ac:dyDescent="0.3">
      <c r="A5450" t="s">
        <v>5456</v>
      </c>
      <c r="B5450" t="s">
        <v>10012</v>
      </c>
      <c r="C5450">
        <v>2</v>
      </c>
      <c r="D5450">
        <v>4</v>
      </c>
      <c r="E5450" t="s">
        <v>10013</v>
      </c>
      <c r="F5450" t="s">
        <v>10104</v>
      </c>
      <c r="G5450" t="s">
        <v>10102</v>
      </c>
      <c r="H5450" s="6">
        <v>45238</v>
      </c>
      <c r="I5450">
        <f t="shared" si="170"/>
        <v>2</v>
      </c>
      <c r="J5450" t="str">
        <f t="shared" si="171"/>
        <v>Complete</v>
      </c>
      <c r="K5450">
        <f>COUNTIFS(RawData[Item], B5450,RawData[Quantity],C5450,RawData[Price Per Unit],D5450,RawData[Total Spent],E5450,RawData[Payment Method],F5450,RawData[Location],G5450,RawData[Transaction Date],H5450)</f>
        <v>1</v>
      </c>
      <c r="L5450"/>
    </row>
    <row r="5451" spans="1:12" x14ac:dyDescent="0.3">
      <c r="A5451" t="s">
        <v>5457</v>
      </c>
      <c r="B5451" t="s">
        <v>10017</v>
      </c>
      <c r="C5451">
        <v>1</v>
      </c>
      <c r="D5451">
        <v>1.5</v>
      </c>
      <c r="E5451">
        <v>1.5</v>
      </c>
      <c r="F5451" t="s">
        <v>10020</v>
      </c>
      <c r="G5451" t="s">
        <v>10069</v>
      </c>
      <c r="H5451" s="6">
        <v>45212</v>
      </c>
      <c r="I5451">
        <f t="shared" si="170"/>
        <v>0</v>
      </c>
      <c r="J5451" t="str">
        <f t="shared" si="171"/>
        <v>Complete</v>
      </c>
      <c r="K5451">
        <f>COUNTIFS(RawData[Item], B5451,RawData[Quantity],C5451,RawData[Price Per Unit],D5451,RawData[Total Spent],E5451,RawData[Payment Method],F5451,RawData[Location],G5451,RawData[Transaction Date],H5451)</f>
        <v>1</v>
      </c>
      <c r="L5451"/>
    </row>
    <row r="5452" spans="1:12" x14ac:dyDescent="0.3">
      <c r="A5452" t="s">
        <v>5458</v>
      </c>
      <c r="B5452" t="s">
        <v>10013</v>
      </c>
      <c r="C5452">
        <v>4</v>
      </c>
      <c r="D5452">
        <v>3</v>
      </c>
      <c r="E5452">
        <v>12</v>
      </c>
      <c r="F5452" t="s">
        <v>10019</v>
      </c>
      <c r="G5452" t="s">
        <v>10102</v>
      </c>
      <c r="H5452" s="6">
        <v>45158</v>
      </c>
      <c r="I5452">
        <f t="shared" si="170"/>
        <v>1</v>
      </c>
      <c r="J5452" t="str">
        <f t="shared" si="171"/>
        <v>Complete</v>
      </c>
      <c r="K5452">
        <f>COUNTIFS(RawData[Item], B5452,RawData[Quantity],C5452,RawData[Price Per Unit],D5452,RawData[Total Spent],E5452,RawData[Payment Method],F5452,RawData[Location],G5452,RawData[Transaction Date],H5452)</f>
        <v>1</v>
      </c>
      <c r="L5452"/>
    </row>
    <row r="5453" spans="1:12" x14ac:dyDescent="0.3">
      <c r="A5453" t="s">
        <v>5459</v>
      </c>
      <c r="B5453" t="s">
        <v>10012</v>
      </c>
      <c r="C5453">
        <v>2</v>
      </c>
      <c r="D5453">
        <v>4</v>
      </c>
      <c r="E5453">
        <v>8</v>
      </c>
      <c r="F5453" t="s">
        <v>10069</v>
      </c>
      <c r="G5453" t="s">
        <v>10021</v>
      </c>
      <c r="H5453" s="6">
        <v>45233</v>
      </c>
      <c r="I5453">
        <f t="shared" si="170"/>
        <v>0</v>
      </c>
      <c r="J5453" t="str">
        <f t="shared" si="171"/>
        <v>Complete</v>
      </c>
      <c r="K5453">
        <f>COUNTIFS(RawData[Item], B5453,RawData[Quantity],C5453,RawData[Price Per Unit],D5453,RawData[Total Spent],E5453,RawData[Payment Method],F5453,RawData[Location],G5453,RawData[Transaction Date],H5453)</f>
        <v>1</v>
      </c>
      <c r="L5453"/>
    </row>
    <row r="5454" spans="1:12" x14ac:dyDescent="0.3">
      <c r="A5454" t="s">
        <v>5460</v>
      </c>
      <c r="B5454" t="s">
        <v>10012</v>
      </c>
      <c r="C5454">
        <v>4</v>
      </c>
      <c r="D5454" t="s">
        <v>10013</v>
      </c>
      <c r="E5454">
        <v>16</v>
      </c>
      <c r="F5454" t="s">
        <v>10104</v>
      </c>
      <c r="G5454" t="s">
        <v>10021</v>
      </c>
      <c r="H5454" s="6">
        <v>45169</v>
      </c>
      <c r="I5454">
        <f t="shared" si="170"/>
        <v>2</v>
      </c>
      <c r="J5454" t="str">
        <f t="shared" si="171"/>
        <v>Complete</v>
      </c>
      <c r="K5454">
        <f>COUNTIFS(RawData[Item], B5454,RawData[Quantity],C5454,RawData[Price Per Unit],D5454,RawData[Total Spent],E5454,RawData[Payment Method],F5454,RawData[Location],G5454,RawData[Transaction Date],H5454)</f>
        <v>1</v>
      </c>
      <c r="L5454"/>
    </row>
    <row r="5455" spans="1:12" x14ac:dyDescent="0.3">
      <c r="A5455" t="s">
        <v>5461</v>
      </c>
      <c r="B5455" t="s">
        <v>10014</v>
      </c>
      <c r="C5455">
        <v>1</v>
      </c>
      <c r="D5455">
        <v>4</v>
      </c>
      <c r="E5455">
        <v>4</v>
      </c>
      <c r="F5455" t="s">
        <v>10020</v>
      </c>
      <c r="G5455" t="s">
        <v>10102</v>
      </c>
      <c r="H5455" s="6">
        <v>44933</v>
      </c>
      <c r="I5455">
        <f t="shared" si="170"/>
        <v>0</v>
      </c>
      <c r="J5455" t="str">
        <f t="shared" si="171"/>
        <v>Complete</v>
      </c>
      <c r="K5455">
        <f>COUNTIFS(RawData[Item], B5455,RawData[Quantity],C5455,RawData[Price Per Unit],D5455,RawData[Total Spent],E5455,RawData[Payment Method],F5455,RawData[Location],G5455,RawData[Transaction Date],H5455)</f>
        <v>1</v>
      </c>
      <c r="L5455"/>
    </row>
    <row r="5456" spans="1:12" x14ac:dyDescent="0.3">
      <c r="A5456" t="s">
        <v>5462</v>
      </c>
      <c r="B5456" t="s">
        <v>10009</v>
      </c>
      <c r="C5456">
        <v>5</v>
      </c>
      <c r="D5456">
        <v>3</v>
      </c>
      <c r="E5456">
        <v>15</v>
      </c>
      <c r="F5456" t="s">
        <v>10104</v>
      </c>
      <c r="G5456" t="s">
        <v>10069</v>
      </c>
      <c r="H5456" s="6">
        <v>45269</v>
      </c>
      <c r="I5456">
        <f t="shared" si="170"/>
        <v>1</v>
      </c>
      <c r="J5456" t="str">
        <f t="shared" si="171"/>
        <v>Complete</v>
      </c>
      <c r="K5456">
        <f>COUNTIFS(RawData[Item], B5456,RawData[Quantity],C5456,RawData[Price Per Unit],D5456,RawData[Total Spent],E5456,RawData[Payment Method],F5456,RawData[Location],G5456,RawData[Transaction Date],H5456)</f>
        <v>1</v>
      </c>
      <c r="L5456"/>
    </row>
    <row r="5457" spans="1:12" x14ac:dyDescent="0.3">
      <c r="A5457" t="s">
        <v>5463</v>
      </c>
      <c r="B5457" t="s">
        <v>10011</v>
      </c>
      <c r="C5457">
        <v>4</v>
      </c>
      <c r="D5457">
        <v>5</v>
      </c>
      <c r="E5457">
        <v>20</v>
      </c>
      <c r="F5457" t="s">
        <v>10020</v>
      </c>
      <c r="G5457" t="s">
        <v>10021</v>
      </c>
      <c r="H5457" s="6">
        <v>45181</v>
      </c>
      <c r="I5457">
        <f t="shared" si="170"/>
        <v>0</v>
      </c>
      <c r="J5457" t="str">
        <f t="shared" si="171"/>
        <v>Complete</v>
      </c>
      <c r="K5457">
        <f>COUNTIFS(RawData[Item], B5457,RawData[Quantity],C5457,RawData[Price Per Unit],D5457,RawData[Total Spent],E5457,RawData[Payment Method],F5457,RawData[Location],G5457,RawData[Transaction Date],H5457)</f>
        <v>1</v>
      </c>
      <c r="L5457"/>
    </row>
    <row r="5458" spans="1:12" x14ac:dyDescent="0.3">
      <c r="A5458" t="s">
        <v>5464</v>
      </c>
      <c r="B5458" t="s">
        <v>10014</v>
      </c>
      <c r="C5458">
        <v>5</v>
      </c>
      <c r="D5458" t="s">
        <v>10013</v>
      </c>
      <c r="E5458">
        <v>20</v>
      </c>
      <c r="F5458" t="s">
        <v>10019</v>
      </c>
      <c r="G5458" t="s">
        <v>10102</v>
      </c>
      <c r="H5458" s="6">
        <v>45284</v>
      </c>
      <c r="I5458">
        <f t="shared" si="170"/>
        <v>1</v>
      </c>
      <c r="J5458" t="str">
        <f t="shared" si="171"/>
        <v>Complete</v>
      </c>
      <c r="K5458">
        <f>COUNTIFS(RawData[Item], B5458,RawData[Quantity],C5458,RawData[Price Per Unit],D5458,RawData[Total Spent],E5458,RawData[Payment Method],F5458,RawData[Location],G5458,RawData[Transaction Date],H5458)</f>
        <v>1</v>
      </c>
      <c r="L5458"/>
    </row>
    <row r="5459" spans="1:12" x14ac:dyDescent="0.3">
      <c r="A5459" t="s">
        <v>5465</v>
      </c>
      <c r="B5459" t="s">
        <v>10009</v>
      </c>
      <c r="C5459">
        <v>1</v>
      </c>
      <c r="D5459">
        <v>3</v>
      </c>
      <c r="E5459">
        <v>3</v>
      </c>
      <c r="F5459" t="s">
        <v>10020</v>
      </c>
      <c r="G5459" t="s">
        <v>10069</v>
      </c>
      <c r="H5459" s="6">
        <v>45103</v>
      </c>
      <c r="I5459">
        <f t="shared" si="170"/>
        <v>0</v>
      </c>
      <c r="J5459" t="str">
        <f t="shared" si="171"/>
        <v>Complete</v>
      </c>
      <c r="K5459">
        <f>COUNTIFS(RawData[Item], B5459,RawData[Quantity],C5459,RawData[Price Per Unit],D5459,RawData[Total Spent],E5459,RawData[Payment Method],F5459,RawData[Location],G5459,RawData[Transaction Date],H5459)</f>
        <v>1</v>
      </c>
      <c r="L5459"/>
    </row>
    <row r="5460" spans="1:12" x14ac:dyDescent="0.3">
      <c r="A5460" t="s">
        <v>5466</v>
      </c>
      <c r="B5460" t="s">
        <v>10009</v>
      </c>
      <c r="C5460">
        <v>1</v>
      </c>
      <c r="D5460">
        <v>3</v>
      </c>
      <c r="E5460">
        <v>3</v>
      </c>
      <c r="F5460" t="s">
        <v>10069</v>
      </c>
      <c r="G5460" t="s">
        <v>10104</v>
      </c>
      <c r="H5460" s="6">
        <v>45165</v>
      </c>
      <c r="I5460">
        <f t="shared" si="170"/>
        <v>1</v>
      </c>
      <c r="J5460" t="str">
        <f t="shared" si="171"/>
        <v>Complete</v>
      </c>
      <c r="K5460">
        <f>COUNTIFS(RawData[Item], B5460,RawData[Quantity],C5460,RawData[Price Per Unit],D5460,RawData[Total Spent],E5460,RawData[Payment Method],F5460,RawData[Location],G5460,RawData[Transaction Date],H5460)</f>
        <v>1</v>
      </c>
      <c r="L5460"/>
    </row>
    <row r="5461" spans="1:12" x14ac:dyDescent="0.3">
      <c r="A5461" t="s">
        <v>5467</v>
      </c>
      <c r="B5461" t="s">
        <v>10010</v>
      </c>
      <c r="C5461">
        <v>4</v>
      </c>
      <c r="D5461">
        <v>1</v>
      </c>
      <c r="E5461">
        <v>4</v>
      </c>
      <c r="F5461" t="s">
        <v>10019</v>
      </c>
      <c r="G5461" t="s">
        <v>10021</v>
      </c>
      <c r="H5461" s="6">
        <v>44967</v>
      </c>
      <c r="I5461">
        <f t="shared" si="170"/>
        <v>0</v>
      </c>
      <c r="J5461" t="str">
        <f t="shared" si="171"/>
        <v>Complete</v>
      </c>
      <c r="K5461">
        <f>COUNTIFS(RawData[Item], B5461,RawData[Quantity],C5461,RawData[Price Per Unit],D5461,RawData[Total Spent],E5461,RawData[Payment Method],F5461,RawData[Location],G5461,RawData[Transaction Date],H5461)</f>
        <v>1</v>
      </c>
      <c r="L5461"/>
    </row>
    <row r="5462" spans="1:12" x14ac:dyDescent="0.3">
      <c r="A5462" t="s">
        <v>5468</v>
      </c>
      <c r="B5462" t="s">
        <v>10069</v>
      </c>
      <c r="C5462">
        <v>2</v>
      </c>
      <c r="D5462">
        <v>4</v>
      </c>
      <c r="E5462">
        <v>8</v>
      </c>
      <c r="F5462" t="s">
        <v>10018</v>
      </c>
      <c r="G5462" t="s">
        <v>10069</v>
      </c>
      <c r="H5462" s="6">
        <v>45287</v>
      </c>
      <c r="I5462">
        <f t="shared" si="170"/>
        <v>0</v>
      </c>
      <c r="J5462" t="str">
        <f t="shared" si="171"/>
        <v>Complete</v>
      </c>
      <c r="K5462">
        <f>COUNTIFS(RawData[Item], B5462,RawData[Quantity],C5462,RawData[Price Per Unit],D5462,RawData[Total Spent],E5462,RawData[Payment Method],F5462,RawData[Location],G5462,RawData[Transaction Date],H5462)</f>
        <v>1</v>
      </c>
      <c r="L5462"/>
    </row>
    <row r="5463" spans="1:12" x14ac:dyDescent="0.3">
      <c r="A5463" t="s">
        <v>5469</v>
      </c>
      <c r="B5463" t="s">
        <v>10009</v>
      </c>
      <c r="C5463">
        <v>3</v>
      </c>
      <c r="D5463">
        <v>3</v>
      </c>
      <c r="E5463">
        <v>9</v>
      </c>
      <c r="F5463" t="s">
        <v>10019</v>
      </c>
      <c r="G5463" t="s">
        <v>10069</v>
      </c>
      <c r="H5463" s="6">
        <v>44993</v>
      </c>
      <c r="I5463">
        <f t="shared" si="170"/>
        <v>0</v>
      </c>
      <c r="J5463" t="str">
        <f t="shared" si="171"/>
        <v>Complete</v>
      </c>
      <c r="K5463">
        <f>COUNTIFS(RawData[Item], B5463,RawData[Quantity],C5463,RawData[Price Per Unit],D5463,RawData[Total Spent],E5463,RawData[Payment Method],F5463,RawData[Location],G5463,RawData[Transaction Date],H5463)</f>
        <v>1</v>
      </c>
      <c r="L5463"/>
    </row>
    <row r="5464" spans="1:12" x14ac:dyDescent="0.3">
      <c r="A5464" t="s">
        <v>5470</v>
      </c>
      <c r="B5464" t="s">
        <v>10012</v>
      </c>
      <c r="C5464">
        <v>2</v>
      </c>
      <c r="D5464">
        <v>4</v>
      </c>
      <c r="E5464">
        <v>8</v>
      </c>
      <c r="F5464" t="s">
        <v>10103</v>
      </c>
      <c r="G5464" t="s">
        <v>10069</v>
      </c>
      <c r="H5464" s="6">
        <v>45227</v>
      </c>
      <c r="I5464">
        <f t="shared" si="170"/>
        <v>1</v>
      </c>
      <c r="J5464" t="str">
        <f t="shared" si="171"/>
        <v>Complete</v>
      </c>
      <c r="K5464">
        <f>COUNTIFS(RawData[Item], B5464,RawData[Quantity],C5464,RawData[Price Per Unit],D5464,RawData[Total Spent],E5464,RawData[Payment Method],F5464,RawData[Location],G5464,RawData[Transaction Date],H5464)</f>
        <v>1</v>
      </c>
      <c r="L5464"/>
    </row>
    <row r="5465" spans="1:12" x14ac:dyDescent="0.3">
      <c r="A5465" t="s">
        <v>5471</v>
      </c>
      <c r="B5465" t="s">
        <v>10016</v>
      </c>
      <c r="C5465">
        <v>0</v>
      </c>
      <c r="D5465">
        <v>3</v>
      </c>
      <c r="E5465">
        <v>6</v>
      </c>
      <c r="F5465" t="s">
        <v>10018</v>
      </c>
      <c r="G5465" t="s">
        <v>10102</v>
      </c>
      <c r="H5465" s="6">
        <v>45030</v>
      </c>
      <c r="I5465">
        <f t="shared" si="170"/>
        <v>0</v>
      </c>
      <c r="J5465" t="str">
        <f t="shared" si="171"/>
        <v>Complete</v>
      </c>
      <c r="K5465">
        <f>COUNTIFS(RawData[Item], B5465,RawData[Quantity],C5465,RawData[Price Per Unit],D5465,RawData[Total Spent],E5465,RawData[Payment Method],F5465,RawData[Location],G5465,RawData[Transaction Date],H5465)</f>
        <v>1</v>
      </c>
      <c r="L5465"/>
    </row>
    <row r="5466" spans="1:12" x14ac:dyDescent="0.3">
      <c r="A5466" t="s">
        <v>5472</v>
      </c>
      <c r="B5466" t="s">
        <v>10008</v>
      </c>
      <c r="C5466">
        <v>5</v>
      </c>
      <c r="D5466">
        <v>2</v>
      </c>
      <c r="E5466">
        <v>10</v>
      </c>
      <c r="F5466" t="s">
        <v>10069</v>
      </c>
      <c r="G5466" t="s">
        <v>10021</v>
      </c>
      <c r="H5466" s="6">
        <v>45148</v>
      </c>
      <c r="I5466">
        <f t="shared" si="170"/>
        <v>0</v>
      </c>
      <c r="J5466" t="str">
        <f t="shared" si="171"/>
        <v>Complete</v>
      </c>
      <c r="K5466">
        <f>COUNTIFS(RawData[Item], B5466,RawData[Quantity],C5466,RawData[Price Per Unit],D5466,RawData[Total Spent],E5466,RawData[Payment Method],F5466,RawData[Location],G5466,RawData[Transaction Date],H5466)</f>
        <v>1</v>
      </c>
      <c r="L5466"/>
    </row>
    <row r="5467" spans="1:12" x14ac:dyDescent="0.3">
      <c r="A5467" t="s">
        <v>5473</v>
      </c>
      <c r="B5467" t="s">
        <v>10010</v>
      </c>
      <c r="C5467">
        <v>2</v>
      </c>
      <c r="D5467">
        <v>1</v>
      </c>
      <c r="E5467">
        <v>2</v>
      </c>
      <c r="F5467" t="s">
        <v>10069</v>
      </c>
      <c r="G5467" t="s">
        <v>10069</v>
      </c>
      <c r="H5467" s="6">
        <v>45067</v>
      </c>
      <c r="I5467">
        <f t="shared" si="170"/>
        <v>0</v>
      </c>
      <c r="J5467" t="str">
        <f t="shared" si="171"/>
        <v>Complete</v>
      </c>
      <c r="K5467">
        <f>COUNTIFS(RawData[Item], B5467,RawData[Quantity],C5467,RawData[Price Per Unit],D5467,RawData[Total Spent],E5467,RawData[Payment Method],F5467,RawData[Location],G5467,RawData[Transaction Date],H5467)</f>
        <v>1</v>
      </c>
      <c r="L5467"/>
    </row>
    <row r="5468" spans="1:12" x14ac:dyDescent="0.3">
      <c r="A5468" t="s">
        <v>5474</v>
      </c>
      <c r="B5468" t="s">
        <v>10014</v>
      </c>
      <c r="C5468">
        <v>5</v>
      </c>
      <c r="D5468">
        <v>4</v>
      </c>
      <c r="E5468">
        <v>20</v>
      </c>
      <c r="F5468" t="s">
        <v>10019</v>
      </c>
      <c r="G5468" t="s">
        <v>10069</v>
      </c>
      <c r="H5468" s="6">
        <v>44991</v>
      </c>
      <c r="I5468">
        <f t="shared" si="170"/>
        <v>0</v>
      </c>
      <c r="J5468" t="str">
        <f t="shared" si="171"/>
        <v>Complete</v>
      </c>
      <c r="K5468">
        <f>COUNTIFS(RawData[Item], B5468,RawData[Quantity],C5468,RawData[Price Per Unit],D5468,RawData[Total Spent],E5468,RawData[Payment Method],F5468,RawData[Location],G5468,RawData[Transaction Date],H5468)</f>
        <v>1</v>
      </c>
      <c r="L5468"/>
    </row>
    <row r="5469" spans="1:12" x14ac:dyDescent="0.3">
      <c r="A5469" t="s">
        <v>5475</v>
      </c>
      <c r="B5469" t="s">
        <v>10011</v>
      </c>
      <c r="C5469">
        <v>5</v>
      </c>
      <c r="D5469">
        <v>5</v>
      </c>
      <c r="E5469">
        <v>25</v>
      </c>
      <c r="F5469" t="s">
        <v>10020</v>
      </c>
      <c r="G5469" t="s">
        <v>10021</v>
      </c>
      <c r="H5469" s="6">
        <v>45237</v>
      </c>
      <c r="I5469">
        <f t="shared" si="170"/>
        <v>0</v>
      </c>
      <c r="J5469" t="str">
        <f t="shared" si="171"/>
        <v>Complete</v>
      </c>
      <c r="K5469">
        <f>COUNTIFS(RawData[Item], B5469,RawData[Quantity],C5469,RawData[Price Per Unit],D5469,RawData[Total Spent],E5469,RawData[Payment Method],F5469,RawData[Location],G5469,RawData[Transaction Date],H5469)</f>
        <v>1</v>
      </c>
      <c r="L5469"/>
    </row>
    <row r="5470" spans="1:12" x14ac:dyDescent="0.3">
      <c r="A5470" t="s">
        <v>5476</v>
      </c>
      <c r="B5470" t="s">
        <v>10010</v>
      </c>
      <c r="C5470">
        <v>2</v>
      </c>
      <c r="D5470">
        <v>1</v>
      </c>
      <c r="E5470">
        <v>2</v>
      </c>
      <c r="F5470" t="s">
        <v>10019</v>
      </c>
      <c r="G5470" t="s">
        <v>10069</v>
      </c>
      <c r="H5470" s="6">
        <v>45152</v>
      </c>
      <c r="I5470">
        <f t="shared" si="170"/>
        <v>0</v>
      </c>
      <c r="J5470" t="str">
        <f t="shared" si="171"/>
        <v>Complete</v>
      </c>
      <c r="K5470">
        <f>COUNTIFS(RawData[Item], B5470,RawData[Quantity],C5470,RawData[Price Per Unit],D5470,RawData[Total Spent],E5470,RawData[Payment Method],F5470,RawData[Location],G5470,RawData[Transaction Date],H5470)</f>
        <v>1</v>
      </c>
      <c r="L5470"/>
    </row>
    <row r="5471" spans="1:12" x14ac:dyDescent="0.3">
      <c r="A5471" t="s">
        <v>5477</v>
      </c>
      <c r="B5471" t="s">
        <v>10009</v>
      </c>
      <c r="C5471">
        <v>3</v>
      </c>
      <c r="D5471">
        <v>3</v>
      </c>
      <c r="E5471">
        <v>9</v>
      </c>
      <c r="F5471" t="s">
        <v>10069</v>
      </c>
      <c r="G5471" t="s">
        <v>10102</v>
      </c>
      <c r="H5471" s="6">
        <v>45255</v>
      </c>
      <c r="I5471">
        <f t="shared" si="170"/>
        <v>0</v>
      </c>
      <c r="J5471" t="str">
        <f t="shared" si="171"/>
        <v>Complete</v>
      </c>
      <c r="K5471">
        <f>COUNTIFS(RawData[Item], B5471,RawData[Quantity],C5471,RawData[Price Per Unit],D5471,RawData[Total Spent],E5471,RawData[Payment Method],F5471,RawData[Location],G5471,RawData[Transaction Date],H5471)</f>
        <v>1</v>
      </c>
      <c r="L5471"/>
    </row>
    <row r="5472" spans="1:12" x14ac:dyDescent="0.3">
      <c r="A5472" t="s">
        <v>5478</v>
      </c>
      <c r="B5472" t="s">
        <v>10014</v>
      </c>
      <c r="C5472">
        <v>5</v>
      </c>
      <c r="D5472">
        <v>4</v>
      </c>
      <c r="E5472">
        <v>20</v>
      </c>
      <c r="F5472" t="s">
        <v>10069</v>
      </c>
      <c r="G5472" t="s">
        <v>10069</v>
      </c>
      <c r="H5472" s="6" t="s">
        <v>10112</v>
      </c>
      <c r="I5472">
        <f t="shared" si="170"/>
        <v>1</v>
      </c>
      <c r="J5472" t="str">
        <f t="shared" si="171"/>
        <v>Incomplete</v>
      </c>
      <c r="K5472">
        <f>COUNTIFS(RawData[Item], B5472,RawData[Quantity],C5472,RawData[Price Per Unit],D5472,RawData[Total Spent],E5472,RawData[Payment Method],F5472,RawData[Location],G5472,RawData[Transaction Date],H5472)</f>
        <v>2</v>
      </c>
      <c r="L5472"/>
    </row>
    <row r="5473" spans="1:12" x14ac:dyDescent="0.3">
      <c r="A5473" t="s">
        <v>5479</v>
      </c>
      <c r="B5473" t="s">
        <v>10009</v>
      </c>
      <c r="C5473">
        <v>5</v>
      </c>
      <c r="D5473">
        <v>3</v>
      </c>
      <c r="E5473">
        <v>15</v>
      </c>
      <c r="F5473" t="s">
        <v>10069</v>
      </c>
      <c r="G5473" t="s">
        <v>10021</v>
      </c>
      <c r="H5473" s="6" t="s">
        <v>10112</v>
      </c>
      <c r="I5473">
        <f t="shared" si="170"/>
        <v>1</v>
      </c>
      <c r="J5473" t="str">
        <f t="shared" si="171"/>
        <v>Incomplete</v>
      </c>
      <c r="K5473">
        <f>COUNTIFS(RawData[Item], B5473,RawData[Quantity],C5473,RawData[Price Per Unit],D5473,RawData[Total Spent],E5473,RawData[Payment Method],F5473,RawData[Location],G5473,RawData[Transaction Date],H5473)</f>
        <v>2</v>
      </c>
      <c r="L5473"/>
    </row>
    <row r="5474" spans="1:12" x14ac:dyDescent="0.3">
      <c r="A5474" t="s">
        <v>5480</v>
      </c>
      <c r="B5474" t="s">
        <v>10014</v>
      </c>
      <c r="C5474">
        <v>5</v>
      </c>
      <c r="D5474">
        <v>4</v>
      </c>
      <c r="E5474">
        <v>20</v>
      </c>
      <c r="F5474" t="s">
        <v>10020</v>
      </c>
      <c r="G5474" t="s">
        <v>10021</v>
      </c>
      <c r="H5474" s="6">
        <v>45046</v>
      </c>
      <c r="I5474">
        <f t="shared" si="170"/>
        <v>0</v>
      </c>
      <c r="J5474" t="str">
        <f t="shared" si="171"/>
        <v>Complete</v>
      </c>
      <c r="K5474">
        <f>COUNTIFS(RawData[Item], B5474,RawData[Quantity],C5474,RawData[Price Per Unit],D5474,RawData[Total Spent],E5474,RawData[Payment Method],F5474,RawData[Location],G5474,RawData[Transaction Date],H5474)</f>
        <v>2</v>
      </c>
      <c r="L5474"/>
    </row>
    <row r="5475" spans="1:12" x14ac:dyDescent="0.3">
      <c r="A5475" t="s">
        <v>5481</v>
      </c>
      <c r="B5475" t="s">
        <v>10010</v>
      </c>
      <c r="C5475">
        <v>1</v>
      </c>
      <c r="D5475">
        <v>1</v>
      </c>
      <c r="E5475">
        <v>1</v>
      </c>
      <c r="F5475" t="s">
        <v>10019</v>
      </c>
      <c r="G5475" t="s">
        <v>10069</v>
      </c>
      <c r="H5475" s="6">
        <v>45060</v>
      </c>
      <c r="I5475">
        <f t="shared" si="170"/>
        <v>0</v>
      </c>
      <c r="J5475" t="str">
        <f t="shared" si="171"/>
        <v>Complete</v>
      </c>
      <c r="K5475">
        <f>COUNTIFS(RawData[Item], B5475,RawData[Quantity],C5475,RawData[Price Per Unit],D5475,RawData[Total Spent],E5475,RawData[Payment Method],F5475,RawData[Location],G5475,RawData[Transaction Date],H5475)</f>
        <v>1</v>
      </c>
      <c r="L5475"/>
    </row>
    <row r="5476" spans="1:12" x14ac:dyDescent="0.3">
      <c r="A5476" t="s">
        <v>5482</v>
      </c>
      <c r="B5476" t="s">
        <v>10014</v>
      </c>
      <c r="C5476">
        <v>1</v>
      </c>
      <c r="D5476">
        <v>4</v>
      </c>
      <c r="E5476">
        <v>4</v>
      </c>
      <c r="F5476" t="s">
        <v>10069</v>
      </c>
      <c r="G5476" t="s">
        <v>10021</v>
      </c>
      <c r="H5476" s="6">
        <v>44982</v>
      </c>
      <c r="I5476">
        <f t="shared" si="170"/>
        <v>0</v>
      </c>
      <c r="J5476" t="str">
        <f t="shared" si="171"/>
        <v>Complete</v>
      </c>
      <c r="K5476">
        <f>COUNTIFS(RawData[Item], B5476,RawData[Quantity],C5476,RawData[Price Per Unit],D5476,RawData[Total Spent],E5476,RawData[Payment Method],F5476,RawData[Location],G5476,RawData[Transaction Date],H5476)</f>
        <v>1</v>
      </c>
      <c r="L5476"/>
    </row>
    <row r="5477" spans="1:12" x14ac:dyDescent="0.3">
      <c r="A5477" t="s">
        <v>5483</v>
      </c>
      <c r="B5477" t="s">
        <v>10012</v>
      </c>
      <c r="C5477">
        <v>5</v>
      </c>
      <c r="D5477">
        <v>4</v>
      </c>
      <c r="E5477">
        <v>20</v>
      </c>
      <c r="F5477" t="s">
        <v>10020</v>
      </c>
      <c r="G5477" t="s">
        <v>10069</v>
      </c>
      <c r="H5477" s="6">
        <v>44990</v>
      </c>
      <c r="I5477">
        <f t="shared" si="170"/>
        <v>0</v>
      </c>
      <c r="J5477" t="str">
        <f t="shared" si="171"/>
        <v>Complete</v>
      </c>
      <c r="K5477">
        <f>COUNTIFS(RawData[Item], B5477,RawData[Quantity],C5477,RawData[Price Per Unit],D5477,RawData[Total Spent],E5477,RawData[Payment Method],F5477,RawData[Location],G5477,RawData[Transaction Date],H5477)</f>
        <v>1</v>
      </c>
      <c r="L5477"/>
    </row>
    <row r="5478" spans="1:12" x14ac:dyDescent="0.3">
      <c r="A5478" t="s">
        <v>5484</v>
      </c>
      <c r="B5478" t="s">
        <v>10009</v>
      </c>
      <c r="C5478">
        <v>2</v>
      </c>
      <c r="D5478">
        <v>3</v>
      </c>
      <c r="E5478">
        <v>6</v>
      </c>
      <c r="F5478" t="s">
        <v>10069</v>
      </c>
      <c r="G5478" t="s">
        <v>10102</v>
      </c>
      <c r="H5478" s="6">
        <v>45090</v>
      </c>
      <c r="I5478">
        <f t="shared" si="170"/>
        <v>0</v>
      </c>
      <c r="J5478" t="str">
        <f t="shared" si="171"/>
        <v>Complete</v>
      </c>
      <c r="K5478">
        <f>COUNTIFS(RawData[Item], B5478,RawData[Quantity],C5478,RawData[Price Per Unit],D5478,RawData[Total Spent],E5478,RawData[Payment Method],F5478,RawData[Location],G5478,RawData[Transaction Date],H5478)</f>
        <v>1</v>
      </c>
      <c r="L5478"/>
    </row>
    <row r="5479" spans="1:12" x14ac:dyDescent="0.3">
      <c r="A5479" t="s">
        <v>5485</v>
      </c>
      <c r="B5479" t="s">
        <v>10014</v>
      </c>
      <c r="C5479">
        <v>1</v>
      </c>
      <c r="D5479">
        <v>4</v>
      </c>
      <c r="E5479">
        <v>4</v>
      </c>
      <c r="F5479" t="s">
        <v>10069</v>
      </c>
      <c r="G5479" t="s">
        <v>10102</v>
      </c>
      <c r="H5479" s="6">
        <v>45109</v>
      </c>
      <c r="I5479">
        <f t="shared" si="170"/>
        <v>0</v>
      </c>
      <c r="J5479" t="str">
        <f t="shared" si="171"/>
        <v>Complete</v>
      </c>
      <c r="K5479">
        <f>COUNTIFS(RawData[Item], B5479,RawData[Quantity],C5479,RawData[Price Per Unit],D5479,RawData[Total Spent],E5479,RawData[Payment Method],F5479,RawData[Location],G5479,RawData[Transaction Date],H5479)</f>
        <v>1</v>
      </c>
      <c r="L5479"/>
    </row>
    <row r="5480" spans="1:12" x14ac:dyDescent="0.3">
      <c r="A5480" t="s">
        <v>5486</v>
      </c>
      <c r="B5480" t="s">
        <v>10017</v>
      </c>
      <c r="C5480">
        <v>2</v>
      </c>
      <c r="D5480">
        <v>1.5</v>
      </c>
      <c r="E5480">
        <v>3</v>
      </c>
      <c r="F5480" t="s">
        <v>10069</v>
      </c>
      <c r="G5480" t="s">
        <v>10021</v>
      </c>
      <c r="H5480" s="6">
        <v>44948</v>
      </c>
      <c r="I5480">
        <f t="shared" si="170"/>
        <v>0</v>
      </c>
      <c r="J5480" t="str">
        <f t="shared" si="171"/>
        <v>Complete</v>
      </c>
      <c r="K5480">
        <f>COUNTIFS(RawData[Item], B5480,RawData[Quantity],C5480,RawData[Price Per Unit],D5480,RawData[Total Spent],E5480,RawData[Payment Method],F5480,RawData[Location],G5480,RawData[Transaction Date],H5480)</f>
        <v>1</v>
      </c>
      <c r="L5480"/>
    </row>
    <row r="5481" spans="1:12" x14ac:dyDescent="0.3">
      <c r="A5481" t="s">
        <v>5487</v>
      </c>
      <c r="B5481" t="s">
        <v>10014</v>
      </c>
      <c r="C5481">
        <v>3</v>
      </c>
      <c r="D5481">
        <v>4</v>
      </c>
      <c r="E5481">
        <v>12</v>
      </c>
      <c r="F5481" t="s">
        <v>10018</v>
      </c>
      <c r="G5481" t="s">
        <v>10102</v>
      </c>
      <c r="H5481" s="6">
        <v>44942</v>
      </c>
      <c r="I5481">
        <f t="shared" si="170"/>
        <v>0</v>
      </c>
      <c r="J5481" t="str">
        <f t="shared" si="171"/>
        <v>Complete</v>
      </c>
      <c r="K5481">
        <f>COUNTIFS(RawData[Item], B5481,RawData[Quantity],C5481,RawData[Price Per Unit],D5481,RawData[Total Spent],E5481,RawData[Payment Method],F5481,RawData[Location],G5481,RawData[Transaction Date],H5481)</f>
        <v>1</v>
      </c>
      <c r="L5481"/>
    </row>
    <row r="5482" spans="1:12" x14ac:dyDescent="0.3">
      <c r="A5482" t="s">
        <v>5488</v>
      </c>
      <c r="B5482" t="s">
        <v>10011</v>
      </c>
      <c r="C5482">
        <v>4</v>
      </c>
      <c r="D5482">
        <v>5</v>
      </c>
      <c r="E5482">
        <v>20</v>
      </c>
      <c r="F5482" t="s">
        <v>10069</v>
      </c>
      <c r="G5482" t="s">
        <v>10069</v>
      </c>
      <c r="H5482" s="6">
        <v>45191</v>
      </c>
      <c r="I5482">
        <f t="shared" si="170"/>
        <v>0</v>
      </c>
      <c r="J5482" t="str">
        <f t="shared" si="171"/>
        <v>Complete</v>
      </c>
      <c r="K5482">
        <f>COUNTIFS(RawData[Item], B5482,RawData[Quantity],C5482,RawData[Price Per Unit],D5482,RawData[Total Spent],E5482,RawData[Payment Method],F5482,RawData[Location],G5482,RawData[Transaction Date],H5482)</f>
        <v>1</v>
      </c>
      <c r="L5482"/>
    </row>
    <row r="5483" spans="1:12" x14ac:dyDescent="0.3">
      <c r="A5483" t="s">
        <v>5489</v>
      </c>
      <c r="B5483" t="s">
        <v>10009</v>
      </c>
      <c r="C5483">
        <v>2</v>
      </c>
      <c r="D5483">
        <v>3</v>
      </c>
      <c r="E5483">
        <v>6</v>
      </c>
      <c r="F5483" t="s">
        <v>10018</v>
      </c>
      <c r="G5483" t="s">
        <v>10021</v>
      </c>
      <c r="H5483" s="6">
        <v>45214</v>
      </c>
      <c r="I5483">
        <f t="shared" si="170"/>
        <v>0</v>
      </c>
      <c r="J5483" t="str">
        <f t="shared" si="171"/>
        <v>Complete</v>
      </c>
      <c r="K5483">
        <f>COUNTIFS(RawData[Item], B5483,RawData[Quantity],C5483,RawData[Price Per Unit],D5483,RawData[Total Spent],E5483,RawData[Payment Method],F5483,RawData[Location],G5483,RawData[Transaction Date],H5483)</f>
        <v>1</v>
      </c>
      <c r="L5483"/>
    </row>
    <row r="5484" spans="1:12" x14ac:dyDescent="0.3">
      <c r="A5484" t="s">
        <v>5490</v>
      </c>
      <c r="B5484" t="s">
        <v>10017</v>
      </c>
      <c r="C5484">
        <v>1</v>
      </c>
      <c r="D5484">
        <v>1.5</v>
      </c>
      <c r="E5484">
        <v>1.5</v>
      </c>
      <c r="F5484" t="s">
        <v>10019</v>
      </c>
      <c r="G5484" t="s">
        <v>10069</v>
      </c>
      <c r="H5484" s="6">
        <v>45171</v>
      </c>
      <c r="I5484">
        <f t="shared" si="170"/>
        <v>0</v>
      </c>
      <c r="J5484" t="str">
        <f t="shared" si="171"/>
        <v>Complete</v>
      </c>
      <c r="K5484">
        <f>COUNTIFS(RawData[Item], B5484,RawData[Quantity],C5484,RawData[Price Per Unit],D5484,RawData[Total Spent],E5484,RawData[Payment Method],F5484,RawData[Location],G5484,RawData[Transaction Date],H5484)</f>
        <v>1</v>
      </c>
      <c r="L5484"/>
    </row>
    <row r="5485" spans="1:12" x14ac:dyDescent="0.3">
      <c r="A5485" t="s">
        <v>5491</v>
      </c>
      <c r="B5485" t="s">
        <v>10016</v>
      </c>
      <c r="C5485">
        <v>2</v>
      </c>
      <c r="D5485">
        <v>3</v>
      </c>
      <c r="E5485">
        <v>6</v>
      </c>
      <c r="F5485" t="s">
        <v>10020</v>
      </c>
      <c r="G5485" t="s">
        <v>10069</v>
      </c>
      <c r="H5485" s="6">
        <v>45008</v>
      </c>
      <c r="I5485">
        <f t="shared" si="170"/>
        <v>0</v>
      </c>
      <c r="J5485" t="str">
        <f t="shared" si="171"/>
        <v>Complete</v>
      </c>
      <c r="K5485">
        <f>COUNTIFS(RawData[Item], B5485,RawData[Quantity],C5485,RawData[Price Per Unit],D5485,RawData[Total Spent],E5485,RawData[Payment Method],F5485,RawData[Location],G5485,RawData[Transaction Date],H5485)</f>
        <v>1</v>
      </c>
      <c r="L5485"/>
    </row>
    <row r="5486" spans="1:12" x14ac:dyDescent="0.3">
      <c r="A5486" t="s">
        <v>5492</v>
      </c>
      <c r="B5486" t="s">
        <v>10008</v>
      </c>
      <c r="C5486" t="s">
        <v>10013</v>
      </c>
      <c r="D5486">
        <v>2</v>
      </c>
      <c r="E5486">
        <v>8</v>
      </c>
      <c r="F5486" t="s">
        <v>10019</v>
      </c>
      <c r="G5486" t="s">
        <v>10069</v>
      </c>
      <c r="H5486" s="6">
        <v>45122</v>
      </c>
      <c r="I5486">
        <f t="shared" si="170"/>
        <v>1</v>
      </c>
      <c r="J5486" t="str">
        <f t="shared" si="171"/>
        <v>Complete</v>
      </c>
      <c r="K5486">
        <f>COUNTIFS(RawData[Item], B5486,RawData[Quantity],C5486,RawData[Price Per Unit],D5486,RawData[Total Spent],E5486,RawData[Payment Method],F5486,RawData[Location],G5486,RawData[Transaction Date],H5486)</f>
        <v>1</v>
      </c>
      <c r="L5486"/>
    </row>
    <row r="5487" spans="1:12" x14ac:dyDescent="0.3">
      <c r="A5487" t="s">
        <v>5493</v>
      </c>
      <c r="B5487" t="s">
        <v>10017</v>
      </c>
      <c r="C5487">
        <v>2</v>
      </c>
      <c r="D5487">
        <v>1.5</v>
      </c>
      <c r="E5487">
        <v>3</v>
      </c>
      <c r="F5487" t="s">
        <v>10020</v>
      </c>
      <c r="G5487" t="s">
        <v>10069</v>
      </c>
      <c r="H5487" s="6">
        <v>45044</v>
      </c>
      <c r="I5487">
        <f t="shared" si="170"/>
        <v>0</v>
      </c>
      <c r="J5487" t="str">
        <f t="shared" si="171"/>
        <v>Complete</v>
      </c>
      <c r="K5487">
        <f>COUNTIFS(RawData[Item], B5487,RawData[Quantity],C5487,RawData[Price Per Unit],D5487,RawData[Total Spent],E5487,RawData[Payment Method],F5487,RawData[Location],G5487,RawData[Transaction Date],H5487)</f>
        <v>1</v>
      </c>
      <c r="L5487"/>
    </row>
    <row r="5488" spans="1:12" x14ac:dyDescent="0.3">
      <c r="A5488" t="s">
        <v>5494</v>
      </c>
      <c r="B5488" t="s">
        <v>10008</v>
      </c>
      <c r="C5488">
        <v>1</v>
      </c>
      <c r="D5488">
        <v>2</v>
      </c>
      <c r="E5488">
        <v>2</v>
      </c>
      <c r="F5488" t="s">
        <v>10069</v>
      </c>
      <c r="G5488" t="s">
        <v>10069</v>
      </c>
      <c r="H5488" s="6">
        <v>45277</v>
      </c>
      <c r="I5488">
        <f t="shared" si="170"/>
        <v>0</v>
      </c>
      <c r="J5488" t="str">
        <f t="shared" si="171"/>
        <v>Complete</v>
      </c>
      <c r="K5488">
        <f>COUNTIFS(RawData[Item], B5488,RawData[Quantity],C5488,RawData[Price Per Unit],D5488,RawData[Total Spent],E5488,RawData[Payment Method],F5488,RawData[Location],G5488,RawData[Transaction Date],H5488)</f>
        <v>1</v>
      </c>
      <c r="L5488"/>
    </row>
    <row r="5489" spans="1:12" x14ac:dyDescent="0.3">
      <c r="A5489" t="s">
        <v>5495</v>
      </c>
      <c r="B5489" t="s">
        <v>10012</v>
      </c>
      <c r="C5489">
        <v>5</v>
      </c>
      <c r="D5489">
        <v>4</v>
      </c>
      <c r="E5489">
        <v>20</v>
      </c>
      <c r="F5489" t="s">
        <v>10018</v>
      </c>
      <c r="G5489" t="s">
        <v>10104</v>
      </c>
      <c r="H5489" s="6">
        <v>45133</v>
      </c>
      <c r="I5489">
        <f t="shared" si="170"/>
        <v>1</v>
      </c>
      <c r="J5489" t="str">
        <f t="shared" si="171"/>
        <v>Complete</v>
      </c>
      <c r="K5489">
        <f>COUNTIFS(RawData[Item], B5489,RawData[Quantity],C5489,RawData[Price Per Unit],D5489,RawData[Total Spent],E5489,RawData[Payment Method],F5489,RawData[Location],G5489,RawData[Transaction Date],H5489)</f>
        <v>1</v>
      </c>
      <c r="L5489"/>
    </row>
    <row r="5490" spans="1:12" x14ac:dyDescent="0.3">
      <c r="A5490" t="s">
        <v>5496</v>
      </c>
      <c r="B5490" t="s">
        <v>10013</v>
      </c>
      <c r="C5490">
        <v>1</v>
      </c>
      <c r="D5490">
        <v>3</v>
      </c>
      <c r="E5490">
        <v>3</v>
      </c>
      <c r="F5490" t="s">
        <v>10069</v>
      </c>
      <c r="G5490" t="s">
        <v>10069</v>
      </c>
      <c r="H5490" s="6">
        <v>45196</v>
      </c>
      <c r="I5490">
        <f t="shared" si="170"/>
        <v>1</v>
      </c>
      <c r="J5490" t="str">
        <f t="shared" si="171"/>
        <v>Complete</v>
      </c>
      <c r="K5490">
        <f>COUNTIFS(RawData[Item], B5490,RawData[Quantity],C5490,RawData[Price Per Unit],D5490,RawData[Total Spent],E5490,RawData[Payment Method],F5490,RawData[Location],G5490,RawData[Transaction Date],H5490)</f>
        <v>1</v>
      </c>
      <c r="L5490"/>
    </row>
    <row r="5491" spans="1:12" x14ac:dyDescent="0.3">
      <c r="A5491" t="s">
        <v>5497</v>
      </c>
      <c r="B5491" t="s">
        <v>10015</v>
      </c>
      <c r="C5491">
        <v>1</v>
      </c>
      <c r="D5491">
        <v>4</v>
      </c>
      <c r="E5491">
        <v>4</v>
      </c>
      <c r="F5491" t="s">
        <v>10018</v>
      </c>
      <c r="G5491" t="s">
        <v>10069</v>
      </c>
      <c r="H5491" s="6">
        <v>44944</v>
      </c>
      <c r="I5491">
        <f t="shared" si="170"/>
        <v>1</v>
      </c>
      <c r="J5491" t="str">
        <f t="shared" si="171"/>
        <v>Complete</v>
      </c>
      <c r="K5491">
        <f>COUNTIFS(RawData[Item], B5491,RawData[Quantity],C5491,RawData[Price Per Unit],D5491,RawData[Total Spent],E5491,RawData[Payment Method],F5491,RawData[Location],G5491,RawData[Transaction Date],H5491)</f>
        <v>1</v>
      </c>
      <c r="L5491"/>
    </row>
    <row r="5492" spans="1:12" x14ac:dyDescent="0.3">
      <c r="A5492" t="s">
        <v>5498</v>
      </c>
      <c r="B5492" t="s">
        <v>10013</v>
      </c>
      <c r="C5492">
        <v>5</v>
      </c>
      <c r="D5492">
        <v>1</v>
      </c>
      <c r="E5492">
        <v>5</v>
      </c>
      <c r="F5492" t="s">
        <v>10069</v>
      </c>
      <c r="G5492" t="s">
        <v>10069</v>
      </c>
      <c r="H5492" s="6">
        <v>45006</v>
      </c>
      <c r="I5492">
        <f t="shared" si="170"/>
        <v>1</v>
      </c>
      <c r="J5492" t="str">
        <f t="shared" si="171"/>
        <v>Complete</v>
      </c>
      <c r="K5492">
        <f>COUNTIFS(RawData[Item], B5492,RawData[Quantity],C5492,RawData[Price Per Unit],D5492,RawData[Total Spent],E5492,RawData[Payment Method],F5492,RawData[Location],G5492,RawData[Transaction Date],H5492)</f>
        <v>1</v>
      </c>
      <c r="L5492"/>
    </row>
    <row r="5493" spans="1:12" x14ac:dyDescent="0.3">
      <c r="A5493" t="s">
        <v>5499</v>
      </c>
      <c r="B5493" t="s">
        <v>10014</v>
      </c>
      <c r="C5493">
        <v>1</v>
      </c>
      <c r="D5493">
        <v>4</v>
      </c>
      <c r="E5493">
        <v>4</v>
      </c>
      <c r="F5493" t="s">
        <v>10018</v>
      </c>
      <c r="G5493" t="s">
        <v>10102</v>
      </c>
      <c r="H5493" s="6">
        <v>45037</v>
      </c>
      <c r="I5493">
        <f t="shared" si="170"/>
        <v>0</v>
      </c>
      <c r="J5493" t="str">
        <f t="shared" si="171"/>
        <v>Complete</v>
      </c>
      <c r="K5493">
        <f>COUNTIFS(RawData[Item], B5493,RawData[Quantity],C5493,RawData[Price Per Unit],D5493,RawData[Total Spent],E5493,RawData[Payment Method],F5493,RawData[Location],G5493,RawData[Transaction Date],H5493)</f>
        <v>1</v>
      </c>
      <c r="L5493"/>
    </row>
    <row r="5494" spans="1:12" x14ac:dyDescent="0.3">
      <c r="A5494" t="s">
        <v>5500</v>
      </c>
      <c r="B5494" t="s">
        <v>10009</v>
      </c>
      <c r="C5494">
        <v>4</v>
      </c>
      <c r="D5494">
        <v>3</v>
      </c>
      <c r="E5494">
        <v>12</v>
      </c>
      <c r="F5494" t="s">
        <v>10018</v>
      </c>
      <c r="G5494" t="s">
        <v>10069</v>
      </c>
      <c r="H5494" s="6">
        <v>45291</v>
      </c>
      <c r="I5494">
        <f t="shared" si="170"/>
        <v>0</v>
      </c>
      <c r="J5494" t="str">
        <f t="shared" si="171"/>
        <v>Complete</v>
      </c>
      <c r="K5494">
        <f>COUNTIFS(RawData[Item], B5494,RawData[Quantity],C5494,RawData[Price Per Unit],D5494,RawData[Total Spent],E5494,RawData[Payment Method],F5494,RawData[Location],G5494,RawData[Transaction Date],H5494)</f>
        <v>1</v>
      </c>
      <c r="L5494"/>
    </row>
    <row r="5495" spans="1:12" x14ac:dyDescent="0.3">
      <c r="A5495" t="s">
        <v>5501</v>
      </c>
      <c r="B5495" t="s">
        <v>10009</v>
      </c>
      <c r="C5495">
        <v>2</v>
      </c>
      <c r="D5495">
        <v>3</v>
      </c>
      <c r="E5495">
        <v>6</v>
      </c>
      <c r="F5495" t="s">
        <v>10069</v>
      </c>
      <c r="G5495" t="s">
        <v>10069</v>
      </c>
      <c r="H5495" s="6">
        <v>45198</v>
      </c>
      <c r="I5495">
        <f t="shared" si="170"/>
        <v>0</v>
      </c>
      <c r="J5495" t="str">
        <f t="shared" si="171"/>
        <v>Complete</v>
      </c>
      <c r="K5495">
        <f>COUNTIFS(RawData[Item], B5495,RawData[Quantity],C5495,RawData[Price Per Unit],D5495,RawData[Total Spent],E5495,RawData[Payment Method],F5495,RawData[Location],G5495,RawData[Transaction Date],H5495)</f>
        <v>1</v>
      </c>
      <c r="L5495"/>
    </row>
    <row r="5496" spans="1:12" x14ac:dyDescent="0.3">
      <c r="A5496" t="s">
        <v>5502</v>
      </c>
      <c r="B5496" t="s">
        <v>10014</v>
      </c>
      <c r="C5496">
        <v>1</v>
      </c>
      <c r="D5496">
        <v>4</v>
      </c>
      <c r="E5496">
        <v>4</v>
      </c>
      <c r="F5496" t="s">
        <v>10020</v>
      </c>
      <c r="G5496" t="s">
        <v>10069</v>
      </c>
      <c r="H5496" s="6">
        <v>45034</v>
      </c>
      <c r="I5496">
        <f t="shared" si="170"/>
        <v>0</v>
      </c>
      <c r="J5496" t="str">
        <f t="shared" si="171"/>
        <v>Complete</v>
      </c>
      <c r="K5496">
        <f>COUNTIFS(RawData[Item], B5496,RawData[Quantity],C5496,RawData[Price Per Unit],D5496,RawData[Total Spent],E5496,RawData[Payment Method],F5496,RawData[Location],G5496,RawData[Transaction Date],H5496)</f>
        <v>1</v>
      </c>
      <c r="L5496"/>
    </row>
    <row r="5497" spans="1:12" x14ac:dyDescent="0.3">
      <c r="A5497" t="s">
        <v>5503</v>
      </c>
      <c r="B5497" t="s">
        <v>10014</v>
      </c>
      <c r="C5497">
        <v>5</v>
      </c>
      <c r="D5497">
        <v>4</v>
      </c>
      <c r="E5497">
        <v>20</v>
      </c>
      <c r="F5497" t="s">
        <v>10069</v>
      </c>
      <c r="G5497" t="s">
        <v>10102</v>
      </c>
      <c r="H5497" s="6">
        <v>45056</v>
      </c>
      <c r="I5497">
        <f t="shared" si="170"/>
        <v>0</v>
      </c>
      <c r="J5497" t="str">
        <f t="shared" si="171"/>
        <v>Complete</v>
      </c>
      <c r="K5497">
        <f>COUNTIFS(RawData[Item], B5497,RawData[Quantity],C5497,RawData[Price Per Unit],D5497,RawData[Total Spent],E5497,RawData[Payment Method],F5497,RawData[Location],G5497,RawData[Transaction Date],H5497)</f>
        <v>1</v>
      </c>
      <c r="L5497"/>
    </row>
    <row r="5498" spans="1:12" x14ac:dyDescent="0.3">
      <c r="A5498" t="s">
        <v>5504</v>
      </c>
      <c r="B5498" t="s">
        <v>10016</v>
      </c>
      <c r="C5498">
        <v>5</v>
      </c>
      <c r="D5498">
        <v>3</v>
      </c>
      <c r="E5498">
        <v>15</v>
      </c>
      <c r="F5498" t="s">
        <v>10069</v>
      </c>
      <c r="G5498" t="s">
        <v>10021</v>
      </c>
      <c r="H5498" s="6" t="s">
        <v>10112</v>
      </c>
      <c r="I5498">
        <f t="shared" si="170"/>
        <v>1</v>
      </c>
      <c r="J5498" t="str">
        <f t="shared" si="171"/>
        <v>Incomplete</v>
      </c>
      <c r="K5498">
        <f>COUNTIFS(RawData[Item], B5498,RawData[Quantity],C5498,RawData[Price Per Unit],D5498,RawData[Total Spent],E5498,RawData[Payment Method],F5498,RawData[Location],G5498,RawData[Transaction Date],H5498)</f>
        <v>2</v>
      </c>
      <c r="L5498"/>
    </row>
    <row r="5499" spans="1:12" x14ac:dyDescent="0.3">
      <c r="A5499" t="s">
        <v>5505</v>
      </c>
      <c r="B5499" t="s">
        <v>10010</v>
      </c>
      <c r="C5499">
        <v>5</v>
      </c>
      <c r="D5499">
        <v>1</v>
      </c>
      <c r="E5499">
        <v>5</v>
      </c>
      <c r="F5499" t="s">
        <v>10019</v>
      </c>
      <c r="G5499" t="s">
        <v>10069</v>
      </c>
      <c r="H5499" s="6">
        <v>44972</v>
      </c>
      <c r="I5499">
        <f t="shared" si="170"/>
        <v>0</v>
      </c>
      <c r="J5499" t="str">
        <f t="shared" si="171"/>
        <v>Complete</v>
      </c>
      <c r="K5499">
        <f>COUNTIFS(RawData[Item], B5499,RawData[Quantity],C5499,RawData[Price Per Unit],D5499,RawData[Total Spent],E5499,RawData[Payment Method],F5499,RawData[Location],G5499,RawData[Transaction Date],H5499)</f>
        <v>1</v>
      </c>
      <c r="L5499"/>
    </row>
    <row r="5500" spans="1:12" x14ac:dyDescent="0.3">
      <c r="A5500" t="s">
        <v>5506</v>
      </c>
      <c r="B5500" t="s">
        <v>10008</v>
      </c>
      <c r="C5500">
        <v>1</v>
      </c>
      <c r="D5500">
        <v>2</v>
      </c>
      <c r="E5500">
        <v>2</v>
      </c>
      <c r="F5500" t="s">
        <v>10019</v>
      </c>
      <c r="G5500" t="s">
        <v>10021</v>
      </c>
      <c r="H5500" s="6">
        <v>45244</v>
      </c>
      <c r="I5500">
        <f t="shared" si="170"/>
        <v>0</v>
      </c>
      <c r="J5500" t="str">
        <f t="shared" si="171"/>
        <v>Complete</v>
      </c>
      <c r="K5500">
        <f>COUNTIFS(RawData[Item], B5500,RawData[Quantity],C5500,RawData[Price Per Unit],D5500,RawData[Total Spent],E5500,RawData[Payment Method],F5500,RawData[Location],G5500,RawData[Transaction Date],H5500)</f>
        <v>1</v>
      </c>
      <c r="L5500"/>
    </row>
    <row r="5501" spans="1:12" x14ac:dyDescent="0.3">
      <c r="A5501" t="s">
        <v>5507</v>
      </c>
      <c r="B5501" t="s">
        <v>10011</v>
      </c>
      <c r="C5501">
        <v>3</v>
      </c>
      <c r="D5501">
        <v>5</v>
      </c>
      <c r="E5501">
        <v>15</v>
      </c>
      <c r="F5501" t="s">
        <v>10069</v>
      </c>
      <c r="G5501" t="s">
        <v>10103</v>
      </c>
      <c r="H5501" s="6" t="s">
        <v>10112</v>
      </c>
      <c r="I5501">
        <f t="shared" si="170"/>
        <v>2</v>
      </c>
      <c r="J5501" t="str">
        <f t="shared" si="171"/>
        <v>Incomplete</v>
      </c>
      <c r="K5501">
        <f>COUNTIFS(RawData[Item], B5501,RawData[Quantity],C5501,RawData[Price Per Unit],D5501,RawData[Total Spent],E5501,RawData[Payment Method],F5501,RawData[Location],G5501,RawData[Transaction Date],H5501)</f>
        <v>1</v>
      </c>
      <c r="L5501"/>
    </row>
    <row r="5502" spans="1:12" x14ac:dyDescent="0.3">
      <c r="A5502" t="s">
        <v>5508</v>
      </c>
      <c r="B5502" t="s">
        <v>10012</v>
      </c>
      <c r="C5502">
        <v>3</v>
      </c>
      <c r="D5502">
        <v>4</v>
      </c>
      <c r="E5502">
        <v>12</v>
      </c>
      <c r="F5502" t="s">
        <v>10069</v>
      </c>
      <c r="G5502" t="s">
        <v>10069</v>
      </c>
      <c r="H5502" s="6">
        <v>45281</v>
      </c>
      <c r="I5502">
        <f t="shared" si="170"/>
        <v>0</v>
      </c>
      <c r="J5502" t="str">
        <f t="shared" si="171"/>
        <v>Complete</v>
      </c>
      <c r="K5502">
        <f>COUNTIFS(RawData[Item], B5502,RawData[Quantity],C5502,RawData[Price Per Unit],D5502,RawData[Total Spent],E5502,RawData[Payment Method],F5502,RawData[Location],G5502,RawData[Transaction Date],H5502)</f>
        <v>1</v>
      </c>
      <c r="L5502"/>
    </row>
    <row r="5503" spans="1:12" x14ac:dyDescent="0.3">
      <c r="A5503" t="s">
        <v>5509</v>
      </c>
      <c r="B5503" t="s">
        <v>10008</v>
      </c>
      <c r="C5503">
        <v>4</v>
      </c>
      <c r="D5503">
        <v>2</v>
      </c>
      <c r="E5503">
        <v>8</v>
      </c>
      <c r="F5503" t="s">
        <v>10069</v>
      </c>
      <c r="G5503" t="s">
        <v>10021</v>
      </c>
      <c r="H5503" s="6" t="s">
        <v>10112</v>
      </c>
      <c r="I5503">
        <f t="shared" si="170"/>
        <v>1</v>
      </c>
      <c r="J5503" t="str">
        <f t="shared" si="171"/>
        <v>Incomplete</v>
      </c>
      <c r="K5503">
        <f>COUNTIFS(RawData[Item], B5503,RawData[Quantity],C5503,RawData[Price Per Unit],D5503,RawData[Total Spent],E5503,RawData[Payment Method],F5503,RawData[Location],G5503,RawData[Transaction Date],H5503)</f>
        <v>2</v>
      </c>
      <c r="L5503"/>
    </row>
    <row r="5504" spans="1:12" x14ac:dyDescent="0.3">
      <c r="A5504" t="s">
        <v>5510</v>
      </c>
      <c r="B5504" t="s">
        <v>10010</v>
      </c>
      <c r="C5504">
        <v>5</v>
      </c>
      <c r="D5504">
        <v>1</v>
      </c>
      <c r="E5504">
        <v>5</v>
      </c>
      <c r="F5504" t="s">
        <v>10069</v>
      </c>
      <c r="G5504" t="s">
        <v>10069</v>
      </c>
      <c r="H5504" s="6">
        <v>44932</v>
      </c>
      <c r="I5504">
        <f t="shared" si="170"/>
        <v>0</v>
      </c>
      <c r="J5504" t="str">
        <f t="shared" si="171"/>
        <v>Complete</v>
      </c>
      <c r="K5504">
        <f>COUNTIFS(RawData[Item], B5504,RawData[Quantity],C5504,RawData[Price Per Unit],D5504,RawData[Total Spent],E5504,RawData[Payment Method],F5504,RawData[Location],G5504,RawData[Transaction Date],H5504)</f>
        <v>1</v>
      </c>
      <c r="L5504"/>
    </row>
    <row r="5505" spans="1:12" x14ac:dyDescent="0.3">
      <c r="A5505" t="s">
        <v>5511</v>
      </c>
      <c r="B5505" t="s">
        <v>10009</v>
      </c>
      <c r="C5505">
        <v>3</v>
      </c>
      <c r="D5505">
        <v>3</v>
      </c>
      <c r="E5505">
        <v>9</v>
      </c>
      <c r="F5505" t="s">
        <v>10019</v>
      </c>
      <c r="G5505" t="s">
        <v>10102</v>
      </c>
      <c r="H5505" s="6">
        <v>45131</v>
      </c>
      <c r="I5505">
        <f t="shared" si="170"/>
        <v>0</v>
      </c>
      <c r="J5505" t="str">
        <f t="shared" si="171"/>
        <v>Complete</v>
      </c>
      <c r="K5505">
        <f>COUNTIFS(RawData[Item], B5505,RawData[Quantity],C5505,RawData[Price Per Unit],D5505,RawData[Total Spent],E5505,RawData[Payment Method],F5505,RawData[Location],G5505,RawData[Transaction Date],H5505)</f>
        <v>1</v>
      </c>
      <c r="L5505"/>
    </row>
    <row r="5506" spans="1:12" x14ac:dyDescent="0.3">
      <c r="A5506" t="s">
        <v>5512</v>
      </c>
      <c r="B5506" t="s">
        <v>10010</v>
      </c>
      <c r="C5506">
        <v>1</v>
      </c>
      <c r="D5506">
        <v>1</v>
      </c>
      <c r="E5506">
        <v>1</v>
      </c>
      <c r="F5506" t="s">
        <v>10069</v>
      </c>
      <c r="G5506" t="s">
        <v>10069</v>
      </c>
      <c r="H5506" s="6">
        <v>45095</v>
      </c>
      <c r="I5506">
        <f t="shared" ref="I5506:I5569" si="172">(B5506="Unknown")+(B5506="Error")+(C5506="Unknown")+(C5506="Error")+(D5506="Unknown")+(D5506="Error")+(E5506="Unknown")+(E5506="Error")+(F5506="Unknown")+(F5506="Error")+(G5506="Unknown")+(G5506="Error")+(H5506="No Date")</f>
        <v>0</v>
      </c>
      <c r="J5506" t="str">
        <f t="shared" ref="J5506:J5569" si="173">IF((H5506="No Date"),"Incomplete","Complete")</f>
        <v>Complete</v>
      </c>
      <c r="K5506">
        <f>COUNTIFS(RawData[Item], B5506,RawData[Quantity],C5506,RawData[Price Per Unit],D5506,RawData[Total Spent],E5506,RawData[Payment Method],F5506,RawData[Location],G5506,RawData[Transaction Date],H5506)</f>
        <v>1</v>
      </c>
      <c r="L5506"/>
    </row>
    <row r="5507" spans="1:12" x14ac:dyDescent="0.3">
      <c r="A5507" t="s">
        <v>5513</v>
      </c>
      <c r="B5507" t="s">
        <v>10011</v>
      </c>
      <c r="C5507">
        <v>5</v>
      </c>
      <c r="D5507">
        <v>5</v>
      </c>
      <c r="E5507">
        <v>25</v>
      </c>
      <c r="F5507" t="s">
        <v>10018</v>
      </c>
      <c r="G5507" t="s">
        <v>10069</v>
      </c>
      <c r="H5507" s="6">
        <v>45076</v>
      </c>
      <c r="I5507">
        <f t="shared" si="172"/>
        <v>0</v>
      </c>
      <c r="J5507" t="str">
        <f t="shared" si="173"/>
        <v>Complete</v>
      </c>
      <c r="K5507">
        <f>COUNTIFS(RawData[Item], B5507,RawData[Quantity],C5507,RawData[Price Per Unit],D5507,RawData[Total Spent],E5507,RawData[Payment Method],F5507,RawData[Location],G5507,RawData[Transaction Date],H5507)</f>
        <v>1</v>
      </c>
      <c r="L5507"/>
    </row>
    <row r="5508" spans="1:12" x14ac:dyDescent="0.3">
      <c r="A5508" t="s">
        <v>5514</v>
      </c>
      <c r="B5508" t="s">
        <v>10008</v>
      </c>
      <c r="C5508">
        <v>4</v>
      </c>
      <c r="D5508">
        <v>2</v>
      </c>
      <c r="E5508">
        <v>8</v>
      </c>
      <c r="F5508" t="s">
        <v>10020</v>
      </c>
      <c r="G5508" t="s">
        <v>10102</v>
      </c>
      <c r="H5508" s="6">
        <v>45045</v>
      </c>
      <c r="I5508">
        <f t="shared" si="172"/>
        <v>0</v>
      </c>
      <c r="J5508" t="str">
        <f t="shared" si="173"/>
        <v>Complete</v>
      </c>
      <c r="K5508">
        <f>COUNTIFS(RawData[Item], B5508,RawData[Quantity],C5508,RawData[Price Per Unit],D5508,RawData[Total Spent],E5508,RawData[Payment Method],F5508,RawData[Location],G5508,RawData[Transaction Date],H5508)</f>
        <v>2</v>
      </c>
      <c r="L5508"/>
    </row>
    <row r="5509" spans="1:12" x14ac:dyDescent="0.3">
      <c r="A5509" t="s">
        <v>5515</v>
      </c>
      <c r="B5509" t="s">
        <v>10014</v>
      </c>
      <c r="C5509">
        <v>4</v>
      </c>
      <c r="D5509">
        <v>4</v>
      </c>
      <c r="E5509">
        <v>16</v>
      </c>
      <c r="F5509" t="s">
        <v>10018</v>
      </c>
      <c r="G5509" t="s">
        <v>10102</v>
      </c>
      <c r="H5509" s="6">
        <v>44995</v>
      </c>
      <c r="I5509">
        <f t="shared" si="172"/>
        <v>0</v>
      </c>
      <c r="J5509" t="str">
        <f t="shared" si="173"/>
        <v>Complete</v>
      </c>
      <c r="K5509">
        <f>COUNTIFS(RawData[Item], B5509,RawData[Quantity],C5509,RawData[Price Per Unit],D5509,RawData[Total Spent],E5509,RawData[Payment Method],F5509,RawData[Location],G5509,RawData[Transaction Date],H5509)</f>
        <v>1</v>
      </c>
      <c r="L5509"/>
    </row>
    <row r="5510" spans="1:12" x14ac:dyDescent="0.3">
      <c r="A5510" t="s">
        <v>5516</v>
      </c>
      <c r="B5510" t="s">
        <v>10010</v>
      </c>
      <c r="C5510">
        <v>2</v>
      </c>
      <c r="D5510">
        <v>1</v>
      </c>
      <c r="E5510">
        <v>2</v>
      </c>
      <c r="F5510" t="s">
        <v>10019</v>
      </c>
      <c r="G5510" t="s">
        <v>10069</v>
      </c>
      <c r="H5510" s="6">
        <v>45028</v>
      </c>
      <c r="I5510">
        <f t="shared" si="172"/>
        <v>0</v>
      </c>
      <c r="J5510" t="str">
        <f t="shared" si="173"/>
        <v>Complete</v>
      </c>
      <c r="K5510">
        <f>COUNTIFS(RawData[Item], B5510,RawData[Quantity],C5510,RawData[Price Per Unit],D5510,RawData[Total Spent],E5510,RawData[Payment Method],F5510,RawData[Location],G5510,RawData[Transaction Date],H5510)</f>
        <v>1</v>
      </c>
      <c r="L5510"/>
    </row>
    <row r="5511" spans="1:12" x14ac:dyDescent="0.3">
      <c r="A5511" t="s">
        <v>5517</v>
      </c>
      <c r="B5511" t="s">
        <v>10009</v>
      </c>
      <c r="C5511">
        <v>4</v>
      </c>
      <c r="D5511">
        <v>3</v>
      </c>
      <c r="E5511">
        <v>12</v>
      </c>
      <c r="F5511" t="s">
        <v>10018</v>
      </c>
      <c r="G5511" t="s">
        <v>10069</v>
      </c>
      <c r="H5511" s="6">
        <v>45266</v>
      </c>
      <c r="I5511">
        <f t="shared" si="172"/>
        <v>0</v>
      </c>
      <c r="J5511" t="str">
        <f t="shared" si="173"/>
        <v>Complete</v>
      </c>
      <c r="K5511">
        <f>COUNTIFS(RawData[Item], B5511,RawData[Quantity],C5511,RawData[Price Per Unit],D5511,RawData[Total Spent],E5511,RawData[Payment Method],F5511,RawData[Location],G5511,RawData[Transaction Date],H5511)</f>
        <v>1</v>
      </c>
      <c r="L5511"/>
    </row>
    <row r="5512" spans="1:12" x14ac:dyDescent="0.3">
      <c r="A5512" t="s">
        <v>5518</v>
      </c>
      <c r="B5512" t="s">
        <v>10016</v>
      </c>
      <c r="C5512">
        <v>5</v>
      </c>
      <c r="D5512">
        <v>3</v>
      </c>
      <c r="E5512">
        <v>15</v>
      </c>
      <c r="F5512" t="s">
        <v>10019</v>
      </c>
      <c r="G5512" t="s">
        <v>10102</v>
      </c>
      <c r="H5512" s="6">
        <v>45249</v>
      </c>
      <c r="I5512">
        <f t="shared" si="172"/>
        <v>0</v>
      </c>
      <c r="J5512" t="str">
        <f t="shared" si="173"/>
        <v>Complete</v>
      </c>
      <c r="K5512">
        <f>COUNTIFS(RawData[Item], B5512,RawData[Quantity],C5512,RawData[Price Per Unit],D5512,RawData[Total Spent],E5512,RawData[Payment Method],F5512,RawData[Location],G5512,RawData[Transaction Date],H5512)</f>
        <v>2</v>
      </c>
      <c r="L5512"/>
    </row>
    <row r="5513" spans="1:12" x14ac:dyDescent="0.3">
      <c r="A5513" t="s">
        <v>5519</v>
      </c>
      <c r="B5513" t="s">
        <v>10011</v>
      </c>
      <c r="C5513">
        <v>2</v>
      </c>
      <c r="D5513">
        <v>5</v>
      </c>
      <c r="E5513">
        <v>10</v>
      </c>
      <c r="F5513" t="s">
        <v>10018</v>
      </c>
      <c r="G5513" t="s">
        <v>10102</v>
      </c>
      <c r="H5513" s="6">
        <v>45106</v>
      </c>
      <c r="I5513">
        <f t="shared" si="172"/>
        <v>0</v>
      </c>
      <c r="J5513" t="str">
        <f t="shared" si="173"/>
        <v>Complete</v>
      </c>
      <c r="K5513">
        <f>COUNTIFS(RawData[Item], B5513,RawData[Quantity],C5513,RawData[Price Per Unit],D5513,RawData[Total Spent],E5513,RawData[Payment Method],F5513,RawData[Location],G5513,RawData[Transaction Date],H5513)</f>
        <v>1</v>
      </c>
      <c r="L5513"/>
    </row>
    <row r="5514" spans="1:12" x14ac:dyDescent="0.3">
      <c r="A5514" t="s">
        <v>5520</v>
      </c>
      <c r="B5514" t="s">
        <v>10009</v>
      </c>
      <c r="C5514">
        <v>1</v>
      </c>
      <c r="D5514">
        <v>3</v>
      </c>
      <c r="E5514">
        <v>3</v>
      </c>
      <c r="F5514" t="s">
        <v>10069</v>
      </c>
      <c r="G5514" t="s">
        <v>10104</v>
      </c>
      <c r="H5514" s="6">
        <v>45064</v>
      </c>
      <c r="I5514">
        <f t="shared" si="172"/>
        <v>1</v>
      </c>
      <c r="J5514" t="str">
        <f t="shared" si="173"/>
        <v>Complete</v>
      </c>
      <c r="K5514">
        <f>COUNTIFS(RawData[Item], B5514,RawData[Quantity],C5514,RawData[Price Per Unit],D5514,RawData[Total Spent],E5514,RawData[Payment Method],F5514,RawData[Location],G5514,RawData[Transaction Date],H5514)</f>
        <v>1</v>
      </c>
      <c r="L5514"/>
    </row>
    <row r="5515" spans="1:12" x14ac:dyDescent="0.3">
      <c r="A5515" t="s">
        <v>5521</v>
      </c>
      <c r="B5515" t="s">
        <v>10011</v>
      </c>
      <c r="C5515">
        <v>1</v>
      </c>
      <c r="D5515">
        <v>5</v>
      </c>
      <c r="E5515">
        <v>5</v>
      </c>
      <c r="F5515" t="s">
        <v>10018</v>
      </c>
      <c r="G5515" t="s">
        <v>10021</v>
      </c>
      <c r="H5515" s="6">
        <v>45166</v>
      </c>
      <c r="I5515">
        <f t="shared" si="172"/>
        <v>0</v>
      </c>
      <c r="J5515" t="str">
        <f t="shared" si="173"/>
        <v>Complete</v>
      </c>
      <c r="K5515">
        <f>COUNTIFS(RawData[Item], B5515,RawData[Quantity],C5515,RawData[Price Per Unit],D5515,RawData[Total Spent],E5515,RawData[Payment Method],F5515,RawData[Location],G5515,RawData[Transaction Date],H5515)</f>
        <v>1</v>
      </c>
      <c r="L5515"/>
    </row>
    <row r="5516" spans="1:12" x14ac:dyDescent="0.3">
      <c r="A5516" t="s">
        <v>5522</v>
      </c>
      <c r="B5516" t="s">
        <v>10014</v>
      </c>
      <c r="C5516">
        <v>3</v>
      </c>
      <c r="D5516">
        <v>4</v>
      </c>
      <c r="E5516">
        <v>12</v>
      </c>
      <c r="F5516" t="s">
        <v>10019</v>
      </c>
      <c r="G5516" t="s">
        <v>10102</v>
      </c>
      <c r="H5516" s="6" t="s">
        <v>10112</v>
      </c>
      <c r="I5516">
        <f t="shared" si="172"/>
        <v>1</v>
      </c>
      <c r="J5516" t="str">
        <f t="shared" si="173"/>
        <v>Incomplete</v>
      </c>
      <c r="K5516">
        <f>COUNTIFS(RawData[Item], B5516,RawData[Quantity],C5516,RawData[Price Per Unit],D5516,RawData[Total Spent],E5516,RawData[Payment Method],F5516,RawData[Location],G5516,RawData[Transaction Date],H5516)</f>
        <v>1</v>
      </c>
      <c r="L5516"/>
    </row>
    <row r="5517" spans="1:12" x14ac:dyDescent="0.3">
      <c r="A5517" t="s">
        <v>5523</v>
      </c>
      <c r="B5517" t="s">
        <v>10010</v>
      </c>
      <c r="C5517">
        <v>2</v>
      </c>
      <c r="D5517">
        <v>1</v>
      </c>
      <c r="E5517">
        <v>2</v>
      </c>
      <c r="F5517" t="s">
        <v>10069</v>
      </c>
      <c r="G5517" t="s">
        <v>10102</v>
      </c>
      <c r="H5517" s="6">
        <v>45256</v>
      </c>
      <c r="I5517">
        <f t="shared" si="172"/>
        <v>0</v>
      </c>
      <c r="J5517" t="str">
        <f t="shared" si="173"/>
        <v>Complete</v>
      </c>
      <c r="K5517">
        <f>COUNTIFS(RawData[Item], B5517,RawData[Quantity],C5517,RawData[Price Per Unit],D5517,RawData[Total Spent],E5517,RawData[Payment Method],F5517,RawData[Location],G5517,RawData[Transaction Date],H5517)</f>
        <v>1</v>
      </c>
      <c r="L5517"/>
    </row>
    <row r="5518" spans="1:12" x14ac:dyDescent="0.3">
      <c r="A5518" t="s">
        <v>5524</v>
      </c>
      <c r="B5518" t="s">
        <v>10012</v>
      </c>
      <c r="C5518">
        <v>5</v>
      </c>
      <c r="D5518">
        <v>4</v>
      </c>
      <c r="E5518">
        <v>20</v>
      </c>
      <c r="F5518" t="s">
        <v>10019</v>
      </c>
      <c r="G5518" t="s">
        <v>10102</v>
      </c>
      <c r="H5518" s="6">
        <v>45194</v>
      </c>
      <c r="I5518">
        <f t="shared" si="172"/>
        <v>0</v>
      </c>
      <c r="J5518" t="str">
        <f t="shared" si="173"/>
        <v>Complete</v>
      </c>
      <c r="K5518">
        <f>COUNTIFS(RawData[Item], B5518,RawData[Quantity],C5518,RawData[Price Per Unit],D5518,RawData[Total Spent],E5518,RawData[Payment Method],F5518,RawData[Location],G5518,RawData[Transaction Date],H5518)</f>
        <v>1</v>
      </c>
      <c r="L5518"/>
    </row>
    <row r="5519" spans="1:12" x14ac:dyDescent="0.3">
      <c r="A5519" t="s">
        <v>5525</v>
      </c>
      <c r="B5519" t="s">
        <v>10015</v>
      </c>
      <c r="C5519">
        <v>4</v>
      </c>
      <c r="D5519">
        <v>4</v>
      </c>
      <c r="E5519">
        <v>16</v>
      </c>
      <c r="F5519" t="s">
        <v>10019</v>
      </c>
      <c r="G5519" t="s">
        <v>10102</v>
      </c>
      <c r="H5519" s="6">
        <v>45092</v>
      </c>
      <c r="I5519">
        <f t="shared" si="172"/>
        <v>1</v>
      </c>
      <c r="J5519" t="str">
        <f t="shared" si="173"/>
        <v>Complete</v>
      </c>
      <c r="K5519">
        <f>COUNTIFS(RawData[Item], B5519,RawData[Quantity],C5519,RawData[Price Per Unit],D5519,RawData[Total Spent],E5519,RawData[Payment Method],F5519,RawData[Location],G5519,RawData[Transaction Date],H5519)</f>
        <v>1</v>
      </c>
      <c r="L5519"/>
    </row>
    <row r="5520" spans="1:12" x14ac:dyDescent="0.3">
      <c r="A5520" t="s">
        <v>5526</v>
      </c>
      <c r="B5520" t="s">
        <v>10017</v>
      </c>
      <c r="C5520">
        <v>1</v>
      </c>
      <c r="D5520">
        <v>1.5</v>
      </c>
      <c r="E5520">
        <v>1.5</v>
      </c>
      <c r="F5520" t="s">
        <v>10069</v>
      </c>
      <c r="G5520" t="s">
        <v>10021</v>
      </c>
      <c r="H5520" s="6">
        <v>45097</v>
      </c>
      <c r="I5520">
        <f t="shared" si="172"/>
        <v>0</v>
      </c>
      <c r="J5520" t="str">
        <f t="shared" si="173"/>
        <v>Complete</v>
      </c>
      <c r="K5520">
        <f>COUNTIFS(RawData[Item], B5520,RawData[Quantity],C5520,RawData[Price Per Unit],D5520,RawData[Total Spent],E5520,RawData[Payment Method],F5520,RawData[Location],G5520,RawData[Transaction Date],H5520)</f>
        <v>1</v>
      </c>
      <c r="L5520"/>
    </row>
    <row r="5521" spans="1:12" x14ac:dyDescent="0.3">
      <c r="A5521" t="s">
        <v>5527</v>
      </c>
      <c r="B5521" t="s">
        <v>10009</v>
      </c>
      <c r="C5521">
        <v>2</v>
      </c>
      <c r="D5521">
        <v>3</v>
      </c>
      <c r="E5521">
        <v>6</v>
      </c>
      <c r="F5521" t="s">
        <v>10069</v>
      </c>
      <c r="G5521" t="s">
        <v>10021</v>
      </c>
      <c r="H5521" s="6">
        <v>45088</v>
      </c>
      <c r="I5521">
        <f t="shared" si="172"/>
        <v>0</v>
      </c>
      <c r="J5521" t="str">
        <f t="shared" si="173"/>
        <v>Complete</v>
      </c>
      <c r="K5521">
        <f>COUNTIFS(RawData[Item], B5521,RawData[Quantity],C5521,RawData[Price Per Unit],D5521,RawData[Total Spent],E5521,RawData[Payment Method],F5521,RawData[Location],G5521,RawData[Transaction Date],H5521)</f>
        <v>1</v>
      </c>
      <c r="L5521"/>
    </row>
    <row r="5522" spans="1:12" x14ac:dyDescent="0.3">
      <c r="A5522" t="s">
        <v>5528</v>
      </c>
      <c r="B5522" t="s">
        <v>10016</v>
      </c>
      <c r="C5522">
        <v>5</v>
      </c>
      <c r="D5522">
        <v>3</v>
      </c>
      <c r="E5522">
        <v>15</v>
      </c>
      <c r="F5522" t="s">
        <v>10019</v>
      </c>
      <c r="G5522" t="s">
        <v>10102</v>
      </c>
      <c r="H5522" s="6">
        <v>45178</v>
      </c>
      <c r="I5522">
        <f t="shared" si="172"/>
        <v>0</v>
      </c>
      <c r="J5522" t="str">
        <f t="shared" si="173"/>
        <v>Complete</v>
      </c>
      <c r="K5522">
        <f>COUNTIFS(RawData[Item], B5522,RawData[Quantity],C5522,RawData[Price Per Unit],D5522,RawData[Total Spent],E5522,RawData[Payment Method],F5522,RawData[Location],G5522,RawData[Transaction Date],H5522)</f>
        <v>1</v>
      </c>
      <c r="L5522"/>
    </row>
    <row r="5523" spans="1:12" x14ac:dyDescent="0.3">
      <c r="A5523" t="s">
        <v>5529</v>
      </c>
      <c r="B5523" t="s">
        <v>10008</v>
      </c>
      <c r="C5523">
        <v>3</v>
      </c>
      <c r="D5523">
        <v>2</v>
      </c>
      <c r="E5523">
        <v>6</v>
      </c>
      <c r="F5523" t="s">
        <v>10103</v>
      </c>
      <c r="G5523" t="s">
        <v>10102</v>
      </c>
      <c r="H5523" s="6">
        <v>45015</v>
      </c>
      <c r="I5523">
        <f t="shared" si="172"/>
        <v>1</v>
      </c>
      <c r="J5523" t="str">
        <f t="shared" si="173"/>
        <v>Complete</v>
      </c>
      <c r="K5523">
        <f>COUNTIFS(RawData[Item], B5523,RawData[Quantity],C5523,RawData[Price Per Unit],D5523,RawData[Total Spent],E5523,RawData[Payment Method],F5523,RawData[Location],G5523,RawData[Transaction Date],H5523)</f>
        <v>1</v>
      </c>
      <c r="L5523"/>
    </row>
    <row r="5524" spans="1:12" x14ac:dyDescent="0.3">
      <c r="A5524" t="s">
        <v>5530</v>
      </c>
      <c r="B5524" t="s">
        <v>10009</v>
      </c>
      <c r="C5524">
        <v>2</v>
      </c>
      <c r="D5524">
        <v>3</v>
      </c>
      <c r="E5524">
        <v>6</v>
      </c>
      <c r="F5524" t="s">
        <v>10019</v>
      </c>
      <c r="G5524" t="s">
        <v>10103</v>
      </c>
      <c r="H5524" s="6">
        <v>45166</v>
      </c>
      <c r="I5524">
        <f t="shared" si="172"/>
        <v>1</v>
      </c>
      <c r="J5524" t="str">
        <f t="shared" si="173"/>
        <v>Complete</v>
      </c>
      <c r="K5524">
        <f>COUNTIFS(RawData[Item], B5524,RawData[Quantity],C5524,RawData[Price Per Unit],D5524,RawData[Total Spent],E5524,RawData[Payment Method],F5524,RawData[Location],G5524,RawData[Transaction Date],H5524)</f>
        <v>1</v>
      </c>
      <c r="L5524"/>
    </row>
    <row r="5525" spans="1:12" x14ac:dyDescent="0.3">
      <c r="A5525" t="s">
        <v>5531</v>
      </c>
      <c r="B5525" t="s">
        <v>10014</v>
      </c>
      <c r="C5525">
        <v>2</v>
      </c>
      <c r="D5525">
        <v>4</v>
      </c>
      <c r="E5525">
        <v>8</v>
      </c>
      <c r="F5525" t="s">
        <v>10018</v>
      </c>
      <c r="G5525" t="s">
        <v>10069</v>
      </c>
      <c r="H5525" s="6">
        <v>44968</v>
      </c>
      <c r="I5525">
        <f t="shared" si="172"/>
        <v>0</v>
      </c>
      <c r="J5525" t="str">
        <f t="shared" si="173"/>
        <v>Complete</v>
      </c>
      <c r="K5525">
        <f>COUNTIFS(RawData[Item], B5525,RawData[Quantity],C5525,RawData[Price Per Unit],D5525,RawData[Total Spent],E5525,RawData[Payment Method],F5525,RawData[Location],G5525,RawData[Transaction Date],H5525)</f>
        <v>1</v>
      </c>
      <c r="L5525"/>
    </row>
    <row r="5526" spans="1:12" x14ac:dyDescent="0.3">
      <c r="A5526" t="s">
        <v>5532</v>
      </c>
      <c r="B5526" t="s">
        <v>10017</v>
      </c>
      <c r="C5526">
        <v>4</v>
      </c>
      <c r="D5526">
        <v>1.5</v>
      </c>
      <c r="E5526">
        <v>6</v>
      </c>
      <c r="F5526" t="s">
        <v>10069</v>
      </c>
      <c r="G5526" t="s">
        <v>10102</v>
      </c>
      <c r="H5526" s="6">
        <v>45187</v>
      </c>
      <c r="I5526">
        <f t="shared" si="172"/>
        <v>0</v>
      </c>
      <c r="J5526" t="str">
        <f t="shared" si="173"/>
        <v>Complete</v>
      </c>
      <c r="K5526">
        <f>COUNTIFS(RawData[Item], B5526,RawData[Quantity],C5526,RawData[Price Per Unit],D5526,RawData[Total Spent],E5526,RawData[Payment Method],F5526,RawData[Location],G5526,RawData[Transaction Date],H5526)</f>
        <v>1</v>
      </c>
      <c r="L5526"/>
    </row>
    <row r="5527" spans="1:12" x14ac:dyDescent="0.3">
      <c r="A5527" t="s">
        <v>5533</v>
      </c>
      <c r="B5527" t="s">
        <v>10014</v>
      </c>
      <c r="C5527">
        <v>5</v>
      </c>
      <c r="D5527">
        <v>4</v>
      </c>
      <c r="E5527">
        <v>20</v>
      </c>
      <c r="F5527" t="s">
        <v>10069</v>
      </c>
      <c r="G5527" t="s">
        <v>10102</v>
      </c>
      <c r="H5527" s="6">
        <v>45231</v>
      </c>
      <c r="I5527">
        <f t="shared" si="172"/>
        <v>0</v>
      </c>
      <c r="J5527" t="str">
        <f t="shared" si="173"/>
        <v>Complete</v>
      </c>
      <c r="K5527">
        <f>COUNTIFS(RawData[Item], B5527,RawData[Quantity],C5527,RawData[Price Per Unit],D5527,RawData[Total Spent],E5527,RawData[Payment Method],F5527,RawData[Location],G5527,RawData[Transaction Date],H5527)</f>
        <v>1</v>
      </c>
      <c r="L5527"/>
    </row>
    <row r="5528" spans="1:12" x14ac:dyDescent="0.3">
      <c r="A5528" t="s">
        <v>5534</v>
      </c>
      <c r="B5528" t="s">
        <v>10016</v>
      </c>
      <c r="C5528">
        <v>4</v>
      </c>
      <c r="D5528">
        <v>3</v>
      </c>
      <c r="E5528">
        <v>12</v>
      </c>
      <c r="F5528" t="s">
        <v>10069</v>
      </c>
      <c r="G5528" t="s">
        <v>10069</v>
      </c>
      <c r="H5528" s="6">
        <v>44939</v>
      </c>
      <c r="I5528">
        <f t="shared" si="172"/>
        <v>0</v>
      </c>
      <c r="J5528" t="str">
        <f t="shared" si="173"/>
        <v>Complete</v>
      </c>
      <c r="K5528">
        <f>COUNTIFS(RawData[Item], B5528,RawData[Quantity],C5528,RawData[Price Per Unit],D5528,RawData[Total Spent],E5528,RawData[Payment Method],F5528,RawData[Location],G5528,RawData[Transaction Date],H5528)</f>
        <v>1</v>
      </c>
      <c r="L5528"/>
    </row>
    <row r="5529" spans="1:12" x14ac:dyDescent="0.3">
      <c r="A5529" t="s">
        <v>5535</v>
      </c>
      <c r="B5529" t="s">
        <v>10016</v>
      </c>
      <c r="C5529">
        <v>3</v>
      </c>
      <c r="D5529">
        <v>3</v>
      </c>
      <c r="E5529">
        <v>9</v>
      </c>
      <c r="F5529" t="s">
        <v>10020</v>
      </c>
      <c r="G5529" t="s">
        <v>10021</v>
      </c>
      <c r="H5529" s="6">
        <v>45050</v>
      </c>
      <c r="I5529">
        <f t="shared" si="172"/>
        <v>0</v>
      </c>
      <c r="J5529" t="str">
        <f t="shared" si="173"/>
        <v>Complete</v>
      </c>
      <c r="K5529">
        <f>COUNTIFS(RawData[Item], B5529,RawData[Quantity],C5529,RawData[Price Per Unit],D5529,RawData[Total Spent],E5529,RawData[Payment Method],F5529,RawData[Location],G5529,RawData[Transaction Date],H5529)</f>
        <v>1</v>
      </c>
      <c r="L5529"/>
    </row>
    <row r="5530" spans="1:12" x14ac:dyDescent="0.3">
      <c r="A5530" t="s">
        <v>5536</v>
      </c>
      <c r="B5530" t="s">
        <v>10017</v>
      </c>
      <c r="C5530">
        <v>4</v>
      </c>
      <c r="D5530">
        <v>1.5</v>
      </c>
      <c r="E5530">
        <v>6</v>
      </c>
      <c r="F5530" t="s">
        <v>10018</v>
      </c>
      <c r="G5530" t="s">
        <v>10102</v>
      </c>
      <c r="H5530" s="6">
        <v>45137</v>
      </c>
      <c r="I5530">
        <f t="shared" si="172"/>
        <v>0</v>
      </c>
      <c r="J5530" t="str">
        <f t="shared" si="173"/>
        <v>Complete</v>
      </c>
      <c r="K5530">
        <f>COUNTIFS(RawData[Item], B5530,RawData[Quantity],C5530,RawData[Price Per Unit],D5530,RawData[Total Spent],E5530,RawData[Payment Method],F5530,RawData[Location],G5530,RawData[Transaction Date],H5530)</f>
        <v>1</v>
      </c>
      <c r="L5530"/>
    </row>
    <row r="5531" spans="1:12" x14ac:dyDescent="0.3">
      <c r="A5531" t="s">
        <v>5537</v>
      </c>
      <c r="B5531" t="s">
        <v>10011</v>
      </c>
      <c r="C5531" t="s">
        <v>10015</v>
      </c>
      <c r="D5531">
        <v>5</v>
      </c>
      <c r="E5531">
        <v>20</v>
      </c>
      <c r="F5531" t="s">
        <v>10019</v>
      </c>
      <c r="G5531" t="s">
        <v>10103</v>
      </c>
      <c r="H5531" s="6">
        <v>45262</v>
      </c>
      <c r="I5531">
        <f t="shared" si="172"/>
        <v>2</v>
      </c>
      <c r="J5531" t="str">
        <f t="shared" si="173"/>
        <v>Complete</v>
      </c>
      <c r="K5531">
        <f>COUNTIFS(RawData[Item], B5531,RawData[Quantity],C5531,RawData[Price Per Unit],D5531,RawData[Total Spent],E5531,RawData[Payment Method],F5531,RawData[Location],G5531,RawData[Transaction Date],H5531)</f>
        <v>1</v>
      </c>
      <c r="L5531"/>
    </row>
    <row r="5532" spans="1:12" x14ac:dyDescent="0.3">
      <c r="A5532" t="s">
        <v>5538</v>
      </c>
      <c r="B5532" t="s">
        <v>10016</v>
      </c>
      <c r="C5532">
        <v>1</v>
      </c>
      <c r="D5532">
        <v>3</v>
      </c>
      <c r="E5532">
        <v>3</v>
      </c>
      <c r="F5532" t="s">
        <v>10020</v>
      </c>
      <c r="G5532" t="s">
        <v>10102</v>
      </c>
      <c r="H5532" s="6">
        <v>44937</v>
      </c>
      <c r="I5532">
        <f t="shared" si="172"/>
        <v>0</v>
      </c>
      <c r="J5532" t="str">
        <f t="shared" si="173"/>
        <v>Complete</v>
      </c>
      <c r="K5532">
        <f>COUNTIFS(RawData[Item], B5532,RawData[Quantity],C5532,RawData[Price Per Unit],D5532,RawData[Total Spent],E5532,RawData[Payment Method],F5532,RawData[Location],G5532,RawData[Transaction Date],H5532)</f>
        <v>1</v>
      </c>
      <c r="L5532"/>
    </row>
    <row r="5533" spans="1:12" x14ac:dyDescent="0.3">
      <c r="A5533" t="s">
        <v>5539</v>
      </c>
      <c r="B5533" t="s">
        <v>10017</v>
      </c>
      <c r="C5533" t="s">
        <v>10013</v>
      </c>
      <c r="D5533">
        <v>1.5</v>
      </c>
      <c r="E5533">
        <v>1.5</v>
      </c>
      <c r="F5533" t="s">
        <v>10018</v>
      </c>
      <c r="G5533" t="s">
        <v>10021</v>
      </c>
      <c r="H5533" s="6">
        <v>45164</v>
      </c>
      <c r="I5533">
        <f t="shared" si="172"/>
        <v>1</v>
      </c>
      <c r="J5533" t="str">
        <f t="shared" si="173"/>
        <v>Complete</v>
      </c>
      <c r="K5533">
        <f>COUNTIFS(RawData[Item], B5533,RawData[Quantity],C5533,RawData[Price Per Unit],D5533,RawData[Total Spent],E5533,RawData[Payment Method],F5533,RawData[Location],G5533,RawData[Transaction Date],H5533)</f>
        <v>1</v>
      </c>
      <c r="L5533"/>
    </row>
    <row r="5534" spans="1:12" x14ac:dyDescent="0.3">
      <c r="A5534" t="s">
        <v>5540</v>
      </c>
      <c r="B5534" t="s">
        <v>10010</v>
      </c>
      <c r="C5534">
        <v>5</v>
      </c>
      <c r="D5534">
        <v>1</v>
      </c>
      <c r="E5534" t="s">
        <v>10013</v>
      </c>
      <c r="F5534" t="s">
        <v>10019</v>
      </c>
      <c r="G5534" t="s">
        <v>10021</v>
      </c>
      <c r="H5534" s="6">
        <v>45109</v>
      </c>
      <c r="I5534">
        <f t="shared" si="172"/>
        <v>1</v>
      </c>
      <c r="J5534" t="str">
        <f t="shared" si="173"/>
        <v>Complete</v>
      </c>
      <c r="K5534">
        <f>COUNTIFS(RawData[Item], B5534,RawData[Quantity],C5534,RawData[Price Per Unit],D5534,RawData[Total Spent],E5534,RawData[Payment Method],F5534,RawData[Location],G5534,RawData[Transaction Date],H5534)</f>
        <v>1</v>
      </c>
      <c r="L5534"/>
    </row>
    <row r="5535" spans="1:12" x14ac:dyDescent="0.3">
      <c r="A5535" t="s">
        <v>5541</v>
      </c>
      <c r="B5535" t="s">
        <v>10012</v>
      </c>
      <c r="C5535" t="s">
        <v>10013</v>
      </c>
      <c r="D5535">
        <v>4</v>
      </c>
      <c r="E5535">
        <v>12</v>
      </c>
      <c r="F5535" t="s">
        <v>10019</v>
      </c>
      <c r="G5535" t="s">
        <v>10102</v>
      </c>
      <c r="H5535" s="6" t="s">
        <v>10112</v>
      </c>
      <c r="I5535">
        <f t="shared" si="172"/>
        <v>2</v>
      </c>
      <c r="J5535" t="str">
        <f t="shared" si="173"/>
        <v>Incomplete</v>
      </c>
      <c r="K5535">
        <f>COUNTIFS(RawData[Item], B5535,RawData[Quantity],C5535,RawData[Price Per Unit],D5535,RawData[Total Spent],E5535,RawData[Payment Method],F5535,RawData[Location],G5535,RawData[Transaction Date],H5535)</f>
        <v>1</v>
      </c>
      <c r="L5535"/>
    </row>
    <row r="5536" spans="1:12" x14ac:dyDescent="0.3">
      <c r="A5536" t="s">
        <v>5542</v>
      </c>
      <c r="B5536" t="s">
        <v>10014</v>
      </c>
      <c r="C5536">
        <v>1</v>
      </c>
      <c r="D5536">
        <v>4</v>
      </c>
      <c r="E5536">
        <v>4</v>
      </c>
      <c r="F5536" t="s">
        <v>10020</v>
      </c>
      <c r="G5536" t="s">
        <v>10021</v>
      </c>
      <c r="H5536" s="6">
        <v>45276</v>
      </c>
      <c r="I5536">
        <f t="shared" si="172"/>
        <v>0</v>
      </c>
      <c r="J5536" t="str">
        <f t="shared" si="173"/>
        <v>Complete</v>
      </c>
      <c r="K5536">
        <f>COUNTIFS(RawData[Item], B5536,RawData[Quantity],C5536,RawData[Price Per Unit],D5536,RawData[Total Spent],E5536,RawData[Payment Method],F5536,RawData[Location],G5536,RawData[Transaction Date],H5536)</f>
        <v>1</v>
      </c>
      <c r="L5536"/>
    </row>
    <row r="5537" spans="1:12" x14ac:dyDescent="0.3">
      <c r="A5537" t="s">
        <v>5543</v>
      </c>
      <c r="B5537" t="s">
        <v>10008</v>
      </c>
      <c r="C5537">
        <v>4</v>
      </c>
      <c r="D5537">
        <v>2</v>
      </c>
      <c r="E5537">
        <v>8</v>
      </c>
      <c r="F5537" t="s">
        <v>10020</v>
      </c>
      <c r="G5537" t="s">
        <v>10102</v>
      </c>
      <c r="H5537" s="6">
        <v>45045</v>
      </c>
      <c r="I5537">
        <f t="shared" si="172"/>
        <v>0</v>
      </c>
      <c r="J5537" t="str">
        <f t="shared" si="173"/>
        <v>Complete</v>
      </c>
      <c r="K5537">
        <f>COUNTIFS(RawData[Item], B5537,RawData[Quantity],C5537,RawData[Price Per Unit],D5537,RawData[Total Spent],E5537,RawData[Payment Method],F5537,RawData[Location],G5537,RawData[Transaction Date],H5537)</f>
        <v>2</v>
      </c>
      <c r="L5537"/>
    </row>
    <row r="5538" spans="1:12" x14ac:dyDescent="0.3">
      <c r="A5538" t="s">
        <v>5544</v>
      </c>
      <c r="B5538" t="s">
        <v>10008</v>
      </c>
      <c r="C5538">
        <v>5</v>
      </c>
      <c r="D5538">
        <v>2</v>
      </c>
      <c r="E5538">
        <v>10</v>
      </c>
      <c r="F5538" t="s">
        <v>10020</v>
      </c>
      <c r="G5538" t="s">
        <v>10021</v>
      </c>
      <c r="H5538" s="6">
        <v>44988</v>
      </c>
      <c r="I5538">
        <f t="shared" si="172"/>
        <v>0</v>
      </c>
      <c r="J5538" t="str">
        <f t="shared" si="173"/>
        <v>Complete</v>
      </c>
      <c r="K5538">
        <f>COUNTIFS(RawData[Item], B5538,RawData[Quantity],C5538,RawData[Price Per Unit],D5538,RawData[Total Spent],E5538,RawData[Payment Method],F5538,RawData[Location],G5538,RawData[Transaction Date],H5538)</f>
        <v>2</v>
      </c>
      <c r="L5538"/>
    </row>
    <row r="5539" spans="1:12" x14ac:dyDescent="0.3">
      <c r="A5539" t="s">
        <v>5545</v>
      </c>
      <c r="B5539" t="s">
        <v>10069</v>
      </c>
      <c r="C5539">
        <v>4</v>
      </c>
      <c r="D5539">
        <v>1</v>
      </c>
      <c r="E5539">
        <v>4</v>
      </c>
      <c r="F5539" t="s">
        <v>10020</v>
      </c>
      <c r="G5539" t="s">
        <v>10102</v>
      </c>
      <c r="H5539" s="6">
        <v>45160</v>
      </c>
      <c r="I5539">
        <f t="shared" si="172"/>
        <v>0</v>
      </c>
      <c r="J5539" t="str">
        <f t="shared" si="173"/>
        <v>Complete</v>
      </c>
      <c r="K5539">
        <f>COUNTIFS(RawData[Item], B5539,RawData[Quantity],C5539,RawData[Price Per Unit],D5539,RawData[Total Spent],E5539,RawData[Payment Method],F5539,RawData[Location],G5539,RawData[Transaction Date],H5539)</f>
        <v>1</v>
      </c>
      <c r="L5539"/>
    </row>
    <row r="5540" spans="1:12" x14ac:dyDescent="0.3">
      <c r="A5540" t="s">
        <v>5546</v>
      </c>
      <c r="B5540" t="s">
        <v>10017</v>
      </c>
      <c r="C5540">
        <v>2</v>
      </c>
      <c r="D5540">
        <v>1.5</v>
      </c>
      <c r="E5540">
        <v>3</v>
      </c>
      <c r="F5540" t="s">
        <v>10020</v>
      </c>
      <c r="G5540" t="s">
        <v>10102</v>
      </c>
      <c r="H5540" s="6">
        <v>45101</v>
      </c>
      <c r="I5540">
        <f t="shared" si="172"/>
        <v>0</v>
      </c>
      <c r="J5540" t="str">
        <f t="shared" si="173"/>
        <v>Complete</v>
      </c>
      <c r="K5540">
        <f>COUNTIFS(RawData[Item], B5540,RawData[Quantity],C5540,RawData[Price Per Unit],D5540,RawData[Total Spent],E5540,RawData[Payment Method],F5540,RawData[Location],G5540,RawData[Transaction Date],H5540)</f>
        <v>1</v>
      </c>
      <c r="L5540"/>
    </row>
    <row r="5541" spans="1:12" x14ac:dyDescent="0.3">
      <c r="A5541" t="s">
        <v>5547</v>
      </c>
      <c r="B5541" t="s">
        <v>10014</v>
      </c>
      <c r="C5541">
        <v>4</v>
      </c>
      <c r="D5541" t="s">
        <v>10013</v>
      </c>
      <c r="E5541">
        <v>16</v>
      </c>
      <c r="F5541" t="s">
        <v>10020</v>
      </c>
      <c r="G5541" t="s">
        <v>10069</v>
      </c>
      <c r="H5541" s="6">
        <v>45090</v>
      </c>
      <c r="I5541">
        <f t="shared" si="172"/>
        <v>1</v>
      </c>
      <c r="J5541" t="str">
        <f t="shared" si="173"/>
        <v>Complete</v>
      </c>
      <c r="K5541">
        <f>COUNTIFS(RawData[Item], B5541,RawData[Quantity],C5541,RawData[Price Per Unit],D5541,RawData[Total Spent],E5541,RawData[Payment Method],F5541,RawData[Location],G5541,RawData[Transaction Date],H5541)</f>
        <v>1</v>
      </c>
      <c r="L5541"/>
    </row>
    <row r="5542" spans="1:12" x14ac:dyDescent="0.3">
      <c r="A5542" t="s">
        <v>5548</v>
      </c>
      <c r="B5542" t="s">
        <v>10009</v>
      </c>
      <c r="C5542">
        <v>2</v>
      </c>
      <c r="D5542">
        <v>3</v>
      </c>
      <c r="E5542">
        <v>6</v>
      </c>
      <c r="F5542" t="s">
        <v>10018</v>
      </c>
      <c r="G5542" t="s">
        <v>10069</v>
      </c>
      <c r="H5542" s="6">
        <v>45165</v>
      </c>
      <c r="I5542">
        <f t="shared" si="172"/>
        <v>0</v>
      </c>
      <c r="J5542" t="str">
        <f t="shared" si="173"/>
        <v>Complete</v>
      </c>
      <c r="K5542">
        <f>COUNTIFS(RawData[Item], B5542,RawData[Quantity],C5542,RawData[Price Per Unit],D5542,RawData[Total Spent],E5542,RawData[Payment Method],F5542,RawData[Location],G5542,RawData[Transaction Date],H5542)</f>
        <v>1</v>
      </c>
      <c r="L5542"/>
    </row>
    <row r="5543" spans="1:12" x14ac:dyDescent="0.3">
      <c r="A5543" t="s">
        <v>5549</v>
      </c>
      <c r="B5543" t="s">
        <v>10017</v>
      </c>
      <c r="C5543">
        <v>4</v>
      </c>
      <c r="D5543">
        <v>1.5</v>
      </c>
      <c r="E5543">
        <v>6</v>
      </c>
      <c r="F5543" t="s">
        <v>10069</v>
      </c>
      <c r="G5543" t="s">
        <v>10069</v>
      </c>
      <c r="H5543" s="6">
        <v>45191</v>
      </c>
      <c r="I5543">
        <f t="shared" si="172"/>
        <v>0</v>
      </c>
      <c r="J5543" t="str">
        <f t="shared" si="173"/>
        <v>Complete</v>
      </c>
      <c r="K5543">
        <f>COUNTIFS(RawData[Item], B5543,RawData[Quantity],C5543,RawData[Price Per Unit],D5543,RawData[Total Spent],E5543,RawData[Payment Method],F5543,RawData[Location],G5543,RawData[Transaction Date],H5543)</f>
        <v>1</v>
      </c>
      <c r="L5543"/>
    </row>
    <row r="5544" spans="1:12" x14ac:dyDescent="0.3">
      <c r="A5544" t="s">
        <v>5550</v>
      </c>
      <c r="B5544" t="s">
        <v>10012</v>
      </c>
      <c r="C5544">
        <v>1</v>
      </c>
      <c r="D5544">
        <v>4</v>
      </c>
      <c r="E5544">
        <v>4</v>
      </c>
      <c r="F5544" t="s">
        <v>10104</v>
      </c>
      <c r="G5544" t="s">
        <v>10069</v>
      </c>
      <c r="H5544" s="6">
        <v>44983</v>
      </c>
      <c r="I5544">
        <f t="shared" si="172"/>
        <v>1</v>
      </c>
      <c r="J5544" t="str">
        <f t="shared" si="173"/>
        <v>Complete</v>
      </c>
      <c r="K5544">
        <f>COUNTIFS(RawData[Item], B5544,RawData[Quantity],C5544,RawData[Price Per Unit],D5544,RawData[Total Spent],E5544,RawData[Payment Method],F5544,RawData[Location],G5544,RawData[Transaction Date],H5544)</f>
        <v>1</v>
      </c>
      <c r="L5544"/>
    </row>
    <row r="5545" spans="1:12" x14ac:dyDescent="0.3">
      <c r="A5545" t="s">
        <v>5551</v>
      </c>
      <c r="B5545" t="s">
        <v>10009</v>
      </c>
      <c r="C5545">
        <v>1</v>
      </c>
      <c r="D5545">
        <v>3</v>
      </c>
      <c r="E5545">
        <v>3</v>
      </c>
      <c r="F5545" t="s">
        <v>10019</v>
      </c>
      <c r="G5545" t="s">
        <v>10103</v>
      </c>
      <c r="H5545" s="6">
        <v>45272</v>
      </c>
      <c r="I5545">
        <f t="shared" si="172"/>
        <v>1</v>
      </c>
      <c r="J5545" t="str">
        <f t="shared" si="173"/>
        <v>Complete</v>
      </c>
      <c r="K5545">
        <f>COUNTIFS(RawData[Item], B5545,RawData[Quantity],C5545,RawData[Price Per Unit],D5545,RawData[Total Spent],E5545,RawData[Payment Method],F5545,RawData[Location],G5545,RawData[Transaction Date],H5545)</f>
        <v>1</v>
      </c>
      <c r="L5545"/>
    </row>
    <row r="5546" spans="1:12" x14ac:dyDescent="0.3">
      <c r="A5546" t="s">
        <v>5552</v>
      </c>
      <c r="B5546" t="s">
        <v>10010</v>
      </c>
      <c r="C5546">
        <v>3</v>
      </c>
      <c r="D5546">
        <v>1</v>
      </c>
      <c r="E5546">
        <v>3</v>
      </c>
      <c r="F5546" t="s">
        <v>10019</v>
      </c>
      <c r="G5546" t="s">
        <v>10021</v>
      </c>
      <c r="H5546" s="6">
        <v>45153</v>
      </c>
      <c r="I5546">
        <f t="shared" si="172"/>
        <v>0</v>
      </c>
      <c r="J5546" t="str">
        <f t="shared" si="173"/>
        <v>Complete</v>
      </c>
      <c r="K5546">
        <f>COUNTIFS(RawData[Item], B5546,RawData[Quantity],C5546,RawData[Price Per Unit],D5546,RawData[Total Spent],E5546,RawData[Payment Method],F5546,RawData[Location],G5546,RawData[Transaction Date],H5546)</f>
        <v>1</v>
      </c>
      <c r="L5546"/>
    </row>
    <row r="5547" spans="1:12" x14ac:dyDescent="0.3">
      <c r="A5547" t="s">
        <v>5553</v>
      </c>
      <c r="B5547" t="s">
        <v>10017</v>
      </c>
      <c r="C5547">
        <v>3</v>
      </c>
      <c r="D5547">
        <v>1.5</v>
      </c>
      <c r="E5547">
        <v>4.5</v>
      </c>
      <c r="F5547" t="s">
        <v>10069</v>
      </c>
      <c r="G5547" t="s">
        <v>10069</v>
      </c>
      <c r="H5547" s="6">
        <v>45022</v>
      </c>
      <c r="I5547">
        <f t="shared" si="172"/>
        <v>0</v>
      </c>
      <c r="J5547" t="str">
        <f t="shared" si="173"/>
        <v>Complete</v>
      </c>
      <c r="K5547">
        <f>COUNTIFS(RawData[Item], B5547,RawData[Quantity],C5547,RawData[Price Per Unit],D5547,RawData[Total Spent],E5547,RawData[Payment Method],F5547,RawData[Location],G5547,RawData[Transaction Date],H5547)</f>
        <v>1</v>
      </c>
      <c r="L5547"/>
    </row>
    <row r="5548" spans="1:12" x14ac:dyDescent="0.3">
      <c r="A5548" t="s">
        <v>5554</v>
      </c>
      <c r="B5548" t="s">
        <v>10012</v>
      </c>
      <c r="C5548">
        <v>4</v>
      </c>
      <c r="D5548">
        <v>4</v>
      </c>
      <c r="E5548">
        <v>16</v>
      </c>
      <c r="F5548" t="s">
        <v>10019</v>
      </c>
      <c r="G5548" t="s">
        <v>10069</v>
      </c>
      <c r="H5548" s="6">
        <v>45219</v>
      </c>
      <c r="I5548">
        <f t="shared" si="172"/>
        <v>0</v>
      </c>
      <c r="J5548" t="str">
        <f t="shared" si="173"/>
        <v>Complete</v>
      </c>
      <c r="K5548">
        <f>COUNTIFS(RawData[Item], B5548,RawData[Quantity],C5548,RawData[Price Per Unit],D5548,RawData[Total Spent],E5548,RawData[Payment Method],F5548,RawData[Location],G5548,RawData[Transaction Date],H5548)</f>
        <v>1</v>
      </c>
      <c r="L5548"/>
    </row>
    <row r="5549" spans="1:12" x14ac:dyDescent="0.3">
      <c r="A5549" t="s">
        <v>5555</v>
      </c>
      <c r="B5549" t="s">
        <v>10010</v>
      </c>
      <c r="C5549">
        <v>5</v>
      </c>
      <c r="D5549">
        <v>1</v>
      </c>
      <c r="E5549">
        <v>5</v>
      </c>
      <c r="F5549" t="s">
        <v>10103</v>
      </c>
      <c r="G5549" t="s">
        <v>10069</v>
      </c>
      <c r="H5549" s="6">
        <v>45057</v>
      </c>
      <c r="I5549">
        <f t="shared" si="172"/>
        <v>1</v>
      </c>
      <c r="J5549" t="str">
        <f t="shared" si="173"/>
        <v>Complete</v>
      </c>
      <c r="K5549">
        <f>COUNTIFS(RawData[Item], B5549,RawData[Quantity],C5549,RawData[Price Per Unit],D5549,RawData[Total Spent],E5549,RawData[Payment Method],F5549,RawData[Location],G5549,RawData[Transaction Date],H5549)</f>
        <v>1</v>
      </c>
      <c r="L5549"/>
    </row>
    <row r="5550" spans="1:12" x14ac:dyDescent="0.3">
      <c r="A5550" t="s">
        <v>5556</v>
      </c>
      <c r="B5550" t="s">
        <v>10017</v>
      </c>
      <c r="C5550">
        <v>1</v>
      </c>
      <c r="D5550">
        <v>1.5</v>
      </c>
      <c r="E5550">
        <v>1.5</v>
      </c>
      <c r="F5550" t="s">
        <v>10019</v>
      </c>
      <c r="G5550" t="s">
        <v>10069</v>
      </c>
      <c r="H5550" s="6">
        <v>45207</v>
      </c>
      <c r="I5550">
        <f t="shared" si="172"/>
        <v>0</v>
      </c>
      <c r="J5550" t="str">
        <f t="shared" si="173"/>
        <v>Complete</v>
      </c>
      <c r="K5550">
        <f>COUNTIFS(RawData[Item], B5550,RawData[Quantity],C5550,RawData[Price Per Unit],D5550,RawData[Total Spent],E5550,RawData[Payment Method],F5550,RawData[Location],G5550,RawData[Transaction Date],H5550)</f>
        <v>1</v>
      </c>
      <c r="L5550"/>
    </row>
    <row r="5551" spans="1:12" x14ac:dyDescent="0.3">
      <c r="A5551" t="s">
        <v>5557</v>
      </c>
      <c r="B5551" t="s">
        <v>10011</v>
      </c>
      <c r="C5551">
        <v>5</v>
      </c>
      <c r="D5551">
        <v>5</v>
      </c>
      <c r="E5551">
        <v>25</v>
      </c>
      <c r="F5551" t="s">
        <v>10019</v>
      </c>
      <c r="G5551" t="s">
        <v>10103</v>
      </c>
      <c r="H5551" s="6">
        <v>45147</v>
      </c>
      <c r="I5551">
        <f t="shared" si="172"/>
        <v>1</v>
      </c>
      <c r="J5551" t="str">
        <f t="shared" si="173"/>
        <v>Complete</v>
      </c>
      <c r="K5551">
        <f>COUNTIFS(RawData[Item], B5551,RawData[Quantity],C5551,RawData[Price Per Unit],D5551,RawData[Total Spent],E5551,RawData[Payment Method],F5551,RawData[Location],G5551,RawData[Transaction Date],H5551)</f>
        <v>1</v>
      </c>
      <c r="L5551"/>
    </row>
    <row r="5552" spans="1:12" x14ac:dyDescent="0.3">
      <c r="A5552" t="s">
        <v>5558</v>
      </c>
      <c r="B5552" t="s">
        <v>10013</v>
      </c>
      <c r="C5552">
        <v>4</v>
      </c>
      <c r="D5552">
        <v>4</v>
      </c>
      <c r="E5552">
        <v>16</v>
      </c>
      <c r="F5552" t="s">
        <v>10018</v>
      </c>
      <c r="G5552" t="s">
        <v>10069</v>
      </c>
      <c r="H5552" s="6">
        <v>45086</v>
      </c>
      <c r="I5552">
        <f t="shared" si="172"/>
        <v>1</v>
      </c>
      <c r="J5552" t="str">
        <f t="shared" si="173"/>
        <v>Complete</v>
      </c>
      <c r="K5552">
        <f>COUNTIFS(RawData[Item], B5552,RawData[Quantity],C5552,RawData[Price Per Unit],D5552,RawData[Total Spent],E5552,RawData[Payment Method],F5552,RawData[Location],G5552,RawData[Transaction Date],H5552)</f>
        <v>1</v>
      </c>
      <c r="L5552"/>
    </row>
    <row r="5553" spans="1:12" x14ac:dyDescent="0.3">
      <c r="A5553" t="s">
        <v>5559</v>
      </c>
      <c r="B5553" t="s">
        <v>10069</v>
      </c>
      <c r="C5553">
        <v>3</v>
      </c>
      <c r="D5553">
        <v>5</v>
      </c>
      <c r="E5553">
        <v>15</v>
      </c>
      <c r="F5553" t="s">
        <v>10069</v>
      </c>
      <c r="G5553" t="s">
        <v>10102</v>
      </c>
      <c r="H5553" s="6">
        <v>44938</v>
      </c>
      <c r="I5553">
        <f t="shared" si="172"/>
        <v>0</v>
      </c>
      <c r="J5553" t="str">
        <f t="shared" si="173"/>
        <v>Complete</v>
      </c>
      <c r="K5553">
        <f>COUNTIFS(RawData[Item], B5553,RawData[Quantity],C5553,RawData[Price Per Unit],D5553,RawData[Total Spent],E5553,RawData[Payment Method],F5553,RawData[Location],G5553,RawData[Transaction Date],H5553)</f>
        <v>1</v>
      </c>
      <c r="L5553"/>
    </row>
    <row r="5554" spans="1:12" x14ac:dyDescent="0.3">
      <c r="A5554" t="s">
        <v>5560</v>
      </c>
      <c r="B5554" t="s">
        <v>10014</v>
      </c>
      <c r="C5554">
        <v>5</v>
      </c>
      <c r="D5554">
        <v>4</v>
      </c>
      <c r="E5554">
        <v>20</v>
      </c>
      <c r="F5554" t="s">
        <v>10020</v>
      </c>
      <c r="G5554" t="s">
        <v>10069</v>
      </c>
      <c r="H5554" s="6">
        <v>45098</v>
      </c>
      <c r="I5554">
        <f t="shared" si="172"/>
        <v>0</v>
      </c>
      <c r="J5554" t="str">
        <f t="shared" si="173"/>
        <v>Complete</v>
      </c>
      <c r="K5554">
        <f>COUNTIFS(RawData[Item], B5554,RawData[Quantity],C5554,RawData[Price Per Unit],D5554,RawData[Total Spent],E5554,RawData[Payment Method],F5554,RawData[Location],G5554,RawData[Transaction Date],H5554)</f>
        <v>1</v>
      </c>
      <c r="L5554"/>
    </row>
    <row r="5555" spans="1:12" x14ac:dyDescent="0.3">
      <c r="A5555" t="s">
        <v>5561</v>
      </c>
      <c r="B5555" t="s">
        <v>10008</v>
      </c>
      <c r="C5555">
        <v>2</v>
      </c>
      <c r="D5555" t="s">
        <v>10013</v>
      </c>
      <c r="E5555">
        <v>4</v>
      </c>
      <c r="F5555" t="s">
        <v>10018</v>
      </c>
      <c r="G5555" t="s">
        <v>10102</v>
      </c>
      <c r="H5555" s="6">
        <v>45234</v>
      </c>
      <c r="I5555">
        <f t="shared" si="172"/>
        <v>1</v>
      </c>
      <c r="J5555" t="str">
        <f t="shared" si="173"/>
        <v>Complete</v>
      </c>
      <c r="K5555">
        <f>COUNTIFS(RawData[Item], B5555,RawData[Quantity],C5555,RawData[Price Per Unit],D5555,RawData[Total Spent],E5555,RawData[Payment Method],F5555,RawData[Location],G5555,RawData[Transaction Date],H5555)</f>
        <v>2</v>
      </c>
      <c r="L5555"/>
    </row>
    <row r="5556" spans="1:12" x14ac:dyDescent="0.3">
      <c r="A5556" t="s">
        <v>5562</v>
      </c>
      <c r="B5556" t="s">
        <v>10008</v>
      </c>
      <c r="C5556">
        <v>5</v>
      </c>
      <c r="D5556">
        <v>2</v>
      </c>
      <c r="E5556">
        <v>10</v>
      </c>
      <c r="F5556" t="s">
        <v>10019</v>
      </c>
      <c r="G5556" t="s">
        <v>10021</v>
      </c>
      <c r="H5556" s="6">
        <v>45128</v>
      </c>
      <c r="I5556">
        <f t="shared" si="172"/>
        <v>0</v>
      </c>
      <c r="J5556" t="str">
        <f t="shared" si="173"/>
        <v>Complete</v>
      </c>
      <c r="K5556">
        <f>COUNTIFS(RawData[Item], B5556,RawData[Quantity],C5556,RawData[Price Per Unit],D5556,RawData[Total Spent],E5556,RawData[Payment Method],F5556,RawData[Location],G5556,RawData[Transaction Date],H5556)</f>
        <v>1</v>
      </c>
      <c r="L5556"/>
    </row>
    <row r="5557" spans="1:12" x14ac:dyDescent="0.3">
      <c r="A5557" t="s">
        <v>5563</v>
      </c>
      <c r="B5557" t="s">
        <v>10010</v>
      </c>
      <c r="C5557">
        <v>2</v>
      </c>
      <c r="D5557">
        <v>1</v>
      </c>
      <c r="E5557">
        <v>2</v>
      </c>
      <c r="F5557" t="s">
        <v>10103</v>
      </c>
      <c r="G5557" t="s">
        <v>10069</v>
      </c>
      <c r="H5557" s="6">
        <v>45103</v>
      </c>
      <c r="I5557">
        <f t="shared" si="172"/>
        <v>1</v>
      </c>
      <c r="J5557" t="str">
        <f t="shared" si="173"/>
        <v>Complete</v>
      </c>
      <c r="K5557">
        <f>COUNTIFS(RawData[Item], B5557,RawData[Quantity],C5557,RawData[Price Per Unit],D5557,RawData[Total Spent],E5557,RawData[Payment Method],F5557,RawData[Location],G5557,RawData[Transaction Date],H5557)</f>
        <v>1</v>
      </c>
      <c r="L5557"/>
    </row>
    <row r="5558" spans="1:12" x14ac:dyDescent="0.3">
      <c r="A5558" t="s">
        <v>5564</v>
      </c>
      <c r="B5558" t="s">
        <v>10012</v>
      </c>
      <c r="C5558">
        <v>5</v>
      </c>
      <c r="D5558">
        <v>4</v>
      </c>
      <c r="E5558">
        <v>20</v>
      </c>
      <c r="F5558" t="s">
        <v>10018</v>
      </c>
      <c r="G5558" t="s">
        <v>10021</v>
      </c>
      <c r="H5558" s="6">
        <v>45248</v>
      </c>
      <c r="I5558">
        <f t="shared" si="172"/>
        <v>0</v>
      </c>
      <c r="J5558" t="str">
        <f t="shared" si="173"/>
        <v>Complete</v>
      </c>
      <c r="K5558">
        <f>COUNTIFS(RawData[Item], B5558,RawData[Quantity],C5558,RawData[Price Per Unit],D5558,RawData[Total Spent],E5558,RawData[Payment Method],F5558,RawData[Location],G5558,RawData[Transaction Date],H5558)</f>
        <v>1</v>
      </c>
      <c r="L5558"/>
    </row>
    <row r="5559" spans="1:12" x14ac:dyDescent="0.3">
      <c r="A5559" t="s">
        <v>5565</v>
      </c>
      <c r="B5559" t="s">
        <v>10010</v>
      </c>
      <c r="C5559">
        <v>4</v>
      </c>
      <c r="D5559">
        <v>1</v>
      </c>
      <c r="E5559">
        <v>4</v>
      </c>
      <c r="F5559" t="s">
        <v>10019</v>
      </c>
      <c r="G5559" t="s">
        <v>10102</v>
      </c>
      <c r="H5559" s="6">
        <v>45089</v>
      </c>
      <c r="I5559">
        <f t="shared" si="172"/>
        <v>0</v>
      </c>
      <c r="J5559" t="str">
        <f t="shared" si="173"/>
        <v>Complete</v>
      </c>
      <c r="K5559">
        <f>COUNTIFS(RawData[Item], B5559,RawData[Quantity],C5559,RawData[Price Per Unit],D5559,RawData[Total Spent],E5559,RawData[Payment Method],F5559,RawData[Location],G5559,RawData[Transaction Date],H5559)</f>
        <v>1</v>
      </c>
      <c r="L5559"/>
    </row>
    <row r="5560" spans="1:12" x14ac:dyDescent="0.3">
      <c r="A5560" t="s">
        <v>5566</v>
      </c>
      <c r="B5560" t="s">
        <v>10009</v>
      </c>
      <c r="C5560">
        <v>3</v>
      </c>
      <c r="D5560">
        <v>3</v>
      </c>
      <c r="E5560">
        <v>9</v>
      </c>
      <c r="F5560" t="s">
        <v>10103</v>
      </c>
      <c r="G5560" t="s">
        <v>10102</v>
      </c>
      <c r="H5560" s="6">
        <v>45085</v>
      </c>
      <c r="I5560">
        <f t="shared" si="172"/>
        <v>1</v>
      </c>
      <c r="J5560" t="str">
        <f t="shared" si="173"/>
        <v>Complete</v>
      </c>
      <c r="K5560">
        <f>COUNTIFS(RawData[Item], B5560,RawData[Quantity],C5560,RawData[Price Per Unit],D5560,RawData[Total Spent],E5560,RawData[Payment Method],F5560,RawData[Location],G5560,RawData[Transaction Date],H5560)</f>
        <v>1</v>
      </c>
      <c r="L5560"/>
    </row>
    <row r="5561" spans="1:12" x14ac:dyDescent="0.3">
      <c r="A5561" t="s">
        <v>5567</v>
      </c>
      <c r="B5561" t="s">
        <v>10008</v>
      </c>
      <c r="C5561">
        <v>1</v>
      </c>
      <c r="D5561">
        <v>2</v>
      </c>
      <c r="E5561">
        <v>2</v>
      </c>
      <c r="F5561" t="s">
        <v>10019</v>
      </c>
      <c r="G5561" t="s">
        <v>10021</v>
      </c>
      <c r="H5561" s="6">
        <v>45017</v>
      </c>
      <c r="I5561">
        <f t="shared" si="172"/>
        <v>0</v>
      </c>
      <c r="J5561" t="str">
        <f t="shared" si="173"/>
        <v>Complete</v>
      </c>
      <c r="K5561">
        <f>COUNTIFS(RawData[Item], B5561,RawData[Quantity],C5561,RawData[Price Per Unit],D5561,RawData[Total Spent],E5561,RawData[Payment Method],F5561,RawData[Location],G5561,RawData[Transaction Date],H5561)</f>
        <v>1</v>
      </c>
      <c r="L5561"/>
    </row>
    <row r="5562" spans="1:12" x14ac:dyDescent="0.3">
      <c r="A5562" t="s">
        <v>5568</v>
      </c>
      <c r="B5562" t="s">
        <v>10012</v>
      </c>
      <c r="C5562">
        <v>4</v>
      </c>
      <c r="D5562">
        <v>4</v>
      </c>
      <c r="E5562">
        <v>16</v>
      </c>
      <c r="F5562" t="s">
        <v>10019</v>
      </c>
      <c r="G5562" t="s">
        <v>10069</v>
      </c>
      <c r="H5562" s="6">
        <v>45188</v>
      </c>
      <c r="I5562">
        <f t="shared" si="172"/>
        <v>0</v>
      </c>
      <c r="J5562" t="str">
        <f t="shared" si="173"/>
        <v>Complete</v>
      </c>
      <c r="K5562">
        <f>COUNTIFS(RawData[Item], B5562,RawData[Quantity],C5562,RawData[Price Per Unit],D5562,RawData[Total Spent],E5562,RawData[Payment Method],F5562,RawData[Location],G5562,RawData[Transaction Date],H5562)</f>
        <v>2</v>
      </c>
      <c r="L5562"/>
    </row>
    <row r="5563" spans="1:12" x14ac:dyDescent="0.3">
      <c r="A5563" t="s">
        <v>5569</v>
      </c>
      <c r="B5563" t="s">
        <v>10009</v>
      </c>
      <c r="C5563">
        <v>5</v>
      </c>
      <c r="D5563">
        <v>3</v>
      </c>
      <c r="E5563">
        <v>15</v>
      </c>
      <c r="F5563" t="s">
        <v>10069</v>
      </c>
      <c r="G5563" t="s">
        <v>10069</v>
      </c>
      <c r="H5563" s="6">
        <v>45244</v>
      </c>
      <c r="I5563">
        <f t="shared" si="172"/>
        <v>0</v>
      </c>
      <c r="J5563" t="str">
        <f t="shared" si="173"/>
        <v>Complete</v>
      </c>
      <c r="K5563">
        <f>COUNTIFS(RawData[Item], B5563,RawData[Quantity],C5563,RawData[Price Per Unit],D5563,RawData[Total Spent],E5563,RawData[Payment Method],F5563,RawData[Location],G5563,RawData[Transaction Date],H5563)</f>
        <v>1</v>
      </c>
      <c r="L5563"/>
    </row>
    <row r="5564" spans="1:12" x14ac:dyDescent="0.3">
      <c r="A5564" t="s">
        <v>5570</v>
      </c>
      <c r="B5564" t="s">
        <v>10014</v>
      </c>
      <c r="C5564">
        <v>2</v>
      </c>
      <c r="D5564">
        <v>4</v>
      </c>
      <c r="E5564">
        <v>8</v>
      </c>
      <c r="F5564" t="s">
        <v>10019</v>
      </c>
      <c r="G5564" t="s">
        <v>10102</v>
      </c>
      <c r="H5564" s="6">
        <v>45123</v>
      </c>
      <c r="I5564">
        <f t="shared" si="172"/>
        <v>0</v>
      </c>
      <c r="J5564" t="str">
        <f t="shared" si="173"/>
        <v>Complete</v>
      </c>
      <c r="K5564">
        <f>COUNTIFS(RawData[Item], B5564,RawData[Quantity],C5564,RawData[Price Per Unit],D5564,RawData[Total Spent],E5564,RawData[Payment Method],F5564,RawData[Location],G5564,RawData[Transaction Date],H5564)</f>
        <v>1</v>
      </c>
      <c r="L5564"/>
    </row>
    <row r="5565" spans="1:12" x14ac:dyDescent="0.3">
      <c r="A5565" t="s">
        <v>5571</v>
      </c>
      <c r="B5565" t="s">
        <v>10016</v>
      </c>
      <c r="C5565">
        <v>5</v>
      </c>
      <c r="D5565">
        <v>3</v>
      </c>
      <c r="E5565">
        <v>15</v>
      </c>
      <c r="F5565" t="s">
        <v>10018</v>
      </c>
      <c r="G5565" t="s">
        <v>10069</v>
      </c>
      <c r="H5565" s="6">
        <v>45242</v>
      </c>
      <c r="I5565">
        <f t="shared" si="172"/>
        <v>0</v>
      </c>
      <c r="J5565" t="str">
        <f t="shared" si="173"/>
        <v>Complete</v>
      </c>
      <c r="K5565">
        <f>COUNTIFS(RawData[Item], B5565,RawData[Quantity],C5565,RawData[Price Per Unit],D5565,RawData[Total Spent],E5565,RawData[Payment Method],F5565,RawData[Location],G5565,RawData[Transaction Date],H5565)</f>
        <v>1</v>
      </c>
      <c r="L5565"/>
    </row>
    <row r="5566" spans="1:12" x14ac:dyDescent="0.3">
      <c r="A5566" t="s">
        <v>5572</v>
      </c>
      <c r="B5566" t="s">
        <v>10014</v>
      </c>
      <c r="C5566">
        <v>3</v>
      </c>
      <c r="D5566">
        <v>4</v>
      </c>
      <c r="E5566">
        <v>12</v>
      </c>
      <c r="F5566" t="s">
        <v>10069</v>
      </c>
      <c r="G5566" t="s">
        <v>10102</v>
      </c>
      <c r="H5566" s="6">
        <v>45026</v>
      </c>
      <c r="I5566">
        <f t="shared" si="172"/>
        <v>0</v>
      </c>
      <c r="J5566" t="str">
        <f t="shared" si="173"/>
        <v>Complete</v>
      </c>
      <c r="K5566">
        <f>COUNTIFS(RawData[Item], B5566,RawData[Quantity],C5566,RawData[Price Per Unit],D5566,RawData[Total Spent],E5566,RawData[Payment Method],F5566,RawData[Location],G5566,RawData[Transaction Date],H5566)</f>
        <v>1</v>
      </c>
      <c r="L5566"/>
    </row>
    <row r="5567" spans="1:12" x14ac:dyDescent="0.3">
      <c r="A5567" t="s">
        <v>5573</v>
      </c>
      <c r="B5567" t="s">
        <v>10010</v>
      </c>
      <c r="C5567">
        <v>5</v>
      </c>
      <c r="D5567">
        <v>1</v>
      </c>
      <c r="E5567">
        <v>5</v>
      </c>
      <c r="F5567" t="s">
        <v>10019</v>
      </c>
      <c r="G5567" t="s">
        <v>10104</v>
      </c>
      <c r="H5567" s="6">
        <v>45197</v>
      </c>
      <c r="I5567">
        <f t="shared" si="172"/>
        <v>1</v>
      </c>
      <c r="J5567" t="str">
        <f t="shared" si="173"/>
        <v>Complete</v>
      </c>
      <c r="K5567">
        <f>COUNTIFS(RawData[Item], B5567,RawData[Quantity],C5567,RawData[Price Per Unit],D5567,RawData[Total Spent],E5567,RawData[Payment Method],F5567,RawData[Location],G5567,RawData[Transaction Date],H5567)</f>
        <v>1</v>
      </c>
      <c r="L5567"/>
    </row>
    <row r="5568" spans="1:12" x14ac:dyDescent="0.3">
      <c r="A5568" t="s">
        <v>5574</v>
      </c>
      <c r="B5568" t="s">
        <v>10010</v>
      </c>
      <c r="C5568">
        <v>4</v>
      </c>
      <c r="D5568">
        <v>1</v>
      </c>
      <c r="E5568">
        <v>4</v>
      </c>
      <c r="F5568" t="s">
        <v>10018</v>
      </c>
      <c r="G5568" t="s">
        <v>10021</v>
      </c>
      <c r="H5568" s="6">
        <v>45200</v>
      </c>
      <c r="I5568">
        <f t="shared" si="172"/>
        <v>0</v>
      </c>
      <c r="J5568" t="str">
        <f t="shared" si="173"/>
        <v>Complete</v>
      </c>
      <c r="K5568">
        <f>COUNTIFS(RawData[Item], B5568,RawData[Quantity],C5568,RawData[Price Per Unit],D5568,RawData[Total Spent],E5568,RawData[Payment Method],F5568,RawData[Location],G5568,RawData[Transaction Date],H5568)</f>
        <v>1</v>
      </c>
      <c r="L5568"/>
    </row>
    <row r="5569" spans="1:12" x14ac:dyDescent="0.3">
      <c r="A5569" t="s">
        <v>5575</v>
      </c>
      <c r="B5569" t="s">
        <v>10011</v>
      </c>
      <c r="C5569" t="s">
        <v>10013</v>
      </c>
      <c r="D5569">
        <v>5</v>
      </c>
      <c r="E5569">
        <v>10</v>
      </c>
      <c r="F5569" t="s">
        <v>10069</v>
      </c>
      <c r="G5569" t="s">
        <v>10021</v>
      </c>
      <c r="H5569" s="6">
        <v>45024</v>
      </c>
      <c r="I5569">
        <f t="shared" si="172"/>
        <v>1</v>
      </c>
      <c r="J5569" t="str">
        <f t="shared" si="173"/>
        <v>Complete</v>
      </c>
      <c r="K5569">
        <f>COUNTIFS(RawData[Item], B5569,RawData[Quantity],C5569,RawData[Price Per Unit],D5569,RawData[Total Spent],E5569,RawData[Payment Method],F5569,RawData[Location],G5569,RawData[Transaction Date],H5569)</f>
        <v>1</v>
      </c>
      <c r="L5569"/>
    </row>
    <row r="5570" spans="1:12" x14ac:dyDescent="0.3">
      <c r="A5570" t="s">
        <v>5576</v>
      </c>
      <c r="B5570" t="s">
        <v>10016</v>
      </c>
      <c r="C5570">
        <v>0</v>
      </c>
      <c r="D5570">
        <v>3</v>
      </c>
      <c r="E5570">
        <v>9</v>
      </c>
      <c r="F5570" t="s">
        <v>10018</v>
      </c>
      <c r="G5570" t="s">
        <v>10069</v>
      </c>
      <c r="H5570" s="6">
        <v>45204</v>
      </c>
      <c r="I5570">
        <f t="shared" ref="I5570:I5633" si="174">(B5570="Unknown")+(B5570="Error")+(C5570="Unknown")+(C5570="Error")+(D5570="Unknown")+(D5570="Error")+(E5570="Unknown")+(E5570="Error")+(F5570="Unknown")+(F5570="Error")+(G5570="Unknown")+(G5570="Error")+(H5570="No Date")</f>
        <v>0</v>
      </c>
      <c r="J5570" t="str">
        <f t="shared" ref="J5570:J5633" si="175">IF((H5570="No Date"),"Incomplete","Complete")</f>
        <v>Complete</v>
      </c>
      <c r="K5570">
        <f>COUNTIFS(RawData[Item], B5570,RawData[Quantity],C5570,RawData[Price Per Unit],D5570,RawData[Total Spent],E5570,RawData[Payment Method],F5570,RawData[Location],G5570,RawData[Transaction Date],H5570)</f>
        <v>1</v>
      </c>
      <c r="L5570"/>
    </row>
    <row r="5571" spans="1:12" x14ac:dyDescent="0.3">
      <c r="A5571" t="s">
        <v>5577</v>
      </c>
      <c r="B5571" t="s">
        <v>10010</v>
      </c>
      <c r="C5571">
        <v>5</v>
      </c>
      <c r="D5571">
        <v>1</v>
      </c>
      <c r="E5571">
        <v>5</v>
      </c>
      <c r="F5571" t="s">
        <v>10018</v>
      </c>
      <c r="G5571" t="s">
        <v>10021</v>
      </c>
      <c r="H5571" s="6">
        <v>45195</v>
      </c>
      <c r="I5571">
        <f t="shared" si="174"/>
        <v>0</v>
      </c>
      <c r="J5571" t="str">
        <f t="shared" si="175"/>
        <v>Complete</v>
      </c>
      <c r="K5571">
        <f>COUNTIFS(RawData[Item], B5571,RawData[Quantity],C5571,RawData[Price Per Unit],D5571,RawData[Total Spent],E5571,RawData[Payment Method],F5571,RawData[Location],G5571,RawData[Transaction Date],H5571)</f>
        <v>1</v>
      </c>
      <c r="L5571"/>
    </row>
    <row r="5572" spans="1:12" x14ac:dyDescent="0.3">
      <c r="A5572" t="s">
        <v>5578</v>
      </c>
      <c r="B5572" t="s">
        <v>10013</v>
      </c>
      <c r="C5572">
        <v>4</v>
      </c>
      <c r="D5572">
        <v>1</v>
      </c>
      <c r="E5572">
        <v>4</v>
      </c>
      <c r="F5572" t="s">
        <v>10019</v>
      </c>
      <c r="G5572" t="s">
        <v>10021</v>
      </c>
      <c r="H5572" s="6">
        <v>45248</v>
      </c>
      <c r="I5572">
        <f t="shared" si="174"/>
        <v>1</v>
      </c>
      <c r="J5572" t="str">
        <f t="shared" si="175"/>
        <v>Complete</v>
      </c>
      <c r="K5572">
        <f>COUNTIFS(RawData[Item], B5572,RawData[Quantity],C5572,RawData[Price Per Unit],D5572,RawData[Total Spent],E5572,RawData[Payment Method],F5572,RawData[Location],G5572,RawData[Transaction Date],H5572)</f>
        <v>1</v>
      </c>
      <c r="L5572"/>
    </row>
    <row r="5573" spans="1:12" x14ac:dyDescent="0.3">
      <c r="A5573" t="s">
        <v>5579</v>
      </c>
      <c r="B5573" t="s">
        <v>10010</v>
      </c>
      <c r="C5573">
        <v>1</v>
      </c>
      <c r="D5573">
        <v>1</v>
      </c>
      <c r="E5573">
        <v>1</v>
      </c>
      <c r="F5573" t="s">
        <v>10019</v>
      </c>
      <c r="G5573" t="s">
        <v>10102</v>
      </c>
      <c r="H5573" s="6">
        <v>45147</v>
      </c>
      <c r="I5573">
        <f t="shared" si="174"/>
        <v>0</v>
      </c>
      <c r="J5573" t="str">
        <f t="shared" si="175"/>
        <v>Complete</v>
      </c>
      <c r="K5573">
        <f>COUNTIFS(RawData[Item], B5573,RawData[Quantity],C5573,RawData[Price Per Unit],D5573,RawData[Total Spent],E5573,RawData[Payment Method],F5573,RawData[Location],G5573,RawData[Transaction Date],H5573)</f>
        <v>1</v>
      </c>
      <c r="L5573"/>
    </row>
    <row r="5574" spans="1:12" x14ac:dyDescent="0.3">
      <c r="A5574" t="s">
        <v>5580</v>
      </c>
      <c r="B5574" t="s">
        <v>10011</v>
      </c>
      <c r="C5574">
        <v>4</v>
      </c>
      <c r="D5574">
        <v>5</v>
      </c>
      <c r="E5574">
        <v>20</v>
      </c>
      <c r="F5574" t="s">
        <v>10020</v>
      </c>
      <c r="G5574" t="s">
        <v>10021</v>
      </c>
      <c r="H5574" s="6">
        <v>45206</v>
      </c>
      <c r="I5574">
        <f t="shared" si="174"/>
        <v>0</v>
      </c>
      <c r="J5574" t="str">
        <f t="shared" si="175"/>
        <v>Complete</v>
      </c>
      <c r="K5574">
        <f>COUNTIFS(RawData[Item], B5574,RawData[Quantity],C5574,RawData[Price Per Unit],D5574,RawData[Total Spent],E5574,RawData[Payment Method],F5574,RawData[Location],G5574,RawData[Transaction Date],H5574)</f>
        <v>1</v>
      </c>
      <c r="L5574"/>
    </row>
    <row r="5575" spans="1:12" x14ac:dyDescent="0.3">
      <c r="A5575" t="s">
        <v>5581</v>
      </c>
      <c r="B5575" t="s">
        <v>10011</v>
      </c>
      <c r="C5575">
        <v>3</v>
      </c>
      <c r="D5575">
        <v>5</v>
      </c>
      <c r="E5575">
        <v>15</v>
      </c>
      <c r="F5575" t="s">
        <v>10020</v>
      </c>
      <c r="G5575" t="s">
        <v>10102</v>
      </c>
      <c r="H5575" s="6">
        <v>45260</v>
      </c>
      <c r="I5575">
        <f t="shared" si="174"/>
        <v>0</v>
      </c>
      <c r="J5575" t="str">
        <f t="shared" si="175"/>
        <v>Complete</v>
      </c>
      <c r="K5575">
        <f>COUNTIFS(RawData[Item], B5575,RawData[Quantity],C5575,RawData[Price Per Unit],D5575,RawData[Total Spent],E5575,RawData[Payment Method],F5575,RawData[Location],G5575,RawData[Transaction Date],H5575)</f>
        <v>1</v>
      </c>
      <c r="L5575"/>
    </row>
    <row r="5576" spans="1:12" x14ac:dyDescent="0.3">
      <c r="A5576" t="s">
        <v>5582</v>
      </c>
      <c r="B5576" t="s">
        <v>10009</v>
      </c>
      <c r="C5576">
        <v>2</v>
      </c>
      <c r="D5576">
        <v>3</v>
      </c>
      <c r="E5576">
        <v>6</v>
      </c>
      <c r="F5576" t="s">
        <v>10020</v>
      </c>
      <c r="G5576" t="s">
        <v>10021</v>
      </c>
      <c r="H5576" s="6">
        <v>45177</v>
      </c>
      <c r="I5576">
        <f t="shared" si="174"/>
        <v>0</v>
      </c>
      <c r="J5576" t="str">
        <f t="shared" si="175"/>
        <v>Complete</v>
      </c>
      <c r="K5576">
        <f>COUNTIFS(RawData[Item], B5576,RawData[Quantity],C5576,RawData[Price Per Unit],D5576,RawData[Total Spent],E5576,RawData[Payment Method],F5576,RawData[Location],G5576,RawData[Transaction Date],H5576)</f>
        <v>1</v>
      </c>
      <c r="L5576"/>
    </row>
    <row r="5577" spans="1:12" x14ac:dyDescent="0.3">
      <c r="A5577" t="s">
        <v>5583</v>
      </c>
      <c r="B5577" t="s">
        <v>10009</v>
      </c>
      <c r="C5577" t="s">
        <v>10013</v>
      </c>
      <c r="D5577">
        <v>3</v>
      </c>
      <c r="E5577">
        <v>9</v>
      </c>
      <c r="F5577" t="s">
        <v>10069</v>
      </c>
      <c r="G5577" t="s">
        <v>10069</v>
      </c>
      <c r="H5577" s="6">
        <v>45106</v>
      </c>
      <c r="I5577">
        <f t="shared" si="174"/>
        <v>1</v>
      </c>
      <c r="J5577" t="str">
        <f t="shared" si="175"/>
        <v>Complete</v>
      </c>
      <c r="K5577">
        <f>COUNTIFS(RawData[Item], B5577,RawData[Quantity],C5577,RawData[Price Per Unit],D5577,RawData[Total Spent],E5577,RawData[Payment Method],F5577,RawData[Location],G5577,RawData[Transaction Date],H5577)</f>
        <v>1</v>
      </c>
      <c r="L5577"/>
    </row>
    <row r="5578" spans="1:12" x14ac:dyDescent="0.3">
      <c r="A5578" t="s">
        <v>5584</v>
      </c>
      <c r="B5578" t="s">
        <v>10013</v>
      </c>
      <c r="C5578">
        <v>2</v>
      </c>
      <c r="D5578">
        <v>4</v>
      </c>
      <c r="E5578">
        <v>8</v>
      </c>
      <c r="F5578" t="s">
        <v>10018</v>
      </c>
      <c r="G5578" t="s">
        <v>10102</v>
      </c>
      <c r="H5578" s="6">
        <v>45013</v>
      </c>
      <c r="I5578">
        <f t="shared" si="174"/>
        <v>1</v>
      </c>
      <c r="J5578" t="str">
        <f t="shared" si="175"/>
        <v>Complete</v>
      </c>
      <c r="K5578">
        <f>COUNTIFS(RawData[Item], B5578,RawData[Quantity],C5578,RawData[Price Per Unit],D5578,RawData[Total Spent],E5578,RawData[Payment Method],F5578,RawData[Location],G5578,RawData[Transaction Date],H5578)</f>
        <v>1</v>
      </c>
      <c r="L5578"/>
    </row>
    <row r="5579" spans="1:12" x14ac:dyDescent="0.3">
      <c r="A5579" t="s">
        <v>5585</v>
      </c>
      <c r="B5579" t="s">
        <v>10017</v>
      </c>
      <c r="C5579">
        <v>3</v>
      </c>
      <c r="D5579">
        <v>1.5</v>
      </c>
      <c r="E5579">
        <v>4.5</v>
      </c>
      <c r="F5579" t="s">
        <v>10069</v>
      </c>
      <c r="G5579" t="s">
        <v>10021</v>
      </c>
      <c r="H5579" s="6">
        <v>45076</v>
      </c>
      <c r="I5579">
        <f t="shared" si="174"/>
        <v>0</v>
      </c>
      <c r="J5579" t="str">
        <f t="shared" si="175"/>
        <v>Complete</v>
      </c>
      <c r="K5579">
        <f>COUNTIFS(RawData[Item], B5579,RawData[Quantity],C5579,RawData[Price Per Unit],D5579,RawData[Total Spent],E5579,RawData[Payment Method],F5579,RawData[Location],G5579,RawData[Transaction Date],H5579)</f>
        <v>1</v>
      </c>
      <c r="L5579"/>
    </row>
    <row r="5580" spans="1:12" x14ac:dyDescent="0.3">
      <c r="A5580" t="s">
        <v>5586</v>
      </c>
      <c r="B5580" t="s">
        <v>10016</v>
      </c>
      <c r="C5580">
        <v>3</v>
      </c>
      <c r="D5580">
        <v>3</v>
      </c>
      <c r="E5580">
        <v>9</v>
      </c>
      <c r="F5580" t="s">
        <v>10019</v>
      </c>
      <c r="G5580" t="s">
        <v>10103</v>
      </c>
      <c r="H5580" s="6">
        <v>45105</v>
      </c>
      <c r="I5580">
        <f t="shared" si="174"/>
        <v>1</v>
      </c>
      <c r="J5580" t="str">
        <f t="shared" si="175"/>
        <v>Complete</v>
      </c>
      <c r="K5580">
        <f>COUNTIFS(RawData[Item], B5580,RawData[Quantity],C5580,RawData[Price Per Unit],D5580,RawData[Total Spent],E5580,RawData[Payment Method],F5580,RawData[Location],G5580,RawData[Transaction Date],H5580)</f>
        <v>1</v>
      </c>
      <c r="L5580"/>
    </row>
    <row r="5581" spans="1:12" x14ac:dyDescent="0.3">
      <c r="A5581" t="s">
        <v>5587</v>
      </c>
      <c r="B5581" t="s">
        <v>10017</v>
      </c>
      <c r="C5581">
        <v>1</v>
      </c>
      <c r="D5581">
        <v>1.5</v>
      </c>
      <c r="E5581">
        <v>1.5</v>
      </c>
      <c r="F5581" t="s">
        <v>10019</v>
      </c>
      <c r="G5581" t="s">
        <v>10102</v>
      </c>
      <c r="H5581" s="6">
        <v>45264</v>
      </c>
      <c r="I5581">
        <f t="shared" si="174"/>
        <v>0</v>
      </c>
      <c r="J5581" t="str">
        <f t="shared" si="175"/>
        <v>Complete</v>
      </c>
      <c r="K5581">
        <f>COUNTIFS(RawData[Item], B5581,RawData[Quantity],C5581,RawData[Price Per Unit],D5581,RawData[Total Spent],E5581,RawData[Payment Method],F5581,RawData[Location],G5581,RawData[Transaction Date],H5581)</f>
        <v>1</v>
      </c>
      <c r="L5581"/>
    </row>
    <row r="5582" spans="1:12" x14ac:dyDescent="0.3">
      <c r="A5582" t="s">
        <v>5588</v>
      </c>
      <c r="B5582" t="s">
        <v>10015</v>
      </c>
      <c r="C5582">
        <v>5</v>
      </c>
      <c r="D5582">
        <v>4</v>
      </c>
      <c r="E5582">
        <v>20</v>
      </c>
      <c r="F5582" t="s">
        <v>10020</v>
      </c>
      <c r="G5582" t="s">
        <v>10021</v>
      </c>
      <c r="H5582" s="6">
        <v>45246</v>
      </c>
      <c r="I5582">
        <f t="shared" si="174"/>
        <v>1</v>
      </c>
      <c r="J5582" t="str">
        <f t="shared" si="175"/>
        <v>Complete</v>
      </c>
      <c r="K5582">
        <f>COUNTIFS(RawData[Item], B5582,RawData[Quantity],C5582,RawData[Price Per Unit],D5582,RawData[Total Spent],E5582,RawData[Payment Method],F5582,RawData[Location],G5582,RawData[Transaction Date],H5582)</f>
        <v>1</v>
      </c>
      <c r="L5582"/>
    </row>
    <row r="5583" spans="1:12" x14ac:dyDescent="0.3">
      <c r="A5583" t="s">
        <v>5589</v>
      </c>
      <c r="B5583" t="s">
        <v>10011</v>
      </c>
      <c r="C5583">
        <v>3</v>
      </c>
      <c r="D5583">
        <v>5</v>
      </c>
      <c r="E5583">
        <v>15</v>
      </c>
      <c r="F5583" t="s">
        <v>10020</v>
      </c>
      <c r="G5583" t="s">
        <v>10102</v>
      </c>
      <c r="H5583" s="6">
        <v>44950</v>
      </c>
      <c r="I5583">
        <f t="shared" si="174"/>
        <v>0</v>
      </c>
      <c r="J5583" t="str">
        <f t="shared" si="175"/>
        <v>Complete</v>
      </c>
      <c r="K5583">
        <f>COUNTIFS(RawData[Item], B5583,RawData[Quantity],C5583,RawData[Price Per Unit],D5583,RawData[Total Spent],E5583,RawData[Payment Method],F5583,RawData[Location],G5583,RawData[Transaction Date],H5583)</f>
        <v>1</v>
      </c>
      <c r="L5583"/>
    </row>
    <row r="5584" spans="1:12" x14ac:dyDescent="0.3">
      <c r="A5584" t="s">
        <v>5590</v>
      </c>
      <c r="B5584" t="s">
        <v>10012</v>
      </c>
      <c r="C5584">
        <v>4</v>
      </c>
      <c r="D5584">
        <v>0</v>
      </c>
      <c r="E5584">
        <v>16</v>
      </c>
      <c r="F5584" t="s">
        <v>10020</v>
      </c>
      <c r="G5584" t="s">
        <v>10069</v>
      </c>
      <c r="H5584" s="6">
        <v>44970</v>
      </c>
      <c r="I5584">
        <f t="shared" si="174"/>
        <v>0</v>
      </c>
      <c r="J5584" t="str">
        <f t="shared" si="175"/>
        <v>Complete</v>
      </c>
      <c r="K5584">
        <f>COUNTIFS(RawData[Item], B5584,RawData[Quantity],C5584,RawData[Price Per Unit],D5584,RawData[Total Spent],E5584,RawData[Payment Method],F5584,RawData[Location],G5584,RawData[Transaction Date],H5584)</f>
        <v>1</v>
      </c>
      <c r="L5584"/>
    </row>
    <row r="5585" spans="1:12" x14ac:dyDescent="0.3">
      <c r="A5585" t="s">
        <v>5591</v>
      </c>
      <c r="B5585" t="s">
        <v>10010</v>
      </c>
      <c r="C5585">
        <v>3</v>
      </c>
      <c r="D5585">
        <v>1</v>
      </c>
      <c r="E5585">
        <v>3</v>
      </c>
      <c r="F5585" t="s">
        <v>10020</v>
      </c>
      <c r="G5585" t="s">
        <v>10021</v>
      </c>
      <c r="H5585" s="6">
        <v>45006</v>
      </c>
      <c r="I5585">
        <f t="shared" si="174"/>
        <v>0</v>
      </c>
      <c r="J5585" t="str">
        <f t="shared" si="175"/>
        <v>Complete</v>
      </c>
      <c r="K5585">
        <f>COUNTIFS(RawData[Item], B5585,RawData[Quantity],C5585,RawData[Price Per Unit],D5585,RawData[Total Spent],E5585,RawData[Payment Method],F5585,RawData[Location],G5585,RawData[Transaction Date],H5585)</f>
        <v>1</v>
      </c>
      <c r="L5585"/>
    </row>
    <row r="5586" spans="1:12" x14ac:dyDescent="0.3">
      <c r="A5586" t="s">
        <v>5592</v>
      </c>
      <c r="B5586" t="s">
        <v>10016</v>
      </c>
      <c r="C5586">
        <v>3</v>
      </c>
      <c r="D5586">
        <v>3</v>
      </c>
      <c r="E5586">
        <v>9</v>
      </c>
      <c r="F5586" t="s">
        <v>10020</v>
      </c>
      <c r="G5586" t="s">
        <v>10021</v>
      </c>
      <c r="H5586" s="6">
        <v>45047</v>
      </c>
      <c r="I5586">
        <f t="shared" si="174"/>
        <v>0</v>
      </c>
      <c r="J5586" t="str">
        <f t="shared" si="175"/>
        <v>Complete</v>
      </c>
      <c r="K5586">
        <f>COUNTIFS(RawData[Item], B5586,RawData[Quantity],C5586,RawData[Price Per Unit],D5586,RawData[Total Spent],E5586,RawData[Payment Method],F5586,RawData[Location],G5586,RawData[Transaction Date],H5586)</f>
        <v>1</v>
      </c>
      <c r="L5586"/>
    </row>
    <row r="5587" spans="1:12" x14ac:dyDescent="0.3">
      <c r="A5587" t="s">
        <v>5593</v>
      </c>
      <c r="B5587" t="s">
        <v>10008</v>
      </c>
      <c r="C5587">
        <v>3</v>
      </c>
      <c r="D5587">
        <v>2</v>
      </c>
      <c r="E5587">
        <v>6</v>
      </c>
      <c r="F5587" t="s">
        <v>10069</v>
      </c>
      <c r="G5587" t="s">
        <v>10021</v>
      </c>
      <c r="H5587" s="6">
        <v>45073</v>
      </c>
      <c r="I5587">
        <f t="shared" si="174"/>
        <v>0</v>
      </c>
      <c r="J5587" t="str">
        <f t="shared" si="175"/>
        <v>Complete</v>
      </c>
      <c r="K5587">
        <f>COUNTIFS(RawData[Item], B5587,RawData[Quantity],C5587,RawData[Price Per Unit],D5587,RawData[Total Spent],E5587,RawData[Payment Method],F5587,RawData[Location],G5587,RawData[Transaction Date],H5587)</f>
        <v>1</v>
      </c>
      <c r="L5587"/>
    </row>
    <row r="5588" spans="1:12" x14ac:dyDescent="0.3">
      <c r="A5588" t="s">
        <v>5594</v>
      </c>
      <c r="B5588" t="s">
        <v>10017</v>
      </c>
      <c r="C5588">
        <v>3</v>
      </c>
      <c r="D5588">
        <v>1.5</v>
      </c>
      <c r="E5588">
        <v>4.5</v>
      </c>
      <c r="F5588" t="s">
        <v>10019</v>
      </c>
      <c r="G5588" t="s">
        <v>10021</v>
      </c>
      <c r="H5588" s="6">
        <v>45255</v>
      </c>
      <c r="I5588">
        <f t="shared" si="174"/>
        <v>0</v>
      </c>
      <c r="J5588" t="str">
        <f t="shared" si="175"/>
        <v>Complete</v>
      </c>
      <c r="K5588">
        <f>COUNTIFS(RawData[Item], B5588,RawData[Quantity],C5588,RawData[Price Per Unit],D5588,RawData[Total Spent],E5588,RawData[Payment Method],F5588,RawData[Location],G5588,RawData[Transaction Date],H5588)</f>
        <v>1</v>
      </c>
      <c r="L5588"/>
    </row>
    <row r="5589" spans="1:12" x14ac:dyDescent="0.3">
      <c r="A5589" t="s">
        <v>5595</v>
      </c>
      <c r="B5589" t="s">
        <v>10012</v>
      </c>
      <c r="C5589">
        <v>2</v>
      </c>
      <c r="D5589">
        <v>4</v>
      </c>
      <c r="E5589">
        <v>8</v>
      </c>
      <c r="F5589" t="s">
        <v>10018</v>
      </c>
      <c r="G5589" t="s">
        <v>10102</v>
      </c>
      <c r="H5589" s="6">
        <v>44934</v>
      </c>
      <c r="I5589">
        <f t="shared" si="174"/>
        <v>0</v>
      </c>
      <c r="J5589" t="str">
        <f t="shared" si="175"/>
        <v>Complete</v>
      </c>
      <c r="K5589">
        <f>COUNTIFS(RawData[Item], B5589,RawData[Quantity],C5589,RawData[Price Per Unit],D5589,RawData[Total Spent],E5589,RawData[Payment Method],F5589,RawData[Location],G5589,RawData[Transaction Date],H5589)</f>
        <v>1</v>
      </c>
      <c r="L5589"/>
    </row>
    <row r="5590" spans="1:12" x14ac:dyDescent="0.3">
      <c r="A5590" t="s">
        <v>5596</v>
      </c>
      <c r="B5590" t="s">
        <v>10010</v>
      </c>
      <c r="C5590">
        <v>1</v>
      </c>
      <c r="D5590">
        <v>1</v>
      </c>
      <c r="E5590">
        <v>1</v>
      </c>
      <c r="F5590" t="s">
        <v>10069</v>
      </c>
      <c r="G5590" t="s">
        <v>10069</v>
      </c>
      <c r="H5590" s="6">
        <v>44933</v>
      </c>
      <c r="I5590">
        <f t="shared" si="174"/>
        <v>0</v>
      </c>
      <c r="J5590" t="str">
        <f t="shared" si="175"/>
        <v>Complete</v>
      </c>
      <c r="K5590">
        <f>COUNTIFS(RawData[Item], B5590,RawData[Quantity],C5590,RawData[Price Per Unit],D5590,RawData[Total Spent],E5590,RawData[Payment Method],F5590,RawData[Location],G5590,RawData[Transaction Date],H5590)</f>
        <v>1</v>
      </c>
      <c r="L5590"/>
    </row>
    <row r="5591" spans="1:12" x14ac:dyDescent="0.3">
      <c r="A5591" t="s">
        <v>5597</v>
      </c>
      <c r="B5591" t="s">
        <v>10016</v>
      </c>
      <c r="C5591">
        <v>1</v>
      </c>
      <c r="D5591">
        <v>3</v>
      </c>
      <c r="E5591">
        <v>3</v>
      </c>
      <c r="F5591" t="s">
        <v>10069</v>
      </c>
      <c r="G5591" t="s">
        <v>10021</v>
      </c>
      <c r="H5591" s="6">
        <v>44929</v>
      </c>
      <c r="I5591">
        <f t="shared" si="174"/>
        <v>0</v>
      </c>
      <c r="J5591" t="str">
        <f t="shared" si="175"/>
        <v>Complete</v>
      </c>
      <c r="K5591">
        <f>COUNTIFS(RawData[Item], B5591,RawData[Quantity],C5591,RawData[Price Per Unit],D5591,RawData[Total Spent],E5591,RawData[Payment Method],F5591,RawData[Location],G5591,RawData[Transaction Date],H5591)</f>
        <v>1</v>
      </c>
      <c r="L5591"/>
    </row>
    <row r="5592" spans="1:12" x14ac:dyDescent="0.3">
      <c r="A5592" t="s">
        <v>5598</v>
      </c>
      <c r="B5592" t="s">
        <v>10015</v>
      </c>
      <c r="C5592">
        <v>2</v>
      </c>
      <c r="D5592">
        <v>2</v>
      </c>
      <c r="E5592">
        <v>4</v>
      </c>
      <c r="F5592" t="s">
        <v>10069</v>
      </c>
      <c r="G5592" t="s">
        <v>10069</v>
      </c>
      <c r="H5592" s="6">
        <v>45183</v>
      </c>
      <c r="I5592">
        <f t="shared" si="174"/>
        <v>1</v>
      </c>
      <c r="J5592" t="str">
        <f t="shared" si="175"/>
        <v>Complete</v>
      </c>
      <c r="K5592">
        <f>COUNTIFS(RawData[Item], B5592,RawData[Quantity],C5592,RawData[Price Per Unit],D5592,RawData[Total Spent],E5592,RawData[Payment Method],F5592,RawData[Location],G5592,RawData[Transaction Date],H5592)</f>
        <v>1</v>
      </c>
      <c r="L5592"/>
    </row>
    <row r="5593" spans="1:12" x14ac:dyDescent="0.3">
      <c r="A5593" t="s">
        <v>5599</v>
      </c>
      <c r="B5593" t="s">
        <v>10011</v>
      </c>
      <c r="C5593">
        <v>3</v>
      </c>
      <c r="D5593">
        <v>5</v>
      </c>
      <c r="E5593">
        <v>15</v>
      </c>
      <c r="F5593" t="s">
        <v>10018</v>
      </c>
      <c r="G5593" t="s">
        <v>10021</v>
      </c>
      <c r="H5593" s="6">
        <v>44947</v>
      </c>
      <c r="I5593">
        <f t="shared" si="174"/>
        <v>0</v>
      </c>
      <c r="J5593" t="str">
        <f t="shared" si="175"/>
        <v>Complete</v>
      </c>
      <c r="K5593">
        <f>COUNTIFS(RawData[Item], B5593,RawData[Quantity],C5593,RawData[Price Per Unit],D5593,RawData[Total Spent],E5593,RawData[Payment Method],F5593,RawData[Location],G5593,RawData[Transaction Date],H5593)</f>
        <v>1</v>
      </c>
      <c r="L5593"/>
    </row>
    <row r="5594" spans="1:12" x14ac:dyDescent="0.3">
      <c r="A5594" t="s">
        <v>5600</v>
      </c>
      <c r="B5594" t="s">
        <v>10008</v>
      </c>
      <c r="C5594">
        <v>4</v>
      </c>
      <c r="D5594">
        <v>2</v>
      </c>
      <c r="E5594">
        <v>8</v>
      </c>
      <c r="F5594" t="s">
        <v>10018</v>
      </c>
      <c r="G5594" t="s">
        <v>10021</v>
      </c>
      <c r="H5594" s="6">
        <v>44971</v>
      </c>
      <c r="I5594">
        <f t="shared" si="174"/>
        <v>0</v>
      </c>
      <c r="J5594" t="str">
        <f t="shared" si="175"/>
        <v>Complete</v>
      </c>
      <c r="K5594">
        <f>COUNTIFS(RawData[Item], B5594,RawData[Quantity],C5594,RawData[Price Per Unit],D5594,RawData[Total Spent],E5594,RawData[Payment Method],F5594,RawData[Location],G5594,RawData[Transaction Date],H5594)</f>
        <v>1</v>
      </c>
      <c r="L5594"/>
    </row>
    <row r="5595" spans="1:12" x14ac:dyDescent="0.3">
      <c r="A5595" t="s">
        <v>5601</v>
      </c>
      <c r="B5595" t="s">
        <v>10014</v>
      </c>
      <c r="C5595" t="s">
        <v>10013</v>
      </c>
      <c r="D5595">
        <v>4</v>
      </c>
      <c r="E5595">
        <v>4</v>
      </c>
      <c r="F5595" t="s">
        <v>10018</v>
      </c>
      <c r="G5595" t="s">
        <v>10102</v>
      </c>
      <c r="H5595" s="6">
        <v>44969</v>
      </c>
      <c r="I5595">
        <f t="shared" si="174"/>
        <v>1</v>
      </c>
      <c r="J5595" t="str">
        <f t="shared" si="175"/>
        <v>Complete</v>
      </c>
      <c r="K5595">
        <f>COUNTIFS(RawData[Item], B5595,RawData[Quantity],C5595,RawData[Price Per Unit],D5595,RawData[Total Spent],E5595,RawData[Payment Method],F5595,RawData[Location],G5595,RawData[Transaction Date],H5595)</f>
        <v>1</v>
      </c>
      <c r="L5595"/>
    </row>
    <row r="5596" spans="1:12" x14ac:dyDescent="0.3">
      <c r="A5596" t="s">
        <v>5602</v>
      </c>
      <c r="B5596" t="s">
        <v>10008</v>
      </c>
      <c r="C5596">
        <v>1</v>
      </c>
      <c r="D5596">
        <v>2</v>
      </c>
      <c r="E5596">
        <v>2</v>
      </c>
      <c r="F5596" t="s">
        <v>10020</v>
      </c>
      <c r="G5596" t="s">
        <v>10069</v>
      </c>
      <c r="H5596" s="6">
        <v>45157</v>
      </c>
      <c r="I5596">
        <f t="shared" si="174"/>
        <v>0</v>
      </c>
      <c r="J5596" t="str">
        <f t="shared" si="175"/>
        <v>Complete</v>
      </c>
      <c r="K5596">
        <f>COUNTIFS(RawData[Item], B5596,RawData[Quantity],C5596,RawData[Price Per Unit],D5596,RawData[Total Spent],E5596,RawData[Payment Method],F5596,RawData[Location],G5596,RawData[Transaction Date],H5596)</f>
        <v>1</v>
      </c>
      <c r="L5596"/>
    </row>
    <row r="5597" spans="1:12" x14ac:dyDescent="0.3">
      <c r="A5597" t="s">
        <v>5603</v>
      </c>
      <c r="B5597" t="s">
        <v>10009</v>
      </c>
      <c r="C5597" t="s">
        <v>10015</v>
      </c>
      <c r="D5597">
        <v>3</v>
      </c>
      <c r="E5597">
        <v>6</v>
      </c>
      <c r="F5597" t="s">
        <v>10020</v>
      </c>
      <c r="G5597" t="s">
        <v>10021</v>
      </c>
      <c r="H5597" s="6">
        <v>45197</v>
      </c>
      <c r="I5597">
        <f t="shared" si="174"/>
        <v>1</v>
      </c>
      <c r="J5597" t="str">
        <f t="shared" si="175"/>
        <v>Complete</v>
      </c>
      <c r="K5597">
        <f>COUNTIFS(RawData[Item], B5597,RawData[Quantity],C5597,RawData[Price Per Unit],D5597,RawData[Total Spent],E5597,RawData[Payment Method],F5597,RawData[Location],G5597,RawData[Transaction Date],H5597)</f>
        <v>1</v>
      </c>
      <c r="L5597"/>
    </row>
    <row r="5598" spans="1:12" x14ac:dyDescent="0.3">
      <c r="A5598" t="s">
        <v>5604</v>
      </c>
      <c r="B5598" t="s">
        <v>10017</v>
      </c>
      <c r="C5598">
        <v>1</v>
      </c>
      <c r="D5598">
        <v>1.5</v>
      </c>
      <c r="E5598">
        <v>1.5</v>
      </c>
      <c r="F5598" t="s">
        <v>10069</v>
      </c>
      <c r="G5598" t="s">
        <v>10021</v>
      </c>
      <c r="H5598" s="6">
        <v>45160</v>
      </c>
      <c r="I5598">
        <f t="shared" si="174"/>
        <v>0</v>
      </c>
      <c r="J5598" t="str">
        <f t="shared" si="175"/>
        <v>Complete</v>
      </c>
      <c r="K5598">
        <f>COUNTIFS(RawData[Item], B5598,RawData[Quantity],C5598,RawData[Price Per Unit],D5598,RawData[Total Spent],E5598,RawData[Payment Method],F5598,RawData[Location],G5598,RawData[Transaction Date],H5598)</f>
        <v>1</v>
      </c>
      <c r="L5598"/>
    </row>
    <row r="5599" spans="1:12" x14ac:dyDescent="0.3">
      <c r="A5599" t="s">
        <v>5605</v>
      </c>
      <c r="B5599" t="s">
        <v>10011</v>
      </c>
      <c r="C5599" t="s">
        <v>10013</v>
      </c>
      <c r="D5599">
        <v>5</v>
      </c>
      <c r="E5599">
        <v>15</v>
      </c>
      <c r="F5599" t="s">
        <v>10069</v>
      </c>
      <c r="G5599" t="s">
        <v>10069</v>
      </c>
      <c r="H5599" s="6">
        <v>45221</v>
      </c>
      <c r="I5599">
        <f t="shared" si="174"/>
        <v>1</v>
      </c>
      <c r="J5599" t="str">
        <f t="shared" si="175"/>
        <v>Complete</v>
      </c>
      <c r="K5599">
        <f>COUNTIFS(RawData[Item], B5599,RawData[Quantity],C5599,RawData[Price Per Unit],D5599,RawData[Total Spent],E5599,RawData[Payment Method],F5599,RawData[Location],G5599,RawData[Transaction Date],H5599)</f>
        <v>1</v>
      </c>
      <c r="L5599"/>
    </row>
    <row r="5600" spans="1:12" x14ac:dyDescent="0.3">
      <c r="A5600" t="s">
        <v>5606</v>
      </c>
      <c r="B5600" t="s">
        <v>10008</v>
      </c>
      <c r="C5600">
        <v>2</v>
      </c>
      <c r="D5600">
        <v>2</v>
      </c>
      <c r="E5600">
        <v>4</v>
      </c>
      <c r="F5600" t="s">
        <v>10069</v>
      </c>
      <c r="G5600" t="s">
        <v>10021</v>
      </c>
      <c r="H5600" s="6">
        <v>45240</v>
      </c>
      <c r="I5600">
        <f t="shared" si="174"/>
        <v>0</v>
      </c>
      <c r="J5600" t="str">
        <f t="shared" si="175"/>
        <v>Complete</v>
      </c>
      <c r="K5600">
        <f>COUNTIFS(RawData[Item], B5600,RawData[Quantity],C5600,RawData[Price Per Unit],D5600,RawData[Total Spent],E5600,RawData[Payment Method],F5600,RawData[Location],G5600,RawData[Transaction Date],H5600)</f>
        <v>1</v>
      </c>
      <c r="L5600"/>
    </row>
    <row r="5601" spans="1:12" x14ac:dyDescent="0.3">
      <c r="A5601" t="s">
        <v>5607</v>
      </c>
      <c r="B5601" t="s">
        <v>10008</v>
      </c>
      <c r="C5601">
        <v>5</v>
      </c>
      <c r="D5601">
        <v>2</v>
      </c>
      <c r="E5601">
        <v>10</v>
      </c>
      <c r="F5601" t="s">
        <v>10018</v>
      </c>
      <c r="G5601" t="s">
        <v>10069</v>
      </c>
      <c r="H5601" s="6">
        <v>45262</v>
      </c>
      <c r="I5601">
        <f t="shared" si="174"/>
        <v>0</v>
      </c>
      <c r="J5601" t="str">
        <f t="shared" si="175"/>
        <v>Complete</v>
      </c>
      <c r="K5601">
        <f>COUNTIFS(RawData[Item], B5601,RawData[Quantity],C5601,RawData[Price Per Unit],D5601,RawData[Total Spent],E5601,RawData[Payment Method],F5601,RawData[Location],G5601,RawData[Transaction Date],H5601)</f>
        <v>1</v>
      </c>
      <c r="L5601"/>
    </row>
    <row r="5602" spans="1:12" x14ac:dyDescent="0.3">
      <c r="A5602" t="s">
        <v>5608</v>
      </c>
      <c r="B5602" t="s">
        <v>10017</v>
      </c>
      <c r="C5602">
        <v>4</v>
      </c>
      <c r="D5602">
        <v>1.5</v>
      </c>
      <c r="E5602">
        <v>6</v>
      </c>
      <c r="F5602" t="s">
        <v>10069</v>
      </c>
      <c r="G5602" t="s">
        <v>10069</v>
      </c>
      <c r="H5602" s="6">
        <v>45205</v>
      </c>
      <c r="I5602">
        <f t="shared" si="174"/>
        <v>0</v>
      </c>
      <c r="J5602" t="str">
        <f t="shared" si="175"/>
        <v>Complete</v>
      </c>
      <c r="K5602">
        <f>COUNTIFS(RawData[Item], B5602,RawData[Quantity],C5602,RawData[Price Per Unit],D5602,RawData[Total Spent],E5602,RawData[Payment Method],F5602,RawData[Location],G5602,RawData[Transaction Date],H5602)</f>
        <v>1</v>
      </c>
      <c r="L5602"/>
    </row>
    <row r="5603" spans="1:12" x14ac:dyDescent="0.3">
      <c r="A5603" t="s">
        <v>5609</v>
      </c>
      <c r="B5603" t="s">
        <v>10016</v>
      </c>
      <c r="C5603">
        <v>2</v>
      </c>
      <c r="D5603">
        <v>3</v>
      </c>
      <c r="E5603">
        <v>6</v>
      </c>
      <c r="F5603" t="s">
        <v>10069</v>
      </c>
      <c r="G5603" t="s">
        <v>10102</v>
      </c>
      <c r="H5603" s="6">
        <v>45130</v>
      </c>
      <c r="I5603">
        <f t="shared" si="174"/>
        <v>0</v>
      </c>
      <c r="J5603" t="str">
        <f t="shared" si="175"/>
        <v>Complete</v>
      </c>
      <c r="K5603">
        <f>COUNTIFS(RawData[Item], B5603,RawData[Quantity],C5603,RawData[Price Per Unit],D5603,RawData[Total Spent],E5603,RawData[Payment Method],F5603,RawData[Location],G5603,RawData[Transaction Date],H5603)</f>
        <v>1</v>
      </c>
      <c r="L5603"/>
    </row>
    <row r="5604" spans="1:12" x14ac:dyDescent="0.3">
      <c r="A5604" t="s">
        <v>5610</v>
      </c>
      <c r="B5604" t="s">
        <v>10010</v>
      </c>
      <c r="C5604">
        <v>4</v>
      </c>
      <c r="D5604">
        <v>1</v>
      </c>
      <c r="E5604">
        <v>4</v>
      </c>
      <c r="F5604" t="s">
        <v>10020</v>
      </c>
      <c r="G5604" t="s">
        <v>10069</v>
      </c>
      <c r="H5604" s="6">
        <v>45135</v>
      </c>
      <c r="I5604">
        <f t="shared" si="174"/>
        <v>0</v>
      </c>
      <c r="J5604" t="str">
        <f t="shared" si="175"/>
        <v>Complete</v>
      </c>
      <c r="K5604">
        <f>COUNTIFS(RawData[Item], B5604,RawData[Quantity],C5604,RawData[Price Per Unit],D5604,RawData[Total Spent],E5604,RawData[Payment Method],F5604,RawData[Location],G5604,RawData[Transaction Date],H5604)</f>
        <v>1</v>
      </c>
      <c r="L5604"/>
    </row>
    <row r="5605" spans="1:12" x14ac:dyDescent="0.3">
      <c r="A5605" t="s">
        <v>5611</v>
      </c>
      <c r="B5605" t="s">
        <v>10009</v>
      </c>
      <c r="C5605">
        <v>4</v>
      </c>
      <c r="D5605">
        <v>3</v>
      </c>
      <c r="E5605">
        <v>12</v>
      </c>
      <c r="F5605" t="s">
        <v>10103</v>
      </c>
      <c r="G5605" t="s">
        <v>10069</v>
      </c>
      <c r="H5605" s="6">
        <v>44968</v>
      </c>
      <c r="I5605">
        <f t="shared" si="174"/>
        <v>1</v>
      </c>
      <c r="J5605" t="str">
        <f t="shared" si="175"/>
        <v>Complete</v>
      </c>
      <c r="K5605">
        <f>COUNTIFS(RawData[Item], B5605,RawData[Quantity],C5605,RawData[Price Per Unit],D5605,RawData[Total Spent],E5605,RawData[Payment Method],F5605,RawData[Location],G5605,RawData[Transaction Date],H5605)</f>
        <v>1</v>
      </c>
      <c r="L5605"/>
    </row>
    <row r="5606" spans="1:12" x14ac:dyDescent="0.3">
      <c r="A5606" t="s">
        <v>5612</v>
      </c>
      <c r="B5606" t="s">
        <v>10010</v>
      </c>
      <c r="C5606">
        <v>3</v>
      </c>
      <c r="D5606">
        <v>1</v>
      </c>
      <c r="E5606">
        <v>3</v>
      </c>
      <c r="F5606" t="s">
        <v>10019</v>
      </c>
      <c r="G5606" t="s">
        <v>10102</v>
      </c>
      <c r="H5606" s="6">
        <v>45167</v>
      </c>
      <c r="I5606">
        <f t="shared" si="174"/>
        <v>0</v>
      </c>
      <c r="J5606" t="str">
        <f t="shared" si="175"/>
        <v>Complete</v>
      </c>
      <c r="K5606">
        <f>COUNTIFS(RawData[Item], B5606,RawData[Quantity],C5606,RawData[Price Per Unit],D5606,RawData[Total Spent],E5606,RawData[Payment Method],F5606,RawData[Location],G5606,RawData[Transaction Date],H5606)</f>
        <v>1</v>
      </c>
      <c r="L5606"/>
    </row>
    <row r="5607" spans="1:12" x14ac:dyDescent="0.3">
      <c r="A5607" t="s">
        <v>5613</v>
      </c>
      <c r="B5607" t="s">
        <v>10017</v>
      </c>
      <c r="C5607">
        <v>2</v>
      </c>
      <c r="D5607">
        <v>1.5</v>
      </c>
      <c r="E5607">
        <v>3</v>
      </c>
      <c r="F5607" t="s">
        <v>10019</v>
      </c>
      <c r="G5607" t="s">
        <v>10069</v>
      </c>
      <c r="H5607" s="6">
        <v>45106</v>
      </c>
      <c r="I5607">
        <f t="shared" si="174"/>
        <v>0</v>
      </c>
      <c r="J5607" t="str">
        <f t="shared" si="175"/>
        <v>Complete</v>
      </c>
      <c r="K5607">
        <f>COUNTIFS(RawData[Item], B5607,RawData[Quantity],C5607,RawData[Price Per Unit],D5607,RawData[Total Spent],E5607,RawData[Payment Method],F5607,RawData[Location],G5607,RawData[Transaction Date],H5607)</f>
        <v>1</v>
      </c>
      <c r="L5607"/>
    </row>
    <row r="5608" spans="1:12" x14ac:dyDescent="0.3">
      <c r="A5608" t="s">
        <v>5614</v>
      </c>
      <c r="B5608" t="s">
        <v>10016</v>
      </c>
      <c r="C5608">
        <v>2</v>
      </c>
      <c r="D5608">
        <v>3</v>
      </c>
      <c r="E5608" t="s">
        <v>10015</v>
      </c>
      <c r="F5608" t="s">
        <v>10104</v>
      </c>
      <c r="G5608" t="s">
        <v>10102</v>
      </c>
      <c r="H5608" s="6">
        <v>45102</v>
      </c>
      <c r="I5608">
        <f t="shared" si="174"/>
        <v>2</v>
      </c>
      <c r="J5608" t="str">
        <f t="shared" si="175"/>
        <v>Complete</v>
      </c>
      <c r="K5608">
        <f>COUNTIFS(RawData[Item], B5608,RawData[Quantity],C5608,RawData[Price Per Unit],D5608,RawData[Total Spent],E5608,RawData[Payment Method],F5608,RawData[Location],G5608,RawData[Transaction Date],H5608)</f>
        <v>1</v>
      </c>
      <c r="L5608"/>
    </row>
    <row r="5609" spans="1:12" x14ac:dyDescent="0.3">
      <c r="A5609" t="s">
        <v>5615</v>
      </c>
      <c r="B5609" t="s">
        <v>10012</v>
      </c>
      <c r="C5609">
        <v>3</v>
      </c>
      <c r="D5609">
        <v>4</v>
      </c>
      <c r="E5609">
        <v>12</v>
      </c>
      <c r="F5609" t="s">
        <v>10069</v>
      </c>
      <c r="G5609" t="s">
        <v>10069</v>
      </c>
      <c r="H5609" s="6">
        <v>45260</v>
      </c>
      <c r="I5609">
        <f t="shared" si="174"/>
        <v>0</v>
      </c>
      <c r="J5609" t="str">
        <f t="shared" si="175"/>
        <v>Complete</v>
      </c>
      <c r="K5609">
        <f>COUNTIFS(RawData[Item], B5609,RawData[Quantity],C5609,RawData[Price Per Unit],D5609,RawData[Total Spent],E5609,RawData[Payment Method],F5609,RawData[Location],G5609,RawData[Transaction Date],H5609)</f>
        <v>1</v>
      </c>
      <c r="L5609"/>
    </row>
    <row r="5610" spans="1:12" x14ac:dyDescent="0.3">
      <c r="A5610" t="s">
        <v>5616</v>
      </c>
      <c r="B5610" t="s">
        <v>10012</v>
      </c>
      <c r="C5610">
        <v>3</v>
      </c>
      <c r="D5610">
        <v>4</v>
      </c>
      <c r="E5610">
        <v>12</v>
      </c>
      <c r="F5610" t="s">
        <v>10019</v>
      </c>
      <c r="G5610" t="s">
        <v>10102</v>
      </c>
      <c r="H5610" s="6">
        <v>45078</v>
      </c>
      <c r="I5610">
        <f t="shared" si="174"/>
        <v>0</v>
      </c>
      <c r="J5610" t="str">
        <f t="shared" si="175"/>
        <v>Complete</v>
      </c>
      <c r="K5610">
        <f>COUNTIFS(RawData[Item], B5610,RawData[Quantity],C5610,RawData[Price Per Unit],D5610,RawData[Total Spent],E5610,RawData[Payment Method],F5610,RawData[Location],G5610,RawData[Transaction Date],H5610)</f>
        <v>1</v>
      </c>
      <c r="L5610"/>
    </row>
    <row r="5611" spans="1:12" x14ac:dyDescent="0.3">
      <c r="A5611" t="s">
        <v>5617</v>
      </c>
      <c r="B5611" t="s">
        <v>10011</v>
      </c>
      <c r="C5611" t="s">
        <v>10013</v>
      </c>
      <c r="D5611">
        <v>5</v>
      </c>
      <c r="E5611">
        <v>10</v>
      </c>
      <c r="F5611" t="s">
        <v>10020</v>
      </c>
      <c r="G5611" t="s">
        <v>10021</v>
      </c>
      <c r="H5611" s="6">
        <v>45008</v>
      </c>
      <c r="I5611">
        <f t="shared" si="174"/>
        <v>1</v>
      </c>
      <c r="J5611" t="str">
        <f t="shared" si="175"/>
        <v>Complete</v>
      </c>
      <c r="K5611">
        <f>COUNTIFS(RawData[Item], B5611,RawData[Quantity],C5611,RawData[Price Per Unit],D5611,RawData[Total Spent],E5611,RawData[Payment Method],F5611,RawData[Location],G5611,RawData[Transaction Date],H5611)</f>
        <v>1</v>
      </c>
      <c r="L5611"/>
    </row>
    <row r="5612" spans="1:12" x14ac:dyDescent="0.3">
      <c r="A5612" t="s">
        <v>5618</v>
      </c>
      <c r="B5612" t="s">
        <v>10012</v>
      </c>
      <c r="C5612">
        <v>2</v>
      </c>
      <c r="D5612">
        <v>4</v>
      </c>
      <c r="E5612">
        <v>8</v>
      </c>
      <c r="F5612" t="s">
        <v>10069</v>
      </c>
      <c r="G5612" t="s">
        <v>10102</v>
      </c>
      <c r="H5612" s="6">
        <v>45163</v>
      </c>
      <c r="I5612">
        <f t="shared" si="174"/>
        <v>0</v>
      </c>
      <c r="J5612" t="str">
        <f t="shared" si="175"/>
        <v>Complete</v>
      </c>
      <c r="K5612">
        <f>COUNTIFS(RawData[Item], B5612,RawData[Quantity],C5612,RawData[Price Per Unit],D5612,RawData[Total Spent],E5612,RawData[Payment Method],F5612,RawData[Location],G5612,RawData[Transaction Date],H5612)</f>
        <v>1</v>
      </c>
      <c r="L5612"/>
    </row>
    <row r="5613" spans="1:12" x14ac:dyDescent="0.3">
      <c r="A5613" t="s">
        <v>5619</v>
      </c>
      <c r="B5613" t="s">
        <v>10012</v>
      </c>
      <c r="C5613">
        <v>4</v>
      </c>
      <c r="D5613" t="s">
        <v>10013</v>
      </c>
      <c r="E5613">
        <v>16</v>
      </c>
      <c r="F5613" t="s">
        <v>10018</v>
      </c>
      <c r="G5613" t="s">
        <v>10021</v>
      </c>
      <c r="H5613" s="6">
        <v>45169</v>
      </c>
      <c r="I5613">
        <f t="shared" si="174"/>
        <v>1</v>
      </c>
      <c r="J5613" t="str">
        <f t="shared" si="175"/>
        <v>Complete</v>
      </c>
      <c r="K5613">
        <f>COUNTIFS(RawData[Item], B5613,RawData[Quantity],C5613,RawData[Price Per Unit],D5613,RawData[Total Spent],E5613,RawData[Payment Method],F5613,RawData[Location],G5613,RawData[Transaction Date],H5613)</f>
        <v>1</v>
      </c>
      <c r="L5613"/>
    </row>
    <row r="5614" spans="1:12" x14ac:dyDescent="0.3">
      <c r="A5614" t="s">
        <v>5620</v>
      </c>
      <c r="B5614" t="s">
        <v>10008</v>
      </c>
      <c r="C5614">
        <v>3</v>
      </c>
      <c r="D5614">
        <v>2</v>
      </c>
      <c r="E5614">
        <v>6</v>
      </c>
      <c r="F5614" t="s">
        <v>10019</v>
      </c>
      <c r="G5614" t="s">
        <v>10069</v>
      </c>
      <c r="H5614" s="6">
        <v>45244</v>
      </c>
      <c r="I5614">
        <f t="shared" si="174"/>
        <v>0</v>
      </c>
      <c r="J5614" t="str">
        <f t="shared" si="175"/>
        <v>Complete</v>
      </c>
      <c r="K5614">
        <f>COUNTIFS(RawData[Item], B5614,RawData[Quantity],C5614,RawData[Price Per Unit],D5614,RawData[Total Spent],E5614,RawData[Payment Method],F5614,RawData[Location],G5614,RawData[Transaction Date],H5614)</f>
        <v>1</v>
      </c>
      <c r="L5614"/>
    </row>
    <row r="5615" spans="1:12" x14ac:dyDescent="0.3">
      <c r="A5615" t="s">
        <v>5621</v>
      </c>
      <c r="B5615" t="s">
        <v>10012</v>
      </c>
      <c r="C5615">
        <v>4</v>
      </c>
      <c r="D5615">
        <v>4</v>
      </c>
      <c r="E5615">
        <v>16</v>
      </c>
      <c r="F5615" t="s">
        <v>10018</v>
      </c>
      <c r="G5615" t="s">
        <v>10021</v>
      </c>
      <c r="H5615" s="6">
        <v>45097</v>
      </c>
      <c r="I5615">
        <f t="shared" si="174"/>
        <v>0</v>
      </c>
      <c r="J5615" t="str">
        <f t="shared" si="175"/>
        <v>Complete</v>
      </c>
      <c r="K5615">
        <f>COUNTIFS(RawData[Item], B5615,RawData[Quantity],C5615,RawData[Price Per Unit],D5615,RawData[Total Spent],E5615,RawData[Payment Method],F5615,RawData[Location],G5615,RawData[Transaction Date],H5615)</f>
        <v>1</v>
      </c>
      <c r="L5615"/>
    </row>
    <row r="5616" spans="1:12" x14ac:dyDescent="0.3">
      <c r="A5616" t="s">
        <v>5622</v>
      </c>
      <c r="B5616" t="s">
        <v>10010</v>
      </c>
      <c r="C5616">
        <v>4</v>
      </c>
      <c r="D5616">
        <v>1</v>
      </c>
      <c r="E5616">
        <v>4</v>
      </c>
      <c r="F5616" t="s">
        <v>10018</v>
      </c>
      <c r="G5616" t="s">
        <v>10104</v>
      </c>
      <c r="H5616" s="6">
        <v>44955</v>
      </c>
      <c r="I5616">
        <f t="shared" si="174"/>
        <v>1</v>
      </c>
      <c r="J5616" t="str">
        <f t="shared" si="175"/>
        <v>Complete</v>
      </c>
      <c r="K5616">
        <f>COUNTIFS(RawData[Item], B5616,RawData[Quantity],C5616,RawData[Price Per Unit],D5616,RawData[Total Spent],E5616,RawData[Payment Method],F5616,RawData[Location],G5616,RawData[Transaction Date],H5616)</f>
        <v>1</v>
      </c>
      <c r="L5616"/>
    </row>
    <row r="5617" spans="1:12" x14ac:dyDescent="0.3">
      <c r="A5617" t="s">
        <v>5623</v>
      </c>
      <c r="B5617" t="s">
        <v>10014</v>
      </c>
      <c r="C5617">
        <v>3</v>
      </c>
      <c r="D5617">
        <v>4</v>
      </c>
      <c r="E5617">
        <v>12</v>
      </c>
      <c r="F5617" t="s">
        <v>10103</v>
      </c>
      <c r="G5617" t="s">
        <v>10069</v>
      </c>
      <c r="H5617" s="6">
        <v>45230</v>
      </c>
      <c r="I5617">
        <f t="shared" si="174"/>
        <v>1</v>
      </c>
      <c r="J5617" t="str">
        <f t="shared" si="175"/>
        <v>Complete</v>
      </c>
      <c r="K5617">
        <f>COUNTIFS(RawData[Item], B5617,RawData[Quantity],C5617,RawData[Price Per Unit],D5617,RawData[Total Spent],E5617,RawData[Payment Method],F5617,RawData[Location],G5617,RawData[Transaction Date],H5617)</f>
        <v>1</v>
      </c>
      <c r="L5617"/>
    </row>
    <row r="5618" spans="1:12" x14ac:dyDescent="0.3">
      <c r="A5618" t="s">
        <v>5624</v>
      </c>
      <c r="B5618" t="s">
        <v>10008</v>
      </c>
      <c r="C5618">
        <v>1</v>
      </c>
      <c r="D5618">
        <v>2</v>
      </c>
      <c r="E5618">
        <v>2</v>
      </c>
      <c r="F5618" t="s">
        <v>10020</v>
      </c>
      <c r="G5618" t="s">
        <v>10102</v>
      </c>
      <c r="H5618" s="6">
        <v>45027</v>
      </c>
      <c r="I5618">
        <f t="shared" si="174"/>
        <v>0</v>
      </c>
      <c r="J5618" t="str">
        <f t="shared" si="175"/>
        <v>Complete</v>
      </c>
      <c r="K5618">
        <f>COUNTIFS(RawData[Item], B5618,RawData[Quantity],C5618,RawData[Price Per Unit],D5618,RawData[Total Spent],E5618,RawData[Payment Method],F5618,RawData[Location],G5618,RawData[Transaction Date],H5618)</f>
        <v>1</v>
      </c>
      <c r="L5618"/>
    </row>
    <row r="5619" spans="1:12" x14ac:dyDescent="0.3">
      <c r="A5619" t="s">
        <v>5625</v>
      </c>
      <c r="B5619" t="s">
        <v>10014</v>
      </c>
      <c r="C5619">
        <v>2</v>
      </c>
      <c r="D5619">
        <v>4</v>
      </c>
      <c r="E5619">
        <v>8</v>
      </c>
      <c r="F5619" t="s">
        <v>10069</v>
      </c>
      <c r="G5619" t="s">
        <v>10104</v>
      </c>
      <c r="H5619" s="6">
        <v>44944</v>
      </c>
      <c r="I5619">
        <f t="shared" si="174"/>
        <v>1</v>
      </c>
      <c r="J5619" t="str">
        <f t="shared" si="175"/>
        <v>Complete</v>
      </c>
      <c r="K5619">
        <f>COUNTIFS(RawData[Item], B5619,RawData[Quantity],C5619,RawData[Price Per Unit],D5619,RawData[Total Spent],E5619,RawData[Payment Method],F5619,RawData[Location],G5619,RawData[Transaction Date],H5619)</f>
        <v>1</v>
      </c>
      <c r="L5619"/>
    </row>
    <row r="5620" spans="1:12" x14ac:dyDescent="0.3">
      <c r="A5620" t="s">
        <v>5626</v>
      </c>
      <c r="B5620" t="s">
        <v>10017</v>
      </c>
      <c r="C5620">
        <v>2</v>
      </c>
      <c r="D5620">
        <v>1.5</v>
      </c>
      <c r="E5620">
        <v>3</v>
      </c>
      <c r="F5620" t="s">
        <v>10020</v>
      </c>
      <c r="G5620" t="s">
        <v>10069</v>
      </c>
      <c r="H5620" s="6" t="s">
        <v>10112</v>
      </c>
      <c r="I5620">
        <f t="shared" si="174"/>
        <v>1</v>
      </c>
      <c r="J5620" t="str">
        <f t="shared" si="175"/>
        <v>Incomplete</v>
      </c>
      <c r="K5620">
        <f>COUNTIFS(RawData[Item], B5620,RawData[Quantity],C5620,RawData[Price Per Unit],D5620,RawData[Total Spent],E5620,RawData[Payment Method],F5620,RawData[Location],G5620,RawData[Transaction Date],H5620)</f>
        <v>2</v>
      </c>
      <c r="L5620"/>
    </row>
    <row r="5621" spans="1:12" x14ac:dyDescent="0.3">
      <c r="A5621" t="s">
        <v>5627</v>
      </c>
      <c r="B5621" t="s">
        <v>10015</v>
      </c>
      <c r="C5621" t="s">
        <v>10013</v>
      </c>
      <c r="D5621">
        <v>2</v>
      </c>
      <c r="E5621">
        <v>10</v>
      </c>
      <c r="F5621" t="s">
        <v>10069</v>
      </c>
      <c r="G5621" t="s">
        <v>10102</v>
      </c>
      <c r="H5621" s="6">
        <v>45048</v>
      </c>
      <c r="I5621">
        <f t="shared" si="174"/>
        <v>2</v>
      </c>
      <c r="J5621" t="str">
        <f t="shared" si="175"/>
        <v>Complete</v>
      </c>
      <c r="K5621">
        <f>COUNTIFS(RawData[Item], B5621,RawData[Quantity],C5621,RawData[Price Per Unit],D5621,RawData[Total Spent],E5621,RawData[Payment Method],F5621,RawData[Location],G5621,RawData[Transaction Date],H5621)</f>
        <v>1</v>
      </c>
      <c r="L5621"/>
    </row>
    <row r="5622" spans="1:12" x14ac:dyDescent="0.3">
      <c r="A5622" t="s">
        <v>5628</v>
      </c>
      <c r="B5622" t="s">
        <v>10008</v>
      </c>
      <c r="C5622">
        <v>1</v>
      </c>
      <c r="D5622">
        <v>2</v>
      </c>
      <c r="E5622">
        <v>2</v>
      </c>
      <c r="F5622" t="s">
        <v>10018</v>
      </c>
      <c r="G5622" t="s">
        <v>10102</v>
      </c>
      <c r="H5622" s="6">
        <v>44949</v>
      </c>
      <c r="I5622">
        <f t="shared" si="174"/>
        <v>0</v>
      </c>
      <c r="J5622" t="str">
        <f t="shared" si="175"/>
        <v>Complete</v>
      </c>
      <c r="K5622">
        <f>COUNTIFS(RawData[Item], B5622,RawData[Quantity],C5622,RawData[Price Per Unit],D5622,RawData[Total Spent],E5622,RawData[Payment Method],F5622,RawData[Location],G5622,RawData[Transaction Date],H5622)</f>
        <v>1</v>
      </c>
      <c r="L5622"/>
    </row>
    <row r="5623" spans="1:12" x14ac:dyDescent="0.3">
      <c r="A5623" t="s">
        <v>5629</v>
      </c>
      <c r="B5623" t="s">
        <v>10010</v>
      </c>
      <c r="C5623">
        <v>4</v>
      </c>
      <c r="D5623">
        <v>1</v>
      </c>
      <c r="E5623">
        <v>4</v>
      </c>
      <c r="F5623" t="s">
        <v>10104</v>
      </c>
      <c r="G5623" t="s">
        <v>10103</v>
      </c>
      <c r="H5623" s="6">
        <v>45104</v>
      </c>
      <c r="I5623">
        <f t="shared" si="174"/>
        <v>2</v>
      </c>
      <c r="J5623" t="str">
        <f t="shared" si="175"/>
        <v>Complete</v>
      </c>
      <c r="K5623">
        <f>COUNTIFS(RawData[Item], B5623,RawData[Quantity],C5623,RawData[Price Per Unit],D5623,RawData[Total Spent],E5623,RawData[Payment Method],F5623,RawData[Location],G5623,RawData[Transaction Date],H5623)</f>
        <v>1</v>
      </c>
      <c r="L5623"/>
    </row>
    <row r="5624" spans="1:12" x14ac:dyDescent="0.3">
      <c r="A5624" t="s">
        <v>5630</v>
      </c>
      <c r="B5624" t="s">
        <v>10009</v>
      </c>
      <c r="C5624">
        <v>4</v>
      </c>
      <c r="D5624">
        <v>3</v>
      </c>
      <c r="E5624">
        <v>12</v>
      </c>
      <c r="F5624" t="s">
        <v>10020</v>
      </c>
      <c r="G5624" t="s">
        <v>10069</v>
      </c>
      <c r="H5624" s="6">
        <v>45203</v>
      </c>
      <c r="I5624">
        <f t="shared" si="174"/>
        <v>0</v>
      </c>
      <c r="J5624" t="str">
        <f t="shared" si="175"/>
        <v>Complete</v>
      </c>
      <c r="K5624">
        <f>COUNTIFS(RawData[Item], B5624,RawData[Quantity],C5624,RawData[Price Per Unit],D5624,RawData[Total Spent],E5624,RawData[Payment Method],F5624,RawData[Location],G5624,RawData[Transaction Date],H5624)</f>
        <v>1</v>
      </c>
      <c r="L5624"/>
    </row>
    <row r="5625" spans="1:12" x14ac:dyDescent="0.3">
      <c r="A5625" t="s">
        <v>5631</v>
      </c>
      <c r="B5625" t="s">
        <v>10012</v>
      </c>
      <c r="C5625">
        <v>5</v>
      </c>
      <c r="D5625">
        <v>4</v>
      </c>
      <c r="E5625">
        <v>20</v>
      </c>
      <c r="F5625" t="s">
        <v>10019</v>
      </c>
      <c r="G5625" t="s">
        <v>10069</v>
      </c>
      <c r="H5625" s="6">
        <v>44938</v>
      </c>
      <c r="I5625">
        <f t="shared" si="174"/>
        <v>0</v>
      </c>
      <c r="J5625" t="str">
        <f t="shared" si="175"/>
        <v>Complete</v>
      </c>
      <c r="K5625">
        <f>COUNTIFS(RawData[Item], B5625,RawData[Quantity],C5625,RawData[Price Per Unit],D5625,RawData[Total Spent],E5625,RawData[Payment Method],F5625,RawData[Location],G5625,RawData[Transaction Date],H5625)</f>
        <v>1</v>
      </c>
      <c r="L5625"/>
    </row>
    <row r="5626" spans="1:12" x14ac:dyDescent="0.3">
      <c r="A5626" t="s">
        <v>5632</v>
      </c>
      <c r="B5626" t="s">
        <v>10012</v>
      </c>
      <c r="C5626">
        <v>4</v>
      </c>
      <c r="D5626" t="s">
        <v>10015</v>
      </c>
      <c r="E5626">
        <v>16</v>
      </c>
      <c r="F5626" t="s">
        <v>10018</v>
      </c>
      <c r="G5626" t="s">
        <v>10102</v>
      </c>
      <c r="H5626" s="6">
        <v>44940</v>
      </c>
      <c r="I5626">
        <f t="shared" si="174"/>
        <v>1</v>
      </c>
      <c r="J5626" t="str">
        <f t="shared" si="175"/>
        <v>Complete</v>
      </c>
      <c r="K5626">
        <f>COUNTIFS(RawData[Item], B5626,RawData[Quantity],C5626,RawData[Price Per Unit],D5626,RawData[Total Spent],E5626,RawData[Payment Method],F5626,RawData[Location],G5626,RawData[Transaction Date],H5626)</f>
        <v>1</v>
      </c>
      <c r="L5626"/>
    </row>
    <row r="5627" spans="1:12" x14ac:dyDescent="0.3">
      <c r="A5627" t="s">
        <v>5633</v>
      </c>
      <c r="B5627" t="s">
        <v>10016</v>
      </c>
      <c r="C5627">
        <v>2</v>
      </c>
      <c r="D5627">
        <v>3</v>
      </c>
      <c r="E5627">
        <v>6</v>
      </c>
      <c r="F5627" t="s">
        <v>10018</v>
      </c>
      <c r="G5627" t="s">
        <v>10021</v>
      </c>
      <c r="H5627" s="6">
        <v>45188</v>
      </c>
      <c r="I5627">
        <f t="shared" si="174"/>
        <v>0</v>
      </c>
      <c r="J5627" t="str">
        <f t="shared" si="175"/>
        <v>Complete</v>
      </c>
      <c r="K5627">
        <f>COUNTIFS(RawData[Item], B5627,RawData[Quantity],C5627,RawData[Price Per Unit],D5627,RawData[Total Spent],E5627,RawData[Payment Method],F5627,RawData[Location],G5627,RawData[Transaction Date],H5627)</f>
        <v>1</v>
      </c>
      <c r="L5627"/>
    </row>
    <row r="5628" spans="1:12" x14ac:dyDescent="0.3">
      <c r="A5628" t="s">
        <v>5634</v>
      </c>
      <c r="B5628" t="s">
        <v>10017</v>
      </c>
      <c r="C5628">
        <v>4</v>
      </c>
      <c r="D5628">
        <v>1.5</v>
      </c>
      <c r="E5628">
        <v>6</v>
      </c>
      <c r="F5628" t="s">
        <v>10069</v>
      </c>
      <c r="G5628" t="s">
        <v>10021</v>
      </c>
      <c r="H5628" s="6">
        <v>45166</v>
      </c>
      <c r="I5628">
        <f t="shared" si="174"/>
        <v>0</v>
      </c>
      <c r="J5628" t="str">
        <f t="shared" si="175"/>
        <v>Complete</v>
      </c>
      <c r="K5628">
        <f>COUNTIFS(RawData[Item], B5628,RawData[Quantity],C5628,RawData[Price Per Unit],D5628,RawData[Total Spent],E5628,RawData[Payment Method],F5628,RawData[Location],G5628,RawData[Transaction Date],H5628)</f>
        <v>1</v>
      </c>
      <c r="L5628"/>
    </row>
    <row r="5629" spans="1:12" x14ac:dyDescent="0.3">
      <c r="A5629" t="s">
        <v>5635</v>
      </c>
      <c r="B5629" t="s">
        <v>10014</v>
      </c>
      <c r="C5629">
        <v>4</v>
      </c>
      <c r="D5629">
        <v>4</v>
      </c>
      <c r="E5629">
        <v>16</v>
      </c>
      <c r="F5629" t="s">
        <v>10019</v>
      </c>
      <c r="G5629" t="s">
        <v>10102</v>
      </c>
      <c r="H5629" s="6">
        <v>45182</v>
      </c>
      <c r="I5629">
        <f t="shared" si="174"/>
        <v>0</v>
      </c>
      <c r="J5629" t="str">
        <f t="shared" si="175"/>
        <v>Complete</v>
      </c>
      <c r="K5629">
        <f>COUNTIFS(RawData[Item], B5629,RawData[Quantity],C5629,RawData[Price Per Unit],D5629,RawData[Total Spent],E5629,RawData[Payment Method],F5629,RawData[Location],G5629,RawData[Transaction Date],H5629)</f>
        <v>1</v>
      </c>
      <c r="L5629"/>
    </row>
    <row r="5630" spans="1:12" x14ac:dyDescent="0.3">
      <c r="A5630" t="s">
        <v>5636</v>
      </c>
      <c r="B5630" t="s">
        <v>10013</v>
      </c>
      <c r="C5630">
        <v>1</v>
      </c>
      <c r="D5630">
        <v>3</v>
      </c>
      <c r="E5630">
        <v>3</v>
      </c>
      <c r="F5630" t="s">
        <v>10019</v>
      </c>
      <c r="G5630" t="s">
        <v>10021</v>
      </c>
      <c r="H5630" s="6">
        <v>45156</v>
      </c>
      <c r="I5630">
        <f t="shared" si="174"/>
        <v>1</v>
      </c>
      <c r="J5630" t="str">
        <f t="shared" si="175"/>
        <v>Complete</v>
      </c>
      <c r="K5630">
        <f>COUNTIFS(RawData[Item], B5630,RawData[Quantity],C5630,RawData[Price Per Unit],D5630,RawData[Total Spent],E5630,RawData[Payment Method],F5630,RawData[Location],G5630,RawData[Transaction Date],H5630)</f>
        <v>1</v>
      </c>
      <c r="L5630"/>
    </row>
    <row r="5631" spans="1:12" x14ac:dyDescent="0.3">
      <c r="A5631" t="s">
        <v>5637</v>
      </c>
      <c r="B5631" t="s">
        <v>10017</v>
      </c>
      <c r="C5631">
        <v>2</v>
      </c>
      <c r="D5631">
        <v>1.5</v>
      </c>
      <c r="E5631">
        <v>3</v>
      </c>
      <c r="F5631" t="s">
        <v>10019</v>
      </c>
      <c r="G5631" t="s">
        <v>10021</v>
      </c>
      <c r="H5631" s="6">
        <v>45204</v>
      </c>
      <c r="I5631">
        <f t="shared" si="174"/>
        <v>0</v>
      </c>
      <c r="J5631" t="str">
        <f t="shared" si="175"/>
        <v>Complete</v>
      </c>
      <c r="K5631">
        <f>COUNTIFS(RawData[Item], B5631,RawData[Quantity],C5631,RawData[Price Per Unit],D5631,RawData[Total Spent],E5631,RawData[Payment Method],F5631,RawData[Location],G5631,RawData[Transaction Date],H5631)</f>
        <v>1</v>
      </c>
      <c r="L5631"/>
    </row>
    <row r="5632" spans="1:12" x14ac:dyDescent="0.3">
      <c r="A5632" t="s">
        <v>5638</v>
      </c>
      <c r="B5632" t="s">
        <v>10014</v>
      </c>
      <c r="C5632">
        <v>4</v>
      </c>
      <c r="D5632">
        <v>4</v>
      </c>
      <c r="E5632">
        <v>16</v>
      </c>
      <c r="F5632" t="s">
        <v>10069</v>
      </c>
      <c r="G5632" t="s">
        <v>10102</v>
      </c>
      <c r="H5632" s="6">
        <v>44994</v>
      </c>
      <c r="I5632">
        <f t="shared" si="174"/>
        <v>0</v>
      </c>
      <c r="J5632" t="str">
        <f t="shared" si="175"/>
        <v>Complete</v>
      </c>
      <c r="K5632">
        <f>COUNTIFS(RawData[Item], B5632,RawData[Quantity],C5632,RawData[Price Per Unit],D5632,RawData[Total Spent],E5632,RawData[Payment Method],F5632,RawData[Location],G5632,RawData[Transaction Date],H5632)</f>
        <v>1</v>
      </c>
      <c r="L5632"/>
    </row>
    <row r="5633" spans="1:12" x14ac:dyDescent="0.3">
      <c r="A5633" t="s">
        <v>5639</v>
      </c>
      <c r="B5633" t="s">
        <v>10011</v>
      </c>
      <c r="C5633">
        <v>3</v>
      </c>
      <c r="D5633">
        <v>5</v>
      </c>
      <c r="E5633">
        <v>15</v>
      </c>
      <c r="F5633" t="s">
        <v>10018</v>
      </c>
      <c r="G5633" t="s">
        <v>10069</v>
      </c>
      <c r="H5633" s="6">
        <v>44987</v>
      </c>
      <c r="I5633">
        <f t="shared" si="174"/>
        <v>0</v>
      </c>
      <c r="J5633" t="str">
        <f t="shared" si="175"/>
        <v>Complete</v>
      </c>
      <c r="K5633">
        <f>COUNTIFS(RawData[Item], B5633,RawData[Quantity],C5633,RawData[Price Per Unit],D5633,RawData[Total Spent],E5633,RawData[Payment Method],F5633,RawData[Location],G5633,RawData[Transaction Date],H5633)</f>
        <v>1</v>
      </c>
      <c r="L5633"/>
    </row>
    <row r="5634" spans="1:12" x14ac:dyDescent="0.3">
      <c r="A5634" t="s">
        <v>5640</v>
      </c>
      <c r="B5634" t="s">
        <v>10012</v>
      </c>
      <c r="C5634">
        <v>3</v>
      </c>
      <c r="D5634">
        <v>4</v>
      </c>
      <c r="E5634">
        <v>12</v>
      </c>
      <c r="F5634" t="s">
        <v>10069</v>
      </c>
      <c r="G5634" t="s">
        <v>10102</v>
      </c>
      <c r="H5634" s="6" t="s">
        <v>10112</v>
      </c>
      <c r="I5634">
        <f t="shared" ref="I5634:I5697" si="176">(B5634="Unknown")+(B5634="Error")+(C5634="Unknown")+(C5634="Error")+(D5634="Unknown")+(D5634="Error")+(E5634="Unknown")+(E5634="Error")+(F5634="Unknown")+(F5634="Error")+(G5634="Unknown")+(G5634="Error")+(H5634="No Date")</f>
        <v>1</v>
      </c>
      <c r="J5634" t="str">
        <f t="shared" ref="J5634:J5697" si="177">IF((H5634="No Date"),"Incomplete","Complete")</f>
        <v>Incomplete</v>
      </c>
      <c r="K5634">
        <f>COUNTIFS(RawData[Item], B5634,RawData[Quantity],C5634,RawData[Price Per Unit],D5634,RawData[Total Spent],E5634,RawData[Payment Method],F5634,RawData[Location],G5634,RawData[Transaction Date],H5634)</f>
        <v>1</v>
      </c>
      <c r="L5634"/>
    </row>
    <row r="5635" spans="1:12" x14ac:dyDescent="0.3">
      <c r="A5635" t="s">
        <v>5641</v>
      </c>
      <c r="B5635" t="s">
        <v>10010</v>
      </c>
      <c r="C5635">
        <v>3</v>
      </c>
      <c r="D5635">
        <v>1</v>
      </c>
      <c r="E5635">
        <v>3</v>
      </c>
      <c r="F5635" t="s">
        <v>10069</v>
      </c>
      <c r="G5635" t="s">
        <v>10069</v>
      </c>
      <c r="H5635" s="6">
        <v>44953</v>
      </c>
      <c r="I5635">
        <f t="shared" si="176"/>
        <v>0</v>
      </c>
      <c r="J5635" t="str">
        <f t="shared" si="177"/>
        <v>Complete</v>
      </c>
      <c r="K5635">
        <f>COUNTIFS(RawData[Item], B5635,RawData[Quantity],C5635,RawData[Price Per Unit],D5635,RawData[Total Spent],E5635,RawData[Payment Method],F5635,RawData[Location],G5635,RawData[Transaction Date],H5635)</f>
        <v>1</v>
      </c>
      <c r="L5635"/>
    </row>
    <row r="5636" spans="1:12" x14ac:dyDescent="0.3">
      <c r="A5636" t="s">
        <v>5642</v>
      </c>
      <c r="B5636" t="s">
        <v>10014</v>
      </c>
      <c r="C5636">
        <v>2</v>
      </c>
      <c r="D5636">
        <v>4</v>
      </c>
      <c r="E5636" t="s">
        <v>10015</v>
      </c>
      <c r="F5636" t="s">
        <v>10020</v>
      </c>
      <c r="G5636" t="s">
        <v>10021</v>
      </c>
      <c r="H5636" s="6">
        <v>45238</v>
      </c>
      <c r="I5636">
        <f t="shared" si="176"/>
        <v>1</v>
      </c>
      <c r="J5636" t="str">
        <f t="shared" si="177"/>
        <v>Complete</v>
      </c>
      <c r="K5636">
        <f>COUNTIFS(RawData[Item], B5636,RawData[Quantity],C5636,RawData[Price Per Unit],D5636,RawData[Total Spent],E5636,RawData[Payment Method],F5636,RawData[Location],G5636,RawData[Transaction Date],H5636)</f>
        <v>1</v>
      </c>
      <c r="L5636"/>
    </row>
    <row r="5637" spans="1:12" x14ac:dyDescent="0.3">
      <c r="A5637" t="s">
        <v>5643</v>
      </c>
      <c r="B5637" t="s">
        <v>10014</v>
      </c>
      <c r="C5637" t="s">
        <v>10013</v>
      </c>
      <c r="D5637">
        <v>4</v>
      </c>
      <c r="E5637">
        <v>8</v>
      </c>
      <c r="F5637" t="s">
        <v>10019</v>
      </c>
      <c r="G5637" t="s">
        <v>10069</v>
      </c>
      <c r="H5637" s="6">
        <v>45230</v>
      </c>
      <c r="I5637">
        <f t="shared" si="176"/>
        <v>1</v>
      </c>
      <c r="J5637" t="str">
        <f t="shared" si="177"/>
        <v>Complete</v>
      </c>
      <c r="K5637">
        <f>COUNTIFS(RawData[Item], B5637,RawData[Quantity],C5637,RawData[Price Per Unit],D5637,RawData[Total Spent],E5637,RawData[Payment Method],F5637,RawData[Location],G5637,RawData[Transaction Date],H5637)</f>
        <v>1</v>
      </c>
      <c r="L5637"/>
    </row>
    <row r="5638" spans="1:12" x14ac:dyDescent="0.3">
      <c r="A5638" t="s">
        <v>5644</v>
      </c>
      <c r="B5638" t="s">
        <v>10012</v>
      </c>
      <c r="C5638">
        <v>3</v>
      </c>
      <c r="D5638">
        <v>0</v>
      </c>
      <c r="E5638">
        <v>12</v>
      </c>
      <c r="F5638" t="s">
        <v>10020</v>
      </c>
      <c r="G5638" t="s">
        <v>10069</v>
      </c>
      <c r="H5638" s="6">
        <v>44933</v>
      </c>
      <c r="I5638">
        <f t="shared" si="176"/>
        <v>0</v>
      </c>
      <c r="J5638" t="str">
        <f t="shared" si="177"/>
        <v>Complete</v>
      </c>
      <c r="K5638">
        <f>COUNTIFS(RawData[Item], B5638,RawData[Quantity],C5638,RawData[Price Per Unit],D5638,RawData[Total Spent],E5638,RawData[Payment Method],F5638,RawData[Location],G5638,RawData[Transaction Date],H5638)</f>
        <v>1</v>
      </c>
      <c r="L5638"/>
    </row>
    <row r="5639" spans="1:12" x14ac:dyDescent="0.3">
      <c r="A5639" t="s">
        <v>5645</v>
      </c>
      <c r="B5639" t="s">
        <v>10010</v>
      </c>
      <c r="C5639">
        <v>5</v>
      </c>
      <c r="D5639">
        <v>1</v>
      </c>
      <c r="E5639">
        <v>5</v>
      </c>
      <c r="F5639" t="s">
        <v>10069</v>
      </c>
      <c r="G5639" t="s">
        <v>10102</v>
      </c>
      <c r="H5639" s="6">
        <v>45174</v>
      </c>
      <c r="I5639">
        <f t="shared" si="176"/>
        <v>0</v>
      </c>
      <c r="J5639" t="str">
        <f t="shared" si="177"/>
        <v>Complete</v>
      </c>
      <c r="K5639">
        <f>COUNTIFS(RawData[Item], B5639,RawData[Quantity],C5639,RawData[Price Per Unit],D5639,RawData[Total Spent],E5639,RawData[Payment Method],F5639,RawData[Location],G5639,RawData[Transaction Date],H5639)</f>
        <v>1</v>
      </c>
      <c r="L5639"/>
    </row>
    <row r="5640" spans="1:12" x14ac:dyDescent="0.3">
      <c r="A5640" t="s">
        <v>5646</v>
      </c>
      <c r="B5640" t="s">
        <v>10011</v>
      </c>
      <c r="C5640">
        <v>5</v>
      </c>
      <c r="D5640">
        <v>5</v>
      </c>
      <c r="E5640">
        <v>25</v>
      </c>
      <c r="F5640" t="s">
        <v>10069</v>
      </c>
      <c r="G5640" t="s">
        <v>10069</v>
      </c>
      <c r="H5640" s="6">
        <v>45244</v>
      </c>
      <c r="I5640">
        <f t="shared" si="176"/>
        <v>0</v>
      </c>
      <c r="J5640" t="str">
        <f t="shared" si="177"/>
        <v>Complete</v>
      </c>
      <c r="K5640">
        <f>COUNTIFS(RawData[Item], B5640,RawData[Quantity],C5640,RawData[Price Per Unit],D5640,RawData[Total Spent],E5640,RawData[Payment Method],F5640,RawData[Location],G5640,RawData[Transaction Date],H5640)</f>
        <v>1</v>
      </c>
      <c r="L5640"/>
    </row>
    <row r="5641" spans="1:12" x14ac:dyDescent="0.3">
      <c r="A5641" t="s">
        <v>5647</v>
      </c>
      <c r="B5641" t="s">
        <v>10017</v>
      </c>
      <c r="C5641">
        <v>0</v>
      </c>
      <c r="D5641" t="s">
        <v>10015</v>
      </c>
      <c r="E5641">
        <v>6</v>
      </c>
      <c r="F5641" t="s">
        <v>10018</v>
      </c>
      <c r="G5641" t="s">
        <v>10069</v>
      </c>
      <c r="H5641" s="6">
        <v>45212</v>
      </c>
      <c r="I5641">
        <f t="shared" si="176"/>
        <v>1</v>
      </c>
      <c r="J5641" t="str">
        <f t="shared" si="177"/>
        <v>Complete</v>
      </c>
      <c r="K5641">
        <f>COUNTIFS(RawData[Item], B5641,RawData[Quantity],C5641,RawData[Price Per Unit],D5641,RawData[Total Spent],E5641,RawData[Payment Method],F5641,RawData[Location],G5641,RawData[Transaction Date],H5641)</f>
        <v>1</v>
      </c>
      <c r="L5641"/>
    </row>
    <row r="5642" spans="1:12" x14ac:dyDescent="0.3">
      <c r="A5642" t="s">
        <v>5648</v>
      </c>
      <c r="B5642" t="s">
        <v>10017</v>
      </c>
      <c r="C5642">
        <v>5</v>
      </c>
      <c r="D5642">
        <v>1.5</v>
      </c>
      <c r="E5642">
        <v>7.5</v>
      </c>
      <c r="F5642" t="s">
        <v>10020</v>
      </c>
      <c r="G5642" t="s">
        <v>10102</v>
      </c>
      <c r="H5642" s="6">
        <v>45056</v>
      </c>
      <c r="I5642">
        <f t="shared" si="176"/>
        <v>0</v>
      </c>
      <c r="J5642" t="str">
        <f t="shared" si="177"/>
        <v>Complete</v>
      </c>
      <c r="K5642">
        <f>COUNTIFS(RawData[Item], B5642,RawData[Quantity],C5642,RawData[Price Per Unit],D5642,RawData[Total Spent],E5642,RawData[Payment Method],F5642,RawData[Location],G5642,RawData[Transaction Date],H5642)</f>
        <v>1</v>
      </c>
      <c r="L5642"/>
    </row>
    <row r="5643" spans="1:12" x14ac:dyDescent="0.3">
      <c r="A5643" t="s">
        <v>5649</v>
      </c>
      <c r="B5643" t="s">
        <v>10012</v>
      </c>
      <c r="C5643">
        <v>2</v>
      </c>
      <c r="D5643">
        <v>4</v>
      </c>
      <c r="E5643">
        <v>8</v>
      </c>
      <c r="F5643" t="s">
        <v>10018</v>
      </c>
      <c r="G5643" t="s">
        <v>10102</v>
      </c>
      <c r="H5643" s="6">
        <v>45220</v>
      </c>
      <c r="I5643">
        <f t="shared" si="176"/>
        <v>0</v>
      </c>
      <c r="J5643" t="str">
        <f t="shared" si="177"/>
        <v>Complete</v>
      </c>
      <c r="K5643">
        <f>COUNTIFS(RawData[Item], B5643,RawData[Quantity],C5643,RawData[Price Per Unit],D5643,RawData[Total Spent],E5643,RawData[Payment Method],F5643,RawData[Location],G5643,RawData[Transaction Date],H5643)</f>
        <v>1</v>
      </c>
      <c r="L5643"/>
    </row>
    <row r="5644" spans="1:12" x14ac:dyDescent="0.3">
      <c r="A5644" t="s">
        <v>5650</v>
      </c>
      <c r="B5644" t="s">
        <v>10069</v>
      </c>
      <c r="C5644">
        <v>2</v>
      </c>
      <c r="D5644">
        <v>1</v>
      </c>
      <c r="E5644">
        <v>2</v>
      </c>
      <c r="F5644" t="s">
        <v>10069</v>
      </c>
      <c r="G5644" t="s">
        <v>10102</v>
      </c>
      <c r="H5644" s="6">
        <v>45021</v>
      </c>
      <c r="I5644">
        <f t="shared" si="176"/>
        <v>0</v>
      </c>
      <c r="J5644" t="str">
        <f t="shared" si="177"/>
        <v>Complete</v>
      </c>
      <c r="K5644">
        <f>COUNTIFS(RawData[Item], B5644,RawData[Quantity],C5644,RawData[Price Per Unit],D5644,RawData[Total Spent],E5644,RawData[Payment Method],F5644,RawData[Location],G5644,RawData[Transaction Date],H5644)</f>
        <v>1</v>
      </c>
      <c r="L5644"/>
    </row>
    <row r="5645" spans="1:12" x14ac:dyDescent="0.3">
      <c r="A5645" t="s">
        <v>5651</v>
      </c>
      <c r="B5645" t="s">
        <v>10017</v>
      </c>
      <c r="C5645">
        <v>2</v>
      </c>
      <c r="D5645">
        <v>1.5</v>
      </c>
      <c r="E5645">
        <v>3</v>
      </c>
      <c r="F5645" t="s">
        <v>10069</v>
      </c>
      <c r="G5645" t="s">
        <v>10021</v>
      </c>
      <c r="H5645" s="6" t="s">
        <v>10112</v>
      </c>
      <c r="I5645">
        <f t="shared" si="176"/>
        <v>1</v>
      </c>
      <c r="J5645" t="str">
        <f t="shared" si="177"/>
        <v>Incomplete</v>
      </c>
      <c r="K5645">
        <f>COUNTIFS(RawData[Item], B5645,RawData[Quantity],C5645,RawData[Price Per Unit],D5645,RawData[Total Spent],E5645,RawData[Payment Method],F5645,RawData[Location],G5645,RawData[Transaction Date],H5645)</f>
        <v>1</v>
      </c>
      <c r="L5645"/>
    </row>
    <row r="5646" spans="1:12" x14ac:dyDescent="0.3">
      <c r="A5646" t="s">
        <v>5652</v>
      </c>
      <c r="B5646" t="s">
        <v>10011</v>
      </c>
      <c r="C5646">
        <v>5</v>
      </c>
      <c r="D5646">
        <v>5</v>
      </c>
      <c r="E5646">
        <v>25</v>
      </c>
      <c r="F5646" t="s">
        <v>10020</v>
      </c>
      <c r="G5646" t="s">
        <v>10102</v>
      </c>
      <c r="H5646" s="6">
        <v>45177</v>
      </c>
      <c r="I5646">
        <f t="shared" si="176"/>
        <v>0</v>
      </c>
      <c r="J5646" t="str">
        <f t="shared" si="177"/>
        <v>Complete</v>
      </c>
      <c r="K5646">
        <f>COUNTIFS(RawData[Item], B5646,RawData[Quantity],C5646,RawData[Price Per Unit],D5646,RawData[Total Spent],E5646,RawData[Payment Method],F5646,RawData[Location],G5646,RawData[Transaction Date],H5646)</f>
        <v>1</v>
      </c>
      <c r="L5646"/>
    </row>
    <row r="5647" spans="1:12" x14ac:dyDescent="0.3">
      <c r="A5647" t="s">
        <v>5653</v>
      </c>
      <c r="B5647" t="s">
        <v>10009</v>
      </c>
      <c r="C5647">
        <v>1</v>
      </c>
      <c r="D5647">
        <v>3</v>
      </c>
      <c r="E5647">
        <v>3</v>
      </c>
      <c r="F5647" t="s">
        <v>10069</v>
      </c>
      <c r="G5647" t="s">
        <v>10021</v>
      </c>
      <c r="H5647" s="6">
        <v>45041</v>
      </c>
      <c r="I5647">
        <f t="shared" si="176"/>
        <v>0</v>
      </c>
      <c r="J5647" t="str">
        <f t="shared" si="177"/>
        <v>Complete</v>
      </c>
      <c r="K5647">
        <f>COUNTIFS(RawData[Item], B5647,RawData[Quantity],C5647,RawData[Price Per Unit],D5647,RawData[Total Spent],E5647,RawData[Payment Method],F5647,RawData[Location],G5647,RawData[Transaction Date],H5647)</f>
        <v>1</v>
      </c>
      <c r="L5647"/>
    </row>
    <row r="5648" spans="1:12" x14ac:dyDescent="0.3">
      <c r="A5648" t="s">
        <v>5654</v>
      </c>
      <c r="B5648" t="s">
        <v>10016</v>
      </c>
      <c r="C5648">
        <v>5</v>
      </c>
      <c r="D5648">
        <v>3</v>
      </c>
      <c r="E5648">
        <v>15</v>
      </c>
      <c r="F5648" t="s">
        <v>10069</v>
      </c>
      <c r="G5648" t="s">
        <v>10102</v>
      </c>
      <c r="H5648" s="6">
        <v>45180</v>
      </c>
      <c r="I5648">
        <f t="shared" si="176"/>
        <v>0</v>
      </c>
      <c r="J5648" t="str">
        <f t="shared" si="177"/>
        <v>Complete</v>
      </c>
      <c r="K5648">
        <f>COUNTIFS(RawData[Item], B5648,RawData[Quantity],C5648,RawData[Price Per Unit],D5648,RawData[Total Spent],E5648,RawData[Payment Method],F5648,RawData[Location],G5648,RawData[Transaction Date],H5648)</f>
        <v>1</v>
      </c>
      <c r="L5648"/>
    </row>
    <row r="5649" spans="1:12" x14ac:dyDescent="0.3">
      <c r="A5649" t="s">
        <v>5655</v>
      </c>
      <c r="B5649" t="s">
        <v>10008</v>
      </c>
      <c r="C5649">
        <v>3</v>
      </c>
      <c r="D5649">
        <v>0</v>
      </c>
      <c r="E5649">
        <v>6</v>
      </c>
      <c r="F5649" t="s">
        <v>10018</v>
      </c>
      <c r="G5649" t="s">
        <v>10021</v>
      </c>
      <c r="H5649" s="6">
        <v>45036</v>
      </c>
      <c r="I5649">
        <f t="shared" si="176"/>
        <v>0</v>
      </c>
      <c r="J5649" t="str">
        <f t="shared" si="177"/>
        <v>Complete</v>
      </c>
      <c r="K5649">
        <f>COUNTIFS(RawData[Item], B5649,RawData[Quantity],C5649,RawData[Price Per Unit],D5649,RawData[Total Spent],E5649,RawData[Payment Method],F5649,RawData[Location],G5649,RawData[Transaction Date],H5649)</f>
        <v>1</v>
      </c>
      <c r="L5649"/>
    </row>
    <row r="5650" spans="1:12" x14ac:dyDescent="0.3">
      <c r="A5650" t="s">
        <v>5656</v>
      </c>
      <c r="B5650" t="s">
        <v>10011</v>
      </c>
      <c r="C5650">
        <v>4</v>
      </c>
      <c r="D5650">
        <v>5</v>
      </c>
      <c r="E5650">
        <v>20</v>
      </c>
      <c r="F5650" t="s">
        <v>10019</v>
      </c>
      <c r="G5650" t="s">
        <v>10069</v>
      </c>
      <c r="H5650" s="6">
        <v>44996</v>
      </c>
      <c r="I5650">
        <f t="shared" si="176"/>
        <v>0</v>
      </c>
      <c r="J5650" t="str">
        <f t="shared" si="177"/>
        <v>Complete</v>
      </c>
      <c r="K5650">
        <f>COUNTIFS(RawData[Item], B5650,RawData[Quantity],C5650,RawData[Price Per Unit],D5650,RawData[Total Spent],E5650,RawData[Payment Method],F5650,RawData[Location],G5650,RawData[Transaction Date],H5650)</f>
        <v>1</v>
      </c>
      <c r="L5650"/>
    </row>
    <row r="5651" spans="1:12" x14ac:dyDescent="0.3">
      <c r="A5651" t="s">
        <v>5657</v>
      </c>
      <c r="B5651" t="s">
        <v>10008</v>
      </c>
      <c r="C5651">
        <v>4</v>
      </c>
      <c r="D5651">
        <v>2</v>
      </c>
      <c r="E5651">
        <v>8</v>
      </c>
      <c r="F5651" t="s">
        <v>10069</v>
      </c>
      <c r="G5651" t="s">
        <v>10021</v>
      </c>
      <c r="H5651" s="6">
        <v>45098</v>
      </c>
      <c r="I5651">
        <f t="shared" si="176"/>
        <v>0</v>
      </c>
      <c r="J5651" t="str">
        <f t="shared" si="177"/>
        <v>Complete</v>
      </c>
      <c r="K5651">
        <f>COUNTIFS(RawData[Item], B5651,RawData[Quantity],C5651,RawData[Price Per Unit],D5651,RawData[Total Spent],E5651,RawData[Payment Method],F5651,RawData[Location],G5651,RawData[Transaction Date],H5651)</f>
        <v>1</v>
      </c>
      <c r="L5651"/>
    </row>
    <row r="5652" spans="1:12" x14ac:dyDescent="0.3">
      <c r="A5652" t="s">
        <v>5658</v>
      </c>
      <c r="B5652" t="s">
        <v>10015</v>
      </c>
      <c r="C5652">
        <v>3</v>
      </c>
      <c r="D5652">
        <v>1.5</v>
      </c>
      <c r="E5652">
        <v>4.5</v>
      </c>
      <c r="F5652" t="s">
        <v>10018</v>
      </c>
      <c r="G5652" t="s">
        <v>10069</v>
      </c>
      <c r="H5652" s="6">
        <v>45105</v>
      </c>
      <c r="I5652">
        <f t="shared" si="176"/>
        <v>1</v>
      </c>
      <c r="J5652" t="str">
        <f t="shared" si="177"/>
        <v>Complete</v>
      </c>
      <c r="K5652">
        <f>COUNTIFS(RawData[Item], B5652,RawData[Quantity],C5652,RawData[Price Per Unit],D5652,RawData[Total Spent],E5652,RawData[Payment Method],F5652,RawData[Location],G5652,RawData[Transaction Date],H5652)</f>
        <v>1</v>
      </c>
      <c r="L5652"/>
    </row>
    <row r="5653" spans="1:12" x14ac:dyDescent="0.3">
      <c r="A5653" t="s">
        <v>5659</v>
      </c>
      <c r="B5653" t="s">
        <v>10009</v>
      </c>
      <c r="C5653">
        <v>4</v>
      </c>
      <c r="D5653">
        <v>3</v>
      </c>
      <c r="E5653">
        <v>12</v>
      </c>
      <c r="F5653" t="s">
        <v>10019</v>
      </c>
      <c r="G5653" t="s">
        <v>10069</v>
      </c>
      <c r="H5653" s="6">
        <v>44934</v>
      </c>
      <c r="I5653">
        <f t="shared" si="176"/>
        <v>0</v>
      </c>
      <c r="J5653" t="str">
        <f t="shared" si="177"/>
        <v>Complete</v>
      </c>
      <c r="K5653">
        <f>COUNTIFS(RawData[Item], B5653,RawData[Quantity],C5653,RawData[Price Per Unit],D5653,RawData[Total Spent],E5653,RawData[Payment Method],F5653,RawData[Location],G5653,RawData[Transaction Date],H5653)</f>
        <v>1</v>
      </c>
      <c r="L5653"/>
    </row>
    <row r="5654" spans="1:12" x14ac:dyDescent="0.3">
      <c r="A5654" t="s">
        <v>5660</v>
      </c>
      <c r="B5654" t="s">
        <v>10012</v>
      </c>
      <c r="C5654">
        <v>5</v>
      </c>
      <c r="D5654">
        <v>4</v>
      </c>
      <c r="E5654">
        <v>20</v>
      </c>
      <c r="F5654" t="s">
        <v>10069</v>
      </c>
      <c r="G5654" t="s">
        <v>10069</v>
      </c>
      <c r="H5654" s="6">
        <v>45287</v>
      </c>
      <c r="I5654">
        <f t="shared" si="176"/>
        <v>0</v>
      </c>
      <c r="J5654" t="str">
        <f t="shared" si="177"/>
        <v>Complete</v>
      </c>
      <c r="K5654">
        <f>COUNTIFS(RawData[Item], B5654,RawData[Quantity],C5654,RawData[Price Per Unit],D5654,RawData[Total Spent],E5654,RawData[Payment Method],F5654,RawData[Location],G5654,RawData[Transaction Date],H5654)</f>
        <v>1</v>
      </c>
      <c r="L5654"/>
    </row>
    <row r="5655" spans="1:12" x14ac:dyDescent="0.3">
      <c r="A5655" t="s">
        <v>5661</v>
      </c>
      <c r="B5655" t="s">
        <v>10009</v>
      </c>
      <c r="C5655">
        <v>2</v>
      </c>
      <c r="D5655">
        <v>3</v>
      </c>
      <c r="E5655">
        <v>6</v>
      </c>
      <c r="F5655" t="s">
        <v>10020</v>
      </c>
      <c r="G5655" t="s">
        <v>10069</v>
      </c>
      <c r="H5655" s="6">
        <v>45272</v>
      </c>
      <c r="I5655">
        <f t="shared" si="176"/>
        <v>0</v>
      </c>
      <c r="J5655" t="str">
        <f t="shared" si="177"/>
        <v>Complete</v>
      </c>
      <c r="K5655">
        <f>COUNTIFS(RawData[Item], B5655,RawData[Quantity],C5655,RawData[Price Per Unit],D5655,RawData[Total Spent],E5655,RawData[Payment Method],F5655,RawData[Location],G5655,RawData[Transaction Date],H5655)</f>
        <v>2</v>
      </c>
      <c r="L5655"/>
    </row>
    <row r="5656" spans="1:12" x14ac:dyDescent="0.3">
      <c r="A5656" t="s">
        <v>5662</v>
      </c>
      <c r="B5656" t="s">
        <v>10011</v>
      </c>
      <c r="C5656">
        <v>4</v>
      </c>
      <c r="D5656">
        <v>5</v>
      </c>
      <c r="E5656">
        <v>20</v>
      </c>
      <c r="F5656" t="s">
        <v>10020</v>
      </c>
      <c r="G5656" t="s">
        <v>10069</v>
      </c>
      <c r="H5656" s="6">
        <v>44979</v>
      </c>
      <c r="I5656">
        <f t="shared" si="176"/>
        <v>0</v>
      </c>
      <c r="J5656" t="str">
        <f t="shared" si="177"/>
        <v>Complete</v>
      </c>
      <c r="K5656">
        <f>COUNTIFS(RawData[Item], B5656,RawData[Quantity],C5656,RawData[Price Per Unit],D5656,RawData[Total Spent],E5656,RawData[Payment Method],F5656,RawData[Location],G5656,RawData[Transaction Date],H5656)</f>
        <v>1</v>
      </c>
      <c r="L5656"/>
    </row>
    <row r="5657" spans="1:12" x14ac:dyDescent="0.3">
      <c r="A5657" t="s">
        <v>5663</v>
      </c>
      <c r="B5657" t="s">
        <v>10014</v>
      </c>
      <c r="C5657">
        <v>3</v>
      </c>
      <c r="D5657">
        <v>4</v>
      </c>
      <c r="E5657">
        <v>12</v>
      </c>
      <c r="F5657" t="s">
        <v>10103</v>
      </c>
      <c r="G5657" t="s">
        <v>10021</v>
      </c>
      <c r="H5657" s="6">
        <v>45031</v>
      </c>
      <c r="I5657">
        <f t="shared" si="176"/>
        <v>1</v>
      </c>
      <c r="J5657" t="str">
        <f t="shared" si="177"/>
        <v>Complete</v>
      </c>
      <c r="K5657">
        <f>COUNTIFS(RawData[Item], B5657,RawData[Quantity],C5657,RawData[Price Per Unit],D5657,RawData[Total Spent],E5657,RawData[Payment Method],F5657,RawData[Location],G5657,RawData[Transaction Date],H5657)</f>
        <v>1</v>
      </c>
      <c r="L5657"/>
    </row>
    <row r="5658" spans="1:12" x14ac:dyDescent="0.3">
      <c r="A5658" t="s">
        <v>5664</v>
      </c>
      <c r="B5658" t="s">
        <v>10016</v>
      </c>
      <c r="C5658">
        <v>3</v>
      </c>
      <c r="D5658" t="s">
        <v>10015</v>
      </c>
      <c r="E5658">
        <v>9</v>
      </c>
      <c r="F5658" t="s">
        <v>10069</v>
      </c>
      <c r="G5658" t="s">
        <v>10021</v>
      </c>
      <c r="H5658" s="6">
        <v>45265</v>
      </c>
      <c r="I5658">
        <f t="shared" si="176"/>
        <v>1</v>
      </c>
      <c r="J5658" t="str">
        <f t="shared" si="177"/>
        <v>Complete</v>
      </c>
      <c r="K5658">
        <f>COUNTIFS(RawData[Item], B5658,RawData[Quantity],C5658,RawData[Price Per Unit],D5658,RawData[Total Spent],E5658,RawData[Payment Method],F5658,RawData[Location],G5658,RawData[Transaction Date],H5658)</f>
        <v>1</v>
      </c>
      <c r="L5658"/>
    </row>
    <row r="5659" spans="1:12" x14ac:dyDescent="0.3">
      <c r="A5659" t="s">
        <v>5665</v>
      </c>
      <c r="B5659" t="s">
        <v>10069</v>
      </c>
      <c r="C5659">
        <v>1</v>
      </c>
      <c r="D5659">
        <v>3</v>
      </c>
      <c r="E5659">
        <v>3</v>
      </c>
      <c r="F5659" t="s">
        <v>10069</v>
      </c>
      <c r="G5659" t="s">
        <v>10102</v>
      </c>
      <c r="H5659" s="6">
        <v>45059</v>
      </c>
      <c r="I5659">
        <f t="shared" si="176"/>
        <v>0</v>
      </c>
      <c r="J5659" t="str">
        <f t="shared" si="177"/>
        <v>Complete</v>
      </c>
      <c r="K5659">
        <f>COUNTIFS(RawData[Item], B5659,RawData[Quantity],C5659,RawData[Price Per Unit],D5659,RawData[Total Spent],E5659,RawData[Payment Method],F5659,RawData[Location],G5659,RawData[Transaction Date],H5659)</f>
        <v>1</v>
      </c>
      <c r="L5659"/>
    </row>
    <row r="5660" spans="1:12" x14ac:dyDescent="0.3">
      <c r="A5660" t="s">
        <v>5666</v>
      </c>
      <c r="B5660" t="s">
        <v>10014</v>
      </c>
      <c r="C5660">
        <v>3</v>
      </c>
      <c r="D5660">
        <v>4</v>
      </c>
      <c r="E5660">
        <v>12</v>
      </c>
      <c r="F5660" t="s">
        <v>10020</v>
      </c>
      <c r="G5660" t="s">
        <v>10069</v>
      </c>
      <c r="H5660" s="6">
        <v>45055</v>
      </c>
      <c r="I5660">
        <f t="shared" si="176"/>
        <v>0</v>
      </c>
      <c r="J5660" t="str">
        <f t="shared" si="177"/>
        <v>Complete</v>
      </c>
      <c r="K5660">
        <f>COUNTIFS(RawData[Item], B5660,RawData[Quantity],C5660,RawData[Price Per Unit],D5660,RawData[Total Spent],E5660,RawData[Payment Method],F5660,RawData[Location],G5660,RawData[Transaction Date],H5660)</f>
        <v>1</v>
      </c>
      <c r="L5660"/>
    </row>
    <row r="5661" spans="1:12" x14ac:dyDescent="0.3">
      <c r="A5661" t="s">
        <v>5667</v>
      </c>
      <c r="B5661" t="s">
        <v>10010</v>
      </c>
      <c r="C5661">
        <v>4</v>
      </c>
      <c r="D5661">
        <v>1</v>
      </c>
      <c r="E5661">
        <v>4</v>
      </c>
      <c r="F5661" t="s">
        <v>10103</v>
      </c>
      <c r="G5661" t="s">
        <v>10102</v>
      </c>
      <c r="H5661" s="6">
        <v>45197</v>
      </c>
      <c r="I5661">
        <f t="shared" si="176"/>
        <v>1</v>
      </c>
      <c r="J5661" t="str">
        <f t="shared" si="177"/>
        <v>Complete</v>
      </c>
      <c r="K5661">
        <f>COUNTIFS(RawData[Item], B5661,RawData[Quantity],C5661,RawData[Price Per Unit],D5661,RawData[Total Spent],E5661,RawData[Payment Method],F5661,RawData[Location],G5661,RawData[Transaction Date],H5661)</f>
        <v>1</v>
      </c>
      <c r="L5661"/>
    </row>
    <row r="5662" spans="1:12" x14ac:dyDescent="0.3">
      <c r="A5662" t="s">
        <v>5668</v>
      </c>
      <c r="B5662" t="s">
        <v>10009</v>
      </c>
      <c r="C5662">
        <v>5</v>
      </c>
      <c r="D5662">
        <v>3</v>
      </c>
      <c r="E5662">
        <v>15</v>
      </c>
      <c r="F5662" t="s">
        <v>10020</v>
      </c>
      <c r="G5662" t="s">
        <v>10069</v>
      </c>
      <c r="H5662" s="6">
        <v>45279</v>
      </c>
      <c r="I5662">
        <f t="shared" si="176"/>
        <v>0</v>
      </c>
      <c r="J5662" t="str">
        <f t="shared" si="177"/>
        <v>Complete</v>
      </c>
      <c r="K5662">
        <f>COUNTIFS(RawData[Item], B5662,RawData[Quantity],C5662,RawData[Price Per Unit],D5662,RawData[Total Spent],E5662,RawData[Payment Method],F5662,RawData[Location],G5662,RawData[Transaction Date],H5662)</f>
        <v>1</v>
      </c>
      <c r="L5662"/>
    </row>
    <row r="5663" spans="1:12" x14ac:dyDescent="0.3">
      <c r="A5663" t="s">
        <v>5669</v>
      </c>
      <c r="B5663" t="s">
        <v>10013</v>
      </c>
      <c r="C5663">
        <v>5</v>
      </c>
      <c r="D5663">
        <v>4</v>
      </c>
      <c r="E5663">
        <v>20</v>
      </c>
      <c r="F5663" t="s">
        <v>10019</v>
      </c>
      <c r="G5663" t="s">
        <v>10102</v>
      </c>
      <c r="H5663" s="6">
        <v>45047</v>
      </c>
      <c r="I5663">
        <f t="shared" si="176"/>
        <v>1</v>
      </c>
      <c r="J5663" t="str">
        <f t="shared" si="177"/>
        <v>Complete</v>
      </c>
      <c r="K5663">
        <f>COUNTIFS(RawData[Item], B5663,RawData[Quantity],C5663,RawData[Price Per Unit],D5663,RawData[Total Spent],E5663,RawData[Payment Method],F5663,RawData[Location],G5663,RawData[Transaction Date],H5663)</f>
        <v>1</v>
      </c>
      <c r="L5663"/>
    </row>
    <row r="5664" spans="1:12" x14ac:dyDescent="0.3">
      <c r="A5664" t="s">
        <v>5670</v>
      </c>
      <c r="B5664" t="s">
        <v>10010</v>
      </c>
      <c r="C5664">
        <v>1</v>
      </c>
      <c r="D5664">
        <v>1</v>
      </c>
      <c r="E5664">
        <v>1</v>
      </c>
      <c r="F5664" t="s">
        <v>10018</v>
      </c>
      <c r="G5664" t="s">
        <v>10102</v>
      </c>
      <c r="H5664" s="6">
        <v>45266</v>
      </c>
      <c r="I5664">
        <f t="shared" si="176"/>
        <v>0</v>
      </c>
      <c r="J5664" t="str">
        <f t="shared" si="177"/>
        <v>Complete</v>
      </c>
      <c r="K5664">
        <f>COUNTIFS(RawData[Item], B5664,RawData[Quantity],C5664,RawData[Price Per Unit],D5664,RawData[Total Spent],E5664,RawData[Payment Method],F5664,RawData[Location],G5664,RawData[Transaction Date],H5664)</f>
        <v>1</v>
      </c>
      <c r="L5664"/>
    </row>
    <row r="5665" spans="1:12" x14ac:dyDescent="0.3">
      <c r="A5665" t="s">
        <v>5671</v>
      </c>
      <c r="B5665" t="s">
        <v>10012</v>
      </c>
      <c r="C5665">
        <v>4</v>
      </c>
      <c r="D5665" t="s">
        <v>10013</v>
      </c>
      <c r="E5665">
        <v>16</v>
      </c>
      <c r="F5665" t="s">
        <v>10019</v>
      </c>
      <c r="G5665" t="s">
        <v>10069</v>
      </c>
      <c r="H5665" s="6">
        <v>44994</v>
      </c>
      <c r="I5665">
        <f t="shared" si="176"/>
        <v>1</v>
      </c>
      <c r="J5665" t="str">
        <f t="shared" si="177"/>
        <v>Complete</v>
      </c>
      <c r="K5665">
        <f>COUNTIFS(RawData[Item], B5665,RawData[Quantity],C5665,RawData[Price Per Unit],D5665,RawData[Total Spent],E5665,RawData[Payment Method],F5665,RawData[Location],G5665,RawData[Transaction Date],H5665)</f>
        <v>1</v>
      </c>
      <c r="L5665"/>
    </row>
    <row r="5666" spans="1:12" x14ac:dyDescent="0.3">
      <c r="A5666" t="s">
        <v>5672</v>
      </c>
      <c r="B5666" t="s">
        <v>10009</v>
      </c>
      <c r="C5666">
        <v>4</v>
      </c>
      <c r="D5666">
        <v>3</v>
      </c>
      <c r="E5666">
        <v>12</v>
      </c>
      <c r="F5666" t="s">
        <v>10019</v>
      </c>
      <c r="G5666" t="s">
        <v>10102</v>
      </c>
      <c r="H5666" s="6">
        <v>45155</v>
      </c>
      <c r="I5666">
        <f t="shared" si="176"/>
        <v>0</v>
      </c>
      <c r="J5666" t="str">
        <f t="shared" si="177"/>
        <v>Complete</v>
      </c>
      <c r="K5666">
        <f>COUNTIFS(RawData[Item], B5666,RawData[Quantity],C5666,RawData[Price Per Unit],D5666,RawData[Total Spent],E5666,RawData[Payment Method],F5666,RawData[Location],G5666,RawData[Transaction Date],H5666)</f>
        <v>1</v>
      </c>
      <c r="L5666"/>
    </row>
    <row r="5667" spans="1:12" x14ac:dyDescent="0.3">
      <c r="A5667" t="s">
        <v>5673</v>
      </c>
      <c r="B5667" t="s">
        <v>10010</v>
      </c>
      <c r="C5667">
        <v>4</v>
      </c>
      <c r="D5667">
        <v>1</v>
      </c>
      <c r="E5667">
        <v>4</v>
      </c>
      <c r="F5667" t="s">
        <v>10020</v>
      </c>
      <c r="G5667" t="s">
        <v>10021</v>
      </c>
      <c r="H5667" s="6">
        <v>45226</v>
      </c>
      <c r="I5667">
        <f t="shared" si="176"/>
        <v>0</v>
      </c>
      <c r="J5667" t="str">
        <f t="shared" si="177"/>
        <v>Complete</v>
      </c>
      <c r="K5667">
        <f>COUNTIFS(RawData[Item], B5667,RawData[Quantity],C5667,RawData[Price Per Unit],D5667,RawData[Total Spent],E5667,RawData[Payment Method],F5667,RawData[Location],G5667,RawData[Transaction Date],H5667)</f>
        <v>2</v>
      </c>
      <c r="L5667"/>
    </row>
    <row r="5668" spans="1:12" x14ac:dyDescent="0.3">
      <c r="A5668" t="s">
        <v>5674</v>
      </c>
      <c r="B5668" t="s">
        <v>10009</v>
      </c>
      <c r="C5668">
        <v>0</v>
      </c>
      <c r="D5668">
        <v>3</v>
      </c>
      <c r="E5668">
        <v>15</v>
      </c>
      <c r="F5668" t="s">
        <v>10069</v>
      </c>
      <c r="G5668" t="s">
        <v>10021</v>
      </c>
      <c r="H5668" s="6">
        <v>45037</v>
      </c>
      <c r="I5668">
        <f t="shared" si="176"/>
        <v>0</v>
      </c>
      <c r="J5668" t="str">
        <f t="shared" si="177"/>
        <v>Complete</v>
      </c>
      <c r="K5668">
        <f>COUNTIFS(RawData[Item], B5668,RawData[Quantity],C5668,RawData[Price Per Unit],D5668,RawData[Total Spent],E5668,RawData[Payment Method],F5668,RawData[Location],G5668,RawData[Transaction Date],H5668)</f>
        <v>1</v>
      </c>
      <c r="L5668"/>
    </row>
    <row r="5669" spans="1:12" x14ac:dyDescent="0.3">
      <c r="A5669" t="s">
        <v>5675</v>
      </c>
      <c r="B5669" t="s">
        <v>10009</v>
      </c>
      <c r="C5669">
        <v>3</v>
      </c>
      <c r="D5669">
        <v>3</v>
      </c>
      <c r="E5669">
        <v>9</v>
      </c>
      <c r="F5669" t="s">
        <v>10018</v>
      </c>
      <c r="G5669" t="s">
        <v>10103</v>
      </c>
      <c r="H5669" s="6">
        <v>45159</v>
      </c>
      <c r="I5669">
        <f t="shared" si="176"/>
        <v>1</v>
      </c>
      <c r="J5669" t="str">
        <f t="shared" si="177"/>
        <v>Complete</v>
      </c>
      <c r="K5669">
        <f>COUNTIFS(RawData[Item], B5669,RawData[Quantity],C5669,RawData[Price Per Unit],D5669,RawData[Total Spent],E5669,RawData[Payment Method],F5669,RawData[Location],G5669,RawData[Transaction Date],H5669)</f>
        <v>1</v>
      </c>
      <c r="L5669"/>
    </row>
    <row r="5670" spans="1:12" x14ac:dyDescent="0.3">
      <c r="A5670" t="s">
        <v>5676</v>
      </c>
      <c r="B5670" t="s">
        <v>10010</v>
      </c>
      <c r="C5670" t="s">
        <v>10015</v>
      </c>
      <c r="D5670">
        <v>1</v>
      </c>
      <c r="E5670">
        <v>4</v>
      </c>
      <c r="F5670" t="s">
        <v>10018</v>
      </c>
      <c r="G5670" t="s">
        <v>10102</v>
      </c>
      <c r="H5670" s="6" t="s">
        <v>10112</v>
      </c>
      <c r="I5670">
        <f t="shared" si="176"/>
        <v>2</v>
      </c>
      <c r="J5670" t="str">
        <f t="shared" si="177"/>
        <v>Incomplete</v>
      </c>
      <c r="K5670">
        <f>COUNTIFS(RawData[Item], B5670,RawData[Quantity],C5670,RawData[Price Per Unit],D5670,RawData[Total Spent],E5670,RawData[Payment Method],F5670,RawData[Location],G5670,RawData[Transaction Date],H5670)</f>
        <v>1</v>
      </c>
      <c r="L5670"/>
    </row>
    <row r="5671" spans="1:12" x14ac:dyDescent="0.3">
      <c r="A5671" t="s">
        <v>5677</v>
      </c>
      <c r="B5671" t="s">
        <v>10069</v>
      </c>
      <c r="C5671">
        <v>2</v>
      </c>
      <c r="D5671">
        <v>4</v>
      </c>
      <c r="E5671">
        <v>8</v>
      </c>
      <c r="F5671" t="s">
        <v>10069</v>
      </c>
      <c r="G5671" t="s">
        <v>10102</v>
      </c>
      <c r="H5671" s="6">
        <v>45278</v>
      </c>
      <c r="I5671">
        <f t="shared" si="176"/>
        <v>0</v>
      </c>
      <c r="J5671" t="str">
        <f t="shared" si="177"/>
        <v>Complete</v>
      </c>
      <c r="K5671">
        <f>COUNTIFS(RawData[Item], B5671,RawData[Quantity],C5671,RawData[Price Per Unit],D5671,RawData[Total Spent],E5671,RawData[Payment Method],F5671,RawData[Location],G5671,RawData[Transaction Date],H5671)</f>
        <v>1</v>
      </c>
      <c r="L5671"/>
    </row>
    <row r="5672" spans="1:12" x14ac:dyDescent="0.3">
      <c r="A5672" t="s">
        <v>5678</v>
      </c>
      <c r="B5672" t="s">
        <v>10008</v>
      </c>
      <c r="C5672">
        <v>3</v>
      </c>
      <c r="D5672">
        <v>2</v>
      </c>
      <c r="E5672">
        <v>6</v>
      </c>
      <c r="F5672" t="s">
        <v>10103</v>
      </c>
      <c r="G5672" t="s">
        <v>10069</v>
      </c>
      <c r="H5672" s="6">
        <v>45036</v>
      </c>
      <c r="I5672">
        <f t="shared" si="176"/>
        <v>1</v>
      </c>
      <c r="J5672" t="str">
        <f t="shared" si="177"/>
        <v>Complete</v>
      </c>
      <c r="K5672">
        <f>COUNTIFS(RawData[Item], B5672,RawData[Quantity],C5672,RawData[Price Per Unit],D5672,RawData[Total Spent],E5672,RawData[Payment Method],F5672,RawData[Location],G5672,RawData[Transaction Date],H5672)</f>
        <v>1</v>
      </c>
      <c r="L5672"/>
    </row>
    <row r="5673" spans="1:12" x14ac:dyDescent="0.3">
      <c r="A5673" t="s">
        <v>5679</v>
      </c>
      <c r="B5673" t="s">
        <v>10016</v>
      </c>
      <c r="C5673">
        <v>5</v>
      </c>
      <c r="D5673">
        <v>3</v>
      </c>
      <c r="E5673">
        <v>15</v>
      </c>
      <c r="F5673" t="s">
        <v>10069</v>
      </c>
      <c r="G5673" t="s">
        <v>10069</v>
      </c>
      <c r="H5673" s="6">
        <v>45263</v>
      </c>
      <c r="I5673">
        <f t="shared" si="176"/>
        <v>0</v>
      </c>
      <c r="J5673" t="str">
        <f t="shared" si="177"/>
        <v>Complete</v>
      </c>
      <c r="K5673">
        <f>COUNTIFS(RawData[Item], B5673,RawData[Quantity],C5673,RawData[Price Per Unit],D5673,RawData[Total Spent],E5673,RawData[Payment Method],F5673,RawData[Location],G5673,RawData[Transaction Date],H5673)</f>
        <v>1</v>
      </c>
      <c r="L5673"/>
    </row>
    <row r="5674" spans="1:12" x14ac:dyDescent="0.3">
      <c r="A5674" t="s">
        <v>5680</v>
      </c>
      <c r="B5674" t="s">
        <v>10009</v>
      </c>
      <c r="C5674">
        <v>4</v>
      </c>
      <c r="D5674">
        <v>3</v>
      </c>
      <c r="E5674">
        <v>12</v>
      </c>
      <c r="F5674" t="s">
        <v>10069</v>
      </c>
      <c r="G5674" t="s">
        <v>10069</v>
      </c>
      <c r="H5674" s="6">
        <v>45061</v>
      </c>
      <c r="I5674">
        <f t="shared" si="176"/>
        <v>0</v>
      </c>
      <c r="J5674" t="str">
        <f t="shared" si="177"/>
        <v>Complete</v>
      </c>
      <c r="K5674">
        <f>COUNTIFS(RawData[Item], B5674,RawData[Quantity],C5674,RawData[Price Per Unit],D5674,RawData[Total Spent],E5674,RawData[Payment Method],F5674,RawData[Location],G5674,RawData[Transaction Date],H5674)</f>
        <v>1</v>
      </c>
      <c r="L5674"/>
    </row>
    <row r="5675" spans="1:12" x14ac:dyDescent="0.3">
      <c r="A5675" t="s">
        <v>5681</v>
      </c>
      <c r="B5675" t="s">
        <v>10012</v>
      </c>
      <c r="C5675">
        <v>5</v>
      </c>
      <c r="D5675">
        <v>4</v>
      </c>
      <c r="E5675">
        <v>20</v>
      </c>
      <c r="F5675" t="s">
        <v>10019</v>
      </c>
      <c r="G5675" t="s">
        <v>10069</v>
      </c>
      <c r="H5675" s="6">
        <v>45248</v>
      </c>
      <c r="I5675">
        <f t="shared" si="176"/>
        <v>0</v>
      </c>
      <c r="J5675" t="str">
        <f t="shared" si="177"/>
        <v>Complete</v>
      </c>
      <c r="K5675">
        <f>COUNTIFS(RawData[Item], B5675,RawData[Quantity],C5675,RawData[Price Per Unit],D5675,RawData[Total Spent],E5675,RawData[Payment Method],F5675,RawData[Location],G5675,RawData[Transaction Date],H5675)</f>
        <v>1</v>
      </c>
      <c r="L5675"/>
    </row>
    <row r="5676" spans="1:12" x14ac:dyDescent="0.3">
      <c r="A5676" t="s">
        <v>5682</v>
      </c>
      <c r="B5676" t="s">
        <v>10017</v>
      </c>
      <c r="C5676">
        <v>4</v>
      </c>
      <c r="D5676">
        <v>1.5</v>
      </c>
      <c r="E5676">
        <v>6</v>
      </c>
      <c r="F5676" t="s">
        <v>10069</v>
      </c>
      <c r="G5676" t="s">
        <v>10069</v>
      </c>
      <c r="H5676" s="6">
        <v>44956</v>
      </c>
      <c r="I5676">
        <f t="shared" si="176"/>
        <v>0</v>
      </c>
      <c r="J5676" t="str">
        <f t="shared" si="177"/>
        <v>Complete</v>
      </c>
      <c r="K5676">
        <f>COUNTIFS(RawData[Item], B5676,RawData[Quantity],C5676,RawData[Price Per Unit],D5676,RawData[Total Spent],E5676,RawData[Payment Method],F5676,RawData[Location],G5676,RawData[Transaction Date],H5676)</f>
        <v>1</v>
      </c>
      <c r="L5676"/>
    </row>
    <row r="5677" spans="1:12" x14ac:dyDescent="0.3">
      <c r="A5677" t="s">
        <v>5683</v>
      </c>
      <c r="B5677" t="s">
        <v>10016</v>
      </c>
      <c r="C5677">
        <v>5</v>
      </c>
      <c r="D5677">
        <v>3</v>
      </c>
      <c r="E5677">
        <v>15</v>
      </c>
      <c r="F5677" t="s">
        <v>10103</v>
      </c>
      <c r="G5677" t="s">
        <v>10069</v>
      </c>
      <c r="H5677" s="6">
        <v>45283</v>
      </c>
      <c r="I5677">
        <f t="shared" si="176"/>
        <v>1</v>
      </c>
      <c r="J5677" t="str">
        <f t="shared" si="177"/>
        <v>Complete</v>
      </c>
      <c r="K5677">
        <f>COUNTIFS(RawData[Item], B5677,RawData[Quantity],C5677,RawData[Price Per Unit],D5677,RawData[Total Spent],E5677,RawData[Payment Method],F5677,RawData[Location],G5677,RawData[Transaction Date],H5677)</f>
        <v>1</v>
      </c>
      <c r="L5677"/>
    </row>
    <row r="5678" spans="1:12" x14ac:dyDescent="0.3">
      <c r="A5678" t="s">
        <v>5684</v>
      </c>
      <c r="B5678" t="s">
        <v>10069</v>
      </c>
      <c r="C5678">
        <v>2</v>
      </c>
      <c r="D5678">
        <v>1</v>
      </c>
      <c r="E5678">
        <v>2</v>
      </c>
      <c r="F5678" t="s">
        <v>10069</v>
      </c>
      <c r="G5678" t="s">
        <v>10102</v>
      </c>
      <c r="H5678" s="6">
        <v>45126</v>
      </c>
      <c r="I5678">
        <f t="shared" si="176"/>
        <v>0</v>
      </c>
      <c r="J5678" t="str">
        <f t="shared" si="177"/>
        <v>Complete</v>
      </c>
      <c r="K5678">
        <f>COUNTIFS(RawData[Item], B5678,RawData[Quantity],C5678,RawData[Price Per Unit],D5678,RawData[Total Spent],E5678,RawData[Payment Method],F5678,RawData[Location],G5678,RawData[Transaction Date],H5678)</f>
        <v>1</v>
      </c>
      <c r="L5678"/>
    </row>
    <row r="5679" spans="1:12" x14ac:dyDescent="0.3">
      <c r="A5679" t="s">
        <v>5685</v>
      </c>
      <c r="B5679" t="s">
        <v>10011</v>
      </c>
      <c r="C5679">
        <v>3</v>
      </c>
      <c r="D5679">
        <v>5</v>
      </c>
      <c r="E5679">
        <v>15</v>
      </c>
      <c r="F5679" t="s">
        <v>10069</v>
      </c>
      <c r="G5679" t="s">
        <v>10021</v>
      </c>
      <c r="H5679" s="6">
        <v>44993</v>
      </c>
      <c r="I5679">
        <f t="shared" si="176"/>
        <v>0</v>
      </c>
      <c r="J5679" t="str">
        <f t="shared" si="177"/>
        <v>Complete</v>
      </c>
      <c r="K5679">
        <f>COUNTIFS(RawData[Item], B5679,RawData[Quantity],C5679,RawData[Price Per Unit],D5679,RawData[Total Spent],E5679,RawData[Payment Method],F5679,RawData[Location],G5679,RawData[Transaction Date],H5679)</f>
        <v>1</v>
      </c>
      <c r="L5679"/>
    </row>
    <row r="5680" spans="1:12" x14ac:dyDescent="0.3">
      <c r="A5680" t="s">
        <v>5686</v>
      </c>
      <c r="B5680" t="s">
        <v>10009</v>
      </c>
      <c r="C5680">
        <v>5</v>
      </c>
      <c r="D5680">
        <v>3</v>
      </c>
      <c r="E5680">
        <v>15</v>
      </c>
      <c r="F5680" t="s">
        <v>10020</v>
      </c>
      <c r="G5680" t="s">
        <v>10102</v>
      </c>
      <c r="H5680" s="6">
        <v>45023</v>
      </c>
      <c r="I5680">
        <f t="shared" si="176"/>
        <v>0</v>
      </c>
      <c r="J5680" t="str">
        <f t="shared" si="177"/>
        <v>Complete</v>
      </c>
      <c r="K5680">
        <f>COUNTIFS(RawData[Item], B5680,RawData[Quantity],C5680,RawData[Price Per Unit],D5680,RawData[Total Spent],E5680,RawData[Payment Method],F5680,RawData[Location],G5680,RawData[Transaction Date],H5680)</f>
        <v>1</v>
      </c>
      <c r="L5680"/>
    </row>
    <row r="5681" spans="1:12" x14ac:dyDescent="0.3">
      <c r="A5681" t="s">
        <v>5687</v>
      </c>
      <c r="B5681" t="s">
        <v>10014</v>
      </c>
      <c r="C5681">
        <v>5</v>
      </c>
      <c r="D5681">
        <v>4</v>
      </c>
      <c r="E5681">
        <v>20</v>
      </c>
      <c r="F5681" t="s">
        <v>10019</v>
      </c>
      <c r="G5681" t="s">
        <v>10102</v>
      </c>
      <c r="H5681" s="6">
        <v>44936</v>
      </c>
      <c r="I5681">
        <f t="shared" si="176"/>
        <v>0</v>
      </c>
      <c r="J5681" t="str">
        <f t="shared" si="177"/>
        <v>Complete</v>
      </c>
      <c r="K5681">
        <f>COUNTIFS(RawData[Item], B5681,RawData[Quantity],C5681,RawData[Price Per Unit],D5681,RawData[Total Spent],E5681,RawData[Payment Method],F5681,RawData[Location],G5681,RawData[Transaction Date],H5681)</f>
        <v>1</v>
      </c>
      <c r="L5681"/>
    </row>
    <row r="5682" spans="1:12" x14ac:dyDescent="0.3">
      <c r="A5682" t="s">
        <v>5688</v>
      </c>
      <c r="B5682" t="s">
        <v>10014</v>
      </c>
      <c r="C5682">
        <v>1</v>
      </c>
      <c r="D5682">
        <v>4</v>
      </c>
      <c r="E5682">
        <v>4</v>
      </c>
      <c r="F5682" t="s">
        <v>10069</v>
      </c>
      <c r="G5682" t="s">
        <v>10102</v>
      </c>
      <c r="H5682" s="6">
        <v>45047</v>
      </c>
      <c r="I5682">
        <f t="shared" si="176"/>
        <v>0</v>
      </c>
      <c r="J5682" t="str">
        <f t="shared" si="177"/>
        <v>Complete</v>
      </c>
      <c r="K5682">
        <f>COUNTIFS(RawData[Item], B5682,RawData[Quantity],C5682,RawData[Price Per Unit],D5682,RawData[Total Spent],E5682,RawData[Payment Method],F5682,RawData[Location],G5682,RawData[Transaction Date],H5682)</f>
        <v>1</v>
      </c>
      <c r="L5682"/>
    </row>
    <row r="5683" spans="1:12" x14ac:dyDescent="0.3">
      <c r="A5683" t="s">
        <v>5689</v>
      </c>
      <c r="B5683" t="s">
        <v>10012</v>
      </c>
      <c r="C5683">
        <v>2</v>
      </c>
      <c r="D5683">
        <v>0</v>
      </c>
      <c r="E5683">
        <v>8</v>
      </c>
      <c r="F5683" t="s">
        <v>10069</v>
      </c>
      <c r="G5683" t="s">
        <v>10103</v>
      </c>
      <c r="H5683" s="6">
        <v>44988</v>
      </c>
      <c r="I5683">
        <f t="shared" si="176"/>
        <v>1</v>
      </c>
      <c r="J5683" t="str">
        <f t="shared" si="177"/>
        <v>Complete</v>
      </c>
      <c r="K5683">
        <f>COUNTIFS(RawData[Item], B5683,RawData[Quantity],C5683,RawData[Price Per Unit],D5683,RawData[Total Spent],E5683,RawData[Payment Method],F5683,RawData[Location],G5683,RawData[Transaction Date],H5683)</f>
        <v>1</v>
      </c>
      <c r="L5683"/>
    </row>
    <row r="5684" spans="1:12" x14ac:dyDescent="0.3">
      <c r="A5684" t="s">
        <v>5690</v>
      </c>
      <c r="B5684" t="s">
        <v>10010</v>
      </c>
      <c r="C5684">
        <v>5</v>
      </c>
      <c r="D5684">
        <v>1</v>
      </c>
      <c r="E5684">
        <v>5</v>
      </c>
      <c r="F5684" t="s">
        <v>10069</v>
      </c>
      <c r="G5684" t="s">
        <v>10021</v>
      </c>
      <c r="H5684" s="6">
        <v>45094</v>
      </c>
      <c r="I5684">
        <f t="shared" si="176"/>
        <v>0</v>
      </c>
      <c r="J5684" t="str">
        <f t="shared" si="177"/>
        <v>Complete</v>
      </c>
      <c r="K5684">
        <f>COUNTIFS(RawData[Item], B5684,RawData[Quantity],C5684,RawData[Price Per Unit],D5684,RawData[Total Spent],E5684,RawData[Payment Method],F5684,RawData[Location],G5684,RawData[Transaction Date],H5684)</f>
        <v>1</v>
      </c>
      <c r="L5684"/>
    </row>
    <row r="5685" spans="1:12" x14ac:dyDescent="0.3">
      <c r="A5685" t="s">
        <v>5691</v>
      </c>
      <c r="B5685" t="s">
        <v>10016</v>
      </c>
      <c r="C5685">
        <v>2</v>
      </c>
      <c r="D5685">
        <v>3</v>
      </c>
      <c r="E5685">
        <v>6</v>
      </c>
      <c r="F5685" t="s">
        <v>10069</v>
      </c>
      <c r="G5685" t="s">
        <v>10102</v>
      </c>
      <c r="H5685" s="6">
        <v>44932</v>
      </c>
      <c r="I5685">
        <f t="shared" si="176"/>
        <v>0</v>
      </c>
      <c r="J5685" t="str">
        <f t="shared" si="177"/>
        <v>Complete</v>
      </c>
      <c r="K5685">
        <f>COUNTIFS(RawData[Item], B5685,RawData[Quantity],C5685,RawData[Price Per Unit],D5685,RawData[Total Spent],E5685,RawData[Payment Method],F5685,RawData[Location],G5685,RawData[Transaction Date],H5685)</f>
        <v>1</v>
      </c>
      <c r="L5685"/>
    </row>
    <row r="5686" spans="1:12" x14ac:dyDescent="0.3">
      <c r="A5686" t="s">
        <v>5692</v>
      </c>
      <c r="B5686" t="s">
        <v>10008</v>
      </c>
      <c r="C5686">
        <v>5</v>
      </c>
      <c r="D5686">
        <v>2</v>
      </c>
      <c r="E5686">
        <v>10</v>
      </c>
      <c r="F5686" t="s">
        <v>10018</v>
      </c>
      <c r="G5686" t="s">
        <v>10021</v>
      </c>
      <c r="H5686" s="6">
        <v>45001</v>
      </c>
      <c r="I5686">
        <f t="shared" si="176"/>
        <v>0</v>
      </c>
      <c r="J5686" t="str">
        <f t="shared" si="177"/>
        <v>Complete</v>
      </c>
      <c r="K5686">
        <f>COUNTIFS(RawData[Item], B5686,RawData[Quantity],C5686,RawData[Price Per Unit],D5686,RawData[Total Spent],E5686,RawData[Payment Method],F5686,RawData[Location],G5686,RawData[Transaction Date],H5686)</f>
        <v>1</v>
      </c>
      <c r="L5686"/>
    </row>
    <row r="5687" spans="1:12" x14ac:dyDescent="0.3">
      <c r="A5687" t="s">
        <v>5693</v>
      </c>
      <c r="B5687" t="s">
        <v>10069</v>
      </c>
      <c r="C5687">
        <v>2</v>
      </c>
      <c r="D5687">
        <v>5</v>
      </c>
      <c r="E5687">
        <v>10</v>
      </c>
      <c r="F5687" t="s">
        <v>10069</v>
      </c>
      <c r="G5687" t="s">
        <v>10021</v>
      </c>
      <c r="H5687" s="6">
        <v>45232</v>
      </c>
      <c r="I5687">
        <f t="shared" si="176"/>
        <v>0</v>
      </c>
      <c r="J5687" t="str">
        <f t="shared" si="177"/>
        <v>Complete</v>
      </c>
      <c r="K5687">
        <f>COUNTIFS(RawData[Item], B5687,RawData[Quantity],C5687,RawData[Price Per Unit],D5687,RawData[Total Spent],E5687,RawData[Payment Method],F5687,RawData[Location],G5687,RawData[Transaction Date],H5687)</f>
        <v>1</v>
      </c>
      <c r="L5687"/>
    </row>
    <row r="5688" spans="1:12" x14ac:dyDescent="0.3">
      <c r="A5688" t="s">
        <v>5694</v>
      </c>
      <c r="B5688" t="s">
        <v>10010</v>
      </c>
      <c r="C5688">
        <v>1</v>
      </c>
      <c r="D5688">
        <v>1</v>
      </c>
      <c r="E5688">
        <v>1</v>
      </c>
      <c r="F5688" t="s">
        <v>10018</v>
      </c>
      <c r="G5688" t="s">
        <v>10021</v>
      </c>
      <c r="H5688" s="6">
        <v>45015</v>
      </c>
      <c r="I5688">
        <f t="shared" si="176"/>
        <v>0</v>
      </c>
      <c r="J5688" t="str">
        <f t="shared" si="177"/>
        <v>Complete</v>
      </c>
      <c r="K5688">
        <f>COUNTIFS(RawData[Item], B5688,RawData[Quantity],C5688,RawData[Price Per Unit],D5688,RawData[Total Spent],E5688,RawData[Payment Method],F5688,RawData[Location],G5688,RawData[Transaction Date],H5688)</f>
        <v>1</v>
      </c>
      <c r="L5688"/>
    </row>
    <row r="5689" spans="1:12" x14ac:dyDescent="0.3">
      <c r="A5689" t="s">
        <v>5695</v>
      </c>
      <c r="B5689" t="s">
        <v>10016</v>
      </c>
      <c r="C5689">
        <v>5</v>
      </c>
      <c r="D5689">
        <v>3</v>
      </c>
      <c r="E5689">
        <v>15</v>
      </c>
      <c r="F5689" t="s">
        <v>10069</v>
      </c>
      <c r="G5689" t="s">
        <v>10102</v>
      </c>
      <c r="H5689" s="6">
        <v>45229</v>
      </c>
      <c r="I5689">
        <f t="shared" si="176"/>
        <v>0</v>
      </c>
      <c r="J5689" t="str">
        <f t="shared" si="177"/>
        <v>Complete</v>
      </c>
      <c r="K5689">
        <f>COUNTIFS(RawData[Item], B5689,RawData[Quantity],C5689,RawData[Price Per Unit],D5689,RawData[Total Spent],E5689,RawData[Payment Method],F5689,RawData[Location],G5689,RawData[Transaction Date],H5689)</f>
        <v>1</v>
      </c>
      <c r="L5689"/>
    </row>
    <row r="5690" spans="1:12" x14ac:dyDescent="0.3">
      <c r="A5690" t="s">
        <v>5696</v>
      </c>
      <c r="B5690" t="s">
        <v>10017</v>
      </c>
      <c r="C5690">
        <v>5</v>
      </c>
      <c r="D5690">
        <v>1.5</v>
      </c>
      <c r="E5690">
        <v>7.5</v>
      </c>
      <c r="F5690" t="s">
        <v>10019</v>
      </c>
      <c r="G5690" t="s">
        <v>10102</v>
      </c>
      <c r="H5690" s="6">
        <v>45285</v>
      </c>
      <c r="I5690">
        <f t="shared" si="176"/>
        <v>0</v>
      </c>
      <c r="J5690" t="str">
        <f t="shared" si="177"/>
        <v>Complete</v>
      </c>
      <c r="K5690">
        <f>COUNTIFS(RawData[Item], B5690,RawData[Quantity],C5690,RawData[Price Per Unit],D5690,RawData[Total Spent],E5690,RawData[Payment Method],F5690,RawData[Location],G5690,RawData[Transaction Date],H5690)</f>
        <v>1</v>
      </c>
      <c r="L5690"/>
    </row>
    <row r="5691" spans="1:12" x14ac:dyDescent="0.3">
      <c r="A5691" t="s">
        <v>5697</v>
      </c>
      <c r="B5691" t="s">
        <v>10014</v>
      </c>
      <c r="C5691">
        <v>3</v>
      </c>
      <c r="D5691">
        <v>4</v>
      </c>
      <c r="E5691">
        <v>12</v>
      </c>
      <c r="F5691" t="s">
        <v>10020</v>
      </c>
      <c r="G5691" t="s">
        <v>10069</v>
      </c>
      <c r="H5691" s="6">
        <v>44949</v>
      </c>
      <c r="I5691">
        <f t="shared" si="176"/>
        <v>0</v>
      </c>
      <c r="J5691" t="str">
        <f t="shared" si="177"/>
        <v>Complete</v>
      </c>
      <c r="K5691">
        <f>COUNTIFS(RawData[Item], B5691,RawData[Quantity],C5691,RawData[Price Per Unit],D5691,RawData[Total Spent],E5691,RawData[Payment Method],F5691,RawData[Location],G5691,RawData[Transaction Date],H5691)</f>
        <v>1</v>
      </c>
      <c r="L5691"/>
    </row>
    <row r="5692" spans="1:12" x14ac:dyDescent="0.3">
      <c r="A5692" t="s">
        <v>5698</v>
      </c>
      <c r="B5692" t="s">
        <v>10011</v>
      </c>
      <c r="C5692">
        <v>3</v>
      </c>
      <c r="D5692">
        <v>5</v>
      </c>
      <c r="E5692">
        <v>15</v>
      </c>
      <c r="F5692" t="s">
        <v>10020</v>
      </c>
      <c r="G5692" t="s">
        <v>10102</v>
      </c>
      <c r="H5692" s="6">
        <v>45179</v>
      </c>
      <c r="I5692">
        <f t="shared" si="176"/>
        <v>0</v>
      </c>
      <c r="J5692" t="str">
        <f t="shared" si="177"/>
        <v>Complete</v>
      </c>
      <c r="K5692">
        <f>COUNTIFS(RawData[Item], B5692,RawData[Quantity],C5692,RawData[Price Per Unit],D5692,RawData[Total Spent],E5692,RawData[Payment Method],F5692,RawData[Location],G5692,RawData[Transaction Date],H5692)</f>
        <v>1</v>
      </c>
      <c r="L5692"/>
    </row>
    <row r="5693" spans="1:12" x14ac:dyDescent="0.3">
      <c r="A5693" t="s">
        <v>5699</v>
      </c>
      <c r="B5693" t="s">
        <v>10014</v>
      </c>
      <c r="C5693">
        <v>5</v>
      </c>
      <c r="D5693">
        <v>4</v>
      </c>
      <c r="E5693">
        <v>20</v>
      </c>
      <c r="F5693" t="s">
        <v>10069</v>
      </c>
      <c r="G5693" t="s">
        <v>10069</v>
      </c>
      <c r="H5693" s="6">
        <v>45113</v>
      </c>
      <c r="I5693">
        <f t="shared" si="176"/>
        <v>0</v>
      </c>
      <c r="J5693" t="str">
        <f t="shared" si="177"/>
        <v>Complete</v>
      </c>
      <c r="K5693">
        <f>COUNTIFS(RawData[Item], B5693,RawData[Quantity],C5693,RawData[Price Per Unit],D5693,RawData[Total Spent],E5693,RawData[Payment Method],F5693,RawData[Location],G5693,RawData[Transaction Date],H5693)</f>
        <v>1</v>
      </c>
      <c r="L5693"/>
    </row>
    <row r="5694" spans="1:12" x14ac:dyDescent="0.3">
      <c r="A5694" t="s">
        <v>5700</v>
      </c>
      <c r="B5694" t="s">
        <v>10016</v>
      </c>
      <c r="C5694">
        <v>1</v>
      </c>
      <c r="D5694">
        <v>3</v>
      </c>
      <c r="E5694">
        <v>3</v>
      </c>
      <c r="F5694" t="s">
        <v>10019</v>
      </c>
      <c r="G5694" t="s">
        <v>10021</v>
      </c>
      <c r="H5694" s="6">
        <v>45164</v>
      </c>
      <c r="I5694">
        <f t="shared" si="176"/>
        <v>0</v>
      </c>
      <c r="J5694" t="str">
        <f t="shared" si="177"/>
        <v>Complete</v>
      </c>
      <c r="K5694">
        <f>COUNTIFS(RawData[Item], B5694,RawData[Quantity],C5694,RawData[Price Per Unit],D5694,RawData[Total Spent],E5694,RawData[Payment Method],F5694,RawData[Location],G5694,RawData[Transaction Date],H5694)</f>
        <v>1</v>
      </c>
      <c r="L5694"/>
    </row>
    <row r="5695" spans="1:12" x14ac:dyDescent="0.3">
      <c r="A5695" t="s">
        <v>5701</v>
      </c>
      <c r="B5695" t="s">
        <v>10015</v>
      </c>
      <c r="C5695">
        <v>1</v>
      </c>
      <c r="D5695">
        <v>5</v>
      </c>
      <c r="E5695">
        <v>5</v>
      </c>
      <c r="F5695" t="s">
        <v>10018</v>
      </c>
      <c r="G5695" t="s">
        <v>10069</v>
      </c>
      <c r="H5695" s="6">
        <v>44951</v>
      </c>
      <c r="I5695">
        <f t="shared" si="176"/>
        <v>1</v>
      </c>
      <c r="J5695" t="str">
        <f t="shared" si="177"/>
        <v>Complete</v>
      </c>
      <c r="K5695">
        <f>COUNTIFS(RawData[Item], B5695,RawData[Quantity],C5695,RawData[Price Per Unit],D5695,RawData[Total Spent],E5695,RawData[Payment Method],F5695,RawData[Location],G5695,RawData[Transaction Date],H5695)</f>
        <v>1</v>
      </c>
      <c r="L5695"/>
    </row>
    <row r="5696" spans="1:12" x14ac:dyDescent="0.3">
      <c r="A5696" t="s">
        <v>5702</v>
      </c>
      <c r="B5696" t="s">
        <v>10016</v>
      </c>
      <c r="C5696">
        <v>3</v>
      </c>
      <c r="D5696">
        <v>3</v>
      </c>
      <c r="E5696">
        <v>9</v>
      </c>
      <c r="F5696" t="s">
        <v>10018</v>
      </c>
      <c r="G5696" t="s">
        <v>10102</v>
      </c>
      <c r="H5696" s="6">
        <v>45077</v>
      </c>
      <c r="I5696">
        <f t="shared" si="176"/>
        <v>0</v>
      </c>
      <c r="J5696" t="str">
        <f t="shared" si="177"/>
        <v>Complete</v>
      </c>
      <c r="K5696">
        <f>COUNTIFS(RawData[Item], B5696,RawData[Quantity],C5696,RawData[Price Per Unit],D5696,RawData[Total Spent],E5696,RawData[Payment Method],F5696,RawData[Location],G5696,RawData[Transaction Date],H5696)</f>
        <v>1</v>
      </c>
      <c r="L5696"/>
    </row>
    <row r="5697" spans="1:12" x14ac:dyDescent="0.3">
      <c r="A5697" t="s">
        <v>5703</v>
      </c>
      <c r="B5697" t="s">
        <v>10012</v>
      </c>
      <c r="C5697">
        <v>5</v>
      </c>
      <c r="D5697">
        <v>4</v>
      </c>
      <c r="E5697" t="s">
        <v>10013</v>
      </c>
      <c r="F5697" t="s">
        <v>10020</v>
      </c>
      <c r="G5697" t="s">
        <v>10069</v>
      </c>
      <c r="H5697" s="6">
        <v>45203</v>
      </c>
      <c r="I5697">
        <f t="shared" si="176"/>
        <v>1</v>
      </c>
      <c r="J5697" t="str">
        <f t="shared" si="177"/>
        <v>Complete</v>
      </c>
      <c r="K5697">
        <f>COUNTIFS(RawData[Item], B5697,RawData[Quantity],C5697,RawData[Price Per Unit],D5697,RawData[Total Spent],E5697,RawData[Payment Method],F5697,RawData[Location],G5697,RawData[Transaction Date],H5697)</f>
        <v>1</v>
      </c>
      <c r="L5697"/>
    </row>
    <row r="5698" spans="1:12" x14ac:dyDescent="0.3">
      <c r="A5698" t="s">
        <v>5704</v>
      </c>
      <c r="B5698" t="s">
        <v>10008</v>
      </c>
      <c r="C5698">
        <v>5</v>
      </c>
      <c r="D5698">
        <v>2</v>
      </c>
      <c r="E5698">
        <v>10</v>
      </c>
      <c r="F5698" t="s">
        <v>10018</v>
      </c>
      <c r="G5698" t="s">
        <v>10069</v>
      </c>
      <c r="H5698" s="6">
        <v>44935</v>
      </c>
      <c r="I5698">
        <f t="shared" ref="I5698:I5761" si="178">(B5698="Unknown")+(B5698="Error")+(C5698="Unknown")+(C5698="Error")+(D5698="Unknown")+(D5698="Error")+(E5698="Unknown")+(E5698="Error")+(F5698="Unknown")+(F5698="Error")+(G5698="Unknown")+(G5698="Error")+(H5698="No Date")</f>
        <v>0</v>
      </c>
      <c r="J5698" t="str">
        <f t="shared" ref="J5698:J5761" si="179">IF((H5698="No Date"),"Incomplete","Complete")</f>
        <v>Complete</v>
      </c>
      <c r="K5698">
        <f>COUNTIFS(RawData[Item], B5698,RawData[Quantity],C5698,RawData[Price Per Unit],D5698,RawData[Total Spent],E5698,RawData[Payment Method],F5698,RawData[Location],G5698,RawData[Transaction Date],H5698)</f>
        <v>1</v>
      </c>
      <c r="L5698"/>
    </row>
    <row r="5699" spans="1:12" x14ac:dyDescent="0.3">
      <c r="A5699" t="s">
        <v>5705</v>
      </c>
      <c r="B5699" t="s">
        <v>10010</v>
      </c>
      <c r="C5699">
        <v>4</v>
      </c>
      <c r="D5699">
        <v>1</v>
      </c>
      <c r="E5699">
        <v>4</v>
      </c>
      <c r="F5699" t="s">
        <v>10018</v>
      </c>
      <c r="G5699" t="s">
        <v>10104</v>
      </c>
      <c r="H5699" s="6">
        <v>45000</v>
      </c>
      <c r="I5699">
        <f t="shared" si="178"/>
        <v>1</v>
      </c>
      <c r="J5699" t="str">
        <f t="shared" si="179"/>
        <v>Complete</v>
      </c>
      <c r="K5699">
        <f>COUNTIFS(RawData[Item], B5699,RawData[Quantity],C5699,RawData[Price Per Unit],D5699,RawData[Total Spent],E5699,RawData[Payment Method],F5699,RawData[Location],G5699,RawData[Transaction Date],H5699)</f>
        <v>1</v>
      </c>
      <c r="L5699"/>
    </row>
    <row r="5700" spans="1:12" x14ac:dyDescent="0.3">
      <c r="A5700" t="s">
        <v>5706</v>
      </c>
      <c r="B5700" t="s">
        <v>10012</v>
      </c>
      <c r="C5700">
        <v>5</v>
      </c>
      <c r="D5700">
        <v>4</v>
      </c>
      <c r="E5700">
        <v>20</v>
      </c>
      <c r="F5700" t="s">
        <v>10069</v>
      </c>
      <c r="G5700" t="s">
        <v>10102</v>
      </c>
      <c r="H5700" s="6">
        <v>45253</v>
      </c>
      <c r="I5700">
        <f t="shared" si="178"/>
        <v>0</v>
      </c>
      <c r="J5700" t="str">
        <f t="shared" si="179"/>
        <v>Complete</v>
      </c>
      <c r="K5700">
        <f>COUNTIFS(RawData[Item], B5700,RawData[Quantity],C5700,RawData[Price Per Unit],D5700,RawData[Total Spent],E5700,RawData[Payment Method],F5700,RawData[Location],G5700,RawData[Transaction Date],H5700)</f>
        <v>1</v>
      </c>
      <c r="L5700"/>
    </row>
    <row r="5701" spans="1:12" x14ac:dyDescent="0.3">
      <c r="A5701" t="s">
        <v>5707</v>
      </c>
      <c r="B5701" t="s">
        <v>10014</v>
      </c>
      <c r="C5701">
        <v>2</v>
      </c>
      <c r="D5701">
        <v>4</v>
      </c>
      <c r="E5701">
        <v>8</v>
      </c>
      <c r="F5701" t="s">
        <v>10019</v>
      </c>
      <c r="G5701" t="s">
        <v>10021</v>
      </c>
      <c r="H5701" s="6">
        <v>45011</v>
      </c>
      <c r="I5701">
        <f t="shared" si="178"/>
        <v>0</v>
      </c>
      <c r="J5701" t="str">
        <f t="shared" si="179"/>
        <v>Complete</v>
      </c>
      <c r="K5701">
        <f>COUNTIFS(RawData[Item], B5701,RawData[Quantity],C5701,RawData[Price Per Unit],D5701,RawData[Total Spent],E5701,RawData[Payment Method],F5701,RawData[Location],G5701,RawData[Transaction Date],H5701)</f>
        <v>1</v>
      </c>
      <c r="L5701"/>
    </row>
    <row r="5702" spans="1:12" x14ac:dyDescent="0.3">
      <c r="A5702" t="s">
        <v>5708</v>
      </c>
      <c r="B5702" t="s">
        <v>10013</v>
      </c>
      <c r="C5702">
        <v>5</v>
      </c>
      <c r="D5702">
        <v>5</v>
      </c>
      <c r="E5702">
        <v>25</v>
      </c>
      <c r="F5702" t="s">
        <v>10018</v>
      </c>
      <c r="G5702" t="s">
        <v>10069</v>
      </c>
      <c r="H5702" s="6">
        <v>45122</v>
      </c>
      <c r="I5702">
        <f t="shared" si="178"/>
        <v>1</v>
      </c>
      <c r="J5702" t="str">
        <f t="shared" si="179"/>
        <v>Complete</v>
      </c>
      <c r="K5702">
        <f>COUNTIFS(RawData[Item], B5702,RawData[Quantity],C5702,RawData[Price Per Unit],D5702,RawData[Total Spent],E5702,RawData[Payment Method],F5702,RawData[Location],G5702,RawData[Transaction Date],H5702)</f>
        <v>1</v>
      </c>
      <c r="L5702"/>
    </row>
    <row r="5703" spans="1:12" x14ac:dyDescent="0.3">
      <c r="A5703" t="s">
        <v>5709</v>
      </c>
      <c r="B5703" t="s">
        <v>10014</v>
      </c>
      <c r="C5703">
        <v>1</v>
      </c>
      <c r="D5703">
        <v>4</v>
      </c>
      <c r="E5703">
        <v>4</v>
      </c>
      <c r="F5703" t="s">
        <v>10069</v>
      </c>
      <c r="G5703" t="s">
        <v>10021</v>
      </c>
      <c r="H5703" s="6">
        <v>45253</v>
      </c>
      <c r="I5703">
        <f t="shared" si="178"/>
        <v>0</v>
      </c>
      <c r="J5703" t="str">
        <f t="shared" si="179"/>
        <v>Complete</v>
      </c>
      <c r="K5703">
        <f>COUNTIFS(RawData[Item], B5703,RawData[Quantity],C5703,RawData[Price Per Unit],D5703,RawData[Total Spent],E5703,RawData[Payment Method],F5703,RawData[Location],G5703,RawData[Transaction Date],H5703)</f>
        <v>1</v>
      </c>
      <c r="L5703"/>
    </row>
    <row r="5704" spans="1:12" x14ac:dyDescent="0.3">
      <c r="A5704" t="s">
        <v>5710</v>
      </c>
      <c r="B5704" t="s">
        <v>10014</v>
      </c>
      <c r="C5704">
        <v>3</v>
      </c>
      <c r="D5704">
        <v>4</v>
      </c>
      <c r="E5704">
        <v>12</v>
      </c>
      <c r="F5704" t="s">
        <v>10019</v>
      </c>
      <c r="G5704" t="s">
        <v>10069</v>
      </c>
      <c r="H5704" s="6">
        <v>44968</v>
      </c>
      <c r="I5704">
        <f t="shared" si="178"/>
        <v>0</v>
      </c>
      <c r="J5704" t="str">
        <f t="shared" si="179"/>
        <v>Complete</v>
      </c>
      <c r="K5704">
        <f>COUNTIFS(RawData[Item], B5704,RawData[Quantity],C5704,RawData[Price Per Unit],D5704,RawData[Total Spent],E5704,RawData[Payment Method],F5704,RawData[Location],G5704,RawData[Transaction Date],H5704)</f>
        <v>1</v>
      </c>
      <c r="L5704"/>
    </row>
    <row r="5705" spans="1:12" x14ac:dyDescent="0.3">
      <c r="A5705" t="s">
        <v>5711</v>
      </c>
      <c r="B5705" t="s">
        <v>10008</v>
      </c>
      <c r="C5705">
        <v>1</v>
      </c>
      <c r="D5705">
        <v>2</v>
      </c>
      <c r="E5705">
        <v>2</v>
      </c>
      <c r="F5705" t="s">
        <v>10019</v>
      </c>
      <c r="G5705" t="s">
        <v>10102</v>
      </c>
      <c r="H5705" s="6">
        <v>44999</v>
      </c>
      <c r="I5705">
        <f t="shared" si="178"/>
        <v>0</v>
      </c>
      <c r="J5705" t="str">
        <f t="shared" si="179"/>
        <v>Complete</v>
      </c>
      <c r="K5705">
        <f>COUNTIFS(RawData[Item], B5705,RawData[Quantity],C5705,RawData[Price Per Unit],D5705,RawData[Total Spent],E5705,RawData[Payment Method],F5705,RawData[Location],G5705,RawData[Transaction Date],H5705)</f>
        <v>1</v>
      </c>
      <c r="L5705"/>
    </row>
    <row r="5706" spans="1:12" x14ac:dyDescent="0.3">
      <c r="A5706" t="s">
        <v>5712</v>
      </c>
      <c r="B5706" t="s">
        <v>10014</v>
      </c>
      <c r="C5706">
        <v>3</v>
      </c>
      <c r="D5706">
        <v>4</v>
      </c>
      <c r="E5706">
        <v>12</v>
      </c>
      <c r="F5706" t="s">
        <v>10104</v>
      </c>
      <c r="G5706" t="s">
        <v>10069</v>
      </c>
      <c r="H5706" s="6">
        <v>45157</v>
      </c>
      <c r="I5706">
        <f t="shared" si="178"/>
        <v>1</v>
      </c>
      <c r="J5706" t="str">
        <f t="shared" si="179"/>
        <v>Complete</v>
      </c>
      <c r="K5706">
        <f>COUNTIFS(RawData[Item], B5706,RawData[Quantity],C5706,RawData[Price Per Unit],D5706,RawData[Total Spent],E5706,RawData[Payment Method],F5706,RawData[Location],G5706,RawData[Transaction Date],H5706)</f>
        <v>1</v>
      </c>
      <c r="L5706"/>
    </row>
    <row r="5707" spans="1:12" x14ac:dyDescent="0.3">
      <c r="A5707" t="s">
        <v>5713</v>
      </c>
      <c r="B5707" t="s">
        <v>10017</v>
      </c>
      <c r="C5707">
        <v>2</v>
      </c>
      <c r="D5707">
        <v>1.5</v>
      </c>
      <c r="E5707">
        <v>3</v>
      </c>
      <c r="F5707" t="s">
        <v>10069</v>
      </c>
      <c r="G5707" t="s">
        <v>10069</v>
      </c>
      <c r="H5707" s="6">
        <v>44952</v>
      </c>
      <c r="I5707">
        <f t="shared" si="178"/>
        <v>0</v>
      </c>
      <c r="J5707" t="str">
        <f t="shared" si="179"/>
        <v>Complete</v>
      </c>
      <c r="K5707">
        <f>COUNTIFS(RawData[Item], B5707,RawData[Quantity],C5707,RawData[Price Per Unit],D5707,RawData[Total Spent],E5707,RawData[Payment Method],F5707,RawData[Location],G5707,RawData[Transaction Date],H5707)</f>
        <v>2</v>
      </c>
      <c r="L5707"/>
    </row>
    <row r="5708" spans="1:12" x14ac:dyDescent="0.3">
      <c r="A5708" t="s">
        <v>5714</v>
      </c>
      <c r="B5708" t="s">
        <v>10009</v>
      </c>
      <c r="C5708">
        <v>4</v>
      </c>
      <c r="D5708">
        <v>3</v>
      </c>
      <c r="E5708">
        <v>12</v>
      </c>
      <c r="F5708" t="s">
        <v>10019</v>
      </c>
      <c r="G5708" t="s">
        <v>10069</v>
      </c>
      <c r="H5708" s="6">
        <v>44950</v>
      </c>
      <c r="I5708">
        <f t="shared" si="178"/>
        <v>0</v>
      </c>
      <c r="J5708" t="str">
        <f t="shared" si="179"/>
        <v>Complete</v>
      </c>
      <c r="K5708">
        <f>COUNTIFS(RawData[Item], B5708,RawData[Quantity],C5708,RawData[Price Per Unit],D5708,RawData[Total Spent],E5708,RawData[Payment Method],F5708,RawData[Location],G5708,RawData[Transaction Date],H5708)</f>
        <v>1</v>
      </c>
      <c r="L5708"/>
    </row>
    <row r="5709" spans="1:12" x14ac:dyDescent="0.3">
      <c r="A5709" t="s">
        <v>5715</v>
      </c>
      <c r="B5709" t="s">
        <v>10016</v>
      </c>
      <c r="C5709">
        <v>5</v>
      </c>
      <c r="D5709">
        <v>3</v>
      </c>
      <c r="E5709">
        <v>15</v>
      </c>
      <c r="F5709" t="s">
        <v>10020</v>
      </c>
      <c r="G5709" t="s">
        <v>10069</v>
      </c>
      <c r="H5709" s="6">
        <v>45055</v>
      </c>
      <c r="I5709">
        <f t="shared" si="178"/>
        <v>0</v>
      </c>
      <c r="J5709" t="str">
        <f t="shared" si="179"/>
        <v>Complete</v>
      </c>
      <c r="K5709">
        <f>COUNTIFS(RawData[Item], B5709,RawData[Quantity],C5709,RawData[Price Per Unit],D5709,RawData[Total Spent],E5709,RawData[Payment Method],F5709,RawData[Location],G5709,RawData[Transaction Date],H5709)</f>
        <v>1</v>
      </c>
      <c r="L5709"/>
    </row>
    <row r="5710" spans="1:12" x14ac:dyDescent="0.3">
      <c r="A5710" t="s">
        <v>5716</v>
      </c>
      <c r="B5710" t="s">
        <v>10011</v>
      </c>
      <c r="C5710">
        <v>2</v>
      </c>
      <c r="D5710">
        <v>5</v>
      </c>
      <c r="E5710">
        <v>10</v>
      </c>
      <c r="F5710" t="s">
        <v>10069</v>
      </c>
      <c r="G5710" t="s">
        <v>10103</v>
      </c>
      <c r="H5710" s="6">
        <v>45001</v>
      </c>
      <c r="I5710">
        <f t="shared" si="178"/>
        <v>1</v>
      </c>
      <c r="J5710" t="str">
        <f t="shared" si="179"/>
        <v>Complete</v>
      </c>
      <c r="K5710">
        <f>COUNTIFS(RawData[Item], B5710,RawData[Quantity],C5710,RawData[Price Per Unit],D5710,RawData[Total Spent],E5710,RawData[Payment Method],F5710,RawData[Location],G5710,RawData[Transaction Date],H5710)</f>
        <v>1</v>
      </c>
      <c r="L5710"/>
    </row>
    <row r="5711" spans="1:12" x14ac:dyDescent="0.3">
      <c r="A5711" t="s">
        <v>5717</v>
      </c>
      <c r="B5711" t="s">
        <v>10009</v>
      </c>
      <c r="C5711">
        <v>5</v>
      </c>
      <c r="D5711">
        <v>3</v>
      </c>
      <c r="E5711">
        <v>15</v>
      </c>
      <c r="F5711" t="s">
        <v>10018</v>
      </c>
      <c r="G5711" t="s">
        <v>10021</v>
      </c>
      <c r="H5711" s="6">
        <v>44955</v>
      </c>
      <c r="I5711">
        <f t="shared" si="178"/>
        <v>0</v>
      </c>
      <c r="J5711" t="str">
        <f t="shared" si="179"/>
        <v>Complete</v>
      </c>
      <c r="K5711">
        <f>COUNTIFS(RawData[Item], B5711,RawData[Quantity],C5711,RawData[Price Per Unit],D5711,RawData[Total Spent],E5711,RawData[Payment Method],F5711,RawData[Location],G5711,RawData[Transaction Date],H5711)</f>
        <v>1</v>
      </c>
      <c r="L5711"/>
    </row>
    <row r="5712" spans="1:12" x14ac:dyDescent="0.3">
      <c r="A5712" t="s">
        <v>5718</v>
      </c>
      <c r="B5712" t="s">
        <v>10011</v>
      </c>
      <c r="C5712">
        <v>5</v>
      </c>
      <c r="D5712" t="s">
        <v>10015</v>
      </c>
      <c r="E5712">
        <v>25</v>
      </c>
      <c r="F5712" t="s">
        <v>10020</v>
      </c>
      <c r="G5712" t="s">
        <v>10069</v>
      </c>
      <c r="H5712" s="6">
        <v>45040</v>
      </c>
      <c r="I5712">
        <f t="shared" si="178"/>
        <v>1</v>
      </c>
      <c r="J5712" t="str">
        <f t="shared" si="179"/>
        <v>Complete</v>
      </c>
      <c r="K5712">
        <f>COUNTIFS(RawData[Item], B5712,RawData[Quantity],C5712,RawData[Price Per Unit],D5712,RawData[Total Spent],E5712,RawData[Payment Method],F5712,RawData[Location],G5712,RawData[Transaction Date],H5712)</f>
        <v>1</v>
      </c>
      <c r="L5712"/>
    </row>
    <row r="5713" spans="1:12" x14ac:dyDescent="0.3">
      <c r="A5713" t="s">
        <v>5719</v>
      </c>
      <c r="B5713" t="s">
        <v>10010</v>
      </c>
      <c r="C5713">
        <v>1</v>
      </c>
      <c r="D5713">
        <v>1</v>
      </c>
      <c r="E5713">
        <v>1</v>
      </c>
      <c r="F5713" t="s">
        <v>10018</v>
      </c>
      <c r="G5713" t="s">
        <v>10021</v>
      </c>
      <c r="H5713" s="6">
        <v>45063</v>
      </c>
      <c r="I5713">
        <f t="shared" si="178"/>
        <v>0</v>
      </c>
      <c r="J5713" t="str">
        <f t="shared" si="179"/>
        <v>Complete</v>
      </c>
      <c r="K5713">
        <f>COUNTIFS(RawData[Item], B5713,RawData[Quantity],C5713,RawData[Price Per Unit],D5713,RawData[Total Spent],E5713,RawData[Payment Method],F5713,RawData[Location],G5713,RawData[Transaction Date],H5713)</f>
        <v>1</v>
      </c>
      <c r="L5713"/>
    </row>
    <row r="5714" spans="1:12" x14ac:dyDescent="0.3">
      <c r="A5714" t="s">
        <v>5720</v>
      </c>
      <c r="B5714" t="s">
        <v>10009</v>
      </c>
      <c r="C5714">
        <v>2</v>
      </c>
      <c r="D5714">
        <v>3</v>
      </c>
      <c r="E5714">
        <v>6</v>
      </c>
      <c r="F5714" t="s">
        <v>10069</v>
      </c>
      <c r="G5714" t="s">
        <v>10069</v>
      </c>
      <c r="H5714" s="6">
        <v>44946</v>
      </c>
      <c r="I5714">
        <f t="shared" si="178"/>
        <v>0</v>
      </c>
      <c r="J5714" t="str">
        <f t="shared" si="179"/>
        <v>Complete</v>
      </c>
      <c r="K5714">
        <f>COUNTIFS(RawData[Item], B5714,RawData[Quantity],C5714,RawData[Price Per Unit],D5714,RawData[Total Spent],E5714,RawData[Payment Method],F5714,RawData[Location],G5714,RawData[Transaction Date],H5714)</f>
        <v>1</v>
      </c>
      <c r="L5714"/>
    </row>
    <row r="5715" spans="1:12" x14ac:dyDescent="0.3">
      <c r="A5715" t="s">
        <v>5721</v>
      </c>
      <c r="B5715" t="s">
        <v>10008</v>
      </c>
      <c r="C5715">
        <v>3</v>
      </c>
      <c r="D5715">
        <v>2</v>
      </c>
      <c r="E5715">
        <v>6</v>
      </c>
      <c r="F5715" t="s">
        <v>10069</v>
      </c>
      <c r="G5715" t="s">
        <v>10104</v>
      </c>
      <c r="H5715" s="6">
        <v>45243</v>
      </c>
      <c r="I5715">
        <f t="shared" si="178"/>
        <v>1</v>
      </c>
      <c r="J5715" t="str">
        <f t="shared" si="179"/>
        <v>Complete</v>
      </c>
      <c r="K5715">
        <f>COUNTIFS(RawData[Item], B5715,RawData[Quantity],C5715,RawData[Price Per Unit],D5715,RawData[Total Spent],E5715,RawData[Payment Method],F5715,RawData[Location],G5715,RawData[Transaction Date],H5715)</f>
        <v>1</v>
      </c>
      <c r="L5715"/>
    </row>
    <row r="5716" spans="1:12" x14ac:dyDescent="0.3">
      <c r="A5716" t="s">
        <v>5722</v>
      </c>
      <c r="B5716" t="s">
        <v>10069</v>
      </c>
      <c r="C5716" t="s">
        <v>10015</v>
      </c>
      <c r="D5716">
        <v>4</v>
      </c>
      <c r="E5716">
        <v>4</v>
      </c>
      <c r="F5716" t="s">
        <v>10069</v>
      </c>
      <c r="G5716" t="s">
        <v>10069</v>
      </c>
      <c r="H5716" s="6">
        <v>45146</v>
      </c>
      <c r="I5716">
        <f t="shared" si="178"/>
        <v>1</v>
      </c>
      <c r="J5716" t="str">
        <f t="shared" si="179"/>
        <v>Complete</v>
      </c>
      <c r="K5716">
        <f>COUNTIFS(RawData[Item], B5716,RawData[Quantity],C5716,RawData[Price Per Unit],D5716,RawData[Total Spent],E5716,RawData[Payment Method],F5716,RawData[Location],G5716,RawData[Transaction Date],H5716)</f>
        <v>1</v>
      </c>
      <c r="L5716"/>
    </row>
    <row r="5717" spans="1:12" x14ac:dyDescent="0.3">
      <c r="A5717" t="s">
        <v>5723</v>
      </c>
      <c r="B5717" t="s">
        <v>10012</v>
      </c>
      <c r="C5717">
        <v>4</v>
      </c>
      <c r="D5717">
        <v>4</v>
      </c>
      <c r="E5717">
        <v>16</v>
      </c>
      <c r="F5717" t="s">
        <v>10018</v>
      </c>
      <c r="G5717" t="s">
        <v>10069</v>
      </c>
      <c r="H5717" s="6">
        <v>45029</v>
      </c>
      <c r="I5717">
        <f t="shared" si="178"/>
        <v>0</v>
      </c>
      <c r="J5717" t="str">
        <f t="shared" si="179"/>
        <v>Complete</v>
      </c>
      <c r="K5717">
        <f>COUNTIFS(RawData[Item], B5717,RawData[Quantity],C5717,RawData[Price Per Unit],D5717,RawData[Total Spent],E5717,RawData[Payment Method],F5717,RawData[Location],G5717,RawData[Transaction Date],H5717)</f>
        <v>1</v>
      </c>
      <c r="L5717"/>
    </row>
    <row r="5718" spans="1:12" x14ac:dyDescent="0.3">
      <c r="A5718" t="s">
        <v>5724</v>
      </c>
      <c r="B5718" t="s">
        <v>10017</v>
      </c>
      <c r="C5718">
        <v>3</v>
      </c>
      <c r="D5718">
        <v>1.5</v>
      </c>
      <c r="E5718" t="s">
        <v>10015</v>
      </c>
      <c r="F5718" t="s">
        <v>10103</v>
      </c>
      <c r="G5718" t="s">
        <v>10069</v>
      </c>
      <c r="H5718" s="6">
        <v>45007</v>
      </c>
      <c r="I5718">
        <f t="shared" si="178"/>
        <v>2</v>
      </c>
      <c r="J5718" t="str">
        <f t="shared" si="179"/>
        <v>Complete</v>
      </c>
      <c r="K5718">
        <f>COUNTIFS(RawData[Item], B5718,RawData[Quantity],C5718,RawData[Price Per Unit],D5718,RawData[Total Spent],E5718,RawData[Payment Method],F5718,RawData[Location],G5718,RawData[Transaction Date],H5718)</f>
        <v>1</v>
      </c>
      <c r="L5718"/>
    </row>
    <row r="5719" spans="1:12" x14ac:dyDescent="0.3">
      <c r="A5719" t="s">
        <v>5725</v>
      </c>
      <c r="B5719" t="s">
        <v>10008</v>
      </c>
      <c r="C5719">
        <v>2</v>
      </c>
      <c r="D5719">
        <v>2</v>
      </c>
      <c r="E5719">
        <v>4</v>
      </c>
      <c r="F5719" t="s">
        <v>10018</v>
      </c>
      <c r="G5719" t="s">
        <v>10021</v>
      </c>
      <c r="H5719" s="6">
        <v>45105</v>
      </c>
      <c r="I5719">
        <f t="shared" si="178"/>
        <v>0</v>
      </c>
      <c r="J5719" t="str">
        <f t="shared" si="179"/>
        <v>Complete</v>
      </c>
      <c r="K5719">
        <f>COUNTIFS(RawData[Item], B5719,RawData[Quantity],C5719,RawData[Price Per Unit],D5719,RawData[Total Spent],E5719,RawData[Payment Method],F5719,RawData[Location],G5719,RawData[Transaction Date],H5719)</f>
        <v>1</v>
      </c>
      <c r="L5719"/>
    </row>
    <row r="5720" spans="1:12" x14ac:dyDescent="0.3">
      <c r="A5720" t="s">
        <v>5726</v>
      </c>
      <c r="B5720" t="s">
        <v>10016</v>
      </c>
      <c r="C5720">
        <v>3</v>
      </c>
      <c r="D5720">
        <v>3</v>
      </c>
      <c r="E5720">
        <v>9</v>
      </c>
      <c r="F5720" t="s">
        <v>10020</v>
      </c>
      <c r="G5720" t="s">
        <v>10021</v>
      </c>
      <c r="H5720" s="6" t="s">
        <v>10112</v>
      </c>
      <c r="I5720">
        <f t="shared" si="178"/>
        <v>1</v>
      </c>
      <c r="J5720" t="str">
        <f t="shared" si="179"/>
        <v>Incomplete</v>
      </c>
      <c r="K5720">
        <f>COUNTIFS(RawData[Item], B5720,RawData[Quantity],C5720,RawData[Price Per Unit],D5720,RawData[Total Spent],E5720,RawData[Payment Method],F5720,RawData[Location],G5720,RawData[Transaction Date],H5720)</f>
        <v>1</v>
      </c>
      <c r="L5720"/>
    </row>
    <row r="5721" spans="1:12" x14ac:dyDescent="0.3">
      <c r="A5721" t="s">
        <v>5727</v>
      </c>
      <c r="B5721" t="s">
        <v>10010</v>
      </c>
      <c r="C5721">
        <v>3</v>
      </c>
      <c r="D5721">
        <v>1</v>
      </c>
      <c r="E5721">
        <v>3</v>
      </c>
      <c r="F5721" t="s">
        <v>10069</v>
      </c>
      <c r="G5721" t="s">
        <v>10021</v>
      </c>
      <c r="H5721" s="6">
        <v>45062</v>
      </c>
      <c r="I5721">
        <f t="shared" si="178"/>
        <v>0</v>
      </c>
      <c r="J5721" t="str">
        <f t="shared" si="179"/>
        <v>Complete</v>
      </c>
      <c r="K5721">
        <f>COUNTIFS(RawData[Item], B5721,RawData[Quantity],C5721,RawData[Price Per Unit],D5721,RawData[Total Spent],E5721,RawData[Payment Method],F5721,RawData[Location],G5721,RawData[Transaction Date],H5721)</f>
        <v>1</v>
      </c>
      <c r="L5721"/>
    </row>
    <row r="5722" spans="1:12" x14ac:dyDescent="0.3">
      <c r="A5722" t="s">
        <v>5728</v>
      </c>
      <c r="B5722" t="s">
        <v>10016</v>
      </c>
      <c r="C5722">
        <v>4</v>
      </c>
      <c r="D5722">
        <v>3</v>
      </c>
      <c r="E5722">
        <v>12</v>
      </c>
      <c r="F5722" t="s">
        <v>10069</v>
      </c>
      <c r="G5722" t="s">
        <v>10102</v>
      </c>
      <c r="H5722" s="6">
        <v>45235</v>
      </c>
      <c r="I5722">
        <f t="shared" si="178"/>
        <v>0</v>
      </c>
      <c r="J5722" t="str">
        <f t="shared" si="179"/>
        <v>Complete</v>
      </c>
      <c r="K5722">
        <f>COUNTIFS(RawData[Item], B5722,RawData[Quantity],C5722,RawData[Price Per Unit],D5722,RawData[Total Spent],E5722,RawData[Payment Method],F5722,RawData[Location],G5722,RawData[Transaction Date],H5722)</f>
        <v>1</v>
      </c>
      <c r="L5722"/>
    </row>
    <row r="5723" spans="1:12" x14ac:dyDescent="0.3">
      <c r="A5723" t="s">
        <v>5729</v>
      </c>
      <c r="B5723" t="s">
        <v>10016</v>
      </c>
      <c r="C5723">
        <v>4</v>
      </c>
      <c r="D5723">
        <v>3</v>
      </c>
      <c r="E5723">
        <v>12</v>
      </c>
      <c r="F5723" t="s">
        <v>10020</v>
      </c>
      <c r="G5723" t="s">
        <v>10102</v>
      </c>
      <c r="H5723" s="6" t="s">
        <v>10112</v>
      </c>
      <c r="I5723">
        <f t="shared" si="178"/>
        <v>1</v>
      </c>
      <c r="J5723" t="str">
        <f t="shared" si="179"/>
        <v>Incomplete</v>
      </c>
      <c r="K5723">
        <f>COUNTIFS(RawData[Item], B5723,RawData[Quantity],C5723,RawData[Price Per Unit],D5723,RawData[Total Spent],E5723,RawData[Payment Method],F5723,RawData[Location],G5723,RawData[Transaction Date],H5723)</f>
        <v>1</v>
      </c>
      <c r="L5723"/>
    </row>
    <row r="5724" spans="1:12" x14ac:dyDescent="0.3">
      <c r="A5724" t="s">
        <v>5730</v>
      </c>
      <c r="B5724" t="s">
        <v>10008</v>
      </c>
      <c r="C5724">
        <v>4</v>
      </c>
      <c r="D5724">
        <v>2</v>
      </c>
      <c r="E5724">
        <v>8</v>
      </c>
      <c r="F5724" t="s">
        <v>10069</v>
      </c>
      <c r="G5724" t="s">
        <v>10021</v>
      </c>
      <c r="H5724" s="6">
        <v>45269</v>
      </c>
      <c r="I5724">
        <f t="shared" si="178"/>
        <v>0</v>
      </c>
      <c r="J5724" t="str">
        <f t="shared" si="179"/>
        <v>Complete</v>
      </c>
      <c r="K5724">
        <f>COUNTIFS(RawData[Item], B5724,RawData[Quantity],C5724,RawData[Price Per Unit],D5724,RawData[Total Spent],E5724,RawData[Payment Method],F5724,RawData[Location],G5724,RawData[Transaction Date],H5724)</f>
        <v>1</v>
      </c>
      <c r="L5724"/>
    </row>
    <row r="5725" spans="1:12" x14ac:dyDescent="0.3">
      <c r="A5725" t="s">
        <v>5731</v>
      </c>
      <c r="B5725" t="s">
        <v>10014</v>
      </c>
      <c r="C5725">
        <v>5</v>
      </c>
      <c r="D5725">
        <v>4</v>
      </c>
      <c r="E5725">
        <v>20</v>
      </c>
      <c r="F5725" t="s">
        <v>10018</v>
      </c>
      <c r="G5725" t="s">
        <v>10021</v>
      </c>
      <c r="H5725" s="6">
        <v>45071</v>
      </c>
      <c r="I5725">
        <f t="shared" si="178"/>
        <v>0</v>
      </c>
      <c r="J5725" t="str">
        <f t="shared" si="179"/>
        <v>Complete</v>
      </c>
      <c r="K5725">
        <f>COUNTIFS(RawData[Item], B5725,RawData[Quantity],C5725,RawData[Price Per Unit],D5725,RawData[Total Spent],E5725,RawData[Payment Method],F5725,RawData[Location],G5725,RawData[Transaction Date],H5725)</f>
        <v>1</v>
      </c>
      <c r="L5725"/>
    </row>
    <row r="5726" spans="1:12" x14ac:dyDescent="0.3">
      <c r="A5726" t="s">
        <v>5732</v>
      </c>
      <c r="B5726" t="s">
        <v>10017</v>
      </c>
      <c r="C5726">
        <v>1</v>
      </c>
      <c r="D5726">
        <v>1.5</v>
      </c>
      <c r="E5726">
        <v>1.5</v>
      </c>
      <c r="F5726" t="s">
        <v>10018</v>
      </c>
      <c r="G5726" t="s">
        <v>10069</v>
      </c>
      <c r="H5726" s="6">
        <v>45134</v>
      </c>
      <c r="I5726">
        <f t="shared" si="178"/>
        <v>0</v>
      </c>
      <c r="J5726" t="str">
        <f t="shared" si="179"/>
        <v>Complete</v>
      </c>
      <c r="K5726">
        <f>COUNTIFS(RawData[Item], B5726,RawData[Quantity],C5726,RawData[Price Per Unit],D5726,RawData[Total Spent],E5726,RawData[Payment Method],F5726,RawData[Location],G5726,RawData[Transaction Date],H5726)</f>
        <v>1</v>
      </c>
      <c r="L5726"/>
    </row>
    <row r="5727" spans="1:12" x14ac:dyDescent="0.3">
      <c r="A5727" t="s">
        <v>5733</v>
      </c>
      <c r="B5727" t="s">
        <v>10014</v>
      </c>
      <c r="C5727">
        <v>3</v>
      </c>
      <c r="D5727">
        <v>4</v>
      </c>
      <c r="E5727">
        <v>12</v>
      </c>
      <c r="F5727" t="s">
        <v>10019</v>
      </c>
      <c r="G5727" t="s">
        <v>10021</v>
      </c>
      <c r="H5727" s="6">
        <v>45270</v>
      </c>
      <c r="I5727">
        <f t="shared" si="178"/>
        <v>0</v>
      </c>
      <c r="J5727" t="str">
        <f t="shared" si="179"/>
        <v>Complete</v>
      </c>
      <c r="K5727">
        <f>COUNTIFS(RawData[Item], B5727,RawData[Quantity],C5727,RawData[Price Per Unit],D5727,RawData[Total Spent],E5727,RawData[Payment Method],F5727,RawData[Location],G5727,RawData[Transaction Date],H5727)</f>
        <v>1</v>
      </c>
      <c r="L5727"/>
    </row>
    <row r="5728" spans="1:12" x14ac:dyDescent="0.3">
      <c r="A5728" t="s">
        <v>5734</v>
      </c>
      <c r="B5728" t="s">
        <v>10014</v>
      </c>
      <c r="C5728">
        <v>3</v>
      </c>
      <c r="D5728">
        <v>4</v>
      </c>
      <c r="E5728">
        <v>12</v>
      </c>
      <c r="F5728" t="s">
        <v>10019</v>
      </c>
      <c r="G5728" t="s">
        <v>10021</v>
      </c>
      <c r="H5728" s="6">
        <v>45168</v>
      </c>
      <c r="I5728">
        <f t="shared" si="178"/>
        <v>0</v>
      </c>
      <c r="J5728" t="str">
        <f t="shared" si="179"/>
        <v>Complete</v>
      </c>
      <c r="K5728">
        <f>COUNTIFS(RawData[Item], B5728,RawData[Quantity],C5728,RawData[Price Per Unit],D5728,RawData[Total Spent],E5728,RawData[Payment Method],F5728,RawData[Location],G5728,RawData[Transaction Date],H5728)</f>
        <v>1</v>
      </c>
      <c r="L5728"/>
    </row>
    <row r="5729" spans="1:12" x14ac:dyDescent="0.3">
      <c r="A5729" t="s">
        <v>5735</v>
      </c>
      <c r="B5729" t="s">
        <v>10010</v>
      </c>
      <c r="C5729">
        <v>5</v>
      </c>
      <c r="D5729">
        <v>1</v>
      </c>
      <c r="E5729">
        <v>5</v>
      </c>
      <c r="F5729" t="s">
        <v>10020</v>
      </c>
      <c r="G5729" t="s">
        <v>10102</v>
      </c>
      <c r="H5729" s="6">
        <v>45076</v>
      </c>
      <c r="I5729">
        <f t="shared" si="178"/>
        <v>0</v>
      </c>
      <c r="J5729" t="str">
        <f t="shared" si="179"/>
        <v>Complete</v>
      </c>
      <c r="K5729">
        <f>COUNTIFS(RawData[Item], B5729,RawData[Quantity],C5729,RawData[Price Per Unit],D5729,RawData[Total Spent],E5729,RawData[Payment Method],F5729,RawData[Location],G5729,RawData[Transaction Date],H5729)</f>
        <v>1</v>
      </c>
      <c r="L5729"/>
    </row>
    <row r="5730" spans="1:12" x14ac:dyDescent="0.3">
      <c r="A5730" t="s">
        <v>5736</v>
      </c>
      <c r="B5730" t="s">
        <v>10017</v>
      </c>
      <c r="C5730">
        <v>1</v>
      </c>
      <c r="D5730">
        <v>1.5</v>
      </c>
      <c r="E5730">
        <v>1.5</v>
      </c>
      <c r="F5730" t="s">
        <v>10020</v>
      </c>
      <c r="G5730" t="s">
        <v>10021</v>
      </c>
      <c r="H5730" s="6">
        <v>45121</v>
      </c>
      <c r="I5730">
        <f t="shared" si="178"/>
        <v>0</v>
      </c>
      <c r="J5730" t="str">
        <f t="shared" si="179"/>
        <v>Complete</v>
      </c>
      <c r="K5730">
        <f>COUNTIFS(RawData[Item], B5730,RawData[Quantity],C5730,RawData[Price Per Unit],D5730,RawData[Total Spent],E5730,RawData[Payment Method],F5730,RawData[Location],G5730,RawData[Transaction Date],H5730)</f>
        <v>1</v>
      </c>
      <c r="L5730"/>
    </row>
    <row r="5731" spans="1:12" x14ac:dyDescent="0.3">
      <c r="A5731" t="s">
        <v>5737</v>
      </c>
      <c r="B5731" t="s">
        <v>10011</v>
      </c>
      <c r="C5731">
        <v>4</v>
      </c>
      <c r="D5731">
        <v>5</v>
      </c>
      <c r="E5731">
        <v>20</v>
      </c>
      <c r="F5731" t="s">
        <v>10020</v>
      </c>
      <c r="G5731" t="s">
        <v>10021</v>
      </c>
      <c r="H5731" s="6">
        <v>45220</v>
      </c>
      <c r="I5731">
        <f t="shared" si="178"/>
        <v>0</v>
      </c>
      <c r="J5731" t="str">
        <f t="shared" si="179"/>
        <v>Complete</v>
      </c>
      <c r="K5731">
        <f>COUNTIFS(RawData[Item], B5731,RawData[Quantity],C5731,RawData[Price Per Unit],D5731,RawData[Total Spent],E5731,RawData[Payment Method],F5731,RawData[Location],G5731,RawData[Transaction Date],H5731)</f>
        <v>1</v>
      </c>
      <c r="L5731"/>
    </row>
    <row r="5732" spans="1:12" x14ac:dyDescent="0.3">
      <c r="A5732" t="s">
        <v>5738</v>
      </c>
      <c r="B5732" t="s">
        <v>10009</v>
      </c>
      <c r="C5732">
        <v>4</v>
      </c>
      <c r="D5732">
        <v>3</v>
      </c>
      <c r="E5732">
        <v>12</v>
      </c>
      <c r="F5732" t="s">
        <v>10020</v>
      </c>
      <c r="G5732" t="s">
        <v>10069</v>
      </c>
      <c r="H5732" s="6">
        <v>45009</v>
      </c>
      <c r="I5732">
        <f t="shared" si="178"/>
        <v>0</v>
      </c>
      <c r="J5732" t="str">
        <f t="shared" si="179"/>
        <v>Complete</v>
      </c>
      <c r="K5732">
        <f>COUNTIFS(RawData[Item], B5732,RawData[Quantity],C5732,RawData[Price Per Unit],D5732,RawData[Total Spent],E5732,RawData[Payment Method],F5732,RawData[Location],G5732,RawData[Transaction Date],H5732)</f>
        <v>1</v>
      </c>
      <c r="L5732"/>
    </row>
    <row r="5733" spans="1:12" x14ac:dyDescent="0.3">
      <c r="A5733" t="s">
        <v>5739</v>
      </c>
      <c r="B5733" t="s">
        <v>10012</v>
      </c>
      <c r="C5733">
        <v>3</v>
      </c>
      <c r="D5733">
        <v>4</v>
      </c>
      <c r="E5733">
        <v>12</v>
      </c>
      <c r="F5733" t="s">
        <v>10019</v>
      </c>
      <c r="G5733" t="s">
        <v>10102</v>
      </c>
      <c r="H5733" s="6">
        <v>45209</v>
      </c>
      <c r="I5733">
        <f t="shared" si="178"/>
        <v>0</v>
      </c>
      <c r="J5733" t="str">
        <f t="shared" si="179"/>
        <v>Complete</v>
      </c>
      <c r="K5733">
        <f>COUNTIFS(RawData[Item], B5733,RawData[Quantity],C5733,RawData[Price Per Unit],D5733,RawData[Total Spent],E5733,RawData[Payment Method],F5733,RawData[Location],G5733,RawData[Transaction Date],H5733)</f>
        <v>1</v>
      </c>
      <c r="L5733"/>
    </row>
    <row r="5734" spans="1:12" x14ac:dyDescent="0.3">
      <c r="A5734" t="s">
        <v>5740</v>
      </c>
      <c r="B5734" t="s">
        <v>10012</v>
      </c>
      <c r="C5734">
        <v>4</v>
      </c>
      <c r="D5734">
        <v>4</v>
      </c>
      <c r="E5734">
        <v>16</v>
      </c>
      <c r="F5734" t="s">
        <v>10018</v>
      </c>
      <c r="G5734" t="s">
        <v>10069</v>
      </c>
      <c r="H5734" s="6">
        <v>45107</v>
      </c>
      <c r="I5734">
        <f t="shared" si="178"/>
        <v>0</v>
      </c>
      <c r="J5734" t="str">
        <f t="shared" si="179"/>
        <v>Complete</v>
      </c>
      <c r="K5734">
        <f>COUNTIFS(RawData[Item], B5734,RawData[Quantity],C5734,RawData[Price Per Unit],D5734,RawData[Total Spent],E5734,RawData[Payment Method],F5734,RawData[Location],G5734,RawData[Transaction Date],H5734)</f>
        <v>1</v>
      </c>
      <c r="L5734"/>
    </row>
    <row r="5735" spans="1:12" x14ac:dyDescent="0.3">
      <c r="A5735" t="s">
        <v>5741</v>
      </c>
      <c r="B5735" t="s">
        <v>10008</v>
      </c>
      <c r="C5735">
        <v>4</v>
      </c>
      <c r="D5735">
        <v>2</v>
      </c>
      <c r="E5735">
        <v>8</v>
      </c>
      <c r="F5735" t="s">
        <v>10020</v>
      </c>
      <c r="G5735" t="s">
        <v>10069</v>
      </c>
      <c r="H5735" s="6">
        <v>45090</v>
      </c>
      <c r="I5735">
        <f t="shared" si="178"/>
        <v>0</v>
      </c>
      <c r="J5735" t="str">
        <f t="shared" si="179"/>
        <v>Complete</v>
      </c>
      <c r="K5735">
        <f>COUNTIFS(RawData[Item], B5735,RawData[Quantity],C5735,RawData[Price Per Unit],D5735,RawData[Total Spent],E5735,RawData[Payment Method],F5735,RawData[Location],G5735,RawData[Transaction Date],H5735)</f>
        <v>1</v>
      </c>
      <c r="L5735"/>
    </row>
    <row r="5736" spans="1:12" x14ac:dyDescent="0.3">
      <c r="A5736" t="s">
        <v>5742</v>
      </c>
      <c r="B5736" t="s">
        <v>10009</v>
      </c>
      <c r="C5736">
        <v>4</v>
      </c>
      <c r="D5736">
        <v>3</v>
      </c>
      <c r="E5736">
        <v>12</v>
      </c>
      <c r="F5736" t="s">
        <v>10018</v>
      </c>
      <c r="G5736" t="s">
        <v>10102</v>
      </c>
      <c r="H5736" s="6">
        <v>45263</v>
      </c>
      <c r="I5736">
        <f t="shared" si="178"/>
        <v>0</v>
      </c>
      <c r="J5736" t="str">
        <f t="shared" si="179"/>
        <v>Complete</v>
      </c>
      <c r="K5736">
        <f>COUNTIFS(RawData[Item], B5736,RawData[Quantity],C5736,RawData[Price Per Unit],D5736,RawData[Total Spent],E5736,RawData[Payment Method],F5736,RawData[Location],G5736,RawData[Transaction Date],H5736)</f>
        <v>1</v>
      </c>
      <c r="L5736"/>
    </row>
    <row r="5737" spans="1:12" x14ac:dyDescent="0.3">
      <c r="A5737" t="s">
        <v>5743</v>
      </c>
      <c r="B5737" t="s">
        <v>10009</v>
      </c>
      <c r="C5737">
        <v>3</v>
      </c>
      <c r="D5737">
        <v>3</v>
      </c>
      <c r="E5737">
        <v>9</v>
      </c>
      <c r="F5737" t="s">
        <v>10104</v>
      </c>
      <c r="G5737" t="s">
        <v>10069</v>
      </c>
      <c r="H5737" s="6">
        <v>44955</v>
      </c>
      <c r="I5737">
        <f t="shared" si="178"/>
        <v>1</v>
      </c>
      <c r="J5737" t="str">
        <f t="shared" si="179"/>
        <v>Complete</v>
      </c>
      <c r="K5737">
        <f>COUNTIFS(RawData[Item], B5737,RawData[Quantity],C5737,RawData[Price Per Unit],D5737,RawData[Total Spent],E5737,RawData[Payment Method],F5737,RawData[Location],G5737,RawData[Transaction Date],H5737)</f>
        <v>1</v>
      </c>
      <c r="L5737"/>
    </row>
    <row r="5738" spans="1:12" x14ac:dyDescent="0.3">
      <c r="A5738" t="s">
        <v>5744</v>
      </c>
      <c r="B5738" t="s">
        <v>10014</v>
      </c>
      <c r="C5738">
        <v>5</v>
      </c>
      <c r="D5738">
        <v>4</v>
      </c>
      <c r="E5738">
        <v>20</v>
      </c>
      <c r="F5738" t="s">
        <v>10019</v>
      </c>
      <c r="G5738" t="s">
        <v>10102</v>
      </c>
      <c r="H5738" s="6">
        <v>44991</v>
      </c>
      <c r="I5738">
        <f t="shared" si="178"/>
        <v>0</v>
      </c>
      <c r="J5738" t="str">
        <f t="shared" si="179"/>
        <v>Complete</v>
      </c>
      <c r="K5738">
        <f>COUNTIFS(RawData[Item], B5738,RawData[Quantity],C5738,RawData[Price Per Unit],D5738,RawData[Total Spent],E5738,RawData[Payment Method],F5738,RawData[Location],G5738,RawData[Transaction Date],H5738)</f>
        <v>1</v>
      </c>
      <c r="L5738"/>
    </row>
    <row r="5739" spans="1:12" x14ac:dyDescent="0.3">
      <c r="A5739" t="s">
        <v>5745</v>
      </c>
      <c r="B5739" t="s">
        <v>10009</v>
      </c>
      <c r="C5739">
        <v>3</v>
      </c>
      <c r="D5739">
        <v>3</v>
      </c>
      <c r="E5739">
        <v>9</v>
      </c>
      <c r="F5739" t="s">
        <v>10018</v>
      </c>
      <c r="G5739" t="s">
        <v>10102</v>
      </c>
      <c r="H5739" s="6">
        <v>44944</v>
      </c>
      <c r="I5739">
        <f t="shared" si="178"/>
        <v>0</v>
      </c>
      <c r="J5739" t="str">
        <f t="shared" si="179"/>
        <v>Complete</v>
      </c>
      <c r="K5739">
        <f>COUNTIFS(RawData[Item], B5739,RawData[Quantity],C5739,RawData[Price Per Unit],D5739,RawData[Total Spent],E5739,RawData[Payment Method],F5739,RawData[Location],G5739,RawData[Transaction Date],H5739)</f>
        <v>1</v>
      </c>
      <c r="L5739"/>
    </row>
    <row r="5740" spans="1:12" x14ac:dyDescent="0.3">
      <c r="A5740" t="s">
        <v>5746</v>
      </c>
      <c r="B5740" t="s">
        <v>10009</v>
      </c>
      <c r="C5740">
        <v>3</v>
      </c>
      <c r="D5740">
        <v>3</v>
      </c>
      <c r="E5740">
        <v>9</v>
      </c>
      <c r="F5740" t="s">
        <v>10019</v>
      </c>
      <c r="G5740" t="s">
        <v>10102</v>
      </c>
      <c r="H5740" s="6">
        <v>44942</v>
      </c>
      <c r="I5740">
        <f t="shared" si="178"/>
        <v>0</v>
      </c>
      <c r="J5740" t="str">
        <f t="shared" si="179"/>
        <v>Complete</v>
      </c>
      <c r="K5740">
        <f>COUNTIFS(RawData[Item], B5740,RawData[Quantity],C5740,RawData[Price Per Unit],D5740,RawData[Total Spent],E5740,RawData[Payment Method],F5740,RawData[Location],G5740,RawData[Transaction Date],H5740)</f>
        <v>1</v>
      </c>
      <c r="L5740"/>
    </row>
    <row r="5741" spans="1:12" x14ac:dyDescent="0.3">
      <c r="A5741" t="s">
        <v>5747</v>
      </c>
      <c r="B5741" t="s">
        <v>10008</v>
      </c>
      <c r="C5741">
        <v>5</v>
      </c>
      <c r="D5741">
        <v>2</v>
      </c>
      <c r="E5741">
        <v>10</v>
      </c>
      <c r="F5741" t="s">
        <v>10069</v>
      </c>
      <c r="G5741" t="s">
        <v>10102</v>
      </c>
      <c r="H5741" s="6">
        <v>45048</v>
      </c>
      <c r="I5741">
        <f t="shared" si="178"/>
        <v>0</v>
      </c>
      <c r="J5741" t="str">
        <f t="shared" si="179"/>
        <v>Complete</v>
      </c>
      <c r="K5741">
        <f>COUNTIFS(RawData[Item], B5741,RawData[Quantity],C5741,RawData[Price Per Unit],D5741,RawData[Total Spent],E5741,RawData[Payment Method],F5741,RawData[Location],G5741,RawData[Transaction Date],H5741)</f>
        <v>1</v>
      </c>
      <c r="L5741"/>
    </row>
    <row r="5742" spans="1:12" x14ac:dyDescent="0.3">
      <c r="A5742" t="s">
        <v>5748</v>
      </c>
      <c r="B5742" t="s">
        <v>10016</v>
      </c>
      <c r="C5742">
        <v>2</v>
      </c>
      <c r="D5742">
        <v>3</v>
      </c>
      <c r="E5742">
        <v>6</v>
      </c>
      <c r="F5742" t="s">
        <v>10018</v>
      </c>
      <c r="G5742" t="s">
        <v>10102</v>
      </c>
      <c r="H5742" s="6">
        <v>45220</v>
      </c>
      <c r="I5742">
        <f t="shared" si="178"/>
        <v>0</v>
      </c>
      <c r="J5742" t="str">
        <f t="shared" si="179"/>
        <v>Complete</v>
      </c>
      <c r="K5742">
        <f>COUNTIFS(RawData[Item], B5742,RawData[Quantity],C5742,RawData[Price Per Unit],D5742,RawData[Total Spent],E5742,RawData[Payment Method],F5742,RawData[Location],G5742,RawData[Transaction Date],H5742)</f>
        <v>1</v>
      </c>
      <c r="L5742"/>
    </row>
    <row r="5743" spans="1:12" x14ac:dyDescent="0.3">
      <c r="A5743" t="s">
        <v>5749</v>
      </c>
      <c r="B5743" t="s">
        <v>10011</v>
      </c>
      <c r="C5743">
        <v>1</v>
      </c>
      <c r="D5743">
        <v>5</v>
      </c>
      <c r="E5743">
        <v>5</v>
      </c>
      <c r="F5743" t="s">
        <v>10069</v>
      </c>
      <c r="G5743" t="s">
        <v>10102</v>
      </c>
      <c r="H5743" s="6">
        <v>45253</v>
      </c>
      <c r="I5743">
        <f t="shared" si="178"/>
        <v>0</v>
      </c>
      <c r="J5743" t="str">
        <f t="shared" si="179"/>
        <v>Complete</v>
      </c>
      <c r="K5743">
        <f>COUNTIFS(RawData[Item], B5743,RawData[Quantity],C5743,RawData[Price Per Unit],D5743,RawData[Total Spent],E5743,RawData[Payment Method],F5743,RawData[Location],G5743,RawData[Transaction Date],H5743)</f>
        <v>1</v>
      </c>
      <c r="L5743"/>
    </row>
    <row r="5744" spans="1:12" x14ac:dyDescent="0.3">
      <c r="A5744" t="s">
        <v>5750</v>
      </c>
      <c r="B5744" t="s">
        <v>10011</v>
      </c>
      <c r="C5744">
        <v>3</v>
      </c>
      <c r="D5744">
        <v>5</v>
      </c>
      <c r="E5744">
        <v>15</v>
      </c>
      <c r="F5744" t="s">
        <v>10020</v>
      </c>
      <c r="G5744" t="s">
        <v>10069</v>
      </c>
      <c r="H5744" s="6">
        <v>44949</v>
      </c>
      <c r="I5744">
        <f t="shared" si="178"/>
        <v>0</v>
      </c>
      <c r="J5744" t="str">
        <f t="shared" si="179"/>
        <v>Complete</v>
      </c>
      <c r="K5744">
        <f>COUNTIFS(RawData[Item], B5744,RawData[Quantity],C5744,RawData[Price Per Unit],D5744,RawData[Total Spent],E5744,RawData[Payment Method],F5744,RawData[Location],G5744,RawData[Transaction Date],H5744)</f>
        <v>1</v>
      </c>
      <c r="L5744"/>
    </row>
    <row r="5745" spans="1:12" x14ac:dyDescent="0.3">
      <c r="A5745" t="s">
        <v>5751</v>
      </c>
      <c r="B5745" t="s">
        <v>10013</v>
      </c>
      <c r="C5745">
        <v>5</v>
      </c>
      <c r="D5745">
        <v>4</v>
      </c>
      <c r="E5745" t="s">
        <v>10015</v>
      </c>
      <c r="F5745" t="s">
        <v>10069</v>
      </c>
      <c r="G5745" t="s">
        <v>10021</v>
      </c>
      <c r="H5745" s="6">
        <v>45282</v>
      </c>
      <c r="I5745">
        <f t="shared" si="178"/>
        <v>2</v>
      </c>
      <c r="J5745" t="str">
        <f t="shared" si="179"/>
        <v>Complete</v>
      </c>
      <c r="K5745">
        <f>COUNTIFS(RawData[Item], B5745,RawData[Quantity],C5745,RawData[Price Per Unit],D5745,RawData[Total Spent],E5745,RawData[Payment Method],F5745,RawData[Location],G5745,RawData[Transaction Date],H5745)</f>
        <v>1</v>
      </c>
      <c r="L5745"/>
    </row>
    <row r="5746" spans="1:12" x14ac:dyDescent="0.3">
      <c r="A5746" t="s">
        <v>5752</v>
      </c>
      <c r="B5746" t="s">
        <v>10014</v>
      </c>
      <c r="C5746">
        <v>2</v>
      </c>
      <c r="D5746">
        <v>4</v>
      </c>
      <c r="E5746">
        <v>8</v>
      </c>
      <c r="F5746" t="s">
        <v>10104</v>
      </c>
      <c r="G5746" t="s">
        <v>10069</v>
      </c>
      <c r="H5746" s="6">
        <v>45221</v>
      </c>
      <c r="I5746">
        <f t="shared" si="178"/>
        <v>1</v>
      </c>
      <c r="J5746" t="str">
        <f t="shared" si="179"/>
        <v>Complete</v>
      </c>
      <c r="K5746">
        <f>COUNTIFS(RawData[Item], B5746,RawData[Quantity],C5746,RawData[Price Per Unit],D5746,RawData[Total Spent],E5746,RawData[Payment Method],F5746,RawData[Location],G5746,RawData[Transaction Date],H5746)</f>
        <v>1</v>
      </c>
      <c r="L5746"/>
    </row>
    <row r="5747" spans="1:12" x14ac:dyDescent="0.3">
      <c r="A5747" t="s">
        <v>5753</v>
      </c>
      <c r="B5747" t="s">
        <v>10009</v>
      </c>
      <c r="C5747">
        <v>2</v>
      </c>
      <c r="D5747">
        <v>3</v>
      </c>
      <c r="E5747">
        <v>6</v>
      </c>
      <c r="F5747" t="s">
        <v>10019</v>
      </c>
      <c r="G5747" t="s">
        <v>10102</v>
      </c>
      <c r="H5747" s="6">
        <v>45011</v>
      </c>
      <c r="I5747">
        <f t="shared" si="178"/>
        <v>0</v>
      </c>
      <c r="J5747" t="str">
        <f t="shared" si="179"/>
        <v>Complete</v>
      </c>
      <c r="K5747">
        <f>COUNTIFS(RawData[Item], B5747,RawData[Quantity],C5747,RawData[Price Per Unit],D5747,RawData[Total Spent],E5747,RawData[Payment Method],F5747,RawData[Location],G5747,RawData[Transaction Date],H5747)</f>
        <v>1</v>
      </c>
      <c r="L5747"/>
    </row>
    <row r="5748" spans="1:12" x14ac:dyDescent="0.3">
      <c r="A5748" t="s">
        <v>5754</v>
      </c>
      <c r="B5748" t="s">
        <v>10014</v>
      </c>
      <c r="C5748">
        <v>4</v>
      </c>
      <c r="D5748">
        <v>4</v>
      </c>
      <c r="E5748" t="s">
        <v>10013</v>
      </c>
      <c r="F5748" t="s">
        <v>10020</v>
      </c>
      <c r="G5748" t="s">
        <v>10021</v>
      </c>
      <c r="H5748" s="6">
        <v>45216</v>
      </c>
      <c r="I5748">
        <f t="shared" si="178"/>
        <v>1</v>
      </c>
      <c r="J5748" t="str">
        <f t="shared" si="179"/>
        <v>Complete</v>
      </c>
      <c r="K5748">
        <f>COUNTIFS(RawData[Item], B5748,RawData[Quantity],C5748,RawData[Price Per Unit],D5748,RawData[Total Spent],E5748,RawData[Payment Method],F5748,RawData[Location],G5748,RawData[Transaction Date],H5748)</f>
        <v>1</v>
      </c>
      <c r="L5748"/>
    </row>
    <row r="5749" spans="1:12" x14ac:dyDescent="0.3">
      <c r="A5749" t="s">
        <v>5755</v>
      </c>
      <c r="B5749" t="s">
        <v>10010</v>
      </c>
      <c r="C5749">
        <v>1</v>
      </c>
      <c r="D5749">
        <v>1</v>
      </c>
      <c r="E5749">
        <v>1</v>
      </c>
      <c r="F5749" t="s">
        <v>10069</v>
      </c>
      <c r="G5749" t="s">
        <v>10069</v>
      </c>
      <c r="H5749" s="6">
        <v>44929</v>
      </c>
      <c r="I5749">
        <f t="shared" si="178"/>
        <v>0</v>
      </c>
      <c r="J5749" t="str">
        <f t="shared" si="179"/>
        <v>Complete</v>
      </c>
      <c r="K5749">
        <f>COUNTIFS(RawData[Item], B5749,RawData[Quantity],C5749,RawData[Price Per Unit],D5749,RawData[Total Spent],E5749,RawData[Payment Method],F5749,RawData[Location],G5749,RawData[Transaction Date],H5749)</f>
        <v>1</v>
      </c>
      <c r="L5749"/>
    </row>
    <row r="5750" spans="1:12" x14ac:dyDescent="0.3">
      <c r="A5750" t="s">
        <v>5756</v>
      </c>
      <c r="B5750" t="s">
        <v>10009</v>
      </c>
      <c r="C5750">
        <v>1</v>
      </c>
      <c r="D5750">
        <v>0</v>
      </c>
      <c r="E5750">
        <v>3</v>
      </c>
      <c r="F5750" t="s">
        <v>10019</v>
      </c>
      <c r="G5750" t="s">
        <v>10069</v>
      </c>
      <c r="H5750" s="6">
        <v>45124</v>
      </c>
      <c r="I5750">
        <f t="shared" si="178"/>
        <v>0</v>
      </c>
      <c r="J5750" t="str">
        <f t="shared" si="179"/>
        <v>Complete</v>
      </c>
      <c r="K5750">
        <f>COUNTIFS(RawData[Item], B5750,RawData[Quantity],C5750,RawData[Price Per Unit],D5750,RawData[Total Spent],E5750,RawData[Payment Method],F5750,RawData[Location],G5750,RawData[Transaction Date],H5750)</f>
        <v>1</v>
      </c>
      <c r="L5750"/>
    </row>
    <row r="5751" spans="1:12" x14ac:dyDescent="0.3">
      <c r="A5751" t="s">
        <v>5757</v>
      </c>
      <c r="B5751" t="s">
        <v>10012</v>
      </c>
      <c r="C5751">
        <v>2</v>
      </c>
      <c r="D5751">
        <v>4</v>
      </c>
      <c r="E5751" t="s">
        <v>10015</v>
      </c>
      <c r="F5751" t="s">
        <v>10069</v>
      </c>
      <c r="G5751" t="s">
        <v>10102</v>
      </c>
      <c r="H5751" s="6">
        <v>45018</v>
      </c>
      <c r="I5751">
        <f t="shared" si="178"/>
        <v>1</v>
      </c>
      <c r="J5751" t="str">
        <f t="shared" si="179"/>
        <v>Complete</v>
      </c>
      <c r="K5751">
        <f>COUNTIFS(RawData[Item], B5751,RawData[Quantity],C5751,RawData[Price Per Unit],D5751,RawData[Total Spent],E5751,RawData[Payment Method],F5751,RawData[Location],G5751,RawData[Transaction Date],H5751)</f>
        <v>1</v>
      </c>
      <c r="L5751"/>
    </row>
    <row r="5752" spans="1:12" x14ac:dyDescent="0.3">
      <c r="A5752" t="s">
        <v>5758</v>
      </c>
      <c r="B5752" t="s">
        <v>10010</v>
      </c>
      <c r="C5752">
        <v>2</v>
      </c>
      <c r="D5752">
        <v>1</v>
      </c>
      <c r="E5752">
        <v>2</v>
      </c>
      <c r="F5752" t="s">
        <v>10103</v>
      </c>
      <c r="G5752" t="s">
        <v>10021</v>
      </c>
      <c r="H5752" s="6">
        <v>45189</v>
      </c>
      <c r="I5752">
        <f t="shared" si="178"/>
        <v>1</v>
      </c>
      <c r="J5752" t="str">
        <f t="shared" si="179"/>
        <v>Complete</v>
      </c>
      <c r="K5752">
        <f>COUNTIFS(RawData[Item], B5752,RawData[Quantity],C5752,RawData[Price Per Unit],D5752,RawData[Total Spent],E5752,RawData[Payment Method],F5752,RawData[Location],G5752,RawData[Transaction Date],H5752)</f>
        <v>1</v>
      </c>
      <c r="L5752"/>
    </row>
    <row r="5753" spans="1:12" x14ac:dyDescent="0.3">
      <c r="A5753" t="s">
        <v>5759</v>
      </c>
      <c r="B5753" t="s">
        <v>10008</v>
      </c>
      <c r="C5753">
        <v>2</v>
      </c>
      <c r="D5753">
        <v>2</v>
      </c>
      <c r="E5753">
        <v>4</v>
      </c>
      <c r="F5753" t="s">
        <v>10103</v>
      </c>
      <c r="G5753" t="s">
        <v>10069</v>
      </c>
      <c r="H5753" s="6">
        <v>44980</v>
      </c>
      <c r="I5753">
        <f t="shared" si="178"/>
        <v>1</v>
      </c>
      <c r="J5753" t="str">
        <f t="shared" si="179"/>
        <v>Complete</v>
      </c>
      <c r="K5753">
        <f>COUNTIFS(RawData[Item], B5753,RawData[Quantity],C5753,RawData[Price Per Unit],D5753,RawData[Total Spent],E5753,RawData[Payment Method],F5753,RawData[Location],G5753,RawData[Transaction Date],H5753)</f>
        <v>1</v>
      </c>
      <c r="L5753"/>
    </row>
    <row r="5754" spans="1:12" x14ac:dyDescent="0.3">
      <c r="A5754" t="s">
        <v>5760</v>
      </c>
      <c r="B5754" t="s">
        <v>10008</v>
      </c>
      <c r="C5754">
        <v>4</v>
      </c>
      <c r="D5754">
        <v>2</v>
      </c>
      <c r="E5754">
        <v>8</v>
      </c>
      <c r="F5754" t="s">
        <v>10069</v>
      </c>
      <c r="G5754" t="s">
        <v>10069</v>
      </c>
      <c r="H5754" s="6" t="s">
        <v>10112</v>
      </c>
      <c r="I5754">
        <f t="shared" si="178"/>
        <v>1</v>
      </c>
      <c r="J5754" t="str">
        <f t="shared" si="179"/>
        <v>Incomplete</v>
      </c>
      <c r="K5754">
        <f>COUNTIFS(RawData[Item], B5754,RawData[Quantity],C5754,RawData[Price Per Unit],D5754,RawData[Total Spent],E5754,RawData[Payment Method],F5754,RawData[Location],G5754,RawData[Transaction Date],H5754)</f>
        <v>1</v>
      </c>
      <c r="L5754"/>
    </row>
    <row r="5755" spans="1:12" x14ac:dyDescent="0.3">
      <c r="A5755" t="s">
        <v>5761</v>
      </c>
      <c r="B5755" t="s">
        <v>10008</v>
      </c>
      <c r="C5755">
        <v>3</v>
      </c>
      <c r="D5755">
        <v>2</v>
      </c>
      <c r="E5755">
        <v>6</v>
      </c>
      <c r="F5755" t="s">
        <v>10103</v>
      </c>
      <c r="G5755" t="s">
        <v>10069</v>
      </c>
      <c r="H5755" s="6">
        <v>45038</v>
      </c>
      <c r="I5755">
        <f t="shared" si="178"/>
        <v>1</v>
      </c>
      <c r="J5755" t="str">
        <f t="shared" si="179"/>
        <v>Complete</v>
      </c>
      <c r="K5755">
        <f>COUNTIFS(RawData[Item], B5755,RawData[Quantity],C5755,RawData[Price Per Unit],D5755,RawData[Total Spent],E5755,RawData[Payment Method],F5755,RawData[Location],G5755,RawData[Transaction Date],H5755)</f>
        <v>1</v>
      </c>
      <c r="L5755"/>
    </row>
    <row r="5756" spans="1:12" x14ac:dyDescent="0.3">
      <c r="A5756" t="s">
        <v>5762</v>
      </c>
      <c r="B5756" t="s">
        <v>10008</v>
      </c>
      <c r="C5756">
        <v>3</v>
      </c>
      <c r="D5756">
        <v>2</v>
      </c>
      <c r="E5756">
        <v>6</v>
      </c>
      <c r="F5756" t="s">
        <v>10019</v>
      </c>
      <c r="G5756" t="s">
        <v>10102</v>
      </c>
      <c r="H5756" s="6">
        <v>44947</v>
      </c>
      <c r="I5756">
        <f t="shared" si="178"/>
        <v>0</v>
      </c>
      <c r="J5756" t="str">
        <f t="shared" si="179"/>
        <v>Complete</v>
      </c>
      <c r="K5756">
        <f>COUNTIFS(RawData[Item], B5756,RawData[Quantity],C5756,RawData[Price Per Unit],D5756,RawData[Total Spent],E5756,RawData[Payment Method],F5756,RawData[Location],G5756,RawData[Transaction Date],H5756)</f>
        <v>1</v>
      </c>
      <c r="L5756"/>
    </row>
    <row r="5757" spans="1:12" x14ac:dyDescent="0.3">
      <c r="A5757" t="s">
        <v>5763</v>
      </c>
      <c r="B5757" t="s">
        <v>10011</v>
      </c>
      <c r="C5757">
        <v>2</v>
      </c>
      <c r="D5757">
        <v>5</v>
      </c>
      <c r="E5757">
        <v>10</v>
      </c>
      <c r="F5757" t="s">
        <v>10018</v>
      </c>
      <c r="G5757" t="s">
        <v>10102</v>
      </c>
      <c r="H5757" s="6">
        <v>45141</v>
      </c>
      <c r="I5757">
        <f t="shared" si="178"/>
        <v>0</v>
      </c>
      <c r="J5757" t="str">
        <f t="shared" si="179"/>
        <v>Complete</v>
      </c>
      <c r="K5757">
        <f>COUNTIFS(RawData[Item], B5757,RawData[Quantity],C5757,RawData[Price Per Unit],D5757,RawData[Total Spent],E5757,RawData[Payment Method],F5757,RawData[Location],G5757,RawData[Transaction Date],H5757)</f>
        <v>1</v>
      </c>
      <c r="L5757"/>
    </row>
    <row r="5758" spans="1:12" x14ac:dyDescent="0.3">
      <c r="A5758" t="s">
        <v>5764</v>
      </c>
      <c r="B5758" t="s">
        <v>10010</v>
      </c>
      <c r="C5758">
        <v>2</v>
      </c>
      <c r="D5758">
        <v>1</v>
      </c>
      <c r="E5758" t="s">
        <v>10015</v>
      </c>
      <c r="F5758" t="s">
        <v>10019</v>
      </c>
      <c r="G5758" t="s">
        <v>10021</v>
      </c>
      <c r="H5758" s="6">
        <v>45003</v>
      </c>
      <c r="I5758">
        <f t="shared" si="178"/>
        <v>1</v>
      </c>
      <c r="J5758" t="str">
        <f t="shared" si="179"/>
        <v>Complete</v>
      </c>
      <c r="K5758">
        <f>COUNTIFS(RawData[Item], B5758,RawData[Quantity],C5758,RawData[Price Per Unit],D5758,RawData[Total Spent],E5758,RawData[Payment Method],F5758,RawData[Location],G5758,RawData[Transaction Date],H5758)</f>
        <v>1</v>
      </c>
      <c r="L5758"/>
    </row>
    <row r="5759" spans="1:12" x14ac:dyDescent="0.3">
      <c r="A5759" t="s">
        <v>5765</v>
      </c>
      <c r="B5759" t="s">
        <v>10011</v>
      </c>
      <c r="C5759">
        <v>5</v>
      </c>
      <c r="D5759">
        <v>5</v>
      </c>
      <c r="E5759">
        <v>25</v>
      </c>
      <c r="F5759" t="s">
        <v>10018</v>
      </c>
      <c r="G5759" t="s">
        <v>10102</v>
      </c>
      <c r="H5759" s="6">
        <v>45011</v>
      </c>
      <c r="I5759">
        <f t="shared" si="178"/>
        <v>0</v>
      </c>
      <c r="J5759" t="str">
        <f t="shared" si="179"/>
        <v>Complete</v>
      </c>
      <c r="K5759">
        <f>COUNTIFS(RawData[Item], B5759,RawData[Quantity],C5759,RawData[Price Per Unit],D5759,RawData[Total Spent],E5759,RawData[Payment Method],F5759,RawData[Location],G5759,RawData[Transaction Date],H5759)</f>
        <v>1</v>
      </c>
      <c r="L5759"/>
    </row>
    <row r="5760" spans="1:12" x14ac:dyDescent="0.3">
      <c r="A5760" t="s">
        <v>5766</v>
      </c>
      <c r="B5760" t="s">
        <v>10010</v>
      </c>
      <c r="C5760">
        <v>2</v>
      </c>
      <c r="D5760">
        <v>1</v>
      </c>
      <c r="E5760">
        <v>2</v>
      </c>
      <c r="F5760" t="s">
        <v>10103</v>
      </c>
      <c r="G5760" t="s">
        <v>10102</v>
      </c>
      <c r="H5760" s="6">
        <v>45249</v>
      </c>
      <c r="I5760">
        <f t="shared" si="178"/>
        <v>1</v>
      </c>
      <c r="J5760" t="str">
        <f t="shared" si="179"/>
        <v>Complete</v>
      </c>
      <c r="K5760">
        <f>COUNTIFS(RawData[Item], B5760,RawData[Quantity],C5760,RawData[Price Per Unit],D5760,RawData[Total Spent],E5760,RawData[Payment Method],F5760,RawData[Location],G5760,RawData[Transaction Date],H5760)</f>
        <v>1</v>
      </c>
      <c r="L5760"/>
    </row>
    <row r="5761" spans="1:12" x14ac:dyDescent="0.3">
      <c r="A5761" t="s">
        <v>5767</v>
      </c>
      <c r="B5761" t="s">
        <v>10009</v>
      </c>
      <c r="C5761">
        <v>3</v>
      </c>
      <c r="D5761">
        <v>3</v>
      </c>
      <c r="E5761">
        <v>9</v>
      </c>
      <c r="F5761" t="s">
        <v>10020</v>
      </c>
      <c r="G5761" t="s">
        <v>10103</v>
      </c>
      <c r="H5761" s="6">
        <v>45260</v>
      </c>
      <c r="I5761">
        <f t="shared" si="178"/>
        <v>1</v>
      </c>
      <c r="J5761" t="str">
        <f t="shared" si="179"/>
        <v>Complete</v>
      </c>
      <c r="K5761">
        <f>COUNTIFS(RawData[Item], B5761,RawData[Quantity],C5761,RawData[Price Per Unit],D5761,RawData[Total Spent],E5761,RawData[Payment Method],F5761,RawData[Location],G5761,RawData[Transaction Date],H5761)</f>
        <v>1</v>
      </c>
      <c r="L5761"/>
    </row>
    <row r="5762" spans="1:12" x14ac:dyDescent="0.3">
      <c r="A5762" t="s">
        <v>5768</v>
      </c>
      <c r="B5762" t="s">
        <v>10011</v>
      </c>
      <c r="C5762">
        <v>2</v>
      </c>
      <c r="D5762">
        <v>5</v>
      </c>
      <c r="E5762">
        <v>10</v>
      </c>
      <c r="F5762" t="s">
        <v>10020</v>
      </c>
      <c r="G5762" t="s">
        <v>10102</v>
      </c>
      <c r="H5762" s="6">
        <v>45210</v>
      </c>
      <c r="I5762">
        <f t="shared" ref="I5762:I5825" si="180">(B5762="Unknown")+(B5762="Error")+(C5762="Unknown")+(C5762="Error")+(D5762="Unknown")+(D5762="Error")+(E5762="Unknown")+(E5762="Error")+(F5762="Unknown")+(F5762="Error")+(G5762="Unknown")+(G5762="Error")+(H5762="No Date")</f>
        <v>0</v>
      </c>
      <c r="J5762" t="str">
        <f t="shared" ref="J5762:J5825" si="181">IF((H5762="No Date"),"Incomplete","Complete")</f>
        <v>Complete</v>
      </c>
      <c r="K5762">
        <f>COUNTIFS(RawData[Item], B5762,RawData[Quantity],C5762,RawData[Price Per Unit],D5762,RawData[Total Spent],E5762,RawData[Payment Method],F5762,RawData[Location],G5762,RawData[Transaction Date],H5762)</f>
        <v>1</v>
      </c>
      <c r="L5762"/>
    </row>
    <row r="5763" spans="1:12" x14ac:dyDescent="0.3">
      <c r="A5763" t="s">
        <v>5769</v>
      </c>
      <c r="B5763" t="s">
        <v>10009</v>
      </c>
      <c r="C5763">
        <v>5</v>
      </c>
      <c r="D5763">
        <v>3</v>
      </c>
      <c r="E5763">
        <v>15</v>
      </c>
      <c r="F5763" t="s">
        <v>10020</v>
      </c>
      <c r="G5763" t="s">
        <v>10102</v>
      </c>
      <c r="H5763" s="6">
        <v>45241</v>
      </c>
      <c r="I5763">
        <f t="shared" si="180"/>
        <v>0</v>
      </c>
      <c r="J5763" t="str">
        <f t="shared" si="181"/>
        <v>Complete</v>
      </c>
      <c r="K5763">
        <f>COUNTIFS(RawData[Item], B5763,RawData[Quantity],C5763,RawData[Price Per Unit],D5763,RawData[Total Spent],E5763,RawData[Payment Method],F5763,RawData[Location],G5763,RawData[Transaction Date],H5763)</f>
        <v>1</v>
      </c>
      <c r="L5763"/>
    </row>
    <row r="5764" spans="1:12" x14ac:dyDescent="0.3">
      <c r="A5764" t="s">
        <v>5770</v>
      </c>
      <c r="B5764" t="s">
        <v>10008</v>
      </c>
      <c r="C5764">
        <v>1</v>
      </c>
      <c r="D5764">
        <v>2</v>
      </c>
      <c r="E5764">
        <v>2</v>
      </c>
      <c r="F5764" t="s">
        <v>10069</v>
      </c>
      <c r="G5764" t="s">
        <v>10021</v>
      </c>
      <c r="H5764" s="6">
        <v>45278</v>
      </c>
      <c r="I5764">
        <f t="shared" si="180"/>
        <v>0</v>
      </c>
      <c r="J5764" t="str">
        <f t="shared" si="181"/>
        <v>Complete</v>
      </c>
      <c r="K5764">
        <f>COUNTIFS(RawData[Item], B5764,RawData[Quantity],C5764,RawData[Price Per Unit],D5764,RawData[Total Spent],E5764,RawData[Payment Method],F5764,RawData[Location],G5764,RawData[Transaction Date],H5764)</f>
        <v>1</v>
      </c>
      <c r="L5764"/>
    </row>
    <row r="5765" spans="1:12" x14ac:dyDescent="0.3">
      <c r="A5765" t="s">
        <v>5771</v>
      </c>
      <c r="B5765" t="s">
        <v>10014</v>
      </c>
      <c r="C5765">
        <v>1</v>
      </c>
      <c r="D5765">
        <v>4</v>
      </c>
      <c r="E5765">
        <v>4</v>
      </c>
      <c r="F5765" t="s">
        <v>10020</v>
      </c>
      <c r="G5765" t="s">
        <v>10102</v>
      </c>
      <c r="H5765" s="6">
        <v>45128</v>
      </c>
      <c r="I5765">
        <f t="shared" si="180"/>
        <v>0</v>
      </c>
      <c r="J5765" t="str">
        <f t="shared" si="181"/>
        <v>Complete</v>
      </c>
      <c r="K5765">
        <f>COUNTIFS(RawData[Item], B5765,RawData[Quantity],C5765,RawData[Price Per Unit],D5765,RawData[Total Spent],E5765,RawData[Payment Method],F5765,RawData[Location],G5765,RawData[Transaction Date],H5765)</f>
        <v>1</v>
      </c>
      <c r="L5765"/>
    </row>
    <row r="5766" spans="1:12" x14ac:dyDescent="0.3">
      <c r="A5766" t="s">
        <v>5772</v>
      </c>
      <c r="B5766" t="s">
        <v>10016</v>
      </c>
      <c r="C5766">
        <v>3</v>
      </c>
      <c r="D5766">
        <v>3</v>
      </c>
      <c r="E5766">
        <v>9</v>
      </c>
      <c r="F5766" t="s">
        <v>10020</v>
      </c>
      <c r="G5766" t="s">
        <v>10102</v>
      </c>
      <c r="H5766" s="6">
        <v>45165</v>
      </c>
      <c r="I5766">
        <f t="shared" si="180"/>
        <v>0</v>
      </c>
      <c r="J5766" t="str">
        <f t="shared" si="181"/>
        <v>Complete</v>
      </c>
      <c r="K5766">
        <f>COUNTIFS(RawData[Item], B5766,RawData[Quantity],C5766,RawData[Price Per Unit],D5766,RawData[Total Spent],E5766,RawData[Payment Method],F5766,RawData[Location],G5766,RawData[Transaction Date],H5766)</f>
        <v>1</v>
      </c>
      <c r="L5766"/>
    </row>
    <row r="5767" spans="1:12" x14ac:dyDescent="0.3">
      <c r="A5767" t="s">
        <v>5773</v>
      </c>
      <c r="B5767" t="s">
        <v>10069</v>
      </c>
      <c r="C5767">
        <v>3</v>
      </c>
      <c r="D5767">
        <v>3</v>
      </c>
      <c r="E5767">
        <v>9</v>
      </c>
      <c r="F5767" t="s">
        <v>10019</v>
      </c>
      <c r="G5767" t="s">
        <v>10102</v>
      </c>
      <c r="H5767" s="6">
        <v>45153</v>
      </c>
      <c r="I5767">
        <f t="shared" si="180"/>
        <v>0</v>
      </c>
      <c r="J5767" t="str">
        <f t="shared" si="181"/>
        <v>Complete</v>
      </c>
      <c r="K5767">
        <f>COUNTIFS(RawData[Item], B5767,RawData[Quantity],C5767,RawData[Price Per Unit],D5767,RawData[Total Spent],E5767,RawData[Payment Method],F5767,RawData[Location],G5767,RawData[Transaction Date],H5767)</f>
        <v>1</v>
      </c>
      <c r="L5767"/>
    </row>
    <row r="5768" spans="1:12" x14ac:dyDescent="0.3">
      <c r="A5768" t="s">
        <v>5774</v>
      </c>
      <c r="B5768" t="s">
        <v>10010</v>
      </c>
      <c r="C5768">
        <v>3</v>
      </c>
      <c r="D5768">
        <v>1</v>
      </c>
      <c r="E5768">
        <v>3</v>
      </c>
      <c r="F5768" t="s">
        <v>10069</v>
      </c>
      <c r="G5768" t="s">
        <v>10102</v>
      </c>
      <c r="H5768" s="6">
        <v>45259</v>
      </c>
      <c r="I5768">
        <f t="shared" si="180"/>
        <v>0</v>
      </c>
      <c r="J5768" t="str">
        <f t="shared" si="181"/>
        <v>Complete</v>
      </c>
      <c r="K5768">
        <f>COUNTIFS(RawData[Item], B5768,RawData[Quantity],C5768,RawData[Price Per Unit],D5768,RawData[Total Spent],E5768,RawData[Payment Method],F5768,RawData[Location],G5768,RawData[Transaction Date],H5768)</f>
        <v>1</v>
      </c>
      <c r="L5768"/>
    </row>
    <row r="5769" spans="1:12" x14ac:dyDescent="0.3">
      <c r="A5769" t="s">
        <v>5775</v>
      </c>
      <c r="B5769" t="s">
        <v>10014</v>
      </c>
      <c r="C5769">
        <v>4</v>
      </c>
      <c r="D5769">
        <v>4</v>
      </c>
      <c r="E5769">
        <v>16</v>
      </c>
      <c r="F5769" t="s">
        <v>10018</v>
      </c>
      <c r="G5769" t="s">
        <v>10102</v>
      </c>
      <c r="H5769" s="6">
        <v>45046</v>
      </c>
      <c r="I5769">
        <f t="shared" si="180"/>
        <v>0</v>
      </c>
      <c r="J5769" t="str">
        <f t="shared" si="181"/>
        <v>Complete</v>
      </c>
      <c r="K5769">
        <f>COUNTIFS(RawData[Item], B5769,RawData[Quantity],C5769,RawData[Price Per Unit],D5769,RawData[Total Spent],E5769,RawData[Payment Method],F5769,RawData[Location],G5769,RawData[Transaction Date],H5769)</f>
        <v>1</v>
      </c>
      <c r="L5769"/>
    </row>
    <row r="5770" spans="1:12" x14ac:dyDescent="0.3">
      <c r="A5770" t="s">
        <v>5776</v>
      </c>
      <c r="B5770" t="s">
        <v>10011</v>
      </c>
      <c r="C5770">
        <v>3</v>
      </c>
      <c r="D5770">
        <v>5</v>
      </c>
      <c r="E5770" t="s">
        <v>10013</v>
      </c>
      <c r="F5770" t="s">
        <v>10019</v>
      </c>
      <c r="G5770" t="s">
        <v>10104</v>
      </c>
      <c r="H5770" s="6">
        <v>44929</v>
      </c>
      <c r="I5770">
        <f t="shared" si="180"/>
        <v>2</v>
      </c>
      <c r="J5770" t="str">
        <f t="shared" si="181"/>
        <v>Complete</v>
      </c>
      <c r="K5770">
        <f>COUNTIFS(RawData[Item], B5770,RawData[Quantity],C5770,RawData[Price Per Unit],D5770,RawData[Total Spent],E5770,RawData[Payment Method],F5770,RawData[Location],G5770,RawData[Transaction Date],H5770)</f>
        <v>1</v>
      </c>
      <c r="L5770"/>
    </row>
    <row r="5771" spans="1:12" x14ac:dyDescent="0.3">
      <c r="A5771" t="s">
        <v>5777</v>
      </c>
      <c r="B5771" t="s">
        <v>10017</v>
      </c>
      <c r="C5771">
        <v>4</v>
      </c>
      <c r="D5771">
        <v>1.5</v>
      </c>
      <c r="E5771">
        <v>6</v>
      </c>
      <c r="F5771" t="s">
        <v>10069</v>
      </c>
      <c r="G5771" t="s">
        <v>10021</v>
      </c>
      <c r="H5771" s="6">
        <v>44975</v>
      </c>
      <c r="I5771">
        <f t="shared" si="180"/>
        <v>0</v>
      </c>
      <c r="J5771" t="str">
        <f t="shared" si="181"/>
        <v>Complete</v>
      </c>
      <c r="K5771">
        <f>COUNTIFS(RawData[Item], B5771,RawData[Quantity],C5771,RawData[Price Per Unit],D5771,RawData[Total Spent],E5771,RawData[Payment Method],F5771,RawData[Location],G5771,RawData[Transaction Date],H5771)</f>
        <v>1</v>
      </c>
      <c r="L5771"/>
    </row>
    <row r="5772" spans="1:12" x14ac:dyDescent="0.3">
      <c r="A5772" t="s">
        <v>5778</v>
      </c>
      <c r="B5772" t="s">
        <v>10016</v>
      </c>
      <c r="C5772">
        <v>5</v>
      </c>
      <c r="D5772">
        <v>3</v>
      </c>
      <c r="E5772">
        <v>15</v>
      </c>
      <c r="F5772" t="s">
        <v>10069</v>
      </c>
      <c r="G5772" t="s">
        <v>10102</v>
      </c>
      <c r="H5772" s="6">
        <v>45079</v>
      </c>
      <c r="I5772">
        <f t="shared" si="180"/>
        <v>0</v>
      </c>
      <c r="J5772" t="str">
        <f t="shared" si="181"/>
        <v>Complete</v>
      </c>
      <c r="K5772">
        <f>COUNTIFS(RawData[Item], B5772,RawData[Quantity],C5772,RawData[Price Per Unit],D5772,RawData[Total Spent],E5772,RawData[Payment Method],F5772,RawData[Location],G5772,RawData[Transaction Date],H5772)</f>
        <v>1</v>
      </c>
      <c r="L5772"/>
    </row>
    <row r="5773" spans="1:12" x14ac:dyDescent="0.3">
      <c r="A5773" t="s">
        <v>5779</v>
      </c>
      <c r="B5773" t="s">
        <v>10017</v>
      </c>
      <c r="C5773">
        <v>5</v>
      </c>
      <c r="D5773">
        <v>1.5</v>
      </c>
      <c r="E5773">
        <v>7.5</v>
      </c>
      <c r="F5773" t="s">
        <v>10019</v>
      </c>
      <c r="G5773" t="s">
        <v>10021</v>
      </c>
      <c r="H5773" s="6">
        <v>45157</v>
      </c>
      <c r="I5773">
        <f t="shared" si="180"/>
        <v>0</v>
      </c>
      <c r="J5773" t="str">
        <f t="shared" si="181"/>
        <v>Complete</v>
      </c>
      <c r="K5773">
        <f>COUNTIFS(RawData[Item], B5773,RawData[Quantity],C5773,RawData[Price Per Unit],D5773,RawData[Total Spent],E5773,RawData[Payment Method],F5773,RawData[Location],G5773,RawData[Transaction Date],H5773)</f>
        <v>1</v>
      </c>
      <c r="L5773"/>
    </row>
    <row r="5774" spans="1:12" x14ac:dyDescent="0.3">
      <c r="A5774" t="s">
        <v>5780</v>
      </c>
      <c r="B5774" t="s">
        <v>10011</v>
      </c>
      <c r="C5774">
        <v>3</v>
      </c>
      <c r="D5774">
        <v>5</v>
      </c>
      <c r="E5774">
        <v>15</v>
      </c>
      <c r="F5774" t="s">
        <v>10069</v>
      </c>
      <c r="G5774" t="s">
        <v>10069</v>
      </c>
      <c r="H5774" s="6">
        <v>45024</v>
      </c>
      <c r="I5774">
        <f t="shared" si="180"/>
        <v>0</v>
      </c>
      <c r="J5774" t="str">
        <f t="shared" si="181"/>
        <v>Complete</v>
      </c>
      <c r="K5774">
        <f>COUNTIFS(RawData[Item], B5774,RawData[Quantity],C5774,RawData[Price Per Unit],D5774,RawData[Total Spent],E5774,RawData[Payment Method],F5774,RawData[Location],G5774,RawData[Transaction Date],H5774)</f>
        <v>1</v>
      </c>
      <c r="L5774"/>
    </row>
    <row r="5775" spans="1:12" x14ac:dyDescent="0.3">
      <c r="A5775" t="s">
        <v>5781</v>
      </c>
      <c r="B5775" t="s">
        <v>10017</v>
      </c>
      <c r="C5775">
        <v>4</v>
      </c>
      <c r="D5775">
        <v>1.5</v>
      </c>
      <c r="E5775">
        <v>6</v>
      </c>
      <c r="F5775" t="s">
        <v>10069</v>
      </c>
      <c r="G5775" t="s">
        <v>10069</v>
      </c>
      <c r="H5775" s="6">
        <v>45261</v>
      </c>
      <c r="I5775">
        <f t="shared" si="180"/>
        <v>0</v>
      </c>
      <c r="J5775" t="str">
        <f t="shared" si="181"/>
        <v>Complete</v>
      </c>
      <c r="K5775">
        <f>COUNTIFS(RawData[Item], B5775,RawData[Quantity],C5775,RawData[Price Per Unit],D5775,RawData[Total Spent],E5775,RawData[Payment Method],F5775,RawData[Location],G5775,RawData[Transaction Date],H5775)</f>
        <v>1</v>
      </c>
      <c r="L5775"/>
    </row>
    <row r="5776" spans="1:12" x14ac:dyDescent="0.3">
      <c r="A5776" t="s">
        <v>5782</v>
      </c>
      <c r="B5776" t="s">
        <v>10012</v>
      </c>
      <c r="C5776">
        <v>4</v>
      </c>
      <c r="D5776">
        <v>4</v>
      </c>
      <c r="E5776">
        <v>16</v>
      </c>
      <c r="F5776" t="s">
        <v>10019</v>
      </c>
      <c r="G5776" t="s">
        <v>10069</v>
      </c>
      <c r="H5776" s="6">
        <v>45093</v>
      </c>
      <c r="I5776">
        <f t="shared" si="180"/>
        <v>0</v>
      </c>
      <c r="J5776" t="str">
        <f t="shared" si="181"/>
        <v>Complete</v>
      </c>
      <c r="K5776">
        <f>COUNTIFS(RawData[Item], B5776,RawData[Quantity],C5776,RawData[Price Per Unit],D5776,RawData[Total Spent],E5776,RawData[Payment Method],F5776,RawData[Location],G5776,RawData[Transaction Date],H5776)</f>
        <v>1</v>
      </c>
      <c r="L5776"/>
    </row>
    <row r="5777" spans="1:12" x14ac:dyDescent="0.3">
      <c r="A5777" t="s">
        <v>5783</v>
      </c>
      <c r="B5777" t="s">
        <v>10010</v>
      </c>
      <c r="C5777">
        <v>2</v>
      </c>
      <c r="D5777">
        <v>1</v>
      </c>
      <c r="E5777">
        <v>2</v>
      </c>
      <c r="F5777" t="s">
        <v>10069</v>
      </c>
      <c r="G5777" t="s">
        <v>10102</v>
      </c>
      <c r="H5777" s="6">
        <v>44963</v>
      </c>
      <c r="I5777">
        <f t="shared" si="180"/>
        <v>0</v>
      </c>
      <c r="J5777" t="str">
        <f t="shared" si="181"/>
        <v>Complete</v>
      </c>
      <c r="K5777">
        <f>COUNTIFS(RawData[Item], B5777,RawData[Quantity],C5777,RawData[Price Per Unit],D5777,RawData[Total Spent],E5777,RawData[Payment Method],F5777,RawData[Location],G5777,RawData[Transaction Date],H5777)</f>
        <v>1</v>
      </c>
      <c r="L5777"/>
    </row>
    <row r="5778" spans="1:12" x14ac:dyDescent="0.3">
      <c r="A5778" t="s">
        <v>5784</v>
      </c>
      <c r="B5778" t="s">
        <v>10016</v>
      </c>
      <c r="C5778">
        <v>3</v>
      </c>
      <c r="D5778">
        <v>3</v>
      </c>
      <c r="E5778">
        <v>9</v>
      </c>
      <c r="F5778" t="s">
        <v>10018</v>
      </c>
      <c r="G5778" t="s">
        <v>10069</v>
      </c>
      <c r="H5778" s="6">
        <v>45094</v>
      </c>
      <c r="I5778">
        <f t="shared" si="180"/>
        <v>0</v>
      </c>
      <c r="J5778" t="str">
        <f t="shared" si="181"/>
        <v>Complete</v>
      </c>
      <c r="K5778">
        <f>COUNTIFS(RawData[Item], B5778,RawData[Quantity],C5778,RawData[Price Per Unit],D5778,RawData[Total Spent],E5778,RawData[Payment Method],F5778,RawData[Location],G5778,RawData[Transaction Date],H5778)</f>
        <v>1</v>
      </c>
      <c r="L5778"/>
    </row>
    <row r="5779" spans="1:12" x14ac:dyDescent="0.3">
      <c r="A5779" t="s">
        <v>5785</v>
      </c>
      <c r="B5779" t="s">
        <v>10012</v>
      </c>
      <c r="C5779">
        <v>1</v>
      </c>
      <c r="D5779">
        <v>4</v>
      </c>
      <c r="E5779">
        <v>4</v>
      </c>
      <c r="F5779" t="s">
        <v>10069</v>
      </c>
      <c r="G5779" t="s">
        <v>10102</v>
      </c>
      <c r="H5779" s="6">
        <v>44940</v>
      </c>
      <c r="I5779">
        <f t="shared" si="180"/>
        <v>0</v>
      </c>
      <c r="J5779" t="str">
        <f t="shared" si="181"/>
        <v>Complete</v>
      </c>
      <c r="K5779">
        <f>COUNTIFS(RawData[Item], B5779,RawData[Quantity],C5779,RawData[Price Per Unit],D5779,RawData[Total Spent],E5779,RawData[Payment Method],F5779,RawData[Location],G5779,RawData[Transaction Date],H5779)</f>
        <v>1</v>
      </c>
      <c r="L5779"/>
    </row>
    <row r="5780" spans="1:12" x14ac:dyDescent="0.3">
      <c r="A5780" t="s">
        <v>5786</v>
      </c>
      <c r="B5780" t="s">
        <v>10016</v>
      </c>
      <c r="C5780">
        <v>3</v>
      </c>
      <c r="D5780">
        <v>3</v>
      </c>
      <c r="E5780">
        <v>9</v>
      </c>
      <c r="F5780" t="s">
        <v>10103</v>
      </c>
      <c r="G5780" t="s">
        <v>10069</v>
      </c>
      <c r="H5780" s="6">
        <v>45263</v>
      </c>
      <c r="I5780">
        <f t="shared" si="180"/>
        <v>1</v>
      </c>
      <c r="J5780" t="str">
        <f t="shared" si="181"/>
        <v>Complete</v>
      </c>
      <c r="K5780">
        <f>COUNTIFS(RawData[Item], B5780,RawData[Quantity],C5780,RawData[Price Per Unit],D5780,RawData[Total Spent],E5780,RawData[Payment Method],F5780,RawData[Location],G5780,RawData[Transaction Date],H5780)</f>
        <v>1</v>
      </c>
      <c r="L5780"/>
    </row>
    <row r="5781" spans="1:12" x14ac:dyDescent="0.3">
      <c r="A5781" t="s">
        <v>5787</v>
      </c>
      <c r="B5781" t="s">
        <v>10009</v>
      </c>
      <c r="C5781">
        <v>5</v>
      </c>
      <c r="D5781">
        <v>3</v>
      </c>
      <c r="E5781">
        <v>15</v>
      </c>
      <c r="F5781" t="s">
        <v>10020</v>
      </c>
      <c r="G5781" t="s">
        <v>10069</v>
      </c>
      <c r="H5781" s="6">
        <v>45044</v>
      </c>
      <c r="I5781">
        <f t="shared" si="180"/>
        <v>0</v>
      </c>
      <c r="J5781" t="str">
        <f t="shared" si="181"/>
        <v>Complete</v>
      </c>
      <c r="K5781">
        <f>COUNTIFS(RawData[Item], B5781,RawData[Quantity],C5781,RawData[Price Per Unit],D5781,RawData[Total Spent],E5781,RawData[Payment Method],F5781,RawData[Location],G5781,RawData[Transaction Date],H5781)</f>
        <v>1</v>
      </c>
      <c r="L5781"/>
    </row>
    <row r="5782" spans="1:12" x14ac:dyDescent="0.3">
      <c r="A5782" t="s">
        <v>5788</v>
      </c>
      <c r="B5782" t="s">
        <v>10012</v>
      </c>
      <c r="C5782">
        <v>2</v>
      </c>
      <c r="D5782">
        <v>4</v>
      </c>
      <c r="E5782">
        <v>8</v>
      </c>
      <c r="F5782" t="s">
        <v>10019</v>
      </c>
      <c r="G5782" t="s">
        <v>10021</v>
      </c>
      <c r="H5782" s="6">
        <v>45259</v>
      </c>
      <c r="I5782">
        <f t="shared" si="180"/>
        <v>0</v>
      </c>
      <c r="J5782" t="str">
        <f t="shared" si="181"/>
        <v>Complete</v>
      </c>
      <c r="K5782">
        <f>COUNTIFS(RawData[Item], B5782,RawData[Quantity],C5782,RawData[Price Per Unit],D5782,RawData[Total Spent],E5782,RawData[Payment Method],F5782,RawData[Location],G5782,RawData[Transaction Date],H5782)</f>
        <v>1</v>
      </c>
      <c r="L5782"/>
    </row>
    <row r="5783" spans="1:12" x14ac:dyDescent="0.3">
      <c r="A5783" t="s">
        <v>5789</v>
      </c>
      <c r="B5783" t="s">
        <v>10012</v>
      </c>
      <c r="C5783">
        <v>4</v>
      </c>
      <c r="D5783">
        <v>4</v>
      </c>
      <c r="E5783">
        <v>16</v>
      </c>
      <c r="F5783" t="s">
        <v>10019</v>
      </c>
      <c r="G5783" t="s">
        <v>10102</v>
      </c>
      <c r="H5783" s="6">
        <v>45070</v>
      </c>
      <c r="I5783">
        <f t="shared" si="180"/>
        <v>0</v>
      </c>
      <c r="J5783" t="str">
        <f t="shared" si="181"/>
        <v>Complete</v>
      </c>
      <c r="K5783">
        <f>COUNTIFS(RawData[Item], B5783,RawData[Quantity],C5783,RawData[Price Per Unit],D5783,RawData[Total Spent],E5783,RawData[Payment Method],F5783,RawData[Location],G5783,RawData[Transaction Date],H5783)</f>
        <v>1</v>
      </c>
      <c r="L5783"/>
    </row>
    <row r="5784" spans="1:12" x14ac:dyDescent="0.3">
      <c r="A5784" t="s">
        <v>5790</v>
      </c>
      <c r="B5784" t="s">
        <v>10012</v>
      </c>
      <c r="C5784">
        <v>4</v>
      </c>
      <c r="D5784">
        <v>4</v>
      </c>
      <c r="E5784">
        <v>16</v>
      </c>
      <c r="F5784" t="s">
        <v>10020</v>
      </c>
      <c r="G5784" t="s">
        <v>10069</v>
      </c>
      <c r="H5784" s="6">
        <v>45202</v>
      </c>
      <c r="I5784">
        <f t="shared" si="180"/>
        <v>0</v>
      </c>
      <c r="J5784" t="str">
        <f t="shared" si="181"/>
        <v>Complete</v>
      </c>
      <c r="K5784">
        <f>COUNTIFS(RawData[Item], B5784,RawData[Quantity],C5784,RawData[Price Per Unit],D5784,RawData[Total Spent],E5784,RawData[Payment Method],F5784,RawData[Location],G5784,RawData[Transaction Date],H5784)</f>
        <v>1</v>
      </c>
      <c r="L5784"/>
    </row>
    <row r="5785" spans="1:12" x14ac:dyDescent="0.3">
      <c r="A5785" t="s">
        <v>5791</v>
      </c>
      <c r="B5785" t="s">
        <v>10009</v>
      </c>
      <c r="C5785">
        <v>5</v>
      </c>
      <c r="D5785">
        <v>3</v>
      </c>
      <c r="E5785">
        <v>15</v>
      </c>
      <c r="F5785" t="s">
        <v>10019</v>
      </c>
      <c r="G5785" t="s">
        <v>10102</v>
      </c>
      <c r="H5785" s="6">
        <v>45040</v>
      </c>
      <c r="I5785">
        <f t="shared" si="180"/>
        <v>0</v>
      </c>
      <c r="J5785" t="str">
        <f t="shared" si="181"/>
        <v>Complete</v>
      </c>
      <c r="K5785">
        <f>COUNTIFS(RawData[Item], B5785,RawData[Quantity],C5785,RawData[Price Per Unit],D5785,RawData[Total Spent],E5785,RawData[Payment Method],F5785,RawData[Location],G5785,RawData[Transaction Date],H5785)</f>
        <v>1</v>
      </c>
      <c r="L5785"/>
    </row>
    <row r="5786" spans="1:12" x14ac:dyDescent="0.3">
      <c r="A5786" t="s">
        <v>5792</v>
      </c>
      <c r="B5786" t="s">
        <v>10010</v>
      </c>
      <c r="C5786">
        <v>5</v>
      </c>
      <c r="D5786">
        <v>1</v>
      </c>
      <c r="E5786">
        <v>5</v>
      </c>
      <c r="F5786" t="s">
        <v>10020</v>
      </c>
      <c r="G5786" t="s">
        <v>10021</v>
      </c>
      <c r="H5786" s="6">
        <v>45063</v>
      </c>
      <c r="I5786">
        <f t="shared" si="180"/>
        <v>0</v>
      </c>
      <c r="J5786" t="str">
        <f t="shared" si="181"/>
        <v>Complete</v>
      </c>
      <c r="K5786">
        <f>COUNTIFS(RawData[Item], B5786,RawData[Quantity],C5786,RawData[Price Per Unit],D5786,RawData[Total Spent],E5786,RawData[Payment Method],F5786,RawData[Location],G5786,RawData[Transaction Date],H5786)</f>
        <v>2</v>
      </c>
      <c r="L5786"/>
    </row>
    <row r="5787" spans="1:12" x14ac:dyDescent="0.3">
      <c r="A5787" t="s">
        <v>5793</v>
      </c>
      <c r="B5787" t="s">
        <v>10016</v>
      </c>
      <c r="C5787">
        <v>2</v>
      </c>
      <c r="D5787">
        <v>3</v>
      </c>
      <c r="E5787">
        <v>6</v>
      </c>
      <c r="F5787" t="s">
        <v>10019</v>
      </c>
      <c r="G5787" t="s">
        <v>10102</v>
      </c>
      <c r="H5787" s="6">
        <v>45236</v>
      </c>
      <c r="I5787">
        <f t="shared" si="180"/>
        <v>0</v>
      </c>
      <c r="J5787" t="str">
        <f t="shared" si="181"/>
        <v>Complete</v>
      </c>
      <c r="K5787">
        <f>COUNTIFS(RawData[Item], B5787,RawData[Quantity],C5787,RawData[Price Per Unit],D5787,RawData[Total Spent],E5787,RawData[Payment Method],F5787,RawData[Location],G5787,RawData[Transaction Date],H5787)</f>
        <v>1</v>
      </c>
      <c r="L5787"/>
    </row>
    <row r="5788" spans="1:12" x14ac:dyDescent="0.3">
      <c r="A5788" t="s">
        <v>5794</v>
      </c>
      <c r="B5788" t="s">
        <v>10008</v>
      </c>
      <c r="C5788">
        <v>3</v>
      </c>
      <c r="D5788">
        <v>2</v>
      </c>
      <c r="E5788">
        <v>6</v>
      </c>
      <c r="F5788" t="s">
        <v>10019</v>
      </c>
      <c r="G5788" t="s">
        <v>10102</v>
      </c>
      <c r="H5788" s="6" t="s">
        <v>10112</v>
      </c>
      <c r="I5788">
        <f t="shared" si="180"/>
        <v>1</v>
      </c>
      <c r="J5788" t="str">
        <f t="shared" si="181"/>
        <v>Incomplete</v>
      </c>
      <c r="K5788">
        <f>COUNTIFS(RawData[Item], B5788,RawData[Quantity],C5788,RawData[Price Per Unit],D5788,RawData[Total Spent],E5788,RawData[Payment Method],F5788,RawData[Location],G5788,RawData[Transaction Date],H5788)</f>
        <v>1</v>
      </c>
      <c r="L5788"/>
    </row>
    <row r="5789" spans="1:12" x14ac:dyDescent="0.3">
      <c r="A5789" t="s">
        <v>5795</v>
      </c>
      <c r="B5789" t="s">
        <v>10010</v>
      </c>
      <c r="C5789">
        <v>4</v>
      </c>
      <c r="D5789">
        <v>1</v>
      </c>
      <c r="E5789">
        <v>4</v>
      </c>
      <c r="F5789" t="s">
        <v>10018</v>
      </c>
      <c r="G5789" t="s">
        <v>10021</v>
      </c>
      <c r="H5789" s="6">
        <v>45150</v>
      </c>
      <c r="I5789">
        <f t="shared" si="180"/>
        <v>0</v>
      </c>
      <c r="J5789" t="str">
        <f t="shared" si="181"/>
        <v>Complete</v>
      </c>
      <c r="K5789">
        <f>COUNTIFS(RawData[Item], B5789,RawData[Quantity],C5789,RawData[Price Per Unit],D5789,RawData[Total Spent],E5789,RawData[Payment Method],F5789,RawData[Location],G5789,RawData[Transaction Date],H5789)</f>
        <v>1</v>
      </c>
      <c r="L5789"/>
    </row>
    <row r="5790" spans="1:12" x14ac:dyDescent="0.3">
      <c r="A5790" t="s">
        <v>5796</v>
      </c>
      <c r="B5790" t="s">
        <v>10017</v>
      </c>
      <c r="C5790">
        <v>1</v>
      </c>
      <c r="D5790">
        <v>1.5</v>
      </c>
      <c r="E5790">
        <v>1.5</v>
      </c>
      <c r="F5790" t="s">
        <v>10018</v>
      </c>
      <c r="G5790" t="s">
        <v>10102</v>
      </c>
      <c r="H5790" s="6">
        <v>44999</v>
      </c>
      <c r="I5790">
        <f t="shared" si="180"/>
        <v>0</v>
      </c>
      <c r="J5790" t="str">
        <f t="shared" si="181"/>
        <v>Complete</v>
      </c>
      <c r="K5790">
        <f>COUNTIFS(RawData[Item], B5790,RawData[Quantity],C5790,RawData[Price Per Unit],D5790,RawData[Total Spent],E5790,RawData[Payment Method],F5790,RawData[Location],G5790,RawData[Transaction Date],H5790)</f>
        <v>1</v>
      </c>
      <c r="L5790"/>
    </row>
    <row r="5791" spans="1:12" x14ac:dyDescent="0.3">
      <c r="A5791" t="s">
        <v>5797</v>
      </c>
      <c r="B5791" t="s">
        <v>10010</v>
      </c>
      <c r="C5791">
        <v>4</v>
      </c>
      <c r="D5791">
        <v>1</v>
      </c>
      <c r="E5791">
        <v>4</v>
      </c>
      <c r="F5791" t="s">
        <v>10020</v>
      </c>
      <c r="G5791" t="s">
        <v>10069</v>
      </c>
      <c r="H5791" s="6">
        <v>45132</v>
      </c>
      <c r="I5791">
        <f t="shared" si="180"/>
        <v>0</v>
      </c>
      <c r="J5791" t="str">
        <f t="shared" si="181"/>
        <v>Complete</v>
      </c>
      <c r="K5791">
        <f>COUNTIFS(RawData[Item], B5791,RawData[Quantity],C5791,RawData[Price Per Unit],D5791,RawData[Total Spent],E5791,RawData[Payment Method],F5791,RawData[Location],G5791,RawData[Transaction Date],H5791)</f>
        <v>1</v>
      </c>
      <c r="L5791"/>
    </row>
    <row r="5792" spans="1:12" x14ac:dyDescent="0.3">
      <c r="A5792" t="s">
        <v>5798</v>
      </c>
      <c r="B5792" t="s">
        <v>10011</v>
      </c>
      <c r="C5792">
        <v>4</v>
      </c>
      <c r="D5792">
        <v>5</v>
      </c>
      <c r="E5792">
        <v>20</v>
      </c>
      <c r="F5792" t="s">
        <v>10069</v>
      </c>
      <c r="G5792" t="s">
        <v>10021</v>
      </c>
      <c r="H5792" s="6">
        <v>45182</v>
      </c>
      <c r="I5792">
        <f t="shared" si="180"/>
        <v>0</v>
      </c>
      <c r="J5792" t="str">
        <f t="shared" si="181"/>
        <v>Complete</v>
      </c>
      <c r="K5792">
        <f>COUNTIFS(RawData[Item], B5792,RawData[Quantity],C5792,RawData[Price Per Unit],D5792,RawData[Total Spent],E5792,RawData[Payment Method],F5792,RawData[Location],G5792,RawData[Transaction Date],H5792)</f>
        <v>1</v>
      </c>
      <c r="L5792"/>
    </row>
    <row r="5793" spans="1:12" x14ac:dyDescent="0.3">
      <c r="A5793" t="s">
        <v>5799</v>
      </c>
      <c r="B5793" t="s">
        <v>10017</v>
      </c>
      <c r="C5793">
        <v>3</v>
      </c>
      <c r="D5793">
        <v>1.5</v>
      </c>
      <c r="E5793">
        <v>4.5</v>
      </c>
      <c r="F5793" t="s">
        <v>10104</v>
      </c>
      <c r="G5793" t="s">
        <v>10102</v>
      </c>
      <c r="H5793" s="6">
        <v>45220</v>
      </c>
      <c r="I5793">
        <f t="shared" si="180"/>
        <v>1</v>
      </c>
      <c r="J5793" t="str">
        <f t="shared" si="181"/>
        <v>Complete</v>
      </c>
      <c r="K5793">
        <f>COUNTIFS(RawData[Item], B5793,RawData[Quantity],C5793,RawData[Price Per Unit],D5793,RawData[Total Spent],E5793,RawData[Payment Method],F5793,RawData[Location],G5793,RawData[Transaction Date],H5793)</f>
        <v>1</v>
      </c>
      <c r="L5793"/>
    </row>
    <row r="5794" spans="1:12" x14ac:dyDescent="0.3">
      <c r="A5794" t="s">
        <v>5800</v>
      </c>
      <c r="B5794" t="s">
        <v>10011</v>
      </c>
      <c r="C5794">
        <v>5</v>
      </c>
      <c r="D5794">
        <v>5</v>
      </c>
      <c r="E5794">
        <v>25</v>
      </c>
      <c r="F5794" t="s">
        <v>10019</v>
      </c>
      <c r="G5794" t="s">
        <v>10021</v>
      </c>
      <c r="H5794" s="6">
        <v>45003</v>
      </c>
      <c r="I5794">
        <f t="shared" si="180"/>
        <v>0</v>
      </c>
      <c r="J5794" t="str">
        <f t="shared" si="181"/>
        <v>Complete</v>
      </c>
      <c r="K5794">
        <f>COUNTIFS(RawData[Item], B5794,RawData[Quantity],C5794,RawData[Price Per Unit],D5794,RawData[Total Spent],E5794,RawData[Payment Method],F5794,RawData[Location],G5794,RawData[Transaction Date],H5794)</f>
        <v>1</v>
      </c>
      <c r="L5794"/>
    </row>
    <row r="5795" spans="1:12" x14ac:dyDescent="0.3">
      <c r="A5795" t="s">
        <v>5801</v>
      </c>
      <c r="B5795" t="s">
        <v>10017</v>
      </c>
      <c r="C5795">
        <v>4</v>
      </c>
      <c r="D5795">
        <v>1.5</v>
      </c>
      <c r="E5795">
        <v>6</v>
      </c>
      <c r="F5795" t="s">
        <v>10069</v>
      </c>
      <c r="G5795" t="s">
        <v>10069</v>
      </c>
      <c r="H5795" s="6">
        <v>45213</v>
      </c>
      <c r="I5795">
        <f t="shared" si="180"/>
        <v>0</v>
      </c>
      <c r="J5795" t="str">
        <f t="shared" si="181"/>
        <v>Complete</v>
      </c>
      <c r="K5795">
        <f>COUNTIFS(RawData[Item], B5795,RawData[Quantity],C5795,RawData[Price Per Unit],D5795,RawData[Total Spent],E5795,RawData[Payment Method],F5795,RawData[Location],G5795,RawData[Transaction Date],H5795)</f>
        <v>1</v>
      </c>
      <c r="L5795"/>
    </row>
    <row r="5796" spans="1:12" x14ac:dyDescent="0.3">
      <c r="A5796" t="s">
        <v>5802</v>
      </c>
      <c r="B5796" t="s">
        <v>10014</v>
      </c>
      <c r="C5796">
        <v>2</v>
      </c>
      <c r="D5796">
        <v>4</v>
      </c>
      <c r="E5796">
        <v>8</v>
      </c>
      <c r="F5796" t="s">
        <v>10069</v>
      </c>
      <c r="G5796" t="s">
        <v>10069</v>
      </c>
      <c r="H5796" s="6">
        <v>44973</v>
      </c>
      <c r="I5796">
        <f t="shared" si="180"/>
        <v>0</v>
      </c>
      <c r="J5796" t="str">
        <f t="shared" si="181"/>
        <v>Complete</v>
      </c>
      <c r="K5796">
        <f>COUNTIFS(RawData[Item], B5796,RawData[Quantity],C5796,RawData[Price Per Unit],D5796,RawData[Total Spent],E5796,RawData[Payment Method],F5796,RawData[Location],G5796,RawData[Transaction Date],H5796)</f>
        <v>1</v>
      </c>
      <c r="L5796"/>
    </row>
    <row r="5797" spans="1:12" x14ac:dyDescent="0.3">
      <c r="A5797" t="s">
        <v>5803</v>
      </c>
      <c r="B5797" t="s">
        <v>10011</v>
      </c>
      <c r="C5797">
        <v>2</v>
      </c>
      <c r="D5797">
        <v>5</v>
      </c>
      <c r="E5797">
        <v>10</v>
      </c>
      <c r="F5797" t="s">
        <v>10019</v>
      </c>
      <c r="G5797" t="s">
        <v>10102</v>
      </c>
      <c r="H5797" s="6" t="s">
        <v>10112</v>
      </c>
      <c r="I5797">
        <f t="shared" si="180"/>
        <v>1</v>
      </c>
      <c r="J5797" t="str">
        <f t="shared" si="181"/>
        <v>Incomplete</v>
      </c>
      <c r="K5797">
        <f>COUNTIFS(RawData[Item], B5797,RawData[Quantity],C5797,RawData[Price Per Unit],D5797,RawData[Total Spent],E5797,RawData[Payment Method],F5797,RawData[Location],G5797,RawData[Transaction Date],H5797)</f>
        <v>3</v>
      </c>
      <c r="L5797"/>
    </row>
    <row r="5798" spans="1:12" x14ac:dyDescent="0.3">
      <c r="A5798" t="s">
        <v>5804</v>
      </c>
      <c r="B5798" t="s">
        <v>10012</v>
      </c>
      <c r="C5798">
        <v>2</v>
      </c>
      <c r="D5798">
        <v>4</v>
      </c>
      <c r="E5798">
        <v>8</v>
      </c>
      <c r="F5798" t="s">
        <v>10019</v>
      </c>
      <c r="G5798" t="s">
        <v>10069</v>
      </c>
      <c r="H5798" s="6">
        <v>45161</v>
      </c>
      <c r="I5798">
        <f t="shared" si="180"/>
        <v>0</v>
      </c>
      <c r="J5798" t="str">
        <f t="shared" si="181"/>
        <v>Complete</v>
      </c>
      <c r="K5798">
        <f>COUNTIFS(RawData[Item], B5798,RawData[Quantity],C5798,RawData[Price Per Unit],D5798,RawData[Total Spent],E5798,RawData[Payment Method],F5798,RawData[Location],G5798,RawData[Transaction Date],H5798)</f>
        <v>1</v>
      </c>
      <c r="L5798"/>
    </row>
    <row r="5799" spans="1:12" x14ac:dyDescent="0.3">
      <c r="A5799" t="s">
        <v>5805</v>
      </c>
      <c r="B5799" t="s">
        <v>10008</v>
      </c>
      <c r="C5799">
        <v>1</v>
      </c>
      <c r="D5799">
        <v>2</v>
      </c>
      <c r="E5799">
        <v>2</v>
      </c>
      <c r="F5799" t="s">
        <v>10018</v>
      </c>
      <c r="G5799" t="s">
        <v>10021</v>
      </c>
      <c r="H5799" s="6">
        <v>45247</v>
      </c>
      <c r="I5799">
        <f t="shared" si="180"/>
        <v>0</v>
      </c>
      <c r="J5799" t="str">
        <f t="shared" si="181"/>
        <v>Complete</v>
      </c>
      <c r="K5799">
        <f>COUNTIFS(RawData[Item], B5799,RawData[Quantity],C5799,RawData[Price Per Unit],D5799,RawData[Total Spent],E5799,RawData[Payment Method],F5799,RawData[Location],G5799,RawData[Transaction Date],H5799)</f>
        <v>1</v>
      </c>
      <c r="L5799"/>
    </row>
    <row r="5800" spans="1:12" x14ac:dyDescent="0.3">
      <c r="A5800" t="s">
        <v>5806</v>
      </c>
      <c r="B5800" t="s">
        <v>10016</v>
      </c>
      <c r="C5800">
        <v>4</v>
      </c>
      <c r="D5800">
        <v>3</v>
      </c>
      <c r="E5800">
        <v>12</v>
      </c>
      <c r="F5800" t="s">
        <v>10069</v>
      </c>
      <c r="G5800" t="s">
        <v>10102</v>
      </c>
      <c r="H5800" s="6" t="s">
        <v>10112</v>
      </c>
      <c r="I5800">
        <f t="shared" si="180"/>
        <v>1</v>
      </c>
      <c r="J5800" t="str">
        <f t="shared" si="181"/>
        <v>Incomplete</v>
      </c>
      <c r="K5800">
        <f>COUNTIFS(RawData[Item], B5800,RawData[Quantity],C5800,RawData[Price Per Unit],D5800,RawData[Total Spent],E5800,RawData[Payment Method],F5800,RawData[Location],G5800,RawData[Transaction Date],H5800)</f>
        <v>1</v>
      </c>
      <c r="L5800"/>
    </row>
    <row r="5801" spans="1:12" x14ac:dyDescent="0.3">
      <c r="A5801" t="s">
        <v>5807</v>
      </c>
      <c r="B5801" t="s">
        <v>10012</v>
      </c>
      <c r="C5801">
        <v>5</v>
      </c>
      <c r="D5801">
        <v>4</v>
      </c>
      <c r="E5801">
        <v>20</v>
      </c>
      <c r="F5801" t="s">
        <v>10104</v>
      </c>
      <c r="G5801" t="s">
        <v>10102</v>
      </c>
      <c r="H5801" s="6">
        <v>45054</v>
      </c>
      <c r="I5801">
        <f t="shared" si="180"/>
        <v>1</v>
      </c>
      <c r="J5801" t="str">
        <f t="shared" si="181"/>
        <v>Complete</v>
      </c>
      <c r="K5801">
        <f>COUNTIFS(RawData[Item], B5801,RawData[Quantity],C5801,RawData[Price Per Unit],D5801,RawData[Total Spent],E5801,RawData[Payment Method],F5801,RawData[Location],G5801,RawData[Transaction Date],H5801)</f>
        <v>1</v>
      </c>
      <c r="L5801"/>
    </row>
    <row r="5802" spans="1:12" x14ac:dyDescent="0.3">
      <c r="A5802" t="s">
        <v>5808</v>
      </c>
      <c r="B5802" t="s">
        <v>10008</v>
      </c>
      <c r="C5802">
        <v>4</v>
      </c>
      <c r="D5802">
        <v>2</v>
      </c>
      <c r="E5802">
        <v>8</v>
      </c>
      <c r="F5802" t="s">
        <v>10020</v>
      </c>
      <c r="G5802" t="s">
        <v>10069</v>
      </c>
      <c r="H5802" s="6">
        <v>44944</v>
      </c>
      <c r="I5802">
        <f t="shared" si="180"/>
        <v>0</v>
      </c>
      <c r="J5802" t="str">
        <f t="shared" si="181"/>
        <v>Complete</v>
      </c>
      <c r="K5802">
        <f>COUNTIFS(RawData[Item], B5802,RawData[Quantity],C5802,RawData[Price Per Unit],D5802,RawData[Total Spent],E5802,RawData[Payment Method],F5802,RawData[Location],G5802,RawData[Transaction Date],H5802)</f>
        <v>1</v>
      </c>
      <c r="L5802"/>
    </row>
    <row r="5803" spans="1:12" x14ac:dyDescent="0.3">
      <c r="A5803" t="s">
        <v>5809</v>
      </c>
      <c r="B5803" t="s">
        <v>10012</v>
      </c>
      <c r="C5803">
        <v>3</v>
      </c>
      <c r="D5803">
        <v>4</v>
      </c>
      <c r="E5803">
        <v>12</v>
      </c>
      <c r="F5803" t="s">
        <v>10018</v>
      </c>
      <c r="G5803" t="s">
        <v>10069</v>
      </c>
      <c r="H5803" s="6">
        <v>45261</v>
      </c>
      <c r="I5803">
        <f t="shared" si="180"/>
        <v>0</v>
      </c>
      <c r="J5803" t="str">
        <f t="shared" si="181"/>
        <v>Complete</v>
      </c>
      <c r="K5803">
        <f>COUNTIFS(RawData[Item], B5803,RawData[Quantity],C5803,RawData[Price Per Unit],D5803,RawData[Total Spent],E5803,RawData[Payment Method],F5803,RawData[Location],G5803,RawData[Transaction Date],H5803)</f>
        <v>1</v>
      </c>
      <c r="L5803"/>
    </row>
    <row r="5804" spans="1:12" x14ac:dyDescent="0.3">
      <c r="A5804" t="s">
        <v>5810</v>
      </c>
      <c r="B5804" t="s">
        <v>10009</v>
      </c>
      <c r="C5804">
        <v>1</v>
      </c>
      <c r="D5804">
        <v>3</v>
      </c>
      <c r="E5804">
        <v>3</v>
      </c>
      <c r="F5804" t="s">
        <v>10019</v>
      </c>
      <c r="G5804" t="s">
        <v>10021</v>
      </c>
      <c r="H5804" s="6">
        <v>45051</v>
      </c>
      <c r="I5804">
        <f t="shared" si="180"/>
        <v>0</v>
      </c>
      <c r="J5804" t="str">
        <f t="shared" si="181"/>
        <v>Complete</v>
      </c>
      <c r="K5804">
        <f>COUNTIFS(RawData[Item], B5804,RawData[Quantity],C5804,RawData[Price Per Unit],D5804,RawData[Total Spent],E5804,RawData[Payment Method],F5804,RawData[Location],G5804,RawData[Transaction Date],H5804)</f>
        <v>1</v>
      </c>
      <c r="L5804"/>
    </row>
    <row r="5805" spans="1:12" x14ac:dyDescent="0.3">
      <c r="A5805" t="s">
        <v>5811</v>
      </c>
      <c r="B5805" t="s">
        <v>10012</v>
      </c>
      <c r="C5805">
        <v>1</v>
      </c>
      <c r="D5805">
        <v>4</v>
      </c>
      <c r="E5805">
        <v>4</v>
      </c>
      <c r="F5805" t="s">
        <v>10069</v>
      </c>
      <c r="G5805" t="s">
        <v>10021</v>
      </c>
      <c r="H5805" s="6">
        <v>45233</v>
      </c>
      <c r="I5805">
        <f t="shared" si="180"/>
        <v>0</v>
      </c>
      <c r="J5805" t="str">
        <f t="shared" si="181"/>
        <v>Complete</v>
      </c>
      <c r="K5805">
        <f>COUNTIFS(RawData[Item], B5805,RawData[Quantity],C5805,RawData[Price Per Unit],D5805,RawData[Total Spent],E5805,RawData[Payment Method],F5805,RawData[Location],G5805,RawData[Transaction Date],H5805)</f>
        <v>1</v>
      </c>
      <c r="L5805"/>
    </row>
    <row r="5806" spans="1:12" x14ac:dyDescent="0.3">
      <c r="A5806" t="s">
        <v>5812</v>
      </c>
      <c r="B5806" t="s">
        <v>10008</v>
      </c>
      <c r="C5806">
        <v>3</v>
      </c>
      <c r="D5806">
        <v>2</v>
      </c>
      <c r="E5806">
        <v>6</v>
      </c>
      <c r="F5806" t="s">
        <v>10019</v>
      </c>
      <c r="G5806" t="s">
        <v>10021</v>
      </c>
      <c r="H5806" s="6" t="s">
        <v>10112</v>
      </c>
      <c r="I5806">
        <f t="shared" si="180"/>
        <v>1</v>
      </c>
      <c r="J5806" t="str">
        <f t="shared" si="181"/>
        <v>Incomplete</v>
      </c>
      <c r="K5806">
        <f>COUNTIFS(RawData[Item], B5806,RawData[Quantity],C5806,RawData[Price Per Unit],D5806,RawData[Total Spent],E5806,RawData[Payment Method],F5806,RawData[Location],G5806,RawData[Transaction Date],H5806)</f>
        <v>1</v>
      </c>
      <c r="L5806"/>
    </row>
    <row r="5807" spans="1:12" x14ac:dyDescent="0.3">
      <c r="A5807" t="s">
        <v>5813</v>
      </c>
      <c r="B5807" t="s">
        <v>10010</v>
      </c>
      <c r="C5807">
        <v>2</v>
      </c>
      <c r="D5807">
        <v>1</v>
      </c>
      <c r="E5807">
        <v>2</v>
      </c>
      <c r="F5807" t="s">
        <v>10103</v>
      </c>
      <c r="G5807" t="s">
        <v>10021</v>
      </c>
      <c r="H5807" s="6">
        <v>45190</v>
      </c>
      <c r="I5807">
        <f t="shared" si="180"/>
        <v>1</v>
      </c>
      <c r="J5807" t="str">
        <f t="shared" si="181"/>
        <v>Complete</v>
      </c>
      <c r="K5807">
        <f>COUNTIFS(RawData[Item], B5807,RawData[Quantity],C5807,RawData[Price Per Unit],D5807,RawData[Total Spent],E5807,RawData[Payment Method],F5807,RawData[Location],G5807,RawData[Transaction Date],H5807)</f>
        <v>1</v>
      </c>
      <c r="L5807"/>
    </row>
    <row r="5808" spans="1:12" x14ac:dyDescent="0.3">
      <c r="A5808" t="s">
        <v>5814</v>
      </c>
      <c r="B5808" t="s">
        <v>10017</v>
      </c>
      <c r="C5808">
        <v>3</v>
      </c>
      <c r="D5808">
        <v>1.5</v>
      </c>
      <c r="E5808">
        <v>0</v>
      </c>
      <c r="F5808" t="s">
        <v>10069</v>
      </c>
      <c r="G5808" t="s">
        <v>10102</v>
      </c>
      <c r="H5808" s="6" t="s">
        <v>10112</v>
      </c>
      <c r="I5808">
        <f t="shared" si="180"/>
        <v>1</v>
      </c>
      <c r="J5808" t="str">
        <f t="shared" si="181"/>
        <v>Incomplete</v>
      </c>
      <c r="K5808">
        <f>COUNTIFS(RawData[Item], B5808,RawData[Quantity],C5808,RawData[Price Per Unit],D5808,RawData[Total Spent],E5808,RawData[Payment Method],F5808,RawData[Location],G5808,RawData[Transaction Date],H5808)</f>
        <v>1</v>
      </c>
      <c r="L5808"/>
    </row>
    <row r="5809" spans="1:12" x14ac:dyDescent="0.3">
      <c r="A5809" t="s">
        <v>5815</v>
      </c>
      <c r="B5809" t="s">
        <v>10011</v>
      </c>
      <c r="C5809" t="s">
        <v>10013</v>
      </c>
      <c r="D5809">
        <v>5</v>
      </c>
      <c r="E5809">
        <v>15</v>
      </c>
      <c r="F5809" t="s">
        <v>10104</v>
      </c>
      <c r="G5809" t="s">
        <v>10021</v>
      </c>
      <c r="H5809" s="6">
        <v>45083</v>
      </c>
      <c r="I5809">
        <f t="shared" si="180"/>
        <v>2</v>
      </c>
      <c r="J5809" t="str">
        <f t="shared" si="181"/>
        <v>Complete</v>
      </c>
      <c r="K5809">
        <f>COUNTIFS(RawData[Item], B5809,RawData[Quantity],C5809,RawData[Price Per Unit],D5809,RawData[Total Spent],E5809,RawData[Payment Method],F5809,RawData[Location],G5809,RawData[Transaction Date],H5809)</f>
        <v>1</v>
      </c>
      <c r="L5809"/>
    </row>
    <row r="5810" spans="1:12" x14ac:dyDescent="0.3">
      <c r="A5810" t="s">
        <v>5816</v>
      </c>
      <c r="B5810" t="s">
        <v>10016</v>
      </c>
      <c r="C5810" t="s">
        <v>10013</v>
      </c>
      <c r="D5810">
        <v>3</v>
      </c>
      <c r="E5810">
        <v>6</v>
      </c>
      <c r="F5810" t="s">
        <v>10018</v>
      </c>
      <c r="G5810" t="s">
        <v>10069</v>
      </c>
      <c r="H5810" s="6">
        <v>45290</v>
      </c>
      <c r="I5810">
        <f t="shared" si="180"/>
        <v>1</v>
      </c>
      <c r="J5810" t="str">
        <f t="shared" si="181"/>
        <v>Complete</v>
      </c>
      <c r="K5810">
        <f>COUNTIFS(RawData[Item], B5810,RawData[Quantity],C5810,RawData[Price Per Unit],D5810,RawData[Total Spent],E5810,RawData[Payment Method],F5810,RawData[Location],G5810,RawData[Transaction Date],H5810)</f>
        <v>1</v>
      </c>
      <c r="L5810"/>
    </row>
    <row r="5811" spans="1:12" x14ac:dyDescent="0.3">
      <c r="A5811" t="s">
        <v>5817</v>
      </c>
      <c r="B5811" t="s">
        <v>10016</v>
      </c>
      <c r="C5811">
        <v>5</v>
      </c>
      <c r="D5811">
        <v>3</v>
      </c>
      <c r="E5811">
        <v>15</v>
      </c>
      <c r="F5811" t="s">
        <v>10020</v>
      </c>
      <c r="G5811" t="s">
        <v>10102</v>
      </c>
      <c r="H5811" s="6">
        <v>45268</v>
      </c>
      <c r="I5811">
        <f t="shared" si="180"/>
        <v>0</v>
      </c>
      <c r="J5811" t="str">
        <f t="shared" si="181"/>
        <v>Complete</v>
      </c>
      <c r="K5811">
        <f>COUNTIFS(RawData[Item], B5811,RawData[Quantity],C5811,RawData[Price Per Unit],D5811,RawData[Total Spent],E5811,RawData[Payment Method],F5811,RawData[Location],G5811,RawData[Transaction Date],H5811)</f>
        <v>1</v>
      </c>
      <c r="L5811"/>
    </row>
    <row r="5812" spans="1:12" x14ac:dyDescent="0.3">
      <c r="A5812" t="s">
        <v>5818</v>
      </c>
      <c r="B5812" t="s">
        <v>10012</v>
      </c>
      <c r="C5812">
        <v>2</v>
      </c>
      <c r="D5812">
        <v>4</v>
      </c>
      <c r="E5812">
        <v>8</v>
      </c>
      <c r="F5812" t="s">
        <v>10069</v>
      </c>
      <c r="G5812" t="s">
        <v>10102</v>
      </c>
      <c r="H5812" s="6">
        <v>45132</v>
      </c>
      <c r="I5812">
        <f t="shared" si="180"/>
        <v>0</v>
      </c>
      <c r="J5812" t="str">
        <f t="shared" si="181"/>
        <v>Complete</v>
      </c>
      <c r="K5812">
        <f>COUNTIFS(RawData[Item], B5812,RawData[Quantity],C5812,RawData[Price Per Unit],D5812,RawData[Total Spent],E5812,RawData[Payment Method],F5812,RawData[Location],G5812,RawData[Transaction Date],H5812)</f>
        <v>1</v>
      </c>
      <c r="L5812"/>
    </row>
    <row r="5813" spans="1:12" x14ac:dyDescent="0.3">
      <c r="A5813" t="s">
        <v>5819</v>
      </c>
      <c r="B5813" t="s">
        <v>10008</v>
      </c>
      <c r="C5813">
        <v>1</v>
      </c>
      <c r="D5813">
        <v>2</v>
      </c>
      <c r="E5813">
        <v>2</v>
      </c>
      <c r="F5813" t="s">
        <v>10020</v>
      </c>
      <c r="G5813" t="s">
        <v>10069</v>
      </c>
      <c r="H5813" s="6">
        <v>44936</v>
      </c>
      <c r="I5813">
        <f t="shared" si="180"/>
        <v>0</v>
      </c>
      <c r="J5813" t="str">
        <f t="shared" si="181"/>
        <v>Complete</v>
      </c>
      <c r="K5813">
        <f>COUNTIFS(RawData[Item], B5813,RawData[Quantity],C5813,RawData[Price Per Unit],D5813,RawData[Total Spent],E5813,RawData[Payment Method],F5813,RawData[Location],G5813,RawData[Transaction Date],H5813)</f>
        <v>1</v>
      </c>
      <c r="L5813"/>
    </row>
    <row r="5814" spans="1:12" x14ac:dyDescent="0.3">
      <c r="A5814" t="s">
        <v>5820</v>
      </c>
      <c r="B5814" t="s">
        <v>10011</v>
      </c>
      <c r="C5814">
        <v>3</v>
      </c>
      <c r="D5814">
        <v>5</v>
      </c>
      <c r="E5814">
        <v>15</v>
      </c>
      <c r="F5814" t="s">
        <v>10020</v>
      </c>
      <c r="G5814" t="s">
        <v>10102</v>
      </c>
      <c r="H5814" s="6">
        <v>45068</v>
      </c>
      <c r="I5814">
        <f t="shared" si="180"/>
        <v>0</v>
      </c>
      <c r="J5814" t="str">
        <f t="shared" si="181"/>
        <v>Complete</v>
      </c>
      <c r="K5814">
        <f>COUNTIFS(RawData[Item], B5814,RawData[Quantity],C5814,RawData[Price Per Unit],D5814,RawData[Total Spent],E5814,RawData[Payment Method],F5814,RawData[Location],G5814,RawData[Transaction Date],H5814)</f>
        <v>1</v>
      </c>
      <c r="L5814"/>
    </row>
    <row r="5815" spans="1:12" x14ac:dyDescent="0.3">
      <c r="A5815" t="s">
        <v>5821</v>
      </c>
      <c r="B5815" t="s">
        <v>10015</v>
      </c>
      <c r="C5815">
        <v>4</v>
      </c>
      <c r="D5815">
        <v>3</v>
      </c>
      <c r="E5815">
        <v>12</v>
      </c>
      <c r="F5815" t="s">
        <v>10019</v>
      </c>
      <c r="G5815" t="s">
        <v>10021</v>
      </c>
      <c r="H5815" s="6">
        <v>45255</v>
      </c>
      <c r="I5815">
        <f t="shared" si="180"/>
        <v>1</v>
      </c>
      <c r="J5815" t="str">
        <f t="shared" si="181"/>
        <v>Complete</v>
      </c>
      <c r="K5815">
        <f>COUNTIFS(RawData[Item], B5815,RawData[Quantity],C5815,RawData[Price Per Unit],D5815,RawData[Total Spent],E5815,RawData[Payment Method],F5815,RawData[Location],G5815,RawData[Transaction Date],H5815)</f>
        <v>1</v>
      </c>
      <c r="L5815"/>
    </row>
    <row r="5816" spans="1:12" x14ac:dyDescent="0.3">
      <c r="A5816" t="s">
        <v>5822</v>
      </c>
      <c r="B5816" t="s">
        <v>10017</v>
      </c>
      <c r="C5816">
        <v>5</v>
      </c>
      <c r="D5816">
        <v>1.5</v>
      </c>
      <c r="E5816">
        <v>7.5</v>
      </c>
      <c r="F5816" t="s">
        <v>10018</v>
      </c>
      <c r="G5816" t="s">
        <v>10021</v>
      </c>
      <c r="H5816" s="6">
        <v>45045</v>
      </c>
      <c r="I5816">
        <f t="shared" si="180"/>
        <v>0</v>
      </c>
      <c r="J5816" t="str">
        <f t="shared" si="181"/>
        <v>Complete</v>
      </c>
      <c r="K5816">
        <f>COUNTIFS(RawData[Item], B5816,RawData[Quantity],C5816,RawData[Price Per Unit],D5816,RawData[Total Spent],E5816,RawData[Payment Method],F5816,RawData[Location],G5816,RawData[Transaction Date],H5816)</f>
        <v>1</v>
      </c>
      <c r="L5816"/>
    </row>
    <row r="5817" spans="1:12" x14ac:dyDescent="0.3">
      <c r="A5817" t="s">
        <v>5823</v>
      </c>
      <c r="B5817" t="s">
        <v>10010</v>
      </c>
      <c r="C5817">
        <v>5</v>
      </c>
      <c r="D5817">
        <v>1</v>
      </c>
      <c r="E5817">
        <v>5</v>
      </c>
      <c r="F5817" t="s">
        <v>10020</v>
      </c>
      <c r="G5817" t="s">
        <v>10102</v>
      </c>
      <c r="H5817" s="6">
        <v>44988</v>
      </c>
      <c r="I5817">
        <f t="shared" si="180"/>
        <v>0</v>
      </c>
      <c r="J5817" t="str">
        <f t="shared" si="181"/>
        <v>Complete</v>
      </c>
      <c r="K5817">
        <f>COUNTIFS(RawData[Item], B5817,RawData[Quantity],C5817,RawData[Price Per Unit],D5817,RawData[Total Spent],E5817,RawData[Payment Method],F5817,RawData[Location],G5817,RawData[Transaction Date],H5817)</f>
        <v>1</v>
      </c>
      <c r="L5817"/>
    </row>
    <row r="5818" spans="1:12" x14ac:dyDescent="0.3">
      <c r="A5818" t="s">
        <v>5824</v>
      </c>
      <c r="B5818" t="s">
        <v>10014</v>
      </c>
      <c r="C5818">
        <v>2</v>
      </c>
      <c r="D5818">
        <v>4</v>
      </c>
      <c r="E5818">
        <v>8</v>
      </c>
      <c r="F5818" t="s">
        <v>10018</v>
      </c>
      <c r="G5818" t="s">
        <v>10102</v>
      </c>
      <c r="H5818" s="6">
        <v>45011</v>
      </c>
      <c r="I5818">
        <f t="shared" si="180"/>
        <v>0</v>
      </c>
      <c r="J5818" t="str">
        <f t="shared" si="181"/>
        <v>Complete</v>
      </c>
      <c r="K5818">
        <f>COUNTIFS(RawData[Item], B5818,RawData[Quantity],C5818,RawData[Price Per Unit],D5818,RawData[Total Spent],E5818,RawData[Payment Method],F5818,RawData[Location],G5818,RawData[Transaction Date],H5818)</f>
        <v>1</v>
      </c>
      <c r="L5818"/>
    </row>
    <row r="5819" spans="1:12" x14ac:dyDescent="0.3">
      <c r="A5819" t="s">
        <v>5825</v>
      </c>
      <c r="B5819" t="s">
        <v>10015</v>
      </c>
      <c r="C5819">
        <v>5</v>
      </c>
      <c r="D5819">
        <v>3</v>
      </c>
      <c r="E5819">
        <v>15</v>
      </c>
      <c r="F5819" t="s">
        <v>10018</v>
      </c>
      <c r="G5819" t="s">
        <v>10102</v>
      </c>
      <c r="H5819" s="6">
        <v>45169</v>
      </c>
      <c r="I5819">
        <f t="shared" si="180"/>
        <v>1</v>
      </c>
      <c r="J5819" t="str">
        <f t="shared" si="181"/>
        <v>Complete</v>
      </c>
      <c r="K5819">
        <f>COUNTIFS(RawData[Item], B5819,RawData[Quantity],C5819,RawData[Price Per Unit],D5819,RawData[Total Spent],E5819,RawData[Payment Method],F5819,RawData[Location],G5819,RawData[Transaction Date],H5819)</f>
        <v>1</v>
      </c>
      <c r="L5819"/>
    </row>
    <row r="5820" spans="1:12" x14ac:dyDescent="0.3">
      <c r="A5820" t="s">
        <v>5826</v>
      </c>
      <c r="B5820" t="s">
        <v>10010</v>
      </c>
      <c r="C5820">
        <v>1</v>
      </c>
      <c r="D5820">
        <v>1</v>
      </c>
      <c r="E5820">
        <v>1</v>
      </c>
      <c r="F5820" t="s">
        <v>10020</v>
      </c>
      <c r="G5820" t="s">
        <v>10069</v>
      </c>
      <c r="H5820" s="6">
        <v>45102</v>
      </c>
      <c r="I5820">
        <f t="shared" si="180"/>
        <v>0</v>
      </c>
      <c r="J5820" t="str">
        <f t="shared" si="181"/>
        <v>Complete</v>
      </c>
      <c r="K5820">
        <f>COUNTIFS(RawData[Item], B5820,RawData[Quantity],C5820,RawData[Price Per Unit],D5820,RawData[Total Spent],E5820,RawData[Payment Method],F5820,RawData[Location],G5820,RawData[Transaction Date],H5820)</f>
        <v>1</v>
      </c>
      <c r="L5820"/>
    </row>
    <row r="5821" spans="1:12" x14ac:dyDescent="0.3">
      <c r="A5821" t="s">
        <v>5827</v>
      </c>
      <c r="B5821" t="s">
        <v>10011</v>
      </c>
      <c r="C5821">
        <v>5</v>
      </c>
      <c r="D5821">
        <v>5</v>
      </c>
      <c r="E5821">
        <v>25</v>
      </c>
      <c r="F5821" t="s">
        <v>10018</v>
      </c>
      <c r="G5821" t="s">
        <v>10069</v>
      </c>
      <c r="H5821" s="6">
        <v>45270</v>
      </c>
      <c r="I5821">
        <f t="shared" si="180"/>
        <v>0</v>
      </c>
      <c r="J5821" t="str">
        <f t="shared" si="181"/>
        <v>Complete</v>
      </c>
      <c r="K5821">
        <f>COUNTIFS(RawData[Item], B5821,RawData[Quantity],C5821,RawData[Price Per Unit],D5821,RawData[Total Spent],E5821,RawData[Payment Method],F5821,RawData[Location],G5821,RawData[Transaction Date],H5821)</f>
        <v>1</v>
      </c>
      <c r="L5821"/>
    </row>
    <row r="5822" spans="1:12" x14ac:dyDescent="0.3">
      <c r="A5822" t="s">
        <v>5828</v>
      </c>
      <c r="B5822" t="s">
        <v>10013</v>
      </c>
      <c r="C5822">
        <v>4</v>
      </c>
      <c r="D5822">
        <v>3</v>
      </c>
      <c r="E5822">
        <v>12</v>
      </c>
      <c r="F5822" t="s">
        <v>10020</v>
      </c>
      <c r="G5822" t="s">
        <v>10069</v>
      </c>
      <c r="H5822" s="6">
        <v>45139</v>
      </c>
      <c r="I5822">
        <f t="shared" si="180"/>
        <v>1</v>
      </c>
      <c r="J5822" t="str">
        <f t="shared" si="181"/>
        <v>Complete</v>
      </c>
      <c r="K5822">
        <f>COUNTIFS(RawData[Item], B5822,RawData[Quantity],C5822,RawData[Price Per Unit],D5822,RawData[Total Spent],E5822,RawData[Payment Method],F5822,RawData[Location],G5822,RawData[Transaction Date],H5822)</f>
        <v>1</v>
      </c>
      <c r="L5822"/>
    </row>
    <row r="5823" spans="1:12" x14ac:dyDescent="0.3">
      <c r="A5823" t="s">
        <v>5829</v>
      </c>
      <c r="B5823" t="s">
        <v>10012</v>
      </c>
      <c r="C5823">
        <v>2</v>
      </c>
      <c r="D5823">
        <v>4</v>
      </c>
      <c r="E5823">
        <v>8</v>
      </c>
      <c r="F5823" t="s">
        <v>10069</v>
      </c>
      <c r="G5823" t="s">
        <v>10021</v>
      </c>
      <c r="H5823" s="6">
        <v>45054</v>
      </c>
      <c r="I5823">
        <f t="shared" si="180"/>
        <v>0</v>
      </c>
      <c r="J5823" t="str">
        <f t="shared" si="181"/>
        <v>Complete</v>
      </c>
      <c r="K5823">
        <f>COUNTIFS(RawData[Item], B5823,RawData[Quantity],C5823,RawData[Price Per Unit],D5823,RawData[Total Spent],E5823,RawData[Payment Method],F5823,RawData[Location],G5823,RawData[Transaction Date],H5823)</f>
        <v>1</v>
      </c>
      <c r="L5823"/>
    </row>
    <row r="5824" spans="1:12" x14ac:dyDescent="0.3">
      <c r="A5824" t="s">
        <v>5830</v>
      </c>
      <c r="B5824" t="s">
        <v>10069</v>
      </c>
      <c r="C5824">
        <v>5</v>
      </c>
      <c r="D5824">
        <v>3</v>
      </c>
      <c r="E5824">
        <v>15</v>
      </c>
      <c r="F5824" t="s">
        <v>10019</v>
      </c>
      <c r="G5824" t="s">
        <v>10069</v>
      </c>
      <c r="H5824" s="6">
        <v>45202</v>
      </c>
      <c r="I5824">
        <f t="shared" si="180"/>
        <v>0</v>
      </c>
      <c r="J5824" t="str">
        <f t="shared" si="181"/>
        <v>Complete</v>
      </c>
      <c r="K5824">
        <f>COUNTIFS(RawData[Item], B5824,RawData[Quantity],C5824,RawData[Price Per Unit],D5824,RawData[Total Spent],E5824,RawData[Payment Method],F5824,RawData[Location],G5824,RawData[Transaction Date],H5824)</f>
        <v>1</v>
      </c>
      <c r="L5824"/>
    </row>
    <row r="5825" spans="1:12" x14ac:dyDescent="0.3">
      <c r="A5825" t="s">
        <v>5831</v>
      </c>
      <c r="B5825" t="s">
        <v>10016</v>
      </c>
      <c r="C5825">
        <v>5</v>
      </c>
      <c r="D5825">
        <v>3</v>
      </c>
      <c r="E5825">
        <v>15</v>
      </c>
      <c r="F5825" t="s">
        <v>10018</v>
      </c>
      <c r="G5825" t="s">
        <v>10102</v>
      </c>
      <c r="H5825" s="6">
        <v>45187</v>
      </c>
      <c r="I5825">
        <f t="shared" si="180"/>
        <v>0</v>
      </c>
      <c r="J5825" t="str">
        <f t="shared" si="181"/>
        <v>Complete</v>
      </c>
      <c r="K5825">
        <f>COUNTIFS(RawData[Item], B5825,RawData[Quantity],C5825,RawData[Price Per Unit],D5825,RawData[Total Spent],E5825,RawData[Payment Method],F5825,RawData[Location],G5825,RawData[Transaction Date],H5825)</f>
        <v>1</v>
      </c>
      <c r="L5825"/>
    </row>
    <row r="5826" spans="1:12" x14ac:dyDescent="0.3">
      <c r="A5826" t="s">
        <v>5832</v>
      </c>
      <c r="B5826" t="s">
        <v>10013</v>
      </c>
      <c r="C5826">
        <v>2</v>
      </c>
      <c r="D5826">
        <v>4</v>
      </c>
      <c r="E5826">
        <v>8</v>
      </c>
      <c r="F5826" t="s">
        <v>10069</v>
      </c>
      <c r="G5826" t="s">
        <v>10069</v>
      </c>
      <c r="H5826" s="6">
        <v>45062</v>
      </c>
      <c r="I5826">
        <f t="shared" ref="I5826:I5889" si="182">(B5826="Unknown")+(B5826="Error")+(C5826="Unknown")+(C5826="Error")+(D5826="Unknown")+(D5826="Error")+(E5826="Unknown")+(E5826="Error")+(F5826="Unknown")+(F5826="Error")+(G5826="Unknown")+(G5826="Error")+(H5826="No Date")</f>
        <v>1</v>
      </c>
      <c r="J5826" t="str">
        <f t="shared" ref="J5826:J5889" si="183">IF((H5826="No Date"),"Incomplete","Complete")</f>
        <v>Complete</v>
      </c>
      <c r="K5826">
        <f>COUNTIFS(RawData[Item], B5826,RawData[Quantity],C5826,RawData[Price Per Unit],D5826,RawData[Total Spent],E5826,RawData[Payment Method],F5826,RawData[Location],G5826,RawData[Transaction Date],H5826)</f>
        <v>1</v>
      </c>
      <c r="L5826"/>
    </row>
    <row r="5827" spans="1:12" x14ac:dyDescent="0.3">
      <c r="A5827" t="s">
        <v>5833</v>
      </c>
      <c r="B5827" t="s">
        <v>10017</v>
      </c>
      <c r="C5827">
        <v>5</v>
      </c>
      <c r="D5827">
        <v>1.5</v>
      </c>
      <c r="E5827">
        <v>7.5</v>
      </c>
      <c r="F5827" t="s">
        <v>10020</v>
      </c>
      <c r="G5827" t="s">
        <v>10102</v>
      </c>
      <c r="H5827" s="6">
        <v>45033</v>
      </c>
      <c r="I5827">
        <f t="shared" si="182"/>
        <v>0</v>
      </c>
      <c r="J5827" t="str">
        <f t="shared" si="183"/>
        <v>Complete</v>
      </c>
      <c r="K5827">
        <f>COUNTIFS(RawData[Item], B5827,RawData[Quantity],C5827,RawData[Price Per Unit],D5827,RawData[Total Spent],E5827,RawData[Payment Method],F5827,RawData[Location],G5827,RawData[Transaction Date],H5827)</f>
        <v>1</v>
      </c>
      <c r="L5827"/>
    </row>
    <row r="5828" spans="1:12" x14ac:dyDescent="0.3">
      <c r="A5828" t="s">
        <v>5834</v>
      </c>
      <c r="B5828" t="s">
        <v>10010</v>
      </c>
      <c r="C5828">
        <v>5</v>
      </c>
      <c r="D5828">
        <v>1</v>
      </c>
      <c r="E5828">
        <v>5</v>
      </c>
      <c r="F5828" t="s">
        <v>10019</v>
      </c>
      <c r="G5828" t="s">
        <v>10021</v>
      </c>
      <c r="H5828" s="6">
        <v>44993</v>
      </c>
      <c r="I5828">
        <f t="shared" si="182"/>
        <v>0</v>
      </c>
      <c r="J5828" t="str">
        <f t="shared" si="183"/>
        <v>Complete</v>
      </c>
      <c r="K5828">
        <f>COUNTIFS(RawData[Item], B5828,RawData[Quantity],C5828,RawData[Price Per Unit],D5828,RawData[Total Spent],E5828,RawData[Payment Method],F5828,RawData[Location],G5828,RawData[Transaction Date],H5828)</f>
        <v>1</v>
      </c>
      <c r="L5828"/>
    </row>
    <row r="5829" spans="1:12" x14ac:dyDescent="0.3">
      <c r="A5829" t="s">
        <v>5835</v>
      </c>
      <c r="B5829" t="s">
        <v>10017</v>
      </c>
      <c r="C5829">
        <v>3</v>
      </c>
      <c r="D5829">
        <v>1.5</v>
      </c>
      <c r="E5829">
        <v>4.5</v>
      </c>
      <c r="F5829" t="s">
        <v>10019</v>
      </c>
      <c r="G5829" t="s">
        <v>10021</v>
      </c>
      <c r="H5829" s="6">
        <v>45137</v>
      </c>
      <c r="I5829">
        <f t="shared" si="182"/>
        <v>0</v>
      </c>
      <c r="J5829" t="str">
        <f t="shared" si="183"/>
        <v>Complete</v>
      </c>
      <c r="K5829">
        <f>COUNTIFS(RawData[Item], B5829,RawData[Quantity],C5829,RawData[Price Per Unit],D5829,RawData[Total Spent],E5829,RawData[Payment Method],F5829,RawData[Location],G5829,RawData[Transaction Date],H5829)</f>
        <v>1</v>
      </c>
      <c r="L5829"/>
    </row>
    <row r="5830" spans="1:12" x14ac:dyDescent="0.3">
      <c r="A5830" t="s">
        <v>5836</v>
      </c>
      <c r="B5830" t="s">
        <v>10009</v>
      </c>
      <c r="C5830">
        <v>5</v>
      </c>
      <c r="D5830">
        <v>3</v>
      </c>
      <c r="E5830">
        <v>15</v>
      </c>
      <c r="F5830" t="s">
        <v>10069</v>
      </c>
      <c r="G5830" t="s">
        <v>10069</v>
      </c>
      <c r="H5830" s="6">
        <v>45282</v>
      </c>
      <c r="I5830">
        <f t="shared" si="182"/>
        <v>0</v>
      </c>
      <c r="J5830" t="str">
        <f t="shared" si="183"/>
        <v>Complete</v>
      </c>
      <c r="K5830">
        <f>COUNTIFS(RawData[Item], B5830,RawData[Quantity],C5830,RawData[Price Per Unit],D5830,RawData[Total Spent],E5830,RawData[Payment Method],F5830,RawData[Location],G5830,RawData[Transaction Date],H5830)</f>
        <v>1</v>
      </c>
      <c r="L5830"/>
    </row>
    <row r="5831" spans="1:12" x14ac:dyDescent="0.3">
      <c r="A5831" t="s">
        <v>5837</v>
      </c>
      <c r="B5831" t="s">
        <v>10008</v>
      </c>
      <c r="C5831">
        <v>2</v>
      </c>
      <c r="D5831">
        <v>2</v>
      </c>
      <c r="E5831">
        <v>4</v>
      </c>
      <c r="F5831" t="s">
        <v>10069</v>
      </c>
      <c r="G5831" t="s">
        <v>10069</v>
      </c>
      <c r="H5831" s="6">
        <v>44993</v>
      </c>
      <c r="I5831">
        <f t="shared" si="182"/>
        <v>0</v>
      </c>
      <c r="J5831" t="str">
        <f t="shared" si="183"/>
        <v>Complete</v>
      </c>
      <c r="K5831">
        <f>COUNTIFS(RawData[Item], B5831,RawData[Quantity],C5831,RawData[Price Per Unit],D5831,RawData[Total Spent],E5831,RawData[Payment Method],F5831,RawData[Location],G5831,RawData[Transaction Date],H5831)</f>
        <v>1</v>
      </c>
      <c r="L5831"/>
    </row>
    <row r="5832" spans="1:12" x14ac:dyDescent="0.3">
      <c r="A5832" t="s">
        <v>5838</v>
      </c>
      <c r="B5832" t="s">
        <v>10016</v>
      </c>
      <c r="C5832" t="s">
        <v>10015</v>
      </c>
      <c r="D5832">
        <v>3</v>
      </c>
      <c r="E5832">
        <v>12</v>
      </c>
      <c r="F5832" t="s">
        <v>10018</v>
      </c>
      <c r="G5832" t="s">
        <v>10069</v>
      </c>
      <c r="H5832" s="6">
        <v>45282</v>
      </c>
      <c r="I5832">
        <f t="shared" si="182"/>
        <v>1</v>
      </c>
      <c r="J5832" t="str">
        <f t="shared" si="183"/>
        <v>Complete</v>
      </c>
      <c r="K5832">
        <f>COUNTIFS(RawData[Item], B5832,RawData[Quantity],C5832,RawData[Price Per Unit],D5832,RawData[Total Spent],E5832,RawData[Payment Method],F5832,RawData[Location],G5832,RawData[Transaction Date],H5832)</f>
        <v>1</v>
      </c>
      <c r="L5832"/>
    </row>
    <row r="5833" spans="1:12" x14ac:dyDescent="0.3">
      <c r="A5833" t="s">
        <v>5839</v>
      </c>
      <c r="B5833" t="s">
        <v>10011</v>
      </c>
      <c r="C5833">
        <v>5</v>
      </c>
      <c r="D5833">
        <v>5</v>
      </c>
      <c r="E5833">
        <v>25</v>
      </c>
      <c r="F5833" t="s">
        <v>10069</v>
      </c>
      <c r="G5833" t="s">
        <v>10069</v>
      </c>
      <c r="H5833" s="6">
        <v>45176</v>
      </c>
      <c r="I5833">
        <f t="shared" si="182"/>
        <v>0</v>
      </c>
      <c r="J5833" t="str">
        <f t="shared" si="183"/>
        <v>Complete</v>
      </c>
      <c r="K5833">
        <f>COUNTIFS(RawData[Item], B5833,RawData[Quantity],C5833,RawData[Price Per Unit],D5833,RawData[Total Spent],E5833,RawData[Payment Method],F5833,RawData[Location],G5833,RawData[Transaction Date],H5833)</f>
        <v>1</v>
      </c>
      <c r="L5833"/>
    </row>
    <row r="5834" spans="1:12" x14ac:dyDescent="0.3">
      <c r="A5834" t="s">
        <v>5840</v>
      </c>
      <c r="B5834" t="s">
        <v>10010</v>
      </c>
      <c r="C5834">
        <v>2</v>
      </c>
      <c r="D5834">
        <v>1</v>
      </c>
      <c r="E5834">
        <v>2</v>
      </c>
      <c r="F5834" t="s">
        <v>10020</v>
      </c>
      <c r="G5834" t="s">
        <v>10104</v>
      </c>
      <c r="H5834" s="6">
        <v>45138</v>
      </c>
      <c r="I5834">
        <f t="shared" si="182"/>
        <v>1</v>
      </c>
      <c r="J5834" t="str">
        <f t="shared" si="183"/>
        <v>Complete</v>
      </c>
      <c r="K5834">
        <f>COUNTIFS(RawData[Item], B5834,RawData[Quantity],C5834,RawData[Price Per Unit],D5834,RawData[Total Spent],E5834,RawData[Payment Method],F5834,RawData[Location],G5834,RawData[Transaction Date],H5834)</f>
        <v>1</v>
      </c>
      <c r="L5834"/>
    </row>
    <row r="5835" spans="1:12" x14ac:dyDescent="0.3">
      <c r="A5835" t="s">
        <v>5841</v>
      </c>
      <c r="B5835" t="s">
        <v>10016</v>
      </c>
      <c r="C5835">
        <v>3</v>
      </c>
      <c r="D5835">
        <v>3</v>
      </c>
      <c r="E5835" t="s">
        <v>10013</v>
      </c>
      <c r="F5835" t="s">
        <v>10069</v>
      </c>
      <c r="G5835" t="s">
        <v>10102</v>
      </c>
      <c r="H5835" s="6">
        <v>45253</v>
      </c>
      <c r="I5835">
        <f t="shared" si="182"/>
        <v>1</v>
      </c>
      <c r="J5835" t="str">
        <f t="shared" si="183"/>
        <v>Complete</v>
      </c>
      <c r="K5835">
        <f>COUNTIFS(RawData[Item], B5835,RawData[Quantity],C5835,RawData[Price Per Unit],D5835,RawData[Total Spent],E5835,RawData[Payment Method],F5835,RawData[Location],G5835,RawData[Transaction Date],H5835)</f>
        <v>1</v>
      </c>
      <c r="L5835"/>
    </row>
    <row r="5836" spans="1:12" x14ac:dyDescent="0.3">
      <c r="A5836" t="s">
        <v>5842</v>
      </c>
      <c r="B5836" t="s">
        <v>10010</v>
      </c>
      <c r="C5836">
        <v>5</v>
      </c>
      <c r="D5836">
        <v>1</v>
      </c>
      <c r="E5836">
        <v>5</v>
      </c>
      <c r="F5836" t="s">
        <v>10019</v>
      </c>
      <c r="G5836" t="s">
        <v>10021</v>
      </c>
      <c r="H5836" s="6">
        <v>44999</v>
      </c>
      <c r="I5836">
        <f t="shared" si="182"/>
        <v>0</v>
      </c>
      <c r="J5836" t="str">
        <f t="shared" si="183"/>
        <v>Complete</v>
      </c>
      <c r="K5836">
        <f>COUNTIFS(RawData[Item], B5836,RawData[Quantity],C5836,RawData[Price Per Unit],D5836,RawData[Total Spent],E5836,RawData[Payment Method],F5836,RawData[Location],G5836,RawData[Transaction Date],H5836)</f>
        <v>1</v>
      </c>
      <c r="L5836"/>
    </row>
    <row r="5837" spans="1:12" x14ac:dyDescent="0.3">
      <c r="A5837" t="s">
        <v>5843</v>
      </c>
      <c r="B5837" t="s">
        <v>10011</v>
      </c>
      <c r="C5837">
        <v>5</v>
      </c>
      <c r="D5837">
        <v>5</v>
      </c>
      <c r="E5837">
        <v>25</v>
      </c>
      <c r="F5837" t="s">
        <v>10019</v>
      </c>
      <c r="G5837" t="s">
        <v>10102</v>
      </c>
      <c r="H5837" s="6">
        <v>45152</v>
      </c>
      <c r="I5837">
        <f t="shared" si="182"/>
        <v>0</v>
      </c>
      <c r="J5837" t="str">
        <f t="shared" si="183"/>
        <v>Complete</v>
      </c>
      <c r="K5837">
        <f>COUNTIFS(RawData[Item], B5837,RawData[Quantity],C5837,RawData[Price Per Unit],D5837,RawData[Total Spent],E5837,RawData[Payment Method],F5837,RawData[Location],G5837,RawData[Transaction Date],H5837)</f>
        <v>1</v>
      </c>
      <c r="L5837"/>
    </row>
    <row r="5838" spans="1:12" x14ac:dyDescent="0.3">
      <c r="A5838" t="s">
        <v>5844</v>
      </c>
      <c r="B5838" t="s">
        <v>10008</v>
      </c>
      <c r="C5838">
        <v>3</v>
      </c>
      <c r="D5838">
        <v>2</v>
      </c>
      <c r="E5838">
        <v>6</v>
      </c>
      <c r="F5838" t="s">
        <v>10020</v>
      </c>
      <c r="G5838" t="s">
        <v>10021</v>
      </c>
      <c r="H5838" s="6">
        <v>45152</v>
      </c>
      <c r="I5838">
        <f t="shared" si="182"/>
        <v>0</v>
      </c>
      <c r="J5838" t="str">
        <f t="shared" si="183"/>
        <v>Complete</v>
      </c>
      <c r="K5838">
        <f>COUNTIFS(RawData[Item], B5838,RawData[Quantity],C5838,RawData[Price Per Unit],D5838,RawData[Total Spent],E5838,RawData[Payment Method],F5838,RawData[Location],G5838,RawData[Transaction Date],H5838)</f>
        <v>1</v>
      </c>
      <c r="L5838"/>
    </row>
    <row r="5839" spans="1:12" x14ac:dyDescent="0.3">
      <c r="A5839" t="s">
        <v>5845</v>
      </c>
      <c r="B5839" t="s">
        <v>10012</v>
      </c>
      <c r="C5839">
        <v>1</v>
      </c>
      <c r="D5839">
        <v>4</v>
      </c>
      <c r="E5839">
        <v>4</v>
      </c>
      <c r="F5839" t="s">
        <v>10018</v>
      </c>
      <c r="G5839" t="s">
        <v>10021</v>
      </c>
      <c r="H5839" s="6">
        <v>45089</v>
      </c>
      <c r="I5839">
        <f t="shared" si="182"/>
        <v>0</v>
      </c>
      <c r="J5839" t="str">
        <f t="shared" si="183"/>
        <v>Complete</v>
      </c>
      <c r="K5839">
        <f>COUNTIFS(RawData[Item], B5839,RawData[Quantity],C5839,RawData[Price Per Unit],D5839,RawData[Total Spent],E5839,RawData[Payment Method],F5839,RawData[Location],G5839,RawData[Transaction Date],H5839)</f>
        <v>1</v>
      </c>
      <c r="L5839"/>
    </row>
    <row r="5840" spans="1:12" x14ac:dyDescent="0.3">
      <c r="A5840" t="s">
        <v>5846</v>
      </c>
      <c r="B5840" t="s">
        <v>10017</v>
      </c>
      <c r="C5840">
        <v>4</v>
      </c>
      <c r="D5840">
        <v>1.5</v>
      </c>
      <c r="E5840">
        <v>6</v>
      </c>
      <c r="F5840" t="s">
        <v>10020</v>
      </c>
      <c r="G5840" t="s">
        <v>10021</v>
      </c>
      <c r="H5840" s="6">
        <v>45118</v>
      </c>
      <c r="I5840">
        <f t="shared" si="182"/>
        <v>0</v>
      </c>
      <c r="J5840" t="str">
        <f t="shared" si="183"/>
        <v>Complete</v>
      </c>
      <c r="K5840">
        <f>COUNTIFS(RawData[Item], B5840,RawData[Quantity],C5840,RawData[Price Per Unit],D5840,RawData[Total Spent],E5840,RawData[Payment Method],F5840,RawData[Location],G5840,RawData[Transaction Date],H5840)</f>
        <v>1</v>
      </c>
      <c r="L5840"/>
    </row>
    <row r="5841" spans="1:12" x14ac:dyDescent="0.3">
      <c r="A5841" t="s">
        <v>5847</v>
      </c>
      <c r="B5841" t="s">
        <v>10008</v>
      </c>
      <c r="C5841">
        <v>1</v>
      </c>
      <c r="D5841">
        <v>2</v>
      </c>
      <c r="E5841">
        <v>2</v>
      </c>
      <c r="F5841" t="s">
        <v>10019</v>
      </c>
      <c r="G5841" t="s">
        <v>10069</v>
      </c>
      <c r="H5841" s="6" t="s">
        <v>10112</v>
      </c>
      <c r="I5841">
        <f t="shared" si="182"/>
        <v>1</v>
      </c>
      <c r="J5841" t="str">
        <f t="shared" si="183"/>
        <v>Incomplete</v>
      </c>
      <c r="K5841">
        <f>COUNTIFS(RawData[Item], B5841,RawData[Quantity],C5841,RawData[Price Per Unit],D5841,RawData[Total Spent],E5841,RawData[Payment Method],F5841,RawData[Location],G5841,RawData[Transaction Date],H5841)</f>
        <v>1</v>
      </c>
      <c r="L5841"/>
    </row>
    <row r="5842" spans="1:12" x14ac:dyDescent="0.3">
      <c r="A5842" t="s">
        <v>5848</v>
      </c>
      <c r="B5842" t="s">
        <v>10009</v>
      </c>
      <c r="C5842">
        <v>4</v>
      </c>
      <c r="D5842">
        <v>0</v>
      </c>
      <c r="E5842">
        <v>12</v>
      </c>
      <c r="F5842" t="s">
        <v>10019</v>
      </c>
      <c r="G5842" t="s">
        <v>10021</v>
      </c>
      <c r="H5842" s="6">
        <v>45131</v>
      </c>
      <c r="I5842">
        <f t="shared" si="182"/>
        <v>0</v>
      </c>
      <c r="J5842" t="str">
        <f t="shared" si="183"/>
        <v>Complete</v>
      </c>
      <c r="K5842">
        <f>COUNTIFS(RawData[Item], B5842,RawData[Quantity],C5842,RawData[Price Per Unit],D5842,RawData[Total Spent],E5842,RawData[Payment Method],F5842,RawData[Location],G5842,RawData[Transaction Date],H5842)</f>
        <v>1</v>
      </c>
      <c r="L5842"/>
    </row>
    <row r="5843" spans="1:12" x14ac:dyDescent="0.3">
      <c r="A5843" t="s">
        <v>5849</v>
      </c>
      <c r="B5843" t="s">
        <v>10010</v>
      </c>
      <c r="C5843" t="s">
        <v>10013</v>
      </c>
      <c r="D5843">
        <v>1</v>
      </c>
      <c r="E5843" t="s">
        <v>10015</v>
      </c>
      <c r="F5843" t="s">
        <v>10020</v>
      </c>
      <c r="G5843" t="s">
        <v>10102</v>
      </c>
      <c r="H5843" s="6">
        <v>45112</v>
      </c>
      <c r="I5843">
        <f t="shared" si="182"/>
        <v>2</v>
      </c>
      <c r="J5843" t="str">
        <f t="shared" si="183"/>
        <v>Complete</v>
      </c>
      <c r="K5843">
        <f>COUNTIFS(RawData[Item], B5843,RawData[Quantity],C5843,RawData[Price Per Unit],D5843,RawData[Total Spent],E5843,RawData[Payment Method],F5843,RawData[Location],G5843,RawData[Transaction Date],H5843)</f>
        <v>1</v>
      </c>
      <c r="L5843"/>
    </row>
    <row r="5844" spans="1:12" x14ac:dyDescent="0.3">
      <c r="A5844" t="s">
        <v>5850</v>
      </c>
      <c r="B5844" t="s">
        <v>10011</v>
      </c>
      <c r="C5844">
        <v>1</v>
      </c>
      <c r="D5844">
        <v>5</v>
      </c>
      <c r="E5844">
        <v>5</v>
      </c>
      <c r="F5844" t="s">
        <v>10069</v>
      </c>
      <c r="G5844" t="s">
        <v>10069</v>
      </c>
      <c r="H5844" s="6" t="s">
        <v>10112</v>
      </c>
      <c r="I5844">
        <f t="shared" si="182"/>
        <v>1</v>
      </c>
      <c r="J5844" t="str">
        <f t="shared" si="183"/>
        <v>Incomplete</v>
      </c>
      <c r="K5844">
        <f>COUNTIFS(RawData[Item], B5844,RawData[Quantity],C5844,RawData[Price Per Unit],D5844,RawData[Total Spent],E5844,RawData[Payment Method],F5844,RawData[Location],G5844,RawData[Transaction Date],H5844)</f>
        <v>1</v>
      </c>
      <c r="L5844"/>
    </row>
    <row r="5845" spans="1:12" x14ac:dyDescent="0.3">
      <c r="A5845" t="s">
        <v>5851</v>
      </c>
      <c r="B5845" t="s">
        <v>10010</v>
      </c>
      <c r="C5845">
        <v>2</v>
      </c>
      <c r="D5845">
        <v>1</v>
      </c>
      <c r="E5845">
        <v>2</v>
      </c>
      <c r="F5845" t="s">
        <v>10020</v>
      </c>
      <c r="G5845" t="s">
        <v>10021</v>
      </c>
      <c r="H5845" s="6">
        <v>45244</v>
      </c>
      <c r="I5845">
        <f t="shared" si="182"/>
        <v>0</v>
      </c>
      <c r="J5845" t="str">
        <f t="shared" si="183"/>
        <v>Complete</v>
      </c>
      <c r="K5845">
        <f>COUNTIFS(RawData[Item], B5845,RawData[Quantity],C5845,RawData[Price Per Unit],D5845,RawData[Total Spent],E5845,RawData[Payment Method],F5845,RawData[Location],G5845,RawData[Transaction Date],H5845)</f>
        <v>1</v>
      </c>
      <c r="L5845"/>
    </row>
    <row r="5846" spans="1:12" x14ac:dyDescent="0.3">
      <c r="A5846" t="s">
        <v>5852</v>
      </c>
      <c r="B5846" t="s">
        <v>10014</v>
      </c>
      <c r="C5846">
        <v>5</v>
      </c>
      <c r="D5846">
        <v>4</v>
      </c>
      <c r="E5846" t="s">
        <v>10015</v>
      </c>
      <c r="F5846" t="s">
        <v>10019</v>
      </c>
      <c r="G5846" t="s">
        <v>10102</v>
      </c>
      <c r="H5846" s="6">
        <v>45260</v>
      </c>
      <c r="I5846">
        <f t="shared" si="182"/>
        <v>1</v>
      </c>
      <c r="J5846" t="str">
        <f t="shared" si="183"/>
        <v>Complete</v>
      </c>
      <c r="K5846">
        <f>COUNTIFS(RawData[Item], B5846,RawData[Quantity],C5846,RawData[Price Per Unit],D5846,RawData[Total Spent],E5846,RawData[Payment Method],F5846,RawData[Location],G5846,RawData[Transaction Date],H5846)</f>
        <v>1</v>
      </c>
      <c r="L5846"/>
    </row>
    <row r="5847" spans="1:12" x14ac:dyDescent="0.3">
      <c r="A5847" t="s">
        <v>5853</v>
      </c>
      <c r="B5847" t="s">
        <v>10012</v>
      </c>
      <c r="C5847">
        <v>0</v>
      </c>
      <c r="D5847" t="s">
        <v>10013</v>
      </c>
      <c r="E5847">
        <v>8</v>
      </c>
      <c r="F5847" t="s">
        <v>10103</v>
      </c>
      <c r="G5847" t="s">
        <v>10021</v>
      </c>
      <c r="H5847" s="6">
        <v>45157</v>
      </c>
      <c r="I5847">
        <f t="shared" si="182"/>
        <v>2</v>
      </c>
      <c r="J5847" t="str">
        <f t="shared" si="183"/>
        <v>Complete</v>
      </c>
      <c r="K5847">
        <f>COUNTIFS(RawData[Item], B5847,RawData[Quantity],C5847,RawData[Price Per Unit],D5847,RawData[Total Spent],E5847,RawData[Payment Method],F5847,RawData[Location],G5847,RawData[Transaction Date],H5847)</f>
        <v>1</v>
      </c>
      <c r="L5847"/>
    </row>
    <row r="5848" spans="1:12" x14ac:dyDescent="0.3">
      <c r="A5848" t="s">
        <v>5854</v>
      </c>
      <c r="B5848" t="s">
        <v>10016</v>
      </c>
      <c r="C5848">
        <v>1</v>
      </c>
      <c r="D5848">
        <v>3</v>
      </c>
      <c r="E5848">
        <v>3</v>
      </c>
      <c r="F5848" t="s">
        <v>10019</v>
      </c>
      <c r="G5848" t="s">
        <v>10102</v>
      </c>
      <c r="H5848" s="6">
        <v>44999</v>
      </c>
      <c r="I5848">
        <f t="shared" si="182"/>
        <v>0</v>
      </c>
      <c r="J5848" t="str">
        <f t="shared" si="183"/>
        <v>Complete</v>
      </c>
      <c r="K5848">
        <f>COUNTIFS(RawData[Item], B5848,RawData[Quantity],C5848,RawData[Price Per Unit],D5848,RawData[Total Spent],E5848,RawData[Payment Method],F5848,RawData[Location],G5848,RawData[Transaction Date],H5848)</f>
        <v>1</v>
      </c>
      <c r="L5848"/>
    </row>
    <row r="5849" spans="1:12" x14ac:dyDescent="0.3">
      <c r="A5849" t="s">
        <v>5855</v>
      </c>
      <c r="B5849" t="s">
        <v>10016</v>
      </c>
      <c r="C5849">
        <v>3</v>
      </c>
      <c r="D5849">
        <v>3</v>
      </c>
      <c r="E5849">
        <v>9</v>
      </c>
      <c r="F5849" t="s">
        <v>10019</v>
      </c>
      <c r="G5849" t="s">
        <v>10021</v>
      </c>
      <c r="H5849" s="6">
        <v>45201</v>
      </c>
      <c r="I5849">
        <f t="shared" si="182"/>
        <v>0</v>
      </c>
      <c r="J5849" t="str">
        <f t="shared" si="183"/>
        <v>Complete</v>
      </c>
      <c r="K5849">
        <f>COUNTIFS(RawData[Item], B5849,RawData[Quantity],C5849,RawData[Price Per Unit],D5849,RawData[Total Spent],E5849,RawData[Payment Method],F5849,RawData[Location],G5849,RawData[Transaction Date],H5849)</f>
        <v>1</v>
      </c>
      <c r="L5849"/>
    </row>
    <row r="5850" spans="1:12" x14ac:dyDescent="0.3">
      <c r="A5850" t="s">
        <v>5856</v>
      </c>
      <c r="B5850" t="s">
        <v>10014</v>
      </c>
      <c r="C5850">
        <v>4</v>
      </c>
      <c r="D5850">
        <v>4</v>
      </c>
      <c r="E5850">
        <v>16</v>
      </c>
      <c r="F5850" t="s">
        <v>10069</v>
      </c>
      <c r="G5850" t="s">
        <v>10069</v>
      </c>
      <c r="H5850" s="6">
        <v>45166</v>
      </c>
      <c r="I5850">
        <f t="shared" si="182"/>
        <v>0</v>
      </c>
      <c r="J5850" t="str">
        <f t="shared" si="183"/>
        <v>Complete</v>
      </c>
      <c r="K5850">
        <f>COUNTIFS(RawData[Item], B5850,RawData[Quantity],C5850,RawData[Price Per Unit],D5850,RawData[Total Spent],E5850,RawData[Payment Method],F5850,RawData[Location],G5850,RawData[Transaction Date],H5850)</f>
        <v>1</v>
      </c>
      <c r="L5850"/>
    </row>
    <row r="5851" spans="1:12" x14ac:dyDescent="0.3">
      <c r="A5851" t="s">
        <v>5857</v>
      </c>
      <c r="B5851" t="s">
        <v>10015</v>
      </c>
      <c r="C5851">
        <v>5</v>
      </c>
      <c r="D5851">
        <v>1.5</v>
      </c>
      <c r="E5851">
        <v>7.5</v>
      </c>
      <c r="F5851" t="s">
        <v>10020</v>
      </c>
      <c r="G5851" t="s">
        <v>10103</v>
      </c>
      <c r="H5851" s="6">
        <v>45171</v>
      </c>
      <c r="I5851">
        <f t="shared" si="182"/>
        <v>2</v>
      </c>
      <c r="J5851" t="str">
        <f t="shared" si="183"/>
        <v>Complete</v>
      </c>
      <c r="K5851">
        <f>COUNTIFS(RawData[Item], B5851,RawData[Quantity],C5851,RawData[Price Per Unit],D5851,RawData[Total Spent],E5851,RawData[Payment Method],F5851,RawData[Location],G5851,RawData[Transaction Date],H5851)</f>
        <v>1</v>
      </c>
      <c r="L5851"/>
    </row>
    <row r="5852" spans="1:12" x14ac:dyDescent="0.3">
      <c r="A5852" t="s">
        <v>5858</v>
      </c>
      <c r="B5852" t="s">
        <v>10016</v>
      </c>
      <c r="C5852" t="s">
        <v>10013</v>
      </c>
      <c r="D5852">
        <v>3</v>
      </c>
      <c r="E5852">
        <v>6</v>
      </c>
      <c r="F5852" t="s">
        <v>10018</v>
      </c>
      <c r="G5852" t="s">
        <v>10102</v>
      </c>
      <c r="H5852" s="6">
        <v>45245</v>
      </c>
      <c r="I5852">
        <f t="shared" si="182"/>
        <v>1</v>
      </c>
      <c r="J5852" t="str">
        <f t="shared" si="183"/>
        <v>Complete</v>
      </c>
      <c r="K5852">
        <f>COUNTIFS(RawData[Item], B5852,RawData[Quantity],C5852,RawData[Price Per Unit],D5852,RawData[Total Spent],E5852,RawData[Payment Method],F5852,RawData[Location],G5852,RawData[Transaction Date],H5852)</f>
        <v>1</v>
      </c>
      <c r="L5852"/>
    </row>
    <row r="5853" spans="1:12" x14ac:dyDescent="0.3">
      <c r="A5853" t="s">
        <v>5859</v>
      </c>
      <c r="B5853" t="s">
        <v>10069</v>
      </c>
      <c r="C5853">
        <v>1</v>
      </c>
      <c r="D5853">
        <v>3</v>
      </c>
      <c r="E5853">
        <v>3</v>
      </c>
      <c r="F5853" t="s">
        <v>10069</v>
      </c>
      <c r="G5853" t="s">
        <v>10069</v>
      </c>
      <c r="H5853" s="6" t="s">
        <v>10112</v>
      </c>
      <c r="I5853">
        <f t="shared" si="182"/>
        <v>1</v>
      </c>
      <c r="J5853" t="str">
        <f t="shared" si="183"/>
        <v>Incomplete</v>
      </c>
      <c r="K5853">
        <f>COUNTIFS(RawData[Item], B5853,RawData[Quantity],C5853,RawData[Price Per Unit],D5853,RawData[Total Spent],E5853,RawData[Payment Method],F5853,RawData[Location],G5853,RawData[Transaction Date],H5853)</f>
        <v>2</v>
      </c>
      <c r="L5853"/>
    </row>
    <row r="5854" spans="1:12" x14ac:dyDescent="0.3">
      <c r="A5854" t="s">
        <v>5860</v>
      </c>
      <c r="B5854" t="s">
        <v>10012</v>
      </c>
      <c r="C5854">
        <v>4</v>
      </c>
      <c r="D5854">
        <v>4</v>
      </c>
      <c r="E5854">
        <v>16</v>
      </c>
      <c r="F5854" t="s">
        <v>10019</v>
      </c>
      <c r="G5854" t="s">
        <v>10069</v>
      </c>
      <c r="H5854" s="6">
        <v>45016</v>
      </c>
      <c r="I5854">
        <f t="shared" si="182"/>
        <v>0</v>
      </c>
      <c r="J5854" t="str">
        <f t="shared" si="183"/>
        <v>Complete</v>
      </c>
      <c r="K5854">
        <f>COUNTIFS(RawData[Item], B5854,RawData[Quantity],C5854,RawData[Price Per Unit],D5854,RawData[Total Spent],E5854,RawData[Payment Method],F5854,RawData[Location],G5854,RawData[Transaction Date],H5854)</f>
        <v>1</v>
      </c>
      <c r="L5854"/>
    </row>
    <row r="5855" spans="1:12" x14ac:dyDescent="0.3">
      <c r="A5855" t="s">
        <v>5861</v>
      </c>
      <c r="B5855" t="s">
        <v>10016</v>
      </c>
      <c r="C5855">
        <v>1</v>
      </c>
      <c r="D5855">
        <v>3</v>
      </c>
      <c r="E5855">
        <v>3</v>
      </c>
      <c r="F5855" t="s">
        <v>10020</v>
      </c>
      <c r="G5855" t="s">
        <v>10069</v>
      </c>
      <c r="H5855" s="6">
        <v>45011</v>
      </c>
      <c r="I5855">
        <f t="shared" si="182"/>
        <v>0</v>
      </c>
      <c r="J5855" t="str">
        <f t="shared" si="183"/>
        <v>Complete</v>
      </c>
      <c r="K5855">
        <f>COUNTIFS(RawData[Item], B5855,RawData[Quantity],C5855,RawData[Price Per Unit],D5855,RawData[Total Spent],E5855,RawData[Payment Method],F5855,RawData[Location],G5855,RawData[Transaction Date],H5855)</f>
        <v>1</v>
      </c>
      <c r="L5855"/>
    </row>
    <row r="5856" spans="1:12" x14ac:dyDescent="0.3">
      <c r="A5856" t="s">
        <v>5862</v>
      </c>
      <c r="B5856" t="s">
        <v>10016</v>
      </c>
      <c r="C5856">
        <v>5</v>
      </c>
      <c r="D5856">
        <v>3</v>
      </c>
      <c r="E5856">
        <v>15</v>
      </c>
      <c r="F5856" t="s">
        <v>10069</v>
      </c>
      <c r="G5856" t="s">
        <v>10102</v>
      </c>
      <c r="H5856" s="6">
        <v>45256</v>
      </c>
      <c r="I5856">
        <f t="shared" si="182"/>
        <v>0</v>
      </c>
      <c r="J5856" t="str">
        <f t="shared" si="183"/>
        <v>Complete</v>
      </c>
      <c r="K5856">
        <f>COUNTIFS(RawData[Item], B5856,RawData[Quantity],C5856,RawData[Price Per Unit],D5856,RawData[Total Spent],E5856,RawData[Payment Method],F5856,RawData[Location],G5856,RawData[Transaction Date],H5856)</f>
        <v>1</v>
      </c>
      <c r="L5856"/>
    </row>
    <row r="5857" spans="1:12" x14ac:dyDescent="0.3">
      <c r="A5857" t="s">
        <v>5863</v>
      </c>
      <c r="B5857" t="s">
        <v>10009</v>
      </c>
      <c r="C5857">
        <v>3</v>
      </c>
      <c r="D5857">
        <v>3</v>
      </c>
      <c r="E5857">
        <v>9</v>
      </c>
      <c r="F5857" t="s">
        <v>10020</v>
      </c>
      <c r="G5857" t="s">
        <v>10102</v>
      </c>
      <c r="H5857" s="6">
        <v>44946</v>
      </c>
      <c r="I5857">
        <f t="shared" si="182"/>
        <v>0</v>
      </c>
      <c r="J5857" t="str">
        <f t="shared" si="183"/>
        <v>Complete</v>
      </c>
      <c r="K5857">
        <f>COUNTIFS(RawData[Item], B5857,RawData[Quantity],C5857,RawData[Price Per Unit],D5857,RawData[Total Spent],E5857,RawData[Payment Method],F5857,RawData[Location],G5857,RawData[Transaction Date],H5857)</f>
        <v>1</v>
      </c>
      <c r="L5857"/>
    </row>
    <row r="5858" spans="1:12" x14ac:dyDescent="0.3">
      <c r="A5858" t="s">
        <v>5864</v>
      </c>
      <c r="B5858" t="s">
        <v>10010</v>
      </c>
      <c r="C5858">
        <v>4</v>
      </c>
      <c r="D5858">
        <v>1</v>
      </c>
      <c r="E5858">
        <v>4</v>
      </c>
      <c r="F5858" t="s">
        <v>10018</v>
      </c>
      <c r="G5858" t="s">
        <v>10102</v>
      </c>
      <c r="H5858" s="6">
        <v>45130</v>
      </c>
      <c r="I5858">
        <f t="shared" si="182"/>
        <v>0</v>
      </c>
      <c r="J5858" t="str">
        <f t="shared" si="183"/>
        <v>Complete</v>
      </c>
      <c r="K5858">
        <f>COUNTIFS(RawData[Item], B5858,RawData[Quantity],C5858,RawData[Price Per Unit],D5858,RawData[Total Spent],E5858,RawData[Payment Method],F5858,RawData[Location],G5858,RawData[Transaction Date],H5858)</f>
        <v>1</v>
      </c>
      <c r="L5858"/>
    </row>
    <row r="5859" spans="1:12" x14ac:dyDescent="0.3">
      <c r="A5859" t="s">
        <v>5865</v>
      </c>
      <c r="B5859" t="s">
        <v>10014</v>
      </c>
      <c r="C5859">
        <v>1</v>
      </c>
      <c r="D5859">
        <v>4</v>
      </c>
      <c r="E5859">
        <v>4</v>
      </c>
      <c r="F5859" t="s">
        <v>10020</v>
      </c>
      <c r="G5859" t="s">
        <v>10102</v>
      </c>
      <c r="H5859" s="6">
        <v>45197</v>
      </c>
      <c r="I5859">
        <f t="shared" si="182"/>
        <v>0</v>
      </c>
      <c r="J5859" t="str">
        <f t="shared" si="183"/>
        <v>Complete</v>
      </c>
      <c r="K5859">
        <f>COUNTIFS(RawData[Item], B5859,RawData[Quantity],C5859,RawData[Price Per Unit],D5859,RawData[Total Spent],E5859,RawData[Payment Method],F5859,RawData[Location],G5859,RawData[Transaction Date],H5859)</f>
        <v>1</v>
      </c>
      <c r="L5859"/>
    </row>
    <row r="5860" spans="1:12" x14ac:dyDescent="0.3">
      <c r="A5860" t="s">
        <v>5866</v>
      </c>
      <c r="B5860" t="s">
        <v>10013</v>
      </c>
      <c r="C5860">
        <v>2</v>
      </c>
      <c r="D5860">
        <v>5</v>
      </c>
      <c r="E5860">
        <v>10</v>
      </c>
      <c r="F5860" t="s">
        <v>10069</v>
      </c>
      <c r="G5860" t="s">
        <v>10102</v>
      </c>
      <c r="H5860" s="6">
        <v>44982</v>
      </c>
      <c r="I5860">
        <f t="shared" si="182"/>
        <v>1</v>
      </c>
      <c r="J5860" t="str">
        <f t="shared" si="183"/>
        <v>Complete</v>
      </c>
      <c r="K5860">
        <f>COUNTIFS(RawData[Item], B5860,RawData[Quantity],C5860,RawData[Price Per Unit],D5860,RawData[Total Spent],E5860,RawData[Payment Method],F5860,RawData[Location],G5860,RawData[Transaction Date],H5860)</f>
        <v>1</v>
      </c>
      <c r="L5860"/>
    </row>
    <row r="5861" spans="1:12" x14ac:dyDescent="0.3">
      <c r="A5861" t="s">
        <v>5867</v>
      </c>
      <c r="B5861" t="s">
        <v>10013</v>
      </c>
      <c r="C5861">
        <v>2</v>
      </c>
      <c r="D5861">
        <v>1</v>
      </c>
      <c r="E5861">
        <v>2</v>
      </c>
      <c r="F5861" t="s">
        <v>10069</v>
      </c>
      <c r="G5861" t="s">
        <v>10102</v>
      </c>
      <c r="H5861" s="6">
        <v>45088</v>
      </c>
      <c r="I5861">
        <f t="shared" si="182"/>
        <v>1</v>
      </c>
      <c r="J5861" t="str">
        <f t="shared" si="183"/>
        <v>Complete</v>
      </c>
      <c r="K5861">
        <f>COUNTIFS(RawData[Item], B5861,RawData[Quantity],C5861,RawData[Price Per Unit],D5861,RawData[Total Spent],E5861,RawData[Payment Method],F5861,RawData[Location],G5861,RawData[Transaction Date],H5861)</f>
        <v>1</v>
      </c>
      <c r="L5861"/>
    </row>
    <row r="5862" spans="1:12" x14ac:dyDescent="0.3">
      <c r="A5862" t="s">
        <v>5868</v>
      </c>
      <c r="B5862" t="s">
        <v>10016</v>
      </c>
      <c r="C5862">
        <v>1</v>
      </c>
      <c r="D5862">
        <v>3</v>
      </c>
      <c r="E5862">
        <v>3</v>
      </c>
      <c r="F5862" t="s">
        <v>10019</v>
      </c>
      <c r="G5862" t="s">
        <v>10069</v>
      </c>
      <c r="H5862" s="6">
        <v>45200</v>
      </c>
      <c r="I5862">
        <f t="shared" si="182"/>
        <v>0</v>
      </c>
      <c r="J5862" t="str">
        <f t="shared" si="183"/>
        <v>Complete</v>
      </c>
      <c r="K5862">
        <f>COUNTIFS(RawData[Item], B5862,RawData[Quantity],C5862,RawData[Price Per Unit],D5862,RawData[Total Spent],E5862,RawData[Payment Method],F5862,RawData[Location],G5862,RawData[Transaction Date],H5862)</f>
        <v>1</v>
      </c>
      <c r="L5862"/>
    </row>
    <row r="5863" spans="1:12" x14ac:dyDescent="0.3">
      <c r="A5863" t="s">
        <v>5869</v>
      </c>
      <c r="B5863" t="s">
        <v>10010</v>
      </c>
      <c r="C5863">
        <v>4</v>
      </c>
      <c r="D5863">
        <v>1</v>
      </c>
      <c r="E5863">
        <v>4</v>
      </c>
      <c r="F5863" t="s">
        <v>10104</v>
      </c>
      <c r="G5863" t="s">
        <v>10069</v>
      </c>
      <c r="H5863" s="6">
        <v>44961</v>
      </c>
      <c r="I5863">
        <f t="shared" si="182"/>
        <v>1</v>
      </c>
      <c r="J5863" t="str">
        <f t="shared" si="183"/>
        <v>Complete</v>
      </c>
      <c r="K5863">
        <f>COUNTIFS(RawData[Item], B5863,RawData[Quantity],C5863,RawData[Price Per Unit],D5863,RawData[Total Spent],E5863,RawData[Payment Method],F5863,RawData[Location],G5863,RawData[Transaction Date],H5863)</f>
        <v>1</v>
      </c>
      <c r="L5863"/>
    </row>
    <row r="5864" spans="1:12" x14ac:dyDescent="0.3">
      <c r="A5864" t="s">
        <v>5870</v>
      </c>
      <c r="B5864" t="s">
        <v>10012</v>
      </c>
      <c r="C5864">
        <v>2</v>
      </c>
      <c r="D5864" t="s">
        <v>10015</v>
      </c>
      <c r="E5864">
        <v>8</v>
      </c>
      <c r="F5864" t="s">
        <v>10018</v>
      </c>
      <c r="G5864" t="s">
        <v>10103</v>
      </c>
      <c r="H5864" s="6">
        <v>45282</v>
      </c>
      <c r="I5864">
        <f t="shared" si="182"/>
        <v>2</v>
      </c>
      <c r="J5864" t="str">
        <f t="shared" si="183"/>
        <v>Complete</v>
      </c>
      <c r="K5864">
        <f>COUNTIFS(RawData[Item], B5864,RawData[Quantity],C5864,RawData[Price Per Unit],D5864,RawData[Total Spent],E5864,RawData[Payment Method],F5864,RawData[Location],G5864,RawData[Transaction Date],H5864)</f>
        <v>1</v>
      </c>
      <c r="L5864"/>
    </row>
    <row r="5865" spans="1:12" x14ac:dyDescent="0.3">
      <c r="A5865" t="s">
        <v>5871</v>
      </c>
      <c r="B5865" t="s">
        <v>10009</v>
      </c>
      <c r="C5865">
        <v>2</v>
      </c>
      <c r="D5865">
        <v>3</v>
      </c>
      <c r="E5865">
        <v>6</v>
      </c>
      <c r="F5865" t="s">
        <v>10020</v>
      </c>
      <c r="G5865" t="s">
        <v>10069</v>
      </c>
      <c r="H5865" s="6">
        <v>45085</v>
      </c>
      <c r="I5865">
        <f t="shared" si="182"/>
        <v>0</v>
      </c>
      <c r="J5865" t="str">
        <f t="shared" si="183"/>
        <v>Complete</v>
      </c>
      <c r="K5865">
        <f>COUNTIFS(RawData[Item], B5865,RawData[Quantity],C5865,RawData[Price Per Unit],D5865,RawData[Total Spent],E5865,RawData[Payment Method],F5865,RawData[Location],G5865,RawData[Transaction Date],H5865)</f>
        <v>1</v>
      </c>
      <c r="L5865"/>
    </row>
    <row r="5866" spans="1:12" x14ac:dyDescent="0.3">
      <c r="A5866" t="s">
        <v>5872</v>
      </c>
      <c r="B5866" t="s">
        <v>10014</v>
      </c>
      <c r="C5866">
        <v>3</v>
      </c>
      <c r="D5866">
        <v>4</v>
      </c>
      <c r="E5866">
        <v>12</v>
      </c>
      <c r="F5866" t="s">
        <v>10018</v>
      </c>
      <c r="G5866" t="s">
        <v>10069</v>
      </c>
      <c r="H5866" s="6">
        <v>45014</v>
      </c>
      <c r="I5866">
        <f t="shared" si="182"/>
        <v>0</v>
      </c>
      <c r="J5866" t="str">
        <f t="shared" si="183"/>
        <v>Complete</v>
      </c>
      <c r="K5866">
        <f>COUNTIFS(RawData[Item], B5866,RawData[Quantity],C5866,RawData[Price Per Unit],D5866,RawData[Total Spent],E5866,RawData[Payment Method],F5866,RawData[Location],G5866,RawData[Transaction Date],H5866)</f>
        <v>1</v>
      </c>
      <c r="L5866"/>
    </row>
    <row r="5867" spans="1:12" x14ac:dyDescent="0.3">
      <c r="A5867" t="s">
        <v>5873</v>
      </c>
      <c r="B5867" t="s">
        <v>10015</v>
      </c>
      <c r="C5867">
        <v>5</v>
      </c>
      <c r="D5867">
        <v>1.5</v>
      </c>
      <c r="E5867">
        <v>7.5</v>
      </c>
      <c r="F5867" t="s">
        <v>10020</v>
      </c>
      <c r="G5867" t="s">
        <v>10069</v>
      </c>
      <c r="H5867" s="6">
        <v>44949</v>
      </c>
      <c r="I5867">
        <f t="shared" si="182"/>
        <v>1</v>
      </c>
      <c r="J5867" t="str">
        <f t="shared" si="183"/>
        <v>Complete</v>
      </c>
      <c r="K5867">
        <f>COUNTIFS(RawData[Item], B5867,RawData[Quantity],C5867,RawData[Price Per Unit],D5867,RawData[Total Spent],E5867,RawData[Payment Method],F5867,RawData[Location],G5867,RawData[Transaction Date],H5867)</f>
        <v>1</v>
      </c>
      <c r="L5867"/>
    </row>
    <row r="5868" spans="1:12" x14ac:dyDescent="0.3">
      <c r="A5868" t="s">
        <v>5874</v>
      </c>
      <c r="B5868" t="s">
        <v>10009</v>
      </c>
      <c r="C5868">
        <v>1</v>
      </c>
      <c r="D5868">
        <v>3</v>
      </c>
      <c r="E5868" t="s">
        <v>10013</v>
      </c>
      <c r="F5868" t="s">
        <v>10069</v>
      </c>
      <c r="G5868" t="s">
        <v>10021</v>
      </c>
      <c r="H5868" s="6">
        <v>45126</v>
      </c>
      <c r="I5868">
        <f t="shared" si="182"/>
        <v>1</v>
      </c>
      <c r="J5868" t="str">
        <f t="shared" si="183"/>
        <v>Complete</v>
      </c>
      <c r="K5868">
        <f>COUNTIFS(RawData[Item], B5868,RawData[Quantity],C5868,RawData[Price Per Unit],D5868,RawData[Total Spent],E5868,RawData[Payment Method],F5868,RawData[Location],G5868,RawData[Transaction Date],H5868)</f>
        <v>1</v>
      </c>
      <c r="L5868"/>
    </row>
    <row r="5869" spans="1:12" x14ac:dyDescent="0.3">
      <c r="A5869" t="s">
        <v>5875</v>
      </c>
      <c r="B5869" t="s">
        <v>10010</v>
      </c>
      <c r="C5869">
        <v>1</v>
      </c>
      <c r="D5869">
        <v>1</v>
      </c>
      <c r="E5869">
        <v>0</v>
      </c>
      <c r="F5869" t="s">
        <v>10018</v>
      </c>
      <c r="G5869" t="s">
        <v>10102</v>
      </c>
      <c r="H5869" s="6">
        <v>45018</v>
      </c>
      <c r="I5869">
        <f t="shared" si="182"/>
        <v>0</v>
      </c>
      <c r="J5869" t="str">
        <f t="shared" si="183"/>
        <v>Complete</v>
      </c>
      <c r="K5869">
        <f>COUNTIFS(RawData[Item], B5869,RawData[Quantity],C5869,RawData[Price Per Unit],D5869,RawData[Total Spent],E5869,RawData[Payment Method],F5869,RawData[Location],G5869,RawData[Transaction Date],H5869)</f>
        <v>1</v>
      </c>
      <c r="L5869"/>
    </row>
    <row r="5870" spans="1:12" x14ac:dyDescent="0.3">
      <c r="A5870" t="s">
        <v>5876</v>
      </c>
      <c r="B5870" t="s">
        <v>10014</v>
      </c>
      <c r="C5870">
        <v>1</v>
      </c>
      <c r="D5870">
        <v>4</v>
      </c>
      <c r="E5870">
        <v>4</v>
      </c>
      <c r="F5870" t="s">
        <v>10019</v>
      </c>
      <c r="G5870" t="s">
        <v>10069</v>
      </c>
      <c r="H5870" s="6" t="s">
        <v>10112</v>
      </c>
      <c r="I5870">
        <f t="shared" si="182"/>
        <v>1</v>
      </c>
      <c r="J5870" t="str">
        <f t="shared" si="183"/>
        <v>Incomplete</v>
      </c>
      <c r="K5870">
        <f>COUNTIFS(RawData[Item], B5870,RawData[Quantity],C5870,RawData[Price Per Unit],D5870,RawData[Total Spent],E5870,RawData[Payment Method],F5870,RawData[Location],G5870,RawData[Transaction Date],H5870)</f>
        <v>1</v>
      </c>
      <c r="L5870"/>
    </row>
    <row r="5871" spans="1:12" x14ac:dyDescent="0.3">
      <c r="A5871" t="s">
        <v>5877</v>
      </c>
      <c r="B5871" t="s">
        <v>10014</v>
      </c>
      <c r="C5871">
        <v>1</v>
      </c>
      <c r="D5871">
        <v>4</v>
      </c>
      <c r="E5871">
        <v>4</v>
      </c>
      <c r="F5871" t="s">
        <v>10103</v>
      </c>
      <c r="G5871" t="s">
        <v>10102</v>
      </c>
      <c r="H5871" s="6">
        <v>45039</v>
      </c>
      <c r="I5871">
        <f t="shared" si="182"/>
        <v>1</v>
      </c>
      <c r="J5871" t="str">
        <f t="shared" si="183"/>
        <v>Complete</v>
      </c>
      <c r="K5871">
        <f>COUNTIFS(RawData[Item], B5871,RawData[Quantity],C5871,RawData[Price Per Unit],D5871,RawData[Total Spent],E5871,RawData[Payment Method],F5871,RawData[Location],G5871,RawData[Transaction Date],H5871)</f>
        <v>1</v>
      </c>
      <c r="L5871"/>
    </row>
    <row r="5872" spans="1:12" x14ac:dyDescent="0.3">
      <c r="A5872" t="s">
        <v>5878</v>
      </c>
      <c r="B5872" t="s">
        <v>10016</v>
      </c>
      <c r="C5872">
        <v>3</v>
      </c>
      <c r="D5872">
        <v>3</v>
      </c>
      <c r="E5872">
        <v>9</v>
      </c>
      <c r="F5872" t="s">
        <v>10018</v>
      </c>
      <c r="G5872" t="s">
        <v>10021</v>
      </c>
      <c r="H5872" s="6">
        <v>45191</v>
      </c>
      <c r="I5872">
        <f t="shared" si="182"/>
        <v>0</v>
      </c>
      <c r="J5872" t="str">
        <f t="shared" si="183"/>
        <v>Complete</v>
      </c>
      <c r="K5872">
        <f>COUNTIFS(RawData[Item], B5872,RawData[Quantity],C5872,RawData[Price Per Unit],D5872,RawData[Total Spent],E5872,RawData[Payment Method],F5872,RawData[Location],G5872,RawData[Transaction Date],H5872)</f>
        <v>1</v>
      </c>
      <c r="L5872"/>
    </row>
    <row r="5873" spans="1:12" x14ac:dyDescent="0.3">
      <c r="A5873" t="s">
        <v>5879</v>
      </c>
      <c r="B5873" t="s">
        <v>10010</v>
      </c>
      <c r="C5873" t="s">
        <v>10013</v>
      </c>
      <c r="D5873">
        <v>1</v>
      </c>
      <c r="E5873">
        <v>1</v>
      </c>
      <c r="F5873" t="s">
        <v>10019</v>
      </c>
      <c r="G5873" t="s">
        <v>10069</v>
      </c>
      <c r="H5873" s="6">
        <v>45058</v>
      </c>
      <c r="I5873">
        <f t="shared" si="182"/>
        <v>1</v>
      </c>
      <c r="J5873" t="str">
        <f t="shared" si="183"/>
        <v>Complete</v>
      </c>
      <c r="K5873">
        <f>COUNTIFS(RawData[Item], B5873,RawData[Quantity],C5873,RawData[Price Per Unit],D5873,RawData[Total Spent],E5873,RawData[Payment Method],F5873,RawData[Location],G5873,RawData[Transaction Date],H5873)</f>
        <v>1</v>
      </c>
      <c r="L5873"/>
    </row>
    <row r="5874" spans="1:12" x14ac:dyDescent="0.3">
      <c r="A5874" t="s">
        <v>5880</v>
      </c>
      <c r="B5874" t="s">
        <v>10015</v>
      </c>
      <c r="C5874">
        <v>5</v>
      </c>
      <c r="D5874">
        <v>3</v>
      </c>
      <c r="E5874">
        <v>15</v>
      </c>
      <c r="F5874" t="s">
        <v>10020</v>
      </c>
      <c r="G5874" t="s">
        <v>10069</v>
      </c>
      <c r="H5874" s="6">
        <v>45180</v>
      </c>
      <c r="I5874">
        <f t="shared" si="182"/>
        <v>1</v>
      </c>
      <c r="J5874" t="str">
        <f t="shared" si="183"/>
        <v>Complete</v>
      </c>
      <c r="K5874">
        <f>COUNTIFS(RawData[Item], B5874,RawData[Quantity],C5874,RawData[Price Per Unit],D5874,RawData[Total Spent],E5874,RawData[Payment Method],F5874,RawData[Location],G5874,RawData[Transaction Date],H5874)</f>
        <v>1</v>
      </c>
      <c r="L5874"/>
    </row>
    <row r="5875" spans="1:12" x14ac:dyDescent="0.3">
      <c r="A5875" t="s">
        <v>5881</v>
      </c>
      <c r="B5875" t="s">
        <v>10010</v>
      </c>
      <c r="C5875">
        <v>2</v>
      </c>
      <c r="D5875">
        <v>1</v>
      </c>
      <c r="E5875">
        <v>2</v>
      </c>
      <c r="F5875" t="s">
        <v>10069</v>
      </c>
      <c r="G5875" t="s">
        <v>10102</v>
      </c>
      <c r="H5875" s="6">
        <v>45152</v>
      </c>
      <c r="I5875">
        <f t="shared" si="182"/>
        <v>0</v>
      </c>
      <c r="J5875" t="str">
        <f t="shared" si="183"/>
        <v>Complete</v>
      </c>
      <c r="K5875">
        <f>COUNTIFS(RawData[Item], B5875,RawData[Quantity],C5875,RawData[Price Per Unit],D5875,RawData[Total Spent],E5875,RawData[Payment Method],F5875,RawData[Location],G5875,RawData[Transaction Date],H5875)</f>
        <v>1</v>
      </c>
      <c r="L5875"/>
    </row>
    <row r="5876" spans="1:12" x14ac:dyDescent="0.3">
      <c r="A5876" t="s">
        <v>5882</v>
      </c>
      <c r="B5876" t="s">
        <v>10017</v>
      </c>
      <c r="C5876">
        <v>5</v>
      </c>
      <c r="D5876">
        <v>1.5</v>
      </c>
      <c r="E5876">
        <v>7.5</v>
      </c>
      <c r="F5876" t="s">
        <v>10018</v>
      </c>
      <c r="G5876" t="s">
        <v>10021</v>
      </c>
      <c r="H5876" s="6">
        <v>45040</v>
      </c>
      <c r="I5876">
        <f t="shared" si="182"/>
        <v>0</v>
      </c>
      <c r="J5876" t="str">
        <f t="shared" si="183"/>
        <v>Complete</v>
      </c>
      <c r="K5876">
        <f>COUNTIFS(RawData[Item], B5876,RawData[Quantity],C5876,RawData[Price Per Unit],D5876,RawData[Total Spent],E5876,RawData[Payment Method],F5876,RawData[Location],G5876,RawData[Transaction Date],H5876)</f>
        <v>1</v>
      </c>
      <c r="L5876"/>
    </row>
    <row r="5877" spans="1:12" x14ac:dyDescent="0.3">
      <c r="A5877" t="s">
        <v>5883</v>
      </c>
      <c r="B5877" t="s">
        <v>10008</v>
      </c>
      <c r="C5877">
        <v>4</v>
      </c>
      <c r="D5877">
        <v>2</v>
      </c>
      <c r="E5877">
        <v>8</v>
      </c>
      <c r="F5877" t="s">
        <v>10069</v>
      </c>
      <c r="G5877" t="s">
        <v>10069</v>
      </c>
      <c r="H5877" s="6">
        <v>45004</v>
      </c>
      <c r="I5877">
        <f t="shared" si="182"/>
        <v>0</v>
      </c>
      <c r="J5877" t="str">
        <f t="shared" si="183"/>
        <v>Complete</v>
      </c>
      <c r="K5877">
        <f>COUNTIFS(RawData[Item], B5877,RawData[Quantity],C5877,RawData[Price Per Unit],D5877,RawData[Total Spent],E5877,RawData[Payment Method],F5877,RawData[Location],G5877,RawData[Transaction Date],H5877)</f>
        <v>1</v>
      </c>
      <c r="L5877"/>
    </row>
    <row r="5878" spans="1:12" x14ac:dyDescent="0.3">
      <c r="A5878" t="s">
        <v>5884</v>
      </c>
      <c r="B5878" t="s">
        <v>10017</v>
      </c>
      <c r="C5878">
        <v>2</v>
      </c>
      <c r="D5878">
        <v>1.5</v>
      </c>
      <c r="E5878">
        <v>3</v>
      </c>
      <c r="F5878" t="s">
        <v>10020</v>
      </c>
      <c r="G5878" t="s">
        <v>10021</v>
      </c>
      <c r="H5878" s="6">
        <v>45098</v>
      </c>
      <c r="I5878">
        <f t="shared" si="182"/>
        <v>0</v>
      </c>
      <c r="J5878" t="str">
        <f t="shared" si="183"/>
        <v>Complete</v>
      </c>
      <c r="K5878">
        <f>COUNTIFS(RawData[Item], B5878,RawData[Quantity],C5878,RawData[Price Per Unit],D5878,RawData[Total Spent],E5878,RawData[Payment Method],F5878,RawData[Location],G5878,RawData[Transaction Date],H5878)</f>
        <v>1</v>
      </c>
      <c r="L5878"/>
    </row>
    <row r="5879" spans="1:12" x14ac:dyDescent="0.3">
      <c r="A5879" t="s">
        <v>5885</v>
      </c>
      <c r="B5879" t="s">
        <v>10009</v>
      </c>
      <c r="C5879">
        <v>5</v>
      </c>
      <c r="D5879">
        <v>3</v>
      </c>
      <c r="E5879">
        <v>15</v>
      </c>
      <c r="F5879" t="s">
        <v>10069</v>
      </c>
      <c r="G5879" t="s">
        <v>10021</v>
      </c>
      <c r="H5879" s="6">
        <v>45092</v>
      </c>
      <c r="I5879">
        <f t="shared" si="182"/>
        <v>0</v>
      </c>
      <c r="J5879" t="str">
        <f t="shared" si="183"/>
        <v>Complete</v>
      </c>
      <c r="K5879">
        <f>COUNTIFS(RawData[Item], B5879,RawData[Quantity],C5879,RawData[Price Per Unit],D5879,RawData[Total Spent],E5879,RawData[Payment Method],F5879,RawData[Location],G5879,RawData[Transaction Date],H5879)</f>
        <v>1</v>
      </c>
      <c r="L5879"/>
    </row>
    <row r="5880" spans="1:12" x14ac:dyDescent="0.3">
      <c r="A5880" t="s">
        <v>5886</v>
      </c>
      <c r="B5880" t="s">
        <v>10010</v>
      </c>
      <c r="C5880">
        <v>1</v>
      </c>
      <c r="D5880">
        <v>1</v>
      </c>
      <c r="E5880">
        <v>1</v>
      </c>
      <c r="F5880" t="s">
        <v>10069</v>
      </c>
      <c r="G5880" t="s">
        <v>10102</v>
      </c>
      <c r="H5880" s="6">
        <v>44960</v>
      </c>
      <c r="I5880">
        <f t="shared" si="182"/>
        <v>0</v>
      </c>
      <c r="J5880" t="str">
        <f t="shared" si="183"/>
        <v>Complete</v>
      </c>
      <c r="K5880">
        <f>COUNTIFS(RawData[Item], B5880,RawData[Quantity],C5880,RawData[Price Per Unit],D5880,RawData[Total Spent],E5880,RawData[Payment Method],F5880,RawData[Location],G5880,RawData[Transaction Date],H5880)</f>
        <v>1</v>
      </c>
      <c r="L5880"/>
    </row>
    <row r="5881" spans="1:12" x14ac:dyDescent="0.3">
      <c r="A5881" t="s">
        <v>5887</v>
      </c>
      <c r="B5881" t="s">
        <v>10012</v>
      </c>
      <c r="C5881" t="s">
        <v>10013</v>
      </c>
      <c r="D5881">
        <v>4</v>
      </c>
      <c r="E5881">
        <v>4</v>
      </c>
      <c r="F5881" t="s">
        <v>10020</v>
      </c>
      <c r="G5881" t="s">
        <v>10021</v>
      </c>
      <c r="H5881" s="6">
        <v>45045</v>
      </c>
      <c r="I5881">
        <f t="shared" si="182"/>
        <v>1</v>
      </c>
      <c r="J5881" t="str">
        <f t="shared" si="183"/>
        <v>Complete</v>
      </c>
      <c r="K5881">
        <f>COUNTIFS(RawData[Item], B5881,RawData[Quantity],C5881,RawData[Price Per Unit],D5881,RawData[Total Spent],E5881,RawData[Payment Method],F5881,RawData[Location],G5881,RawData[Transaction Date],H5881)</f>
        <v>1</v>
      </c>
      <c r="L5881"/>
    </row>
    <row r="5882" spans="1:12" x14ac:dyDescent="0.3">
      <c r="A5882" t="s">
        <v>5888</v>
      </c>
      <c r="B5882" t="s">
        <v>10016</v>
      </c>
      <c r="C5882">
        <v>3</v>
      </c>
      <c r="D5882">
        <v>3</v>
      </c>
      <c r="E5882">
        <v>9</v>
      </c>
      <c r="F5882" t="s">
        <v>10019</v>
      </c>
      <c r="G5882" t="s">
        <v>10069</v>
      </c>
      <c r="H5882" s="6">
        <v>45070</v>
      </c>
      <c r="I5882">
        <f t="shared" si="182"/>
        <v>0</v>
      </c>
      <c r="J5882" t="str">
        <f t="shared" si="183"/>
        <v>Complete</v>
      </c>
      <c r="K5882">
        <f>COUNTIFS(RawData[Item], B5882,RawData[Quantity],C5882,RawData[Price Per Unit],D5882,RawData[Total Spent],E5882,RawData[Payment Method],F5882,RawData[Location],G5882,RawData[Transaction Date],H5882)</f>
        <v>1</v>
      </c>
      <c r="L5882"/>
    </row>
    <row r="5883" spans="1:12" x14ac:dyDescent="0.3">
      <c r="A5883" t="s">
        <v>5889</v>
      </c>
      <c r="B5883" t="s">
        <v>10069</v>
      </c>
      <c r="C5883">
        <v>4</v>
      </c>
      <c r="D5883">
        <v>5</v>
      </c>
      <c r="E5883">
        <v>20</v>
      </c>
      <c r="F5883" t="s">
        <v>10018</v>
      </c>
      <c r="G5883" t="s">
        <v>10021</v>
      </c>
      <c r="H5883" s="6" t="s">
        <v>10112</v>
      </c>
      <c r="I5883">
        <f t="shared" si="182"/>
        <v>1</v>
      </c>
      <c r="J5883" t="str">
        <f t="shared" si="183"/>
        <v>Incomplete</v>
      </c>
      <c r="K5883">
        <f>COUNTIFS(RawData[Item], B5883,RawData[Quantity],C5883,RawData[Price Per Unit],D5883,RawData[Total Spent],E5883,RawData[Payment Method],F5883,RawData[Location],G5883,RawData[Transaction Date],H5883)</f>
        <v>1</v>
      </c>
      <c r="L5883"/>
    </row>
    <row r="5884" spans="1:12" x14ac:dyDescent="0.3">
      <c r="A5884" t="s">
        <v>5890</v>
      </c>
      <c r="B5884" t="s">
        <v>10014</v>
      </c>
      <c r="C5884">
        <v>3</v>
      </c>
      <c r="D5884">
        <v>4</v>
      </c>
      <c r="E5884">
        <v>12</v>
      </c>
      <c r="F5884" t="s">
        <v>10018</v>
      </c>
      <c r="G5884" t="s">
        <v>10021</v>
      </c>
      <c r="H5884" s="6">
        <v>45276</v>
      </c>
      <c r="I5884">
        <f t="shared" si="182"/>
        <v>0</v>
      </c>
      <c r="J5884" t="str">
        <f t="shared" si="183"/>
        <v>Complete</v>
      </c>
      <c r="K5884">
        <f>COUNTIFS(RawData[Item], B5884,RawData[Quantity],C5884,RawData[Price Per Unit],D5884,RawData[Total Spent],E5884,RawData[Payment Method],F5884,RawData[Location],G5884,RawData[Transaction Date],H5884)</f>
        <v>1</v>
      </c>
      <c r="L5884"/>
    </row>
    <row r="5885" spans="1:12" x14ac:dyDescent="0.3">
      <c r="A5885" t="s">
        <v>5891</v>
      </c>
      <c r="B5885" t="s">
        <v>10016</v>
      </c>
      <c r="C5885">
        <v>1</v>
      </c>
      <c r="D5885">
        <v>3</v>
      </c>
      <c r="E5885">
        <v>3</v>
      </c>
      <c r="F5885" t="s">
        <v>10020</v>
      </c>
      <c r="G5885" t="s">
        <v>10069</v>
      </c>
      <c r="H5885" s="6">
        <v>45229</v>
      </c>
      <c r="I5885">
        <f t="shared" si="182"/>
        <v>0</v>
      </c>
      <c r="J5885" t="str">
        <f t="shared" si="183"/>
        <v>Complete</v>
      </c>
      <c r="K5885">
        <f>COUNTIFS(RawData[Item], B5885,RawData[Quantity],C5885,RawData[Price Per Unit],D5885,RawData[Total Spent],E5885,RawData[Payment Method],F5885,RawData[Location],G5885,RawData[Transaction Date],H5885)</f>
        <v>1</v>
      </c>
      <c r="L5885"/>
    </row>
    <row r="5886" spans="1:12" x14ac:dyDescent="0.3">
      <c r="A5886" t="s">
        <v>5892</v>
      </c>
      <c r="B5886" t="s">
        <v>10016</v>
      </c>
      <c r="C5886">
        <v>2</v>
      </c>
      <c r="D5886">
        <v>3</v>
      </c>
      <c r="E5886">
        <v>6</v>
      </c>
      <c r="F5886" t="s">
        <v>10104</v>
      </c>
      <c r="G5886" t="s">
        <v>10069</v>
      </c>
      <c r="H5886" s="6">
        <v>45207</v>
      </c>
      <c r="I5886">
        <f t="shared" si="182"/>
        <v>1</v>
      </c>
      <c r="J5886" t="str">
        <f t="shared" si="183"/>
        <v>Complete</v>
      </c>
      <c r="K5886">
        <f>COUNTIFS(RawData[Item], B5886,RawData[Quantity],C5886,RawData[Price Per Unit],D5886,RawData[Total Spent],E5886,RawData[Payment Method],F5886,RawData[Location],G5886,RawData[Transaction Date],H5886)</f>
        <v>1</v>
      </c>
      <c r="L5886"/>
    </row>
    <row r="5887" spans="1:12" x14ac:dyDescent="0.3">
      <c r="A5887" t="s">
        <v>5893</v>
      </c>
      <c r="B5887" t="s">
        <v>10009</v>
      </c>
      <c r="C5887">
        <v>1</v>
      </c>
      <c r="D5887">
        <v>0</v>
      </c>
      <c r="E5887">
        <v>3</v>
      </c>
      <c r="F5887" t="s">
        <v>10018</v>
      </c>
      <c r="G5887" t="s">
        <v>10069</v>
      </c>
      <c r="H5887" s="6">
        <v>45212</v>
      </c>
      <c r="I5887">
        <f t="shared" si="182"/>
        <v>0</v>
      </c>
      <c r="J5887" t="str">
        <f t="shared" si="183"/>
        <v>Complete</v>
      </c>
      <c r="K5887">
        <f>COUNTIFS(RawData[Item], B5887,RawData[Quantity],C5887,RawData[Price Per Unit],D5887,RawData[Total Spent],E5887,RawData[Payment Method],F5887,RawData[Location],G5887,RawData[Transaction Date],H5887)</f>
        <v>1</v>
      </c>
      <c r="L5887"/>
    </row>
    <row r="5888" spans="1:12" x14ac:dyDescent="0.3">
      <c r="A5888" t="s">
        <v>5894</v>
      </c>
      <c r="B5888" t="s">
        <v>10016</v>
      </c>
      <c r="C5888">
        <v>2</v>
      </c>
      <c r="D5888" t="s">
        <v>10013</v>
      </c>
      <c r="E5888">
        <v>6</v>
      </c>
      <c r="F5888" t="s">
        <v>10018</v>
      </c>
      <c r="G5888" t="s">
        <v>10069</v>
      </c>
      <c r="H5888" s="6">
        <v>44995</v>
      </c>
      <c r="I5888">
        <f t="shared" si="182"/>
        <v>1</v>
      </c>
      <c r="J5888" t="str">
        <f t="shared" si="183"/>
        <v>Complete</v>
      </c>
      <c r="K5888">
        <f>COUNTIFS(RawData[Item], B5888,RawData[Quantity],C5888,RawData[Price Per Unit],D5888,RawData[Total Spent],E5888,RawData[Payment Method],F5888,RawData[Location],G5888,RawData[Transaction Date],H5888)</f>
        <v>1</v>
      </c>
      <c r="L5888"/>
    </row>
    <row r="5889" spans="1:12" x14ac:dyDescent="0.3">
      <c r="A5889" t="s">
        <v>5895</v>
      </c>
      <c r="B5889" t="s">
        <v>10016</v>
      </c>
      <c r="C5889">
        <v>5</v>
      </c>
      <c r="D5889">
        <v>3</v>
      </c>
      <c r="E5889">
        <v>15</v>
      </c>
      <c r="F5889" t="s">
        <v>10069</v>
      </c>
      <c r="G5889" t="s">
        <v>10102</v>
      </c>
      <c r="H5889" s="6">
        <v>44956</v>
      </c>
      <c r="I5889">
        <f t="shared" si="182"/>
        <v>0</v>
      </c>
      <c r="J5889" t="str">
        <f t="shared" si="183"/>
        <v>Complete</v>
      </c>
      <c r="K5889">
        <f>COUNTIFS(RawData[Item], B5889,RawData[Quantity],C5889,RawData[Price Per Unit],D5889,RawData[Total Spent],E5889,RawData[Payment Method],F5889,RawData[Location],G5889,RawData[Transaction Date],H5889)</f>
        <v>1</v>
      </c>
      <c r="L5889"/>
    </row>
    <row r="5890" spans="1:12" x14ac:dyDescent="0.3">
      <c r="A5890" t="s">
        <v>5896</v>
      </c>
      <c r="B5890" t="s">
        <v>10017</v>
      </c>
      <c r="C5890">
        <v>2</v>
      </c>
      <c r="D5890">
        <v>1.5</v>
      </c>
      <c r="E5890">
        <v>3</v>
      </c>
      <c r="F5890" t="s">
        <v>10020</v>
      </c>
      <c r="G5890" t="s">
        <v>10104</v>
      </c>
      <c r="H5890" s="6">
        <v>45117</v>
      </c>
      <c r="I5890">
        <f t="shared" ref="I5890:I5953" si="184">(B5890="Unknown")+(B5890="Error")+(C5890="Unknown")+(C5890="Error")+(D5890="Unknown")+(D5890="Error")+(E5890="Unknown")+(E5890="Error")+(F5890="Unknown")+(F5890="Error")+(G5890="Unknown")+(G5890="Error")+(H5890="No Date")</f>
        <v>1</v>
      </c>
      <c r="J5890" t="str">
        <f t="shared" ref="J5890:J5953" si="185">IF((H5890="No Date"),"Incomplete","Complete")</f>
        <v>Complete</v>
      </c>
      <c r="K5890">
        <f>COUNTIFS(RawData[Item], B5890,RawData[Quantity],C5890,RawData[Price Per Unit],D5890,RawData[Total Spent],E5890,RawData[Payment Method],F5890,RawData[Location],G5890,RawData[Transaction Date],H5890)</f>
        <v>1</v>
      </c>
      <c r="L5890"/>
    </row>
    <row r="5891" spans="1:12" x14ac:dyDescent="0.3">
      <c r="A5891" t="s">
        <v>5897</v>
      </c>
      <c r="B5891" t="s">
        <v>10011</v>
      </c>
      <c r="C5891">
        <v>2</v>
      </c>
      <c r="D5891">
        <v>5</v>
      </c>
      <c r="E5891">
        <v>10</v>
      </c>
      <c r="F5891" t="s">
        <v>10019</v>
      </c>
      <c r="G5891" t="s">
        <v>10069</v>
      </c>
      <c r="H5891" s="6">
        <v>45211</v>
      </c>
      <c r="I5891">
        <f t="shared" si="184"/>
        <v>0</v>
      </c>
      <c r="J5891" t="str">
        <f t="shared" si="185"/>
        <v>Complete</v>
      </c>
      <c r="K5891">
        <f>COUNTIFS(RawData[Item], B5891,RawData[Quantity],C5891,RawData[Price Per Unit],D5891,RawData[Total Spent],E5891,RawData[Payment Method],F5891,RawData[Location],G5891,RawData[Transaction Date],H5891)</f>
        <v>1</v>
      </c>
      <c r="L5891"/>
    </row>
    <row r="5892" spans="1:12" x14ac:dyDescent="0.3">
      <c r="A5892" t="s">
        <v>5898</v>
      </c>
      <c r="B5892" t="s">
        <v>10012</v>
      </c>
      <c r="C5892">
        <v>2</v>
      </c>
      <c r="D5892">
        <v>4</v>
      </c>
      <c r="E5892">
        <v>8</v>
      </c>
      <c r="F5892" t="s">
        <v>10019</v>
      </c>
      <c r="G5892" t="s">
        <v>10069</v>
      </c>
      <c r="H5892" s="6">
        <v>45164</v>
      </c>
      <c r="I5892">
        <f t="shared" si="184"/>
        <v>0</v>
      </c>
      <c r="J5892" t="str">
        <f t="shared" si="185"/>
        <v>Complete</v>
      </c>
      <c r="K5892">
        <f>COUNTIFS(RawData[Item], B5892,RawData[Quantity],C5892,RawData[Price Per Unit],D5892,RawData[Total Spent],E5892,RawData[Payment Method],F5892,RawData[Location],G5892,RawData[Transaction Date],H5892)</f>
        <v>1</v>
      </c>
      <c r="L5892"/>
    </row>
    <row r="5893" spans="1:12" x14ac:dyDescent="0.3">
      <c r="A5893" t="s">
        <v>5899</v>
      </c>
      <c r="B5893" t="s">
        <v>10069</v>
      </c>
      <c r="C5893">
        <v>3</v>
      </c>
      <c r="D5893" t="s">
        <v>10013</v>
      </c>
      <c r="E5893">
        <v>6</v>
      </c>
      <c r="F5893" t="s">
        <v>10018</v>
      </c>
      <c r="G5893" t="s">
        <v>10021</v>
      </c>
      <c r="H5893" s="6">
        <v>45238</v>
      </c>
      <c r="I5893">
        <f t="shared" si="184"/>
        <v>1</v>
      </c>
      <c r="J5893" t="str">
        <f t="shared" si="185"/>
        <v>Complete</v>
      </c>
      <c r="K5893">
        <f>COUNTIFS(RawData[Item], B5893,RawData[Quantity],C5893,RawData[Price Per Unit],D5893,RawData[Total Spent],E5893,RawData[Payment Method],F5893,RawData[Location],G5893,RawData[Transaction Date],H5893)</f>
        <v>1</v>
      </c>
      <c r="L5893"/>
    </row>
    <row r="5894" spans="1:12" x14ac:dyDescent="0.3">
      <c r="A5894" t="s">
        <v>5900</v>
      </c>
      <c r="B5894" t="s">
        <v>10069</v>
      </c>
      <c r="C5894">
        <v>5</v>
      </c>
      <c r="D5894">
        <v>4</v>
      </c>
      <c r="E5894">
        <v>20</v>
      </c>
      <c r="F5894" t="s">
        <v>10020</v>
      </c>
      <c r="G5894" t="s">
        <v>10102</v>
      </c>
      <c r="H5894" s="6">
        <v>45291</v>
      </c>
      <c r="I5894">
        <f t="shared" si="184"/>
        <v>0</v>
      </c>
      <c r="J5894" t="str">
        <f t="shared" si="185"/>
        <v>Complete</v>
      </c>
      <c r="K5894">
        <f>COUNTIFS(RawData[Item], B5894,RawData[Quantity],C5894,RawData[Price Per Unit],D5894,RawData[Total Spent],E5894,RawData[Payment Method],F5894,RawData[Location],G5894,RawData[Transaction Date],H5894)</f>
        <v>1</v>
      </c>
      <c r="L5894"/>
    </row>
    <row r="5895" spans="1:12" x14ac:dyDescent="0.3">
      <c r="A5895" t="s">
        <v>5901</v>
      </c>
      <c r="B5895" t="s">
        <v>10008</v>
      </c>
      <c r="C5895">
        <v>4</v>
      </c>
      <c r="D5895">
        <v>2</v>
      </c>
      <c r="E5895" t="s">
        <v>10013</v>
      </c>
      <c r="F5895" t="s">
        <v>10069</v>
      </c>
      <c r="G5895" t="s">
        <v>10102</v>
      </c>
      <c r="H5895" s="6">
        <v>45046</v>
      </c>
      <c r="I5895">
        <f t="shared" si="184"/>
        <v>1</v>
      </c>
      <c r="J5895" t="str">
        <f t="shared" si="185"/>
        <v>Complete</v>
      </c>
      <c r="K5895">
        <f>COUNTIFS(RawData[Item], B5895,RawData[Quantity],C5895,RawData[Price Per Unit],D5895,RawData[Total Spent],E5895,RawData[Payment Method],F5895,RawData[Location],G5895,RawData[Transaction Date],H5895)</f>
        <v>1</v>
      </c>
      <c r="L5895"/>
    </row>
    <row r="5896" spans="1:12" x14ac:dyDescent="0.3">
      <c r="A5896" t="s">
        <v>5902</v>
      </c>
      <c r="B5896" t="s">
        <v>10009</v>
      </c>
      <c r="C5896">
        <v>2</v>
      </c>
      <c r="D5896">
        <v>3</v>
      </c>
      <c r="E5896">
        <v>6</v>
      </c>
      <c r="F5896" t="s">
        <v>10104</v>
      </c>
      <c r="G5896" t="s">
        <v>10069</v>
      </c>
      <c r="H5896" s="6">
        <v>45069</v>
      </c>
      <c r="I5896">
        <f t="shared" si="184"/>
        <v>1</v>
      </c>
      <c r="J5896" t="str">
        <f t="shared" si="185"/>
        <v>Complete</v>
      </c>
      <c r="K5896">
        <f>COUNTIFS(RawData[Item], B5896,RawData[Quantity],C5896,RawData[Price Per Unit],D5896,RawData[Total Spent],E5896,RawData[Payment Method],F5896,RawData[Location],G5896,RawData[Transaction Date],H5896)</f>
        <v>1</v>
      </c>
      <c r="L5896"/>
    </row>
    <row r="5897" spans="1:12" x14ac:dyDescent="0.3">
      <c r="A5897" t="s">
        <v>5903</v>
      </c>
      <c r="B5897" t="s">
        <v>10013</v>
      </c>
      <c r="C5897">
        <v>3</v>
      </c>
      <c r="D5897">
        <v>3</v>
      </c>
      <c r="E5897">
        <v>9</v>
      </c>
      <c r="F5897" t="s">
        <v>10020</v>
      </c>
      <c r="G5897" t="s">
        <v>10069</v>
      </c>
      <c r="H5897" s="6">
        <v>45282</v>
      </c>
      <c r="I5897">
        <f t="shared" si="184"/>
        <v>1</v>
      </c>
      <c r="J5897" t="str">
        <f t="shared" si="185"/>
        <v>Complete</v>
      </c>
      <c r="K5897">
        <f>COUNTIFS(RawData[Item], B5897,RawData[Quantity],C5897,RawData[Price Per Unit],D5897,RawData[Total Spent],E5897,RawData[Payment Method],F5897,RawData[Location],G5897,RawData[Transaction Date],H5897)</f>
        <v>1</v>
      </c>
      <c r="L5897"/>
    </row>
    <row r="5898" spans="1:12" x14ac:dyDescent="0.3">
      <c r="A5898" t="s">
        <v>5904</v>
      </c>
      <c r="B5898" t="s">
        <v>10010</v>
      </c>
      <c r="C5898" t="s">
        <v>10013</v>
      </c>
      <c r="D5898">
        <v>1</v>
      </c>
      <c r="E5898">
        <v>2</v>
      </c>
      <c r="F5898" t="s">
        <v>10018</v>
      </c>
      <c r="G5898" t="s">
        <v>10069</v>
      </c>
      <c r="H5898" s="6">
        <v>45235</v>
      </c>
      <c r="I5898">
        <f t="shared" si="184"/>
        <v>1</v>
      </c>
      <c r="J5898" t="str">
        <f t="shared" si="185"/>
        <v>Complete</v>
      </c>
      <c r="K5898">
        <f>COUNTIFS(RawData[Item], B5898,RawData[Quantity],C5898,RawData[Price Per Unit],D5898,RawData[Total Spent],E5898,RawData[Payment Method],F5898,RawData[Location],G5898,RawData[Transaction Date],H5898)</f>
        <v>1</v>
      </c>
      <c r="L5898"/>
    </row>
    <row r="5899" spans="1:12" x14ac:dyDescent="0.3">
      <c r="A5899" t="s">
        <v>5905</v>
      </c>
      <c r="B5899" t="s">
        <v>10017</v>
      </c>
      <c r="C5899">
        <v>3</v>
      </c>
      <c r="D5899">
        <v>1.5</v>
      </c>
      <c r="E5899">
        <v>4.5</v>
      </c>
      <c r="F5899" t="s">
        <v>10020</v>
      </c>
      <c r="G5899" t="s">
        <v>10104</v>
      </c>
      <c r="H5899" s="6">
        <v>45183</v>
      </c>
      <c r="I5899">
        <f t="shared" si="184"/>
        <v>1</v>
      </c>
      <c r="J5899" t="str">
        <f t="shared" si="185"/>
        <v>Complete</v>
      </c>
      <c r="K5899">
        <f>COUNTIFS(RawData[Item], B5899,RawData[Quantity],C5899,RawData[Price Per Unit],D5899,RawData[Total Spent],E5899,RawData[Payment Method],F5899,RawData[Location],G5899,RawData[Transaction Date],H5899)</f>
        <v>1</v>
      </c>
      <c r="L5899"/>
    </row>
    <row r="5900" spans="1:12" x14ac:dyDescent="0.3">
      <c r="A5900" t="s">
        <v>5906</v>
      </c>
      <c r="B5900" t="s">
        <v>10008</v>
      </c>
      <c r="C5900">
        <v>5</v>
      </c>
      <c r="D5900">
        <v>2</v>
      </c>
      <c r="E5900">
        <v>10</v>
      </c>
      <c r="F5900" t="s">
        <v>10069</v>
      </c>
      <c r="G5900" t="s">
        <v>10069</v>
      </c>
      <c r="H5900" s="6">
        <v>45216</v>
      </c>
      <c r="I5900">
        <f t="shared" si="184"/>
        <v>0</v>
      </c>
      <c r="J5900" t="str">
        <f t="shared" si="185"/>
        <v>Complete</v>
      </c>
      <c r="K5900">
        <f>COUNTIFS(RawData[Item], B5900,RawData[Quantity],C5900,RawData[Price Per Unit],D5900,RawData[Total Spent],E5900,RawData[Payment Method],F5900,RawData[Location],G5900,RawData[Transaction Date],H5900)</f>
        <v>1</v>
      </c>
      <c r="L5900"/>
    </row>
    <row r="5901" spans="1:12" x14ac:dyDescent="0.3">
      <c r="A5901" t="s">
        <v>5907</v>
      </c>
      <c r="B5901" t="s">
        <v>10069</v>
      </c>
      <c r="C5901">
        <v>5</v>
      </c>
      <c r="D5901">
        <v>1</v>
      </c>
      <c r="E5901">
        <v>5</v>
      </c>
      <c r="F5901" t="s">
        <v>10069</v>
      </c>
      <c r="G5901" t="s">
        <v>10069</v>
      </c>
      <c r="H5901" s="6">
        <v>44963</v>
      </c>
      <c r="I5901">
        <f t="shared" si="184"/>
        <v>0</v>
      </c>
      <c r="J5901" t="str">
        <f t="shared" si="185"/>
        <v>Complete</v>
      </c>
      <c r="K5901">
        <f>COUNTIFS(RawData[Item], B5901,RawData[Quantity],C5901,RawData[Price Per Unit],D5901,RawData[Total Spent],E5901,RawData[Payment Method],F5901,RawData[Location],G5901,RawData[Transaction Date],H5901)</f>
        <v>1</v>
      </c>
      <c r="L5901"/>
    </row>
    <row r="5902" spans="1:12" x14ac:dyDescent="0.3">
      <c r="A5902" t="s">
        <v>5908</v>
      </c>
      <c r="B5902" t="s">
        <v>10017</v>
      </c>
      <c r="C5902">
        <v>1</v>
      </c>
      <c r="D5902">
        <v>1.5</v>
      </c>
      <c r="E5902">
        <v>1.5</v>
      </c>
      <c r="F5902" t="s">
        <v>10020</v>
      </c>
      <c r="G5902" t="s">
        <v>10102</v>
      </c>
      <c r="H5902" s="6">
        <v>45286</v>
      </c>
      <c r="I5902">
        <f t="shared" si="184"/>
        <v>0</v>
      </c>
      <c r="J5902" t="str">
        <f t="shared" si="185"/>
        <v>Complete</v>
      </c>
      <c r="K5902">
        <f>COUNTIFS(RawData[Item], B5902,RawData[Quantity],C5902,RawData[Price Per Unit],D5902,RawData[Total Spent],E5902,RawData[Payment Method],F5902,RawData[Location],G5902,RawData[Transaction Date],H5902)</f>
        <v>1</v>
      </c>
      <c r="L5902"/>
    </row>
    <row r="5903" spans="1:12" x14ac:dyDescent="0.3">
      <c r="A5903" t="s">
        <v>5909</v>
      </c>
      <c r="B5903" t="s">
        <v>10010</v>
      </c>
      <c r="C5903">
        <v>5</v>
      </c>
      <c r="D5903">
        <v>1</v>
      </c>
      <c r="E5903">
        <v>5</v>
      </c>
      <c r="F5903" t="s">
        <v>10069</v>
      </c>
      <c r="G5903" t="s">
        <v>10021</v>
      </c>
      <c r="H5903" s="6">
        <v>44943</v>
      </c>
      <c r="I5903">
        <f t="shared" si="184"/>
        <v>0</v>
      </c>
      <c r="J5903" t="str">
        <f t="shared" si="185"/>
        <v>Complete</v>
      </c>
      <c r="K5903">
        <f>COUNTIFS(RawData[Item], B5903,RawData[Quantity],C5903,RawData[Price Per Unit],D5903,RawData[Total Spent],E5903,RawData[Payment Method],F5903,RawData[Location],G5903,RawData[Transaction Date],H5903)</f>
        <v>1</v>
      </c>
      <c r="L5903"/>
    </row>
    <row r="5904" spans="1:12" x14ac:dyDescent="0.3">
      <c r="A5904" t="s">
        <v>5910</v>
      </c>
      <c r="B5904" t="s">
        <v>10014</v>
      </c>
      <c r="C5904">
        <v>1</v>
      </c>
      <c r="D5904">
        <v>4</v>
      </c>
      <c r="E5904">
        <v>4</v>
      </c>
      <c r="F5904" t="s">
        <v>10103</v>
      </c>
      <c r="G5904" t="s">
        <v>10069</v>
      </c>
      <c r="H5904" s="6">
        <v>45132</v>
      </c>
      <c r="I5904">
        <f t="shared" si="184"/>
        <v>1</v>
      </c>
      <c r="J5904" t="str">
        <f t="shared" si="185"/>
        <v>Complete</v>
      </c>
      <c r="K5904">
        <f>COUNTIFS(RawData[Item], B5904,RawData[Quantity],C5904,RawData[Price Per Unit],D5904,RawData[Total Spent],E5904,RawData[Payment Method],F5904,RawData[Location],G5904,RawData[Transaction Date],H5904)</f>
        <v>1</v>
      </c>
      <c r="L5904"/>
    </row>
    <row r="5905" spans="1:12" x14ac:dyDescent="0.3">
      <c r="A5905" t="s">
        <v>5911</v>
      </c>
      <c r="B5905" t="s">
        <v>10016</v>
      </c>
      <c r="C5905">
        <v>4</v>
      </c>
      <c r="D5905">
        <v>3</v>
      </c>
      <c r="E5905">
        <v>12</v>
      </c>
      <c r="F5905" t="s">
        <v>10019</v>
      </c>
      <c r="G5905" t="s">
        <v>10021</v>
      </c>
      <c r="H5905" s="6">
        <v>45225</v>
      </c>
      <c r="I5905">
        <f t="shared" si="184"/>
        <v>0</v>
      </c>
      <c r="J5905" t="str">
        <f t="shared" si="185"/>
        <v>Complete</v>
      </c>
      <c r="K5905">
        <f>COUNTIFS(RawData[Item], B5905,RawData[Quantity],C5905,RawData[Price Per Unit],D5905,RawData[Total Spent],E5905,RawData[Payment Method],F5905,RawData[Location],G5905,RawData[Transaction Date],H5905)</f>
        <v>1</v>
      </c>
      <c r="L5905"/>
    </row>
    <row r="5906" spans="1:12" x14ac:dyDescent="0.3">
      <c r="A5906" t="s">
        <v>5912</v>
      </c>
      <c r="B5906" t="s">
        <v>10011</v>
      </c>
      <c r="C5906">
        <v>3</v>
      </c>
      <c r="D5906">
        <v>5</v>
      </c>
      <c r="E5906">
        <v>15</v>
      </c>
      <c r="F5906" t="s">
        <v>10020</v>
      </c>
      <c r="G5906" t="s">
        <v>10021</v>
      </c>
      <c r="H5906" s="6">
        <v>45250</v>
      </c>
      <c r="I5906">
        <f t="shared" si="184"/>
        <v>0</v>
      </c>
      <c r="J5906" t="str">
        <f t="shared" si="185"/>
        <v>Complete</v>
      </c>
      <c r="K5906">
        <f>COUNTIFS(RawData[Item], B5906,RawData[Quantity],C5906,RawData[Price Per Unit],D5906,RawData[Total Spent],E5906,RawData[Payment Method],F5906,RawData[Location],G5906,RawData[Transaction Date],H5906)</f>
        <v>1</v>
      </c>
      <c r="L5906"/>
    </row>
    <row r="5907" spans="1:12" x14ac:dyDescent="0.3">
      <c r="A5907" t="s">
        <v>5913</v>
      </c>
      <c r="B5907" t="s">
        <v>10016</v>
      </c>
      <c r="C5907">
        <v>4</v>
      </c>
      <c r="D5907">
        <v>3</v>
      </c>
      <c r="E5907">
        <v>12</v>
      </c>
      <c r="F5907" t="s">
        <v>10020</v>
      </c>
      <c r="G5907" t="s">
        <v>10021</v>
      </c>
      <c r="H5907" s="6">
        <v>44931</v>
      </c>
      <c r="I5907">
        <f t="shared" si="184"/>
        <v>0</v>
      </c>
      <c r="J5907" t="str">
        <f t="shared" si="185"/>
        <v>Complete</v>
      </c>
      <c r="K5907">
        <f>COUNTIFS(RawData[Item], B5907,RawData[Quantity],C5907,RawData[Price Per Unit],D5907,RawData[Total Spent],E5907,RawData[Payment Method],F5907,RawData[Location],G5907,RawData[Transaction Date],H5907)</f>
        <v>1</v>
      </c>
      <c r="L5907"/>
    </row>
    <row r="5908" spans="1:12" x14ac:dyDescent="0.3">
      <c r="A5908" t="s">
        <v>5914</v>
      </c>
      <c r="B5908" t="s">
        <v>10017</v>
      </c>
      <c r="C5908">
        <v>2</v>
      </c>
      <c r="D5908">
        <v>1.5</v>
      </c>
      <c r="E5908">
        <v>3</v>
      </c>
      <c r="F5908" t="s">
        <v>10069</v>
      </c>
      <c r="G5908" t="s">
        <v>10102</v>
      </c>
      <c r="H5908" s="6">
        <v>45093</v>
      </c>
      <c r="I5908">
        <f t="shared" si="184"/>
        <v>0</v>
      </c>
      <c r="J5908" t="str">
        <f t="shared" si="185"/>
        <v>Complete</v>
      </c>
      <c r="K5908">
        <f>COUNTIFS(RawData[Item], B5908,RawData[Quantity],C5908,RawData[Price Per Unit],D5908,RawData[Total Spent],E5908,RawData[Payment Method],F5908,RawData[Location],G5908,RawData[Transaction Date],H5908)</f>
        <v>1</v>
      </c>
      <c r="L5908"/>
    </row>
    <row r="5909" spans="1:12" x14ac:dyDescent="0.3">
      <c r="A5909" t="s">
        <v>5915</v>
      </c>
      <c r="B5909" t="s">
        <v>10008</v>
      </c>
      <c r="C5909">
        <v>5</v>
      </c>
      <c r="D5909">
        <v>2</v>
      </c>
      <c r="E5909">
        <v>10</v>
      </c>
      <c r="F5909" t="s">
        <v>10019</v>
      </c>
      <c r="G5909" t="s">
        <v>10102</v>
      </c>
      <c r="H5909" s="6">
        <v>45034</v>
      </c>
      <c r="I5909">
        <f t="shared" si="184"/>
        <v>0</v>
      </c>
      <c r="J5909" t="str">
        <f t="shared" si="185"/>
        <v>Complete</v>
      </c>
      <c r="K5909">
        <f>COUNTIFS(RawData[Item], B5909,RawData[Quantity],C5909,RawData[Price Per Unit],D5909,RawData[Total Spent],E5909,RawData[Payment Method],F5909,RawData[Location],G5909,RawData[Transaction Date],H5909)</f>
        <v>1</v>
      </c>
      <c r="L5909"/>
    </row>
    <row r="5910" spans="1:12" x14ac:dyDescent="0.3">
      <c r="A5910" t="s">
        <v>5916</v>
      </c>
      <c r="B5910" t="s">
        <v>10008</v>
      </c>
      <c r="C5910">
        <v>3</v>
      </c>
      <c r="D5910">
        <v>2</v>
      </c>
      <c r="E5910">
        <v>6</v>
      </c>
      <c r="F5910" t="s">
        <v>10020</v>
      </c>
      <c r="G5910" t="s">
        <v>10021</v>
      </c>
      <c r="H5910" s="6">
        <v>44957</v>
      </c>
      <c r="I5910">
        <f t="shared" si="184"/>
        <v>0</v>
      </c>
      <c r="J5910" t="str">
        <f t="shared" si="185"/>
        <v>Complete</v>
      </c>
      <c r="K5910">
        <f>COUNTIFS(RawData[Item], B5910,RawData[Quantity],C5910,RawData[Price Per Unit],D5910,RawData[Total Spent],E5910,RawData[Payment Method],F5910,RawData[Location],G5910,RawData[Transaction Date],H5910)</f>
        <v>1</v>
      </c>
      <c r="L5910"/>
    </row>
    <row r="5911" spans="1:12" x14ac:dyDescent="0.3">
      <c r="A5911" t="s">
        <v>5917</v>
      </c>
      <c r="B5911" t="s">
        <v>10008</v>
      </c>
      <c r="C5911">
        <v>5</v>
      </c>
      <c r="D5911">
        <v>2</v>
      </c>
      <c r="E5911">
        <v>10</v>
      </c>
      <c r="F5911" t="s">
        <v>10019</v>
      </c>
      <c r="G5911" t="s">
        <v>10021</v>
      </c>
      <c r="H5911" s="6">
        <v>44959</v>
      </c>
      <c r="I5911">
        <f t="shared" si="184"/>
        <v>0</v>
      </c>
      <c r="J5911" t="str">
        <f t="shared" si="185"/>
        <v>Complete</v>
      </c>
      <c r="K5911">
        <f>COUNTIFS(RawData[Item], B5911,RawData[Quantity],C5911,RawData[Price Per Unit],D5911,RawData[Total Spent],E5911,RawData[Payment Method],F5911,RawData[Location],G5911,RawData[Transaction Date],H5911)</f>
        <v>1</v>
      </c>
      <c r="L5911"/>
    </row>
    <row r="5912" spans="1:12" x14ac:dyDescent="0.3">
      <c r="A5912" t="s">
        <v>5918</v>
      </c>
      <c r="B5912" t="s">
        <v>10014</v>
      </c>
      <c r="C5912">
        <v>4</v>
      </c>
      <c r="D5912">
        <v>4</v>
      </c>
      <c r="E5912">
        <v>16</v>
      </c>
      <c r="F5912" t="s">
        <v>10018</v>
      </c>
      <c r="G5912" t="s">
        <v>10069</v>
      </c>
      <c r="H5912" s="6">
        <v>45094</v>
      </c>
      <c r="I5912">
        <f t="shared" si="184"/>
        <v>0</v>
      </c>
      <c r="J5912" t="str">
        <f t="shared" si="185"/>
        <v>Complete</v>
      </c>
      <c r="K5912">
        <f>COUNTIFS(RawData[Item], B5912,RawData[Quantity],C5912,RawData[Price Per Unit],D5912,RawData[Total Spent],E5912,RawData[Payment Method],F5912,RawData[Location],G5912,RawData[Transaction Date],H5912)</f>
        <v>1</v>
      </c>
      <c r="L5912"/>
    </row>
    <row r="5913" spans="1:12" x14ac:dyDescent="0.3">
      <c r="A5913" t="s">
        <v>5919</v>
      </c>
      <c r="B5913" t="s">
        <v>10011</v>
      </c>
      <c r="C5913">
        <v>5</v>
      </c>
      <c r="D5913">
        <v>5</v>
      </c>
      <c r="E5913">
        <v>25</v>
      </c>
      <c r="F5913" t="s">
        <v>10019</v>
      </c>
      <c r="G5913" t="s">
        <v>10104</v>
      </c>
      <c r="H5913" s="6" t="s">
        <v>10112</v>
      </c>
      <c r="I5913">
        <f t="shared" si="184"/>
        <v>2</v>
      </c>
      <c r="J5913" t="str">
        <f t="shared" si="185"/>
        <v>Incomplete</v>
      </c>
      <c r="K5913">
        <f>COUNTIFS(RawData[Item], B5913,RawData[Quantity],C5913,RawData[Price Per Unit],D5913,RawData[Total Spent],E5913,RawData[Payment Method],F5913,RawData[Location],G5913,RawData[Transaction Date],H5913)</f>
        <v>1</v>
      </c>
      <c r="L5913"/>
    </row>
    <row r="5914" spans="1:12" x14ac:dyDescent="0.3">
      <c r="A5914" t="s">
        <v>5920</v>
      </c>
      <c r="B5914" t="s">
        <v>10014</v>
      </c>
      <c r="C5914">
        <v>1</v>
      </c>
      <c r="D5914">
        <v>4</v>
      </c>
      <c r="E5914">
        <v>4</v>
      </c>
      <c r="F5914" t="s">
        <v>10020</v>
      </c>
      <c r="G5914" t="s">
        <v>10021</v>
      </c>
      <c r="H5914" s="6">
        <v>45266</v>
      </c>
      <c r="I5914">
        <f t="shared" si="184"/>
        <v>0</v>
      </c>
      <c r="J5914" t="str">
        <f t="shared" si="185"/>
        <v>Complete</v>
      </c>
      <c r="K5914">
        <f>COUNTIFS(RawData[Item], B5914,RawData[Quantity],C5914,RawData[Price Per Unit],D5914,RawData[Total Spent],E5914,RawData[Payment Method],F5914,RawData[Location],G5914,RawData[Transaction Date],H5914)</f>
        <v>1</v>
      </c>
      <c r="L5914"/>
    </row>
    <row r="5915" spans="1:12" x14ac:dyDescent="0.3">
      <c r="A5915" t="s">
        <v>5921</v>
      </c>
      <c r="B5915" t="s">
        <v>10012</v>
      </c>
      <c r="C5915">
        <v>2</v>
      </c>
      <c r="D5915">
        <v>4</v>
      </c>
      <c r="E5915">
        <v>8</v>
      </c>
      <c r="F5915" t="s">
        <v>10020</v>
      </c>
      <c r="G5915" t="s">
        <v>10102</v>
      </c>
      <c r="H5915" s="6">
        <v>45271</v>
      </c>
      <c r="I5915">
        <f t="shared" si="184"/>
        <v>0</v>
      </c>
      <c r="J5915" t="str">
        <f t="shared" si="185"/>
        <v>Complete</v>
      </c>
      <c r="K5915">
        <f>COUNTIFS(RawData[Item], B5915,RawData[Quantity],C5915,RawData[Price Per Unit],D5915,RawData[Total Spent],E5915,RawData[Payment Method],F5915,RawData[Location],G5915,RawData[Transaction Date],H5915)</f>
        <v>1</v>
      </c>
      <c r="L5915"/>
    </row>
    <row r="5916" spans="1:12" x14ac:dyDescent="0.3">
      <c r="A5916" t="s">
        <v>5922</v>
      </c>
      <c r="B5916" t="s">
        <v>10011</v>
      </c>
      <c r="C5916">
        <v>4</v>
      </c>
      <c r="D5916">
        <v>5</v>
      </c>
      <c r="E5916">
        <v>20</v>
      </c>
      <c r="F5916" t="s">
        <v>10069</v>
      </c>
      <c r="G5916" t="s">
        <v>10102</v>
      </c>
      <c r="H5916" s="6" t="s">
        <v>10112</v>
      </c>
      <c r="I5916">
        <f t="shared" si="184"/>
        <v>1</v>
      </c>
      <c r="J5916" t="str">
        <f t="shared" si="185"/>
        <v>Incomplete</v>
      </c>
      <c r="K5916">
        <f>COUNTIFS(RawData[Item], B5916,RawData[Quantity],C5916,RawData[Price Per Unit],D5916,RawData[Total Spent],E5916,RawData[Payment Method],F5916,RawData[Location],G5916,RawData[Transaction Date],H5916)</f>
        <v>2</v>
      </c>
      <c r="L5916"/>
    </row>
    <row r="5917" spans="1:12" x14ac:dyDescent="0.3">
      <c r="A5917" t="s">
        <v>5923</v>
      </c>
      <c r="B5917" t="s">
        <v>10012</v>
      </c>
      <c r="C5917">
        <v>2</v>
      </c>
      <c r="D5917">
        <v>4</v>
      </c>
      <c r="E5917">
        <v>8</v>
      </c>
      <c r="F5917" t="s">
        <v>10019</v>
      </c>
      <c r="G5917" t="s">
        <v>10102</v>
      </c>
      <c r="H5917" s="6">
        <v>45092</v>
      </c>
      <c r="I5917">
        <f t="shared" si="184"/>
        <v>0</v>
      </c>
      <c r="J5917" t="str">
        <f t="shared" si="185"/>
        <v>Complete</v>
      </c>
      <c r="K5917">
        <f>COUNTIFS(RawData[Item], B5917,RawData[Quantity],C5917,RawData[Price Per Unit],D5917,RawData[Total Spent],E5917,RawData[Payment Method],F5917,RawData[Location],G5917,RawData[Transaction Date],H5917)</f>
        <v>1</v>
      </c>
      <c r="L5917"/>
    </row>
    <row r="5918" spans="1:12" x14ac:dyDescent="0.3">
      <c r="A5918" t="s">
        <v>5924</v>
      </c>
      <c r="B5918" t="s">
        <v>10009</v>
      </c>
      <c r="C5918">
        <v>3</v>
      </c>
      <c r="D5918">
        <v>3</v>
      </c>
      <c r="E5918">
        <v>9</v>
      </c>
      <c r="F5918" t="s">
        <v>10069</v>
      </c>
      <c r="G5918" t="s">
        <v>10021</v>
      </c>
      <c r="H5918" s="6">
        <v>45066</v>
      </c>
      <c r="I5918">
        <f t="shared" si="184"/>
        <v>0</v>
      </c>
      <c r="J5918" t="str">
        <f t="shared" si="185"/>
        <v>Complete</v>
      </c>
      <c r="K5918">
        <f>COUNTIFS(RawData[Item], B5918,RawData[Quantity],C5918,RawData[Price Per Unit],D5918,RawData[Total Spent],E5918,RawData[Payment Method],F5918,RawData[Location],G5918,RawData[Transaction Date],H5918)</f>
        <v>1</v>
      </c>
      <c r="L5918"/>
    </row>
    <row r="5919" spans="1:12" x14ac:dyDescent="0.3">
      <c r="A5919" t="s">
        <v>5925</v>
      </c>
      <c r="B5919" t="s">
        <v>10008</v>
      </c>
      <c r="C5919">
        <v>4</v>
      </c>
      <c r="D5919">
        <v>2</v>
      </c>
      <c r="E5919">
        <v>8</v>
      </c>
      <c r="F5919" t="s">
        <v>10069</v>
      </c>
      <c r="G5919" t="s">
        <v>10069</v>
      </c>
      <c r="H5919" s="6">
        <v>45127</v>
      </c>
      <c r="I5919">
        <f t="shared" si="184"/>
        <v>0</v>
      </c>
      <c r="J5919" t="str">
        <f t="shared" si="185"/>
        <v>Complete</v>
      </c>
      <c r="K5919">
        <f>COUNTIFS(RawData[Item], B5919,RawData[Quantity],C5919,RawData[Price Per Unit],D5919,RawData[Total Spent],E5919,RawData[Payment Method],F5919,RawData[Location],G5919,RawData[Transaction Date],H5919)</f>
        <v>1</v>
      </c>
      <c r="L5919"/>
    </row>
    <row r="5920" spans="1:12" x14ac:dyDescent="0.3">
      <c r="A5920" t="s">
        <v>5926</v>
      </c>
      <c r="B5920" t="s">
        <v>10014</v>
      </c>
      <c r="C5920">
        <v>5</v>
      </c>
      <c r="D5920">
        <v>4</v>
      </c>
      <c r="E5920">
        <v>20</v>
      </c>
      <c r="F5920" t="s">
        <v>10069</v>
      </c>
      <c r="G5920" t="s">
        <v>10069</v>
      </c>
      <c r="H5920" s="6">
        <v>45068</v>
      </c>
      <c r="I5920">
        <f t="shared" si="184"/>
        <v>0</v>
      </c>
      <c r="J5920" t="str">
        <f t="shared" si="185"/>
        <v>Complete</v>
      </c>
      <c r="K5920">
        <f>COUNTIFS(RawData[Item], B5920,RawData[Quantity],C5920,RawData[Price Per Unit],D5920,RawData[Total Spent],E5920,RawData[Payment Method],F5920,RawData[Location],G5920,RawData[Transaction Date],H5920)</f>
        <v>1</v>
      </c>
      <c r="L5920"/>
    </row>
    <row r="5921" spans="1:12" x14ac:dyDescent="0.3">
      <c r="A5921" t="s">
        <v>5927</v>
      </c>
      <c r="B5921" t="s">
        <v>10014</v>
      </c>
      <c r="C5921">
        <v>1</v>
      </c>
      <c r="D5921">
        <v>4</v>
      </c>
      <c r="E5921">
        <v>4</v>
      </c>
      <c r="F5921" t="s">
        <v>10069</v>
      </c>
      <c r="G5921" t="s">
        <v>10069</v>
      </c>
      <c r="H5921" s="6">
        <v>45149</v>
      </c>
      <c r="I5921">
        <f t="shared" si="184"/>
        <v>0</v>
      </c>
      <c r="J5921" t="str">
        <f t="shared" si="185"/>
        <v>Complete</v>
      </c>
      <c r="K5921">
        <f>COUNTIFS(RawData[Item], B5921,RawData[Quantity],C5921,RawData[Price Per Unit],D5921,RawData[Total Spent],E5921,RawData[Payment Method],F5921,RawData[Location],G5921,RawData[Transaction Date],H5921)</f>
        <v>1</v>
      </c>
      <c r="L5921"/>
    </row>
    <row r="5922" spans="1:12" x14ac:dyDescent="0.3">
      <c r="A5922" t="s">
        <v>5928</v>
      </c>
      <c r="B5922" t="s">
        <v>10016</v>
      </c>
      <c r="C5922">
        <v>1</v>
      </c>
      <c r="D5922">
        <v>3</v>
      </c>
      <c r="E5922">
        <v>3</v>
      </c>
      <c r="F5922" t="s">
        <v>10019</v>
      </c>
      <c r="G5922" t="s">
        <v>10102</v>
      </c>
      <c r="H5922" s="6">
        <v>45278</v>
      </c>
      <c r="I5922">
        <f t="shared" si="184"/>
        <v>0</v>
      </c>
      <c r="J5922" t="str">
        <f t="shared" si="185"/>
        <v>Complete</v>
      </c>
      <c r="K5922">
        <f>COUNTIFS(RawData[Item], B5922,RawData[Quantity],C5922,RawData[Price Per Unit],D5922,RawData[Total Spent],E5922,RawData[Payment Method],F5922,RawData[Location],G5922,RawData[Transaction Date],H5922)</f>
        <v>1</v>
      </c>
      <c r="L5922"/>
    </row>
    <row r="5923" spans="1:12" x14ac:dyDescent="0.3">
      <c r="A5923" t="s">
        <v>5929</v>
      </c>
      <c r="B5923" t="s">
        <v>10069</v>
      </c>
      <c r="C5923">
        <v>2</v>
      </c>
      <c r="D5923">
        <v>1.5</v>
      </c>
      <c r="E5923">
        <v>3</v>
      </c>
      <c r="F5923" t="s">
        <v>10020</v>
      </c>
      <c r="G5923" t="s">
        <v>10021</v>
      </c>
      <c r="H5923" s="6">
        <v>44997</v>
      </c>
      <c r="I5923">
        <f t="shared" si="184"/>
        <v>0</v>
      </c>
      <c r="J5923" t="str">
        <f t="shared" si="185"/>
        <v>Complete</v>
      </c>
      <c r="K5923">
        <f>COUNTIFS(RawData[Item], B5923,RawData[Quantity],C5923,RawData[Price Per Unit],D5923,RawData[Total Spent],E5923,RawData[Payment Method],F5923,RawData[Location],G5923,RawData[Transaction Date],H5923)</f>
        <v>1</v>
      </c>
      <c r="L5923"/>
    </row>
    <row r="5924" spans="1:12" x14ac:dyDescent="0.3">
      <c r="A5924" t="s">
        <v>5930</v>
      </c>
      <c r="B5924" t="s">
        <v>10015</v>
      </c>
      <c r="C5924">
        <v>2</v>
      </c>
      <c r="D5924">
        <v>1</v>
      </c>
      <c r="E5924">
        <v>2</v>
      </c>
      <c r="F5924" t="s">
        <v>10069</v>
      </c>
      <c r="G5924" t="s">
        <v>10069</v>
      </c>
      <c r="H5924" s="6">
        <v>45194</v>
      </c>
      <c r="I5924">
        <f t="shared" si="184"/>
        <v>1</v>
      </c>
      <c r="J5924" t="str">
        <f t="shared" si="185"/>
        <v>Complete</v>
      </c>
      <c r="K5924">
        <f>COUNTIFS(RawData[Item], B5924,RawData[Quantity],C5924,RawData[Price Per Unit],D5924,RawData[Total Spent],E5924,RawData[Payment Method],F5924,RawData[Location],G5924,RawData[Transaction Date],H5924)</f>
        <v>1</v>
      </c>
      <c r="L5924"/>
    </row>
    <row r="5925" spans="1:12" x14ac:dyDescent="0.3">
      <c r="A5925" t="s">
        <v>5931</v>
      </c>
      <c r="B5925" t="s">
        <v>10014</v>
      </c>
      <c r="C5925">
        <v>2</v>
      </c>
      <c r="D5925">
        <v>4</v>
      </c>
      <c r="E5925">
        <v>8</v>
      </c>
      <c r="F5925" t="s">
        <v>10069</v>
      </c>
      <c r="G5925" t="s">
        <v>10021</v>
      </c>
      <c r="H5925" s="6">
        <v>45156</v>
      </c>
      <c r="I5925">
        <f t="shared" si="184"/>
        <v>0</v>
      </c>
      <c r="J5925" t="str">
        <f t="shared" si="185"/>
        <v>Complete</v>
      </c>
      <c r="K5925">
        <f>COUNTIFS(RawData[Item], B5925,RawData[Quantity],C5925,RawData[Price Per Unit],D5925,RawData[Total Spent],E5925,RawData[Payment Method],F5925,RawData[Location],G5925,RawData[Transaction Date],H5925)</f>
        <v>1</v>
      </c>
      <c r="L5925"/>
    </row>
    <row r="5926" spans="1:12" x14ac:dyDescent="0.3">
      <c r="A5926" t="s">
        <v>5932</v>
      </c>
      <c r="B5926" t="s">
        <v>10008</v>
      </c>
      <c r="C5926">
        <v>3</v>
      </c>
      <c r="D5926">
        <v>2</v>
      </c>
      <c r="E5926">
        <v>6</v>
      </c>
      <c r="F5926" t="s">
        <v>10019</v>
      </c>
      <c r="G5926" t="s">
        <v>10069</v>
      </c>
      <c r="H5926" s="6">
        <v>45125</v>
      </c>
      <c r="I5926">
        <f t="shared" si="184"/>
        <v>0</v>
      </c>
      <c r="J5926" t="str">
        <f t="shared" si="185"/>
        <v>Complete</v>
      </c>
      <c r="K5926">
        <f>COUNTIFS(RawData[Item], B5926,RawData[Quantity],C5926,RawData[Price Per Unit],D5926,RawData[Total Spent],E5926,RawData[Payment Method],F5926,RawData[Location],G5926,RawData[Transaction Date],H5926)</f>
        <v>1</v>
      </c>
      <c r="L5926"/>
    </row>
    <row r="5927" spans="1:12" x14ac:dyDescent="0.3">
      <c r="A5927" t="s">
        <v>5933</v>
      </c>
      <c r="B5927" t="s">
        <v>10012</v>
      </c>
      <c r="C5927">
        <v>1</v>
      </c>
      <c r="D5927">
        <v>4</v>
      </c>
      <c r="E5927">
        <v>4</v>
      </c>
      <c r="F5927" t="s">
        <v>10069</v>
      </c>
      <c r="G5927" t="s">
        <v>10021</v>
      </c>
      <c r="H5927" s="6">
        <v>44986</v>
      </c>
      <c r="I5927">
        <f t="shared" si="184"/>
        <v>0</v>
      </c>
      <c r="J5927" t="str">
        <f t="shared" si="185"/>
        <v>Complete</v>
      </c>
      <c r="K5927">
        <f>COUNTIFS(RawData[Item], B5927,RawData[Quantity],C5927,RawData[Price Per Unit],D5927,RawData[Total Spent],E5927,RawData[Payment Method],F5927,RawData[Location],G5927,RawData[Transaction Date],H5927)</f>
        <v>1</v>
      </c>
      <c r="L5927"/>
    </row>
    <row r="5928" spans="1:12" x14ac:dyDescent="0.3">
      <c r="A5928" t="s">
        <v>5934</v>
      </c>
      <c r="B5928" t="s">
        <v>10011</v>
      </c>
      <c r="C5928">
        <v>2</v>
      </c>
      <c r="D5928">
        <v>5</v>
      </c>
      <c r="E5928">
        <v>10</v>
      </c>
      <c r="F5928" t="s">
        <v>10018</v>
      </c>
      <c r="G5928" t="s">
        <v>10102</v>
      </c>
      <c r="H5928" s="6">
        <v>45003</v>
      </c>
      <c r="I5928">
        <f t="shared" si="184"/>
        <v>0</v>
      </c>
      <c r="J5928" t="str">
        <f t="shared" si="185"/>
        <v>Complete</v>
      </c>
      <c r="K5928">
        <f>COUNTIFS(RawData[Item], B5928,RawData[Quantity],C5928,RawData[Price Per Unit],D5928,RawData[Total Spent],E5928,RawData[Payment Method],F5928,RawData[Location],G5928,RawData[Transaction Date],H5928)</f>
        <v>1</v>
      </c>
      <c r="L5928"/>
    </row>
    <row r="5929" spans="1:12" x14ac:dyDescent="0.3">
      <c r="A5929" t="s">
        <v>5935</v>
      </c>
      <c r="B5929" t="s">
        <v>10016</v>
      </c>
      <c r="C5929">
        <v>3</v>
      </c>
      <c r="D5929" t="s">
        <v>10015</v>
      </c>
      <c r="E5929">
        <v>9</v>
      </c>
      <c r="F5929" t="s">
        <v>10019</v>
      </c>
      <c r="G5929" t="s">
        <v>10069</v>
      </c>
      <c r="H5929" s="6">
        <v>44934</v>
      </c>
      <c r="I5929">
        <f t="shared" si="184"/>
        <v>1</v>
      </c>
      <c r="J5929" t="str">
        <f t="shared" si="185"/>
        <v>Complete</v>
      </c>
      <c r="K5929">
        <f>COUNTIFS(RawData[Item], B5929,RawData[Quantity],C5929,RawData[Price Per Unit],D5929,RawData[Total Spent],E5929,RawData[Payment Method],F5929,RawData[Location],G5929,RawData[Transaction Date],H5929)</f>
        <v>1</v>
      </c>
      <c r="L5929"/>
    </row>
    <row r="5930" spans="1:12" x14ac:dyDescent="0.3">
      <c r="A5930" t="s">
        <v>5936</v>
      </c>
      <c r="B5930" t="s">
        <v>10069</v>
      </c>
      <c r="C5930" t="s">
        <v>10015</v>
      </c>
      <c r="D5930">
        <v>4</v>
      </c>
      <c r="E5930">
        <v>8</v>
      </c>
      <c r="F5930" t="s">
        <v>10020</v>
      </c>
      <c r="G5930" t="s">
        <v>10102</v>
      </c>
      <c r="H5930" s="6">
        <v>45017</v>
      </c>
      <c r="I5930">
        <f t="shared" si="184"/>
        <v>1</v>
      </c>
      <c r="J5930" t="str">
        <f t="shared" si="185"/>
        <v>Complete</v>
      </c>
      <c r="K5930">
        <f>COUNTIFS(RawData[Item], B5930,RawData[Quantity],C5930,RawData[Price Per Unit],D5930,RawData[Total Spent],E5930,RawData[Payment Method],F5930,RawData[Location],G5930,RawData[Transaction Date],H5930)</f>
        <v>1</v>
      </c>
      <c r="L5930"/>
    </row>
    <row r="5931" spans="1:12" x14ac:dyDescent="0.3">
      <c r="A5931" t="s">
        <v>5937</v>
      </c>
      <c r="B5931" t="s">
        <v>10010</v>
      </c>
      <c r="C5931">
        <v>3</v>
      </c>
      <c r="D5931">
        <v>1</v>
      </c>
      <c r="E5931">
        <v>3</v>
      </c>
      <c r="F5931" t="s">
        <v>10019</v>
      </c>
      <c r="G5931" t="s">
        <v>10021</v>
      </c>
      <c r="H5931" s="6">
        <v>44933</v>
      </c>
      <c r="I5931">
        <f t="shared" si="184"/>
        <v>0</v>
      </c>
      <c r="J5931" t="str">
        <f t="shared" si="185"/>
        <v>Complete</v>
      </c>
      <c r="K5931">
        <f>COUNTIFS(RawData[Item], B5931,RawData[Quantity],C5931,RawData[Price Per Unit],D5931,RawData[Total Spent],E5931,RawData[Payment Method],F5931,RawData[Location],G5931,RawData[Transaction Date],H5931)</f>
        <v>1</v>
      </c>
      <c r="L5931"/>
    </row>
    <row r="5932" spans="1:12" x14ac:dyDescent="0.3">
      <c r="A5932" t="s">
        <v>5938</v>
      </c>
      <c r="B5932" t="s">
        <v>10013</v>
      </c>
      <c r="C5932">
        <v>2</v>
      </c>
      <c r="D5932">
        <v>1</v>
      </c>
      <c r="E5932">
        <v>2</v>
      </c>
      <c r="F5932" t="s">
        <v>10069</v>
      </c>
      <c r="G5932" t="s">
        <v>10102</v>
      </c>
      <c r="H5932" s="6">
        <v>45174</v>
      </c>
      <c r="I5932">
        <f t="shared" si="184"/>
        <v>1</v>
      </c>
      <c r="J5932" t="str">
        <f t="shared" si="185"/>
        <v>Complete</v>
      </c>
      <c r="K5932">
        <f>COUNTIFS(RawData[Item], B5932,RawData[Quantity],C5932,RawData[Price Per Unit],D5932,RawData[Total Spent],E5932,RawData[Payment Method],F5932,RawData[Location],G5932,RawData[Transaction Date],H5932)</f>
        <v>1</v>
      </c>
      <c r="L5932"/>
    </row>
    <row r="5933" spans="1:12" x14ac:dyDescent="0.3">
      <c r="A5933" t="s">
        <v>5939</v>
      </c>
      <c r="B5933" t="s">
        <v>10009</v>
      </c>
      <c r="C5933">
        <v>3</v>
      </c>
      <c r="D5933">
        <v>3</v>
      </c>
      <c r="E5933">
        <v>9</v>
      </c>
      <c r="F5933" t="s">
        <v>10104</v>
      </c>
      <c r="G5933" t="s">
        <v>10104</v>
      </c>
      <c r="H5933" s="6">
        <v>44953</v>
      </c>
      <c r="I5933">
        <f t="shared" si="184"/>
        <v>2</v>
      </c>
      <c r="J5933" t="str">
        <f t="shared" si="185"/>
        <v>Complete</v>
      </c>
      <c r="K5933">
        <f>COUNTIFS(RawData[Item], B5933,RawData[Quantity],C5933,RawData[Price Per Unit],D5933,RawData[Total Spent],E5933,RawData[Payment Method],F5933,RawData[Location],G5933,RawData[Transaction Date],H5933)</f>
        <v>1</v>
      </c>
      <c r="L5933"/>
    </row>
    <row r="5934" spans="1:12" x14ac:dyDescent="0.3">
      <c r="A5934" t="s">
        <v>5940</v>
      </c>
      <c r="B5934" t="s">
        <v>10012</v>
      </c>
      <c r="C5934">
        <v>2</v>
      </c>
      <c r="D5934">
        <v>4</v>
      </c>
      <c r="E5934">
        <v>8</v>
      </c>
      <c r="F5934" t="s">
        <v>10020</v>
      </c>
      <c r="G5934" t="s">
        <v>10069</v>
      </c>
      <c r="H5934" s="6">
        <v>45109</v>
      </c>
      <c r="I5934">
        <f t="shared" si="184"/>
        <v>0</v>
      </c>
      <c r="J5934" t="str">
        <f t="shared" si="185"/>
        <v>Complete</v>
      </c>
      <c r="K5934">
        <f>COUNTIFS(RawData[Item], B5934,RawData[Quantity],C5934,RawData[Price Per Unit],D5934,RawData[Total Spent],E5934,RawData[Payment Method],F5934,RawData[Location],G5934,RawData[Transaction Date],H5934)</f>
        <v>1</v>
      </c>
      <c r="L5934"/>
    </row>
    <row r="5935" spans="1:12" x14ac:dyDescent="0.3">
      <c r="A5935" t="s">
        <v>5941</v>
      </c>
      <c r="B5935" t="s">
        <v>10069</v>
      </c>
      <c r="C5935">
        <v>4</v>
      </c>
      <c r="D5935">
        <v>4</v>
      </c>
      <c r="E5935">
        <v>16</v>
      </c>
      <c r="F5935" t="s">
        <v>10069</v>
      </c>
      <c r="G5935" t="s">
        <v>10069</v>
      </c>
      <c r="H5935" s="6">
        <v>45068</v>
      </c>
      <c r="I5935">
        <f t="shared" si="184"/>
        <v>0</v>
      </c>
      <c r="J5935" t="str">
        <f t="shared" si="185"/>
        <v>Complete</v>
      </c>
      <c r="K5935">
        <f>COUNTIFS(RawData[Item], B5935,RawData[Quantity],C5935,RawData[Price Per Unit],D5935,RawData[Total Spent],E5935,RawData[Payment Method],F5935,RawData[Location],G5935,RawData[Transaction Date],H5935)</f>
        <v>1</v>
      </c>
      <c r="L5935"/>
    </row>
    <row r="5936" spans="1:12" x14ac:dyDescent="0.3">
      <c r="A5936" t="s">
        <v>5942</v>
      </c>
      <c r="B5936" t="s">
        <v>10009</v>
      </c>
      <c r="C5936">
        <v>1</v>
      </c>
      <c r="D5936">
        <v>3</v>
      </c>
      <c r="E5936">
        <v>3</v>
      </c>
      <c r="F5936" t="s">
        <v>10069</v>
      </c>
      <c r="G5936" t="s">
        <v>10069</v>
      </c>
      <c r="H5936" s="6">
        <v>45183</v>
      </c>
      <c r="I5936">
        <f t="shared" si="184"/>
        <v>0</v>
      </c>
      <c r="J5936" t="str">
        <f t="shared" si="185"/>
        <v>Complete</v>
      </c>
      <c r="K5936">
        <f>COUNTIFS(RawData[Item], B5936,RawData[Quantity],C5936,RawData[Price Per Unit],D5936,RawData[Total Spent],E5936,RawData[Payment Method],F5936,RawData[Location],G5936,RawData[Transaction Date],H5936)</f>
        <v>2</v>
      </c>
      <c r="L5936"/>
    </row>
    <row r="5937" spans="1:12" x14ac:dyDescent="0.3">
      <c r="A5937" t="s">
        <v>5943</v>
      </c>
      <c r="B5937" t="s">
        <v>10012</v>
      </c>
      <c r="C5937">
        <v>1</v>
      </c>
      <c r="D5937">
        <v>4</v>
      </c>
      <c r="E5937">
        <v>4</v>
      </c>
      <c r="F5937" t="s">
        <v>10019</v>
      </c>
      <c r="G5937" t="s">
        <v>10102</v>
      </c>
      <c r="H5937" s="6">
        <v>44990</v>
      </c>
      <c r="I5937">
        <f t="shared" si="184"/>
        <v>0</v>
      </c>
      <c r="J5937" t="str">
        <f t="shared" si="185"/>
        <v>Complete</v>
      </c>
      <c r="K5937">
        <f>COUNTIFS(RawData[Item], B5937,RawData[Quantity],C5937,RawData[Price Per Unit],D5937,RawData[Total Spent],E5937,RawData[Payment Method],F5937,RawData[Location],G5937,RawData[Transaction Date],H5937)</f>
        <v>1</v>
      </c>
      <c r="L5937"/>
    </row>
    <row r="5938" spans="1:12" x14ac:dyDescent="0.3">
      <c r="A5938" t="s">
        <v>5944</v>
      </c>
      <c r="B5938" t="s">
        <v>10013</v>
      </c>
      <c r="C5938">
        <v>3</v>
      </c>
      <c r="D5938">
        <v>1</v>
      </c>
      <c r="E5938">
        <v>3</v>
      </c>
      <c r="F5938" t="s">
        <v>10018</v>
      </c>
      <c r="G5938" t="s">
        <v>10102</v>
      </c>
      <c r="H5938" s="6">
        <v>45151</v>
      </c>
      <c r="I5938">
        <f t="shared" si="184"/>
        <v>1</v>
      </c>
      <c r="J5938" t="str">
        <f t="shared" si="185"/>
        <v>Complete</v>
      </c>
      <c r="K5938">
        <f>COUNTIFS(RawData[Item], B5938,RawData[Quantity],C5938,RawData[Price Per Unit],D5938,RawData[Total Spent],E5938,RawData[Payment Method],F5938,RawData[Location],G5938,RawData[Transaction Date],H5938)</f>
        <v>1</v>
      </c>
      <c r="L5938"/>
    </row>
    <row r="5939" spans="1:12" x14ac:dyDescent="0.3">
      <c r="A5939" t="s">
        <v>5945</v>
      </c>
      <c r="B5939" t="s">
        <v>10011</v>
      </c>
      <c r="C5939">
        <v>4</v>
      </c>
      <c r="D5939">
        <v>5</v>
      </c>
      <c r="E5939">
        <v>20</v>
      </c>
      <c r="F5939" t="s">
        <v>10018</v>
      </c>
      <c r="G5939" t="s">
        <v>10102</v>
      </c>
      <c r="H5939" s="6">
        <v>45156</v>
      </c>
      <c r="I5939">
        <f t="shared" si="184"/>
        <v>0</v>
      </c>
      <c r="J5939" t="str">
        <f t="shared" si="185"/>
        <v>Complete</v>
      </c>
      <c r="K5939">
        <f>COUNTIFS(RawData[Item], B5939,RawData[Quantity],C5939,RawData[Price Per Unit],D5939,RawData[Total Spent],E5939,RawData[Payment Method],F5939,RawData[Location],G5939,RawData[Transaction Date],H5939)</f>
        <v>1</v>
      </c>
      <c r="L5939"/>
    </row>
    <row r="5940" spans="1:12" x14ac:dyDescent="0.3">
      <c r="A5940" t="s">
        <v>5946</v>
      </c>
      <c r="B5940" t="s">
        <v>10015</v>
      </c>
      <c r="C5940">
        <v>2</v>
      </c>
      <c r="D5940">
        <v>1.5</v>
      </c>
      <c r="E5940">
        <v>3</v>
      </c>
      <c r="F5940" t="s">
        <v>10020</v>
      </c>
      <c r="G5940" t="s">
        <v>10102</v>
      </c>
      <c r="H5940" s="6">
        <v>45283</v>
      </c>
      <c r="I5940">
        <f t="shared" si="184"/>
        <v>1</v>
      </c>
      <c r="J5940" t="str">
        <f t="shared" si="185"/>
        <v>Complete</v>
      </c>
      <c r="K5940">
        <f>COUNTIFS(RawData[Item], B5940,RawData[Quantity],C5940,RawData[Price Per Unit],D5940,RawData[Total Spent],E5940,RawData[Payment Method],F5940,RawData[Location],G5940,RawData[Transaction Date],H5940)</f>
        <v>1</v>
      </c>
      <c r="L5940"/>
    </row>
    <row r="5941" spans="1:12" x14ac:dyDescent="0.3">
      <c r="A5941" t="s">
        <v>5947</v>
      </c>
      <c r="B5941" t="s">
        <v>10010</v>
      </c>
      <c r="C5941">
        <v>3</v>
      </c>
      <c r="D5941">
        <v>1</v>
      </c>
      <c r="E5941">
        <v>3</v>
      </c>
      <c r="F5941" t="s">
        <v>10018</v>
      </c>
      <c r="G5941" t="s">
        <v>10021</v>
      </c>
      <c r="H5941" s="6">
        <v>45149</v>
      </c>
      <c r="I5941">
        <f t="shared" si="184"/>
        <v>0</v>
      </c>
      <c r="J5941" t="str">
        <f t="shared" si="185"/>
        <v>Complete</v>
      </c>
      <c r="K5941">
        <f>COUNTIFS(RawData[Item], B5941,RawData[Quantity],C5941,RawData[Price Per Unit],D5941,RawData[Total Spent],E5941,RawData[Payment Method],F5941,RawData[Location],G5941,RawData[Transaction Date],H5941)</f>
        <v>1</v>
      </c>
      <c r="L5941"/>
    </row>
    <row r="5942" spans="1:12" x14ac:dyDescent="0.3">
      <c r="A5942" t="s">
        <v>5948</v>
      </c>
      <c r="B5942" t="s">
        <v>10011</v>
      </c>
      <c r="C5942">
        <v>1</v>
      </c>
      <c r="D5942">
        <v>5</v>
      </c>
      <c r="E5942">
        <v>5</v>
      </c>
      <c r="F5942" t="s">
        <v>10018</v>
      </c>
      <c r="G5942" t="s">
        <v>10021</v>
      </c>
      <c r="H5942" s="6">
        <v>45067</v>
      </c>
      <c r="I5942">
        <f t="shared" si="184"/>
        <v>0</v>
      </c>
      <c r="J5942" t="str">
        <f t="shared" si="185"/>
        <v>Complete</v>
      </c>
      <c r="K5942">
        <f>COUNTIFS(RawData[Item], B5942,RawData[Quantity],C5942,RawData[Price Per Unit],D5942,RawData[Total Spent],E5942,RawData[Payment Method],F5942,RawData[Location],G5942,RawData[Transaction Date],H5942)</f>
        <v>1</v>
      </c>
      <c r="L5942"/>
    </row>
    <row r="5943" spans="1:12" x14ac:dyDescent="0.3">
      <c r="A5943" t="s">
        <v>5949</v>
      </c>
      <c r="B5943" t="s">
        <v>10009</v>
      </c>
      <c r="C5943">
        <v>3</v>
      </c>
      <c r="D5943">
        <v>3</v>
      </c>
      <c r="E5943">
        <v>9</v>
      </c>
      <c r="F5943" t="s">
        <v>10020</v>
      </c>
      <c r="G5943" t="s">
        <v>10021</v>
      </c>
      <c r="H5943" s="6">
        <v>45195</v>
      </c>
      <c r="I5943">
        <f t="shared" si="184"/>
        <v>0</v>
      </c>
      <c r="J5943" t="str">
        <f t="shared" si="185"/>
        <v>Complete</v>
      </c>
      <c r="K5943">
        <f>COUNTIFS(RawData[Item], B5943,RawData[Quantity],C5943,RawData[Price Per Unit],D5943,RawData[Total Spent],E5943,RawData[Payment Method],F5943,RawData[Location],G5943,RawData[Transaction Date],H5943)</f>
        <v>1</v>
      </c>
      <c r="L5943"/>
    </row>
    <row r="5944" spans="1:12" x14ac:dyDescent="0.3">
      <c r="A5944" t="s">
        <v>5950</v>
      </c>
      <c r="B5944" t="s">
        <v>10009</v>
      </c>
      <c r="C5944">
        <v>2</v>
      </c>
      <c r="D5944">
        <v>3</v>
      </c>
      <c r="E5944">
        <v>6</v>
      </c>
      <c r="F5944" t="s">
        <v>10019</v>
      </c>
      <c r="G5944" t="s">
        <v>10104</v>
      </c>
      <c r="H5944" s="6">
        <v>45024</v>
      </c>
      <c r="I5944">
        <f t="shared" si="184"/>
        <v>1</v>
      </c>
      <c r="J5944" t="str">
        <f t="shared" si="185"/>
        <v>Complete</v>
      </c>
      <c r="K5944">
        <f>COUNTIFS(RawData[Item], B5944,RawData[Quantity],C5944,RawData[Price Per Unit],D5944,RawData[Total Spent],E5944,RawData[Payment Method],F5944,RawData[Location],G5944,RawData[Transaction Date],H5944)</f>
        <v>1</v>
      </c>
      <c r="L5944"/>
    </row>
    <row r="5945" spans="1:12" x14ac:dyDescent="0.3">
      <c r="A5945" t="s">
        <v>5951</v>
      </c>
      <c r="B5945" t="s">
        <v>10014</v>
      </c>
      <c r="C5945">
        <v>4</v>
      </c>
      <c r="D5945">
        <v>4</v>
      </c>
      <c r="E5945">
        <v>16</v>
      </c>
      <c r="F5945" t="s">
        <v>10018</v>
      </c>
      <c r="G5945" t="s">
        <v>10021</v>
      </c>
      <c r="H5945" s="6">
        <v>45095</v>
      </c>
      <c r="I5945">
        <f t="shared" si="184"/>
        <v>0</v>
      </c>
      <c r="J5945" t="str">
        <f t="shared" si="185"/>
        <v>Complete</v>
      </c>
      <c r="K5945">
        <f>COUNTIFS(RawData[Item], B5945,RawData[Quantity],C5945,RawData[Price Per Unit],D5945,RawData[Total Spent],E5945,RawData[Payment Method],F5945,RawData[Location],G5945,RawData[Transaction Date],H5945)</f>
        <v>1</v>
      </c>
      <c r="L5945"/>
    </row>
    <row r="5946" spans="1:12" x14ac:dyDescent="0.3">
      <c r="A5946" t="s">
        <v>5952</v>
      </c>
      <c r="B5946" t="s">
        <v>10008</v>
      </c>
      <c r="C5946">
        <v>5</v>
      </c>
      <c r="D5946">
        <v>2</v>
      </c>
      <c r="E5946">
        <v>10</v>
      </c>
      <c r="F5946" t="s">
        <v>10069</v>
      </c>
      <c r="G5946" t="s">
        <v>10069</v>
      </c>
      <c r="H5946" s="6">
        <v>45284</v>
      </c>
      <c r="I5946">
        <f t="shared" si="184"/>
        <v>0</v>
      </c>
      <c r="J5946" t="str">
        <f t="shared" si="185"/>
        <v>Complete</v>
      </c>
      <c r="K5946">
        <f>COUNTIFS(RawData[Item], B5946,RawData[Quantity],C5946,RawData[Price Per Unit],D5946,RawData[Total Spent],E5946,RawData[Payment Method],F5946,RawData[Location],G5946,RawData[Transaction Date],H5946)</f>
        <v>1</v>
      </c>
      <c r="L5946"/>
    </row>
    <row r="5947" spans="1:12" x14ac:dyDescent="0.3">
      <c r="A5947" t="s">
        <v>5953</v>
      </c>
      <c r="B5947" t="s">
        <v>10017</v>
      </c>
      <c r="C5947">
        <v>1</v>
      </c>
      <c r="D5947">
        <v>1.5</v>
      </c>
      <c r="E5947">
        <v>1.5</v>
      </c>
      <c r="F5947" t="s">
        <v>10019</v>
      </c>
      <c r="G5947" t="s">
        <v>10102</v>
      </c>
      <c r="H5947" s="6">
        <v>45244</v>
      </c>
      <c r="I5947">
        <f t="shared" si="184"/>
        <v>0</v>
      </c>
      <c r="J5947" t="str">
        <f t="shared" si="185"/>
        <v>Complete</v>
      </c>
      <c r="K5947">
        <f>COUNTIFS(RawData[Item], B5947,RawData[Quantity],C5947,RawData[Price Per Unit],D5947,RawData[Total Spent],E5947,RawData[Payment Method],F5947,RawData[Location],G5947,RawData[Transaction Date],H5947)</f>
        <v>1</v>
      </c>
      <c r="L5947"/>
    </row>
    <row r="5948" spans="1:12" x14ac:dyDescent="0.3">
      <c r="A5948" t="s">
        <v>5954</v>
      </c>
      <c r="B5948" t="s">
        <v>10017</v>
      </c>
      <c r="C5948">
        <v>2</v>
      </c>
      <c r="D5948">
        <v>1.5</v>
      </c>
      <c r="E5948">
        <v>3</v>
      </c>
      <c r="F5948" t="s">
        <v>10069</v>
      </c>
      <c r="G5948" t="s">
        <v>10021</v>
      </c>
      <c r="H5948" s="6">
        <v>45226</v>
      </c>
      <c r="I5948">
        <f t="shared" si="184"/>
        <v>0</v>
      </c>
      <c r="J5948" t="str">
        <f t="shared" si="185"/>
        <v>Complete</v>
      </c>
      <c r="K5948">
        <f>COUNTIFS(RawData[Item], B5948,RawData[Quantity],C5948,RawData[Price Per Unit],D5948,RawData[Total Spent],E5948,RawData[Payment Method],F5948,RawData[Location],G5948,RawData[Transaction Date],H5948)</f>
        <v>1</v>
      </c>
      <c r="L5948"/>
    </row>
    <row r="5949" spans="1:12" x14ac:dyDescent="0.3">
      <c r="A5949" t="s">
        <v>5955</v>
      </c>
      <c r="B5949" t="s">
        <v>10011</v>
      </c>
      <c r="C5949">
        <v>1</v>
      </c>
      <c r="D5949">
        <v>5</v>
      </c>
      <c r="E5949">
        <v>5</v>
      </c>
      <c r="F5949" t="s">
        <v>10019</v>
      </c>
      <c r="G5949" t="s">
        <v>10069</v>
      </c>
      <c r="H5949" s="6">
        <v>44984</v>
      </c>
      <c r="I5949">
        <f t="shared" si="184"/>
        <v>0</v>
      </c>
      <c r="J5949" t="str">
        <f t="shared" si="185"/>
        <v>Complete</v>
      </c>
      <c r="K5949">
        <f>COUNTIFS(RawData[Item], B5949,RawData[Quantity],C5949,RawData[Price Per Unit],D5949,RawData[Total Spent],E5949,RawData[Payment Method],F5949,RawData[Location],G5949,RawData[Transaction Date],H5949)</f>
        <v>1</v>
      </c>
      <c r="L5949"/>
    </row>
    <row r="5950" spans="1:12" x14ac:dyDescent="0.3">
      <c r="A5950" t="s">
        <v>5956</v>
      </c>
      <c r="B5950" t="s">
        <v>10017</v>
      </c>
      <c r="C5950">
        <v>3</v>
      </c>
      <c r="D5950">
        <v>1.5</v>
      </c>
      <c r="E5950">
        <v>4.5</v>
      </c>
      <c r="F5950" t="s">
        <v>10020</v>
      </c>
      <c r="G5950" t="s">
        <v>10102</v>
      </c>
      <c r="H5950" s="6">
        <v>45228</v>
      </c>
      <c r="I5950">
        <f t="shared" si="184"/>
        <v>0</v>
      </c>
      <c r="J5950" t="str">
        <f t="shared" si="185"/>
        <v>Complete</v>
      </c>
      <c r="K5950">
        <f>COUNTIFS(RawData[Item], B5950,RawData[Quantity],C5950,RawData[Price Per Unit],D5950,RawData[Total Spent],E5950,RawData[Payment Method],F5950,RawData[Location],G5950,RawData[Transaction Date],H5950)</f>
        <v>1</v>
      </c>
      <c r="L5950"/>
    </row>
    <row r="5951" spans="1:12" x14ac:dyDescent="0.3">
      <c r="A5951" t="s">
        <v>5957</v>
      </c>
      <c r="B5951" t="s">
        <v>10010</v>
      </c>
      <c r="C5951">
        <v>4</v>
      </c>
      <c r="D5951">
        <v>1</v>
      </c>
      <c r="E5951">
        <v>4</v>
      </c>
      <c r="F5951" t="s">
        <v>10104</v>
      </c>
      <c r="G5951" t="s">
        <v>10102</v>
      </c>
      <c r="H5951" s="6">
        <v>45201</v>
      </c>
      <c r="I5951">
        <f t="shared" si="184"/>
        <v>1</v>
      </c>
      <c r="J5951" t="str">
        <f t="shared" si="185"/>
        <v>Complete</v>
      </c>
      <c r="K5951">
        <f>COUNTIFS(RawData[Item], B5951,RawData[Quantity],C5951,RawData[Price Per Unit],D5951,RawData[Total Spent],E5951,RawData[Payment Method],F5951,RawData[Location],G5951,RawData[Transaction Date],H5951)</f>
        <v>1</v>
      </c>
      <c r="L5951"/>
    </row>
    <row r="5952" spans="1:12" x14ac:dyDescent="0.3">
      <c r="A5952" t="s">
        <v>5958</v>
      </c>
      <c r="B5952" t="s">
        <v>10011</v>
      </c>
      <c r="C5952">
        <v>5</v>
      </c>
      <c r="D5952">
        <v>5</v>
      </c>
      <c r="E5952">
        <v>25</v>
      </c>
      <c r="F5952" t="s">
        <v>10020</v>
      </c>
      <c r="G5952" t="s">
        <v>10021</v>
      </c>
      <c r="H5952" s="6">
        <v>45143</v>
      </c>
      <c r="I5952">
        <f t="shared" si="184"/>
        <v>0</v>
      </c>
      <c r="J5952" t="str">
        <f t="shared" si="185"/>
        <v>Complete</v>
      </c>
      <c r="K5952">
        <f>COUNTIFS(RawData[Item], B5952,RawData[Quantity],C5952,RawData[Price Per Unit],D5952,RawData[Total Spent],E5952,RawData[Payment Method],F5952,RawData[Location],G5952,RawData[Transaction Date],H5952)</f>
        <v>1</v>
      </c>
      <c r="L5952"/>
    </row>
    <row r="5953" spans="1:12" x14ac:dyDescent="0.3">
      <c r="A5953" t="s">
        <v>5959</v>
      </c>
      <c r="B5953" t="s">
        <v>10011</v>
      </c>
      <c r="C5953">
        <v>2</v>
      </c>
      <c r="D5953">
        <v>5</v>
      </c>
      <c r="E5953">
        <v>10</v>
      </c>
      <c r="F5953" t="s">
        <v>10069</v>
      </c>
      <c r="G5953" t="s">
        <v>10102</v>
      </c>
      <c r="H5953" s="6">
        <v>45190</v>
      </c>
      <c r="I5953">
        <f t="shared" si="184"/>
        <v>0</v>
      </c>
      <c r="J5953" t="str">
        <f t="shared" si="185"/>
        <v>Complete</v>
      </c>
      <c r="K5953">
        <f>COUNTIFS(RawData[Item], B5953,RawData[Quantity],C5953,RawData[Price Per Unit],D5953,RawData[Total Spent],E5953,RawData[Payment Method],F5953,RawData[Location],G5953,RawData[Transaction Date],H5953)</f>
        <v>1</v>
      </c>
      <c r="L5953"/>
    </row>
    <row r="5954" spans="1:12" x14ac:dyDescent="0.3">
      <c r="A5954" t="s">
        <v>5960</v>
      </c>
      <c r="B5954" t="s">
        <v>10009</v>
      </c>
      <c r="C5954">
        <v>2</v>
      </c>
      <c r="D5954">
        <v>3</v>
      </c>
      <c r="E5954">
        <v>6</v>
      </c>
      <c r="F5954" t="s">
        <v>10069</v>
      </c>
      <c r="G5954" t="s">
        <v>10069</v>
      </c>
      <c r="H5954" s="6">
        <v>45014</v>
      </c>
      <c r="I5954">
        <f t="shared" ref="I5954:I6017" si="186">(B5954="Unknown")+(B5954="Error")+(C5954="Unknown")+(C5954="Error")+(D5954="Unknown")+(D5954="Error")+(E5954="Unknown")+(E5954="Error")+(F5954="Unknown")+(F5954="Error")+(G5954="Unknown")+(G5954="Error")+(H5954="No Date")</f>
        <v>0</v>
      </c>
      <c r="J5954" t="str">
        <f t="shared" ref="J5954:J6017" si="187">IF((H5954="No Date"),"Incomplete","Complete")</f>
        <v>Complete</v>
      </c>
      <c r="K5954">
        <f>COUNTIFS(RawData[Item], B5954,RawData[Quantity],C5954,RawData[Price Per Unit],D5954,RawData[Total Spent],E5954,RawData[Payment Method],F5954,RawData[Location],G5954,RawData[Transaction Date],H5954)</f>
        <v>1</v>
      </c>
      <c r="L5954"/>
    </row>
    <row r="5955" spans="1:12" x14ac:dyDescent="0.3">
      <c r="A5955" t="s">
        <v>5961</v>
      </c>
      <c r="B5955" t="s">
        <v>10016</v>
      </c>
      <c r="C5955">
        <v>4</v>
      </c>
      <c r="D5955">
        <v>3</v>
      </c>
      <c r="E5955">
        <v>12</v>
      </c>
      <c r="F5955" t="s">
        <v>10020</v>
      </c>
      <c r="G5955" t="s">
        <v>10021</v>
      </c>
      <c r="H5955" s="6">
        <v>44985</v>
      </c>
      <c r="I5955">
        <f t="shared" si="186"/>
        <v>0</v>
      </c>
      <c r="J5955" t="str">
        <f t="shared" si="187"/>
        <v>Complete</v>
      </c>
      <c r="K5955">
        <f>COUNTIFS(RawData[Item], B5955,RawData[Quantity],C5955,RawData[Price Per Unit],D5955,RawData[Total Spent],E5955,RawData[Payment Method],F5955,RawData[Location],G5955,RawData[Transaction Date],H5955)</f>
        <v>1</v>
      </c>
      <c r="L5955"/>
    </row>
    <row r="5956" spans="1:12" x14ac:dyDescent="0.3">
      <c r="A5956" t="s">
        <v>5962</v>
      </c>
      <c r="B5956" t="s">
        <v>10008</v>
      </c>
      <c r="C5956">
        <v>3</v>
      </c>
      <c r="D5956">
        <v>2</v>
      </c>
      <c r="E5956">
        <v>6</v>
      </c>
      <c r="F5956" t="s">
        <v>10069</v>
      </c>
      <c r="G5956" t="s">
        <v>10069</v>
      </c>
      <c r="H5956" s="6">
        <v>45235</v>
      </c>
      <c r="I5956">
        <f t="shared" si="186"/>
        <v>0</v>
      </c>
      <c r="J5956" t="str">
        <f t="shared" si="187"/>
        <v>Complete</v>
      </c>
      <c r="K5956">
        <f>COUNTIFS(RawData[Item], B5956,RawData[Quantity],C5956,RawData[Price Per Unit],D5956,RawData[Total Spent],E5956,RawData[Payment Method],F5956,RawData[Location],G5956,RawData[Transaction Date],H5956)</f>
        <v>1</v>
      </c>
      <c r="L5956"/>
    </row>
    <row r="5957" spans="1:12" x14ac:dyDescent="0.3">
      <c r="A5957" t="s">
        <v>5963</v>
      </c>
      <c r="B5957" t="s">
        <v>10016</v>
      </c>
      <c r="C5957">
        <v>4</v>
      </c>
      <c r="D5957">
        <v>3</v>
      </c>
      <c r="E5957">
        <v>12</v>
      </c>
      <c r="F5957" t="s">
        <v>10019</v>
      </c>
      <c r="G5957" t="s">
        <v>10021</v>
      </c>
      <c r="H5957" s="6">
        <v>45079</v>
      </c>
      <c r="I5957">
        <f t="shared" si="186"/>
        <v>0</v>
      </c>
      <c r="J5957" t="str">
        <f t="shared" si="187"/>
        <v>Complete</v>
      </c>
      <c r="K5957">
        <f>COUNTIFS(RawData[Item], B5957,RawData[Quantity],C5957,RawData[Price Per Unit],D5957,RawData[Total Spent],E5957,RawData[Payment Method],F5957,RawData[Location],G5957,RawData[Transaction Date],H5957)</f>
        <v>1</v>
      </c>
      <c r="L5957"/>
    </row>
    <row r="5958" spans="1:12" x14ac:dyDescent="0.3">
      <c r="A5958" t="s">
        <v>5964</v>
      </c>
      <c r="B5958" t="s">
        <v>10014</v>
      </c>
      <c r="C5958">
        <v>0</v>
      </c>
      <c r="D5958">
        <v>4</v>
      </c>
      <c r="E5958">
        <v>20</v>
      </c>
      <c r="F5958" t="s">
        <v>10020</v>
      </c>
      <c r="G5958" t="s">
        <v>10102</v>
      </c>
      <c r="H5958" s="6">
        <v>45194</v>
      </c>
      <c r="I5958">
        <f t="shared" si="186"/>
        <v>0</v>
      </c>
      <c r="J5958" t="str">
        <f t="shared" si="187"/>
        <v>Complete</v>
      </c>
      <c r="K5958">
        <f>COUNTIFS(RawData[Item], B5958,RawData[Quantity],C5958,RawData[Price Per Unit],D5958,RawData[Total Spent],E5958,RawData[Payment Method],F5958,RawData[Location],G5958,RawData[Transaction Date],H5958)</f>
        <v>1</v>
      </c>
      <c r="L5958"/>
    </row>
    <row r="5959" spans="1:12" x14ac:dyDescent="0.3">
      <c r="A5959" t="s">
        <v>5965</v>
      </c>
      <c r="B5959" t="s">
        <v>10014</v>
      </c>
      <c r="C5959">
        <v>5</v>
      </c>
      <c r="D5959">
        <v>4</v>
      </c>
      <c r="E5959">
        <v>20</v>
      </c>
      <c r="F5959" t="s">
        <v>10020</v>
      </c>
      <c r="G5959" t="s">
        <v>10069</v>
      </c>
      <c r="H5959" s="6">
        <v>45202</v>
      </c>
      <c r="I5959">
        <f t="shared" si="186"/>
        <v>0</v>
      </c>
      <c r="J5959" t="str">
        <f t="shared" si="187"/>
        <v>Complete</v>
      </c>
      <c r="K5959">
        <f>COUNTIFS(RawData[Item], B5959,RawData[Quantity],C5959,RawData[Price Per Unit],D5959,RawData[Total Spent],E5959,RawData[Payment Method],F5959,RawData[Location],G5959,RawData[Transaction Date],H5959)</f>
        <v>1</v>
      </c>
      <c r="L5959"/>
    </row>
    <row r="5960" spans="1:12" x14ac:dyDescent="0.3">
      <c r="A5960" t="s">
        <v>5966</v>
      </c>
      <c r="B5960" t="s">
        <v>10011</v>
      </c>
      <c r="C5960">
        <v>4</v>
      </c>
      <c r="D5960">
        <v>5</v>
      </c>
      <c r="E5960">
        <v>20</v>
      </c>
      <c r="F5960" t="s">
        <v>10018</v>
      </c>
      <c r="G5960" t="s">
        <v>10102</v>
      </c>
      <c r="H5960" s="6">
        <v>45001</v>
      </c>
      <c r="I5960">
        <f t="shared" si="186"/>
        <v>0</v>
      </c>
      <c r="J5960" t="str">
        <f t="shared" si="187"/>
        <v>Complete</v>
      </c>
      <c r="K5960">
        <f>COUNTIFS(RawData[Item], B5960,RawData[Quantity],C5960,RawData[Price Per Unit],D5960,RawData[Total Spent],E5960,RawData[Payment Method],F5960,RawData[Location],G5960,RawData[Transaction Date],H5960)</f>
        <v>1</v>
      </c>
      <c r="L5960"/>
    </row>
    <row r="5961" spans="1:12" x14ac:dyDescent="0.3">
      <c r="A5961" t="s">
        <v>5967</v>
      </c>
      <c r="B5961" t="s">
        <v>10016</v>
      </c>
      <c r="C5961">
        <v>5</v>
      </c>
      <c r="D5961">
        <v>3</v>
      </c>
      <c r="E5961">
        <v>15</v>
      </c>
      <c r="F5961" t="s">
        <v>10018</v>
      </c>
      <c r="G5961" t="s">
        <v>10021</v>
      </c>
      <c r="H5961" s="6">
        <v>45125</v>
      </c>
      <c r="I5961">
        <f t="shared" si="186"/>
        <v>0</v>
      </c>
      <c r="J5961" t="str">
        <f t="shared" si="187"/>
        <v>Complete</v>
      </c>
      <c r="K5961">
        <f>COUNTIFS(RawData[Item], B5961,RawData[Quantity],C5961,RawData[Price Per Unit],D5961,RawData[Total Spent],E5961,RawData[Payment Method],F5961,RawData[Location],G5961,RawData[Transaction Date],H5961)</f>
        <v>1</v>
      </c>
      <c r="L5961"/>
    </row>
    <row r="5962" spans="1:12" x14ac:dyDescent="0.3">
      <c r="A5962" t="s">
        <v>5968</v>
      </c>
      <c r="B5962" t="s">
        <v>10009</v>
      </c>
      <c r="C5962">
        <v>2</v>
      </c>
      <c r="D5962">
        <v>3</v>
      </c>
      <c r="E5962">
        <v>6</v>
      </c>
      <c r="F5962" t="s">
        <v>10018</v>
      </c>
      <c r="G5962" t="s">
        <v>10021</v>
      </c>
      <c r="H5962" s="6">
        <v>45150</v>
      </c>
      <c r="I5962">
        <f t="shared" si="186"/>
        <v>0</v>
      </c>
      <c r="J5962" t="str">
        <f t="shared" si="187"/>
        <v>Complete</v>
      </c>
      <c r="K5962">
        <f>COUNTIFS(RawData[Item], B5962,RawData[Quantity],C5962,RawData[Price Per Unit],D5962,RawData[Total Spent],E5962,RawData[Payment Method],F5962,RawData[Location],G5962,RawData[Transaction Date],H5962)</f>
        <v>1</v>
      </c>
      <c r="L5962"/>
    </row>
    <row r="5963" spans="1:12" x14ac:dyDescent="0.3">
      <c r="A5963" t="s">
        <v>5969</v>
      </c>
      <c r="B5963" t="s">
        <v>10013</v>
      </c>
      <c r="C5963">
        <v>1</v>
      </c>
      <c r="D5963">
        <v>4</v>
      </c>
      <c r="E5963">
        <v>4</v>
      </c>
      <c r="F5963" t="s">
        <v>10018</v>
      </c>
      <c r="G5963" t="s">
        <v>10069</v>
      </c>
      <c r="H5963" s="6">
        <v>45188</v>
      </c>
      <c r="I5963">
        <f t="shared" si="186"/>
        <v>1</v>
      </c>
      <c r="J5963" t="str">
        <f t="shared" si="187"/>
        <v>Complete</v>
      </c>
      <c r="K5963">
        <f>COUNTIFS(RawData[Item], B5963,RawData[Quantity],C5963,RawData[Price Per Unit],D5963,RawData[Total Spent],E5963,RawData[Payment Method],F5963,RawData[Location],G5963,RawData[Transaction Date],H5963)</f>
        <v>1</v>
      </c>
      <c r="L5963"/>
    </row>
    <row r="5964" spans="1:12" x14ac:dyDescent="0.3">
      <c r="A5964" t="s">
        <v>5970</v>
      </c>
      <c r="B5964" t="s">
        <v>10010</v>
      </c>
      <c r="C5964">
        <v>4</v>
      </c>
      <c r="D5964">
        <v>1</v>
      </c>
      <c r="E5964">
        <v>4</v>
      </c>
      <c r="F5964" t="s">
        <v>10069</v>
      </c>
      <c r="G5964" t="s">
        <v>10069</v>
      </c>
      <c r="H5964" s="6">
        <v>45075</v>
      </c>
      <c r="I5964">
        <f t="shared" si="186"/>
        <v>0</v>
      </c>
      <c r="J5964" t="str">
        <f t="shared" si="187"/>
        <v>Complete</v>
      </c>
      <c r="K5964">
        <f>COUNTIFS(RawData[Item], B5964,RawData[Quantity],C5964,RawData[Price Per Unit],D5964,RawData[Total Spent],E5964,RawData[Payment Method],F5964,RawData[Location],G5964,RawData[Transaction Date],H5964)</f>
        <v>1</v>
      </c>
      <c r="L5964"/>
    </row>
    <row r="5965" spans="1:12" x14ac:dyDescent="0.3">
      <c r="A5965" t="s">
        <v>5971</v>
      </c>
      <c r="B5965" t="s">
        <v>10012</v>
      </c>
      <c r="C5965">
        <v>1</v>
      </c>
      <c r="D5965">
        <v>4</v>
      </c>
      <c r="E5965" t="s">
        <v>10013</v>
      </c>
      <c r="F5965" t="s">
        <v>10020</v>
      </c>
      <c r="G5965" t="s">
        <v>10069</v>
      </c>
      <c r="H5965" s="6">
        <v>45251</v>
      </c>
      <c r="I5965">
        <f t="shared" si="186"/>
        <v>1</v>
      </c>
      <c r="J5965" t="str">
        <f t="shared" si="187"/>
        <v>Complete</v>
      </c>
      <c r="K5965">
        <f>COUNTIFS(RawData[Item], B5965,RawData[Quantity],C5965,RawData[Price Per Unit],D5965,RawData[Total Spent],E5965,RawData[Payment Method],F5965,RawData[Location],G5965,RawData[Transaction Date],H5965)</f>
        <v>1</v>
      </c>
      <c r="L5965"/>
    </row>
    <row r="5966" spans="1:12" x14ac:dyDescent="0.3">
      <c r="A5966" t="s">
        <v>5972</v>
      </c>
      <c r="B5966" t="s">
        <v>10017</v>
      </c>
      <c r="C5966">
        <v>3</v>
      </c>
      <c r="D5966">
        <v>1.5</v>
      </c>
      <c r="E5966">
        <v>4.5</v>
      </c>
      <c r="F5966" t="s">
        <v>10069</v>
      </c>
      <c r="G5966" t="s">
        <v>10102</v>
      </c>
      <c r="H5966" s="6">
        <v>45190</v>
      </c>
      <c r="I5966">
        <f t="shared" si="186"/>
        <v>0</v>
      </c>
      <c r="J5966" t="str">
        <f t="shared" si="187"/>
        <v>Complete</v>
      </c>
      <c r="K5966">
        <f>COUNTIFS(RawData[Item], B5966,RawData[Quantity],C5966,RawData[Price Per Unit],D5966,RawData[Total Spent],E5966,RawData[Payment Method],F5966,RawData[Location],G5966,RawData[Transaction Date],H5966)</f>
        <v>1</v>
      </c>
      <c r="L5966"/>
    </row>
    <row r="5967" spans="1:12" x14ac:dyDescent="0.3">
      <c r="A5967" t="s">
        <v>5973</v>
      </c>
      <c r="B5967" t="s">
        <v>10008</v>
      </c>
      <c r="C5967">
        <v>0</v>
      </c>
      <c r="D5967">
        <v>2</v>
      </c>
      <c r="E5967">
        <v>2</v>
      </c>
      <c r="F5967" t="s">
        <v>10019</v>
      </c>
      <c r="G5967" t="s">
        <v>10069</v>
      </c>
      <c r="H5967" s="6">
        <v>45027</v>
      </c>
      <c r="I5967">
        <f t="shared" si="186"/>
        <v>0</v>
      </c>
      <c r="J5967" t="str">
        <f t="shared" si="187"/>
        <v>Complete</v>
      </c>
      <c r="K5967">
        <f>COUNTIFS(RawData[Item], B5967,RawData[Quantity],C5967,RawData[Price Per Unit],D5967,RawData[Total Spent],E5967,RawData[Payment Method],F5967,RawData[Location],G5967,RawData[Transaction Date],H5967)</f>
        <v>1</v>
      </c>
      <c r="L5967"/>
    </row>
    <row r="5968" spans="1:12" x14ac:dyDescent="0.3">
      <c r="A5968" t="s">
        <v>5974</v>
      </c>
      <c r="B5968" t="s">
        <v>10017</v>
      </c>
      <c r="C5968">
        <v>0</v>
      </c>
      <c r="D5968">
        <v>1.5</v>
      </c>
      <c r="E5968">
        <v>1.5</v>
      </c>
      <c r="F5968" t="s">
        <v>10020</v>
      </c>
      <c r="G5968" t="s">
        <v>10021</v>
      </c>
      <c r="H5968" s="6">
        <v>45115</v>
      </c>
      <c r="I5968">
        <f t="shared" si="186"/>
        <v>0</v>
      </c>
      <c r="J5968" t="str">
        <f t="shared" si="187"/>
        <v>Complete</v>
      </c>
      <c r="K5968">
        <f>COUNTIFS(RawData[Item], B5968,RawData[Quantity],C5968,RawData[Price Per Unit],D5968,RawData[Total Spent],E5968,RawData[Payment Method],F5968,RawData[Location],G5968,RawData[Transaction Date],H5968)</f>
        <v>1</v>
      </c>
      <c r="L5968"/>
    </row>
    <row r="5969" spans="1:12" x14ac:dyDescent="0.3">
      <c r="A5969" t="s">
        <v>5975</v>
      </c>
      <c r="B5969" t="s">
        <v>10012</v>
      </c>
      <c r="C5969">
        <v>5</v>
      </c>
      <c r="D5969">
        <v>4</v>
      </c>
      <c r="E5969">
        <v>20</v>
      </c>
      <c r="F5969" t="s">
        <v>10019</v>
      </c>
      <c r="G5969" t="s">
        <v>10069</v>
      </c>
      <c r="H5969" s="6">
        <v>45188</v>
      </c>
      <c r="I5969">
        <f t="shared" si="186"/>
        <v>0</v>
      </c>
      <c r="J5969" t="str">
        <f t="shared" si="187"/>
        <v>Complete</v>
      </c>
      <c r="K5969">
        <f>COUNTIFS(RawData[Item], B5969,RawData[Quantity],C5969,RawData[Price Per Unit],D5969,RawData[Total Spent],E5969,RawData[Payment Method],F5969,RawData[Location],G5969,RawData[Transaction Date],H5969)</f>
        <v>1</v>
      </c>
      <c r="L5969"/>
    </row>
    <row r="5970" spans="1:12" x14ac:dyDescent="0.3">
      <c r="A5970" t="s">
        <v>5976</v>
      </c>
      <c r="B5970" t="s">
        <v>10014</v>
      </c>
      <c r="C5970">
        <v>1</v>
      </c>
      <c r="D5970">
        <v>4</v>
      </c>
      <c r="E5970">
        <v>4</v>
      </c>
      <c r="F5970" t="s">
        <v>10018</v>
      </c>
      <c r="G5970" t="s">
        <v>10021</v>
      </c>
      <c r="H5970" s="6">
        <v>44954</v>
      </c>
      <c r="I5970">
        <f t="shared" si="186"/>
        <v>0</v>
      </c>
      <c r="J5970" t="str">
        <f t="shared" si="187"/>
        <v>Complete</v>
      </c>
      <c r="K5970">
        <f>COUNTIFS(RawData[Item], B5970,RawData[Quantity],C5970,RawData[Price Per Unit],D5970,RawData[Total Spent],E5970,RawData[Payment Method],F5970,RawData[Location],G5970,RawData[Transaction Date],H5970)</f>
        <v>1</v>
      </c>
      <c r="L5970"/>
    </row>
    <row r="5971" spans="1:12" x14ac:dyDescent="0.3">
      <c r="A5971" t="s">
        <v>5977</v>
      </c>
      <c r="B5971" t="s">
        <v>10010</v>
      </c>
      <c r="C5971">
        <v>4</v>
      </c>
      <c r="D5971">
        <v>1</v>
      </c>
      <c r="E5971">
        <v>4</v>
      </c>
      <c r="F5971" t="s">
        <v>10020</v>
      </c>
      <c r="G5971" t="s">
        <v>10069</v>
      </c>
      <c r="H5971" s="6">
        <v>45092</v>
      </c>
      <c r="I5971">
        <f t="shared" si="186"/>
        <v>0</v>
      </c>
      <c r="J5971" t="str">
        <f t="shared" si="187"/>
        <v>Complete</v>
      </c>
      <c r="K5971">
        <f>COUNTIFS(RawData[Item], B5971,RawData[Quantity],C5971,RawData[Price Per Unit],D5971,RawData[Total Spent],E5971,RawData[Payment Method],F5971,RawData[Location],G5971,RawData[Transaction Date],H5971)</f>
        <v>1</v>
      </c>
      <c r="L5971"/>
    </row>
    <row r="5972" spans="1:12" x14ac:dyDescent="0.3">
      <c r="A5972" t="s">
        <v>5978</v>
      </c>
      <c r="B5972" t="s">
        <v>10012</v>
      </c>
      <c r="C5972">
        <v>4</v>
      </c>
      <c r="D5972">
        <v>4</v>
      </c>
      <c r="E5972">
        <v>16</v>
      </c>
      <c r="F5972" t="s">
        <v>10018</v>
      </c>
      <c r="G5972" t="s">
        <v>10069</v>
      </c>
      <c r="H5972" s="6">
        <v>45123</v>
      </c>
      <c r="I5972">
        <f t="shared" si="186"/>
        <v>0</v>
      </c>
      <c r="J5972" t="str">
        <f t="shared" si="187"/>
        <v>Complete</v>
      </c>
      <c r="K5972">
        <f>COUNTIFS(RawData[Item], B5972,RawData[Quantity],C5972,RawData[Price Per Unit],D5972,RawData[Total Spent],E5972,RawData[Payment Method],F5972,RawData[Location],G5972,RawData[Transaction Date],H5972)</f>
        <v>1</v>
      </c>
      <c r="L5972"/>
    </row>
    <row r="5973" spans="1:12" x14ac:dyDescent="0.3">
      <c r="A5973" t="s">
        <v>5979</v>
      </c>
      <c r="B5973" t="s">
        <v>10014</v>
      </c>
      <c r="C5973">
        <v>5</v>
      </c>
      <c r="D5973">
        <v>4</v>
      </c>
      <c r="E5973" t="s">
        <v>10015</v>
      </c>
      <c r="F5973" t="s">
        <v>10069</v>
      </c>
      <c r="G5973" t="s">
        <v>10069</v>
      </c>
      <c r="H5973" s="6">
        <v>45000</v>
      </c>
      <c r="I5973">
        <f t="shared" si="186"/>
        <v>1</v>
      </c>
      <c r="J5973" t="str">
        <f t="shared" si="187"/>
        <v>Complete</v>
      </c>
      <c r="K5973">
        <f>COUNTIFS(RawData[Item], B5973,RawData[Quantity],C5973,RawData[Price Per Unit],D5973,RawData[Total Spent],E5973,RawData[Payment Method],F5973,RawData[Location],G5973,RawData[Transaction Date],H5973)</f>
        <v>1</v>
      </c>
      <c r="L5973"/>
    </row>
    <row r="5974" spans="1:12" x14ac:dyDescent="0.3">
      <c r="A5974" t="s">
        <v>5980</v>
      </c>
      <c r="B5974" t="s">
        <v>10016</v>
      </c>
      <c r="C5974">
        <v>2</v>
      </c>
      <c r="D5974">
        <v>3</v>
      </c>
      <c r="E5974">
        <v>6</v>
      </c>
      <c r="F5974" t="s">
        <v>10020</v>
      </c>
      <c r="G5974" t="s">
        <v>10069</v>
      </c>
      <c r="H5974" s="6">
        <v>45182</v>
      </c>
      <c r="I5974">
        <f t="shared" si="186"/>
        <v>0</v>
      </c>
      <c r="J5974" t="str">
        <f t="shared" si="187"/>
        <v>Complete</v>
      </c>
      <c r="K5974">
        <f>COUNTIFS(RawData[Item], B5974,RawData[Quantity],C5974,RawData[Price Per Unit],D5974,RawData[Total Spent],E5974,RawData[Payment Method],F5974,RawData[Location],G5974,RawData[Transaction Date],H5974)</f>
        <v>1</v>
      </c>
      <c r="L5974"/>
    </row>
    <row r="5975" spans="1:12" x14ac:dyDescent="0.3">
      <c r="A5975" t="s">
        <v>5981</v>
      </c>
      <c r="B5975" t="s">
        <v>10008</v>
      </c>
      <c r="C5975">
        <v>3</v>
      </c>
      <c r="D5975">
        <v>2</v>
      </c>
      <c r="E5975">
        <v>6</v>
      </c>
      <c r="F5975" t="s">
        <v>10020</v>
      </c>
      <c r="G5975" t="s">
        <v>10021</v>
      </c>
      <c r="H5975" s="6">
        <v>45092</v>
      </c>
      <c r="I5975">
        <f t="shared" si="186"/>
        <v>0</v>
      </c>
      <c r="J5975" t="str">
        <f t="shared" si="187"/>
        <v>Complete</v>
      </c>
      <c r="K5975">
        <f>COUNTIFS(RawData[Item], B5975,RawData[Quantity],C5975,RawData[Price Per Unit],D5975,RawData[Total Spent],E5975,RawData[Payment Method],F5975,RawData[Location],G5975,RawData[Transaction Date],H5975)</f>
        <v>1</v>
      </c>
      <c r="L5975"/>
    </row>
    <row r="5976" spans="1:12" x14ac:dyDescent="0.3">
      <c r="A5976" t="s">
        <v>5982</v>
      </c>
      <c r="B5976" t="s">
        <v>10009</v>
      </c>
      <c r="C5976">
        <v>3</v>
      </c>
      <c r="D5976">
        <v>3</v>
      </c>
      <c r="E5976">
        <v>9</v>
      </c>
      <c r="F5976" t="s">
        <v>10019</v>
      </c>
      <c r="G5976" t="s">
        <v>10021</v>
      </c>
      <c r="H5976" s="6">
        <v>44969</v>
      </c>
      <c r="I5976">
        <f t="shared" si="186"/>
        <v>0</v>
      </c>
      <c r="J5976" t="str">
        <f t="shared" si="187"/>
        <v>Complete</v>
      </c>
      <c r="K5976">
        <f>COUNTIFS(RawData[Item], B5976,RawData[Quantity],C5976,RawData[Price Per Unit],D5976,RawData[Total Spent],E5976,RawData[Payment Method],F5976,RawData[Location],G5976,RawData[Transaction Date],H5976)</f>
        <v>1</v>
      </c>
      <c r="L5976"/>
    </row>
    <row r="5977" spans="1:12" x14ac:dyDescent="0.3">
      <c r="A5977" t="s">
        <v>5983</v>
      </c>
      <c r="B5977" t="s">
        <v>10011</v>
      </c>
      <c r="C5977">
        <v>5</v>
      </c>
      <c r="D5977">
        <v>5</v>
      </c>
      <c r="E5977">
        <v>25</v>
      </c>
      <c r="F5977" t="s">
        <v>10019</v>
      </c>
      <c r="G5977" t="s">
        <v>10102</v>
      </c>
      <c r="H5977" s="6">
        <v>45010</v>
      </c>
      <c r="I5977">
        <f t="shared" si="186"/>
        <v>0</v>
      </c>
      <c r="J5977" t="str">
        <f t="shared" si="187"/>
        <v>Complete</v>
      </c>
      <c r="K5977">
        <f>COUNTIFS(RawData[Item], B5977,RawData[Quantity],C5977,RawData[Price Per Unit],D5977,RawData[Total Spent],E5977,RawData[Payment Method],F5977,RawData[Location],G5977,RawData[Transaction Date],H5977)</f>
        <v>1</v>
      </c>
      <c r="L5977"/>
    </row>
    <row r="5978" spans="1:12" x14ac:dyDescent="0.3">
      <c r="A5978" t="s">
        <v>5984</v>
      </c>
      <c r="B5978" t="s">
        <v>10011</v>
      </c>
      <c r="C5978">
        <v>1</v>
      </c>
      <c r="D5978">
        <v>5</v>
      </c>
      <c r="E5978">
        <v>5</v>
      </c>
      <c r="F5978" t="s">
        <v>10104</v>
      </c>
      <c r="G5978" t="s">
        <v>10102</v>
      </c>
      <c r="H5978" s="6">
        <v>45087</v>
      </c>
      <c r="I5978">
        <f t="shared" si="186"/>
        <v>1</v>
      </c>
      <c r="J5978" t="str">
        <f t="shared" si="187"/>
        <v>Complete</v>
      </c>
      <c r="K5978">
        <f>COUNTIFS(RawData[Item], B5978,RawData[Quantity],C5978,RawData[Price Per Unit],D5978,RawData[Total Spent],E5978,RawData[Payment Method],F5978,RawData[Location],G5978,RawData[Transaction Date],H5978)</f>
        <v>1</v>
      </c>
      <c r="L5978"/>
    </row>
    <row r="5979" spans="1:12" x14ac:dyDescent="0.3">
      <c r="A5979" t="s">
        <v>5985</v>
      </c>
      <c r="B5979" t="s">
        <v>10008</v>
      </c>
      <c r="C5979">
        <v>4</v>
      </c>
      <c r="D5979">
        <v>2</v>
      </c>
      <c r="E5979">
        <v>8</v>
      </c>
      <c r="F5979" t="s">
        <v>10019</v>
      </c>
      <c r="G5979" t="s">
        <v>10069</v>
      </c>
      <c r="H5979" s="6">
        <v>45133</v>
      </c>
      <c r="I5979">
        <f t="shared" si="186"/>
        <v>0</v>
      </c>
      <c r="J5979" t="str">
        <f t="shared" si="187"/>
        <v>Complete</v>
      </c>
      <c r="K5979">
        <f>COUNTIFS(RawData[Item], B5979,RawData[Quantity],C5979,RawData[Price Per Unit],D5979,RawData[Total Spent],E5979,RawData[Payment Method],F5979,RawData[Location],G5979,RawData[Transaction Date],H5979)</f>
        <v>1</v>
      </c>
      <c r="L5979"/>
    </row>
    <row r="5980" spans="1:12" x14ac:dyDescent="0.3">
      <c r="A5980" t="s">
        <v>5986</v>
      </c>
      <c r="B5980" t="s">
        <v>10012</v>
      </c>
      <c r="C5980">
        <v>2</v>
      </c>
      <c r="D5980">
        <v>4</v>
      </c>
      <c r="E5980">
        <v>8</v>
      </c>
      <c r="F5980" t="s">
        <v>10020</v>
      </c>
      <c r="G5980" t="s">
        <v>10069</v>
      </c>
      <c r="H5980" s="6">
        <v>45237</v>
      </c>
      <c r="I5980">
        <f t="shared" si="186"/>
        <v>0</v>
      </c>
      <c r="J5980" t="str">
        <f t="shared" si="187"/>
        <v>Complete</v>
      </c>
      <c r="K5980">
        <f>COUNTIFS(RawData[Item], B5980,RawData[Quantity],C5980,RawData[Price Per Unit],D5980,RawData[Total Spent],E5980,RawData[Payment Method],F5980,RawData[Location],G5980,RawData[Transaction Date],H5980)</f>
        <v>1</v>
      </c>
      <c r="L5980"/>
    </row>
    <row r="5981" spans="1:12" x14ac:dyDescent="0.3">
      <c r="A5981" t="s">
        <v>5987</v>
      </c>
      <c r="B5981" t="s">
        <v>10017</v>
      </c>
      <c r="C5981">
        <v>1</v>
      </c>
      <c r="D5981">
        <v>1.5</v>
      </c>
      <c r="E5981">
        <v>1.5</v>
      </c>
      <c r="F5981" t="s">
        <v>10069</v>
      </c>
      <c r="G5981" t="s">
        <v>10069</v>
      </c>
      <c r="H5981" s="6">
        <v>45100</v>
      </c>
      <c r="I5981">
        <f t="shared" si="186"/>
        <v>0</v>
      </c>
      <c r="J5981" t="str">
        <f t="shared" si="187"/>
        <v>Complete</v>
      </c>
      <c r="K5981">
        <f>COUNTIFS(RawData[Item], B5981,RawData[Quantity],C5981,RawData[Price Per Unit],D5981,RawData[Total Spent],E5981,RawData[Payment Method],F5981,RawData[Location],G5981,RawData[Transaction Date],H5981)</f>
        <v>1</v>
      </c>
      <c r="L5981"/>
    </row>
    <row r="5982" spans="1:12" x14ac:dyDescent="0.3">
      <c r="A5982" t="s">
        <v>5988</v>
      </c>
      <c r="B5982" t="s">
        <v>10012</v>
      </c>
      <c r="C5982">
        <v>5</v>
      </c>
      <c r="D5982">
        <v>4</v>
      </c>
      <c r="E5982">
        <v>20</v>
      </c>
      <c r="F5982" t="s">
        <v>10018</v>
      </c>
      <c r="G5982" t="s">
        <v>10069</v>
      </c>
      <c r="H5982" s="6">
        <v>45272</v>
      </c>
      <c r="I5982">
        <f t="shared" si="186"/>
        <v>0</v>
      </c>
      <c r="J5982" t="str">
        <f t="shared" si="187"/>
        <v>Complete</v>
      </c>
      <c r="K5982">
        <f>COUNTIFS(RawData[Item], B5982,RawData[Quantity],C5982,RawData[Price Per Unit],D5982,RawData[Total Spent],E5982,RawData[Payment Method],F5982,RawData[Location],G5982,RawData[Transaction Date],H5982)</f>
        <v>1</v>
      </c>
      <c r="L5982"/>
    </row>
    <row r="5983" spans="1:12" x14ac:dyDescent="0.3">
      <c r="A5983" t="s">
        <v>5989</v>
      </c>
      <c r="B5983" t="s">
        <v>10008</v>
      </c>
      <c r="C5983">
        <v>4</v>
      </c>
      <c r="D5983">
        <v>2</v>
      </c>
      <c r="E5983">
        <v>8</v>
      </c>
      <c r="F5983" t="s">
        <v>10020</v>
      </c>
      <c r="G5983" t="s">
        <v>10102</v>
      </c>
      <c r="H5983" s="6">
        <v>45080</v>
      </c>
      <c r="I5983">
        <f t="shared" si="186"/>
        <v>0</v>
      </c>
      <c r="J5983" t="str">
        <f t="shared" si="187"/>
        <v>Complete</v>
      </c>
      <c r="K5983">
        <f>COUNTIFS(RawData[Item], B5983,RawData[Quantity],C5983,RawData[Price Per Unit],D5983,RawData[Total Spent],E5983,RawData[Payment Method],F5983,RawData[Location],G5983,RawData[Transaction Date],H5983)</f>
        <v>1</v>
      </c>
      <c r="L5983"/>
    </row>
    <row r="5984" spans="1:12" x14ac:dyDescent="0.3">
      <c r="A5984" t="s">
        <v>5990</v>
      </c>
      <c r="B5984" t="s">
        <v>10011</v>
      </c>
      <c r="C5984">
        <v>1</v>
      </c>
      <c r="D5984">
        <v>5</v>
      </c>
      <c r="E5984">
        <v>5</v>
      </c>
      <c r="F5984" t="s">
        <v>10104</v>
      </c>
      <c r="G5984" t="s">
        <v>10102</v>
      </c>
      <c r="H5984" s="6">
        <v>45190</v>
      </c>
      <c r="I5984">
        <f t="shared" si="186"/>
        <v>1</v>
      </c>
      <c r="J5984" t="str">
        <f t="shared" si="187"/>
        <v>Complete</v>
      </c>
      <c r="K5984">
        <f>COUNTIFS(RawData[Item], B5984,RawData[Quantity],C5984,RawData[Price Per Unit],D5984,RawData[Total Spent],E5984,RawData[Payment Method],F5984,RawData[Location],G5984,RawData[Transaction Date],H5984)</f>
        <v>1</v>
      </c>
      <c r="L5984"/>
    </row>
    <row r="5985" spans="1:12" x14ac:dyDescent="0.3">
      <c r="A5985" t="s">
        <v>5991</v>
      </c>
      <c r="B5985" t="s">
        <v>10017</v>
      </c>
      <c r="C5985">
        <v>2</v>
      </c>
      <c r="D5985">
        <v>1.5</v>
      </c>
      <c r="E5985">
        <v>3</v>
      </c>
      <c r="F5985" t="s">
        <v>10069</v>
      </c>
      <c r="G5985" t="s">
        <v>10021</v>
      </c>
      <c r="H5985" s="6">
        <v>45101</v>
      </c>
      <c r="I5985">
        <f t="shared" si="186"/>
        <v>0</v>
      </c>
      <c r="J5985" t="str">
        <f t="shared" si="187"/>
        <v>Complete</v>
      </c>
      <c r="K5985">
        <f>COUNTIFS(RawData[Item], B5985,RawData[Quantity],C5985,RawData[Price Per Unit],D5985,RawData[Total Spent],E5985,RawData[Payment Method],F5985,RawData[Location],G5985,RawData[Transaction Date],H5985)</f>
        <v>1</v>
      </c>
      <c r="L5985"/>
    </row>
    <row r="5986" spans="1:12" x14ac:dyDescent="0.3">
      <c r="A5986" t="s">
        <v>5992</v>
      </c>
      <c r="B5986" t="s">
        <v>10014</v>
      </c>
      <c r="C5986">
        <v>4</v>
      </c>
      <c r="D5986">
        <v>4</v>
      </c>
      <c r="E5986">
        <v>16</v>
      </c>
      <c r="F5986" t="s">
        <v>10019</v>
      </c>
      <c r="G5986" t="s">
        <v>10021</v>
      </c>
      <c r="H5986" s="6">
        <v>44950</v>
      </c>
      <c r="I5986">
        <f t="shared" si="186"/>
        <v>0</v>
      </c>
      <c r="J5986" t="str">
        <f t="shared" si="187"/>
        <v>Complete</v>
      </c>
      <c r="K5986">
        <f>COUNTIFS(RawData[Item], B5986,RawData[Quantity],C5986,RawData[Price Per Unit],D5986,RawData[Total Spent],E5986,RawData[Payment Method],F5986,RawData[Location],G5986,RawData[Transaction Date],H5986)</f>
        <v>1</v>
      </c>
      <c r="L5986"/>
    </row>
    <row r="5987" spans="1:12" x14ac:dyDescent="0.3">
      <c r="A5987" t="s">
        <v>5993</v>
      </c>
      <c r="B5987" t="s">
        <v>10008</v>
      </c>
      <c r="C5987">
        <v>3</v>
      </c>
      <c r="D5987">
        <v>2</v>
      </c>
      <c r="E5987">
        <v>6</v>
      </c>
      <c r="F5987" t="s">
        <v>10069</v>
      </c>
      <c r="G5987" t="s">
        <v>10102</v>
      </c>
      <c r="H5987" s="6">
        <v>45150</v>
      </c>
      <c r="I5987">
        <f t="shared" si="186"/>
        <v>0</v>
      </c>
      <c r="J5987" t="str">
        <f t="shared" si="187"/>
        <v>Complete</v>
      </c>
      <c r="K5987">
        <f>COUNTIFS(RawData[Item], B5987,RawData[Quantity],C5987,RawData[Price Per Unit],D5987,RawData[Total Spent],E5987,RawData[Payment Method],F5987,RawData[Location],G5987,RawData[Transaction Date],H5987)</f>
        <v>1</v>
      </c>
      <c r="L5987"/>
    </row>
    <row r="5988" spans="1:12" x14ac:dyDescent="0.3">
      <c r="A5988" t="s">
        <v>5994</v>
      </c>
      <c r="B5988" t="s">
        <v>10016</v>
      </c>
      <c r="C5988">
        <v>1</v>
      </c>
      <c r="D5988" t="s">
        <v>10015</v>
      </c>
      <c r="E5988">
        <v>3</v>
      </c>
      <c r="F5988" t="s">
        <v>10018</v>
      </c>
      <c r="G5988" t="s">
        <v>10021</v>
      </c>
      <c r="H5988" s="6">
        <v>44933</v>
      </c>
      <c r="I5988">
        <f t="shared" si="186"/>
        <v>1</v>
      </c>
      <c r="J5988" t="str">
        <f t="shared" si="187"/>
        <v>Complete</v>
      </c>
      <c r="K5988">
        <f>COUNTIFS(RawData[Item], B5988,RawData[Quantity],C5988,RawData[Price Per Unit],D5988,RawData[Total Spent],E5988,RawData[Payment Method],F5988,RawData[Location],G5988,RawData[Transaction Date],H5988)</f>
        <v>1</v>
      </c>
      <c r="L5988"/>
    </row>
    <row r="5989" spans="1:12" x14ac:dyDescent="0.3">
      <c r="A5989" t="s">
        <v>5995</v>
      </c>
      <c r="B5989" t="s">
        <v>10016</v>
      </c>
      <c r="C5989">
        <v>4</v>
      </c>
      <c r="D5989">
        <v>3</v>
      </c>
      <c r="E5989">
        <v>12</v>
      </c>
      <c r="F5989" t="s">
        <v>10018</v>
      </c>
      <c r="G5989" t="s">
        <v>10102</v>
      </c>
      <c r="H5989" s="6">
        <v>45041</v>
      </c>
      <c r="I5989">
        <f t="shared" si="186"/>
        <v>0</v>
      </c>
      <c r="J5989" t="str">
        <f t="shared" si="187"/>
        <v>Complete</v>
      </c>
      <c r="K5989">
        <f>COUNTIFS(RawData[Item], B5989,RawData[Quantity],C5989,RawData[Price Per Unit],D5989,RawData[Total Spent],E5989,RawData[Payment Method],F5989,RawData[Location],G5989,RawData[Transaction Date],H5989)</f>
        <v>1</v>
      </c>
      <c r="L5989"/>
    </row>
    <row r="5990" spans="1:12" x14ac:dyDescent="0.3">
      <c r="A5990" t="s">
        <v>5996</v>
      </c>
      <c r="B5990" t="s">
        <v>10009</v>
      </c>
      <c r="C5990">
        <v>4</v>
      </c>
      <c r="D5990">
        <v>3</v>
      </c>
      <c r="E5990">
        <v>12</v>
      </c>
      <c r="F5990" t="s">
        <v>10018</v>
      </c>
      <c r="G5990" t="s">
        <v>10069</v>
      </c>
      <c r="H5990" s="6">
        <v>45194</v>
      </c>
      <c r="I5990">
        <f t="shared" si="186"/>
        <v>0</v>
      </c>
      <c r="J5990" t="str">
        <f t="shared" si="187"/>
        <v>Complete</v>
      </c>
      <c r="K5990">
        <f>COUNTIFS(RawData[Item], B5990,RawData[Quantity],C5990,RawData[Price Per Unit],D5990,RawData[Total Spent],E5990,RawData[Payment Method],F5990,RawData[Location],G5990,RawData[Transaction Date],H5990)</f>
        <v>1</v>
      </c>
      <c r="L5990"/>
    </row>
    <row r="5991" spans="1:12" x14ac:dyDescent="0.3">
      <c r="A5991" t="s">
        <v>5997</v>
      </c>
      <c r="B5991" t="s">
        <v>10017</v>
      </c>
      <c r="C5991">
        <v>5</v>
      </c>
      <c r="D5991">
        <v>1.5</v>
      </c>
      <c r="E5991">
        <v>7.5</v>
      </c>
      <c r="F5991" t="s">
        <v>10069</v>
      </c>
      <c r="G5991" t="s">
        <v>10069</v>
      </c>
      <c r="H5991" s="6">
        <v>45282</v>
      </c>
      <c r="I5991">
        <f t="shared" si="186"/>
        <v>0</v>
      </c>
      <c r="J5991" t="str">
        <f t="shared" si="187"/>
        <v>Complete</v>
      </c>
      <c r="K5991">
        <f>COUNTIFS(RawData[Item], B5991,RawData[Quantity],C5991,RawData[Price Per Unit],D5991,RawData[Total Spent],E5991,RawData[Payment Method],F5991,RawData[Location],G5991,RawData[Transaction Date],H5991)</f>
        <v>1</v>
      </c>
      <c r="L5991"/>
    </row>
    <row r="5992" spans="1:12" x14ac:dyDescent="0.3">
      <c r="A5992" t="s">
        <v>5998</v>
      </c>
      <c r="B5992" t="s">
        <v>10011</v>
      </c>
      <c r="C5992">
        <v>4</v>
      </c>
      <c r="D5992">
        <v>5</v>
      </c>
      <c r="E5992">
        <v>20</v>
      </c>
      <c r="F5992" t="s">
        <v>10019</v>
      </c>
      <c r="G5992" t="s">
        <v>10069</v>
      </c>
      <c r="H5992" s="6">
        <v>45214</v>
      </c>
      <c r="I5992">
        <f t="shared" si="186"/>
        <v>0</v>
      </c>
      <c r="J5992" t="str">
        <f t="shared" si="187"/>
        <v>Complete</v>
      </c>
      <c r="K5992">
        <f>COUNTIFS(RawData[Item], B5992,RawData[Quantity],C5992,RawData[Price Per Unit],D5992,RawData[Total Spent],E5992,RawData[Payment Method],F5992,RawData[Location],G5992,RawData[Transaction Date],H5992)</f>
        <v>1</v>
      </c>
      <c r="L5992"/>
    </row>
    <row r="5993" spans="1:12" x14ac:dyDescent="0.3">
      <c r="A5993" t="s">
        <v>5999</v>
      </c>
      <c r="B5993" t="s">
        <v>10013</v>
      </c>
      <c r="C5993">
        <v>4</v>
      </c>
      <c r="D5993" t="s">
        <v>10015</v>
      </c>
      <c r="E5993">
        <v>8</v>
      </c>
      <c r="F5993" t="s">
        <v>10069</v>
      </c>
      <c r="G5993" t="s">
        <v>10102</v>
      </c>
      <c r="H5993" s="6">
        <v>45066</v>
      </c>
      <c r="I5993">
        <f t="shared" si="186"/>
        <v>2</v>
      </c>
      <c r="J5993" t="str">
        <f t="shared" si="187"/>
        <v>Complete</v>
      </c>
      <c r="K5993">
        <f>COUNTIFS(RawData[Item], B5993,RawData[Quantity],C5993,RawData[Price Per Unit],D5993,RawData[Total Spent],E5993,RawData[Payment Method],F5993,RawData[Location],G5993,RawData[Transaction Date],H5993)</f>
        <v>1</v>
      </c>
      <c r="L5993"/>
    </row>
    <row r="5994" spans="1:12" x14ac:dyDescent="0.3">
      <c r="A5994" t="s">
        <v>6000</v>
      </c>
      <c r="B5994" t="s">
        <v>10009</v>
      </c>
      <c r="C5994">
        <v>2</v>
      </c>
      <c r="D5994">
        <v>3</v>
      </c>
      <c r="E5994">
        <v>6</v>
      </c>
      <c r="F5994" t="s">
        <v>10019</v>
      </c>
      <c r="G5994" t="s">
        <v>10021</v>
      </c>
      <c r="H5994" s="6">
        <v>45164</v>
      </c>
      <c r="I5994">
        <f t="shared" si="186"/>
        <v>0</v>
      </c>
      <c r="J5994" t="str">
        <f t="shared" si="187"/>
        <v>Complete</v>
      </c>
      <c r="K5994">
        <f>COUNTIFS(RawData[Item], B5994,RawData[Quantity],C5994,RawData[Price Per Unit],D5994,RawData[Total Spent],E5994,RawData[Payment Method],F5994,RawData[Location],G5994,RawData[Transaction Date],H5994)</f>
        <v>1</v>
      </c>
      <c r="L5994"/>
    </row>
    <row r="5995" spans="1:12" x14ac:dyDescent="0.3">
      <c r="A5995" t="s">
        <v>6001</v>
      </c>
      <c r="B5995" t="s">
        <v>10015</v>
      </c>
      <c r="C5995">
        <v>4</v>
      </c>
      <c r="D5995">
        <v>1</v>
      </c>
      <c r="E5995">
        <v>4</v>
      </c>
      <c r="F5995" t="s">
        <v>10018</v>
      </c>
      <c r="G5995" t="s">
        <v>10102</v>
      </c>
      <c r="H5995" s="6">
        <v>45164</v>
      </c>
      <c r="I5995">
        <f t="shared" si="186"/>
        <v>1</v>
      </c>
      <c r="J5995" t="str">
        <f t="shared" si="187"/>
        <v>Complete</v>
      </c>
      <c r="K5995">
        <f>COUNTIFS(RawData[Item], B5995,RawData[Quantity],C5995,RawData[Price Per Unit],D5995,RawData[Total Spent],E5995,RawData[Payment Method],F5995,RawData[Location],G5995,RawData[Transaction Date],H5995)</f>
        <v>1</v>
      </c>
      <c r="L5995"/>
    </row>
    <row r="5996" spans="1:12" x14ac:dyDescent="0.3">
      <c r="A5996" t="s">
        <v>6002</v>
      </c>
      <c r="B5996" t="s">
        <v>10009</v>
      </c>
      <c r="C5996">
        <v>5</v>
      </c>
      <c r="D5996">
        <v>3</v>
      </c>
      <c r="E5996">
        <v>15</v>
      </c>
      <c r="F5996" t="s">
        <v>10018</v>
      </c>
      <c r="G5996" t="s">
        <v>10021</v>
      </c>
      <c r="H5996" s="6">
        <v>45025</v>
      </c>
      <c r="I5996">
        <f t="shared" si="186"/>
        <v>0</v>
      </c>
      <c r="J5996" t="str">
        <f t="shared" si="187"/>
        <v>Complete</v>
      </c>
      <c r="K5996">
        <f>COUNTIFS(RawData[Item], B5996,RawData[Quantity],C5996,RawData[Price Per Unit],D5996,RawData[Total Spent],E5996,RawData[Payment Method],F5996,RawData[Location],G5996,RawData[Transaction Date],H5996)</f>
        <v>1</v>
      </c>
      <c r="L5996"/>
    </row>
    <row r="5997" spans="1:12" x14ac:dyDescent="0.3">
      <c r="A5997" t="s">
        <v>6003</v>
      </c>
      <c r="B5997" t="s">
        <v>10010</v>
      </c>
      <c r="C5997">
        <v>2</v>
      </c>
      <c r="D5997" t="s">
        <v>10013</v>
      </c>
      <c r="E5997">
        <v>2</v>
      </c>
      <c r="F5997" t="s">
        <v>10020</v>
      </c>
      <c r="G5997" t="s">
        <v>10021</v>
      </c>
      <c r="H5997" s="6">
        <v>45195</v>
      </c>
      <c r="I5997">
        <f t="shared" si="186"/>
        <v>1</v>
      </c>
      <c r="J5997" t="str">
        <f t="shared" si="187"/>
        <v>Complete</v>
      </c>
      <c r="K5997">
        <f>COUNTIFS(RawData[Item], B5997,RawData[Quantity],C5997,RawData[Price Per Unit],D5997,RawData[Total Spent],E5997,RawData[Payment Method],F5997,RawData[Location],G5997,RawData[Transaction Date],H5997)</f>
        <v>1</v>
      </c>
      <c r="L5997"/>
    </row>
    <row r="5998" spans="1:12" x14ac:dyDescent="0.3">
      <c r="A5998" t="s">
        <v>6004</v>
      </c>
      <c r="B5998" t="s">
        <v>10015</v>
      </c>
      <c r="C5998">
        <v>1</v>
      </c>
      <c r="D5998">
        <v>5</v>
      </c>
      <c r="E5998">
        <v>5</v>
      </c>
      <c r="F5998" t="s">
        <v>10020</v>
      </c>
      <c r="G5998" t="s">
        <v>10069</v>
      </c>
      <c r="H5998" s="6">
        <v>45024</v>
      </c>
      <c r="I5998">
        <f t="shared" si="186"/>
        <v>1</v>
      </c>
      <c r="J5998" t="str">
        <f t="shared" si="187"/>
        <v>Complete</v>
      </c>
      <c r="K5998">
        <f>COUNTIFS(RawData[Item], B5998,RawData[Quantity],C5998,RawData[Price Per Unit],D5998,RawData[Total Spent],E5998,RawData[Payment Method],F5998,RawData[Location],G5998,RawData[Transaction Date],H5998)</f>
        <v>1</v>
      </c>
      <c r="L5998"/>
    </row>
    <row r="5999" spans="1:12" x14ac:dyDescent="0.3">
      <c r="A5999" t="s">
        <v>6005</v>
      </c>
      <c r="B5999" t="s">
        <v>10016</v>
      </c>
      <c r="C5999">
        <v>4</v>
      </c>
      <c r="D5999">
        <v>3</v>
      </c>
      <c r="E5999">
        <v>12</v>
      </c>
      <c r="F5999" t="s">
        <v>10104</v>
      </c>
      <c r="G5999" t="s">
        <v>10069</v>
      </c>
      <c r="H5999" s="6" t="s">
        <v>10112</v>
      </c>
      <c r="I5999">
        <f t="shared" si="186"/>
        <v>2</v>
      </c>
      <c r="J5999" t="str">
        <f t="shared" si="187"/>
        <v>Incomplete</v>
      </c>
      <c r="K5999">
        <f>COUNTIFS(RawData[Item], B5999,RawData[Quantity],C5999,RawData[Price Per Unit],D5999,RawData[Total Spent],E5999,RawData[Payment Method],F5999,RawData[Location],G5999,RawData[Transaction Date],H5999)</f>
        <v>1</v>
      </c>
      <c r="L5999"/>
    </row>
    <row r="6000" spans="1:12" x14ac:dyDescent="0.3">
      <c r="A6000" t="s">
        <v>6006</v>
      </c>
      <c r="B6000" t="s">
        <v>10008</v>
      </c>
      <c r="C6000">
        <v>2</v>
      </c>
      <c r="D6000">
        <v>2</v>
      </c>
      <c r="E6000">
        <v>4</v>
      </c>
      <c r="F6000" t="s">
        <v>10069</v>
      </c>
      <c r="G6000" t="s">
        <v>10069</v>
      </c>
      <c r="H6000" s="6">
        <v>45023</v>
      </c>
      <c r="I6000">
        <f t="shared" si="186"/>
        <v>0</v>
      </c>
      <c r="J6000" t="str">
        <f t="shared" si="187"/>
        <v>Complete</v>
      </c>
      <c r="K6000">
        <f>COUNTIFS(RawData[Item], B6000,RawData[Quantity],C6000,RawData[Price Per Unit],D6000,RawData[Total Spent],E6000,RawData[Payment Method],F6000,RawData[Location],G6000,RawData[Transaction Date],H6000)</f>
        <v>1</v>
      </c>
      <c r="L6000"/>
    </row>
    <row r="6001" spans="1:12" x14ac:dyDescent="0.3">
      <c r="A6001" t="s">
        <v>6007</v>
      </c>
      <c r="B6001" t="s">
        <v>10008</v>
      </c>
      <c r="C6001">
        <v>1</v>
      </c>
      <c r="D6001">
        <v>2</v>
      </c>
      <c r="E6001">
        <v>2</v>
      </c>
      <c r="F6001" t="s">
        <v>10103</v>
      </c>
      <c r="G6001" t="s">
        <v>10102</v>
      </c>
      <c r="H6001" s="6">
        <v>45223</v>
      </c>
      <c r="I6001">
        <f t="shared" si="186"/>
        <v>1</v>
      </c>
      <c r="J6001" t="str">
        <f t="shared" si="187"/>
        <v>Complete</v>
      </c>
      <c r="K6001">
        <f>COUNTIFS(RawData[Item], B6001,RawData[Quantity],C6001,RawData[Price Per Unit],D6001,RawData[Total Spent],E6001,RawData[Payment Method],F6001,RawData[Location],G6001,RawData[Transaction Date],H6001)</f>
        <v>1</v>
      </c>
      <c r="L6001"/>
    </row>
    <row r="6002" spans="1:12" x14ac:dyDescent="0.3">
      <c r="A6002" t="s">
        <v>6008</v>
      </c>
      <c r="B6002" t="s">
        <v>10008</v>
      </c>
      <c r="C6002">
        <v>3</v>
      </c>
      <c r="D6002">
        <v>2</v>
      </c>
      <c r="E6002" t="s">
        <v>10015</v>
      </c>
      <c r="F6002" t="s">
        <v>10069</v>
      </c>
      <c r="G6002" t="s">
        <v>10069</v>
      </c>
      <c r="H6002" s="6">
        <v>44987</v>
      </c>
      <c r="I6002">
        <f t="shared" si="186"/>
        <v>1</v>
      </c>
      <c r="J6002" t="str">
        <f t="shared" si="187"/>
        <v>Complete</v>
      </c>
      <c r="K6002">
        <f>COUNTIFS(RawData[Item], B6002,RawData[Quantity],C6002,RawData[Price Per Unit],D6002,RawData[Total Spent],E6002,RawData[Payment Method],F6002,RawData[Location],G6002,RawData[Transaction Date],H6002)</f>
        <v>1</v>
      </c>
      <c r="L6002"/>
    </row>
    <row r="6003" spans="1:12" x14ac:dyDescent="0.3">
      <c r="A6003" t="s">
        <v>6009</v>
      </c>
      <c r="B6003" t="s">
        <v>10009</v>
      </c>
      <c r="C6003">
        <v>1</v>
      </c>
      <c r="D6003">
        <v>3</v>
      </c>
      <c r="E6003">
        <v>3</v>
      </c>
      <c r="F6003" t="s">
        <v>10019</v>
      </c>
      <c r="G6003" t="s">
        <v>10069</v>
      </c>
      <c r="H6003" s="6" t="s">
        <v>10112</v>
      </c>
      <c r="I6003">
        <f t="shared" si="186"/>
        <v>1</v>
      </c>
      <c r="J6003" t="str">
        <f t="shared" si="187"/>
        <v>Incomplete</v>
      </c>
      <c r="K6003">
        <f>COUNTIFS(RawData[Item], B6003,RawData[Quantity],C6003,RawData[Price Per Unit],D6003,RawData[Total Spent],E6003,RawData[Payment Method],F6003,RawData[Location],G6003,RawData[Transaction Date],H6003)</f>
        <v>1</v>
      </c>
      <c r="L6003"/>
    </row>
    <row r="6004" spans="1:12" x14ac:dyDescent="0.3">
      <c r="A6004" t="s">
        <v>6010</v>
      </c>
      <c r="B6004" t="s">
        <v>10012</v>
      </c>
      <c r="C6004">
        <v>2</v>
      </c>
      <c r="D6004">
        <v>4</v>
      </c>
      <c r="E6004">
        <v>8</v>
      </c>
      <c r="F6004" t="s">
        <v>10018</v>
      </c>
      <c r="G6004" t="s">
        <v>10102</v>
      </c>
      <c r="H6004" s="6">
        <v>45242</v>
      </c>
      <c r="I6004">
        <f t="shared" si="186"/>
        <v>0</v>
      </c>
      <c r="J6004" t="str">
        <f t="shared" si="187"/>
        <v>Complete</v>
      </c>
      <c r="K6004">
        <f>COUNTIFS(RawData[Item], B6004,RawData[Quantity],C6004,RawData[Price Per Unit],D6004,RawData[Total Spent],E6004,RawData[Payment Method],F6004,RawData[Location],G6004,RawData[Transaction Date],H6004)</f>
        <v>1</v>
      </c>
      <c r="L6004"/>
    </row>
    <row r="6005" spans="1:12" x14ac:dyDescent="0.3">
      <c r="A6005" t="s">
        <v>6011</v>
      </c>
      <c r="B6005" t="s">
        <v>10010</v>
      </c>
      <c r="C6005">
        <v>5</v>
      </c>
      <c r="D6005" t="s">
        <v>10015</v>
      </c>
      <c r="E6005">
        <v>5</v>
      </c>
      <c r="F6005" t="s">
        <v>10019</v>
      </c>
      <c r="G6005" t="s">
        <v>10102</v>
      </c>
      <c r="H6005" s="6">
        <v>45186</v>
      </c>
      <c r="I6005">
        <f t="shared" si="186"/>
        <v>1</v>
      </c>
      <c r="J6005" t="str">
        <f t="shared" si="187"/>
        <v>Complete</v>
      </c>
      <c r="K6005">
        <f>COUNTIFS(RawData[Item], B6005,RawData[Quantity],C6005,RawData[Price Per Unit],D6005,RawData[Total Spent],E6005,RawData[Payment Method],F6005,RawData[Location],G6005,RawData[Transaction Date],H6005)</f>
        <v>1</v>
      </c>
      <c r="L6005"/>
    </row>
    <row r="6006" spans="1:12" x14ac:dyDescent="0.3">
      <c r="A6006" t="s">
        <v>6012</v>
      </c>
      <c r="B6006" t="s">
        <v>10009</v>
      </c>
      <c r="C6006">
        <v>2</v>
      </c>
      <c r="D6006">
        <v>3</v>
      </c>
      <c r="E6006">
        <v>6</v>
      </c>
      <c r="F6006" t="s">
        <v>10019</v>
      </c>
      <c r="G6006" t="s">
        <v>10102</v>
      </c>
      <c r="H6006" s="6">
        <v>44984</v>
      </c>
      <c r="I6006">
        <f t="shared" si="186"/>
        <v>0</v>
      </c>
      <c r="J6006" t="str">
        <f t="shared" si="187"/>
        <v>Complete</v>
      </c>
      <c r="K6006">
        <f>COUNTIFS(RawData[Item], B6006,RawData[Quantity],C6006,RawData[Price Per Unit],D6006,RawData[Total Spent],E6006,RawData[Payment Method],F6006,RawData[Location],G6006,RawData[Transaction Date],H6006)</f>
        <v>1</v>
      </c>
      <c r="L6006"/>
    </row>
    <row r="6007" spans="1:12" x14ac:dyDescent="0.3">
      <c r="A6007" t="s">
        <v>6013</v>
      </c>
      <c r="B6007" t="s">
        <v>10012</v>
      </c>
      <c r="C6007">
        <v>3</v>
      </c>
      <c r="D6007">
        <v>4</v>
      </c>
      <c r="E6007">
        <v>12</v>
      </c>
      <c r="F6007" t="s">
        <v>10020</v>
      </c>
      <c r="G6007" t="s">
        <v>10069</v>
      </c>
      <c r="H6007" s="6">
        <v>44995</v>
      </c>
      <c r="I6007">
        <f t="shared" si="186"/>
        <v>0</v>
      </c>
      <c r="J6007" t="str">
        <f t="shared" si="187"/>
        <v>Complete</v>
      </c>
      <c r="K6007">
        <f>COUNTIFS(RawData[Item], B6007,RawData[Quantity],C6007,RawData[Price Per Unit],D6007,RawData[Total Spent],E6007,RawData[Payment Method],F6007,RawData[Location],G6007,RawData[Transaction Date],H6007)</f>
        <v>1</v>
      </c>
      <c r="L6007"/>
    </row>
    <row r="6008" spans="1:12" x14ac:dyDescent="0.3">
      <c r="A6008" t="s">
        <v>6014</v>
      </c>
      <c r="B6008" t="s">
        <v>10010</v>
      </c>
      <c r="C6008">
        <v>3</v>
      </c>
      <c r="D6008">
        <v>1</v>
      </c>
      <c r="E6008">
        <v>3</v>
      </c>
      <c r="F6008" t="s">
        <v>10020</v>
      </c>
      <c r="G6008" t="s">
        <v>10021</v>
      </c>
      <c r="H6008" s="6">
        <v>45267</v>
      </c>
      <c r="I6008">
        <f t="shared" si="186"/>
        <v>0</v>
      </c>
      <c r="J6008" t="str">
        <f t="shared" si="187"/>
        <v>Complete</v>
      </c>
      <c r="K6008">
        <f>COUNTIFS(RawData[Item], B6008,RawData[Quantity],C6008,RawData[Price Per Unit],D6008,RawData[Total Spent],E6008,RawData[Payment Method],F6008,RawData[Location],G6008,RawData[Transaction Date],H6008)</f>
        <v>1</v>
      </c>
      <c r="L6008"/>
    </row>
    <row r="6009" spans="1:12" x14ac:dyDescent="0.3">
      <c r="A6009" t="s">
        <v>6015</v>
      </c>
      <c r="B6009" t="s">
        <v>10008</v>
      </c>
      <c r="C6009">
        <v>5</v>
      </c>
      <c r="D6009">
        <v>2</v>
      </c>
      <c r="E6009">
        <v>10</v>
      </c>
      <c r="F6009" t="s">
        <v>10069</v>
      </c>
      <c r="G6009" t="s">
        <v>10069</v>
      </c>
      <c r="H6009" s="6">
        <v>44987</v>
      </c>
      <c r="I6009">
        <f t="shared" si="186"/>
        <v>0</v>
      </c>
      <c r="J6009" t="str">
        <f t="shared" si="187"/>
        <v>Complete</v>
      </c>
      <c r="K6009">
        <f>COUNTIFS(RawData[Item], B6009,RawData[Quantity],C6009,RawData[Price Per Unit],D6009,RawData[Total Spent],E6009,RawData[Payment Method],F6009,RawData[Location],G6009,RawData[Transaction Date],H6009)</f>
        <v>1</v>
      </c>
      <c r="L6009"/>
    </row>
    <row r="6010" spans="1:12" x14ac:dyDescent="0.3">
      <c r="A6010" t="s">
        <v>6016</v>
      </c>
      <c r="B6010" t="s">
        <v>10010</v>
      </c>
      <c r="C6010">
        <v>2</v>
      </c>
      <c r="D6010">
        <v>1</v>
      </c>
      <c r="E6010">
        <v>2</v>
      </c>
      <c r="F6010" t="s">
        <v>10069</v>
      </c>
      <c r="G6010" t="s">
        <v>10021</v>
      </c>
      <c r="H6010" s="6">
        <v>44945</v>
      </c>
      <c r="I6010">
        <f t="shared" si="186"/>
        <v>0</v>
      </c>
      <c r="J6010" t="str">
        <f t="shared" si="187"/>
        <v>Complete</v>
      </c>
      <c r="K6010">
        <f>COUNTIFS(RawData[Item], B6010,RawData[Quantity],C6010,RawData[Price Per Unit],D6010,RawData[Total Spent],E6010,RawData[Payment Method],F6010,RawData[Location],G6010,RawData[Transaction Date],H6010)</f>
        <v>1</v>
      </c>
      <c r="L6010"/>
    </row>
    <row r="6011" spans="1:12" x14ac:dyDescent="0.3">
      <c r="A6011" t="s">
        <v>6017</v>
      </c>
      <c r="B6011" t="s">
        <v>10008</v>
      </c>
      <c r="C6011">
        <v>5</v>
      </c>
      <c r="D6011">
        <v>2</v>
      </c>
      <c r="E6011">
        <v>10</v>
      </c>
      <c r="F6011" t="s">
        <v>10020</v>
      </c>
      <c r="G6011" t="s">
        <v>10021</v>
      </c>
      <c r="H6011" s="6">
        <v>45260</v>
      </c>
      <c r="I6011">
        <f t="shared" si="186"/>
        <v>0</v>
      </c>
      <c r="J6011" t="str">
        <f t="shared" si="187"/>
        <v>Complete</v>
      </c>
      <c r="K6011">
        <f>COUNTIFS(RawData[Item], B6011,RawData[Quantity],C6011,RawData[Price Per Unit],D6011,RawData[Total Spent],E6011,RawData[Payment Method],F6011,RawData[Location],G6011,RawData[Transaction Date],H6011)</f>
        <v>1</v>
      </c>
      <c r="L6011"/>
    </row>
    <row r="6012" spans="1:12" x14ac:dyDescent="0.3">
      <c r="A6012" t="s">
        <v>6018</v>
      </c>
      <c r="B6012" t="s">
        <v>10011</v>
      </c>
      <c r="C6012">
        <v>4</v>
      </c>
      <c r="D6012">
        <v>5</v>
      </c>
      <c r="E6012" t="s">
        <v>10013</v>
      </c>
      <c r="F6012" t="s">
        <v>10069</v>
      </c>
      <c r="G6012" t="s">
        <v>10102</v>
      </c>
      <c r="H6012" s="6">
        <v>45197</v>
      </c>
      <c r="I6012">
        <f t="shared" si="186"/>
        <v>1</v>
      </c>
      <c r="J6012" t="str">
        <f t="shared" si="187"/>
        <v>Complete</v>
      </c>
      <c r="K6012">
        <f>COUNTIFS(RawData[Item], B6012,RawData[Quantity],C6012,RawData[Price Per Unit],D6012,RawData[Total Spent],E6012,RawData[Payment Method],F6012,RawData[Location],G6012,RawData[Transaction Date],H6012)</f>
        <v>1</v>
      </c>
      <c r="L6012"/>
    </row>
    <row r="6013" spans="1:12" x14ac:dyDescent="0.3">
      <c r="A6013" t="s">
        <v>6019</v>
      </c>
      <c r="B6013" t="s">
        <v>10012</v>
      </c>
      <c r="C6013">
        <v>1</v>
      </c>
      <c r="D6013">
        <v>4</v>
      </c>
      <c r="E6013">
        <v>4</v>
      </c>
      <c r="F6013" t="s">
        <v>10069</v>
      </c>
      <c r="G6013" t="s">
        <v>10102</v>
      </c>
      <c r="H6013" s="6">
        <v>44933</v>
      </c>
      <c r="I6013">
        <f t="shared" si="186"/>
        <v>0</v>
      </c>
      <c r="J6013" t="str">
        <f t="shared" si="187"/>
        <v>Complete</v>
      </c>
      <c r="K6013">
        <f>COUNTIFS(RawData[Item], B6013,RawData[Quantity],C6013,RawData[Price Per Unit],D6013,RawData[Total Spent],E6013,RawData[Payment Method],F6013,RawData[Location],G6013,RawData[Transaction Date],H6013)</f>
        <v>1</v>
      </c>
      <c r="L6013"/>
    </row>
    <row r="6014" spans="1:12" x14ac:dyDescent="0.3">
      <c r="A6014" t="s">
        <v>6020</v>
      </c>
      <c r="B6014" t="s">
        <v>10010</v>
      </c>
      <c r="C6014">
        <v>3</v>
      </c>
      <c r="D6014">
        <v>1</v>
      </c>
      <c r="E6014">
        <v>3</v>
      </c>
      <c r="F6014" t="s">
        <v>10019</v>
      </c>
      <c r="G6014" t="s">
        <v>10102</v>
      </c>
      <c r="H6014" s="6">
        <v>45068</v>
      </c>
      <c r="I6014">
        <f t="shared" si="186"/>
        <v>0</v>
      </c>
      <c r="J6014" t="str">
        <f t="shared" si="187"/>
        <v>Complete</v>
      </c>
      <c r="K6014">
        <f>COUNTIFS(RawData[Item], B6014,RawData[Quantity],C6014,RawData[Price Per Unit],D6014,RawData[Total Spent],E6014,RawData[Payment Method],F6014,RawData[Location],G6014,RawData[Transaction Date],H6014)</f>
        <v>1</v>
      </c>
      <c r="L6014"/>
    </row>
    <row r="6015" spans="1:12" x14ac:dyDescent="0.3">
      <c r="A6015" t="s">
        <v>6021</v>
      </c>
      <c r="B6015" t="s">
        <v>10010</v>
      </c>
      <c r="C6015">
        <v>1</v>
      </c>
      <c r="D6015">
        <v>1</v>
      </c>
      <c r="E6015">
        <v>1</v>
      </c>
      <c r="F6015" t="s">
        <v>10019</v>
      </c>
      <c r="G6015" t="s">
        <v>10021</v>
      </c>
      <c r="H6015" s="6">
        <v>44989</v>
      </c>
      <c r="I6015">
        <f t="shared" si="186"/>
        <v>0</v>
      </c>
      <c r="J6015" t="str">
        <f t="shared" si="187"/>
        <v>Complete</v>
      </c>
      <c r="K6015">
        <f>COUNTIFS(RawData[Item], B6015,RawData[Quantity],C6015,RawData[Price Per Unit],D6015,RawData[Total Spent],E6015,RawData[Payment Method],F6015,RawData[Location],G6015,RawData[Transaction Date],H6015)</f>
        <v>1</v>
      </c>
      <c r="L6015"/>
    </row>
    <row r="6016" spans="1:12" x14ac:dyDescent="0.3">
      <c r="A6016" t="s">
        <v>6022</v>
      </c>
      <c r="B6016" t="s">
        <v>10017</v>
      </c>
      <c r="C6016">
        <v>2</v>
      </c>
      <c r="D6016">
        <v>1.5</v>
      </c>
      <c r="E6016">
        <v>3</v>
      </c>
      <c r="F6016" t="s">
        <v>10069</v>
      </c>
      <c r="G6016" t="s">
        <v>10069</v>
      </c>
      <c r="H6016" s="6">
        <v>45239</v>
      </c>
      <c r="I6016">
        <f t="shared" si="186"/>
        <v>0</v>
      </c>
      <c r="J6016" t="str">
        <f t="shared" si="187"/>
        <v>Complete</v>
      </c>
      <c r="K6016">
        <f>COUNTIFS(RawData[Item], B6016,RawData[Quantity],C6016,RawData[Price Per Unit],D6016,RawData[Total Spent],E6016,RawData[Payment Method],F6016,RawData[Location],G6016,RawData[Transaction Date],H6016)</f>
        <v>1</v>
      </c>
      <c r="L6016"/>
    </row>
    <row r="6017" spans="1:12" x14ac:dyDescent="0.3">
      <c r="A6017" t="s">
        <v>6023</v>
      </c>
      <c r="B6017" t="s">
        <v>10009</v>
      </c>
      <c r="C6017">
        <v>1</v>
      </c>
      <c r="D6017">
        <v>3</v>
      </c>
      <c r="E6017">
        <v>3</v>
      </c>
      <c r="F6017" t="s">
        <v>10019</v>
      </c>
      <c r="G6017" t="s">
        <v>10102</v>
      </c>
      <c r="H6017" s="6">
        <v>45125</v>
      </c>
      <c r="I6017">
        <f t="shared" si="186"/>
        <v>0</v>
      </c>
      <c r="J6017" t="str">
        <f t="shared" si="187"/>
        <v>Complete</v>
      </c>
      <c r="K6017">
        <f>COUNTIFS(RawData[Item], B6017,RawData[Quantity],C6017,RawData[Price Per Unit],D6017,RawData[Total Spent],E6017,RawData[Payment Method],F6017,RawData[Location],G6017,RawData[Transaction Date],H6017)</f>
        <v>1</v>
      </c>
      <c r="L6017"/>
    </row>
    <row r="6018" spans="1:12" x14ac:dyDescent="0.3">
      <c r="A6018" t="s">
        <v>6024</v>
      </c>
      <c r="B6018" t="s">
        <v>10017</v>
      </c>
      <c r="C6018">
        <v>1</v>
      </c>
      <c r="D6018">
        <v>1.5</v>
      </c>
      <c r="E6018">
        <v>1.5</v>
      </c>
      <c r="F6018" t="s">
        <v>10018</v>
      </c>
      <c r="G6018" t="s">
        <v>10102</v>
      </c>
      <c r="H6018" s="6">
        <v>45179</v>
      </c>
      <c r="I6018">
        <f t="shared" ref="I6018:I6081" si="188">(B6018="Unknown")+(B6018="Error")+(C6018="Unknown")+(C6018="Error")+(D6018="Unknown")+(D6018="Error")+(E6018="Unknown")+(E6018="Error")+(F6018="Unknown")+(F6018="Error")+(G6018="Unknown")+(G6018="Error")+(H6018="No Date")</f>
        <v>0</v>
      </c>
      <c r="J6018" t="str">
        <f t="shared" ref="J6018:J6081" si="189">IF((H6018="No Date"),"Incomplete","Complete")</f>
        <v>Complete</v>
      </c>
      <c r="K6018">
        <f>COUNTIFS(RawData[Item], B6018,RawData[Quantity],C6018,RawData[Price Per Unit],D6018,RawData[Total Spent],E6018,RawData[Payment Method],F6018,RawData[Location],G6018,RawData[Transaction Date],H6018)</f>
        <v>1</v>
      </c>
      <c r="L6018"/>
    </row>
    <row r="6019" spans="1:12" x14ac:dyDescent="0.3">
      <c r="A6019" t="s">
        <v>6025</v>
      </c>
      <c r="B6019" t="s">
        <v>10011</v>
      </c>
      <c r="C6019">
        <v>3</v>
      </c>
      <c r="D6019">
        <v>5</v>
      </c>
      <c r="E6019">
        <v>15</v>
      </c>
      <c r="F6019" t="s">
        <v>10069</v>
      </c>
      <c r="G6019" t="s">
        <v>10069</v>
      </c>
      <c r="H6019" s="6">
        <v>44932</v>
      </c>
      <c r="I6019">
        <f t="shared" si="188"/>
        <v>0</v>
      </c>
      <c r="J6019" t="str">
        <f t="shared" si="189"/>
        <v>Complete</v>
      </c>
      <c r="K6019">
        <f>COUNTIFS(RawData[Item], B6019,RawData[Quantity],C6019,RawData[Price Per Unit],D6019,RawData[Total Spent],E6019,RawData[Payment Method],F6019,RawData[Location],G6019,RawData[Transaction Date],H6019)</f>
        <v>1</v>
      </c>
      <c r="L6019"/>
    </row>
    <row r="6020" spans="1:12" x14ac:dyDescent="0.3">
      <c r="A6020" t="s">
        <v>6026</v>
      </c>
      <c r="B6020" t="s">
        <v>10014</v>
      </c>
      <c r="C6020">
        <v>5</v>
      </c>
      <c r="D6020">
        <v>4</v>
      </c>
      <c r="E6020">
        <v>20</v>
      </c>
      <c r="F6020" t="s">
        <v>10069</v>
      </c>
      <c r="G6020" t="s">
        <v>10102</v>
      </c>
      <c r="H6020" s="6">
        <v>45249</v>
      </c>
      <c r="I6020">
        <f t="shared" si="188"/>
        <v>0</v>
      </c>
      <c r="J6020" t="str">
        <f t="shared" si="189"/>
        <v>Complete</v>
      </c>
      <c r="K6020">
        <f>COUNTIFS(RawData[Item], B6020,RawData[Quantity],C6020,RawData[Price Per Unit],D6020,RawData[Total Spent],E6020,RawData[Payment Method],F6020,RawData[Location],G6020,RawData[Transaction Date],H6020)</f>
        <v>1</v>
      </c>
      <c r="L6020"/>
    </row>
    <row r="6021" spans="1:12" x14ac:dyDescent="0.3">
      <c r="A6021" t="s">
        <v>6027</v>
      </c>
      <c r="B6021" t="s">
        <v>10010</v>
      </c>
      <c r="C6021">
        <v>1</v>
      </c>
      <c r="D6021">
        <v>1</v>
      </c>
      <c r="E6021">
        <v>1</v>
      </c>
      <c r="F6021" t="s">
        <v>10020</v>
      </c>
      <c r="G6021" t="s">
        <v>10102</v>
      </c>
      <c r="H6021" s="6">
        <v>45119</v>
      </c>
      <c r="I6021">
        <f t="shared" si="188"/>
        <v>0</v>
      </c>
      <c r="J6021" t="str">
        <f t="shared" si="189"/>
        <v>Complete</v>
      </c>
      <c r="K6021">
        <f>COUNTIFS(RawData[Item], B6021,RawData[Quantity],C6021,RawData[Price Per Unit],D6021,RawData[Total Spent],E6021,RawData[Payment Method],F6021,RawData[Location],G6021,RawData[Transaction Date],H6021)</f>
        <v>1</v>
      </c>
      <c r="L6021"/>
    </row>
    <row r="6022" spans="1:12" x14ac:dyDescent="0.3">
      <c r="A6022" t="s">
        <v>6028</v>
      </c>
      <c r="B6022" t="s">
        <v>10010</v>
      </c>
      <c r="C6022">
        <v>2</v>
      </c>
      <c r="D6022">
        <v>1</v>
      </c>
      <c r="E6022">
        <v>2</v>
      </c>
      <c r="F6022" t="s">
        <v>10018</v>
      </c>
      <c r="G6022" t="s">
        <v>10102</v>
      </c>
      <c r="H6022" s="6" t="s">
        <v>10112</v>
      </c>
      <c r="I6022">
        <f t="shared" si="188"/>
        <v>1</v>
      </c>
      <c r="J6022" t="str">
        <f t="shared" si="189"/>
        <v>Incomplete</v>
      </c>
      <c r="K6022">
        <f>COUNTIFS(RawData[Item], B6022,RawData[Quantity],C6022,RawData[Price Per Unit],D6022,RawData[Total Spent],E6022,RawData[Payment Method],F6022,RawData[Location],G6022,RawData[Transaction Date],H6022)</f>
        <v>3</v>
      </c>
      <c r="L6022"/>
    </row>
    <row r="6023" spans="1:12" x14ac:dyDescent="0.3">
      <c r="A6023" t="s">
        <v>6029</v>
      </c>
      <c r="B6023" t="s">
        <v>10011</v>
      </c>
      <c r="C6023">
        <v>2</v>
      </c>
      <c r="D6023">
        <v>5</v>
      </c>
      <c r="E6023">
        <v>10</v>
      </c>
      <c r="F6023" t="s">
        <v>10069</v>
      </c>
      <c r="G6023" t="s">
        <v>10069</v>
      </c>
      <c r="H6023" s="6">
        <v>44964</v>
      </c>
      <c r="I6023">
        <f t="shared" si="188"/>
        <v>0</v>
      </c>
      <c r="J6023" t="str">
        <f t="shared" si="189"/>
        <v>Complete</v>
      </c>
      <c r="K6023">
        <f>COUNTIFS(RawData[Item], B6023,RawData[Quantity],C6023,RawData[Price Per Unit],D6023,RawData[Total Spent],E6023,RawData[Payment Method],F6023,RawData[Location],G6023,RawData[Transaction Date],H6023)</f>
        <v>1</v>
      </c>
      <c r="L6023"/>
    </row>
    <row r="6024" spans="1:12" x14ac:dyDescent="0.3">
      <c r="A6024" t="s">
        <v>6030</v>
      </c>
      <c r="B6024" t="s">
        <v>10016</v>
      </c>
      <c r="C6024">
        <v>2</v>
      </c>
      <c r="D6024">
        <v>3</v>
      </c>
      <c r="E6024">
        <v>6</v>
      </c>
      <c r="F6024" t="s">
        <v>10018</v>
      </c>
      <c r="G6024" t="s">
        <v>10069</v>
      </c>
      <c r="H6024" s="6">
        <v>45201</v>
      </c>
      <c r="I6024">
        <f t="shared" si="188"/>
        <v>0</v>
      </c>
      <c r="J6024" t="str">
        <f t="shared" si="189"/>
        <v>Complete</v>
      </c>
      <c r="K6024">
        <f>COUNTIFS(RawData[Item], B6024,RawData[Quantity],C6024,RawData[Price Per Unit],D6024,RawData[Total Spent],E6024,RawData[Payment Method],F6024,RawData[Location],G6024,RawData[Transaction Date],H6024)</f>
        <v>1</v>
      </c>
      <c r="L6024"/>
    </row>
    <row r="6025" spans="1:12" x14ac:dyDescent="0.3">
      <c r="A6025" t="s">
        <v>6031</v>
      </c>
      <c r="B6025" t="s">
        <v>10015</v>
      </c>
      <c r="C6025">
        <v>5</v>
      </c>
      <c r="D6025">
        <v>5</v>
      </c>
      <c r="E6025">
        <v>25</v>
      </c>
      <c r="F6025" t="s">
        <v>10103</v>
      </c>
      <c r="G6025" t="s">
        <v>10069</v>
      </c>
      <c r="H6025" s="6">
        <v>45208</v>
      </c>
      <c r="I6025">
        <f t="shared" si="188"/>
        <v>2</v>
      </c>
      <c r="J6025" t="str">
        <f t="shared" si="189"/>
        <v>Complete</v>
      </c>
      <c r="K6025">
        <f>COUNTIFS(RawData[Item], B6025,RawData[Quantity],C6025,RawData[Price Per Unit],D6025,RawData[Total Spent],E6025,RawData[Payment Method],F6025,RawData[Location],G6025,RawData[Transaction Date],H6025)</f>
        <v>1</v>
      </c>
      <c r="L6025"/>
    </row>
    <row r="6026" spans="1:12" x14ac:dyDescent="0.3">
      <c r="A6026" t="s">
        <v>6032</v>
      </c>
      <c r="B6026" t="s">
        <v>10014</v>
      </c>
      <c r="C6026">
        <v>2</v>
      </c>
      <c r="D6026">
        <v>4</v>
      </c>
      <c r="E6026">
        <v>8</v>
      </c>
      <c r="F6026" t="s">
        <v>10069</v>
      </c>
      <c r="G6026" t="s">
        <v>10102</v>
      </c>
      <c r="H6026" s="6">
        <v>44981</v>
      </c>
      <c r="I6026">
        <f t="shared" si="188"/>
        <v>0</v>
      </c>
      <c r="J6026" t="str">
        <f t="shared" si="189"/>
        <v>Complete</v>
      </c>
      <c r="K6026">
        <f>COUNTIFS(RawData[Item], B6026,RawData[Quantity],C6026,RawData[Price Per Unit],D6026,RawData[Total Spent],E6026,RawData[Payment Method],F6026,RawData[Location],G6026,RawData[Transaction Date],H6026)</f>
        <v>1</v>
      </c>
      <c r="L6026"/>
    </row>
    <row r="6027" spans="1:12" x14ac:dyDescent="0.3">
      <c r="A6027" t="s">
        <v>6033</v>
      </c>
      <c r="B6027" t="s">
        <v>10014</v>
      </c>
      <c r="C6027">
        <v>2</v>
      </c>
      <c r="D6027">
        <v>4</v>
      </c>
      <c r="E6027">
        <v>8</v>
      </c>
      <c r="F6027" t="s">
        <v>10019</v>
      </c>
      <c r="G6027" t="s">
        <v>10102</v>
      </c>
      <c r="H6027" s="6">
        <v>45076</v>
      </c>
      <c r="I6027">
        <f t="shared" si="188"/>
        <v>0</v>
      </c>
      <c r="J6027" t="str">
        <f t="shared" si="189"/>
        <v>Complete</v>
      </c>
      <c r="K6027">
        <f>COUNTIFS(RawData[Item], B6027,RawData[Quantity],C6027,RawData[Price Per Unit],D6027,RawData[Total Spent],E6027,RawData[Payment Method],F6027,RawData[Location],G6027,RawData[Transaction Date],H6027)</f>
        <v>1</v>
      </c>
      <c r="L6027"/>
    </row>
    <row r="6028" spans="1:12" x14ac:dyDescent="0.3">
      <c r="A6028" t="s">
        <v>6034</v>
      </c>
      <c r="B6028" t="s">
        <v>10011</v>
      </c>
      <c r="C6028">
        <v>2</v>
      </c>
      <c r="D6028">
        <v>5</v>
      </c>
      <c r="E6028">
        <v>10</v>
      </c>
      <c r="F6028" t="s">
        <v>10018</v>
      </c>
      <c r="G6028" t="s">
        <v>10021</v>
      </c>
      <c r="H6028" s="6">
        <v>45174</v>
      </c>
      <c r="I6028">
        <f t="shared" si="188"/>
        <v>0</v>
      </c>
      <c r="J6028" t="str">
        <f t="shared" si="189"/>
        <v>Complete</v>
      </c>
      <c r="K6028">
        <f>COUNTIFS(RawData[Item], B6028,RawData[Quantity],C6028,RawData[Price Per Unit],D6028,RawData[Total Spent],E6028,RawData[Payment Method],F6028,RawData[Location],G6028,RawData[Transaction Date],H6028)</f>
        <v>1</v>
      </c>
      <c r="L6028"/>
    </row>
    <row r="6029" spans="1:12" x14ac:dyDescent="0.3">
      <c r="A6029" t="s">
        <v>6035</v>
      </c>
      <c r="B6029" t="s">
        <v>10016</v>
      </c>
      <c r="C6029">
        <v>3</v>
      </c>
      <c r="D6029">
        <v>3</v>
      </c>
      <c r="E6029">
        <v>9</v>
      </c>
      <c r="F6029" t="s">
        <v>10019</v>
      </c>
      <c r="G6029" t="s">
        <v>10102</v>
      </c>
      <c r="H6029" s="6">
        <v>45134</v>
      </c>
      <c r="I6029">
        <f t="shared" si="188"/>
        <v>0</v>
      </c>
      <c r="J6029" t="str">
        <f t="shared" si="189"/>
        <v>Complete</v>
      </c>
      <c r="K6029">
        <f>COUNTIFS(RawData[Item], B6029,RawData[Quantity],C6029,RawData[Price Per Unit],D6029,RawData[Total Spent],E6029,RawData[Payment Method],F6029,RawData[Location],G6029,RawData[Transaction Date],H6029)</f>
        <v>1</v>
      </c>
      <c r="L6029"/>
    </row>
    <row r="6030" spans="1:12" x14ac:dyDescent="0.3">
      <c r="A6030" t="s">
        <v>6036</v>
      </c>
      <c r="B6030" t="s">
        <v>10009</v>
      </c>
      <c r="C6030">
        <v>4</v>
      </c>
      <c r="D6030">
        <v>3</v>
      </c>
      <c r="E6030">
        <v>12</v>
      </c>
      <c r="F6030" t="s">
        <v>10069</v>
      </c>
      <c r="G6030" t="s">
        <v>10102</v>
      </c>
      <c r="H6030" s="6">
        <v>45030</v>
      </c>
      <c r="I6030">
        <f t="shared" si="188"/>
        <v>0</v>
      </c>
      <c r="J6030" t="str">
        <f t="shared" si="189"/>
        <v>Complete</v>
      </c>
      <c r="K6030">
        <f>COUNTIFS(RawData[Item], B6030,RawData[Quantity],C6030,RawData[Price Per Unit],D6030,RawData[Total Spent],E6030,RawData[Payment Method],F6030,RawData[Location],G6030,RawData[Transaction Date],H6030)</f>
        <v>1</v>
      </c>
      <c r="L6030"/>
    </row>
    <row r="6031" spans="1:12" x14ac:dyDescent="0.3">
      <c r="A6031" t="s">
        <v>6037</v>
      </c>
      <c r="B6031" t="s">
        <v>10014</v>
      </c>
      <c r="C6031">
        <v>3</v>
      </c>
      <c r="D6031">
        <v>4</v>
      </c>
      <c r="E6031">
        <v>12</v>
      </c>
      <c r="F6031" t="s">
        <v>10103</v>
      </c>
      <c r="G6031" t="s">
        <v>10069</v>
      </c>
      <c r="H6031" s="6">
        <v>45245</v>
      </c>
      <c r="I6031">
        <f t="shared" si="188"/>
        <v>1</v>
      </c>
      <c r="J6031" t="str">
        <f t="shared" si="189"/>
        <v>Complete</v>
      </c>
      <c r="K6031">
        <f>COUNTIFS(RawData[Item], B6031,RawData[Quantity],C6031,RawData[Price Per Unit],D6031,RawData[Total Spent],E6031,RawData[Payment Method],F6031,RawData[Location],G6031,RawData[Transaction Date],H6031)</f>
        <v>1</v>
      </c>
      <c r="L6031"/>
    </row>
    <row r="6032" spans="1:12" x14ac:dyDescent="0.3">
      <c r="A6032" t="s">
        <v>6038</v>
      </c>
      <c r="B6032" t="s">
        <v>10014</v>
      </c>
      <c r="C6032">
        <v>3</v>
      </c>
      <c r="D6032">
        <v>4</v>
      </c>
      <c r="E6032">
        <v>12</v>
      </c>
      <c r="F6032" t="s">
        <v>10069</v>
      </c>
      <c r="G6032" t="s">
        <v>10102</v>
      </c>
      <c r="H6032" s="6">
        <v>45196</v>
      </c>
      <c r="I6032">
        <f t="shared" si="188"/>
        <v>0</v>
      </c>
      <c r="J6032" t="str">
        <f t="shared" si="189"/>
        <v>Complete</v>
      </c>
      <c r="K6032">
        <f>COUNTIFS(RawData[Item], B6032,RawData[Quantity],C6032,RawData[Price Per Unit],D6032,RawData[Total Spent],E6032,RawData[Payment Method],F6032,RawData[Location],G6032,RawData[Transaction Date],H6032)</f>
        <v>1</v>
      </c>
      <c r="L6032"/>
    </row>
    <row r="6033" spans="1:12" x14ac:dyDescent="0.3">
      <c r="A6033" t="s">
        <v>6039</v>
      </c>
      <c r="B6033" t="s">
        <v>10010</v>
      </c>
      <c r="C6033">
        <v>5</v>
      </c>
      <c r="D6033">
        <v>0</v>
      </c>
      <c r="E6033">
        <v>5</v>
      </c>
      <c r="F6033" t="s">
        <v>10018</v>
      </c>
      <c r="G6033" t="s">
        <v>10102</v>
      </c>
      <c r="H6033" s="6">
        <v>45190</v>
      </c>
      <c r="I6033">
        <f t="shared" si="188"/>
        <v>0</v>
      </c>
      <c r="J6033" t="str">
        <f t="shared" si="189"/>
        <v>Complete</v>
      </c>
      <c r="K6033">
        <f>COUNTIFS(RawData[Item], B6033,RawData[Quantity],C6033,RawData[Price Per Unit],D6033,RawData[Total Spent],E6033,RawData[Payment Method],F6033,RawData[Location],G6033,RawData[Transaction Date],H6033)</f>
        <v>1</v>
      </c>
      <c r="L6033"/>
    </row>
    <row r="6034" spans="1:12" x14ac:dyDescent="0.3">
      <c r="A6034" t="s">
        <v>6040</v>
      </c>
      <c r="B6034" t="s">
        <v>10014</v>
      </c>
      <c r="C6034">
        <v>2</v>
      </c>
      <c r="D6034">
        <v>4</v>
      </c>
      <c r="E6034">
        <v>8</v>
      </c>
      <c r="F6034" t="s">
        <v>10019</v>
      </c>
      <c r="G6034" t="s">
        <v>10103</v>
      </c>
      <c r="H6034" s="6">
        <v>45001</v>
      </c>
      <c r="I6034">
        <f t="shared" si="188"/>
        <v>1</v>
      </c>
      <c r="J6034" t="str">
        <f t="shared" si="189"/>
        <v>Complete</v>
      </c>
      <c r="K6034">
        <f>COUNTIFS(RawData[Item], B6034,RawData[Quantity],C6034,RawData[Price Per Unit],D6034,RawData[Total Spent],E6034,RawData[Payment Method],F6034,RawData[Location],G6034,RawData[Transaction Date],H6034)</f>
        <v>1</v>
      </c>
      <c r="L6034"/>
    </row>
    <row r="6035" spans="1:12" x14ac:dyDescent="0.3">
      <c r="A6035" t="s">
        <v>6041</v>
      </c>
      <c r="B6035" t="s">
        <v>10016</v>
      </c>
      <c r="C6035">
        <v>4</v>
      </c>
      <c r="D6035">
        <v>3</v>
      </c>
      <c r="E6035">
        <v>12</v>
      </c>
      <c r="F6035" t="s">
        <v>10020</v>
      </c>
      <c r="G6035" t="s">
        <v>10069</v>
      </c>
      <c r="H6035" s="6">
        <v>45006</v>
      </c>
      <c r="I6035">
        <f t="shared" si="188"/>
        <v>0</v>
      </c>
      <c r="J6035" t="str">
        <f t="shared" si="189"/>
        <v>Complete</v>
      </c>
      <c r="K6035">
        <f>COUNTIFS(RawData[Item], B6035,RawData[Quantity],C6035,RawData[Price Per Unit],D6035,RawData[Total Spent],E6035,RawData[Payment Method],F6035,RawData[Location],G6035,RawData[Transaction Date],H6035)</f>
        <v>1</v>
      </c>
      <c r="L6035"/>
    </row>
    <row r="6036" spans="1:12" x14ac:dyDescent="0.3">
      <c r="A6036" t="s">
        <v>6042</v>
      </c>
      <c r="B6036" t="s">
        <v>10014</v>
      </c>
      <c r="C6036">
        <v>1</v>
      </c>
      <c r="D6036">
        <v>4</v>
      </c>
      <c r="E6036">
        <v>4</v>
      </c>
      <c r="F6036" t="s">
        <v>10069</v>
      </c>
      <c r="G6036" t="s">
        <v>10102</v>
      </c>
      <c r="H6036" s="6" t="s">
        <v>10112</v>
      </c>
      <c r="I6036">
        <f t="shared" si="188"/>
        <v>1</v>
      </c>
      <c r="J6036" t="str">
        <f t="shared" si="189"/>
        <v>Incomplete</v>
      </c>
      <c r="K6036">
        <f>COUNTIFS(RawData[Item], B6036,RawData[Quantity],C6036,RawData[Price Per Unit],D6036,RawData[Total Spent],E6036,RawData[Payment Method],F6036,RawData[Location],G6036,RawData[Transaction Date],H6036)</f>
        <v>2</v>
      </c>
      <c r="L6036"/>
    </row>
    <row r="6037" spans="1:12" x14ac:dyDescent="0.3">
      <c r="A6037" t="s">
        <v>6043</v>
      </c>
      <c r="B6037" t="s">
        <v>10008</v>
      </c>
      <c r="C6037">
        <v>2</v>
      </c>
      <c r="D6037">
        <v>2</v>
      </c>
      <c r="E6037">
        <v>4</v>
      </c>
      <c r="F6037" t="s">
        <v>10018</v>
      </c>
      <c r="G6037" t="s">
        <v>10069</v>
      </c>
      <c r="H6037" s="6">
        <v>45031</v>
      </c>
      <c r="I6037">
        <f t="shared" si="188"/>
        <v>0</v>
      </c>
      <c r="J6037" t="str">
        <f t="shared" si="189"/>
        <v>Complete</v>
      </c>
      <c r="K6037">
        <f>COUNTIFS(RawData[Item], B6037,RawData[Quantity],C6037,RawData[Price Per Unit],D6037,RawData[Total Spent],E6037,RawData[Payment Method],F6037,RawData[Location],G6037,RawData[Transaction Date],H6037)</f>
        <v>1</v>
      </c>
      <c r="L6037"/>
    </row>
    <row r="6038" spans="1:12" x14ac:dyDescent="0.3">
      <c r="A6038" t="s">
        <v>6044</v>
      </c>
      <c r="B6038" t="s">
        <v>10010</v>
      </c>
      <c r="C6038">
        <v>2</v>
      </c>
      <c r="D6038">
        <v>1</v>
      </c>
      <c r="E6038">
        <v>2</v>
      </c>
      <c r="F6038" t="s">
        <v>10018</v>
      </c>
      <c r="G6038" t="s">
        <v>10021</v>
      </c>
      <c r="H6038" s="6">
        <v>45116</v>
      </c>
      <c r="I6038">
        <f t="shared" si="188"/>
        <v>0</v>
      </c>
      <c r="J6038" t="str">
        <f t="shared" si="189"/>
        <v>Complete</v>
      </c>
      <c r="K6038">
        <f>COUNTIFS(RawData[Item], B6038,RawData[Quantity],C6038,RawData[Price Per Unit],D6038,RawData[Total Spent],E6038,RawData[Payment Method],F6038,RawData[Location],G6038,RawData[Transaction Date],H6038)</f>
        <v>2</v>
      </c>
      <c r="L6038"/>
    </row>
    <row r="6039" spans="1:12" x14ac:dyDescent="0.3">
      <c r="A6039" t="s">
        <v>6045</v>
      </c>
      <c r="B6039" t="s">
        <v>10013</v>
      </c>
      <c r="C6039">
        <v>1</v>
      </c>
      <c r="D6039">
        <v>1.5</v>
      </c>
      <c r="E6039">
        <v>1.5</v>
      </c>
      <c r="F6039" t="s">
        <v>10020</v>
      </c>
      <c r="G6039" t="s">
        <v>10104</v>
      </c>
      <c r="H6039" s="6">
        <v>45081</v>
      </c>
      <c r="I6039">
        <f t="shared" si="188"/>
        <v>2</v>
      </c>
      <c r="J6039" t="str">
        <f t="shared" si="189"/>
        <v>Complete</v>
      </c>
      <c r="K6039">
        <f>COUNTIFS(RawData[Item], B6039,RawData[Quantity],C6039,RawData[Price Per Unit],D6039,RawData[Total Spent],E6039,RawData[Payment Method],F6039,RawData[Location],G6039,RawData[Transaction Date],H6039)</f>
        <v>1</v>
      </c>
      <c r="L6039"/>
    </row>
    <row r="6040" spans="1:12" x14ac:dyDescent="0.3">
      <c r="A6040" t="s">
        <v>6046</v>
      </c>
      <c r="B6040" t="s">
        <v>10012</v>
      </c>
      <c r="C6040">
        <v>3</v>
      </c>
      <c r="D6040">
        <v>4</v>
      </c>
      <c r="E6040" t="s">
        <v>10013</v>
      </c>
      <c r="F6040" t="s">
        <v>10069</v>
      </c>
      <c r="G6040" t="s">
        <v>10069</v>
      </c>
      <c r="H6040" s="6">
        <v>44929</v>
      </c>
      <c r="I6040">
        <f t="shared" si="188"/>
        <v>1</v>
      </c>
      <c r="J6040" t="str">
        <f t="shared" si="189"/>
        <v>Complete</v>
      </c>
      <c r="K6040">
        <f>COUNTIFS(RawData[Item], B6040,RawData[Quantity],C6040,RawData[Price Per Unit],D6040,RawData[Total Spent],E6040,RawData[Payment Method],F6040,RawData[Location],G6040,RawData[Transaction Date],H6040)</f>
        <v>1</v>
      </c>
      <c r="L6040"/>
    </row>
    <row r="6041" spans="1:12" x14ac:dyDescent="0.3">
      <c r="A6041" t="s">
        <v>6047</v>
      </c>
      <c r="B6041" t="s">
        <v>10017</v>
      </c>
      <c r="C6041">
        <v>5</v>
      </c>
      <c r="D6041">
        <v>1.5</v>
      </c>
      <c r="E6041">
        <v>7.5</v>
      </c>
      <c r="F6041" t="s">
        <v>10019</v>
      </c>
      <c r="G6041" t="s">
        <v>10021</v>
      </c>
      <c r="H6041" s="6">
        <v>44973</v>
      </c>
      <c r="I6041">
        <f t="shared" si="188"/>
        <v>0</v>
      </c>
      <c r="J6041" t="str">
        <f t="shared" si="189"/>
        <v>Complete</v>
      </c>
      <c r="K6041">
        <f>COUNTIFS(RawData[Item], B6041,RawData[Quantity],C6041,RawData[Price Per Unit],D6041,RawData[Total Spent],E6041,RawData[Payment Method],F6041,RawData[Location],G6041,RawData[Transaction Date],H6041)</f>
        <v>1</v>
      </c>
      <c r="L6041"/>
    </row>
    <row r="6042" spans="1:12" x14ac:dyDescent="0.3">
      <c r="A6042" t="s">
        <v>6048</v>
      </c>
      <c r="B6042" t="s">
        <v>10017</v>
      </c>
      <c r="C6042">
        <v>5</v>
      </c>
      <c r="D6042">
        <v>1.5</v>
      </c>
      <c r="E6042">
        <v>7.5</v>
      </c>
      <c r="F6042" t="s">
        <v>10069</v>
      </c>
      <c r="G6042" t="s">
        <v>10102</v>
      </c>
      <c r="H6042" s="6">
        <v>45217</v>
      </c>
      <c r="I6042">
        <f t="shared" si="188"/>
        <v>0</v>
      </c>
      <c r="J6042" t="str">
        <f t="shared" si="189"/>
        <v>Complete</v>
      </c>
      <c r="K6042">
        <f>COUNTIFS(RawData[Item], B6042,RawData[Quantity],C6042,RawData[Price Per Unit],D6042,RawData[Total Spent],E6042,RawData[Payment Method],F6042,RawData[Location],G6042,RawData[Transaction Date],H6042)</f>
        <v>1</v>
      </c>
      <c r="L6042"/>
    </row>
    <row r="6043" spans="1:12" x14ac:dyDescent="0.3">
      <c r="A6043" t="s">
        <v>6049</v>
      </c>
      <c r="B6043" t="s">
        <v>10016</v>
      </c>
      <c r="C6043">
        <v>5</v>
      </c>
      <c r="D6043">
        <v>3</v>
      </c>
      <c r="E6043">
        <v>15</v>
      </c>
      <c r="F6043" t="s">
        <v>10018</v>
      </c>
      <c r="G6043" t="s">
        <v>10102</v>
      </c>
      <c r="H6043" s="6">
        <v>45245</v>
      </c>
      <c r="I6043">
        <f t="shared" si="188"/>
        <v>0</v>
      </c>
      <c r="J6043" t="str">
        <f t="shared" si="189"/>
        <v>Complete</v>
      </c>
      <c r="K6043">
        <f>COUNTIFS(RawData[Item], B6043,RawData[Quantity],C6043,RawData[Price Per Unit],D6043,RawData[Total Spent],E6043,RawData[Payment Method],F6043,RawData[Location],G6043,RawData[Transaction Date],H6043)</f>
        <v>1</v>
      </c>
      <c r="L6043"/>
    </row>
    <row r="6044" spans="1:12" x14ac:dyDescent="0.3">
      <c r="A6044" t="s">
        <v>6050</v>
      </c>
      <c r="B6044" t="s">
        <v>10069</v>
      </c>
      <c r="C6044">
        <v>3</v>
      </c>
      <c r="D6044">
        <v>1</v>
      </c>
      <c r="E6044">
        <v>3</v>
      </c>
      <c r="F6044" t="s">
        <v>10020</v>
      </c>
      <c r="G6044" t="s">
        <v>10103</v>
      </c>
      <c r="H6044" s="6">
        <v>44935</v>
      </c>
      <c r="I6044">
        <f t="shared" si="188"/>
        <v>1</v>
      </c>
      <c r="J6044" t="str">
        <f t="shared" si="189"/>
        <v>Complete</v>
      </c>
      <c r="K6044">
        <f>COUNTIFS(RawData[Item], B6044,RawData[Quantity],C6044,RawData[Price Per Unit],D6044,RawData[Total Spent],E6044,RawData[Payment Method],F6044,RawData[Location],G6044,RawData[Transaction Date],H6044)</f>
        <v>1</v>
      </c>
      <c r="L6044"/>
    </row>
    <row r="6045" spans="1:12" x14ac:dyDescent="0.3">
      <c r="A6045" t="s">
        <v>6051</v>
      </c>
      <c r="B6045" t="s">
        <v>10011</v>
      </c>
      <c r="C6045">
        <v>4</v>
      </c>
      <c r="D6045">
        <v>5</v>
      </c>
      <c r="E6045">
        <v>20</v>
      </c>
      <c r="F6045" t="s">
        <v>10069</v>
      </c>
      <c r="G6045" t="s">
        <v>10069</v>
      </c>
      <c r="H6045" s="6" t="s">
        <v>10112</v>
      </c>
      <c r="I6045">
        <f t="shared" si="188"/>
        <v>1</v>
      </c>
      <c r="J6045" t="str">
        <f t="shared" si="189"/>
        <v>Incomplete</v>
      </c>
      <c r="K6045">
        <f>COUNTIFS(RawData[Item], B6045,RawData[Quantity],C6045,RawData[Price Per Unit],D6045,RawData[Total Spent],E6045,RawData[Payment Method],F6045,RawData[Location],G6045,RawData[Transaction Date],H6045)</f>
        <v>1</v>
      </c>
      <c r="L6045"/>
    </row>
    <row r="6046" spans="1:12" x14ac:dyDescent="0.3">
      <c r="A6046" t="s">
        <v>6052</v>
      </c>
      <c r="B6046" t="s">
        <v>10008</v>
      </c>
      <c r="C6046">
        <v>5</v>
      </c>
      <c r="D6046">
        <v>2</v>
      </c>
      <c r="E6046" t="s">
        <v>10015</v>
      </c>
      <c r="F6046" t="s">
        <v>10019</v>
      </c>
      <c r="G6046" t="s">
        <v>10069</v>
      </c>
      <c r="H6046" s="6">
        <v>44957</v>
      </c>
      <c r="I6046">
        <f t="shared" si="188"/>
        <v>1</v>
      </c>
      <c r="J6046" t="str">
        <f t="shared" si="189"/>
        <v>Complete</v>
      </c>
      <c r="K6046">
        <f>COUNTIFS(RawData[Item], B6046,RawData[Quantity],C6046,RawData[Price Per Unit],D6046,RawData[Total Spent],E6046,RawData[Payment Method],F6046,RawData[Location],G6046,RawData[Transaction Date],H6046)</f>
        <v>1</v>
      </c>
      <c r="L6046"/>
    </row>
    <row r="6047" spans="1:12" x14ac:dyDescent="0.3">
      <c r="A6047" t="s">
        <v>6053</v>
      </c>
      <c r="B6047" t="s">
        <v>10008</v>
      </c>
      <c r="C6047">
        <v>3</v>
      </c>
      <c r="D6047">
        <v>2</v>
      </c>
      <c r="E6047">
        <v>6</v>
      </c>
      <c r="F6047" t="s">
        <v>10018</v>
      </c>
      <c r="G6047" t="s">
        <v>10102</v>
      </c>
      <c r="H6047" s="6">
        <v>45040</v>
      </c>
      <c r="I6047">
        <f t="shared" si="188"/>
        <v>0</v>
      </c>
      <c r="J6047" t="str">
        <f t="shared" si="189"/>
        <v>Complete</v>
      </c>
      <c r="K6047">
        <f>COUNTIFS(RawData[Item], B6047,RawData[Quantity],C6047,RawData[Price Per Unit],D6047,RawData[Total Spent],E6047,RawData[Payment Method],F6047,RawData[Location],G6047,RawData[Transaction Date],H6047)</f>
        <v>1</v>
      </c>
      <c r="L6047"/>
    </row>
    <row r="6048" spans="1:12" x14ac:dyDescent="0.3">
      <c r="A6048" t="s">
        <v>6054</v>
      </c>
      <c r="B6048" t="s">
        <v>10017</v>
      </c>
      <c r="C6048">
        <v>5</v>
      </c>
      <c r="D6048">
        <v>1.5</v>
      </c>
      <c r="E6048">
        <v>7.5</v>
      </c>
      <c r="F6048" t="s">
        <v>10019</v>
      </c>
      <c r="G6048" t="s">
        <v>10069</v>
      </c>
      <c r="H6048" s="6">
        <v>45115</v>
      </c>
      <c r="I6048">
        <f t="shared" si="188"/>
        <v>0</v>
      </c>
      <c r="J6048" t="str">
        <f t="shared" si="189"/>
        <v>Complete</v>
      </c>
      <c r="K6048">
        <f>COUNTIFS(RawData[Item], B6048,RawData[Quantity],C6048,RawData[Price Per Unit],D6048,RawData[Total Spent],E6048,RawData[Payment Method],F6048,RawData[Location],G6048,RawData[Transaction Date],H6048)</f>
        <v>1</v>
      </c>
      <c r="L6048"/>
    </row>
    <row r="6049" spans="1:12" x14ac:dyDescent="0.3">
      <c r="A6049" t="s">
        <v>6055</v>
      </c>
      <c r="B6049" t="s">
        <v>10010</v>
      </c>
      <c r="C6049">
        <v>1</v>
      </c>
      <c r="D6049">
        <v>1</v>
      </c>
      <c r="E6049">
        <v>1</v>
      </c>
      <c r="F6049" t="s">
        <v>10020</v>
      </c>
      <c r="G6049" t="s">
        <v>10102</v>
      </c>
      <c r="H6049" s="6">
        <v>45074</v>
      </c>
      <c r="I6049">
        <f t="shared" si="188"/>
        <v>0</v>
      </c>
      <c r="J6049" t="str">
        <f t="shared" si="189"/>
        <v>Complete</v>
      </c>
      <c r="K6049">
        <f>COUNTIFS(RawData[Item], B6049,RawData[Quantity],C6049,RawData[Price Per Unit],D6049,RawData[Total Spent],E6049,RawData[Payment Method],F6049,RawData[Location],G6049,RawData[Transaction Date],H6049)</f>
        <v>1</v>
      </c>
      <c r="L6049"/>
    </row>
    <row r="6050" spans="1:12" x14ac:dyDescent="0.3">
      <c r="A6050" t="s">
        <v>6056</v>
      </c>
      <c r="B6050" t="s">
        <v>10012</v>
      </c>
      <c r="C6050">
        <v>1</v>
      </c>
      <c r="D6050">
        <v>4</v>
      </c>
      <c r="E6050">
        <v>4</v>
      </c>
      <c r="F6050" t="s">
        <v>10069</v>
      </c>
      <c r="G6050" t="s">
        <v>10069</v>
      </c>
      <c r="H6050" s="6">
        <v>45166</v>
      </c>
      <c r="I6050">
        <f t="shared" si="188"/>
        <v>0</v>
      </c>
      <c r="J6050" t="str">
        <f t="shared" si="189"/>
        <v>Complete</v>
      </c>
      <c r="K6050">
        <f>COUNTIFS(RawData[Item], B6050,RawData[Quantity],C6050,RawData[Price Per Unit],D6050,RawData[Total Spent],E6050,RawData[Payment Method],F6050,RawData[Location],G6050,RawData[Transaction Date],H6050)</f>
        <v>1</v>
      </c>
      <c r="L6050"/>
    </row>
    <row r="6051" spans="1:12" x14ac:dyDescent="0.3">
      <c r="A6051" t="s">
        <v>6057</v>
      </c>
      <c r="B6051" t="s">
        <v>10017</v>
      </c>
      <c r="C6051">
        <v>1</v>
      </c>
      <c r="D6051">
        <v>1.5</v>
      </c>
      <c r="E6051">
        <v>1.5</v>
      </c>
      <c r="F6051" t="s">
        <v>10069</v>
      </c>
      <c r="G6051" t="s">
        <v>10103</v>
      </c>
      <c r="H6051" s="6">
        <v>45033</v>
      </c>
      <c r="I6051">
        <f t="shared" si="188"/>
        <v>1</v>
      </c>
      <c r="J6051" t="str">
        <f t="shared" si="189"/>
        <v>Complete</v>
      </c>
      <c r="K6051">
        <f>COUNTIFS(RawData[Item], B6051,RawData[Quantity],C6051,RawData[Price Per Unit],D6051,RawData[Total Spent],E6051,RawData[Payment Method],F6051,RawData[Location],G6051,RawData[Transaction Date],H6051)</f>
        <v>1</v>
      </c>
      <c r="L6051"/>
    </row>
    <row r="6052" spans="1:12" x14ac:dyDescent="0.3">
      <c r="A6052" t="s">
        <v>6058</v>
      </c>
      <c r="B6052" t="s">
        <v>10011</v>
      </c>
      <c r="C6052">
        <v>2</v>
      </c>
      <c r="D6052">
        <v>5</v>
      </c>
      <c r="E6052">
        <v>10</v>
      </c>
      <c r="F6052" t="s">
        <v>10019</v>
      </c>
      <c r="G6052" t="s">
        <v>10069</v>
      </c>
      <c r="H6052" s="6">
        <v>45035</v>
      </c>
      <c r="I6052">
        <f t="shared" si="188"/>
        <v>0</v>
      </c>
      <c r="J6052" t="str">
        <f t="shared" si="189"/>
        <v>Complete</v>
      </c>
      <c r="K6052">
        <f>COUNTIFS(RawData[Item], B6052,RawData[Quantity],C6052,RawData[Price Per Unit],D6052,RawData[Total Spent],E6052,RawData[Payment Method],F6052,RawData[Location],G6052,RawData[Transaction Date],H6052)</f>
        <v>1</v>
      </c>
      <c r="L6052"/>
    </row>
    <row r="6053" spans="1:12" x14ac:dyDescent="0.3">
      <c r="A6053" t="s">
        <v>6059</v>
      </c>
      <c r="B6053" t="s">
        <v>10016</v>
      </c>
      <c r="C6053">
        <v>2</v>
      </c>
      <c r="D6053">
        <v>3</v>
      </c>
      <c r="E6053">
        <v>6</v>
      </c>
      <c r="F6053" t="s">
        <v>10069</v>
      </c>
      <c r="G6053" t="s">
        <v>10021</v>
      </c>
      <c r="H6053" s="6">
        <v>45068</v>
      </c>
      <c r="I6053">
        <f t="shared" si="188"/>
        <v>0</v>
      </c>
      <c r="J6053" t="str">
        <f t="shared" si="189"/>
        <v>Complete</v>
      </c>
      <c r="K6053">
        <f>COUNTIFS(RawData[Item], B6053,RawData[Quantity],C6053,RawData[Price Per Unit],D6053,RawData[Total Spent],E6053,RawData[Payment Method],F6053,RawData[Location],G6053,RawData[Transaction Date],H6053)</f>
        <v>1</v>
      </c>
      <c r="L6053"/>
    </row>
    <row r="6054" spans="1:12" x14ac:dyDescent="0.3">
      <c r="A6054" t="s">
        <v>6060</v>
      </c>
      <c r="B6054" t="s">
        <v>10016</v>
      </c>
      <c r="C6054">
        <v>3</v>
      </c>
      <c r="D6054">
        <v>3</v>
      </c>
      <c r="E6054">
        <v>9</v>
      </c>
      <c r="F6054" t="s">
        <v>10020</v>
      </c>
      <c r="G6054" t="s">
        <v>10069</v>
      </c>
      <c r="H6054" s="6">
        <v>45252</v>
      </c>
      <c r="I6054">
        <f t="shared" si="188"/>
        <v>0</v>
      </c>
      <c r="J6054" t="str">
        <f t="shared" si="189"/>
        <v>Complete</v>
      </c>
      <c r="K6054">
        <f>COUNTIFS(RawData[Item], B6054,RawData[Quantity],C6054,RawData[Price Per Unit],D6054,RawData[Total Spent],E6054,RawData[Payment Method],F6054,RawData[Location],G6054,RawData[Transaction Date],H6054)</f>
        <v>1</v>
      </c>
      <c r="L6054"/>
    </row>
    <row r="6055" spans="1:12" x14ac:dyDescent="0.3">
      <c r="A6055" t="s">
        <v>6061</v>
      </c>
      <c r="B6055" t="s">
        <v>10010</v>
      </c>
      <c r="C6055">
        <v>3</v>
      </c>
      <c r="D6055">
        <v>1</v>
      </c>
      <c r="E6055">
        <v>3</v>
      </c>
      <c r="F6055" t="s">
        <v>10069</v>
      </c>
      <c r="G6055" t="s">
        <v>10021</v>
      </c>
      <c r="H6055" s="6">
        <v>45055</v>
      </c>
      <c r="I6055">
        <f t="shared" si="188"/>
        <v>0</v>
      </c>
      <c r="J6055" t="str">
        <f t="shared" si="189"/>
        <v>Complete</v>
      </c>
      <c r="K6055">
        <f>COUNTIFS(RawData[Item], B6055,RawData[Quantity],C6055,RawData[Price Per Unit],D6055,RawData[Total Spent],E6055,RawData[Payment Method],F6055,RawData[Location],G6055,RawData[Transaction Date],H6055)</f>
        <v>1</v>
      </c>
      <c r="L6055"/>
    </row>
    <row r="6056" spans="1:12" x14ac:dyDescent="0.3">
      <c r="A6056" t="s">
        <v>6062</v>
      </c>
      <c r="B6056" t="s">
        <v>10010</v>
      </c>
      <c r="C6056">
        <v>4</v>
      </c>
      <c r="D6056">
        <v>1</v>
      </c>
      <c r="E6056">
        <v>4</v>
      </c>
      <c r="F6056" t="s">
        <v>10019</v>
      </c>
      <c r="G6056" t="s">
        <v>10104</v>
      </c>
      <c r="H6056" s="6">
        <v>44934</v>
      </c>
      <c r="I6056">
        <f t="shared" si="188"/>
        <v>1</v>
      </c>
      <c r="J6056" t="str">
        <f t="shared" si="189"/>
        <v>Complete</v>
      </c>
      <c r="K6056">
        <f>COUNTIFS(RawData[Item], B6056,RawData[Quantity],C6056,RawData[Price Per Unit],D6056,RawData[Total Spent],E6056,RawData[Payment Method],F6056,RawData[Location],G6056,RawData[Transaction Date],H6056)</f>
        <v>1</v>
      </c>
      <c r="L6056"/>
    </row>
    <row r="6057" spans="1:12" x14ac:dyDescent="0.3">
      <c r="A6057" t="s">
        <v>6063</v>
      </c>
      <c r="B6057" t="s">
        <v>10008</v>
      </c>
      <c r="C6057">
        <v>3</v>
      </c>
      <c r="D6057">
        <v>2</v>
      </c>
      <c r="E6057">
        <v>6</v>
      </c>
      <c r="F6057" t="s">
        <v>10019</v>
      </c>
      <c r="G6057" t="s">
        <v>10102</v>
      </c>
      <c r="H6057" s="6">
        <v>45221</v>
      </c>
      <c r="I6057">
        <f t="shared" si="188"/>
        <v>0</v>
      </c>
      <c r="J6057" t="str">
        <f t="shared" si="189"/>
        <v>Complete</v>
      </c>
      <c r="K6057">
        <f>COUNTIFS(RawData[Item], B6057,RawData[Quantity],C6057,RawData[Price Per Unit],D6057,RawData[Total Spent],E6057,RawData[Payment Method],F6057,RawData[Location],G6057,RawData[Transaction Date],H6057)</f>
        <v>1</v>
      </c>
      <c r="L6057"/>
    </row>
    <row r="6058" spans="1:12" x14ac:dyDescent="0.3">
      <c r="A6058" t="s">
        <v>6064</v>
      </c>
      <c r="B6058" t="s">
        <v>10012</v>
      </c>
      <c r="C6058">
        <v>5</v>
      </c>
      <c r="D6058">
        <v>4</v>
      </c>
      <c r="E6058">
        <v>20</v>
      </c>
      <c r="F6058" t="s">
        <v>10020</v>
      </c>
      <c r="G6058" t="s">
        <v>10069</v>
      </c>
      <c r="H6058" s="6">
        <v>45055</v>
      </c>
      <c r="I6058">
        <f t="shared" si="188"/>
        <v>0</v>
      </c>
      <c r="J6058" t="str">
        <f t="shared" si="189"/>
        <v>Complete</v>
      </c>
      <c r="K6058">
        <f>COUNTIFS(RawData[Item], B6058,RawData[Quantity],C6058,RawData[Price Per Unit],D6058,RawData[Total Spent],E6058,RawData[Payment Method],F6058,RawData[Location],G6058,RawData[Transaction Date],H6058)</f>
        <v>1</v>
      </c>
      <c r="L6058"/>
    </row>
    <row r="6059" spans="1:12" x14ac:dyDescent="0.3">
      <c r="A6059" t="s">
        <v>6065</v>
      </c>
      <c r="B6059" t="s">
        <v>10011</v>
      </c>
      <c r="C6059">
        <v>3</v>
      </c>
      <c r="D6059">
        <v>5</v>
      </c>
      <c r="E6059">
        <v>15</v>
      </c>
      <c r="F6059" t="s">
        <v>10018</v>
      </c>
      <c r="G6059" t="s">
        <v>10021</v>
      </c>
      <c r="H6059" s="6" t="s">
        <v>10112</v>
      </c>
      <c r="I6059">
        <f t="shared" si="188"/>
        <v>1</v>
      </c>
      <c r="J6059" t="str">
        <f t="shared" si="189"/>
        <v>Incomplete</v>
      </c>
      <c r="K6059">
        <f>COUNTIFS(RawData[Item], B6059,RawData[Quantity],C6059,RawData[Price Per Unit],D6059,RawData[Total Spent],E6059,RawData[Payment Method],F6059,RawData[Location],G6059,RawData[Transaction Date],H6059)</f>
        <v>1</v>
      </c>
      <c r="L6059"/>
    </row>
    <row r="6060" spans="1:12" x14ac:dyDescent="0.3">
      <c r="A6060" t="s">
        <v>6066</v>
      </c>
      <c r="B6060" t="s">
        <v>10016</v>
      </c>
      <c r="C6060">
        <v>5</v>
      </c>
      <c r="D6060">
        <v>3</v>
      </c>
      <c r="E6060">
        <v>15</v>
      </c>
      <c r="F6060" t="s">
        <v>10018</v>
      </c>
      <c r="G6060" t="s">
        <v>10069</v>
      </c>
      <c r="H6060" s="6">
        <v>45085</v>
      </c>
      <c r="I6060">
        <f t="shared" si="188"/>
        <v>0</v>
      </c>
      <c r="J6060" t="str">
        <f t="shared" si="189"/>
        <v>Complete</v>
      </c>
      <c r="K6060">
        <f>COUNTIFS(RawData[Item], B6060,RawData[Quantity],C6060,RawData[Price Per Unit],D6060,RawData[Total Spent],E6060,RawData[Payment Method],F6060,RawData[Location],G6060,RawData[Transaction Date],H6060)</f>
        <v>1</v>
      </c>
      <c r="L6060"/>
    </row>
    <row r="6061" spans="1:12" x14ac:dyDescent="0.3">
      <c r="A6061" t="s">
        <v>6067</v>
      </c>
      <c r="B6061" t="s">
        <v>10012</v>
      </c>
      <c r="C6061">
        <v>5</v>
      </c>
      <c r="D6061" t="s">
        <v>10015</v>
      </c>
      <c r="E6061">
        <v>20</v>
      </c>
      <c r="F6061" t="s">
        <v>10020</v>
      </c>
      <c r="G6061" t="s">
        <v>10102</v>
      </c>
      <c r="H6061" s="6">
        <v>45286</v>
      </c>
      <c r="I6061">
        <f t="shared" si="188"/>
        <v>1</v>
      </c>
      <c r="J6061" t="str">
        <f t="shared" si="189"/>
        <v>Complete</v>
      </c>
      <c r="K6061">
        <f>COUNTIFS(RawData[Item], B6061,RawData[Quantity],C6061,RawData[Price Per Unit],D6061,RawData[Total Spent],E6061,RawData[Payment Method],F6061,RawData[Location],G6061,RawData[Transaction Date],H6061)</f>
        <v>1</v>
      </c>
      <c r="L6061"/>
    </row>
    <row r="6062" spans="1:12" x14ac:dyDescent="0.3">
      <c r="A6062" t="s">
        <v>6068</v>
      </c>
      <c r="B6062" t="s">
        <v>10012</v>
      </c>
      <c r="C6062">
        <v>1</v>
      </c>
      <c r="D6062">
        <v>4</v>
      </c>
      <c r="E6062">
        <v>4</v>
      </c>
      <c r="F6062" t="s">
        <v>10069</v>
      </c>
      <c r="G6062" t="s">
        <v>10021</v>
      </c>
      <c r="H6062" s="6">
        <v>45036</v>
      </c>
      <c r="I6062">
        <f t="shared" si="188"/>
        <v>0</v>
      </c>
      <c r="J6062" t="str">
        <f t="shared" si="189"/>
        <v>Complete</v>
      </c>
      <c r="K6062">
        <f>COUNTIFS(RawData[Item], B6062,RawData[Quantity],C6062,RawData[Price Per Unit],D6062,RawData[Total Spent],E6062,RawData[Payment Method],F6062,RawData[Location],G6062,RawData[Transaction Date],H6062)</f>
        <v>1</v>
      </c>
      <c r="L6062"/>
    </row>
    <row r="6063" spans="1:12" x14ac:dyDescent="0.3">
      <c r="A6063" t="s">
        <v>6069</v>
      </c>
      <c r="B6063" t="s">
        <v>10011</v>
      </c>
      <c r="C6063">
        <v>5</v>
      </c>
      <c r="D6063">
        <v>5</v>
      </c>
      <c r="E6063">
        <v>25</v>
      </c>
      <c r="F6063" t="s">
        <v>10019</v>
      </c>
      <c r="G6063" t="s">
        <v>10102</v>
      </c>
      <c r="H6063" s="6">
        <v>45252</v>
      </c>
      <c r="I6063">
        <f t="shared" si="188"/>
        <v>0</v>
      </c>
      <c r="J6063" t="str">
        <f t="shared" si="189"/>
        <v>Complete</v>
      </c>
      <c r="K6063">
        <f>COUNTIFS(RawData[Item], B6063,RawData[Quantity],C6063,RawData[Price Per Unit],D6063,RawData[Total Spent],E6063,RawData[Payment Method],F6063,RawData[Location],G6063,RawData[Transaction Date],H6063)</f>
        <v>1</v>
      </c>
      <c r="L6063"/>
    </row>
    <row r="6064" spans="1:12" x14ac:dyDescent="0.3">
      <c r="A6064" t="s">
        <v>6070</v>
      </c>
      <c r="B6064" t="s">
        <v>10016</v>
      </c>
      <c r="C6064">
        <v>2</v>
      </c>
      <c r="D6064">
        <v>3</v>
      </c>
      <c r="E6064">
        <v>6</v>
      </c>
      <c r="F6064" t="s">
        <v>10018</v>
      </c>
      <c r="G6064" t="s">
        <v>10021</v>
      </c>
      <c r="H6064" s="6">
        <v>45233</v>
      </c>
      <c r="I6064">
        <f t="shared" si="188"/>
        <v>0</v>
      </c>
      <c r="J6064" t="str">
        <f t="shared" si="189"/>
        <v>Complete</v>
      </c>
      <c r="K6064">
        <f>COUNTIFS(RawData[Item], B6064,RawData[Quantity],C6064,RawData[Price Per Unit],D6064,RawData[Total Spent],E6064,RawData[Payment Method],F6064,RawData[Location],G6064,RawData[Transaction Date],H6064)</f>
        <v>1</v>
      </c>
      <c r="L6064"/>
    </row>
    <row r="6065" spans="1:12" x14ac:dyDescent="0.3">
      <c r="A6065" t="s">
        <v>6071</v>
      </c>
      <c r="B6065" t="s">
        <v>10009</v>
      </c>
      <c r="C6065">
        <v>4</v>
      </c>
      <c r="D6065">
        <v>3</v>
      </c>
      <c r="E6065">
        <v>12</v>
      </c>
      <c r="F6065" t="s">
        <v>10018</v>
      </c>
      <c r="G6065" t="s">
        <v>10102</v>
      </c>
      <c r="H6065" s="6">
        <v>45055</v>
      </c>
      <c r="I6065">
        <f t="shared" si="188"/>
        <v>0</v>
      </c>
      <c r="J6065" t="str">
        <f t="shared" si="189"/>
        <v>Complete</v>
      </c>
      <c r="K6065">
        <f>COUNTIFS(RawData[Item], B6065,RawData[Quantity],C6065,RawData[Price Per Unit],D6065,RawData[Total Spent],E6065,RawData[Payment Method],F6065,RawData[Location],G6065,RawData[Transaction Date],H6065)</f>
        <v>1</v>
      </c>
      <c r="L6065"/>
    </row>
    <row r="6066" spans="1:12" x14ac:dyDescent="0.3">
      <c r="A6066" t="s">
        <v>6072</v>
      </c>
      <c r="B6066" t="s">
        <v>10017</v>
      </c>
      <c r="C6066">
        <v>5</v>
      </c>
      <c r="D6066">
        <v>1.5</v>
      </c>
      <c r="E6066">
        <v>7.5</v>
      </c>
      <c r="F6066" t="s">
        <v>10019</v>
      </c>
      <c r="G6066" t="s">
        <v>10069</v>
      </c>
      <c r="H6066" s="6">
        <v>45012</v>
      </c>
      <c r="I6066">
        <f t="shared" si="188"/>
        <v>0</v>
      </c>
      <c r="J6066" t="str">
        <f t="shared" si="189"/>
        <v>Complete</v>
      </c>
      <c r="K6066">
        <f>COUNTIFS(RawData[Item], B6066,RawData[Quantity],C6066,RawData[Price Per Unit],D6066,RawData[Total Spent],E6066,RawData[Payment Method],F6066,RawData[Location],G6066,RawData[Transaction Date],H6066)</f>
        <v>1</v>
      </c>
      <c r="L6066"/>
    </row>
    <row r="6067" spans="1:12" x14ac:dyDescent="0.3">
      <c r="A6067" t="s">
        <v>6073</v>
      </c>
      <c r="B6067" t="s">
        <v>10017</v>
      </c>
      <c r="C6067">
        <v>4</v>
      </c>
      <c r="D6067">
        <v>1.5</v>
      </c>
      <c r="E6067">
        <v>6</v>
      </c>
      <c r="F6067" t="s">
        <v>10069</v>
      </c>
      <c r="G6067" t="s">
        <v>10102</v>
      </c>
      <c r="H6067" s="6">
        <v>45119</v>
      </c>
      <c r="I6067">
        <f t="shared" si="188"/>
        <v>0</v>
      </c>
      <c r="J6067" t="str">
        <f t="shared" si="189"/>
        <v>Complete</v>
      </c>
      <c r="K6067">
        <f>COUNTIFS(RawData[Item], B6067,RawData[Quantity],C6067,RawData[Price Per Unit],D6067,RawData[Total Spent],E6067,RawData[Payment Method],F6067,RawData[Location],G6067,RawData[Transaction Date],H6067)</f>
        <v>1</v>
      </c>
      <c r="L6067"/>
    </row>
    <row r="6068" spans="1:12" x14ac:dyDescent="0.3">
      <c r="A6068" t="s">
        <v>6074</v>
      </c>
      <c r="B6068" t="s">
        <v>10014</v>
      </c>
      <c r="C6068">
        <v>0</v>
      </c>
      <c r="D6068">
        <v>4</v>
      </c>
      <c r="E6068">
        <v>12</v>
      </c>
      <c r="F6068" t="s">
        <v>10018</v>
      </c>
      <c r="G6068" t="s">
        <v>10069</v>
      </c>
      <c r="H6068" s="6">
        <v>44942</v>
      </c>
      <c r="I6068">
        <f t="shared" si="188"/>
        <v>0</v>
      </c>
      <c r="J6068" t="str">
        <f t="shared" si="189"/>
        <v>Complete</v>
      </c>
      <c r="K6068">
        <f>COUNTIFS(RawData[Item], B6068,RawData[Quantity],C6068,RawData[Price Per Unit],D6068,RawData[Total Spent],E6068,RawData[Payment Method],F6068,RawData[Location],G6068,RawData[Transaction Date],H6068)</f>
        <v>1</v>
      </c>
      <c r="L6068"/>
    </row>
    <row r="6069" spans="1:12" x14ac:dyDescent="0.3">
      <c r="A6069" t="s">
        <v>6075</v>
      </c>
      <c r="B6069" t="s">
        <v>10008</v>
      </c>
      <c r="C6069">
        <v>4</v>
      </c>
      <c r="D6069">
        <v>2</v>
      </c>
      <c r="E6069">
        <v>8</v>
      </c>
      <c r="F6069" t="s">
        <v>10019</v>
      </c>
      <c r="G6069" t="s">
        <v>10069</v>
      </c>
      <c r="H6069" s="6">
        <v>44989</v>
      </c>
      <c r="I6069">
        <f t="shared" si="188"/>
        <v>0</v>
      </c>
      <c r="J6069" t="str">
        <f t="shared" si="189"/>
        <v>Complete</v>
      </c>
      <c r="K6069">
        <f>COUNTIFS(RawData[Item], B6069,RawData[Quantity],C6069,RawData[Price Per Unit],D6069,RawData[Total Spent],E6069,RawData[Payment Method],F6069,RawData[Location],G6069,RawData[Transaction Date],H6069)</f>
        <v>1</v>
      </c>
      <c r="L6069"/>
    </row>
    <row r="6070" spans="1:12" x14ac:dyDescent="0.3">
      <c r="A6070" t="s">
        <v>6076</v>
      </c>
      <c r="B6070" t="s">
        <v>10011</v>
      </c>
      <c r="C6070">
        <v>2</v>
      </c>
      <c r="D6070">
        <v>5</v>
      </c>
      <c r="E6070">
        <v>10</v>
      </c>
      <c r="F6070" t="s">
        <v>10018</v>
      </c>
      <c r="G6070" t="s">
        <v>10069</v>
      </c>
      <c r="H6070" s="6">
        <v>45130</v>
      </c>
      <c r="I6070">
        <f t="shared" si="188"/>
        <v>0</v>
      </c>
      <c r="J6070" t="str">
        <f t="shared" si="189"/>
        <v>Complete</v>
      </c>
      <c r="K6070">
        <f>COUNTIFS(RawData[Item], B6070,RawData[Quantity],C6070,RawData[Price Per Unit],D6070,RawData[Total Spent],E6070,RawData[Payment Method],F6070,RawData[Location],G6070,RawData[Transaction Date],H6070)</f>
        <v>1</v>
      </c>
      <c r="L6070"/>
    </row>
    <row r="6071" spans="1:12" x14ac:dyDescent="0.3">
      <c r="A6071" t="s">
        <v>6077</v>
      </c>
      <c r="B6071" t="s">
        <v>10017</v>
      </c>
      <c r="C6071">
        <v>4</v>
      </c>
      <c r="D6071" t="s">
        <v>10015</v>
      </c>
      <c r="E6071">
        <v>6</v>
      </c>
      <c r="F6071" t="s">
        <v>10020</v>
      </c>
      <c r="G6071" t="s">
        <v>10069</v>
      </c>
      <c r="H6071" s="6">
        <v>45063</v>
      </c>
      <c r="I6071">
        <f t="shared" si="188"/>
        <v>1</v>
      </c>
      <c r="J6071" t="str">
        <f t="shared" si="189"/>
        <v>Complete</v>
      </c>
      <c r="K6071">
        <f>COUNTIFS(RawData[Item], B6071,RawData[Quantity],C6071,RawData[Price Per Unit],D6071,RawData[Total Spent],E6071,RawData[Payment Method],F6071,RawData[Location],G6071,RawData[Transaction Date],H6071)</f>
        <v>1</v>
      </c>
      <c r="L6071"/>
    </row>
    <row r="6072" spans="1:12" x14ac:dyDescent="0.3">
      <c r="A6072" t="s">
        <v>6078</v>
      </c>
      <c r="B6072" t="s">
        <v>10017</v>
      </c>
      <c r="C6072">
        <v>3</v>
      </c>
      <c r="D6072">
        <v>1.5</v>
      </c>
      <c r="E6072">
        <v>4.5</v>
      </c>
      <c r="F6072" t="s">
        <v>10069</v>
      </c>
      <c r="G6072" t="s">
        <v>10021</v>
      </c>
      <c r="H6072" s="6">
        <v>45035</v>
      </c>
      <c r="I6072">
        <f t="shared" si="188"/>
        <v>0</v>
      </c>
      <c r="J6072" t="str">
        <f t="shared" si="189"/>
        <v>Complete</v>
      </c>
      <c r="K6072">
        <f>COUNTIFS(RawData[Item], B6072,RawData[Quantity],C6072,RawData[Price Per Unit],D6072,RawData[Total Spent],E6072,RawData[Payment Method],F6072,RawData[Location],G6072,RawData[Transaction Date],H6072)</f>
        <v>1</v>
      </c>
      <c r="L6072"/>
    </row>
    <row r="6073" spans="1:12" x14ac:dyDescent="0.3">
      <c r="A6073" t="s">
        <v>6079</v>
      </c>
      <c r="B6073" t="s">
        <v>10011</v>
      </c>
      <c r="C6073">
        <v>2</v>
      </c>
      <c r="D6073">
        <v>5</v>
      </c>
      <c r="E6073">
        <v>10</v>
      </c>
      <c r="F6073" t="s">
        <v>10018</v>
      </c>
      <c r="G6073" t="s">
        <v>10102</v>
      </c>
      <c r="H6073" s="6">
        <v>44933</v>
      </c>
      <c r="I6073">
        <f t="shared" si="188"/>
        <v>0</v>
      </c>
      <c r="J6073" t="str">
        <f t="shared" si="189"/>
        <v>Complete</v>
      </c>
      <c r="K6073">
        <f>COUNTIFS(RawData[Item], B6073,RawData[Quantity],C6073,RawData[Price Per Unit],D6073,RawData[Total Spent],E6073,RawData[Payment Method],F6073,RawData[Location],G6073,RawData[Transaction Date],H6073)</f>
        <v>2</v>
      </c>
      <c r="L6073"/>
    </row>
    <row r="6074" spans="1:12" x14ac:dyDescent="0.3">
      <c r="A6074" t="s">
        <v>6080</v>
      </c>
      <c r="B6074" t="s">
        <v>10016</v>
      </c>
      <c r="C6074">
        <v>5</v>
      </c>
      <c r="D6074">
        <v>3</v>
      </c>
      <c r="E6074">
        <v>15</v>
      </c>
      <c r="F6074" t="s">
        <v>10020</v>
      </c>
      <c r="G6074" t="s">
        <v>10102</v>
      </c>
      <c r="H6074" s="6">
        <v>44994</v>
      </c>
      <c r="I6074">
        <f t="shared" si="188"/>
        <v>0</v>
      </c>
      <c r="J6074" t="str">
        <f t="shared" si="189"/>
        <v>Complete</v>
      </c>
      <c r="K6074">
        <f>COUNTIFS(RawData[Item], B6074,RawData[Quantity],C6074,RawData[Price Per Unit],D6074,RawData[Total Spent],E6074,RawData[Payment Method],F6074,RawData[Location],G6074,RawData[Transaction Date],H6074)</f>
        <v>1</v>
      </c>
      <c r="L6074"/>
    </row>
    <row r="6075" spans="1:12" x14ac:dyDescent="0.3">
      <c r="A6075" t="s">
        <v>6081</v>
      </c>
      <c r="B6075" t="s">
        <v>10009</v>
      </c>
      <c r="C6075">
        <v>4</v>
      </c>
      <c r="D6075">
        <v>3</v>
      </c>
      <c r="E6075">
        <v>12</v>
      </c>
      <c r="F6075" t="s">
        <v>10019</v>
      </c>
      <c r="G6075" t="s">
        <v>10102</v>
      </c>
      <c r="H6075" s="6">
        <v>45247</v>
      </c>
      <c r="I6075">
        <f t="shared" si="188"/>
        <v>0</v>
      </c>
      <c r="J6075" t="str">
        <f t="shared" si="189"/>
        <v>Complete</v>
      </c>
      <c r="K6075">
        <f>COUNTIFS(RawData[Item], B6075,RawData[Quantity],C6075,RawData[Price Per Unit],D6075,RawData[Total Spent],E6075,RawData[Payment Method],F6075,RawData[Location],G6075,RawData[Transaction Date],H6075)</f>
        <v>1</v>
      </c>
      <c r="L6075"/>
    </row>
    <row r="6076" spans="1:12" x14ac:dyDescent="0.3">
      <c r="A6076" t="s">
        <v>6082</v>
      </c>
      <c r="B6076" t="s">
        <v>10012</v>
      </c>
      <c r="C6076">
        <v>3</v>
      </c>
      <c r="D6076">
        <v>4</v>
      </c>
      <c r="E6076">
        <v>12</v>
      </c>
      <c r="F6076" t="s">
        <v>10019</v>
      </c>
      <c r="G6076" t="s">
        <v>10069</v>
      </c>
      <c r="H6076" s="6">
        <v>45009</v>
      </c>
      <c r="I6076">
        <f t="shared" si="188"/>
        <v>0</v>
      </c>
      <c r="J6076" t="str">
        <f t="shared" si="189"/>
        <v>Complete</v>
      </c>
      <c r="K6076">
        <f>COUNTIFS(RawData[Item], B6076,RawData[Quantity],C6076,RawData[Price Per Unit],D6076,RawData[Total Spent],E6076,RawData[Payment Method],F6076,RawData[Location],G6076,RawData[Transaction Date],H6076)</f>
        <v>1</v>
      </c>
      <c r="L6076"/>
    </row>
    <row r="6077" spans="1:12" x14ac:dyDescent="0.3">
      <c r="A6077" t="s">
        <v>6083</v>
      </c>
      <c r="B6077" t="s">
        <v>10009</v>
      </c>
      <c r="C6077">
        <v>4</v>
      </c>
      <c r="D6077">
        <v>3</v>
      </c>
      <c r="E6077">
        <v>12</v>
      </c>
      <c r="F6077" t="s">
        <v>10018</v>
      </c>
      <c r="G6077" t="s">
        <v>10021</v>
      </c>
      <c r="H6077" s="6">
        <v>45018</v>
      </c>
      <c r="I6077">
        <f t="shared" si="188"/>
        <v>0</v>
      </c>
      <c r="J6077" t="str">
        <f t="shared" si="189"/>
        <v>Complete</v>
      </c>
      <c r="K6077">
        <f>COUNTIFS(RawData[Item], B6077,RawData[Quantity],C6077,RawData[Price Per Unit],D6077,RawData[Total Spent],E6077,RawData[Payment Method],F6077,RawData[Location],G6077,RawData[Transaction Date],H6077)</f>
        <v>1</v>
      </c>
      <c r="L6077"/>
    </row>
    <row r="6078" spans="1:12" x14ac:dyDescent="0.3">
      <c r="A6078" t="s">
        <v>6084</v>
      </c>
      <c r="B6078" t="s">
        <v>10009</v>
      </c>
      <c r="C6078">
        <v>3</v>
      </c>
      <c r="D6078">
        <v>3</v>
      </c>
      <c r="E6078">
        <v>9</v>
      </c>
      <c r="F6078" t="s">
        <v>10020</v>
      </c>
      <c r="G6078" t="s">
        <v>10069</v>
      </c>
      <c r="H6078" s="6">
        <v>44975</v>
      </c>
      <c r="I6078">
        <f t="shared" si="188"/>
        <v>0</v>
      </c>
      <c r="J6078" t="str">
        <f t="shared" si="189"/>
        <v>Complete</v>
      </c>
      <c r="K6078">
        <f>COUNTIFS(RawData[Item], B6078,RawData[Quantity],C6078,RawData[Price Per Unit],D6078,RawData[Total Spent],E6078,RawData[Payment Method],F6078,RawData[Location],G6078,RawData[Transaction Date],H6078)</f>
        <v>1</v>
      </c>
      <c r="L6078"/>
    </row>
    <row r="6079" spans="1:12" x14ac:dyDescent="0.3">
      <c r="A6079" t="s">
        <v>6085</v>
      </c>
      <c r="B6079" t="s">
        <v>10012</v>
      </c>
      <c r="C6079">
        <v>3</v>
      </c>
      <c r="D6079">
        <v>4</v>
      </c>
      <c r="E6079">
        <v>0</v>
      </c>
      <c r="F6079" t="s">
        <v>10069</v>
      </c>
      <c r="G6079" t="s">
        <v>10102</v>
      </c>
      <c r="H6079" s="6">
        <v>45194</v>
      </c>
      <c r="I6079">
        <f t="shared" si="188"/>
        <v>0</v>
      </c>
      <c r="J6079" t="str">
        <f t="shared" si="189"/>
        <v>Complete</v>
      </c>
      <c r="K6079">
        <f>COUNTIFS(RawData[Item], B6079,RawData[Quantity],C6079,RawData[Price Per Unit],D6079,RawData[Total Spent],E6079,RawData[Payment Method],F6079,RawData[Location],G6079,RawData[Transaction Date],H6079)</f>
        <v>1</v>
      </c>
      <c r="L6079"/>
    </row>
    <row r="6080" spans="1:12" x14ac:dyDescent="0.3">
      <c r="A6080" t="s">
        <v>6086</v>
      </c>
      <c r="B6080" t="s">
        <v>10017</v>
      </c>
      <c r="C6080">
        <v>5</v>
      </c>
      <c r="D6080">
        <v>1.5</v>
      </c>
      <c r="E6080">
        <v>7.5</v>
      </c>
      <c r="F6080" t="s">
        <v>10069</v>
      </c>
      <c r="G6080" t="s">
        <v>10021</v>
      </c>
      <c r="H6080" s="6">
        <v>45162</v>
      </c>
      <c r="I6080">
        <f t="shared" si="188"/>
        <v>0</v>
      </c>
      <c r="J6080" t="str">
        <f t="shared" si="189"/>
        <v>Complete</v>
      </c>
      <c r="K6080">
        <f>COUNTIFS(RawData[Item], B6080,RawData[Quantity],C6080,RawData[Price Per Unit],D6080,RawData[Total Spent],E6080,RawData[Payment Method],F6080,RawData[Location],G6080,RawData[Transaction Date],H6080)</f>
        <v>1</v>
      </c>
      <c r="L6080"/>
    </row>
    <row r="6081" spans="1:12" x14ac:dyDescent="0.3">
      <c r="A6081" t="s">
        <v>6087</v>
      </c>
      <c r="B6081" t="s">
        <v>10009</v>
      </c>
      <c r="C6081">
        <v>4</v>
      </c>
      <c r="D6081">
        <v>0</v>
      </c>
      <c r="E6081">
        <v>12</v>
      </c>
      <c r="F6081" t="s">
        <v>10018</v>
      </c>
      <c r="G6081" t="s">
        <v>10021</v>
      </c>
      <c r="H6081" s="6">
        <v>45000</v>
      </c>
      <c r="I6081">
        <f t="shared" si="188"/>
        <v>0</v>
      </c>
      <c r="J6081" t="str">
        <f t="shared" si="189"/>
        <v>Complete</v>
      </c>
      <c r="K6081">
        <f>COUNTIFS(RawData[Item], B6081,RawData[Quantity],C6081,RawData[Price Per Unit],D6081,RawData[Total Spent],E6081,RawData[Payment Method],F6081,RawData[Location],G6081,RawData[Transaction Date],H6081)</f>
        <v>1</v>
      </c>
      <c r="L6081"/>
    </row>
    <row r="6082" spans="1:12" x14ac:dyDescent="0.3">
      <c r="A6082" t="s">
        <v>6088</v>
      </c>
      <c r="B6082" t="s">
        <v>10011</v>
      </c>
      <c r="C6082">
        <v>5</v>
      </c>
      <c r="D6082" t="s">
        <v>10015</v>
      </c>
      <c r="E6082">
        <v>25</v>
      </c>
      <c r="F6082" t="s">
        <v>10018</v>
      </c>
      <c r="G6082" t="s">
        <v>10021</v>
      </c>
      <c r="H6082" s="6">
        <v>45168</v>
      </c>
      <c r="I6082">
        <f t="shared" ref="I6082:I6145" si="190">(B6082="Unknown")+(B6082="Error")+(C6082="Unknown")+(C6082="Error")+(D6082="Unknown")+(D6082="Error")+(E6082="Unknown")+(E6082="Error")+(F6082="Unknown")+(F6082="Error")+(G6082="Unknown")+(G6082="Error")+(H6082="No Date")</f>
        <v>1</v>
      </c>
      <c r="J6082" t="str">
        <f t="shared" ref="J6082:J6145" si="191">IF((H6082="No Date"),"Incomplete","Complete")</f>
        <v>Complete</v>
      </c>
      <c r="K6082">
        <f>COUNTIFS(RawData[Item], B6082,RawData[Quantity],C6082,RawData[Price Per Unit],D6082,RawData[Total Spent],E6082,RawData[Payment Method],F6082,RawData[Location],G6082,RawData[Transaction Date],H6082)</f>
        <v>1</v>
      </c>
      <c r="L6082"/>
    </row>
    <row r="6083" spans="1:12" x14ac:dyDescent="0.3">
      <c r="A6083" t="s">
        <v>6089</v>
      </c>
      <c r="B6083" t="s">
        <v>10017</v>
      </c>
      <c r="C6083">
        <v>4</v>
      </c>
      <c r="D6083">
        <v>1.5</v>
      </c>
      <c r="E6083">
        <v>6</v>
      </c>
      <c r="F6083" t="s">
        <v>10019</v>
      </c>
      <c r="G6083" t="s">
        <v>10069</v>
      </c>
      <c r="H6083" s="6">
        <v>45085</v>
      </c>
      <c r="I6083">
        <f t="shared" si="190"/>
        <v>0</v>
      </c>
      <c r="J6083" t="str">
        <f t="shared" si="191"/>
        <v>Complete</v>
      </c>
      <c r="K6083">
        <f>COUNTIFS(RawData[Item], B6083,RawData[Quantity],C6083,RawData[Price Per Unit],D6083,RawData[Total Spent],E6083,RawData[Payment Method],F6083,RawData[Location],G6083,RawData[Transaction Date],H6083)</f>
        <v>1</v>
      </c>
      <c r="L6083"/>
    </row>
    <row r="6084" spans="1:12" x14ac:dyDescent="0.3">
      <c r="A6084" t="s">
        <v>6090</v>
      </c>
      <c r="B6084" t="s">
        <v>10008</v>
      </c>
      <c r="C6084">
        <v>1</v>
      </c>
      <c r="D6084">
        <v>2</v>
      </c>
      <c r="E6084">
        <v>2</v>
      </c>
      <c r="F6084" t="s">
        <v>10018</v>
      </c>
      <c r="G6084" t="s">
        <v>10102</v>
      </c>
      <c r="H6084" s="6">
        <v>45118</v>
      </c>
      <c r="I6084">
        <f t="shared" si="190"/>
        <v>0</v>
      </c>
      <c r="J6084" t="str">
        <f t="shared" si="191"/>
        <v>Complete</v>
      </c>
      <c r="K6084">
        <f>COUNTIFS(RawData[Item], B6084,RawData[Quantity],C6084,RawData[Price Per Unit],D6084,RawData[Total Spent],E6084,RawData[Payment Method],F6084,RawData[Location],G6084,RawData[Transaction Date],H6084)</f>
        <v>1</v>
      </c>
      <c r="L6084"/>
    </row>
    <row r="6085" spans="1:12" x14ac:dyDescent="0.3">
      <c r="A6085" t="s">
        <v>6091</v>
      </c>
      <c r="B6085" t="s">
        <v>10010</v>
      </c>
      <c r="C6085">
        <v>4</v>
      </c>
      <c r="D6085">
        <v>1</v>
      </c>
      <c r="E6085">
        <v>4</v>
      </c>
      <c r="F6085" t="s">
        <v>10019</v>
      </c>
      <c r="G6085" t="s">
        <v>10069</v>
      </c>
      <c r="H6085" s="6">
        <v>44992</v>
      </c>
      <c r="I6085">
        <f t="shared" si="190"/>
        <v>0</v>
      </c>
      <c r="J6085" t="str">
        <f t="shared" si="191"/>
        <v>Complete</v>
      </c>
      <c r="K6085">
        <f>COUNTIFS(RawData[Item], B6085,RawData[Quantity],C6085,RawData[Price Per Unit],D6085,RawData[Total Spent],E6085,RawData[Payment Method],F6085,RawData[Location],G6085,RawData[Transaction Date],H6085)</f>
        <v>1</v>
      </c>
      <c r="L6085"/>
    </row>
    <row r="6086" spans="1:12" x14ac:dyDescent="0.3">
      <c r="A6086" t="s">
        <v>6092</v>
      </c>
      <c r="B6086" t="s">
        <v>10017</v>
      </c>
      <c r="C6086">
        <v>5</v>
      </c>
      <c r="D6086">
        <v>1.5</v>
      </c>
      <c r="E6086">
        <v>7.5</v>
      </c>
      <c r="F6086" t="s">
        <v>10069</v>
      </c>
      <c r="G6086" t="s">
        <v>10021</v>
      </c>
      <c r="H6086" s="6">
        <v>45102</v>
      </c>
      <c r="I6086">
        <f t="shared" si="190"/>
        <v>0</v>
      </c>
      <c r="J6086" t="str">
        <f t="shared" si="191"/>
        <v>Complete</v>
      </c>
      <c r="K6086">
        <f>COUNTIFS(RawData[Item], B6086,RawData[Quantity],C6086,RawData[Price Per Unit],D6086,RawData[Total Spent],E6086,RawData[Payment Method],F6086,RawData[Location],G6086,RawData[Transaction Date],H6086)</f>
        <v>1</v>
      </c>
      <c r="L6086"/>
    </row>
    <row r="6087" spans="1:12" x14ac:dyDescent="0.3">
      <c r="A6087" t="s">
        <v>6093</v>
      </c>
      <c r="B6087" t="s">
        <v>10010</v>
      </c>
      <c r="C6087">
        <v>4</v>
      </c>
      <c r="D6087">
        <v>0</v>
      </c>
      <c r="E6087">
        <v>4</v>
      </c>
      <c r="F6087" t="s">
        <v>10018</v>
      </c>
      <c r="G6087" t="s">
        <v>10102</v>
      </c>
      <c r="H6087" s="6" t="s">
        <v>10112</v>
      </c>
      <c r="I6087">
        <f t="shared" si="190"/>
        <v>1</v>
      </c>
      <c r="J6087" t="str">
        <f t="shared" si="191"/>
        <v>Incomplete</v>
      </c>
      <c r="K6087">
        <f>COUNTIFS(RawData[Item], B6087,RawData[Quantity],C6087,RawData[Price Per Unit],D6087,RawData[Total Spent],E6087,RawData[Payment Method],F6087,RawData[Location],G6087,RawData[Transaction Date],H6087)</f>
        <v>1</v>
      </c>
      <c r="L6087"/>
    </row>
    <row r="6088" spans="1:12" x14ac:dyDescent="0.3">
      <c r="A6088" t="s">
        <v>6094</v>
      </c>
      <c r="B6088" t="s">
        <v>10012</v>
      </c>
      <c r="C6088">
        <v>1</v>
      </c>
      <c r="D6088">
        <v>4</v>
      </c>
      <c r="E6088">
        <v>4</v>
      </c>
      <c r="F6088" t="s">
        <v>10020</v>
      </c>
      <c r="G6088" t="s">
        <v>10021</v>
      </c>
      <c r="H6088" s="6">
        <v>45026</v>
      </c>
      <c r="I6088">
        <f t="shared" si="190"/>
        <v>0</v>
      </c>
      <c r="J6088" t="str">
        <f t="shared" si="191"/>
        <v>Complete</v>
      </c>
      <c r="K6088">
        <f>COUNTIFS(RawData[Item], B6088,RawData[Quantity],C6088,RawData[Price Per Unit],D6088,RawData[Total Spent],E6088,RawData[Payment Method],F6088,RawData[Location],G6088,RawData[Transaction Date],H6088)</f>
        <v>1</v>
      </c>
      <c r="L6088"/>
    </row>
    <row r="6089" spans="1:12" x14ac:dyDescent="0.3">
      <c r="A6089" t="s">
        <v>6095</v>
      </c>
      <c r="B6089" t="s">
        <v>10069</v>
      </c>
      <c r="C6089">
        <v>3</v>
      </c>
      <c r="D6089">
        <v>4</v>
      </c>
      <c r="E6089">
        <v>12</v>
      </c>
      <c r="F6089" t="s">
        <v>10103</v>
      </c>
      <c r="G6089" t="s">
        <v>10104</v>
      </c>
      <c r="H6089" s="6">
        <v>45052</v>
      </c>
      <c r="I6089">
        <f t="shared" si="190"/>
        <v>2</v>
      </c>
      <c r="J6089" t="str">
        <f t="shared" si="191"/>
        <v>Complete</v>
      </c>
      <c r="K6089">
        <f>COUNTIFS(RawData[Item], B6089,RawData[Quantity],C6089,RawData[Price Per Unit],D6089,RawData[Total Spent],E6089,RawData[Payment Method],F6089,RawData[Location],G6089,RawData[Transaction Date],H6089)</f>
        <v>1</v>
      </c>
      <c r="L6089"/>
    </row>
    <row r="6090" spans="1:12" x14ac:dyDescent="0.3">
      <c r="A6090" t="s">
        <v>6096</v>
      </c>
      <c r="B6090" t="s">
        <v>10008</v>
      </c>
      <c r="C6090">
        <v>4</v>
      </c>
      <c r="D6090" t="s">
        <v>10015</v>
      </c>
      <c r="E6090">
        <v>8</v>
      </c>
      <c r="F6090" t="s">
        <v>10018</v>
      </c>
      <c r="G6090" t="s">
        <v>10021</v>
      </c>
      <c r="H6090" s="6">
        <v>44992</v>
      </c>
      <c r="I6090">
        <f t="shared" si="190"/>
        <v>1</v>
      </c>
      <c r="J6090" t="str">
        <f t="shared" si="191"/>
        <v>Complete</v>
      </c>
      <c r="K6090">
        <f>COUNTIFS(RawData[Item], B6090,RawData[Quantity],C6090,RawData[Price Per Unit],D6090,RawData[Total Spent],E6090,RawData[Payment Method],F6090,RawData[Location],G6090,RawData[Transaction Date],H6090)</f>
        <v>1</v>
      </c>
      <c r="L6090"/>
    </row>
    <row r="6091" spans="1:12" x14ac:dyDescent="0.3">
      <c r="A6091" t="s">
        <v>6097</v>
      </c>
      <c r="B6091" t="s">
        <v>10017</v>
      </c>
      <c r="C6091">
        <v>4</v>
      </c>
      <c r="D6091">
        <v>1.5</v>
      </c>
      <c r="E6091">
        <v>6</v>
      </c>
      <c r="F6091" t="s">
        <v>10020</v>
      </c>
      <c r="G6091" t="s">
        <v>10021</v>
      </c>
      <c r="H6091" s="6">
        <v>45188</v>
      </c>
      <c r="I6091">
        <f t="shared" si="190"/>
        <v>0</v>
      </c>
      <c r="J6091" t="str">
        <f t="shared" si="191"/>
        <v>Complete</v>
      </c>
      <c r="K6091">
        <f>COUNTIFS(RawData[Item], B6091,RawData[Quantity],C6091,RawData[Price Per Unit],D6091,RawData[Total Spent],E6091,RawData[Payment Method],F6091,RawData[Location],G6091,RawData[Transaction Date],H6091)</f>
        <v>1</v>
      </c>
      <c r="L6091"/>
    </row>
    <row r="6092" spans="1:12" x14ac:dyDescent="0.3">
      <c r="A6092" t="s">
        <v>6098</v>
      </c>
      <c r="B6092" t="s">
        <v>10009</v>
      </c>
      <c r="C6092">
        <v>1</v>
      </c>
      <c r="D6092">
        <v>3</v>
      </c>
      <c r="E6092">
        <v>3</v>
      </c>
      <c r="F6092" t="s">
        <v>10019</v>
      </c>
      <c r="G6092" t="s">
        <v>10102</v>
      </c>
      <c r="H6092" s="6">
        <v>45186</v>
      </c>
      <c r="I6092">
        <f t="shared" si="190"/>
        <v>0</v>
      </c>
      <c r="J6092" t="str">
        <f t="shared" si="191"/>
        <v>Complete</v>
      </c>
      <c r="K6092">
        <f>COUNTIFS(RawData[Item], B6092,RawData[Quantity],C6092,RawData[Price Per Unit],D6092,RawData[Total Spent],E6092,RawData[Payment Method],F6092,RawData[Location],G6092,RawData[Transaction Date],H6092)</f>
        <v>1</v>
      </c>
      <c r="L6092"/>
    </row>
    <row r="6093" spans="1:12" x14ac:dyDescent="0.3">
      <c r="A6093" t="s">
        <v>6099</v>
      </c>
      <c r="B6093" t="s">
        <v>10008</v>
      </c>
      <c r="C6093">
        <v>5</v>
      </c>
      <c r="D6093">
        <v>2</v>
      </c>
      <c r="E6093">
        <v>10</v>
      </c>
      <c r="F6093" t="s">
        <v>10019</v>
      </c>
      <c r="G6093" t="s">
        <v>10021</v>
      </c>
      <c r="H6093" s="6">
        <v>45017</v>
      </c>
      <c r="I6093">
        <f t="shared" si="190"/>
        <v>0</v>
      </c>
      <c r="J6093" t="str">
        <f t="shared" si="191"/>
        <v>Complete</v>
      </c>
      <c r="K6093">
        <f>COUNTIFS(RawData[Item], B6093,RawData[Quantity],C6093,RawData[Price Per Unit],D6093,RawData[Total Spent],E6093,RawData[Payment Method],F6093,RawData[Location],G6093,RawData[Transaction Date],H6093)</f>
        <v>1</v>
      </c>
      <c r="L6093"/>
    </row>
    <row r="6094" spans="1:12" x14ac:dyDescent="0.3">
      <c r="A6094" t="s">
        <v>6100</v>
      </c>
      <c r="B6094" t="s">
        <v>10015</v>
      </c>
      <c r="C6094">
        <v>2</v>
      </c>
      <c r="D6094">
        <v>4</v>
      </c>
      <c r="E6094">
        <v>8</v>
      </c>
      <c r="F6094" t="s">
        <v>10018</v>
      </c>
      <c r="G6094" t="s">
        <v>10102</v>
      </c>
      <c r="H6094" s="6">
        <v>45234</v>
      </c>
      <c r="I6094">
        <f t="shared" si="190"/>
        <v>1</v>
      </c>
      <c r="J6094" t="str">
        <f t="shared" si="191"/>
        <v>Complete</v>
      </c>
      <c r="K6094">
        <f>COUNTIFS(RawData[Item], B6094,RawData[Quantity],C6094,RawData[Price Per Unit],D6094,RawData[Total Spent],E6094,RawData[Payment Method],F6094,RawData[Location],G6094,RawData[Transaction Date],H6094)</f>
        <v>1</v>
      </c>
      <c r="L6094"/>
    </row>
    <row r="6095" spans="1:12" x14ac:dyDescent="0.3">
      <c r="A6095" t="s">
        <v>6101</v>
      </c>
      <c r="B6095" t="s">
        <v>10010</v>
      </c>
      <c r="C6095">
        <v>4</v>
      </c>
      <c r="D6095">
        <v>1</v>
      </c>
      <c r="E6095">
        <v>4</v>
      </c>
      <c r="F6095" t="s">
        <v>10020</v>
      </c>
      <c r="G6095" t="s">
        <v>10021</v>
      </c>
      <c r="H6095" s="6">
        <v>45170</v>
      </c>
      <c r="I6095">
        <f t="shared" si="190"/>
        <v>0</v>
      </c>
      <c r="J6095" t="str">
        <f t="shared" si="191"/>
        <v>Complete</v>
      </c>
      <c r="K6095">
        <f>COUNTIFS(RawData[Item], B6095,RawData[Quantity],C6095,RawData[Price Per Unit],D6095,RawData[Total Spent],E6095,RawData[Payment Method],F6095,RawData[Location],G6095,RawData[Transaction Date],H6095)</f>
        <v>1</v>
      </c>
      <c r="L6095"/>
    </row>
    <row r="6096" spans="1:12" x14ac:dyDescent="0.3">
      <c r="A6096" t="s">
        <v>6102</v>
      </c>
      <c r="B6096" t="s">
        <v>10010</v>
      </c>
      <c r="C6096">
        <v>1</v>
      </c>
      <c r="D6096">
        <v>1</v>
      </c>
      <c r="E6096">
        <v>1</v>
      </c>
      <c r="F6096" t="s">
        <v>10020</v>
      </c>
      <c r="G6096" t="s">
        <v>10021</v>
      </c>
      <c r="H6096" s="6">
        <v>45267</v>
      </c>
      <c r="I6096">
        <f t="shared" si="190"/>
        <v>0</v>
      </c>
      <c r="J6096" t="str">
        <f t="shared" si="191"/>
        <v>Complete</v>
      </c>
      <c r="K6096">
        <f>COUNTIFS(RawData[Item], B6096,RawData[Quantity],C6096,RawData[Price Per Unit],D6096,RawData[Total Spent],E6096,RawData[Payment Method],F6096,RawData[Location],G6096,RawData[Transaction Date],H6096)</f>
        <v>1</v>
      </c>
      <c r="L6096"/>
    </row>
    <row r="6097" spans="1:12" x14ac:dyDescent="0.3">
      <c r="A6097" t="s">
        <v>6103</v>
      </c>
      <c r="B6097" t="s">
        <v>10009</v>
      </c>
      <c r="C6097">
        <v>4</v>
      </c>
      <c r="D6097">
        <v>3</v>
      </c>
      <c r="E6097">
        <v>12</v>
      </c>
      <c r="F6097" t="s">
        <v>10020</v>
      </c>
      <c r="G6097" t="s">
        <v>10102</v>
      </c>
      <c r="H6097" s="6">
        <v>45237</v>
      </c>
      <c r="I6097">
        <f t="shared" si="190"/>
        <v>0</v>
      </c>
      <c r="J6097" t="str">
        <f t="shared" si="191"/>
        <v>Complete</v>
      </c>
      <c r="K6097">
        <f>COUNTIFS(RawData[Item], B6097,RawData[Quantity],C6097,RawData[Price Per Unit],D6097,RawData[Total Spent],E6097,RawData[Payment Method],F6097,RawData[Location],G6097,RawData[Transaction Date],H6097)</f>
        <v>1</v>
      </c>
      <c r="L6097"/>
    </row>
    <row r="6098" spans="1:12" x14ac:dyDescent="0.3">
      <c r="A6098" t="s">
        <v>6104</v>
      </c>
      <c r="B6098" t="s">
        <v>10009</v>
      </c>
      <c r="C6098">
        <v>3</v>
      </c>
      <c r="D6098">
        <v>3</v>
      </c>
      <c r="E6098">
        <v>9</v>
      </c>
      <c r="F6098" t="s">
        <v>10069</v>
      </c>
      <c r="G6098" t="s">
        <v>10104</v>
      </c>
      <c r="H6098" s="6">
        <v>45164</v>
      </c>
      <c r="I6098">
        <f t="shared" si="190"/>
        <v>1</v>
      </c>
      <c r="J6098" t="str">
        <f t="shared" si="191"/>
        <v>Complete</v>
      </c>
      <c r="K6098">
        <f>COUNTIFS(RawData[Item], B6098,RawData[Quantity],C6098,RawData[Price Per Unit],D6098,RawData[Total Spent],E6098,RawData[Payment Method],F6098,RawData[Location],G6098,RawData[Transaction Date],H6098)</f>
        <v>1</v>
      </c>
      <c r="L6098"/>
    </row>
    <row r="6099" spans="1:12" x14ac:dyDescent="0.3">
      <c r="A6099" t="s">
        <v>6105</v>
      </c>
      <c r="B6099" t="s">
        <v>10011</v>
      </c>
      <c r="C6099">
        <v>1</v>
      </c>
      <c r="D6099">
        <v>5</v>
      </c>
      <c r="E6099">
        <v>5</v>
      </c>
      <c r="F6099" t="s">
        <v>10019</v>
      </c>
      <c r="G6099" t="s">
        <v>10069</v>
      </c>
      <c r="H6099" s="6">
        <v>45116</v>
      </c>
      <c r="I6099">
        <f t="shared" si="190"/>
        <v>0</v>
      </c>
      <c r="J6099" t="str">
        <f t="shared" si="191"/>
        <v>Complete</v>
      </c>
      <c r="K6099">
        <f>COUNTIFS(RawData[Item], B6099,RawData[Quantity],C6099,RawData[Price Per Unit],D6099,RawData[Total Spent],E6099,RawData[Payment Method],F6099,RawData[Location],G6099,RawData[Transaction Date],H6099)</f>
        <v>1</v>
      </c>
      <c r="L6099"/>
    </row>
    <row r="6100" spans="1:12" x14ac:dyDescent="0.3">
      <c r="A6100" t="s">
        <v>6106</v>
      </c>
      <c r="B6100" t="s">
        <v>10011</v>
      </c>
      <c r="C6100">
        <v>2</v>
      </c>
      <c r="D6100">
        <v>5</v>
      </c>
      <c r="E6100">
        <v>10</v>
      </c>
      <c r="F6100" t="s">
        <v>10018</v>
      </c>
      <c r="G6100" t="s">
        <v>10102</v>
      </c>
      <c r="H6100" s="6">
        <v>44966</v>
      </c>
      <c r="I6100">
        <f t="shared" si="190"/>
        <v>0</v>
      </c>
      <c r="J6100" t="str">
        <f t="shared" si="191"/>
        <v>Complete</v>
      </c>
      <c r="K6100">
        <f>COUNTIFS(RawData[Item], B6100,RawData[Quantity],C6100,RawData[Price Per Unit],D6100,RawData[Total Spent],E6100,RawData[Payment Method],F6100,RawData[Location],G6100,RawData[Transaction Date],H6100)</f>
        <v>1</v>
      </c>
      <c r="L6100"/>
    </row>
    <row r="6101" spans="1:12" x14ac:dyDescent="0.3">
      <c r="A6101" t="s">
        <v>6107</v>
      </c>
      <c r="B6101" t="s">
        <v>10009</v>
      </c>
      <c r="C6101">
        <v>2</v>
      </c>
      <c r="D6101">
        <v>3</v>
      </c>
      <c r="E6101">
        <v>6</v>
      </c>
      <c r="F6101" t="s">
        <v>10018</v>
      </c>
      <c r="G6101" t="s">
        <v>10069</v>
      </c>
      <c r="H6101" s="6">
        <v>44986</v>
      </c>
      <c r="I6101">
        <f t="shared" si="190"/>
        <v>0</v>
      </c>
      <c r="J6101" t="str">
        <f t="shared" si="191"/>
        <v>Complete</v>
      </c>
      <c r="K6101">
        <f>COUNTIFS(RawData[Item], B6101,RawData[Quantity],C6101,RawData[Price Per Unit],D6101,RawData[Total Spent],E6101,RawData[Payment Method],F6101,RawData[Location],G6101,RawData[Transaction Date],H6101)</f>
        <v>1</v>
      </c>
      <c r="L6101"/>
    </row>
    <row r="6102" spans="1:12" x14ac:dyDescent="0.3">
      <c r="A6102" t="s">
        <v>6108</v>
      </c>
      <c r="B6102" t="s">
        <v>10014</v>
      </c>
      <c r="C6102" t="s">
        <v>10015</v>
      </c>
      <c r="D6102">
        <v>4</v>
      </c>
      <c r="E6102">
        <v>16</v>
      </c>
      <c r="F6102" t="s">
        <v>10104</v>
      </c>
      <c r="G6102" t="s">
        <v>10069</v>
      </c>
      <c r="H6102" s="6">
        <v>45120</v>
      </c>
      <c r="I6102">
        <f t="shared" si="190"/>
        <v>2</v>
      </c>
      <c r="J6102" t="str">
        <f t="shared" si="191"/>
        <v>Complete</v>
      </c>
      <c r="K6102">
        <f>COUNTIFS(RawData[Item], B6102,RawData[Quantity],C6102,RawData[Price Per Unit],D6102,RawData[Total Spent],E6102,RawData[Payment Method],F6102,RawData[Location],G6102,RawData[Transaction Date],H6102)</f>
        <v>1</v>
      </c>
      <c r="L6102"/>
    </row>
    <row r="6103" spans="1:12" x14ac:dyDescent="0.3">
      <c r="A6103" t="s">
        <v>6109</v>
      </c>
      <c r="B6103" t="s">
        <v>10008</v>
      </c>
      <c r="C6103">
        <v>3</v>
      </c>
      <c r="D6103">
        <v>2</v>
      </c>
      <c r="E6103">
        <v>6</v>
      </c>
      <c r="F6103" t="s">
        <v>10103</v>
      </c>
      <c r="G6103" t="s">
        <v>10069</v>
      </c>
      <c r="H6103" s="6">
        <v>44928</v>
      </c>
      <c r="I6103">
        <f t="shared" si="190"/>
        <v>1</v>
      </c>
      <c r="J6103" t="str">
        <f t="shared" si="191"/>
        <v>Complete</v>
      </c>
      <c r="K6103">
        <f>COUNTIFS(RawData[Item], B6103,RawData[Quantity],C6103,RawData[Price Per Unit],D6103,RawData[Total Spent],E6103,RawData[Payment Method],F6103,RawData[Location],G6103,RawData[Transaction Date],H6103)</f>
        <v>1</v>
      </c>
      <c r="L6103"/>
    </row>
    <row r="6104" spans="1:12" x14ac:dyDescent="0.3">
      <c r="A6104" t="s">
        <v>6110</v>
      </c>
      <c r="B6104" t="s">
        <v>10009</v>
      </c>
      <c r="C6104">
        <v>5</v>
      </c>
      <c r="D6104">
        <v>3</v>
      </c>
      <c r="E6104">
        <v>15</v>
      </c>
      <c r="F6104" t="s">
        <v>10019</v>
      </c>
      <c r="G6104" t="s">
        <v>10021</v>
      </c>
      <c r="H6104" s="6">
        <v>44976</v>
      </c>
      <c r="I6104">
        <f t="shared" si="190"/>
        <v>0</v>
      </c>
      <c r="J6104" t="str">
        <f t="shared" si="191"/>
        <v>Complete</v>
      </c>
      <c r="K6104">
        <f>COUNTIFS(RawData[Item], B6104,RawData[Quantity],C6104,RawData[Price Per Unit],D6104,RawData[Total Spent],E6104,RawData[Payment Method],F6104,RawData[Location],G6104,RawData[Transaction Date],H6104)</f>
        <v>2</v>
      </c>
      <c r="L6104"/>
    </row>
    <row r="6105" spans="1:12" x14ac:dyDescent="0.3">
      <c r="A6105" t="s">
        <v>6111</v>
      </c>
      <c r="B6105" t="s">
        <v>10016</v>
      </c>
      <c r="C6105">
        <v>5</v>
      </c>
      <c r="D6105">
        <v>3</v>
      </c>
      <c r="E6105">
        <v>15</v>
      </c>
      <c r="F6105" t="s">
        <v>10103</v>
      </c>
      <c r="G6105" t="s">
        <v>10104</v>
      </c>
      <c r="H6105" s="6">
        <v>45009</v>
      </c>
      <c r="I6105">
        <f t="shared" si="190"/>
        <v>2</v>
      </c>
      <c r="J6105" t="str">
        <f t="shared" si="191"/>
        <v>Complete</v>
      </c>
      <c r="K6105">
        <f>COUNTIFS(RawData[Item], B6105,RawData[Quantity],C6105,RawData[Price Per Unit],D6105,RawData[Total Spent],E6105,RawData[Payment Method],F6105,RawData[Location],G6105,RawData[Transaction Date],H6105)</f>
        <v>1</v>
      </c>
      <c r="L6105"/>
    </row>
    <row r="6106" spans="1:12" x14ac:dyDescent="0.3">
      <c r="A6106" t="s">
        <v>6112</v>
      </c>
      <c r="B6106" t="s">
        <v>10008</v>
      </c>
      <c r="C6106">
        <v>3</v>
      </c>
      <c r="D6106">
        <v>2</v>
      </c>
      <c r="E6106">
        <v>6</v>
      </c>
      <c r="F6106" t="s">
        <v>10069</v>
      </c>
      <c r="G6106" t="s">
        <v>10102</v>
      </c>
      <c r="H6106" s="6">
        <v>45014</v>
      </c>
      <c r="I6106">
        <f t="shared" si="190"/>
        <v>0</v>
      </c>
      <c r="J6106" t="str">
        <f t="shared" si="191"/>
        <v>Complete</v>
      </c>
      <c r="K6106">
        <f>COUNTIFS(RawData[Item], B6106,RawData[Quantity],C6106,RawData[Price Per Unit],D6106,RawData[Total Spent],E6106,RawData[Payment Method],F6106,RawData[Location],G6106,RawData[Transaction Date],H6106)</f>
        <v>1</v>
      </c>
      <c r="L6106"/>
    </row>
    <row r="6107" spans="1:12" x14ac:dyDescent="0.3">
      <c r="A6107" t="s">
        <v>6113</v>
      </c>
      <c r="B6107" t="s">
        <v>10011</v>
      </c>
      <c r="C6107">
        <v>4</v>
      </c>
      <c r="D6107">
        <v>5</v>
      </c>
      <c r="E6107">
        <v>20</v>
      </c>
      <c r="F6107" t="s">
        <v>10020</v>
      </c>
      <c r="G6107" t="s">
        <v>10069</v>
      </c>
      <c r="H6107" s="6">
        <v>45065</v>
      </c>
      <c r="I6107">
        <f t="shared" si="190"/>
        <v>0</v>
      </c>
      <c r="J6107" t="str">
        <f t="shared" si="191"/>
        <v>Complete</v>
      </c>
      <c r="K6107">
        <f>COUNTIFS(RawData[Item], B6107,RawData[Quantity],C6107,RawData[Price Per Unit],D6107,RawData[Total Spent],E6107,RawData[Payment Method],F6107,RawData[Location],G6107,RawData[Transaction Date],H6107)</f>
        <v>1</v>
      </c>
      <c r="L6107"/>
    </row>
    <row r="6108" spans="1:12" x14ac:dyDescent="0.3">
      <c r="A6108" t="s">
        <v>6114</v>
      </c>
      <c r="B6108" t="s">
        <v>10011</v>
      </c>
      <c r="C6108">
        <v>5</v>
      </c>
      <c r="D6108">
        <v>5</v>
      </c>
      <c r="E6108">
        <v>25</v>
      </c>
      <c r="F6108" t="s">
        <v>10019</v>
      </c>
      <c r="G6108" t="s">
        <v>10069</v>
      </c>
      <c r="H6108" s="6">
        <v>45179</v>
      </c>
      <c r="I6108">
        <f t="shared" si="190"/>
        <v>0</v>
      </c>
      <c r="J6108" t="str">
        <f t="shared" si="191"/>
        <v>Complete</v>
      </c>
      <c r="K6108">
        <f>COUNTIFS(RawData[Item], B6108,RawData[Quantity],C6108,RawData[Price Per Unit],D6108,RawData[Total Spent],E6108,RawData[Payment Method],F6108,RawData[Location],G6108,RawData[Transaction Date],H6108)</f>
        <v>1</v>
      </c>
      <c r="L6108"/>
    </row>
    <row r="6109" spans="1:12" x14ac:dyDescent="0.3">
      <c r="A6109" t="s">
        <v>6115</v>
      </c>
      <c r="B6109" t="s">
        <v>10009</v>
      </c>
      <c r="C6109">
        <v>1</v>
      </c>
      <c r="D6109">
        <v>3</v>
      </c>
      <c r="E6109">
        <v>3</v>
      </c>
      <c r="F6109" t="s">
        <v>10019</v>
      </c>
      <c r="G6109" t="s">
        <v>10021</v>
      </c>
      <c r="H6109" s="6">
        <v>45127</v>
      </c>
      <c r="I6109">
        <f t="shared" si="190"/>
        <v>0</v>
      </c>
      <c r="J6109" t="str">
        <f t="shared" si="191"/>
        <v>Complete</v>
      </c>
      <c r="K6109">
        <f>COUNTIFS(RawData[Item], B6109,RawData[Quantity],C6109,RawData[Price Per Unit],D6109,RawData[Total Spent],E6109,RawData[Payment Method],F6109,RawData[Location],G6109,RawData[Transaction Date],H6109)</f>
        <v>1</v>
      </c>
      <c r="L6109"/>
    </row>
    <row r="6110" spans="1:12" x14ac:dyDescent="0.3">
      <c r="A6110" t="s">
        <v>6116</v>
      </c>
      <c r="B6110" t="s">
        <v>10012</v>
      </c>
      <c r="C6110">
        <v>2</v>
      </c>
      <c r="D6110">
        <v>4</v>
      </c>
      <c r="E6110">
        <v>8</v>
      </c>
      <c r="F6110" t="s">
        <v>10019</v>
      </c>
      <c r="G6110" t="s">
        <v>10069</v>
      </c>
      <c r="H6110" s="6">
        <v>45235</v>
      </c>
      <c r="I6110">
        <f t="shared" si="190"/>
        <v>0</v>
      </c>
      <c r="J6110" t="str">
        <f t="shared" si="191"/>
        <v>Complete</v>
      </c>
      <c r="K6110">
        <f>COUNTIFS(RawData[Item], B6110,RawData[Quantity],C6110,RawData[Price Per Unit],D6110,RawData[Total Spent],E6110,RawData[Payment Method],F6110,RawData[Location],G6110,RawData[Transaction Date],H6110)</f>
        <v>2</v>
      </c>
      <c r="L6110"/>
    </row>
    <row r="6111" spans="1:12" x14ac:dyDescent="0.3">
      <c r="A6111" t="s">
        <v>6117</v>
      </c>
      <c r="B6111" t="s">
        <v>10009</v>
      </c>
      <c r="C6111">
        <v>3</v>
      </c>
      <c r="D6111">
        <v>3</v>
      </c>
      <c r="E6111">
        <v>9</v>
      </c>
      <c r="F6111" t="s">
        <v>10018</v>
      </c>
      <c r="G6111" t="s">
        <v>10102</v>
      </c>
      <c r="H6111" s="6">
        <v>45198</v>
      </c>
      <c r="I6111">
        <f t="shared" si="190"/>
        <v>0</v>
      </c>
      <c r="J6111" t="str">
        <f t="shared" si="191"/>
        <v>Complete</v>
      </c>
      <c r="K6111">
        <f>COUNTIFS(RawData[Item], B6111,RawData[Quantity],C6111,RawData[Price Per Unit],D6111,RawData[Total Spent],E6111,RawData[Payment Method],F6111,RawData[Location],G6111,RawData[Transaction Date],H6111)</f>
        <v>1</v>
      </c>
      <c r="L6111"/>
    </row>
    <row r="6112" spans="1:12" x14ac:dyDescent="0.3">
      <c r="A6112" t="s">
        <v>6118</v>
      </c>
      <c r="B6112" t="s">
        <v>10014</v>
      </c>
      <c r="C6112">
        <v>5</v>
      </c>
      <c r="D6112">
        <v>4</v>
      </c>
      <c r="E6112">
        <v>20</v>
      </c>
      <c r="F6112" t="s">
        <v>10020</v>
      </c>
      <c r="G6112" t="s">
        <v>10021</v>
      </c>
      <c r="H6112" s="6">
        <v>44956</v>
      </c>
      <c r="I6112">
        <f t="shared" si="190"/>
        <v>0</v>
      </c>
      <c r="J6112" t="str">
        <f t="shared" si="191"/>
        <v>Complete</v>
      </c>
      <c r="K6112">
        <f>COUNTIFS(RawData[Item], B6112,RawData[Quantity],C6112,RawData[Price Per Unit],D6112,RawData[Total Spent],E6112,RawData[Payment Method],F6112,RawData[Location],G6112,RawData[Transaction Date],H6112)</f>
        <v>2</v>
      </c>
      <c r="L6112"/>
    </row>
    <row r="6113" spans="1:12" x14ac:dyDescent="0.3">
      <c r="A6113" t="s">
        <v>6119</v>
      </c>
      <c r="B6113" t="s">
        <v>10011</v>
      </c>
      <c r="C6113">
        <v>5</v>
      </c>
      <c r="D6113">
        <v>5</v>
      </c>
      <c r="E6113" t="s">
        <v>10015</v>
      </c>
      <c r="F6113" t="s">
        <v>10019</v>
      </c>
      <c r="G6113" t="s">
        <v>10021</v>
      </c>
      <c r="H6113" s="6">
        <v>44982</v>
      </c>
      <c r="I6113">
        <f t="shared" si="190"/>
        <v>1</v>
      </c>
      <c r="J6113" t="str">
        <f t="shared" si="191"/>
        <v>Complete</v>
      </c>
      <c r="K6113">
        <f>COUNTIFS(RawData[Item], B6113,RawData[Quantity],C6113,RawData[Price Per Unit],D6113,RawData[Total Spent],E6113,RawData[Payment Method],F6113,RawData[Location],G6113,RawData[Transaction Date],H6113)</f>
        <v>1</v>
      </c>
      <c r="L6113"/>
    </row>
    <row r="6114" spans="1:12" x14ac:dyDescent="0.3">
      <c r="A6114" t="s">
        <v>6120</v>
      </c>
      <c r="B6114" t="s">
        <v>10010</v>
      </c>
      <c r="C6114">
        <v>2</v>
      </c>
      <c r="D6114">
        <v>1</v>
      </c>
      <c r="E6114">
        <v>2</v>
      </c>
      <c r="F6114" t="s">
        <v>10018</v>
      </c>
      <c r="G6114" t="s">
        <v>10102</v>
      </c>
      <c r="H6114" s="6">
        <v>44942</v>
      </c>
      <c r="I6114">
        <f t="shared" si="190"/>
        <v>0</v>
      </c>
      <c r="J6114" t="str">
        <f t="shared" si="191"/>
        <v>Complete</v>
      </c>
      <c r="K6114">
        <f>COUNTIFS(RawData[Item], B6114,RawData[Quantity],C6114,RawData[Price Per Unit],D6114,RawData[Total Spent],E6114,RawData[Payment Method],F6114,RawData[Location],G6114,RawData[Transaction Date],H6114)</f>
        <v>1</v>
      </c>
      <c r="L6114"/>
    </row>
    <row r="6115" spans="1:12" x14ac:dyDescent="0.3">
      <c r="A6115" t="s">
        <v>6121</v>
      </c>
      <c r="B6115" t="s">
        <v>10016</v>
      </c>
      <c r="C6115">
        <v>4</v>
      </c>
      <c r="D6115">
        <v>3</v>
      </c>
      <c r="E6115">
        <v>12</v>
      </c>
      <c r="F6115" t="s">
        <v>10018</v>
      </c>
      <c r="G6115" t="s">
        <v>10102</v>
      </c>
      <c r="H6115" s="6">
        <v>45284</v>
      </c>
      <c r="I6115">
        <f t="shared" si="190"/>
        <v>0</v>
      </c>
      <c r="J6115" t="str">
        <f t="shared" si="191"/>
        <v>Complete</v>
      </c>
      <c r="K6115">
        <f>COUNTIFS(RawData[Item], B6115,RawData[Quantity],C6115,RawData[Price Per Unit],D6115,RawData[Total Spent],E6115,RawData[Payment Method],F6115,RawData[Location],G6115,RawData[Transaction Date],H6115)</f>
        <v>1</v>
      </c>
      <c r="L6115"/>
    </row>
    <row r="6116" spans="1:12" x14ac:dyDescent="0.3">
      <c r="A6116" t="s">
        <v>6122</v>
      </c>
      <c r="B6116" t="s">
        <v>10017</v>
      </c>
      <c r="C6116">
        <v>3</v>
      </c>
      <c r="D6116">
        <v>1.5</v>
      </c>
      <c r="E6116">
        <v>4.5</v>
      </c>
      <c r="F6116" t="s">
        <v>10018</v>
      </c>
      <c r="G6116" t="s">
        <v>10104</v>
      </c>
      <c r="H6116" s="6">
        <v>45002</v>
      </c>
      <c r="I6116">
        <f t="shared" si="190"/>
        <v>1</v>
      </c>
      <c r="J6116" t="str">
        <f t="shared" si="191"/>
        <v>Complete</v>
      </c>
      <c r="K6116">
        <f>COUNTIFS(RawData[Item], B6116,RawData[Quantity],C6116,RawData[Price Per Unit],D6116,RawData[Total Spent],E6116,RawData[Payment Method],F6116,RawData[Location],G6116,RawData[Transaction Date],H6116)</f>
        <v>1</v>
      </c>
      <c r="L6116"/>
    </row>
    <row r="6117" spans="1:12" x14ac:dyDescent="0.3">
      <c r="A6117" t="s">
        <v>6123</v>
      </c>
      <c r="B6117" t="s">
        <v>10010</v>
      </c>
      <c r="C6117">
        <v>2</v>
      </c>
      <c r="D6117">
        <v>1</v>
      </c>
      <c r="E6117">
        <v>2</v>
      </c>
      <c r="F6117" t="s">
        <v>10069</v>
      </c>
      <c r="G6117" t="s">
        <v>10102</v>
      </c>
      <c r="H6117" s="6">
        <v>45281</v>
      </c>
      <c r="I6117">
        <f t="shared" si="190"/>
        <v>0</v>
      </c>
      <c r="J6117" t="str">
        <f t="shared" si="191"/>
        <v>Complete</v>
      </c>
      <c r="K6117">
        <f>COUNTIFS(RawData[Item], B6117,RawData[Quantity],C6117,RawData[Price Per Unit],D6117,RawData[Total Spent],E6117,RawData[Payment Method],F6117,RawData[Location],G6117,RawData[Transaction Date],H6117)</f>
        <v>1</v>
      </c>
      <c r="L6117"/>
    </row>
    <row r="6118" spans="1:12" x14ac:dyDescent="0.3">
      <c r="A6118" t="s">
        <v>6124</v>
      </c>
      <c r="B6118" t="s">
        <v>10008</v>
      </c>
      <c r="C6118">
        <v>5</v>
      </c>
      <c r="D6118">
        <v>2</v>
      </c>
      <c r="E6118">
        <v>10</v>
      </c>
      <c r="F6118" t="s">
        <v>10020</v>
      </c>
      <c r="G6118" t="s">
        <v>10102</v>
      </c>
      <c r="H6118" s="6">
        <v>44947</v>
      </c>
      <c r="I6118">
        <f t="shared" si="190"/>
        <v>0</v>
      </c>
      <c r="J6118" t="str">
        <f t="shared" si="191"/>
        <v>Complete</v>
      </c>
      <c r="K6118">
        <f>COUNTIFS(RawData[Item], B6118,RawData[Quantity],C6118,RawData[Price Per Unit],D6118,RawData[Total Spent],E6118,RawData[Payment Method],F6118,RawData[Location],G6118,RawData[Transaction Date],H6118)</f>
        <v>1</v>
      </c>
      <c r="L6118"/>
    </row>
    <row r="6119" spans="1:12" x14ac:dyDescent="0.3">
      <c r="A6119" t="s">
        <v>6125</v>
      </c>
      <c r="B6119" t="s">
        <v>10016</v>
      </c>
      <c r="C6119">
        <v>3</v>
      </c>
      <c r="D6119">
        <v>3</v>
      </c>
      <c r="E6119">
        <v>9</v>
      </c>
      <c r="F6119" t="s">
        <v>10069</v>
      </c>
      <c r="G6119" t="s">
        <v>10102</v>
      </c>
      <c r="H6119" s="6">
        <v>45061</v>
      </c>
      <c r="I6119">
        <f t="shared" si="190"/>
        <v>0</v>
      </c>
      <c r="J6119" t="str">
        <f t="shared" si="191"/>
        <v>Complete</v>
      </c>
      <c r="K6119">
        <f>COUNTIFS(RawData[Item], B6119,RawData[Quantity],C6119,RawData[Price Per Unit],D6119,RawData[Total Spent],E6119,RawData[Payment Method],F6119,RawData[Location],G6119,RawData[Transaction Date],H6119)</f>
        <v>1</v>
      </c>
      <c r="L6119"/>
    </row>
    <row r="6120" spans="1:12" x14ac:dyDescent="0.3">
      <c r="A6120" t="s">
        <v>6126</v>
      </c>
      <c r="B6120" t="s">
        <v>10017</v>
      </c>
      <c r="C6120">
        <v>3</v>
      </c>
      <c r="D6120">
        <v>1.5</v>
      </c>
      <c r="E6120">
        <v>4.5</v>
      </c>
      <c r="F6120" t="s">
        <v>10019</v>
      </c>
      <c r="G6120" t="s">
        <v>10021</v>
      </c>
      <c r="H6120" s="6">
        <v>45177</v>
      </c>
      <c r="I6120">
        <f t="shared" si="190"/>
        <v>0</v>
      </c>
      <c r="J6120" t="str">
        <f t="shared" si="191"/>
        <v>Complete</v>
      </c>
      <c r="K6120">
        <f>COUNTIFS(RawData[Item], B6120,RawData[Quantity],C6120,RawData[Price Per Unit],D6120,RawData[Total Spent],E6120,RawData[Payment Method],F6120,RawData[Location],G6120,RawData[Transaction Date],H6120)</f>
        <v>1</v>
      </c>
      <c r="L6120"/>
    </row>
    <row r="6121" spans="1:12" x14ac:dyDescent="0.3">
      <c r="A6121" t="s">
        <v>6127</v>
      </c>
      <c r="B6121" t="s">
        <v>10012</v>
      </c>
      <c r="C6121">
        <v>5</v>
      </c>
      <c r="D6121">
        <v>4</v>
      </c>
      <c r="E6121">
        <v>20</v>
      </c>
      <c r="F6121" t="s">
        <v>10018</v>
      </c>
      <c r="G6121" t="s">
        <v>10102</v>
      </c>
      <c r="H6121" s="6">
        <v>45098</v>
      </c>
      <c r="I6121">
        <f t="shared" si="190"/>
        <v>0</v>
      </c>
      <c r="J6121" t="str">
        <f t="shared" si="191"/>
        <v>Complete</v>
      </c>
      <c r="K6121">
        <f>COUNTIFS(RawData[Item], B6121,RawData[Quantity],C6121,RawData[Price Per Unit],D6121,RawData[Total Spent],E6121,RawData[Payment Method],F6121,RawData[Location],G6121,RawData[Transaction Date],H6121)</f>
        <v>1</v>
      </c>
      <c r="L6121"/>
    </row>
    <row r="6122" spans="1:12" x14ac:dyDescent="0.3">
      <c r="A6122" t="s">
        <v>6128</v>
      </c>
      <c r="B6122" t="s">
        <v>10015</v>
      </c>
      <c r="C6122">
        <v>1</v>
      </c>
      <c r="D6122">
        <v>3</v>
      </c>
      <c r="E6122">
        <v>3</v>
      </c>
      <c r="F6122" t="s">
        <v>10103</v>
      </c>
      <c r="G6122" t="s">
        <v>10104</v>
      </c>
      <c r="H6122" s="6">
        <v>45012</v>
      </c>
      <c r="I6122">
        <f t="shared" si="190"/>
        <v>3</v>
      </c>
      <c r="J6122" t="str">
        <f t="shared" si="191"/>
        <v>Complete</v>
      </c>
      <c r="K6122">
        <f>COUNTIFS(RawData[Item], B6122,RawData[Quantity],C6122,RawData[Price Per Unit],D6122,RawData[Total Spent],E6122,RawData[Payment Method],F6122,RawData[Location],G6122,RawData[Transaction Date],H6122)</f>
        <v>1</v>
      </c>
      <c r="L6122"/>
    </row>
    <row r="6123" spans="1:12" x14ac:dyDescent="0.3">
      <c r="A6123" t="s">
        <v>6129</v>
      </c>
      <c r="B6123" t="s">
        <v>10017</v>
      </c>
      <c r="C6123">
        <v>4</v>
      </c>
      <c r="D6123">
        <v>1.5</v>
      </c>
      <c r="E6123">
        <v>6</v>
      </c>
      <c r="F6123" t="s">
        <v>10069</v>
      </c>
      <c r="G6123" t="s">
        <v>10102</v>
      </c>
      <c r="H6123" s="6">
        <v>44984</v>
      </c>
      <c r="I6123">
        <f t="shared" si="190"/>
        <v>0</v>
      </c>
      <c r="J6123" t="str">
        <f t="shared" si="191"/>
        <v>Complete</v>
      </c>
      <c r="K6123">
        <f>COUNTIFS(RawData[Item], B6123,RawData[Quantity],C6123,RawData[Price Per Unit],D6123,RawData[Total Spent],E6123,RawData[Payment Method],F6123,RawData[Location],G6123,RawData[Transaction Date],H6123)</f>
        <v>1</v>
      </c>
      <c r="L6123"/>
    </row>
    <row r="6124" spans="1:12" x14ac:dyDescent="0.3">
      <c r="A6124" t="s">
        <v>6130</v>
      </c>
      <c r="B6124" t="s">
        <v>10009</v>
      </c>
      <c r="C6124">
        <v>1</v>
      </c>
      <c r="D6124">
        <v>3</v>
      </c>
      <c r="E6124">
        <v>3</v>
      </c>
      <c r="F6124" t="s">
        <v>10104</v>
      </c>
      <c r="G6124" t="s">
        <v>10069</v>
      </c>
      <c r="H6124" s="6">
        <v>45039</v>
      </c>
      <c r="I6124">
        <f t="shared" si="190"/>
        <v>1</v>
      </c>
      <c r="J6124" t="str">
        <f t="shared" si="191"/>
        <v>Complete</v>
      </c>
      <c r="K6124">
        <f>COUNTIFS(RawData[Item], B6124,RawData[Quantity],C6124,RawData[Price Per Unit],D6124,RawData[Total Spent],E6124,RawData[Payment Method],F6124,RawData[Location],G6124,RawData[Transaction Date],H6124)</f>
        <v>1</v>
      </c>
      <c r="L6124"/>
    </row>
    <row r="6125" spans="1:12" x14ac:dyDescent="0.3">
      <c r="A6125" t="s">
        <v>6131</v>
      </c>
      <c r="B6125" t="s">
        <v>10012</v>
      </c>
      <c r="C6125">
        <v>4</v>
      </c>
      <c r="D6125">
        <v>4</v>
      </c>
      <c r="E6125">
        <v>16</v>
      </c>
      <c r="F6125" t="s">
        <v>10069</v>
      </c>
      <c r="G6125" t="s">
        <v>10103</v>
      </c>
      <c r="H6125" s="6">
        <v>45288</v>
      </c>
      <c r="I6125">
        <f t="shared" si="190"/>
        <v>1</v>
      </c>
      <c r="J6125" t="str">
        <f t="shared" si="191"/>
        <v>Complete</v>
      </c>
      <c r="K6125">
        <f>COUNTIFS(RawData[Item], B6125,RawData[Quantity],C6125,RawData[Price Per Unit],D6125,RawData[Total Spent],E6125,RawData[Payment Method],F6125,RawData[Location],G6125,RawData[Transaction Date],H6125)</f>
        <v>1</v>
      </c>
      <c r="L6125"/>
    </row>
    <row r="6126" spans="1:12" x14ac:dyDescent="0.3">
      <c r="A6126" t="s">
        <v>6132</v>
      </c>
      <c r="B6126" t="s">
        <v>10014</v>
      </c>
      <c r="C6126">
        <v>2</v>
      </c>
      <c r="D6126">
        <v>4</v>
      </c>
      <c r="E6126">
        <v>8</v>
      </c>
      <c r="F6126" t="s">
        <v>10069</v>
      </c>
      <c r="G6126" t="s">
        <v>10021</v>
      </c>
      <c r="H6126" s="6" t="s">
        <v>10112</v>
      </c>
      <c r="I6126">
        <f t="shared" si="190"/>
        <v>1</v>
      </c>
      <c r="J6126" t="str">
        <f t="shared" si="191"/>
        <v>Incomplete</v>
      </c>
      <c r="K6126">
        <f>COUNTIFS(RawData[Item], B6126,RawData[Quantity],C6126,RawData[Price Per Unit],D6126,RawData[Total Spent],E6126,RawData[Payment Method],F6126,RawData[Location],G6126,RawData[Transaction Date],H6126)</f>
        <v>1</v>
      </c>
      <c r="L6126"/>
    </row>
    <row r="6127" spans="1:12" x14ac:dyDescent="0.3">
      <c r="A6127" t="s">
        <v>6133</v>
      </c>
      <c r="B6127" t="s">
        <v>10014</v>
      </c>
      <c r="C6127">
        <v>3</v>
      </c>
      <c r="D6127">
        <v>4</v>
      </c>
      <c r="E6127">
        <v>12</v>
      </c>
      <c r="F6127" t="s">
        <v>10069</v>
      </c>
      <c r="G6127" t="s">
        <v>10021</v>
      </c>
      <c r="H6127" s="6">
        <v>45190</v>
      </c>
      <c r="I6127">
        <f t="shared" si="190"/>
        <v>0</v>
      </c>
      <c r="J6127" t="str">
        <f t="shared" si="191"/>
        <v>Complete</v>
      </c>
      <c r="K6127">
        <f>COUNTIFS(RawData[Item], B6127,RawData[Quantity],C6127,RawData[Price Per Unit],D6127,RawData[Total Spent],E6127,RawData[Payment Method],F6127,RawData[Location],G6127,RawData[Transaction Date],H6127)</f>
        <v>1</v>
      </c>
      <c r="L6127"/>
    </row>
    <row r="6128" spans="1:12" x14ac:dyDescent="0.3">
      <c r="A6128" t="s">
        <v>6134</v>
      </c>
      <c r="B6128" t="s">
        <v>10011</v>
      </c>
      <c r="C6128">
        <v>2</v>
      </c>
      <c r="D6128">
        <v>5</v>
      </c>
      <c r="E6128">
        <v>10</v>
      </c>
      <c r="F6128" t="s">
        <v>10018</v>
      </c>
      <c r="G6128" t="s">
        <v>10069</v>
      </c>
      <c r="H6128" s="6">
        <v>45231</v>
      </c>
      <c r="I6128">
        <f t="shared" si="190"/>
        <v>0</v>
      </c>
      <c r="J6128" t="str">
        <f t="shared" si="191"/>
        <v>Complete</v>
      </c>
      <c r="K6128">
        <f>COUNTIFS(RawData[Item], B6128,RawData[Quantity],C6128,RawData[Price Per Unit],D6128,RawData[Total Spent],E6128,RawData[Payment Method],F6128,RawData[Location],G6128,RawData[Transaction Date],H6128)</f>
        <v>1</v>
      </c>
      <c r="L6128"/>
    </row>
    <row r="6129" spans="1:12" x14ac:dyDescent="0.3">
      <c r="A6129" t="s">
        <v>6135</v>
      </c>
      <c r="B6129" t="s">
        <v>10014</v>
      </c>
      <c r="C6129">
        <v>1</v>
      </c>
      <c r="D6129">
        <v>0</v>
      </c>
      <c r="E6129">
        <v>4</v>
      </c>
      <c r="F6129" t="s">
        <v>10069</v>
      </c>
      <c r="G6129" t="s">
        <v>10102</v>
      </c>
      <c r="H6129" s="6">
        <v>44930</v>
      </c>
      <c r="I6129">
        <f t="shared" si="190"/>
        <v>0</v>
      </c>
      <c r="J6129" t="str">
        <f t="shared" si="191"/>
        <v>Complete</v>
      </c>
      <c r="K6129">
        <f>COUNTIFS(RawData[Item], B6129,RawData[Quantity],C6129,RawData[Price Per Unit],D6129,RawData[Total Spent],E6129,RawData[Payment Method],F6129,RawData[Location],G6129,RawData[Transaction Date],H6129)</f>
        <v>1</v>
      </c>
      <c r="L6129"/>
    </row>
    <row r="6130" spans="1:12" x14ac:dyDescent="0.3">
      <c r="A6130" t="s">
        <v>6136</v>
      </c>
      <c r="B6130" t="s">
        <v>10017</v>
      </c>
      <c r="C6130">
        <v>2</v>
      </c>
      <c r="D6130">
        <v>1.5</v>
      </c>
      <c r="E6130">
        <v>3</v>
      </c>
      <c r="F6130" t="s">
        <v>10020</v>
      </c>
      <c r="G6130" t="s">
        <v>10021</v>
      </c>
      <c r="H6130" s="6">
        <v>44986</v>
      </c>
      <c r="I6130">
        <f t="shared" si="190"/>
        <v>0</v>
      </c>
      <c r="J6130" t="str">
        <f t="shared" si="191"/>
        <v>Complete</v>
      </c>
      <c r="K6130">
        <f>COUNTIFS(RawData[Item], B6130,RawData[Quantity],C6130,RawData[Price Per Unit],D6130,RawData[Total Spent],E6130,RawData[Payment Method],F6130,RawData[Location],G6130,RawData[Transaction Date],H6130)</f>
        <v>1</v>
      </c>
      <c r="L6130"/>
    </row>
    <row r="6131" spans="1:12" x14ac:dyDescent="0.3">
      <c r="A6131" t="s">
        <v>6137</v>
      </c>
      <c r="B6131" t="s">
        <v>10011</v>
      </c>
      <c r="C6131">
        <v>5</v>
      </c>
      <c r="D6131">
        <v>5</v>
      </c>
      <c r="E6131">
        <v>25</v>
      </c>
      <c r="F6131" t="s">
        <v>10019</v>
      </c>
      <c r="G6131" t="s">
        <v>10069</v>
      </c>
      <c r="H6131" s="6">
        <v>45165</v>
      </c>
      <c r="I6131">
        <f t="shared" si="190"/>
        <v>0</v>
      </c>
      <c r="J6131" t="str">
        <f t="shared" si="191"/>
        <v>Complete</v>
      </c>
      <c r="K6131">
        <f>COUNTIFS(RawData[Item], B6131,RawData[Quantity],C6131,RawData[Price Per Unit],D6131,RawData[Total Spent],E6131,RawData[Payment Method],F6131,RawData[Location],G6131,RawData[Transaction Date],H6131)</f>
        <v>1</v>
      </c>
      <c r="L6131"/>
    </row>
    <row r="6132" spans="1:12" x14ac:dyDescent="0.3">
      <c r="A6132" t="s">
        <v>6138</v>
      </c>
      <c r="B6132" t="s">
        <v>10008</v>
      </c>
      <c r="C6132">
        <v>4</v>
      </c>
      <c r="D6132">
        <v>2</v>
      </c>
      <c r="E6132">
        <v>8</v>
      </c>
      <c r="F6132" t="s">
        <v>10069</v>
      </c>
      <c r="G6132" t="s">
        <v>10102</v>
      </c>
      <c r="H6132" s="6">
        <v>44973</v>
      </c>
      <c r="I6132">
        <f t="shared" si="190"/>
        <v>0</v>
      </c>
      <c r="J6132" t="str">
        <f t="shared" si="191"/>
        <v>Complete</v>
      </c>
      <c r="K6132">
        <f>COUNTIFS(RawData[Item], B6132,RawData[Quantity],C6132,RawData[Price Per Unit],D6132,RawData[Total Spent],E6132,RawData[Payment Method],F6132,RawData[Location],G6132,RawData[Transaction Date],H6132)</f>
        <v>1</v>
      </c>
      <c r="L6132"/>
    </row>
    <row r="6133" spans="1:12" x14ac:dyDescent="0.3">
      <c r="A6133" t="s">
        <v>6139</v>
      </c>
      <c r="B6133" t="s">
        <v>10016</v>
      </c>
      <c r="C6133">
        <v>2</v>
      </c>
      <c r="D6133" t="s">
        <v>10015</v>
      </c>
      <c r="E6133">
        <v>6</v>
      </c>
      <c r="F6133" t="s">
        <v>10020</v>
      </c>
      <c r="G6133" t="s">
        <v>10102</v>
      </c>
      <c r="H6133" s="6">
        <v>45272</v>
      </c>
      <c r="I6133">
        <f t="shared" si="190"/>
        <v>1</v>
      </c>
      <c r="J6133" t="str">
        <f t="shared" si="191"/>
        <v>Complete</v>
      </c>
      <c r="K6133">
        <f>COUNTIFS(RawData[Item], B6133,RawData[Quantity],C6133,RawData[Price Per Unit],D6133,RawData[Total Spent],E6133,RawData[Payment Method],F6133,RawData[Location],G6133,RawData[Transaction Date],H6133)</f>
        <v>1</v>
      </c>
      <c r="L6133"/>
    </row>
    <row r="6134" spans="1:12" x14ac:dyDescent="0.3">
      <c r="A6134" t="s">
        <v>6140</v>
      </c>
      <c r="B6134" t="s">
        <v>10014</v>
      </c>
      <c r="C6134">
        <v>4</v>
      </c>
      <c r="D6134">
        <v>4</v>
      </c>
      <c r="E6134">
        <v>16</v>
      </c>
      <c r="F6134" t="s">
        <v>10018</v>
      </c>
      <c r="G6134" t="s">
        <v>10021</v>
      </c>
      <c r="H6134" s="6">
        <v>45257</v>
      </c>
      <c r="I6134">
        <f t="shared" si="190"/>
        <v>0</v>
      </c>
      <c r="J6134" t="str">
        <f t="shared" si="191"/>
        <v>Complete</v>
      </c>
      <c r="K6134">
        <f>COUNTIFS(RawData[Item], B6134,RawData[Quantity],C6134,RawData[Price Per Unit],D6134,RawData[Total Spent],E6134,RawData[Payment Method],F6134,RawData[Location],G6134,RawData[Transaction Date],H6134)</f>
        <v>1</v>
      </c>
      <c r="L6134"/>
    </row>
    <row r="6135" spans="1:12" x14ac:dyDescent="0.3">
      <c r="A6135" t="s">
        <v>6141</v>
      </c>
      <c r="B6135" t="s">
        <v>10014</v>
      </c>
      <c r="C6135">
        <v>1</v>
      </c>
      <c r="D6135">
        <v>4</v>
      </c>
      <c r="E6135">
        <v>4</v>
      </c>
      <c r="F6135" t="s">
        <v>10069</v>
      </c>
      <c r="G6135" t="s">
        <v>10069</v>
      </c>
      <c r="H6135" s="6">
        <v>45246</v>
      </c>
      <c r="I6135">
        <f t="shared" si="190"/>
        <v>0</v>
      </c>
      <c r="J6135" t="str">
        <f t="shared" si="191"/>
        <v>Complete</v>
      </c>
      <c r="K6135">
        <f>COUNTIFS(RawData[Item], B6135,RawData[Quantity],C6135,RawData[Price Per Unit],D6135,RawData[Total Spent],E6135,RawData[Payment Method],F6135,RawData[Location],G6135,RawData[Transaction Date],H6135)</f>
        <v>1</v>
      </c>
      <c r="L6135"/>
    </row>
    <row r="6136" spans="1:12" x14ac:dyDescent="0.3">
      <c r="A6136" t="s">
        <v>6142</v>
      </c>
      <c r="B6136" t="s">
        <v>10011</v>
      </c>
      <c r="C6136">
        <v>4</v>
      </c>
      <c r="D6136">
        <v>5</v>
      </c>
      <c r="E6136">
        <v>20</v>
      </c>
      <c r="F6136" t="s">
        <v>10069</v>
      </c>
      <c r="G6136" t="s">
        <v>10102</v>
      </c>
      <c r="H6136" s="6">
        <v>45098</v>
      </c>
      <c r="I6136">
        <f t="shared" si="190"/>
        <v>0</v>
      </c>
      <c r="J6136" t="str">
        <f t="shared" si="191"/>
        <v>Complete</v>
      </c>
      <c r="K6136">
        <f>COUNTIFS(RawData[Item], B6136,RawData[Quantity],C6136,RawData[Price Per Unit],D6136,RawData[Total Spent],E6136,RawData[Payment Method],F6136,RawData[Location],G6136,RawData[Transaction Date],H6136)</f>
        <v>1</v>
      </c>
      <c r="L6136"/>
    </row>
    <row r="6137" spans="1:12" x14ac:dyDescent="0.3">
      <c r="A6137" t="s">
        <v>6143</v>
      </c>
      <c r="B6137" t="s">
        <v>10008</v>
      </c>
      <c r="C6137">
        <v>2</v>
      </c>
      <c r="D6137">
        <v>2</v>
      </c>
      <c r="E6137">
        <v>4</v>
      </c>
      <c r="F6137" t="s">
        <v>10018</v>
      </c>
      <c r="G6137" t="s">
        <v>10021</v>
      </c>
      <c r="H6137" s="6">
        <v>45080</v>
      </c>
      <c r="I6137">
        <f t="shared" si="190"/>
        <v>0</v>
      </c>
      <c r="J6137" t="str">
        <f t="shared" si="191"/>
        <v>Complete</v>
      </c>
      <c r="K6137">
        <f>COUNTIFS(RawData[Item], B6137,RawData[Quantity],C6137,RawData[Price Per Unit],D6137,RawData[Total Spent],E6137,RawData[Payment Method],F6137,RawData[Location],G6137,RawData[Transaction Date],H6137)</f>
        <v>1</v>
      </c>
      <c r="L6137"/>
    </row>
    <row r="6138" spans="1:12" x14ac:dyDescent="0.3">
      <c r="A6138" t="s">
        <v>6144</v>
      </c>
      <c r="B6138" t="s">
        <v>10069</v>
      </c>
      <c r="C6138">
        <v>2</v>
      </c>
      <c r="D6138">
        <v>3</v>
      </c>
      <c r="E6138">
        <v>6</v>
      </c>
      <c r="F6138" t="s">
        <v>10103</v>
      </c>
      <c r="G6138" t="s">
        <v>10021</v>
      </c>
      <c r="H6138" s="6" t="s">
        <v>10112</v>
      </c>
      <c r="I6138">
        <f t="shared" si="190"/>
        <v>2</v>
      </c>
      <c r="J6138" t="str">
        <f t="shared" si="191"/>
        <v>Incomplete</v>
      </c>
      <c r="K6138">
        <f>COUNTIFS(RawData[Item], B6138,RawData[Quantity],C6138,RawData[Price Per Unit],D6138,RawData[Total Spent],E6138,RawData[Payment Method],F6138,RawData[Location],G6138,RawData[Transaction Date],H6138)</f>
        <v>1</v>
      </c>
      <c r="L6138"/>
    </row>
    <row r="6139" spans="1:12" x14ac:dyDescent="0.3">
      <c r="A6139" t="s">
        <v>6145</v>
      </c>
      <c r="B6139" t="s">
        <v>10013</v>
      </c>
      <c r="C6139">
        <v>2</v>
      </c>
      <c r="D6139">
        <v>5</v>
      </c>
      <c r="E6139">
        <v>10</v>
      </c>
      <c r="F6139" t="s">
        <v>10020</v>
      </c>
      <c r="G6139" t="s">
        <v>10069</v>
      </c>
      <c r="H6139" s="6">
        <v>45003</v>
      </c>
      <c r="I6139">
        <f t="shared" si="190"/>
        <v>1</v>
      </c>
      <c r="J6139" t="str">
        <f t="shared" si="191"/>
        <v>Complete</v>
      </c>
      <c r="K6139">
        <f>COUNTIFS(RawData[Item], B6139,RawData[Quantity],C6139,RawData[Price Per Unit],D6139,RawData[Total Spent],E6139,RawData[Payment Method],F6139,RawData[Location],G6139,RawData[Transaction Date],H6139)</f>
        <v>1</v>
      </c>
      <c r="L6139"/>
    </row>
    <row r="6140" spans="1:12" x14ac:dyDescent="0.3">
      <c r="A6140" t="s">
        <v>6146</v>
      </c>
      <c r="B6140" t="s">
        <v>10009</v>
      </c>
      <c r="C6140">
        <v>5</v>
      </c>
      <c r="D6140">
        <v>3</v>
      </c>
      <c r="E6140">
        <v>15</v>
      </c>
      <c r="F6140" t="s">
        <v>10018</v>
      </c>
      <c r="G6140" t="s">
        <v>10069</v>
      </c>
      <c r="H6140" s="6">
        <v>45074</v>
      </c>
      <c r="I6140">
        <f t="shared" si="190"/>
        <v>0</v>
      </c>
      <c r="J6140" t="str">
        <f t="shared" si="191"/>
        <v>Complete</v>
      </c>
      <c r="K6140">
        <f>COUNTIFS(RawData[Item], B6140,RawData[Quantity],C6140,RawData[Price Per Unit],D6140,RawData[Total Spent],E6140,RawData[Payment Method],F6140,RawData[Location],G6140,RawData[Transaction Date],H6140)</f>
        <v>1</v>
      </c>
      <c r="L6140"/>
    </row>
    <row r="6141" spans="1:12" x14ac:dyDescent="0.3">
      <c r="A6141" t="s">
        <v>6147</v>
      </c>
      <c r="B6141" t="s">
        <v>10010</v>
      </c>
      <c r="C6141">
        <v>2</v>
      </c>
      <c r="D6141">
        <v>1</v>
      </c>
      <c r="E6141">
        <v>2</v>
      </c>
      <c r="F6141" t="s">
        <v>10069</v>
      </c>
      <c r="G6141" t="s">
        <v>10069</v>
      </c>
      <c r="H6141" s="6">
        <v>45202</v>
      </c>
      <c r="I6141">
        <f t="shared" si="190"/>
        <v>0</v>
      </c>
      <c r="J6141" t="str">
        <f t="shared" si="191"/>
        <v>Complete</v>
      </c>
      <c r="K6141">
        <f>COUNTIFS(RawData[Item], B6141,RawData[Quantity],C6141,RawData[Price Per Unit],D6141,RawData[Total Spent],E6141,RawData[Payment Method],F6141,RawData[Location],G6141,RawData[Transaction Date],H6141)</f>
        <v>1</v>
      </c>
      <c r="L6141"/>
    </row>
    <row r="6142" spans="1:12" x14ac:dyDescent="0.3">
      <c r="A6142" t="s">
        <v>6148</v>
      </c>
      <c r="B6142" t="s">
        <v>10016</v>
      </c>
      <c r="C6142">
        <v>3</v>
      </c>
      <c r="D6142">
        <v>3</v>
      </c>
      <c r="E6142">
        <v>9</v>
      </c>
      <c r="F6142" t="s">
        <v>10019</v>
      </c>
      <c r="G6142" t="s">
        <v>10104</v>
      </c>
      <c r="H6142" s="6">
        <v>45037</v>
      </c>
      <c r="I6142">
        <f t="shared" si="190"/>
        <v>1</v>
      </c>
      <c r="J6142" t="str">
        <f t="shared" si="191"/>
        <v>Complete</v>
      </c>
      <c r="K6142">
        <f>COUNTIFS(RawData[Item], B6142,RawData[Quantity],C6142,RawData[Price Per Unit],D6142,RawData[Total Spent],E6142,RawData[Payment Method],F6142,RawData[Location],G6142,RawData[Transaction Date],H6142)</f>
        <v>1</v>
      </c>
      <c r="L6142"/>
    </row>
    <row r="6143" spans="1:12" x14ac:dyDescent="0.3">
      <c r="A6143" t="s">
        <v>6149</v>
      </c>
      <c r="B6143" t="s">
        <v>10069</v>
      </c>
      <c r="C6143">
        <v>4</v>
      </c>
      <c r="D6143">
        <v>1</v>
      </c>
      <c r="E6143">
        <v>4</v>
      </c>
      <c r="F6143" t="s">
        <v>10069</v>
      </c>
      <c r="G6143" t="s">
        <v>10021</v>
      </c>
      <c r="H6143" s="6" t="s">
        <v>10112</v>
      </c>
      <c r="I6143">
        <f t="shared" si="190"/>
        <v>1</v>
      </c>
      <c r="J6143" t="str">
        <f t="shared" si="191"/>
        <v>Incomplete</v>
      </c>
      <c r="K6143">
        <f>COUNTIFS(RawData[Item], B6143,RawData[Quantity],C6143,RawData[Price Per Unit],D6143,RawData[Total Spent],E6143,RawData[Payment Method],F6143,RawData[Location],G6143,RawData[Transaction Date],H6143)</f>
        <v>1</v>
      </c>
      <c r="L6143"/>
    </row>
    <row r="6144" spans="1:12" x14ac:dyDescent="0.3">
      <c r="A6144" t="s">
        <v>6150</v>
      </c>
      <c r="B6144" t="s">
        <v>10008</v>
      </c>
      <c r="C6144">
        <v>2</v>
      </c>
      <c r="D6144">
        <v>0</v>
      </c>
      <c r="E6144">
        <v>4</v>
      </c>
      <c r="F6144" t="s">
        <v>10019</v>
      </c>
      <c r="G6144" t="s">
        <v>10021</v>
      </c>
      <c r="H6144" s="6">
        <v>45148</v>
      </c>
      <c r="I6144">
        <f t="shared" si="190"/>
        <v>0</v>
      </c>
      <c r="J6144" t="str">
        <f t="shared" si="191"/>
        <v>Complete</v>
      </c>
      <c r="K6144">
        <f>COUNTIFS(RawData[Item], B6144,RawData[Quantity],C6144,RawData[Price Per Unit],D6144,RawData[Total Spent],E6144,RawData[Payment Method],F6144,RawData[Location],G6144,RawData[Transaction Date],H6144)</f>
        <v>1</v>
      </c>
      <c r="L6144"/>
    </row>
    <row r="6145" spans="1:12" x14ac:dyDescent="0.3">
      <c r="A6145" t="s">
        <v>6151</v>
      </c>
      <c r="B6145" t="s">
        <v>10017</v>
      </c>
      <c r="C6145">
        <v>1</v>
      </c>
      <c r="D6145">
        <v>1.5</v>
      </c>
      <c r="E6145">
        <v>1.5</v>
      </c>
      <c r="F6145" t="s">
        <v>10020</v>
      </c>
      <c r="G6145" t="s">
        <v>10102</v>
      </c>
      <c r="H6145" s="6">
        <v>45206</v>
      </c>
      <c r="I6145">
        <f t="shared" si="190"/>
        <v>0</v>
      </c>
      <c r="J6145" t="str">
        <f t="shared" si="191"/>
        <v>Complete</v>
      </c>
      <c r="K6145">
        <f>COUNTIFS(RawData[Item], B6145,RawData[Quantity],C6145,RawData[Price Per Unit],D6145,RawData[Total Spent],E6145,RawData[Payment Method],F6145,RawData[Location],G6145,RawData[Transaction Date],H6145)</f>
        <v>1</v>
      </c>
      <c r="L6145"/>
    </row>
    <row r="6146" spans="1:12" x14ac:dyDescent="0.3">
      <c r="A6146" t="s">
        <v>6152</v>
      </c>
      <c r="B6146" t="s">
        <v>10009</v>
      </c>
      <c r="C6146">
        <v>4</v>
      </c>
      <c r="D6146" t="s">
        <v>10015</v>
      </c>
      <c r="E6146">
        <v>12</v>
      </c>
      <c r="F6146" t="s">
        <v>10069</v>
      </c>
      <c r="G6146" t="s">
        <v>10021</v>
      </c>
      <c r="H6146" s="6">
        <v>44936</v>
      </c>
      <c r="I6146">
        <f t="shared" ref="I6146:I6209" si="192">(B6146="Unknown")+(B6146="Error")+(C6146="Unknown")+(C6146="Error")+(D6146="Unknown")+(D6146="Error")+(E6146="Unknown")+(E6146="Error")+(F6146="Unknown")+(F6146="Error")+(G6146="Unknown")+(G6146="Error")+(H6146="No Date")</f>
        <v>1</v>
      </c>
      <c r="J6146" t="str">
        <f t="shared" ref="J6146:J6209" si="193">IF((H6146="No Date"),"Incomplete","Complete")</f>
        <v>Complete</v>
      </c>
      <c r="K6146">
        <f>COUNTIFS(RawData[Item], B6146,RawData[Quantity],C6146,RawData[Price Per Unit],D6146,RawData[Total Spent],E6146,RawData[Payment Method],F6146,RawData[Location],G6146,RawData[Transaction Date],H6146)</f>
        <v>1</v>
      </c>
      <c r="L6146"/>
    </row>
    <row r="6147" spans="1:12" x14ac:dyDescent="0.3">
      <c r="A6147" t="s">
        <v>6153</v>
      </c>
      <c r="B6147" t="s">
        <v>10008</v>
      </c>
      <c r="C6147">
        <v>5</v>
      </c>
      <c r="D6147">
        <v>2</v>
      </c>
      <c r="E6147">
        <v>10</v>
      </c>
      <c r="F6147" t="s">
        <v>10019</v>
      </c>
      <c r="G6147" t="s">
        <v>10102</v>
      </c>
      <c r="H6147" s="6">
        <v>45281</v>
      </c>
      <c r="I6147">
        <f t="shared" si="192"/>
        <v>0</v>
      </c>
      <c r="J6147" t="str">
        <f t="shared" si="193"/>
        <v>Complete</v>
      </c>
      <c r="K6147">
        <f>COUNTIFS(RawData[Item], B6147,RawData[Quantity],C6147,RawData[Price Per Unit],D6147,RawData[Total Spent],E6147,RawData[Payment Method],F6147,RawData[Location],G6147,RawData[Transaction Date],H6147)</f>
        <v>1</v>
      </c>
      <c r="L6147"/>
    </row>
    <row r="6148" spans="1:12" x14ac:dyDescent="0.3">
      <c r="A6148" t="s">
        <v>6154</v>
      </c>
      <c r="B6148" t="s">
        <v>10012</v>
      </c>
      <c r="C6148">
        <v>5</v>
      </c>
      <c r="D6148">
        <v>4</v>
      </c>
      <c r="E6148">
        <v>20</v>
      </c>
      <c r="F6148" t="s">
        <v>10019</v>
      </c>
      <c r="G6148" t="s">
        <v>10069</v>
      </c>
      <c r="H6148" s="6">
        <v>44955</v>
      </c>
      <c r="I6148">
        <f t="shared" si="192"/>
        <v>0</v>
      </c>
      <c r="J6148" t="str">
        <f t="shared" si="193"/>
        <v>Complete</v>
      </c>
      <c r="K6148">
        <f>COUNTIFS(RawData[Item], B6148,RawData[Quantity],C6148,RawData[Price Per Unit],D6148,RawData[Total Spent],E6148,RawData[Payment Method],F6148,RawData[Location],G6148,RawData[Transaction Date],H6148)</f>
        <v>1</v>
      </c>
      <c r="L6148"/>
    </row>
    <row r="6149" spans="1:12" x14ac:dyDescent="0.3">
      <c r="A6149" t="s">
        <v>6155</v>
      </c>
      <c r="B6149" t="s">
        <v>10012</v>
      </c>
      <c r="C6149">
        <v>4</v>
      </c>
      <c r="D6149">
        <v>4</v>
      </c>
      <c r="E6149">
        <v>16</v>
      </c>
      <c r="F6149" t="s">
        <v>10019</v>
      </c>
      <c r="G6149" t="s">
        <v>10102</v>
      </c>
      <c r="H6149" s="6">
        <v>45095</v>
      </c>
      <c r="I6149">
        <f t="shared" si="192"/>
        <v>0</v>
      </c>
      <c r="J6149" t="str">
        <f t="shared" si="193"/>
        <v>Complete</v>
      </c>
      <c r="K6149">
        <f>COUNTIFS(RawData[Item], B6149,RawData[Quantity],C6149,RawData[Price Per Unit],D6149,RawData[Total Spent],E6149,RawData[Payment Method],F6149,RawData[Location],G6149,RawData[Transaction Date],H6149)</f>
        <v>1</v>
      </c>
      <c r="L6149"/>
    </row>
    <row r="6150" spans="1:12" x14ac:dyDescent="0.3">
      <c r="A6150" t="s">
        <v>6156</v>
      </c>
      <c r="B6150" t="s">
        <v>10009</v>
      </c>
      <c r="C6150">
        <v>3</v>
      </c>
      <c r="D6150">
        <v>3</v>
      </c>
      <c r="E6150">
        <v>9</v>
      </c>
      <c r="F6150" t="s">
        <v>10020</v>
      </c>
      <c r="G6150" t="s">
        <v>10069</v>
      </c>
      <c r="H6150" s="6">
        <v>44990</v>
      </c>
      <c r="I6150">
        <f t="shared" si="192"/>
        <v>0</v>
      </c>
      <c r="J6150" t="str">
        <f t="shared" si="193"/>
        <v>Complete</v>
      </c>
      <c r="K6150">
        <f>COUNTIFS(RawData[Item], B6150,RawData[Quantity],C6150,RawData[Price Per Unit],D6150,RawData[Total Spent],E6150,RawData[Payment Method],F6150,RawData[Location],G6150,RawData[Transaction Date],H6150)</f>
        <v>1</v>
      </c>
      <c r="L6150"/>
    </row>
    <row r="6151" spans="1:12" x14ac:dyDescent="0.3">
      <c r="A6151" t="s">
        <v>6157</v>
      </c>
      <c r="B6151" t="s">
        <v>10009</v>
      </c>
      <c r="C6151">
        <v>5</v>
      </c>
      <c r="D6151">
        <v>3</v>
      </c>
      <c r="E6151">
        <v>15</v>
      </c>
      <c r="F6151" t="s">
        <v>10069</v>
      </c>
      <c r="G6151" t="s">
        <v>10069</v>
      </c>
      <c r="H6151" s="6">
        <v>45065</v>
      </c>
      <c r="I6151">
        <f t="shared" si="192"/>
        <v>0</v>
      </c>
      <c r="J6151" t="str">
        <f t="shared" si="193"/>
        <v>Complete</v>
      </c>
      <c r="K6151">
        <f>COUNTIFS(RawData[Item], B6151,RawData[Quantity],C6151,RawData[Price Per Unit],D6151,RawData[Total Spent],E6151,RawData[Payment Method],F6151,RawData[Location],G6151,RawData[Transaction Date],H6151)</f>
        <v>1</v>
      </c>
      <c r="L6151"/>
    </row>
    <row r="6152" spans="1:12" x14ac:dyDescent="0.3">
      <c r="A6152" t="s">
        <v>6158</v>
      </c>
      <c r="B6152" t="s">
        <v>10009</v>
      </c>
      <c r="C6152">
        <v>2</v>
      </c>
      <c r="D6152">
        <v>3</v>
      </c>
      <c r="E6152">
        <v>6</v>
      </c>
      <c r="F6152" t="s">
        <v>10020</v>
      </c>
      <c r="G6152" t="s">
        <v>10069</v>
      </c>
      <c r="H6152" s="6">
        <v>45026</v>
      </c>
      <c r="I6152">
        <f t="shared" si="192"/>
        <v>0</v>
      </c>
      <c r="J6152" t="str">
        <f t="shared" si="193"/>
        <v>Complete</v>
      </c>
      <c r="K6152">
        <f>COUNTIFS(RawData[Item], B6152,RawData[Quantity],C6152,RawData[Price Per Unit],D6152,RawData[Total Spent],E6152,RawData[Payment Method],F6152,RawData[Location],G6152,RawData[Transaction Date],H6152)</f>
        <v>1</v>
      </c>
      <c r="L6152"/>
    </row>
    <row r="6153" spans="1:12" x14ac:dyDescent="0.3">
      <c r="A6153" t="s">
        <v>6159</v>
      </c>
      <c r="B6153" t="s">
        <v>10016</v>
      </c>
      <c r="C6153">
        <v>4</v>
      </c>
      <c r="D6153">
        <v>3</v>
      </c>
      <c r="E6153">
        <v>12</v>
      </c>
      <c r="F6153" t="s">
        <v>10019</v>
      </c>
      <c r="G6153" t="s">
        <v>10069</v>
      </c>
      <c r="H6153" s="6">
        <v>44976</v>
      </c>
      <c r="I6153">
        <f t="shared" si="192"/>
        <v>0</v>
      </c>
      <c r="J6153" t="str">
        <f t="shared" si="193"/>
        <v>Complete</v>
      </c>
      <c r="K6153">
        <f>COUNTIFS(RawData[Item], B6153,RawData[Quantity],C6153,RawData[Price Per Unit],D6153,RawData[Total Spent],E6153,RawData[Payment Method],F6153,RawData[Location],G6153,RawData[Transaction Date],H6153)</f>
        <v>1</v>
      </c>
      <c r="L6153"/>
    </row>
    <row r="6154" spans="1:12" x14ac:dyDescent="0.3">
      <c r="A6154" t="s">
        <v>6160</v>
      </c>
      <c r="B6154" t="s">
        <v>10014</v>
      </c>
      <c r="C6154">
        <v>2</v>
      </c>
      <c r="D6154">
        <v>4</v>
      </c>
      <c r="E6154">
        <v>8</v>
      </c>
      <c r="F6154" t="s">
        <v>10018</v>
      </c>
      <c r="G6154" t="s">
        <v>10021</v>
      </c>
      <c r="H6154" s="6">
        <v>45132</v>
      </c>
      <c r="I6154">
        <f t="shared" si="192"/>
        <v>0</v>
      </c>
      <c r="J6154" t="str">
        <f t="shared" si="193"/>
        <v>Complete</v>
      </c>
      <c r="K6154">
        <f>COUNTIFS(RawData[Item], B6154,RawData[Quantity],C6154,RawData[Price Per Unit],D6154,RawData[Total Spent],E6154,RawData[Payment Method],F6154,RawData[Location],G6154,RawData[Transaction Date],H6154)</f>
        <v>1</v>
      </c>
      <c r="L6154"/>
    </row>
    <row r="6155" spans="1:12" x14ac:dyDescent="0.3">
      <c r="A6155" t="s">
        <v>6161</v>
      </c>
      <c r="B6155" t="s">
        <v>10009</v>
      </c>
      <c r="C6155">
        <v>4</v>
      </c>
      <c r="D6155">
        <v>3</v>
      </c>
      <c r="E6155">
        <v>12</v>
      </c>
      <c r="F6155" t="s">
        <v>10019</v>
      </c>
      <c r="G6155" t="s">
        <v>10069</v>
      </c>
      <c r="H6155" s="6">
        <v>45150</v>
      </c>
      <c r="I6155">
        <f t="shared" si="192"/>
        <v>0</v>
      </c>
      <c r="J6155" t="str">
        <f t="shared" si="193"/>
        <v>Complete</v>
      </c>
      <c r="K6155">
        <f>COUNTIFS(RawData[Item], B6155,RawData[Quantity],C6155,RawData[Price Per Unit],D6155,RawData[Total Spent],E6155,RawData[Payment Method],F6155,RawData[Location],G6155,RawData[Transaction Date],H6155)</f>
        <v>1</v>
      </c>
      <c r="L6155"/>
    </row>
    <row r="6156" spans="1:12" x14ac:dyDescent="0.3">
      <c r="A6156" t="s">
        <v>6162</v>
      </c>
      <c r="B6156" t="s">
        <v>10008</v>
      </c>
      <c r="C6156">
        <v>4</v>
      </c>
      <c r="D6156">
        <v>2</v>
      </c>
      <c r="E6156">
        <v>8</v>
      </c>
      <c r="F6156" t="s">
        <v>10069</v>
      </c>
      <c r="G6156" t="s">
        <v>10021</v>
      </c>
      <c r="H6156" s="6">
        <v>45280</v>
      </c>
      <c r="I6156">
        <f t="shared" si="192"/>
        <v>0</v>
      </c>
      <c r="J6156" t="str">
        <f t="shared" si="193"/>
        <v>Complete</v>
      </c>
      <c r="K6156">
        <f>COUNTIFS(RawData[Item], B6156,RawData[Quantity],C6156,RawData[Price Per Unit],D6156,RawData[Total Spent],E6156,RawData[Payment Method],F6156,RawData[Location],G6156,RawData[Transaction Date],H6156)</f>
        <v>1</v>
      </c>
      <c r="L6156"/>
    </row>
    <row r="6157" spans="1:12" x14ac:dyDescent="0.3">
      <c r="A6157" t="s">
        <v>6163</v>
      </c>
      <c r="B6157" t="s">
        <v>10011</v>
      </c>
      <c r="C6157">
        <v>2</v>
      </c>
      <c r="D6157">
        <v>5</v>
      </c>
      <c r="E6157">
        <v>10</v>
      </c>
      <c r="F6157" t="s">
        <v>10020</v>
      </c>
      <c r="G6157" t="s">
        <v>10069</v>
      </c>
      <c r="H6157" s="6">
        <v>45002</v>
      </c>
      <c r="I6157">
        <f t="shared" si="192"/>
        <v>0</v>
      </c>
      <c r="J6157" t="str">
        <f t="shared" si="193"/>
        <v>Complete</v>
      </c>
      <c r="K6157">
        <f>COUNTIFS(RawData[Item], B6157,RawData[Quantity],C6157,RawData[Price Per Unit],D6157,RawData[Total Spent],E6157,RawData[Payment Method],F6157,RawData[Location],G6157,RawData[Transaction Date],H6157)</f>
        <v>1</v>
      </c>
      <c r="L6157"/>
    </row>
    <row r="6158" spans="1:12" x14ac:dyDescent="0.3">
      <c r="A6158" t="s">
        <v>6164</v>
      </c>
      <c r="B6158" t="s">
        <v>10016</v>
      </c>
      <c r="C6158">
        <v>1</v>
      </c>
      <c r="D6158">
        <v>3</v>
      </c>
      <c r="E6158">
        <v>3</v>
      </c>
      <c r="F6158" t="s">
        <v>10103</v>
      </c>
      <c r="G6158" t="s">
        <v>10102</v>
      </c>
      <c r="H6158" s="6">
        <v>44969</v>
      </c>
      <c r="I6158">
        <f t="shared" si="192"/>
        <v>1</v>
      </c>
      <c r="J6158" t="str">
        <f t="shared" si="193"/>
        <v>Complete</v>
      </c>
      <c r="K6158">
        <f>COUNTIFS(RawData[Item], B6158,RawData[Quantity],C6158,RawData[Price Per Unit],D6158,RawData[Total Spent],E6158,RawData[Payment Method],F6158,RawData[Location],G6158,RawData[Transaction Date],H6158)</f>
        <v>1</v>
      </c>
      <c r="L6158"/>
    </row>
    <row r="6159" spans="1:12" x14ac:dyDescent="0.3">
      <c r="A6159" t="s">
        <v>6165</v>
      </c>
      <c r="B6159" t="s">
        <v>10011</v>
      </c>
      <c r="C6159">
        <v>3</v>
      </c>
      <c r="D6159">
        <v>5</v>
      </c>
      <c r="E6159">
        <v>15</v>
      </c>
      <c r="F6159" t="s">
        <v>10018</v>
      </c>
      <c r="G6159" t="s">
        <v>10104</v>
      </c>
      <c r="H6159" s="6">
        <v>45273</v>
      </c>
      <c r="I6159">
        <f t="shared" si="192"/>
        <v>1</v>
      </c>
      <c r="J6159" t="str">
        <f t="shared" si="193"/>
        <v>Complete</v>
      </c>
      <c r="K6159">
        <f>COUNTIFS(RawData[Item], B6159,RawData[Quantity],C6159,RawData[Price Per Unit],D6159,RawData[Total Spent],E6159,RawData[Payment Method],F6159,RawData[Location],G6159,RawData[Transaction Date],H6159)</f>
        <v>1</v>
      </c>
      <c r="L6159"/>
    </row>
    <row r="6160" spans="1:12" x14ac:dyDescent="0.3">
      <c r="A6160" t="s">
        <v>6166</v>
      </c>
      <c r="B6160" t="s">
        <v>10016</v>
      </c>
      <c r="C6160">
        <v>4</v>
      </c>
      <c r="D6160">
        <v>3</v>
      </c>
      <c r="E6160">
        <v>12</v>
      </c>
      <c r="F6160" t="s">
        <v>10018</v>
      </c>
      <c r="G6160" t="s">
        <v>10069</v>
      </c>
      <c r="H6160" s="6">
        <v>45205</v>
      </c>
      <c r="I6160">
        <f t="shared" si="192"/>
        <v>0</v>
      </c>
      <c r="J6160" t="str">
        <f t="shared" si="193"/>
        <v>Complete</v>
      </c>
      <c r="K6160">
        <f>COUNTIFS(RawData[Item], B6160,RawData[Quantity],C6160,RawData[Price Per Unit],D6160,RawData[Total Spent],E6160,RawData[Payment Method],F6160,RawData[Location],G6160,RawData[Transaction Date],H6160)</f>
        <v>1</v>
      </c>
      <c r="L6160"/>
    </row>
    <row r="6161" spans="1:12" x14ac:dyDescent="0.3">
      <c r="A6161" t="s">
        <v>6167</v>
      </c>
      <c r="B6161" t="s">
        <v>10014</v>
      </c>
      <c r="C6161">
        <v>1</v>
      </c>
      <c r="D6161">
        <v>4</v>
      </c>
      <c r="E6161">
        <v>4</v>
      </c>
      <c r="F6161" t="s">
        <v>10018</v>
      </c>
      <c r="G6161" t="s">
        <v>10021</v>
      </c>
      <c r="H6161" s="6">
        <v>45277</v>
      </c>
      <c r="I6161">
        <f t="shared" si="192"/>
        <v>0</v>
      </c>
      <c r="J6161" t="str">
        <f t="shared" si="193"/>
        <v>Complete</v>
      </c>
      <c r="K6161">
        <f>COUNTIFS(RawData[Item], B6161,RawData[Quantity],C6161,RawData[Price Per Unit],D6161,RawData[Total Spent],E6161,RawData[Payment Method],F6161,RawData[Location],G6161,RawData[Transaction Date],H6161)</f>
        <v>1</v>
      </c>
      <c r="L6161"/>
    </row>
    <row r="6162" spans="1:12" x14ac:dyDescent="0.3">
      <c r="A6162" t="s">
        <v>6168</v>
      </c>
      <c r="B6162" t="s">
        <v>10010</v>
      </c>
      <c r="C6162">
        <v>1</v>
      </c>
      <c r="D6162">
        <v>1</v>
      </c>
      <c r="E6162">
        <v>1</v>
      </c>
      <c r="F6162" t="s">
        <v>10020</v>
      </c>
      <c r="G6162" t="s">
        <v>10021</v>
      </c>
      <c r="H6162" s="6">
        <v>45000</v>
      </c>
      <c r="I6162">
        <f t="shared" si="192"/>
        <v>0</v>
      </c>
      <c r="J6162" t="str">
        <f t="shared" si="193"/>
        <v>Complete</v>
      </c>
      <c r="K6162">
        <f>COUNTIFS(RawData[Item], B6162,RawData[Quantity],C6162,RawData[Price Per Unit],D6162,RawData[Total Spent],E6162,RawData[Payment Method],F6162,RawData[Location],G6162,RawData[Transaction Date],H6162)</f>
        <v>1</v>
      </c>
      <c r="L6162"/>
    </row>
    <row r="6163" spans="1:12" x14ac:dyDescent="0.3">
      <c r="A6163" t="s">
        <v>6169</v>
      </c>
      <c r="B6163" t="s">
        <v>10009</v>
      </c>
      <c r="C6163">
        <v>1</v>
      </c>
      <c r="D6163">
        <v>3</v>
      </c>
      <c r="E6163">
        <v>3</v>
      </c>
      <c r="F6163" t="s">
        <v>10019</v>
      </c>
      <c r="G6163" t="s">
        <v>10021</v>
      </c>
      <c r="H6163" s="6">
        <v>45190</v>
      </c>
      <c r="I6163">
        <f t="shared" si="192"/>
        <v>0</v>
      </c>
      <c r="J6163" t="str">
        <f t="shared" si="193"/>
        <v>Complete</v>
      </c>
      <c r="K6163">
        <f>COUNTIFS(RawData[Item], B6163,RawData[Quantity],C6163,RawData[Price Per Unit],D6163,RawData[Total Spent],E6163,RawData[Payment Method],F6163,RawData[Location],G6163,RawData[Transaction Date],H6163)</f>
        <v>1</v>
      </c>
      <c r="L6163"/>
    </row>
    <row r="6164" spans="1:12" x14ac:dyDescent="0.3">
      <c r="A6164" t="s">
        <v>6170</v>
      </c>
      <c r="B6164" t="s">
        <v>10010</v>
      </c>
      <c r="C6164">
        <v>4</v>
      </c>
      <c r="D6164">
        <v>1</v>
      </c>
      <c r="E6164">
        <v>4</v>
      </c>
      <c r="F6164" t="s">
        <v>10069</v>
      </c>
      <c r="G6164" t="s">
        <v>10021</v>
      </c>
      <c r="H6164" s="6">
        <v>45203</v>
      </c>
      <c r="I6164">
        <f t="shared" si="192"/>
        <v>0</v>
      </c>
      <c r="J6164" t="str">
        <f t="shared" si="193"/>
        <v>Complete</v>
      </c>
      <c r="K6164">
        <f>COUNTIFS(RawData[Item], B6164,RawData[Quantity],C6164,RawData[Price Per Unit],D6164,RawData[Total Spent],E6164,RawData[Payment Method],F6164,RawData[Location],G6164,RawData[Transaction Date],H6164)</f>
        <v>1</v>
      </c>
      <c r="L6164"/>
    </row>
    <row r="6165" spans="1:12" x14ac:dyDescent="0.3">
      <c r="A6165" t="s">
        <v>6171</v>
      </c>
      <c r="B6165" t="s">
        <v>10010</v>
      </c>
      <c r="C6165">
        <v>1</v>
      </c>
      <c r="D6165">
        <v>1</v>
      </c>
      <c r="E6165">
        <v>1</v>
      </c>
      <c r="F6165" t="s">
        <v>10020</v>
      </c>
      <c r="G6165" t="s">
        <v>10069</v>
      </c>
      <c r="H6165" s="6">
        <v>45113</v>
      </c>
      <c r="I6165">
        <f t="shared" si="192"/>
        <v>0</v>
      </c>
      <c r="J6165" t="str">
        <f t="shared" si="193"/>
        <v>Complete</v>
      </c>
      <c r="K6165">
        <f>COUNTIFS(RawData[Item], B6165,RawData[Quantity],C6165,RawData[Price Per Unit],D6165,RawData[Total Spent],E6165,RawData[Payment Method],F6165,RawData[Location],G6165,RawData[Transaction Date],H6165)</f>
        <v>1</v>
      </c>
      <c r="L6165"/>
    </row>
    <row r="6166" spans="1:12" x14ac:dyDescent="0.3">
      <c r="A6166" t="s">
        <v>6172</v>
      </c>
      <c r="B6166" t="s">
        <v>10011</v>
      </c>
      <c r="C6166">
        <v>2</v>
      </c>
      <c r="D6166">
        <v>5</v>
      </c>
      <c r="E6166">
        <v>10</v>
      </c>
      <c r="F6166" t="s">
        <v>10019</v>
      </c>
      <c r="G6166" t="s">
        <v>10021</v>
      </c>
      <c r="H6166" s="6">
        <v>45286</v>
      </c>
      <c r="I6166">
        <f t="shared" si="192"/>
        <v>0</v>
      </c>
      <c r="J6166" t="str">
        <f t="shared" si="193"/>
        <v>Complete</v>
      </c>
      <c r="K6166">
        <f>COUNTIFS(RawData[Item], B6166,RawData[Quantity],C6166,RawData[Price Per Unit],D6166,RawData[Total Spent],E6166,RawData[Payment Method],F6166,RawData[Location],G6166,RawData[Transaction Date],H6166)</f>
        <v>1</v>
      </c>
      <c r="L6166"/>
    </row>
    <row r="6167" spans="1:12" x14ac:dyDescent="0.3">
      <c r="A6167" t="s">
        <v>6173</v>
      </c>
      <c r="B6167" t="s">
        <v>10014</v>
      </c>
      <c r="C6167">
        <v>2</v>
      </c>
      <c r="D6167">
        <v>4</v>
      </c>
      <c r="E6167">
        <v>8</v>
      </c>
      <c r="F6167" t="s">
        <v>10018</v>
      </c>
      <c r="G6167" t="s">
        <v>10069</v>
      </c>
      <c r="H6167" s="6">
        <v>45117</v>
      </c>
      <c r="I6167">
        <f t="shared" si="192"/>
        <v>0</v>
      </c>
      <c r="J6167" t="str">
        <f t="shared" si="193"/>
        <v>Complete</v>
      </c>
      <c r="K6167">
        <f>COUNTIFS(RawData[Item], B6167,RawData[Quantity],C6167,RawData[Price Per Unit],D6167,RawData[Total Spent],E6167,RawData[Payment Method],F6167,RawData[Location],G6167,RawData[Transaction Date],H6167)</f>
        <v>1</v>
      </c>
      <c r="L6167"/>
    </row>
    <row r="6168" spans="1:12" x14ac:dyDescent="0.3">
      <c r="A6168" t="s">
        <v>6174</v>
      </c>
      <c r="B6168" t="s">
        <v>10013</v>
      </c>
      <c r="C6168">
        <v>2</v>
      </c>
      <c r="D6168">
        <v>3</v>
      </c>
      <c r="E6168">
        <v>6</v>
      </c>
      <c r="F6168" t="s">
        <v>10020</v>
      </c>
      <c r="G6168" t="s">
        <v>10021</v>
      </c>
      <c r="H6168" s="6">
        <v>45091</v>
      </c>
      <c r="I6168">
        <f t="shared" si="192"/>
        <v>1</v>
      </c>
      <c r="J6168" t="str">
        <f t="shared" si="193"/>
        <v>Complete</v>
      </c>
      <c r="K6168">
        <f>COUNTIFS(RawData[Item], B6168,RawData[Quantity],C6168,RawData[Price Per Unit],D6168,RawData[Total Spent],E6168,RawData[Payment Method],F6168,RawData[Location],G6168,RawData[Transaction Date],H6168)</f>
        <v>1</v>
      </c>
      <c r="L6168"/>
    </row>
    <row r="6169" spans="1:12" x14ac:dyDescent="0.3">
      <c r="A6169" t="s">
        <v>6175</v>
      </c>
      <c r="B6169" t="s">
        <v>10009</v>
      </c>
      <c r="C6169">
        <v>2</v>
      </c>
      <c r="D6169">
        <v>3</v>
      </c>
      <c r="E6169">
        <v>6</v>
      </c>
      <c r="F6169" t="s">
        <v>10019</v>
      </c>
      <c r="G6169" t="s">
        <v>10021</v>
      </c>
      <c r="H6169" s="6">
        <v>45186</v>
      </c>
      <c r="I6169">
        <f t="shared" si="192"/>
        <v>0</v>
      </c>
      <c r="J6169" t="str">
        <f t="shared" si="193"/>
        <v>Complete</v>
      </c>
      <c r="K6169">
        <f>COUNTIFS(RawData[Item], B6169,RawData[Quantity],C6169,RawData[Price Per Unit],D6169,RawData[Total Spent],E6169,RawData[Payment Method],F6169,RawData[Location],G6169,RawData[Transaction Date],H6169)</f>
        <v>2</v>
      </c>
      <c r="L6169"/>
    </row>
    <row r="6170" spans="1:12" x14ac:dyDescent="0.3">
      <c r="A6170" t="s">
        <v>6176</v>
      </c>
      <c r="B6170" t="s">
        <v>10014</v>
      </c>
      <c r="C6170">
        <v>2</v>
      </c>
      <c r="D6170">
        <v>4</v>
      </c>
      <c r="E6170">
        <v>8</v>
      </c>
      <c r="F6170" t="s">
        <v>10020</v>
      </c>
      <c r="G6170" t="s">
        <v>10069</v>
      </c>
      <c r="H6170" s="6">
        <v>44990</v>
      </c>
      <c r="I6170">
        <f t="shared" si="192"/>
        <v>0</v>
      </c>
      <c r="J6170" t="str">
        <f t="shared" si="193"/>
        <v>Complete</v>
      </c>
      <c r="K6170">
        <f>COUNTIFS(RawData[Item], B6170,RawData[Quantity],C6170,RawData[Price Per Unit],D6170,RawData[Total Spent],E6170,RawData[Payment Method],F6170,RawData[Location],G6170,RawData[Transaction Date],H6170)</f>
        <v>1</v>
      </c>
      <c r="L6170"/>
    </row>
    <row r="6171" spans="1:12" x14ac:dyDescent="0.3">
      <c r="A6171" t="s">
        <v>6177</v>
      </c>
      <c r="B6171" t="s">
        <v>10009</v>
      </c>
      <c r="C6171">
        <v>4</v>
      </c>
      <c r="D6171">
        <v>3</v>
      </c>
      <c r="E6171">
        <v>12</v>
      </c>
      <c r="F6171" t="s">
        <v>10019</v>
      </c>
      <c r="G6171" t="s">
        <v>10069</v>
      </c>
      <c r="H6171" s="6">
        <v>45075</v>
      </c>
      <c r="I6171">
        <f t="shared" si="192"/>
        <v>0</v>
      </c>
      <c r="J6171" t="str">
        <f t="shared" si="193"/>
        <v>Complete</v>
      </c>
      <c r="K6171">
        <f>COUNTIFS(RawData[Item], B6171,RawData[Quantity],C6171,RawData[Price Per Unit],D6171,RawData[Total Spent],E6171,RawData[Payment Method],F6171,RawData[Location],G6171,RawData[Transaction Date],H6171)</f>
        <v>1</v>
      </c>
      <c r="L6171"/>
    </row>
    <row r="6172" spans="1:12" x14ac:dyDescent="0.3">
      <c r="A6172" t="s">
        <v>6178</v>
      </c>
      <c r="B6172" t="s">
        <v>10016</v>
      </c>
      <c r="C6172">
        <v>2</v>
      </c>
      <c r="D6172">
        <v>3</v>
      </c>
      <c r="E6172">
        <v>6</v>
      </c>
      <c r="F6172" t="s">
        <v>10020</v>
      </c>
      <c r="G6172" t="s">
        <v>10102</v>
      </c>
      <c r="H6172" s="6">
        <v>44957</v>
      </c>
      <c r="I6172">
        <f t="shared" si="192"/>
        <v>0</v>
      </c>
      <c r="J6172" t="str">
        <f t="shared" si="193"/>
        <v>Complete</v>
      </c>
      <c r="K6172">
        <f>COUNTIFS(RawData[Item], B6172,RawData[Quantity],C6172,RawData[Price Per Unit],D6172,RawData[Total Spent],E6172,RawData[Payment Method],F6172,RawData[Location],G6172,RawData[Transaction Date],H6172)</f>
        <v>1</v>
      </c>
      <c r="L6172"/>
    </row>
    <row r="6173" spans="1:12" x14ac:dyDescent="0.3">
      <c r="A6173" t="s">
        <v>6179</v>
      </c>
      <c r="B6173" t="s">
        <v>10013</v>
      </c>
      <c r="C6173">
        <v>1</v>
      </c>
      <c r="D6173">
        <v>4</v>
      </c>
      <c r="E6173" t="s">
        <v>10015</v>
      </c>
      <c r="F6173" t="s">
        <v>10018</v>
      </c>
      <c r="G6173" t="s">
        <v>10021</v>
      </c>
      <c r="H6173" s="6">
        <v>45206</v>
      </c>
      <c r="I6173">
        <f t="shared" si="192"/>
        <v>2</v>
      </c>
      <c r="J6173" t="str">
        <f t="shared" si="193"/>
        <v>Complete</v>
      </c>
      <c r="K6173">
        <f>COUNTIFS(RawData[Item], B6173,RawData[Quantity],C6173,RawData[Price Per Unit],D6173,RawData[Total Spent],E6173,RawData[Payment Method],F6173,RawData[Location],G6173,RawData[Transaction Date],H6173)</f>
        <v>1</v>
      </c>
      <c r="L6173"/>
    </row>
    <row r="6174" spans="1:12" x14ac:dyDescent="0.3">
      <c r="A6174" t="s">
        <v>6180</v>
      </c>
      <c r="B6174" t="s">
        <v>10010</v>
      </c>
      <c r="C6174">
        <v>4</v>
      </c>
      <c r="D6174">
        <v>1</v>
      </c>
      <c r="E6174">
        <v>4</v>
      </c>
      <c r="F6174" t="s">
        <v>10018</v>
      </c>
      <c r="G6174" t="s">
        <v>10102</v>
      </c>
      <c r="H6174" s="6">
        <v>45267</v>
      </c>
      <c r="I6174">
        <f t="shared" si="192"/>
        <v>0</v>
      </c>
      <c r="J6174" t="str">
        <f t="shared" si="193"/>
        <v>Complete</v>
      </c>
      <c r="K6174">
        <f>COUNTIFS(RawData[Item], B6174,RawData[Quantity],C6174,RawData[Price Per Unit],D6174,RawData[Total Spent],E6174,RawData[Payment Method],F6174,RawData[Location],G6174,RawData[Transaction Date],H6174)</f>
        <v>1</v>
      </c>
      <c r="L6174"/>
    </row>
    <row r="6175" spans="1:12" x14ac:dyDescent="0.3">
      <c r="A6175" t="s">
        <v>6181</v>
      </c>
      <c r="B6175" t="s">
        <v>10008</v>
      </c>
      <c r="C6175">
        <v>1</v>
      </c>
      <c r="D6175">
        <v>2</v>
      </c>
      <c r="E6175">
        <v>2</v>
      </c>
      <c r="F6175" t="s">
        <v>10069</v>
      </c>
      <c r="G6175" t="s">
        <v>10069</v>
      </c>
      <c r="H6175" s="6">
        <v>44997</v>
      </c>
      <c r="I6175">
        <f t="shared" si="192"/>
        <v>0</v>
      </c>
      <c r="J6175" t="str">
        <f t="shared" si="193"/>
        <v>Complete</v>
      </c>
      <c r="K6175">
        <f>COUNTIFS(RawData[Item], B6175,RawData[Quantity],C6175,RawData[Price Per Unit],D6175,RawData[Total Spent],E6175,RawData[Payment Method],F6175,RawData[Location],G6175,RawData[Transaction Date],H6175)</f>
        <v>1</v>
      </c>
      <c r="L6175"/>
    </row>
    <row r="6176" spans="1:12" x14ac:dyDescent="0.3">
      <c r="A6176" t="s">
        <v>6182</v>
      </c>
      <c r="B6176" t="s">
        <v>10011</v>
      </c>
      <c r="C6176">
        <v>1</v>
      </c>
      <c r="D6176">
        <v>5</v>
      </c>
      <c r="E6176" t="s">
        <v>10015</v>
      </c>
      <c r="F6176" t="s">
        <v>10020</v>
      </c>
      <c r="G6176" t="s">
        <v>10069</v>
      </c>
      <c r="H6176" s="6">
        <v>45023</v>
      </c>
      <c r="I6176">
        <f t="shared" si="192"/>
        <v>1</v>
      </c>
      <c r="J6176" t="str">
        <f t="shared" si="193"/>
        <v>Complete</v>
      </c>
      <c r="K6176">
        <f>COUNTIFS(RawData[Item], B6176,RawData[Quantity],C6176,RawData[Price Per Unit],D6176,RawData[Total Spent],E6176,RawData[Payment Method],F6176,RawData[Location],G6176,RawData[Transaction Date],H6176)</f>
        <v>1</v>
      </c>
      <c r="L6176"/>
    </row>
    <row r="6177" spans="1:12" x14ac:dyDescent="0.3">
      <c r="A6177" t="s">
        <v>6183</v>
      </c>
      <c r="B6177" t="s">
        <v>10009</v>
      </c>
      <c r="C6177">
        <v>4</v>
      </c>
      <c r="D6177">
        <v>3</v>
      </c>
      <c r="E6177">
        <v>12</v>
      </c>
      <c r="F6177" t="s">
        <v>10020</v>
      </c>
      <c r="G6177" t="s">
        <v>10069</v>
      </c>
      <c r="H6177" s="6">
        <v>45165</v>
      </c>
      <c r="I6177">
        <f t="shared" si="192"/>
        <v>0</v>
      </c>
      <c r="J6177" t="str">
        <f t="shared" si="193"/>
        <v>Complete</v>
      </c>
      <c r="K6177">
        <f>COUNTIFS(RawData[Item], B6177,RawData[Quantity],C6177,RawData[Price Per Unit],D6177,RawData[Total Spent],E6177,RawData[Payment Method],F6177,RawData[Location],G6177,RawData[Transaction Date],H6177)</f>
        <v>1</v>
      </c>
      <c r="L6177"/>
    </row>
    <row r="6178" spans="1:12" x14ac:dyDescent="0.3">
      <c r="A6178" t="s">
        <v>6184</v>
      </c>
      <c r="B6178" t="s">
        <v>10013</v>
      </c>
      <c r="C6178">
        <v>3</v>
      </c>
      <c r="D6178">
        <v>1</v>
      </c>
      <c r="E6178">
        <v>3</v>
      </c>
      <c r="F6178" t="s">
        <v>10019</v>
      </c>
      <c r="G6178" t="s">
        <v>10069</v>
      </c>
      <c r="H6178" s="6">
        <v>45114</v>
      </c>
      <c r="I6178">
        <f t="shared" si="192"/>
        <v>1</v>
      </c>
      <c r="J6178" t="str">
        <f t="shared" si="193"/>
        <v>Complete</v>
      </c>
      <c r="K6178">
        <f>COUNTIFS(RawData[Item], B6178,RawData[Quantity],C6178,RawData[Price Per Unit],D6178,RawData[Total Spent],E6178,RawData[Payment Method],F6178,RawData[Location],G6178,RawData[Transaction Date],H6178)</f>
        <v>1</v>
      </c>
      <c r="L6178"/>
    </row>
    <row r="6179" spans="1:12" x14ac:dyDescent="0.3">
      <c r="A6179" t="s">
        <v>6185</v>
      </c>
      <c r="B6179" t="s">
        <v>10013</v>
      </c>
      <c r="C6179">
        <v>4</v>
      </c>
      <c r="D6179" t="s">
        <v>10015</v>
      </c>
      <c r="E6179">
        <v>16</v>
      </c>
      <c r="F6179" t="s">
        <v>10103</v>
      </c>
      <c r="G6179" t="s">
        <v>10021</v>
      </c>
      <c r="H6179" s="6">
        <v>45076</v>
      </c>
      <c r="I6179">
        <f t="shared" si="192"/>
        <v>3</v>
      </c>
      <c r="J6179" t="str">
        <f t="shared" si="193"/>
        <v>Complete</v>
      </c>
      <c r="K6179">
        <f>COUNTIFS(RawData[Item], B6179,RawData[Quantity],C6179,RawData[Price Per Unit],D6179,RawData[Total Spent],E6179,RawData[Payment Method],F6179,RawData[Location],G6179,RawData[Transaction Date],H6179)</f>
        <v>1</v>
      </c>
      <c r="L6179"/>
    </row>
    <row r="6180" spans="1:12" x14ac:dyDescent="0.3">
      <c r="A6180" t="s">
        <v>6186</v>
      </c>
      <c r="B6180" t="s">
        <v>10014</v>
      </c>
      <c r="C6180">
        <v>5</v>
      </c>
      <c r="D6180" t="s">
        <v>10013</v>
      </c>
      <c r="E6180">
        <v>20</v>
      </c>
      <c r="F6180" t="s">
        <v>10069</v>
      </c>
      <c r="G6180" t="s">
        <v>10021</v>
      </c>
      <c r="H6180" s="6">
        <v>45001</v>
      </c>
      <c r="I6180">
        <f t="shared" si="192"/>
        <v>1</v>
      </c>
      <c r="J6180" t="str">
        <f t="shared" si="193"/>
        <v>Complete</v>
      </c>
      <c r="K6180">
        <f>COUNTIFS(RawData[Item], B6180,RawData[Quantity],C6180,RawData[Price Per Unit],D6180,RawData[Total Spent],E6180,RawData[Payment Method],F6180,RawData[Location],G6180,RawData[Transaction Date],H6180)</f>
        <v>1</v>
      </c>
      <c r="L6180"/>
    </row>
    <row r="6181" spans="1:12" x14ac:dyDescent="0.3">
      <c r="A6181" t="s">
        <v>6187</v>
      </c>
      <c r="B6181" t="s">
        <v>10009</v>
      </c>
      <c r="C6181">
        <v>4</v>
      </c>
      <c r="D6181">
        <v>3</v>
      </c>
      <c r="E6181">
        <v>12</v>
      </c>
      <c r="F6181" t="s">
        <v>10020</v>
      </c>
      <c r="G6181" t="s">
        <v>10104</v>
      </c>
      <c r="H6181" s="6">
        <v>45248</v>
      </c>
      <c r="I6181">
        <f t="shared" si="192"/>
        <v>1</v>
      </c>
      <c r="J6181" t="str">
        <f t="shared" si="193"/>
        <v>Complete</v>
      </c>
      <c r="K6181">
        <f>COUNTIFS(RawData[Item], B6181,RawData[Quantity],C6181,RawData[Price Per Unit],D6181,RawData[Total Spent],E6181,RawData[Payment Method],F6181,RawData[Location],G6181,RawData[Transaction Date],H6181)</f>
        <v>1</v>
      </c>
      <c r="L6181"/>
    </row>
    <row r="6182" spans="1:12" x14ac:dyDescent="0.3">
      <c r="A6182" t="s">
        <v>6188</v>
      </c>
      <c r="B6182" t="s">
        <v>10008</v>
      </c>
      <c r="C6182">
        <v>2</v>
      </c>
      <c r="D6182">
        <v>2</v>
      </c>
      <c r="E6182">
        <v>4</v>
      </c>
      <c r="F6182" t="s">
        <v>10069</v>
      </c>
      <c r="G6182" t="s">
        <v>10103</v>
      </c>
      <c r="H6182" s="6">
        <v>45240</v>
      </c>
      <c r="I6182">
        <f t="shared" si="192"/>
        <v>1</v>
      </c>
      <c r="J6182" t="str">
        <f t="shared" si="193"/>
        <v>Complete</v>
      </c>
      <c r="K6182">
        <f>COUNTIFS(RawData[Item], B6182,RawData[Quantity],C6182,RawData[Price Per Unit],D6182,RawData[Total Spent],E6182,RawData[Payment Method],F6182,RawData[Location],G6182,RawData[Transaction Date],H6182)</f>
        <v>1</v>
      </c>
      <c r="L6182"/>
    </row>
    <row r="6183" spans="1:12" x14ac:dyDescent="0.3">
      <c r="A6183" t="s">
        <v>6189</v>
      </c>
      <c r="B6183" t="s">
        <v>10010</v>
      </c>
      <c r="C6183">
        <v>2</v>
      </c>
      <c r="D6183">
        <v>1</v>
      </c>
      <c r="E6183">
        <v>2</v>
      </c>
      <c r="F6183" t="s">
        <v>10069</v>
      </c>
      <c r="G6183" t="s">
        <v>10102</v>
      </c>
      <c r="H6183" s="6">
        <v>45229</v>
      </c>
      <c r="I6183">
        <f t="shared" si="192"/>
        <v>0</v>
      </c>
      <c r="J6183" t="str">
        <f t="shared" si="193"/>
        <v>Complete</v>
      </c>
      <c r="K6183">
        <f>COUNTIFS(RawData[Item], B6183,RawData[Quantity],C6183,RawData[Price Per Unit],D6183,RawData[Total Spent],E6183,RawData[Payment Method],F6183,RawData[Location],G6183,RawData[Transaction Date],H6183)</f>
        <v>1</v>
      </c>
      <c r="L6183"/>
    </row>
    <row r="6184" spans="1:12" x14ac:dyDescent="0.3">
      <c r="A6184" t="s">
        <v>6190</v>
      </c>
      <c r="B6184" t="s">
        <v>10008</v>
      </c>
      <c r="C6184">
        <v>1</v>
      </c>
      <c r="D6184">
        <v>2</v>
      </c>
      <c r="E6184">
        <v>2</v>
      </c>
      <c r="F6184" t="s">
        <v>10020</v>
      </c>
      <c r="G6184" t="s">
        <v>10021</v>
      </c>
      <c r="H6184" s="6">
        <v>45232</v>
      </c>
      <c r="I6184">
        <f t="shared" si="192"/>
        <v>0</v>
      </c>
      <c r="J6184" t="str">
        <f t="shared" si="193"/>
        <v>Complete</v>
      </c>
      <c r="K6184">
        <f>COUNTIFS(RawData[Item], B6184,RawData[Quantity],C6184,RawData[Price Per Unit],D6184,RawData[Total Spent],E6184,RawData[Payment Method],F6184,RawData[Location],G6184,RawData[Transaction Date],H6184)</f>
        <v>1</v>
      </c>
      <c r="L6184"/>
    </row>
    <row r="6185" spans="1:12" x14ac:dyDescent="0.3">
      <c r="A6185" t="s">
        <v>6191</v>
      </c>
      <c r="B6185" t="s">
        <v>10017</v>
      </c>
      <c r="C6185">
        <v>1</v>
      </c>
      <c r="D6185">
        <v>1.5</v>
      </c>
      <c r="E6185">
        <v>1.5</v>
      </c>
      <c r="F6185" t="s">
        <v>10069</v>
      </c>
      <c r="G6185" t="s">
        <v>10021</v>
      </c>
      <c r="H6185" s="6">
        <v>45187</v>
      </c>
      <c r="I6185">
        <f t="shared" si="192"/>
        <v>0</v>
      </c>
      <c r="J6185" t="str">
        <f t="shared" si="193"/>
        <v>Complete</v>
      </c>
      <c r="K6185">
        <f>COUNTIFS(RawData[Item], B6185,RawData[Quantity],C6185,RawData[Price Per Unit],D6185,RawData[Total Spent],E6185,RawData[Payment Method],F6185,RawData[Location],G6185,RawData[Transaction Date],H6185)</f>
        <v>1</v>
      </c>
      <c r="L6185"/>
    </row>
    <row r="6186" spans="1:12" x14ac:dyDescent="0.3">
      <c r="A6186" t="s">
        <v>6192</v>
      </c>
      <c r="B6186" t="s">
        <v>10010</v>
      </c>
      <c r="C6186">
        <v>4</v>
      </c>
      <c r="D6186">
        <v>1</v>
      </c>
      <c r="E6186">
        <v>4</v>
      </c>
      <c r="F6186" t="s">
        <v>10020</v>
      </c>
      <c r="G6186" t="s">
        <v>10021</v>
      </c>
      <c r="H6186" s="6">
        <v>45009</v>
      </c>
      <c r="I6186">
        <f t="shared" si="192"/>
        <v>0</v>
      </c>
      <c r="J6186" t="str">
        <f t="shared" si="193"/>
        <v>Complete</v>
      </c>
      <c r="K6186">
        <f>COUNTIFS(RawData[Item], B6186,RawData[Quantity],C6186,RawData[Price Per Unit],D6186,RawData[Total Spent],E6186,RawData[Payment Method],F6186,RawData[Location],G6186,RawData[Transaction Date],H6186)</f>
        <v>1</v>
      </c>
      <c r="L6186"/>
    </row>
    <row r="6187" spans="1:12" x14ac:dyDescent="0.3">
      <c r="A6187" t="s">
        <v>6193</v>
      </c>
      <c r="B6187" t="s">
        <v>10017</v>
      </c>
      <c r="C6187">
        <v>2</v>
      </c>
      <c r="D6187">
        <v>1.5</v>
      </c>
      <c r="E6187">
        <v>3</v>
      </c>
      <c r="F6187" t="s">
        <v>10019</v>
      </c>
      <c r="G6187" t="s">
        <v>10069</v>
      </c>
      <c r="H6187" s="6">
        <v>45025</v>
      </c>
      <c r="I6187">
        <f t="shared" si="192"/>
        <v>0</v>
      </c>
      <c r="J6187" t="str">
        <f t="shared" si="193"/>
        <v>Complete</v>
      </c>
      <c r="K6187">
        <f>COUNTIFS(RawData[Item], B6187,RawData[Quantity],C6187,RawData[Price Per Unit],D6187,RawData[Total Spent],E6187,RawData[Payment Method],F6187,RawData[Location],G6187,RawData[Transaction Date],H6187)</f>
        <v>1</v>
      </c>
      <c r="L6187"/>
    </row>
    <row r="6188" spans="1:12" x14ac:dyDescent="0.3">
      <c r="A6188" t="s">
        <v>6194</v>
      </c>
      <c r="B6188" t="s">
        <v>10011</v>
      </c>
      <c r="C6188">
        <v>4</v>
      </c>
      <c r="D6188">
        <v>5</v>
      </c>
      <c r="E6188">
        <v>20</v>
      </c>
      <c r="F6188" t="s">
        <v>10020</v>
      </c>
      <c r="G6188" t="s">
        <v>10069</v>
      </c>
      <c r="H6188" s="6">
        <v>44934</v>
      </c>
      <c r="I6188">
        <f t="shared" si="192"/>
        <v>0</v>
      </c>
      <c r="J6188" t="str">
        <f t="shared" si="193"/>
        <v>Complete</v>
      </c>
      <c r="K6188">
        <f>COUNTIFS(RawData[Item], B6188,RawData[Quantity],C6188,RawData[Price Per Unit],D6188,RawData[Total Spent],E6188,RawData[Payment Method],F6188,RawData[Location],G6188,RawData[Transaction Date],H6188)</f>
        <v>1</v>
      </c>
      <c r="L6188"/>
    </row>
    <row r="6189" spans="1:12" x14ac:dyDescent="0.3">
      <c r="A6189" t="s">
        <v>6195</v>
      </c>
      <c r="B6189" t="s">
        <v>10009</v>
      </c>
      <c r="C6189">
        <v>0</v>
      </c>
      <c r="D6189">
        <v>3</v>
      </c>
      <c r="E6189">
        <v>12</v>
      </c>
      <c r="F6189" t="s">
        <v>10069</v>
      </c>
      <c r="G6189" t="s">
        <v>10102</v>
      </c>
      <c r="H6189" s="6">
        <v>45035</v>
      </c>
      <c r="I6189">
        <f t="shared" si="192"/>
        <v>0</v>
      </c>
      <c r="J6189" t="str">
        <f t="shared" si="193"/>
        <v>Complete</v>
      </c>
      <c r="K6189">
        <f>COUNTIFS(RawData[Item], B6189,RawData[Quantity],C6189,RawData[Price Per Unit],D6189,RawData[Total Spent],E6189,RawData[Payment Method],F6189,RawData[Location],G6189,RawData[Transaction Date],H6189)</f>
        <v>1</v>
      </c>
      <c r="L6189"/>
    </row>
    <row r="6190" spans="1:12" x14ac:dyDescent="0.3">
      <c r="A6190" t="s">
        <v>6196</v>
      </c>
      <c r="B6190" t="s">
        <v>10017</v>
      </c>
      <c r="C6190">
        <v>5</v>
      </c>
      <c r="D6190">
        <v>1.5</v>
      </c>
      <c r="E6190" t="s">
        <v>10015</v>
      </c>
      <c r="F6190" t="s">
        <v>10019</v>
      </c>
      <c r="G6190" t="s">
        <v>10069</v>
      </c>
      <c r="H6190" s="6">
        <v>44962</v>
      </c>
      <c r="I6190">
        <f t="shared" si="192"/>
        <v>1</v>
      </c>
      <c r="J6190" t="str">
        <f t="shared" si="193"/>
        <v>Complete</v>
      </c>
      <c r="K6190">
        <f>COUNTIFS(RawData[Item], B6190,RawData[Quantity],C6190,RawData[Price Per Unit],D6190,RawData[Total Spent],E6190,RawData[Payment Method],F6190,RawData[Location],G6190,RawData[Transaction Date],H6190)</f>
        <v>1</v>
      </c>
      <c r="L6190"/>
    </row>
    <row r="6191" spans="1:12" x14ac:dyDescent="0.3">
      <c r="A6191" t="s">
        <v>6197</v>
      </c>
      <c r="B6191" t="s">
        <v>10011</v>
      </c>
      <c r="C6191">
        <v>2</v>
      </c>
      <c r="D6191">
        <v>5</v>
      </c>
      <c r="E6191">
        <v>10</v>
      </c>
      <c r="F6191" t="s">
        <v>10018</v>
      </c>
      <c r="G6191" t="s">
        <v>10103</v>
      </c>
      <c r="H6191" s="6">
        <v>45271</v>
      </c>
      <c r="I6191">
        <f t="shared" si="192"/>
        <v>1</v>
      </c>
      <c r="J6191" t="str">
        <f t="shared" si="193"/>
        <v>Complete</v>
      </c>
      <c r="K6191">
        <f>COUNTIFS(RawData[Item], B6191,RawData[Quantity],C6191,RawData[Price Per Unit],D6191,RawData[Total Spent],E6191,RawData[Payment Method],F6191,RawData[Location],G6191,RawData[Transaction Date],H6191)</f>
        <v>1</v>
      </c>
      <c r="L6191"/>
    </row>
    <row r="6192" spans="1:12" x14ac:dyDescent="0.3">
      <c r="A6192" t="s">
        <v>6198</v>
      </c>
      <c r="B6192" t="s">
        <v>10009</v>
      </c>
      <c r="C6192">
        <v>5</v>
      </c>
      <c r="D6192">
        <v>3</v>
      </c>
      <c r="E6192">
        <v>15</v>
      </c>
      <c r="F6192" t="s">
        <v>10018</v>
      </c>
      <c r="G6192" t="s">
        <v>10102</v>
      </c>
      <c r="H6192" s="6">
        <v>45142</v>
      </c>
      <c r="I6192">
        <f t="shared" si="192"/>
        <v>0</v>
      </c>
      <c r="J6192" t="str">
        <f t="shared" si="193"/>
        <v>Complete</v>
      </c>
      <c r="K6192">
        <f>COUNTIFS(RawData[Item], B6192,RawData[Quantity],C6192,RawData[Price Per Unit],D6192,RawData[Total Spent],E6192,RawData[Payment Method],F6192,RawData[Location],G6192,RawData[Transaction Date],H6192)</f>
        <v>1</v>
      </c>
      <c r="L6192"/>
    </row>
    <row r="6193" spans="1:12" x14ac:dyDescent="0.3">
      <c r="A6193" t="s">
        <v>6199</v>
      </c>
      <c r="B6193" t="s">
        <v>10014</v>
      </c>
      <c r="C6193">
        <v>2</v>
      </c>
      <c r="D6193">
        <v>4</v>
      </c>
      <c r="E6193">
        <v>8</v>
      </c>
      <c r="F6193" t="s">
        <v>10104</v>
      </c>
      <c r="G6193" t="s">
        <v>10104</v>
      </c>
      <c r="H6193" s="6">
        <v>45010</v>
      </c>
      <c r="I6193">
        <f t="shared" si="192"/>
        <v>2</v>
      </c>
      <c r="J6193" t="str">
        <f t="shared" si="193"/>
        <v>Complete</v>
      </c>
      <c r="K6193">
        <f>COUNTIFS(RawData[Item], B6193,RawData[Quantity],C6193,RawData[Price Per Unit],D6193,RawData[Total Spent],E6193,RawData[Payment Method],F6193,RawData[Location],G6193,RawData[Transaction Date],H6193)</f>
        <v>1</v>
      </c>
      <c r="L6193"/>
    </row>
    <row r="6194" spans="1:12" x14ac:dyDescent="0.3">
      <c r="A6194" t="s">
        <v>6200</v>
      </c>
      <c r="B6194" t="s">
        <v>10013</v>
      </c>
      <c r="C6194">
        <v>0</v>
      </c>
      <c r="D6194">
        <v>4</v>
      </c>
      <c r="E6194">
        <v>12</v>
      </c>
      <c r="F6194" t="s">
        <v>10069</v>
      </c>
      <c r="G6194" t="s">
        <v>10069</v>
      </c>
      <c r="H6194" s="6">
        <v>45210</v>
      </c>
      <c r="I6194">
        <f t="shared" si="192"/>
        <v>1</v>
      </c>
      <c r="J6194" t="str">
        <f t="shared" si="193"/>
        <v>Complete</v>
      </c>
      <c r="K6194">
        <f>COUNTIFS(RawData[Item], B6194,RawData[Quantity],C6194,RawData[Price Per Unit],D6194,RawData[Total Spent],E6194,RawData[Payment Method],F6194,RawData[Location],G6194,RawData[Transaction Date],H6194)</f>
        <v>1</v>
      </c>
      <c r="L6194"/>
    </row>
    <row r="6195" spans="1:12" x14ac:dyDescent="0.3">
      <c r="A6195" t="s">
        <v>6201</v>
      </c>
      <c r="B6195" t="s">
        <v>10011</v>
      </c>
      <c r="C6195">
        <v>2</v>
      </c>
      <c r="D6195">
        <v>5</v>
      </c>
      <c r="E6195">
        <v>10</v>
      </c>
      <c r="F6195" t="s">
        <v>10018</v>
      </c>
      <c r="G6195" t="s">
        <v>10069</v>
      </c>
      <c r="H6195" s="6">
        <v>44972</v>
      </c>
      <c r="I6195">
        <f t="shared" si="192"/>
        <v>0</v>
      </c>
      <c r="J6195" t="str">
        <f t="shared" si="193"/>
        <v>Complete</v>
      </c>
      <c r="K6195">
        <f>COUNTIFS(RawData[Item], B6195,RawData[Quantity],C6195,RawData[Price Per Unit],D6195,RawData[Total Spent],E6195,RawData[Payment Method],F6195,RawData[Location],G6195,RawData[Transaction Date],H6195)</f>
        <v>1</v>
      </c>
      <c r="L6195"/>
    </row>
    <row r="6196" spans="1:12" x14ac:dyDescent="0.3">
      <c r="A6196" t="s">
        <v>6202</v>
      </c>
      <c r="B6196" t="s">
        <v>10017</v>
      </c>
      <c r="C6196">
        <v>5</v>
      </c>
      <c r="D6196">
        <v>1.5</v>
      </c>
      <c r="E6196">
        <v>7.5</v>
      </c>
      <c r="F6196" t="s">
        <v>10069</v>
      </c>
      <c r="G6196" t="s">
        <v>10102</v>
      </c>
      <c r="H6196" s="6">
        <v>45001</v>
      </c>
      <c r="I6196">
        <f t="shared" si="192"/>
        <v>0</v>
      </c>
      <c r="J6196" t="str">
        <f t="shared" si="193"/>
        <v>Complete</v>
      </c>
      <c r="K6196">
        <f>COUNTIFS(RawData[Item], B6196,RawData[Quantity],C6196,RawData[Price Per Unit],D6196,RawData[Total Spent],E6196,RawData[Payment Method],F6196,RawData[Location],G6196,RawData[Transaction Date],H6196)</f>
        <v>1</v>
      </c>
      <c r="L6196"/>
    </row>
    <row r="6197" spans="1:12" x14ac:dyDescent="0.3">
      <c r="A6197" t="s">
        <v>6203</v>
      </c>
      <c r="B6197" t="s">
        <v>10014</v>
      </c>
      <c r="C6197">
        <v>4</v>
      </c>
      <c r="D6197">
        <v>4</v>
      </c>
      <c r="E6197">
        <v>16</v>
      </c>
      <c r="F6197" t="s">
        <v>10020</v>
      </c>
      <c r="G6197" t="s">
        <v>10102</v>
      </c>
      <c r="H6197" s="6" t="s">
        <v>10112</v>
      </c>
      <c r="I6197">
        <f t="shared" si="192"/>
        <v>1</v>
      </c>
      <c r="J6197" t="str">
        <f t="shared" si="193"/>
        <v>Incomplete</v>
      </c>
      <c r="K6197">
        <f>COUNTIFS(RawData[Item], B6197,RawData[Quantity],C6197,RawData[Price Per Unit],D6197,RawData[Total Spent],E6197,RawData[Payment Method],F6197,RawData[Location],G6197,RawData[Transaction Date],H6197)</f>
        <v>1</v>
      </c>
      <c r="L6197"/>
    </row>
    <row r="6198" spans="1:12" x14ac:dyDescent="0.3">
      <c r="A6198" t="s">
        <v>6204</v>
      </c>
      <c r="B6198" t="s">
        <v>10017</v>
      </c>
      <c r="C6198">
        <v>1</v>
      </c>
      <c r="D6198">
        <v>1.5</v>
      </c>
      <c r="E6198">
        <v>0</v>
      </c>
      <c r="F6198" t="s">
        <v>10018</v>
      </c>
      <c r="G6198" t="s">
        <v>10021</v>
      </c>
      <c r="H6198" s="6">
        <v>45181</v>
      </c>
      <c r="I6198">
        <f t="shared" si="192"/>
        <v>0</v>
      </c>
      <c r="J6198" t="str">
        <f t="shared" si="193"/>
        <v>Complete</v>
      </c>
      <c r="K6198">
        <f>COUNTIFS(RawData[Item], B6198,RawData[Quantity],C6198,RawData[Price Per Unit],D6198,RawData[Total Spent],E6198,RawData[Payment Method],F6198,RawData[Location],G6198,RawData[Transaction Date],H6198)</f>
        <v>1</v>
      </c>
      <c r="L6198"/>
    </row>
    <row r="6199" spans="1:12" x14ac:dyDescent="0.3">
      <c r="A6199" t="s">
        <v>6205</v>
      </c>
      <c r="B6199" t="s">
        <v>10016</v>
      </c>
      <c r="C6199">
        <v>2</v>
      </c>
      <c r="D6199">
        <v>3</v>
      </c>
      <c r="E6199">
        <v>0</v>
      </c>
      <c r="F6199" t="s">
        <v>10019</v>
      </c>
      <c r="G6199" t="s">
        <v>10069</v>
      </c>
      <c r="H6199" s="6">
        <v>45089</v>
      </c>
      <c r="I6199">
        <f t="shared" si="192"/>
        <v>0</v>
      </c>
      <c r="J6199" t="str">
        <f t="shared" si="193"/>
        <v>Complete</v>
      </c>
      <c r="K6199">
        <f>COUNTIFS(RawData[Item], B6199,RawData[Quantity],C6199,RawData[Price Per Unit],D6199,RawData[Total Spent],E6199,RawData[Payment Method],F6199,RawData[Location],G6199,RawData[Transaction Date],H6199)</f>
        <v>1</v>
      </c>
      <c r="L6199"/>
    </row>
    <row r="6200" spans="1:12" x14ac:dyDescent="0.3">
      <c r="A6200" t="s">
        <v>6206</v>
      </c>
      <c r="B6200" t="s">
        <v>10016</v>
      </c>
      <c r="C6200">
        <v>1</v>
      </c>
      <c r="D6200">
        <v>3</v>
      </c>
      <c r="E6200">
        <v>3</v>
      </c>
      <c r="F6200" t="s">
        <v>10069</v>
      </c>
      <c r="G6200" t="s">
        <v>10069</v>
      </c>
      <c r="H6200" s="6">
        <v>45230</v>
      </c>
      <c r="I6200">
        <f t="shared" si="192"/>
        <v>0</v>
      </c>
      <c r="J6200" t="str">
        <f t="shared" si="193"/>
        <v>Complete</v>
      </c>
      <c r="K6200">
        <f>COUNTIFS(RawData[Item], B6200,RawData[Quantity],C6200,RawData[Price Per Unit],D6200,RawData[Total Spent],E6200,RawData[Payment Method],F6200,RawData[Location],G6200,RawData[Transaction Date],H6200)</f>
        <v>1</v>
      </c>
      <c r="L6200"/>
    </row>
    <row r="6201" spans="1:12" x14ac:dyDescent="0.3">
      <c r="A6201" t="s">
        <v>6207</v>
      </c>
      <c r="B6201" t="s">
        <v>10017</v>
      </c>
      <c r="C6201">
        <v>3</v>
      </c>
      <c r="D6201">
        <v>1.5</v>
      </c>
      <c r="E6201">
        <v>4.5</v>
      </c>
      <c r="F6201" t="s">
        <v>10069</v>
      </c>
      <c r="G6201" t="s">
        <v>10069</v>
      </c>
      <c r="H6201" s="6">
        <v>45138</v>
      </c>
      <c r="I6201">
        <f t="shared" si="192"/>
        <v>0</v>
      </c>
      <c r="J6201" t="str">
        <f t="shared" si="193"/>
        <v>Complete</v>
      </c>
      <c r="K6201">
        <f>COUNTIFS(RawData[Item], B6201,RawData[Quantity],C6201,RawData[Price Per Unit],D6201,RawData[Total Spent],E6201,RawData[Payment Method],F6201,RawData[Location],G6201,RawData[Transaction Date],H6201)</f>
        <v>1</v>
      </c>
      <c r="L6201"/>
    </row>
    <row r="6202" spans="1:12" x14ac:dyDescent="0.3">
      <c r="A6202" t="s">
        <v>6208</v>
      </c>
      <c r="B6202" t="s">
        <v>10010</v>
      </c>
      <c r="C6202">
        <v>4</v>
      </c>
      <c r="D6202">
        <v>1</v>
      </c>
      <c r="E6202">
        <v>4</v>
      </c>
      <c r="F6202" t="s">
        <v>10103</v>
      </c>
      <c r="G6202" t="s">
        <v>10069</v>
      </c>
      <c r="H6202" s="6">
        <v>45106</v>
      </c>
      <c r="I6202">
        <f t="shared" si="192"/>
        <v>1</v>
      </c>
      <c r="J6202" t="str">
        <f t="shared" si="193"/>
        <v>Complete</v>
      </c>
      <c r="K6202">
        <f>COUNTIFS(RawData[Item], B6202,RawData[Quantity],C6202,RawData[Price Per Unit],D6202,RawData[Total Spent],E6202,RawData[Payment Method],F6202,RawData[Location],G6202,RawData[Transaction Date],H6202)</f>
        <v>1</v>
      </c>
      <c r="L6202"/>
    </row>
    <row r="6203" spans="1:12" x14ac:dyDescent="0.3">
      <c r="A6203" t="s">
        <v>6209</v>
      </c>
      <c r="B6203" t="s">
        <v>10017</v>
      </c>
      <c r="C6203">
        <v>3</v>
      </c>
      <c r="D6203">
        <v>1.5</v>
      </c>
      <c r="E6203">
        <v>4.5</v>
      </c>
      <c r="F6203" t="s">
        <v>10018</v>
      </c>
      <c r="G6203" t="s">
        <v>10069</v>
      </c>
      <c r="H6203" s="6">
        <v>44991</v>
      </c>
      <c r="I6203">
        <f t="shared" si="192"/>
        <v>0</v>
      </c>
      <c r="J6203" t="str">
        <f t="shared" si="193"/>
        <v>Complete</v>
      </c>
      <c r="K6203">
        <f>COUNTIFS(RawData[Item], B6203,RawData[Quantity],C6203,RawData[Price Per Unit],D6203,RawData[Total Spent],E6203,RawData[Payment Method],F6203,RawData[Location],G6203,RawData[Transaction Date],H6203)</f>
        <v>1</v>
      </c>
      <c r="L6203"/>
    </row>
    <row r="6204" spans="1:12" x14ac:dyDescent="0.3">
      <c r="A6204" t="s">
        <v>6210</v>
      </c>
      <c r="B6204" t="s">
        <v>10009</v>
      </c>
      <c r="C6204">
        <v>3</v>
      </c>
      <c r="D6204">
        <v>3</v>
      </c>
      <c r="E6204">
        <v>9</v>
      </c>
      <c r="F6204" t="s">
        <v>10019</v>
      </c>
      <c r="G6204" t="s">
        <v>10102</v>
      </c>
      <c r="H6204" s="6">
        <v>44952</v>
      </c>
      <c r="I6204">
        <f t="shared" si="192"/>
        <v>0</v>
      </c>
      <c r="J6204" t="str">
        <f t="shared" si="193"/>
        <v>Complete</v>
      </c>
      <c r="K6204">
        <f>COUNTIFS(RawData[Item], B6204,RawData[Quantity],C6204,RawData[Price Per Unit],D6204,RawData[Total Spent],E6204,RawData[Payment Method],F6204,RawData[Location],G6204,RawData[Transaction Date],H6204)</f>
        <v>1</v>
      </c>
      <c r="L6204"/>
    </row>
    <row r="6205" spans="1:12" x14ac:dyDescent="0.3">
      <c r="A6205" t="s">
        <v>6211</v>
      </c>
      <c r="B6205" t="s">
        <v>10014</v>
      </c>
      <c r="C6205">
        <v>1</v>
      </c>
      <c r="D6205">
        <v>4</v>
      </c>
      <c r="E6205">
        <v>4</v>
      </c>
      <c r="F6205" t="s">
        <v>10069</v>
      </c>
      <c r="G6205" t="s">
        <v>10069</v>
      </c>
      <c r="H6205" s="6">
        <v>44952</v>
      </c>
      <c r="I6205">
        <f t="shared" si="192"/>
        <v>0</v>
      </c>
      <c r="J6205" t="str">
        <f t="shared" si="193"/>
        <v>Complete</v>
      </c>
      <c r="K6205">
        <f>COUNTIFS(RawData[Item], B6205,RawData[Quantity],C6205,RawData[Price Per Unit],D6205,RawData[Total Spent],E6205,RawData[Payment Method],F6205,RawData[Location],G6205,RawData[Transaction Date],H6205)</f>
        <v>1</v>
      </c>
      <c r="L6205"/>
    </row>
    <row r="6206" spans="1:12" x14ac:dyDescent="0.3">
      <c r="A6206" t="s">
        <v>6212</v>
      </c>
      <c r="B6206" t="s">
        <v>10014</v>
      </c>
      <c r="C6206">
        <v>1</v>
      </c>
      <c r="D6206">
        <v>4</v>
      </c>
      <c r="E6206">
        <v>4</v>
      </c>
      <c r="F6206" t="s">
        <v>10104</v>
      </c>
      <c r="G6206" t="s">
        <v>10069</v>
      </c>
      <c r="H6206" s="6">
        <v>45131</v>
      </c>
      <c r="I6206">
        <f t="shared" si="192"/>
        <v>1</v>
      </c>
      <c r="J6206" t="str">
        <f t="shared" si="193"/>
        <v>Complete</v>
      </c>
      <c r="K6206">
        <f>COUNTIFS(RawData[Item], B6206,RawData[Quantity],C6206,RawData[Price Per Unit],D6206,RawData[Total Spent],E6206,RawData[Payment Method],F6206,RawData[Location],G6206,RawData[Transaction Date],H6206)</f>
        <v>1</v>
      </c>
      <c r="L6206"/>
    </row>
    <row r="6207" spans="1:12" x14ac:dyDescent="0.3">
      <c r="A6207" t="s">
        <v>6213</v>
      </c>
      <c r="B6207" t="s">
        <v>10013</v>
      </c>
      <c r="C6207">
        <v>2</v>
      </c>
      <c r="D6207">
        <v>3</v>
      </c>
      <c r="E6207">
        <v>6</v>
      </c>
      <c r="F6207" t="s">
        <v>10019</v>
      </c>
      <c r="G6207" t="s">
        <v>10069</v>
      </c>
      <c r="H6207" s="6">
        <v>45167</v>
      </c>
      <c r="I6207">
        <f t="shared" si="192"/>
        <v>1</v>
      </c>
      <c r="J6207" t="str">
        <f t="shared" si="193"/>
        <v>Complete</v>
      </c>
      <c r="K6207">
        <f>COUNTIFS(RawData[Item], B6207,RawData[Quantity],C6207,RawData[Price Per Unit],D6207,RawData[Total Spent],E6207,RawData[Payment Method],F6207,RawData[Location],G6207,RawData[Transaction Date],H6207)</f>
        <v>1</v>
      </c>
      <c r="L6207"/>
    </row>
    <row r="6208" spans="1:12" x14ac:dyDescent="0.3">
      <c r="A6208" t="s">
        <v>6214</v>
      </c>
      <c r="B6208" t="s">
        <v>10011</v>
      </c>
      <c r="C6208">
        <v>4</v>
      </c>
      <c r="D6208">
        <v>5</v>
      </c>
      <c r="E6208">
        <v>20</v>
      </c>
      <c r="F6208" t="s">
        <v>10020</v>
      </c>
      <c r="G6208" t="s">
        <v>10102</v>
      </c>
      <c r="H6208" s="6">
        <v>45080</v>
      </c>
      <c r="I6208">
        <f t="shared" si="192"/>
        <v>0</v>
      </c>
      <c r="J6208" t="str">
        <f t="shared" si="193"/>
        <v>Complete</v>
      </c>
      <c r="K6208">
        <f>COUNTIFS(RawData[Item], B6208,RawData[Quantity],C6208,RawData[Price Per Unit],D6208,RawData[Total Spent],E6208,RawData[Payment Method],F6208,RawData[Location],G6208,RawData[Transaction Date],H6208)</f>
        <v>1</v>
      </c>
      <c r="L6208"/>
    </row>
    <row r="6209" spans="1:12" x14ac:dyDescent="0.3">
      <c r="A6209" t="s">
        <v>6215</v>
      </c>
      <c r="B6209" t="s">
        <v>10014</v>
      </c>
      <c r="C6209">
        <v>3</v>
      </c>
      <c r="D6209">
        <v>4</v>
      </c>
      <c r="E6209">
        <v>12</v>
      </c>
      <c r="F6209" t="s">
        <v>10069</v>
      </c>
      <c r="G6209" t="s">
        <v>10021</v>
      </c>
      <c r="H6209" s="6">
        <v>45053</v>
      </c>
      <c r="I6209">
        <f t="shared" si="192"/>
        <v>0</v>
      </c>
      <c r="J6209" t="str">
        <f t="shared" si="193"/>
        <v>Complete</v>
      </c>
      <c r="K6209">
        <f>COUNTIFS(RawData[Item], B6209,RawData[Quantity],C6209,RawData[Price Per Unit],D6209,RawData[Total Spent],E6209,RawData[Payment Method],F6209,RawData[Location],G6209,RawData[Transaction Date],H6209)</f>
        <v>1</v>
      </c>
      <c r="L6209"/>
    </row>
    <row r="6210" spans="1:12" x14ac:dyDescent="0.3">
      <c r="A6210" t="s">
        <v>6216</v>
      </c>
      <c r="B6210" t="s">
        <v>10016</v>
      </c>
      <c r="C6210">
        <v>3</v>
      </c>
      <c r="D6210">
        <v>3</v>
      </c>
      <c r="E6210">
        <v>9</v>
      </c>
      <c r="F6210" t="s">
        <v>10018</v>
      </c>
      <c r="G6210" t="s">
        <v>10102</v>
      </c>
      <c r="H6210" s="6">
        <v>45233</v>
      </c>
      <c r="I6210">
        <f t="shared" ref="I6210:I6273" si="194">(B6210="Unknown")+(B6210="Error")+(C6210="Unknown")+(C6210="Error")+(D6210="Unknown")+(D6210="Error")+(E6210="Unknown")+(E6210="Error")+(F6210="Unknown")+(F6210="Error")+(G6210="Unknown")+(G6210="Error")+(H6210="No Date")</f>
        <v>0</v>
      </c>
      <c r="J6210" t="str">
        <f t="shared" ref="J6210:J6273" si="195">IF((H6210="No Date"),"Incomplete","Complete")</f>
        <v>Complete</v>
      </c>
      <c r="K6210">
        <f>COUNTIFS(RawData[Item], B6210,RawData[Quantity],C6210,RawData[Price Per Unit],D6210,RawData[Total Spent],E6210,RawData[Payment Method],F6210,RawData[Location],G6210,RawData[Transaction Date],H6210)</f>
        <v>1</v>
      </c>
      <c r="L6210"/>
    </row>
    <row r="6211" spans="1:12" x14ac:dyDescent="0.3">
      <c r="A6211" t="s">
        <v>6217</v>
      </c>
      <c r="B6211" t="s">
        <v>10017</v>
      </c>
      <c r="C6211">
        <v>4</v>
      </c>
      <c r="D6211">
        <v>1.5</v>
      </c>
      <c r="E6211">
        <v>6</v>
      </c>
      <c r="F6211" t="s">
        <v>10020</v>
      </c>
      <c r="G6211" t="s">
        <v>10069</v>
      </c>
      <c r="H6211" s="6">
        <v>45139</v>
      </c>
      <c r="I6211">
        <f t="shared" si="194"/>
        <v>0</v>
      </c>
      <c r="J6211" t="str">
        <f t="shared" si="195"/>
        <v>Complete</v>
      </c>
      <c r="K6211">
        <f>COUNTIFS(RawData[Item], B6211,RawData[Quantity],C6211,RawData[Price Per Unit],D6211,RawData[Total Spent],E6211,RawData[Payment Method],F6211,RawData[Location],G6211,RawData[Transaction Date],H6211)</f>
        <v>1</v>
      </c>
      <c r="L6211"/>
    </row>
    <row r="6212" spans="1:12" x14ac:dyDescent="0.3">
      <c r="A6212" t="s">
        <v>6218</v>
      </c>
      <c r="B6212" t="s">
        <v>10008</v>
      </c>
      <c r="C6212">
        <v>5</v>
      </c>
      <c r="D6212">
        <v>2</v>
      </c>
      <c r="E6212">
        <v>10</v>
      </c>
      <c r="F6212" t="s">
        <v>10019</v>
      </c>
      <c r="G6212" t="s">
        <v>10021</v>
      </c>
      <c r="H6212" s="6">
        <v>45164</v>
      </c>
      <c r="I6212">
        <f t="shared" si="194"/>
        <v>0</v>
      </c>
      <c r="J6212" t="str">
        <f t="shared" si="195"/>
        <v>Complete</v>
      </c>
      <c r="K6212">
        <f>COUNTIFS(RawData[Item], B6212,RawData[Quantity],C6212,RawData[Price Per Unit],D6212,RawData[Total Spent],E6212,RawData[Payment Method],F6212,RawData[Location],G6212,RawData[Transaction Date],H6212)</f>
        <v>1</v>
      </c>
      <c r="L6212"/>
    </row>
    <row r="6213" spans="1:12" x14ac:dyDescent="0.3">
      <c r="A6213" t="s">
        <v>6219</v>
      </c>
      <c r="B6213" t="s">
        <v>10012</v>
      </c>
      <c r="C6213">
        <v>2</v>
      </c>
      <c r="D6213">
        <v>4</v>
      </c>
      <c r="E6213">
        <v>8</v>
      </c>
      <c r="F6213" t="s">
        <v>10019</v>
      </c>
      <c r="G6213" t="s">
        <v>10021</v>
      </c>
      <c r="H6213" s="6">
        <v>45005</v>
      </c>
      <c r="I6213">
        <f t="shared" si="194"/>
        <v>0</v>
      </c>
      <c r="J6213" t="str">
        <f t="shared" si="195"/>
        <v>Complete</v>
      </c>
      <c r="K6213">
        <f>COUNTIFS(RawData[Item], B6213,RawData[Quantity],C6213,RawData[Price Per Unit],D6213,RawData[Total Spent],E6213,RawData[Payment Method],F6213,RawData[Location],G6213,RawData[Transaction Date],H6213)</f>
        <v>1</v>
      </c>
      <c r="L6213"/>
    </row>
    <row r="6214" spans="1:12" x14ac:dyDescent="0.3">
      <c r="A6214" t="s">
        <v>6220</v>
      </c>
      <c r="B6214" t="s">
        <v>10016</v>
      </c>
      <c r="C6214">
        <v>5</v>
      </c>
      <c r="D6214">
        <v>3</v>
      </c>
      <c r="E6214">
        <v>15</v>
      </c>
      <c r="F6214" t="s">
        <v>10020</v>
      </c>
      <c r="G6214" t="s">
        <v>10021</v>
      </c>
      <c r="H6214" s="6">
        <v>45282</v>
      </c>
      <c r="I6214">
        <f t="shared" si="194"/>
        <v>0</v>
      </c>
      <c r="J6214" t="str">
        <f t="shared" si="195"/>
        <v>Complete</v>
      </c>
      <c r="K6214">
        <f>COUNTIFS(RawData[Item], B6214,RawData[Quantity],C6214,RawData[Price Per Unit],D6214,RawData[Total Spent],E6214,RawData[Payment Method],F6214,RawData[Location],G6214,RawData[Transaction Date],H6214)</f>
        <v>1</v>
      </c>
      <c r="L6214"/>
    </row>
    <row r="6215" spans="1:12" x14ac:dyDescent="0.3">
      <c r="A6215" t="s">
        <v>6221</v>
      </c>
      <c r="B6215" t="s">
        <v>10010</v>
      </c>
      <c r="C6215">
        <v>2</v>
      </c>
      <c r="D6215">
        <v>1</v>
      </c>
      <c r="E6215">
        <v>2</v>
      </c>
      <c r="F6215" t="s">
        <v>10019</v>
      </c>
      <c r="G6215" t="s">
        <v>10021</v>
      </c>
      <c r="H6215" s="6">
        <v>44996</v>
      </c>
      <c r="I6215">
        <f t="shared" si="194"/>
        <v>0</v>
      </c>
      <c r="J6215" t="str">
        <f t="shared" si="195"/>
        <v>Complete</v>
      </c>
      <c r="K6215">
        <f>COUNTIFS(RawData[Item], B6215,RawData[Quantity],C6215,RawData[Price Per Unit],D6215,RawData[Total Spent],E6215,RawData[Payment Method],F6215,RawData[Location],G6215,RawData[Transaction Date],H6215)</f>
        <v>2</v>
      </c>
      <c r="L6215"/>
    </row>
    <row r="6216" spans="1:12" x14ac:dyDescent="0.3">
      <c r="A6216" t="s">
        <v>6222</v>
      </c>
      <c r="B6216" t="s">
        <v>10017</v>
      </c>
      <c r="C6216">
        <v>2</v>
      </c>
      <c r="D6216">
        <v>1.5</v>
      </c>
      <c r="E6216">
        <v>3</v>
      </c>
      <c r="F6216" t="s">
        <v>10069</v>
      </c>
      <c r="G6216" t="s">
        <v>10069</v>
      </c>
      <c r="H6216" s="6">
        <v>45215</v>
      </c>
      <c r="I6216">
        <f t="shared" si="194"/>
        <v>0</v>
      </c>
      <c r="J6216" t="str">
        <f t="shared" si="195"/>
        <v>Complete</v>
      </c>
      <c r="K6216">
        <f>COUNTIFS(RawData[Item], B6216,RawData[Quantity],C6216,RawData[Price Per Unit],D6216,RawData[Total Spent],E6216,RawData[Payment Method],F6216,RawData[Location],G6216,RawData[Transaction Date],H6216)</f>
        <v>1</v>
      </c>
      <c r="L6216"/>
    </row>
    <row r="6217" spans="1:12" x14ac:dyDescent="0.3">
      <c r="A6217" t="s">
        <v>6223</v>
      </c>
      <c r="B6217" t="s">
        <v>10014</v>
      </c>
      <c r="C6217">
        <v>4</v>
      </c>
      <c r="D6217">
        <v>4</v>
      </c>
      <c r="E6217">
        <v>16</v>
      </c>
      <c r="F6217" t="s">
        <v>10069</v>
      </c>
      <c r="G6217" t="s">
        <v>10103</v>
      </c>
      <c r="H6217" s="6">
        <v>45046</v>
      </c>
      <c r="I6217">
        <f t="shared" si="194"/>
        <v>1</v>
      </c>
      <c r="J6217" t="str">
        <f t="shared" si="195"/>
        <v>Complete</v>
      </c>
      <c r="K6217">
        <f>COUNTIFS(RawData[Item], B6217,RawData[Quantity],C6217,RawData[Price Per Unit],D6217,RawData[Total Spent],E6217,RawData[Payment Method],F6217,RawData[Location],G6217,RawData[Transaction Date],H6217)</f>
        <v>1</v>
      </c>
      <c r="L6217"/>
    </row>
    <row r="6218" spans="1:12" x14ac:dyDescent="0.3">
      <c r="A6218" t="s">
        <v>6224</v>
      </c>
      <c r="B6218" t="s">
        <v>10016</v>
      </c>
      <c r="C6218">
        <v>3</v>
      </c>
      <c r="D6218">
        <v>3</v>
      </c>
      <c r="E6218">
        <v>9</v>
      </c>
      <c r="F6218" t="s">
        <v>10019</v>
      </c>
      <c r="G6218" t="s">
        <v>10102</v>
      </c>
      <c r="H6218" s="6">
        <v>45057</v>
      </c>
      <c r="I6218">
        <f t="shared" si="194"/>
        <v>0</v>
      </c>
      <c r="J6218" t="str">
        <f t="shared" si="195"/>
        <v>Complete</v>
      </c>
      <c r="K6218">
        <f>COUNTIFS(RawData[Item], B6218,RawData[Quantity],C6218,RawData[Price Per Unit],D6218,RawData[Total Spent],E6218,RawData[Payment Method],F6218,RawData[Location],G6218,RawData[Transaction Date],H6218)</f>
        <v>1</v>
      </c>
      <c r="L6218"/>
    </row>
    <row r="6219" spans="1:12" x14ac:dyDescent="0.3">
      <c r="A6219" t="s">
        <v>6225</v>
      </c>
      <c r="B6219" t="s">
        <v>10017</v>
      </c>
      <c r="C6219">
        <v>3</v>
      </c>
      <c r="D6219">
        <v>1.5</v>
      </c>
      <c r="E6219">
        <v>0</v>
      </c>
      <c r="F6219" t="s">
        <v>10020</v>
      </c>
      <c r="G6219" t="s">
        <v>10021</v>
      </c>
      <c r="H6219" s="6">
        <v>45249</v>
      </c>
      <c r="I6219">
        <f t="shared" si="194"/>
        <v>0</v>
      </c>
      <c r="J6219" t="str">
        <f t="shared" si="195"/>
        <v>Complete</v>
      </c>
      <c r="K6219">
        <f>COUNTIFS(RawData[Item], B6219,RawData[Quantity],C6219,RawData[Price Per Unit],D6219,RawData[Total Spent],E6219,RawData[Payment Method],F6219,RawData[Location],G6219,RawData[Transaction Date],H6219)</f>
        <v>1</v>
      </c>
      <c r="L6219"/>
    </row>
    <row r="6220" spans="1:12" x14ac:dyDescent="0.3">
      <c r="A6220" t="s">
        <v>6226</v>
      </c>
      <c r="B6220" t="s">
        <v>10069</v>
      </c>
      <c r="C6220">
        <v>4</v>
      </c>
      <c r="D6220">
        <v>5</v>
      </c>
      <c r="E6220">
        <v>20</v>
      </c>
      <c r="F6220" t="s">
        <v>10018</v>
      </c>
      <c r="G6220" t="s">
        <v>10069</v>
      </c>
      <c r="H6220" s="6">
        <v>45121</v>
      </c>
      <c r="I6220">
        <f t="shared" si="194"/>
        <v>0</v>
      </c>
      <c r="J6220" t="str">
        <f t="shared" si="195"/>
        <v>Complete</v>
      </c>
      <c r="K6220">
        <f>COUNTIFS(RawData[Item], B6220,RawData[Quantity],C6220,RawData[Price Per Unit],D6220,RawData[Total Spent],E6220,RawData[Payment Method],F6220,RawData[Location],G6220,RawData[Transaction Date],H6220)</f>
        <v>1</v>
      </c>
      <c r="L6220"/>
    </row>
    <row r="6221" spans="1:12" x14ac:dyDescent="0.3">
      <c r="A6221" t="s">
        <v>6227</v>
      </c>
      <c r="B6221" t="s">
        <v>10016</v>
      </c>
      <c r="C6221">
        <v>1</v>
      </c>
      <c r="D6221">
        <v>3</v>
      </c>
      <c r="E6221">
        <v>3</v>
      </c>
      <c r="F6221" t="s">
        <v>10019</v>
      </c>
      <c r="G6221" t="s">
        <v>10102</v>
      </c>
      <c r="H6221" s="6">
        <v>45049</v>
      </c>
      <c r="I6221">
        <f t="shared" si="194"/>
        <v>0</v>
      </c>
      <c r="J6221" t="str">
        <f t="shared" si="195"/>
        <v>Complete</v>
      </c>
      <c r="K6221">
        <f>COUNTIFS(RawData[Item], B6221,RawData[Quantity],C6221,RawData[Price Per Unit],D6221,RawData[Total Spent],E6221,RawData[Payment Method],F6221,RawData[Location],G6221,RawData[Transaction Date],H6221)</f>
        <v>1</v>
      </c>
      <c r="L6221"/>
    </row>
    <row r="6222" spans="1:12" x14ac:dyDescent="0.3">
      <c r="A6222" t="s">
        <v>6228</v>
      </c>
      <c r="B6222" t="s">
        <v>10010</v>
      </c>
      <c r="C6222">
        <v>4</v>
      </c>
      <c r="D6222">
        <v>1</v>
      </c>
      <c r="E6222">
        <v>4</v>
      </c>
      <c r="F6222" t="s">
        <v>10069</v>
      </c>
      <c r="G6222" t="s">
        <v>10069</v>
      </c>
      <c r="H6222" s="6">
        <v>45049</v>
      </c>
      <c r="I6222">
        <f t="shared" si="194"/>
        <v>0</v>
      </c>
      <c r="J6222" t="str">
        <f t="shared" si="195"/>
        <v>Complete</v>
      </c>
      <c r="K6222">
        <f>COUNTIFS(RawData[Item], B6222,RawData[Quantity],C6222,RawData[Price Per Unit],D6222,RawData[Total Spent],E6222,RawData[Payment Method],F6222,RawData[Location],G6222,RawData[Transaction Date],H6222)</f>
        <v>1</v>
      </c>
      <c r="L6222"/>
    </row>
    <row r="6223" spans="1:12" x14ac:dyDescent="0.3">
      <c r="A6223" t="s">
        <v>6229</v>
      </c>
      <c r="B6223" t="s">
        <v>10008</v>
      </c>
      <c r="C6223">
        <v>4</v>
      </c>
      <c r="D6223">
        <v>2</v>
      </c>
      <c r="E6223">
        <v>8</v>
      </c>
      <c r="F6223" t="s">
        <v>10019</v>
      </c>
      <c r="G6223" t="s">
        <v>10069</v>
      </c>
      <c r="H6223" s="6">
        <v>45189</v>
      </c>
      <c r="I6223">
        <f t="shared" si="194"/>
        <v>0</v>
      </c>
      <c r="J6223" t="str">
        <f t="shared" si="195"/>
        <v>Complete</v>
      </c>
      <c r="K6223">
        <f>COUNTIFS(RawData[Item], B6223,RawData[Quantity],C6223,RawData[Price Per Unit],D6223,RawData[Total Spent],E6223,RawData[Payment Method],F6223,RawData[Location],G6223,RawData[Transaction Date],H6223)</f>
        <v>1</v>
      </c>
      <c r="L6223"/>
    </row>
    <row r="6224" spans="1:12" x14ac:dyDescent="0.3">
      <c r="A6224" t="s">
        <v>6230</v>
      </c>
      <c r="B6224" t="s">
        <v>10014</v>
      </c>
      <c r="C6224">
        <v>1</v>
      </c>
      <c r="D6224">
        <v>4</v>
      </c>
      <c r="E6224">
        <v>4</v>
      </c>
      <c r="F6224" t="s">
        <v>10069</v>
      </c>
      <c r="G6224" t="s">
        <v>10102</v>
      </c>
      <c r="H6224" s="6">
        <v>45009</v>
      </c>
      <c r="I6224">
        <f t="shared" si="194"/>
        <v>0</v>
      </c>
      <c r="J6224" t="str">
        <f t="shared" si="195"/>
        <v>Complete</v>
      </c>
      <c r="K6224">
        <f>COUNTIFS(RawData[Item], B6224,RawData[Quantity],C6224,RawData[Price Per Unit],D6224,RawData[Total Spent],E6224,RawData[Payment Method],F6224,RawData[Location],G6224,RawData[Transaction Date],H6224)</f>
        <v>1</v>
      </c>
      <c r="L6224"/>
    </row>
    <row r="6225" spans="1:12" x14ac:dyDescent="0.3">
      <c r="A6225" t="s">
        <v>6231</v>
      </c>
      <c r="B6225" t="s">
        <v>10012</v>
      </c>
      <c r="C6225">
        <v>2</v>
      </c>
      <c r="D6225">
        <v>4</v>
      </c>
      <c r="E6225">
        <v>8</v>
      </c>
      <c r="F6225" t="s">
        <v>10069</v>
      </c>
      <c r="G6225" t="s">
        <v>10103</v>
      </c>
      <c r="H6225" s="6">
        <v>45083</v>
      </c>
      <c r="I6225">
        <f t="shared" si="194"/>
        <v>1</v>
      </c>
      <c r="J6225" t="str">
        <f t="shared" si="195"/>
        <v>Complete</v>
      </c>
      <c r="K6225">
        <f>COUNTIFS(RawData[Item], B6225,RawData[Quantity],C6225,RawData[Price Per Unit],D6225,RawData[Total Spent],E6225,RawData[Payment Method],F6225,RawData[Location],G6225,RawData[Transaction Date],H6225)</f>
        <v>1</v>
      </c>
      <c r="L6225"/>
    </row>
    <row r="6226" spans="1:12" x14ac:dyDescent="0.3">
      <c r="A6226" t="s">
        <v>6232</v>
      </c>
      <c r="B6226" t="s">
        <v>10069</v>
      </c>
      <c r="C6226">
        <v>3</v>
      </c>
      <c r="D6226">
        <v>3</v>
      </c>
      <c r="E6226">
        <v>9</v>
      </c>
      <c r="F6226" t="s">
        <v>10069</v>
      </c>
      <c r="G6226" t="s">
        <v>10021</v>
      </c>
      <c r="H6226" s="6">
        <v>45047</v>
      </c>
      <c r="I6226">
        <f t="shared" si="194"/>
        <v>0</v>
      </c>
      <c r="J6226" t="str">
        <f t="shared" si="195"/>
        <v>Complete</v>
      </c>
      <c r="K6226">
        <f>COUNTIFS(RawData[Item], B6226,RawData[Quantity],C6226,RawData[Price Per Unit],D6226,RawData[Total Spent],E6226,RawData[Payment Method],F6226,RawData[Location],G6226,RawData[Transaction Date],H6226)</f>
        <v>1</v>
      </c>
      <c r="L6226"/>
    </row>
    <row r="6227" spans="1:12" x14ac:dyDescent="0.3">
      <c r="A6227" t="s">
        <v>6233</v>
      </c>
      <c r="B6227" t="s">
        <v>10010</v>
      </c>
      <c r="C6227" t="s">
        <v>10013</v>
      </c>
      <c r="D6227">
        <v>0</v>
      </c>
      <c r="E6227">
        <v>2</v>
      </c>
      <c r="F6227" t="s">
        <v>10069</v>
      </c>
      <c r="G6227" t="s">
        <v>10103</v>
      </c>
      <c r="H6227" s="6" t="s">
        <v>10112</v>
      </c>
      <c r="I6227">
        <f t="shared" si="194"/>
        <v>3</v>
      </c>
      <c r="J6227" t="str">
        <f t="shared" si="195"/>
        <v>Incomplete</v>
      </c>
      <c r="K6227">
        <f>COUNTIFS(RawData[Item], B6227,RawData[Quantity],C6227,RawData[Price Per Unit],D6227,RawData[Total Spent],E6227,RawData[Payment Method],F6227,RawData[Location],G6227,RawData[Transaction Date],H6227)</f>
        <v>1</v>
      </c>
      <c r="L6227"/>
    </row>
    <row r="6228" spans="1:12" x14ac:dyDescent="0.3">
      <c r="A6228" t="s">
        <v>6234</v>
      </c>
      <c r="B6228" t="s">
        <v>10016</v>
      </c>
      <c r="C6228">
        <v>4</v>
      </c>
      <c r="D6228">
        <v>3</v>
      </c>
      <c r="E6228">
        <v>12</v>
      </c>
      <c r="F6228" t="s">
        <v>10020</v>
      </c>
      <c r="G6228" t="s">
        <v>10102</v>
      </c>
      <c r="H6228" s="6">
        <v>45027</v>
      </c>
      <c r="I6228">
        <f t="shared" si="194"/>
        <v>0</v>
      </c>
      <c r="J6228" t="str">
        <f t="shared" si="195"/>
        <v>Complete</v>
      </c>
      <c r="K6228">
        <f>COUNTIFS(RawData[Item], B6228,RawData[Quantity],C6228,RawData[Price Per Unit],D6228,RawData[Total Spent],E6228,RawData[Payment Method],F6228,RawData[Location],G6228,RawData[Transaction Date],H6228)</f>
        <v>1</v>
      </c>
      <c r="L6228"/>
    </row>
    <row r="6229" spans="1:12" x14ac:dyDescent="0.3">
      <c r="A6229" t="s">
        <v>6235</v>
      </c>
      <c r="B6229" t="s">
        <v>10014</v>
      </c>
      <c r="C6229">
        <v>4</v>
      </c>
      <c r="D6229">
        <v>4</v>
      </c>
      <c r="E6229">
        <v>16</v>
      </c>
      <c r="F6229" t="s">
        <v>10018</v>
      </c>
      <c r="G6229" t="s">
        <v>10104</v>
      </c>
      <c r="H6229" s="6">
        <v>45105</v>
      </c>
      <c r="I6229">
        <f t="shared" si="194"/>
        <v>1</v>
      </c>
      <c r="J6229" t="str">
        <f t="shared" si="195"/>
        <v>Complete</v>
      </c>
      <c r="K6229">
        <f>COUNTIFS(RawData[Item], B6229,RawData[Quantity],C6229,RawData[Price Per Unit],D6229,RawData[Total Spent],E6229,RawData[Payment Method],F6229,RawData[Location],G6229,RawData[Transaction Date],H6229)</f>
        <v>1</v>
      </c>
      <c r="L6229"/>
    </row>
    <row r="6230" spans="1:12" x14ac:dyDescent="0.3">
      <c r="A6230" t="s">
        <v>6236</v>
      </c>
      <c r="B6230" t="s">
        <v>10010</v>
      </c>
      <c r="C6230">
        <v>5</v>
      </c>
      <c r="D6230">
        <v>1</v>
      </c>
      <c r="E6230">
        <v>5</v>
      </c>
      <c r="F6230" t="s">
        <v>10020</v>
      </c>
      <c r="G6230" t="s">
        <v>10021</v>
      </c>
      <c r="H6230" s="6">
        <v>45196</v>
      </c>
      <c r="I6230">
        <f t="shared" si="194"/>
        <v>0</v>
      </c>
      <c r="J6230" t="str">
        <f t="shared" si="195"/>
        <v>Complete</v>
      </c>
      <c r="K6230">
        <f>COUNTIFS(RawData[Item], B6230,RawData[Quantity],C6230,RawData[Price Per Unit],D6230,RawData[Total Spent],E6230,RawData[Payment Method],F6230,RawData[Location],G6230,RawData[Transaction Date],H6230)</f>
        <v>1</v>
      </c>
      <c r="L6230"/>
    </row>
    <row r="6231" spans="1:12" x14ac:dyDescent="0.3">
      <c r="A6231" t="s">
        <v>6237</v>
      </c>
      <c r="B6231" t="s">
        <v>10009</v>
      </c>
      <c r="C6231">
        <v>5</v>
      </c>
      <c r="D6231">
        <v>3</v>
      </c>
      <c r="E6231">
        <v>15</v>
      </c>
      <c r="F6231" t="s">
        <v>10018</v>
      </c>
      <c r="G6231" t="s">
        <v>10021</v>
      </c>
      <c r="H6231" s="6">
        <v>45239</v>
      </c>
      <c r="I6231">
        <f t="shared" si="194"/>
        <v>0</v>
      </c>
      <c r="J6231" t="str">
        <f t="shared" si="195"/>
        <v>Complete</v>
      </c>
      <c r="K6231">
        <f>COUNTIFS(RawData[Item], B6231,RawData[Quantity],C6231,RawData[Price Per Unit],D6231,RawData[Total Spent],E6231,RawData[Payment Method],F6231,RawData[Location],G6231,RawData[Transaction Date],H6231)</f>
        <v>1</v>
      </c>
      <c r="L6231"/>
    </row>
    <row r="6232" spans="1:12" x14ac:dyDescent="0.3">
      <c r="A6232" t="s">
        <v>6238</v>
      </c>
      <c r="B6232" t="s">
        <v>10014</v>
      </c>
      <c r="C6232">
        <v>5</v>
      </c>
      <c r="D6232">
        <v>4</v>
      </c>
      <c r="E6232">
        <v>20</v>
      </c>
      <c r="F6232" t="s">
        <v>10103</v>
      </c>
      <c r="G6232" t="s">
        <v>10069</v>
      </c>
      <c r="H6232" s="6">
        <v>44934</v>
      </c>
      <c r="I6232">
        <f t="shared" si="194"/>
        <v>1</v>
      </c>
      <c r="J6232" t="str">
        <f t="shared" si="195"/>
        <v>Complete</v>
      </c>
      <c r="K6232">
        <f>COUNTIFS(RawData[Item], B6232,RawData[Quantity],C6232,RawData[Price Per Unit],D6232,RawData[Total Spent],E6232,RawData[Payment Method],F6232,RawData[Location],G6232,RawData[Transaction Date],H6232)</f>
        <v>1</v>
      </c>
      <c r="L6232"/>
    </row>
    <row r="6233" spans="1:12" x14ac:dyDescent="0.3">
      <c r="A6233" t="s">
        <v>6239</v>
      </c>
      <c r="B6233" t="s">
        <v>10017</v>
      </c>
      <c r="C6233">
        <v>5</v>
      </c>
      <c r="D6233">
        <v>1.5</v>
      </c>
      <c r="E6233">
        <v>7.5</v>
      </c>
      <c r="F6233" t="s">
        <v>10018</v>
      </c>
      <c r="G6233" t="s">
        <v>10069</v>
      </c>
      <c r="H6233" s="6">
        <v>45120</v>
      </c>
      <c r="I6233">
        <f t="shared" si="194"/>
        <v>0</v>
      </c>
      <c r="J6233" t="str">
        <f t="shared" si="195"/>
        <v>Complete</v>
      </c>
      <c r="K6233">
        <f>COUNTIFS(RawData[Item], B6233,RawData[Quantity],C6233,RawData[Price Per Unit],D6233,RawData[Total Spent],E6233,RawData[Payment Method],F6233,RawData[Location],G6233,RawData[Transaction Date],H6233)</f>
        <v>1</v>
      </c>
      <c r="L6233"/>
    </row>
    <row r="6234" spans="1:12" x14ac:dyDescent="0.3">
      <c r="A6234" t="s">
        <v>6240</v>
      </c>
      <c r="B6234" t="s">
        <v>10016</v>
      </c>
      <c r="C6234">
        <v>4</v>
      </c>
      <c r="D6234">
        <v>3</v>
      </c>
      <c r="E6234">
        <v>12</v>
      </c>
      <c r="F6234" t="s">
        <v>10069</v>
      </c>
      <c r="G6234" t="s">
        <v>10102</v>
      </c>
      <c r="H6234" s="6">
        <v>45099</v>
      </c>
      <c r="I6234">
        <f t="shared" si="194"/>
        <v>0</v>
      </c>
      <c r="J6234" t="str">
        <f t="shared" si="195"/>
        <v>Complete</v>
      </c>
      <c r="K6234">
        <f>COUNTIFS(RawData[Item], B6234,RawData[Quantity],C6234,RawData[Price Per Unit],D6234,RawData[Total Spent],E6234,RawData[Payment Method],F6234,RawData[Location],G6234,RawData[Transaction Date],H6234)</f>
        <v>1</v>
      </c>
      <c r="L6234"/>
    </row>
    <row r="6235" spans="1:12" x14ac:dyDescent="0.3">
      <c r="A6235" t="s">
        <v>6241</v>
      </c>
      <c r="B6235" t="s">
        <v>10015</v>
      </c>
      <c r="C6235">
        <v>5</v>
      </c>
      <c r="D6235">
        <v>1</v>
      </c>
      <c r="E6235">
        <v>5</v>
      </c>
      <c r="F6235" t="s">
        <v>10069</v>
      </c>
      <c r="G6235" t="s">
        <v>10102</v>
      </c>
      <c r="H6235" s="6">
        <v>45119</v>
      </c>
      <c r="I6235">
        <f t="shared" si="194"/>
        <v>1</v>
      </c>
      <c r="J6235" t="str">
        <f t="shared" si="195"/>
        <v>Complete</v>
      </c>
      <c r="K6235">
        <f>COUNTIFS(RawData[Item], B6235,RawData[Quantity],C6235,RawData[Price Per Unit],D6235,RawData[Total Spent],E6235,RawData[Payment Method],F6235,RawData[Location],G6235,RawData[Transaction Date],H6235)</f>
        <v>1</v>
      </c>
      <c r="L6235"/>
    </row>
    <row r="6236" spans="1:12" x14ac:dyDescent="0.3">
      <c r="A6236" t="s">
        <v>6242</v>
      </c>
      <c r="B6236" t="s">
        <v>10014</v>
      </c>
      <c r="C6236">
        <v>2</v>
      </c>
      <c r="D6236">
        <v>4</v>
      </c>
      <c r="E6236">
        <v>8</v>
      </c>
      <c r="F6236" t="s">
        <v>10018</v>
      </c>
      <c r="G6236" t="s">
        <v>10102</v>
      </c>
      <c r="H6236" s="6">
        <v>45000</v>
      </c>
      <c r="I6236">
        <f t="shared" si="194"/>
        <v>0</v>
      </c>
      <c r="J6236" t="str">
        <f t="shared" si="195"/>
        <v>Complete</v>
      </c>
      <c r="K6236">
        <f>COUNTIFS(RawData[Item], B6236,RawData[Quantity],C6236,RawData[Price Per Unit],D6236,RawData[Total Spent],E6236,RawData[Payment Method],F6236,RawData[Location],G6236,RawData[Transaction Date],H6236)</f>
        <v>1</v>
      </c>
      <c r="L6236"/>
    </row>
    <row r="6237" spans="1:12" x14ac:dyDescent="0.3">
      <c r="A6237" t="s">
        <v>6243</v>
      </c>
      <c r="B6237" t="s">
        <v>10016</v>
      </c>
      <c r="C6237">
        <v>4</v>
      </c>
      <c r="D6237">
        <v>3</v>
      </c>
      <c r="E6237">
        <v>12</v>
      </c>
      <c r="F6237" t="s">
        <v>10069</v>
      </c>
      <c r="G6237" t="s">
        <v>10069</v>
      </c>
      <c r="H6237" s="6">
        <v>45228</v>
      </c>
      <c r="I6237">
        <f t="shared" si="194"/>
        <v>0</v>
      </c>
      <c r="J6237" t="str">
        <f t="shared" si="195"/>
        <v>Complete</v>
      </c>
      <c r="K6237">
        <f>COUNTIFS(RawData[Item], B6237,RawData[Quantity],C6237,RawData[Price Per Unit],D6237,RawData[Total Spent],E6237,RawData[Payment Method],F6237,RawData[Location],G6237,RawData[Transaction Date],H6237)</f>
        <v>1</v>
      </c>
      <c r="L6237"/>
    </row>
    <row r="6238" spans="1:12" x14ac:dyDescent="0.3">
      <c r="A6238" t="s">
        <v>6244</v>
      </c>
      <c r="B6238" t="s">
        <v>10012</v>
      </c>
      <c r="C6238">
        <v>3</v>
      </c>
      <c r="D6238">
        <v>4</v>
      </c>
      <c r="E6238">
        <v>12</v>
      </c>
      <c r="F6238" t="s">
        <v>10069</v>
      </c>
      <c r="G6238" t="s">
        <v>10069</v>
      </c>
      <c r="H6238" s="6">
        <v>45288</v>
      </c>
      <c r="I6238">
        <f t="shared" si="194"/>
        <v>0</v>
      </c>
      <c r="J6238" t="str">
        <f t="shared" si="195"/>
        <v>Complete</v>
      </c>
      <c r="K6238">
        <f>COUNTIFS(RawData[Item], B6238,RawData[Quantity],C6238,RawData[Price Per Unit],D6238,RawData[Total Spent],E6238,RawData[Payment Method],F6238,RawData[Location],G6238,RawData[Transaction Date],H6238)</f>
        <v>1</v>
      </c>
      <c r="L6238"/>
    </row>
    <row r="6239" spans="1:12" x14ac:dyDescent="0.3">
      <c r="A6239" t="s">
        <v>6245</v>
      </c>
      <c r="B6239" t="s">
        <v>10012</v>
      </c>
      <c r="C6239">
        <v>2</v>
      </c>
      <c r="D6239">
        <v>4</v>
      </c>
      <c r="E6239">
        <v>8</v>
      </c>
      <c r="F6239" t="s">
        <v>10103</v>
      </c>
      <c r="G6239" t="s">
        <v>10069</v>
      </c>
      <c r="H6239" s="6">
        <v>45205</v>
      </c>
      <c r="I6239">
        <f t="shared" si="194"/>
        <v>1</v>
      </c>
      <c r="J6239" t="str">
        <f t="shared" si="195"/>
        <v>Complete</v>
      </c>
      <c r="K6239">
        <f>COUNTIFS(RawData[Item], B6239,RawData[Quantity],C6239,RawData[Price Per Unit],D6239,RawData[Total Spent],E6239,RawData[Payment Method],F6239,RawData[Location],G6239,RawData[Transaction Date],H6239)</f>
        <v>1</v>
      </c>
      <c r="L6239"/>
    </row>
    <row r="6240" spans="1:12" x14ac:dyDescent="0.3">
      <c r="A6240" t="s">
        <v>6246</v>
      </c>
      <c r="B6240" t="s">
        <v>10016</v>
      </c>
      <c r="C6240">
        <v>4</v>
      </c>
      <c r="D6240">
        <v>3</v>
      </c>
      <c r="E6240">
        <v>12</v>
      </c>
      <c r="F6240" t="s">
        <v>10019</v>
      </c>
      <c r="G6240" t="s">
        <v>10069</v>
      </c>
      <c r="H6240" s="6" t="s">
        <v>10112</v>
      </c>
      <c r="I6240">
        <f t="shared" si="194"/>
        <v>1</v>
      </c>
      <c r="J6240" t="str">
        <f t="shared" si="195"/>
        <v>Incomplete</v>
      </c>
      <c r="K6240">
        <f>COUNTIFS(RawData[Item], B6240,RawData[Quantity],C6240,RawData[Price Per Unit],D6240,RawData[Total Spent],E6240,RawData[Payment Method],F6240,RawData[Location],G6240,RawData[Transaction Date],H6240)</f>
        <v>1</v>
      </c>
      <c r="L6240"/>
    </row>
    <row r="6241" spans="1:12" x14ac:dyDescent="0.3">
      <c r="A6241" t="s">
        <v>6247</v>
      </c>
      <c r="B6241" t="s">
        <v>10014</v>
      </c>
      <c r="C6241">
        <v>4</v>
      </c>
      <c r="D6241">
        <v>4</v>
      </c>
      <c r="E6241">
        <v>16</v>
      </c>
      <c r="F6241" t="s">
        <v>10019</v>
      </c>
      <c r="G6241" t="s">
        <v>10102</v>
      </c>
      <c r="H6241" s="6">
        <v>45148</v>
      </c>
      <c r="I6241">
        <f t="shared" si="194"/>
        <v>0</v>
      </c>
      <c r="J6241" t="str">
        <f t="shared" si="195"/>
        <v>Complete</v>
      </c>
      <c r="K6241">
        <f>COUNTIFS(RawData[Item], B6241,RawData[Quantity],C6241,RawData[Price Per Unit],D6241,RawData[Total Spent],E6241,RawData[Payment Method],F6241,RawData[Location],G6241,RawData[Transaction Date],H6241)</f>
        <v>1</v>
      </c>
      <c r="L6241"/>
    </row>
    <row r="6242" spans="1:12" x14ac:dyDescent="0.3">
      <c r="A6242" t="s">
        <v>6248</v>
      </c>
      <c r="B6242" t="s">
        <v>10012</v>
      </c>
      <c r="C6242">
        <v>1</v>
      </c>
      <c r="D6242" t="s">
        <v>10013</v>
      </c>
      <c r="E6242">
        <v>4</v>
      </c>
      <c r="F6242" t="s">
        <v>10069</v>
      </c>
      <c r="G6242" t="s">
        <v>10021</v>
      </c>
      <c r="H6242" s="6">
        <v>45201</v>
      </c>
      <c r="I6242">
        <f t="shared" si="194"/>
        <v>1</v>
      </c>
      <c r="J6242" t="str">
        <f t="shared" si="195"/>
        <v>Complete</v>
      </c>
      <c r="K6242">
        <f>COUNTIFS(RawData[Item], B6242,RawData[Quantity],C6242,RawData[Price Per Unit],D6242,RawData[Total Spent],E6242,RawData[Payment Method],F6242,RawData[Location],G6242,RawData[Transaction Date],H6242)</f>
        <v>1</v>
      </c>
      <c r="L6242"/>
    </row>
    <row r="6243" spans="1:12" x14ac:dyDescent="0.3">
      <c r="A6243" t="s">
        <v>6249</v>
      </c>
      <c r="B6243" t="s">
        <v>10010</v>
      </c>
      <c r="C6243">
        <v>4</v>
      </c>
      <c r="D6243">
        <v>1</v>
      </c>
      <c r="E6243">
        <v>4</v>
      </c>
      <c r="F6243" t="s">
        <v>10018</v>
      </c>
      <c r="G6243" t="s">
        <v>10021</v>
      </c>
      <c r="H6243" s="6">
        <v>45030</v>
      </c>
      <c r="I6243">
        <f t="shared" si="194"/>
        <v>0</v>
      </c>
      <c r="J6243" t="str">
        <f t="shared" si="195"/>
        <v>Complete</v>
      </c>
      <c r="K6243">
        <f>COUNTIFS(RawData[Item], B6243,RawData[Quantity],C6243,RawData[Price Per Unit],D6243,RawData[Total Spent],E6243,RawData[Payment Method],F6243,RawData[Location],G6243,RawData[Transaction Date],H6243)</f>
        <v>1</v>
      </c>
      <c r="L6243"/>
    </row>
    <row r="6244" spans="1:12" x14ac:dyDescent="0.3">
      <c r="A6244" t="s">
        <v>6250</v>
      </c>
      <c r="B6244" t="s">
        <v>10012</v>
      </c>
      <c r="C6244">
        <v>3</v>
      </c>
      <c r="D6244">
        <v>4</v>
      </c>
      <c r="E6244">
        <v>12</v>
      </c>
      <c r="F6244" t="s">
        <v>10069</v>
      </c>
      <c r="G6244" t="s">
        <v>10102</v>
      </c>
      <c r="H6244" s="6">
        <v>45248</v>
      </c>
      <c r="I6244">
        <f t="shared" si="194"/>
        <v>0</v>
      </c>
      <c r="J6244" t="str">
        <f t="shared" si="195"/>
        <v>Complete</v>
      </c>
      <c r="K6244">
        <f>COUNTIFS(RawData[Item], B6244,RawData[Quantity],C6244,RawData[Price Per Unit],D6244,RawData[Total Spent],E6244,RawData[Payment Method],F6244,RawData[Location],G6244,RawData[Transaction Date],H6244)</f>
        <v>1</v>
      </c>
      <c r="L6244"/>
    </row>
    <row r="6245" spans="1:12" x14ac:dyDescent="0.3">
      <c r="A6245" t="s">
        <v>6251</v>
      </c>
      <c r="B6245" t="s">
        <v>10017</v>
      </c>
      <c r="C6245">
        <v>1</v>
      </c>
      <c r="D6245">
        <v>1.5</v>
      </c>
      <c r="E6245">
        <v>1.5</v>
      </c>
      <c r="F6245" t="s">
        <v>10019</v>
      </c>
      <c r="G6245" t="s">
        <v>10069</v>
      </c>
      <c r="H6245" s="6">
        <v>45108</v>
      </c>
      <c r="I6245">
        <f t="shared" si="194"/>
        <v>0</v>
      </c>
      <c r="J6245" t="str">
        <f t="shared" si="195"/>
        <v>Complete</v>
      </c>
      <c r="K6245">
        <f>COUNTIFS(RawData[Item], B6245,RawData[Quantity],C6245,RawData[Price Per Unit],D6245,RawData[Total Spent],E6245,RawData[Payment Method],F6245,RawData[Location],G6245,RawData[Transaction Date],H6245)</f>
        <v>1</v>
      </c>
      <c r="L6245"/>
    </row>
    <row r="6246" spans="1:12" x14ac:dyDescent="0.3">
      <c r="A6246" t="s">
        <v>6252</v>
      </c>
      <c r="B6246" t="s">
        <v>10010</v>
      </c>
      <c r="C6246">
        <v>3</v>
      </c>
      <c r="D6246">
        <v>1</v>
      </c>
      <c r="E6246">
        <v>3</v>
      </c>
      <c r="F6246" t="s">
        <v>10020</v>
      </c>
      <c r="G6246" t="s">
        <v>10021</v>
      </c>
      <c r="H6246" s="6">
        <v>45211</v>
      </c>
      <c r="I6246">
        <f t="shared" si="194"/>
        <v>0</v>
      </c>
      <c r="J6246" t="str">
        <f t="shared" si="195"/>
        <v>Complete</v>
      </c>
      <c r="K6246">
        <f>COUNTIFS(RawData[Item], B6246,RawData[Quantity],C6246,RawData[Price Per Unit],D6246,RawData[Total Spent],E6246,RawData[Payment Method],F6246,RawData[Location],G6246,RawData[Transaction Date],H6246)</f>
        <v>1</v>
      </c>
      <c r="L6246"/>
    </row>
    <row r="6247" spans="1:12" x14ac:dyDescent="0.3">
      <c r="A6247" t="s">
        <v>6253</v>
      </c>
      <c r="B6247" t="s">
        <v>10012</v>
      </c>
      <c r="C6247">
        <v>4</v>
      </c>
      <c r="D6247">
        <v>4</v>
      </c>
      <c r="E6247">
        <v>16</v>
      </c>
      <c r="F6247" t="s">
        <v>10069</v>
      </c>
      <c r="G6247" t="s">
        <v>10069</v>
      </c>
      <c r="H6247" s="6">
        <v>44982</v>
      </c>
      <c r="I6247">
        <f t="shared" si="194"/>
        <v>0</v>
      </c>
      <c r="J6247" t="str">
        <f t="shared" si="195"/>
        <v>Complete</v>
      </c>
      <c r="K6247">
        <f>COUNTIFS(RawData[Item], B6247,RawData[Quantity],C6247,RawData[Price Per Unit],D6247,RawData[Total Spent],E6247,RawData[Payment Method],F6247,RawData[Location],G6247,RawData[Transaction Date],H6247)</f>
        <v>1</v>
      </c>
      <c r="L6247"/>
    </row>
    <row r="6248" spans="1:12" x14ac:dyDescent="0.3">
      <c r="A6248" t="s">
        <v>6254</v>
      </c>
      <c r="B6248" t="s">
        <v>10009</v>
      </c>
      <c r="C6248">
        <v>3</v>
      </c>
      <c r="D6248">
        <v>3</v>
      </c>
      <c r="E6248">
        <v>9</v>
      </c>
      <c r="F6248" t="s">
        <v>10019</v>
      </c>
      <c r="G6248" t="s">
        <v>10069</v>
      </c>
      <c r="H6248" s="6">
        <v>45034</v>
      </c>
      <c r="I6248">
        <f t="shared" si="194"/>
        <v>0</v>
      </c>
      <c r="J6248" t="str">
        <f t="shared" si="195"/>
        <v>Complete</v>
      </c>
      <c r="K6248">
        <f>COUNTIFS(RawData[Item], B6248,RawData[Quantity],C6248,RawData[Price Per Unit],D6248,RawData[Total Spent],E6248,RawData[Payment Method],F6248,RawData[Location],G6248,RawData[Transaction Date],H6248)</f>
        <v>1</v>
      </c>
      <c r="L6248"/>
    </row>
    <row r="6249" spans="1:12" x14ac:dyDescent="0.3">
      <c r="A6249" t="s">
        <v>6255</v>
      </c>
      <c r="B6249" t="s">
        <v>10014</v>
      </c>
      <c r="C6249">
        <v>1</v>
      </c>
      <c r="D6249">
        <v>4</v>
      </c>
      <c r="E6249">
        <v>4</v>
      </c>
      <c r="F6249" t="s">
        <v>10020</v>
      </c>
      <c r="G6249" t="s">
        <v>10069</v>
      </c>
      <c r="H6249" s="6" t="s">
        <v>10112</v>
      </c>
      <c r="I6249">
        <f t="shared" si="194"/>
        <v>1</v>
      </c>
      <c r="J6249" t="str">
        <f t="shared" si="195"/>
        <v>Incomplete</v>
      </c>
      <c r="K6249">
        <f>COUNTIFS(RawData[Item], B6249,RawData[Quantity],C6249,RawData[Price Per Unit],D6249,RawData[Total Spent],E6249,RawData[Payment Method],F6249,RawData[Location],G6249,RawData[Transaction Date],H6249)</f>
        <v>2</v>
      </c>
      <c r="L6249"/>
    </row>
    <row r="6250" spans="1:12" x14ac:dyDescent="0.3">
      <c r="A6250" t="s">
        <v>6256</v>
      </c>
      <c r="B6250" t="s">
        <v>10008</v>
      </c>
      <c r="C6250">
        <v>4</v>
      </c>
      <c r="D6250">
        <v>2</v>
      </c>
      <c r="E6250">
        <v>8</v>
      </c>
      <c r="F6250" t="s">
        <v>10020</v>
      </c>
      <c r="G6250" t="s">
        <v>10021</v>
      </c>
      <c r="H6250" s="6">
        <v>45108</v>
      </c>
      <c r="I6250">
        <f t="shared" si="194"/>
        <v>0</v>
      </c>
      <c r="J6250" t="str">
        <f t="shared" si="195"/>
        <v>Complete</v>
      </c>
      <c r="K6250">
        <f>COUNTIFS(RawData[Item], B6250,RawData[Quantity],C6250,RawData[Price Per Unit],D6250,RawData[Total Spent],E6250,RawData[Payment Method],F6250,RawData[Location],G6250,RawData[Transaction Date],H6250)</f>
        <v>1</v>
      </c>
      <c r="L6250"/>
    </row>
    <row r="6251" spans="1:12" x14ac:dyDescent="0.3">
      <c r="A6251" t="s">
        <v>6257</v>
      </c>
      <c r="B6251" t="s">
        <v>10010</v>
      </c>
      <c r="C6251">
        <v>2</v>
      </c>
      <c r="D6251">
        <v>1</v>
      </c>
      <c r="E6251">
        <v>2</v>
      </c>
      <c r="F6251" t="s">
        <v>10019</v>
      </c>
      <c r="G6251" t="s">
        <v>10069</v>
      </c>
      <c r="H6251" s="6">
        <v>45003</v>
      </c>
      <c r="I6251">
        <f t="shared" si="194"/>
        <v>0</v>
      </c>
      <c r="J6251" t="str">
        <f t="shared" si="195"/>
        <v>Complete</v>
      </c>
      <c r="K6251">
        <f>COUNTIFS(RawData[Item], B6251,RawData[Quantity],C6251,RawData[Price Per Unit],D6251,RawData[Total Spent],E6251,RawData[Payment Method],F6251,RawData[Location],G6251,RawData[Transaction Date],H6251)</f>
        <v>1</v>
      </c>
      <c r="L6251"/>
    </row>
    <row r="6252" spans="1:12" x14ac:dyDescent="0.3">
      <c r="A6252" t="s">
        <v>6258</v>
      </c>
      <c r="B6252" t="s">
        <v>10011</v>
      </c>
      <c r="C6252">
        <v>3</v>
      </c>
      <c r="D6252">
        <v>5</v>
      </c>
      <c r="E6252">
        <v>15</v>
      </c>
      <c r="F6252" t="s">
        <v>10018</v>
      </c>
      <c r="G6252" t="s">
        <v>10104</v>
      </c>
      <c r="H6252" s="6">
        <v>45002</v>
      </c>
      <c r="I6252">
        <f t="shared" si="194"/>
        <v>1</v>
      </c>
      <c r="J6252" t="str">
        <f t="shared" si="195"/>
        <v>Complete</v>
      </c>
      <c r="K6252">
        <f>COUNTIFS(RawData[Item], B6252,RawData[Quantity],C6252,RawData[Price Per Unit],D6252,RawData[Total Spent],E6252,RawData[Payment Method],F6252,RawData[Location],G6252,RawData[Transaction Date],H6252)</f>
        <v>1</v>
      </c>
      <c r="L6252"/>
    </row>
    <row r="6253" spans="1:12" x14ac:dyDescent="0.3">
      <c r="A6253" t="s">
        <v>6259</v>
      </c>
      <c r="B6253" t="s">
        <v>10008</v>
      </c>
      <c r="C6253">
        <v>1</v>
      </c>
      <c r="D6253">
        <v>2</v>
      </c>
      <c r="E6253">
        <v>2</v>
      </c>
      <c r="F6253" t="s">
        <v>10020</v>
      </c>
      <c r="G6253" t="s">
        <v>10102</v>
      </c>
      <c r="H6253" s="6">
        <v>45229</v>
      </c>
      <c r="I6253">
        <f t="shared" si="194"/>
        <v>0</v>
      </c>
      <c r="J6253" t="str">
        <f t="shared" si="195"/>
        <v>Complete</v>
      </c>
      <c r="K6253">
        <f>COUNTIFS(RawData[Item], B6253,RawData[Quantity],C6253,RawData[Price Per Unit],D6253,RawData[Total Spent],E6253,RawData[Payment Method],F6253,RawData[Location],G6253,RawData[Transaction Date],H6253)</f>
        <v>1</v>
      </c>
      <c r="L6253"/>
    </row>
    <row r="6254" spans="1:12" x14ac:dyDescent="0.3">
      <c r="A6254" t="s">
        <v>6260</v>
      </c>
      <c r="B6254" t="s">
        <v>10016</v>
      </c>
      <c r="C6254">
        <v>0</v>
      </c>
      <c r="D6254">
        <v>3</v>
      </c>
      <c r="E6254">
        <v>15</v>
      </c>
      <c r="F6254" t="s">
        <v>10020</v>
      </c>
      <c r="G6254" t="s">
        <v>10102</v>
      </c>
      <c r="H6254" s="6">
        <v>44974</v>
      </c>
      <c r="I6254">
        <f t="shared" si="194"/>
        <v>0</v>
      </c>
      <c r="J6254" t="str">
        <f t="shared" si="195"/>
        <v>Complete</v>
      </c>
      <c r="K6254">
        <f>COUNTIFS(RawData[Item], B6254,RawData[Quantity],C6254,RawData[Price Per Unit],D6254,RawData[Total Spent],E6254,RawData[Payment Method],F6254,RawData[Location],G6254,RawData[Transaction Date],H6254)</f>
        <v>1</v>
      </c>
      <c r="L6254"/>
    </row>
    <row r="6255" spans="1:12" x14ac:dyDescent="0.3">
      <c r="A6255" t="s">
        <v>6261</v>
      </c>
      <c r="B6255" t="s">
        <v>10016</v>
      </c>
      <c r="C6255">
        <v>2</v>
      </c>
      <c r="D6255">
        <v>3</v>
      </c>
      <c r="E6255">
        <v>6</v>
      </c>
      <c r="F6255" t="s">
        <v>10020</v>
      </c>
      <c r="G6255" t="s">
        <v>10021</v>
      </c>
      <c r="H6255" s="6">
        <v>44988</v>
      </c>
      <c r="I6255">
        <f t="shared" si="194"/>
        <v>0</v>
      </c>
      <c r="J6255" t="str">
        <f t="shared" si="195"/>
        <v>Complete</v>
      </c>
      <c r="K6255">
        <f>COUNTIFS(RawData[Item], B6255,RawData[Quantity],C6255,RawData[Price Per Unit],D6255,RawData[Total Spent],E6255,RawData[Payment Method],F6255,RawData[Location],G6255,RawData[Transaction Date],H6255)</f>
        <v>1</v>
      </c>
      <c r="L6255"/>
    </row>
    <row r="6256" spans="1:12" x14ac:dyDescent="0.3">
      <c r="A6256" t="s">
        <v>6262</v>
      </c>
      <c r="B6256" t="s">
        <v>10008</v>
      </c>
      <c r="C6256">
        <v>2</v>
      </c>
      <c r="D6256">
        <v>2</v>
      </c>
      <c r="E6256">
        <v>4</v>
      </c>
      <c r="F6256" t="s">
        <v>10069</v>
      </c>
      <c r="G6256" t="s">
        <v>10104</v>
      </c>
      <c r="H6256" s="6">
        <v>45047</v>
      </c>
      <c r="I6256">
        <f t="shared" si="194"/>
        <v>1</v>
      </c>
      <c r="J6256" t="str">
        <f t="shared" si="195"/>
        <v>Complete</v>
      </c>
      <c r="K6256">
        <f>COUNTIFS(RawData[Item], B6256,RawData[Quantity],C6256,RawData[Price Per Unit],D6256,RawData[Total Spent],E6256,RawData[Payment Method],F6256,RawData[Location],G6256,RawData[Transaction Date],H6256)</f>
        <v>1</v>
      </c>
      <c r="L6256"/>
    </row>
    <row r="6257" spans="1:12" x14ac:dyDescent="0.3">
      <c r="A6257" t="s">
        <v>6263</v>
      </c>
      <c r="B6257" t="s">
        <v>10012</v>
      </c>
      <c r="C6257">
        <v>4</v>
      </c>
      <c r="D6257">
        <v>4</v>
      </c>
      <c r="E6257">
        <v>16</v>
      </c>
      <c r="F6257" t="s">
        <v>10019</v>
      </c>
      <c r="G6257" t="s">
        <v>10102</v>
      </c>
      <c r="H6257" s="6">
        <v>45106</v>
      </c>
      <c r="I6257">
        <f t="shared" si="194"/>
        <v>0</v>
      </c>
      <c r="J6257" t="str">
        <f t="shared" si="195"/>
        <v>Complete</v>
      </c>
      <c r="K6257">
        <f>COUNTIFS(RawData[Item], B6257,RawData[Quantity],C6257,RawData[Price Per Unit],D6257,RawData[Total Spent],E6257,RawData[Payment Method],F6257,RawData[Location],G6257,RawData[Transaction Date],H6257)</f>
        <v>1</v>
      </c>
      <c r="L6257"/>
    </row>
    <row r="6258" spans="1:12" x14ac:dyDescent="0.3">
      <c r="A6258" t="s">
        <v>6264</v>
      </c>
      <c r="B6258" t="s">
        <v>10010</v>
      </c>
      <c r="C6258">
        <v>3</v>
      </c>
      <c r="D6258">
        <v>1</v>
      </c>
      <c r="E6258">
        <v>3</v>
      </c>
      <c r="F6258" t="s">
        <v>10020</v>
      </c>
      <c r="G6258" t="s">
        <v>10102</v>
      </c>
      <c r="H6258" s="6">
        <v>44986</v>
      </c>
      <c r="I6258">
        <f t="shared" si="194"/>
        <v>0</v>
      </c>
      <c r="J6258" t="str">
        <f t="shared" si="195"/>
        <v>Complete</v>
      </c>
      <c r="K6258">
        <f>COUNTIFS(RawData[Item], B6258,RawData[Quantity],C6258,RawData[Price Per Unit],D6258,RawData[Total Spent],E6258,RawData[Payment Method],F6258,RawData[Location],G6258,RawData[Transaction Date],H6258)</f>
        <v>1</v>
      </c>
      <c r="L6258"/>
    </row>
    <row r="6259" spans="1:12" x14ac:dyDescent="0.3">
      <c r="A6259" t="s">
        <v>6265</v>
      </c>
      <c r="B6259" t="s">
        <v>10017</v>
      </c>
      <c r="C6259">
        <v>1</v>
      </c>
      <c r="D6259">
        <v>1.5</v>
      </c>
      <c r="E6259">
        <v>1.5</v>
      </c>
      <c r="F6259" t="s">
        <v>10069</v>
      </c>
      <c r="G6259" t="s">
        <v>10102</v>
      </c>
      <c r="H6259" s="6">
        <v>45047</v>
      </c>
      <c r="I6259">
        <f t="shared" si="194"/>
        <v>0</v>
      </c>
      <c r="J6259" t="str">
        <f t="shared" si="195"/>
        <v>Complete</v>
      </c>
      <c r="K6259">
        <f>COUNTIFS(RawData[Item], B6259,RawData[Quantity],C6259,RawData[Price Per Unit],D6259,RawData[Total Spent],E6259,RawData[Payment Method],F6259,RawData[Location],G6259,RawData[Transaction Date],H6259)</f>
        <v>1</v>
      </c>
      <c r="L6259"/>
    </row>
    <row r="6260" spans="1:12" x14ac:dyDescent="0.3">
      <c r="A6260" t="s">
        <v>6266</v>
      </c>
      <c r="B6260" t="s">
        <v>10011</v>
      </c>
      <c r="C6260">
        <v>2</v>
      </c>
      <c r="D6260">
        <v>5</v>
      </c>
      <c r="E6260">
        <v>10</v>
      </c>
      <c r="F6260" t="s">
        <v>10018</v>
      </c>
      <c r="G6260" t="s">
        <v>10069</v>
      </c>
      <c r="H6260" s="6">
        <v>45199</v>
      </c>
      <c r="I6260">
        <f t="shared" si="194"/>
        <v>0</v>
      </c>
      <c r="J6260" t="str">
        <f t="shared" si="195"/>
        <v>Complete</v>
      </c>
      <c r="K6260">
        <f>COUNTIFS(RawData[Item], B6260,RawData[Quantity],C6260,RawData[Price Per Unit],D6260,RawData[Total Spent],E6260,RawData[Payment Method],F6260,RawData[Location],G6260,RawData[Transaction Date],H6260)</f>
        <v>1</v>
      </c>
      <c r="L6260"/>
    </row>
    <row r="6261" spans="1:12" x14ac:dyDescent="0.3">
      <c r="A6261" t="s">
        <v>6267</v>
      </c>
      <c r="B6261" t="s">
        <v>10017</v>
      </c>
      <c r="C6261">
        <v>3</v>
      </c>
      <c r="D6261">
        <v>1.5</v>
      </c>
      <c r="E6261" t="s">
        <v>10015</v>
      </c>
      <c r="F6261" t="s">
        <v>10018</v>
      </c>
      <c r="G6261" t="s">
        <v>10021</v>
      </c>
      <c r="H6261" s="6">
        <v>45181</v>
      </c>
      <c r="I6261">
        <f t="shared" si="194"/>
        <v>1</v>
      </c>
      <c r="J6261" t="str">
        <f t="shared" si="195"/>
        <v>Complete</v>
      </c>
      <c r="K6261">
        <f>COUNTIFS(RawData[Item], B6261,RawData[Quantity],C6261,RawData[Price Per Unit],D6261,RawData[Total Spent],E6261,RawData[Payment Method],F6261,RawData[Location],G6261,RawData[Transaction Date],H6261)</f>
        <v>1</v>
      </c>
      <c r="L6261"/>
    </row>
    <row r="6262" spans="1:12" x14ac:dyDescent="0.3">
      <c r="A6262" t="s">
        <v>6268</v>
      </c>
      <c r="B6262" t="s">
        <v>10014</v>
      </c>
      <c r="C6262">
        <v>3</v>
      </c>
      <c r="D6262">
        <v>4</v>
      </c>
      <c r="E6262">
        <v>12</v>
      </c>
      <c r="F6262" t="s">
        <v>10018</v>
      </c>
      <c r="G6262" t="s">
        <v>10021</v>
      </c>
      <c r="H6262" s="6">
        <v>45050</v>
      </c>
      <c r="I6262">
        <f t="shared" si="194"/>
        <v>0</v>
      </c>
      <c r="J6262" t="str">
        <f t="shared" si="195"/>
        <v>Complete</v>
      </c>
      <c r="K6262">
        <f>COUNTIFS(RawData[Item], B6262,RawData[Quantity],C6262,RawData[Price Per Unit],D6262,RawData[Total Spent],E6262,RawData[Payment Method],F6262,RawData[Location],G6262,RawData[Transaction Date],H6262)</f>
        <v>1</v>
      </c>
      <c r="L6262"/>
    </row>
    <row r="6263" spans="1:12" x14ac:dyDescent="0.3">
      <c r="A6263" t="s">
        <v>6269</v>
      </c>
      <c r="B6263" t="s">
        <v>10009</v>
      </c>
      <c r="C6263">
        <v>5</v>
      </c>
      <c r="D6263">
        <v>3</v>
      </c>
      <c r="E6263">
        <v>15</v>
      </c>
      <c r="F6263" t="s">
        <v>10020</v>
      </c>
      <c r="G6263" t="s">
        <v>10102</v>
      </c>
      <c r="H6263" s="6">
        <v>45139</v>
      </c>
      <c r="I6263">
        <f t="shared" si="194"/>
        <v>0</v>
      </c>
      <c r="J6263" t="str">
        <f t="shared" si="195"/>
        <v>Complete</v>
      </c>
      <c r="K6263">
        <f>COUNTIFS(RawData[Item], B6263,RawData[Quantity],C6263,RawData[Price Per Unit],D6263,RawData[Total Spent],E6263,RawData[Payment Method],F6263,RawData[Location],G6263,RawData[Transaction Date],H6263)</f>
        <v>1</v>
      </c>
      <c r="L6263"/>
    </row>
    <row r="6264" spans="1:12" x14ac:dyDescent="0.3">
      <c r="A6264" t="s">
        <v>6270</v>
      </c>
      <c r="B6264" t="s">
        <v>10013</v>
      </c>
      <c r="C6264">
        <v>1</v>
      </c>
      <c r="D6264">
        <v>3</v>
      </c>
      <c r="E6264">
        <v>3</v>
      </c>
      <c r="F6264" t="s">
        <v>10018</v>
      </c>
      <c r="G6264" t="s">
        <v>10069</v>
      </c>
      <c r="H6264" s="6">
        <v>45159</v>
      </c>
      <c r="I6264">
        <f t="shared" si="194"/>
        <v>1</v>
      </c>
      <c r="J6264" t="str">
        <f t="shared" si="195"/>
        <v>Complete</v>
      </c>
      <c r="K6264">
        <f>COUNTIFS(RawData[Item], B6264,RawData[Quantity],C6264,RawData[Price Per Unit],D6264,RawData[Total Spent],E6264,RawData[Payment Method],F6264,RawData[Location],G6264,RawData[Transaction Date],H6264)</f>
        <v>1</v>
      </c>
      <c r="L6264"/>
    </row>
    <row r="6265" spans="1:12" x14ac:dyDescent="0.3">
      <c r="A6265" t="s">
        <v>6271</v>
      </c>
      <c r="B6265" t="s">
        <v>10069</v>
      </c>
      <c r="C6265">
        <v>1</v>
      </c>
      <c r="D6265">
        <v>2</v>
      </c>
      <c r="E6265">
        <v>2</v>
      </c>
      <c r="F6265" t="s">
        <v>10069</v>
      </c>
      <c r="G6265" t="s">
        <v>10069</v>
      </c>
      <c r="H6265" s="6">
        <v>45183</v>
      </c>
      <c r="I6265">
        <f t="shared" si="194"/>
        <v>0</v>
      </c>
      <c r="J6265" t="str">
        <f t="shared" si="195"/>
        <v>Complete</v>
      </c>
      <c r="K6265">
        <f>COUNTIFS(RawData[Item], B6265,RawData[Quantity],C6265,RawData[Price Per Unit],D6265,RawData[Total Spent],E6265,RawData[Payment Method],F6265,RawData[Location],G6265,RawData[Transaction Date],H6265)</f>
        <v>1</v>
      </c>
      <c r="L6265"/>
    </row>
    <row r="6266" spans="1:12" x14ac:dyDescent="0.3">
      <c r="A6266" t="s">
        <v>6272</v>
      </c>
      <c r="B6266" t="s">
        <v>10013</v>
      </c>
      <c r="C6266">
        <v>4</v>
      </c>
      <c r="D6266">
        <v>4</v>
      </c>
      <c r="E6266">
        <v>16</v>
      </c>
      <c r="F6266" t="s">
        <v>10018</v>
      </c>
      <c r="G6266" t="s">
        <v>10069</v>
      </c>
      <c r="H6266" s="6">
        <v>45051</v>
      </c>
      <c r="I6266">
        <f t="shared" si="194"/>
        <v>1</v>
      </c>
      <c r="J6266" t="str">
        <f t="shared" si="195"/>
        <v>Complete</v>
      </c>
      <c r="K6266">
        <f>COUNTIFS(RawData[Item], B6266,RawData[Quantity],C6266,RawData[Price Per Unit],D6266,RawData[Total Spent],E6266,RawData[Payment Method],F6266,RawData[Location],G6266,RawData[Transaction Date],H6266)</f>
        <v>1</v>
      </c>
      <c r="L6266"/>
    </row>
    <row r="6267" spans="1:12" x14ac:dyDescent="0.3">
      <c r="A6267" t="s">
        <v>6273</v>
      </c>
      <c r="B6267" t="s">
        <v>10015</v>
      </c>
      <c r="C6267">
        <v>0</v>
      </c>
      <c r="D6267">
        <v>4</v>
      </c>
      <c r="E6267">
        <v>12</v>
      </c>
      <c r="F6267" t="s">
        <v>10018</v>
      </c>
      <c r="G6267" t="s">
        <v>10104</v>
      </c>
      <c r="H6267" s="6">
        <v>45090</v>
      </c>
      <c r="I6267">
        <f t="shared" si="194"/>
        <v>2</v>
      </c>
      <c r="J6267" t="str">
        <f t="shared" si="195"/>
        <v>Complete</v>
      </c>
      <c r="K6267">
        <f>COUNTIFS(RawData[Item], B6267,RawData[Quantity],C6267,RawData[Price Per Unit],D6267,RawData[Total Spent],E6267,RawData[Payment Method],F6267,RawData[Location],G6267,RawData[Transaction Date],H6267)</f>
        <v>1</v>
      </c>
      <c r="L6267"/>
    </row>
    <row r="6268" spans="1:12" x14ac:dyDescent="0.3">
      <c r="A6268" t="s">
        <v>6274</v>
      </c>
      <c r="B6268" t="s">
        <v>10016</v>
      </c>
      <c r="C6268">
        <v>4</v>
      </c>
      <c r="D6268">
        <v>3</v>
      </c>
      <c r="E6268">
        <v>12</v>
      </c>
      <c r="F6268" t="s">
        <v>10020</v>
      </c>
      <c r="G6268" t="s">
        <v>10102</v>
      </c>
      <c r="H6268" s="6">
        <v>45256</v>
      </c>
      <c r="I6268">
        <f t="shared" si="194"/>
        <v>0</v>
      </c>
      <c r="J6268" t="str">
        <f t="shared" si="195"/>
        <v>Complete</v>
      </c>
      <c r="K6268">
        <f>COUNTIFS(RawData[Item], B6268,RawData[Quantity],C6268,RawData[Price Per Unit],D6268,RawData[Total Spent],E6268,RawData[Payment Method],F6268,RawData[Location],G6268,RawData[Transaction Date],H6268)</f>
        <v>1</v>
      </c>
      <c r="L6268"/>
    </row>
    <row r="6269" spans="1:12" x14ac:dyDescent="0.3">
      <c r="A6269" t="s">
        <v>6275</v>
      </c>
      <c r="B6269" t="s">
        <v>10009</v>
      </c>
      <c r="C6269">
        <v>5</v>
      </c>
      <c r="D6269" t="s">
        <v>10015</v>
      </c>
      <c r="E6269">
        <v>15</v>
      </c>
      <c r="F6269" t="s">
        <v>10019</v>
      </c>
      <c r="G6269" t="s">
        <v>10021</v>
      </c>
      <c r="H6269" s="6">
        <v>45037</v>
      </c>
      <c r="I6269">
        <f t="shared" si="194"/>
        <v>1</v>
      </c>
      <c r="J6269" t="str">
        <f t="shared" si="195"/>
        <v>Complete</v>
      </c>
      <c r="K6269">
        <f>COUNTIFS(RawData[Item], B6269,RawData[Quantity],C6269,RawData[Price Per Unit],D6269,RawData[Total Spent],E6269,RawData[Payment Method],F6269,RawData[Location],G6269,RawData[Transaction Date],H6269)</f>
        <v>1</v>
      </c>
      <c r="L6269"/>
    </row>
    <row r="6270" spans="1:12" x14ac:dyDescent="0.3">
      <c r="A6270" t="s">
        <v>6276</v>
      </c>
      <c r="B6270" t="s">
        <v>10012</v>
      </c>
      <c r="C6270">
        <v>3</v>
      </c>
      <c r="D6270">
        <v>4</v>
      </c>
      <c r="E6270">
        <v>12</v>
      </c>
      <c r="F6270" t="s">
        <v>10020</v>
      </c>
      <c r="G6270" t="s">
        <v>10069</v>
      </c>
      <c r="H6270" s="6">
        <v>45238</v>
      </c>
      <c r="I6270">
        <f t="shared" si="194"/>
        <v>0</v>
      </c>
      <c r="J6270" t="str">
        <f t="shared" si="195"/>
        <v>Complete</v>
      </c>
      <c r="K6270">
        <f>COUNTIFS(RawData[Item], B6270,RawData[Quantity],C6270,RawData[Price Per Unit],D6270,RawData[Total Spent],E6270,RawData[Payment Method],F6270,RawData[Location],G6270,RawData[Transaction Date],H6270)</f>
        <v>1</v>
      </c>
      <c r="L6270"/>
    </row>
    <row r="6271" spans="1:12" x14ac:dyDescent="0.3">
      <c r="A6271" t="s">
        <v>6277</v>
      </c>
      <c r="B6271" t="s">
        <v>10008</v>
      </c>
      <c r="C6271">
        <v>1</v>
      </c>
      <c r="D6271">
        <v>0</v>
      </c>
      <c r="E6271">
        <v>2</v>
      </c>
      <c r="F6271" t="s">
        <v>10103</v>
      </c>
      <c r="G6271" t="s">
        <v>10069</v>
      </c>
      <c r="H6271" s="6">
        <v>45037</v>
      </c>
      <c r="I6271">
        <f t="shared" si="194"/>
        <v>1</v>
      </c>
      <c r="J6271" t="str">
        <f t="shared" si="195"/>
        <v>Complete</v>
      </c>
      <c r="K6271">
        <f>COUNTIFS(RawData[Item], B6271,RawData[Quantity],C6271,RawData[Price Per Unit],D6271,RawData[Total Spent],E6271,RawData[Payment Method],F6271,RawData[Location],G6271,RawData[Transaction Date],H6271)</f>
        <v>1</v>
      </c>
      <c r="L6271"/>
    </row>
    <row r="6272" spans="1:12" x14ac:dyDescent="0.3">
      <c r="A6272" t="s">
        <v>6278</v>
      </c>
      <c r="B6272" t="s">
        <v>10016</v>
      </c>
      <c r="C6272">
        <v>4</v>
      </c>
      <c r="D6272">
        <v>3</v>
      </c>
      <c r="E6272">
        <v>12</v>
      </c>
      <c r="F6272" t="s">
        <v>10020</v>
      </c>
      <c r="G6272" t="s">
        <v>10102</v>
      </c>
      <c r="H6272" s="6">
        <v>44981</v>
      </c>
      <c r="I6272">
        <f t="shared" si="194"/>
        <v>0</v>
      </c>
      <c r="J6272" t="str">
        <f t="shared" si="195"/>
        <v>Complete</v>
      </c>
      <c r="K6272">
        <f>COUNTIFS(RawData[Item], B6272,RawData[Quantity],C6272,RawData[Price Per Unit],D6272,RawData[Total Spent],E6272,RawData[Payment Method],F6272,RawData[Location],G6272,RawData[Transaction Date],H6272)</f>
        <v>1</v>
      </c>
      <c r="L6272"/>
    </row>
    <row r="6273" spans="1:12" x14ac:dyDescent="0.3">
      <c r="A6273" t="s">
        <v>6279</v>
      </c>
      <c r="B6273" t="s">
        <v>10016</v>
      </c>
      <c r="C6273">
        <v>5</v>
      </c>
      <c r="D6273">
        <v>3</v>
      </c>
      <c r="E6273">
        <v>15</v>
      </c>
      <c r="F6273" t="s">
        <v>10019</v>
      </c>
      <c r="G6273" t="s">
        <v>10069</v>
      </c>
      <c r="H6273" s="6">
        <v>45240</v>
      </c>
      <c r="I6273">
        <f t="shared" si="194"/>
        <v>0</v>
      </c>
      <c r="J6273" t="str">
        <f t="shared" si="195"/>
        <v>Complete</v>
      </c>
      <c r="K6273">
        <f>COUNTIFS(RawData[Item], B6273,RawData[Quantity],C6273,RawData[Price Per Unit],D6273,RawData[Total Spent],E6273,RawData[Payment Method],F6273,RawData[Location],G6273,RawData[Transaction Date],H6273)</f>
        <v>1</v>
      </c>
      <c r="L6273"/>
    </row>
    <row r="6274" spans="1:12" x14ac:dyDescent="0.3">
      <c r="A6274" t="s">
        <v>6280</v>
      </c>
      <c r="B6274" t="s">
        <v>10009</v>
      </c>
      <c r="C6274">
        <v>5</v>
      </c>
      <c r="D6274">
        <v>3</v>
      </c>
      <c r="E6274">
        <v>15</v>
      </c>
      <c r="F6274" t="s">
        <v>10020</v>
      </c>
      <c r="G6274" t="s">
        <v>10102</v>
      </c>
      <c r="H6274" s="6">
        <v>45003</v>
      </c>
      <c r="I6274">
        <f t="shared" ref="I6274:I6337" si="196">(B6274="Unknown")+(B6274="Error")+(C6274="Unknown")+(C6274="Error")+(D6274="Unknown")+(D6274="Error")+(E6274="Unknown")+(E6274="Error")+(F6274="Unknown")+(F6274="Error")+(G6274="Unknown")+(G6274="Error")+(H6274="No Date")</f>
        <v>0</v>
      </c>
      <c r="J6274" t="str">
        <f t="shared" ref="J6274:J6337" si="197">IF((H6274="No Date"),"Incomplete","Complete")</f>
        <v>Complete</v>
      </c>
      <c r="K6274">
        <f>COUNTIFS(RawData[Item], B6274,RawData[Quantity],C6274,RawData[Price Per Unit],D6274,RawData[Total Spent],E6274,RawData[Payment Method],F6274,RawData[Location],G6274,RawData[Transaction Date],H6274)</f>
        <v>1</v>
      </c>
      <c r="L6274"/>
    </row>
    <row r="6275" spans="1:12" x14ac:dyDescent="0.3">
      <c r="A6275" t="s">
        <v>6281</v>
      </c>
      <c r="B6275" t="s">
        <v>10011</v>
      </c>
      <c r="C6275">
        <v>3</v>
      </c>
      <c r="D6275">
        <v>5</v>
      </c>
      <c r="E6275">
        <v>15</v>
      </c>
      <c r="F6275" t="s">
        <v>10018</v>
      </c>
      <c r="G6275" t="s">
        <v>10102</v>
      </c>
      <c r="H6275" s="6">
        <v>45029</v>
      </c>
      <c r="I6275">
        <f t="shared" si="196"/>
        <v>0</v>
      </c>
      <c r="J6275" t="str">
        <f t="shared" si="197"/>
        <v>Complete</v>
      </c>
      <c r="K6275">
        <f>COUNTIFS(RawData[Item], B6275,RawData[Quantity],C6275,RawData[Price Per Unit],D6275,RawData[Total Spent],E6275,RawData[Payment Method],F6275,RawData[Location],G6275,RawData[Transaction Date],H6275)</f>
        <v>1</v>
      </c>
      <c r="L6275"/>
    </row>
    <row r="6276" spans="1:12" x14ac:dyDescent="0.3">
      <c r="A6276" t="s">
        <v>6282</v>
      </c>
      <c r="B6276" t="s">
        <v>10009</v>
      </c>
      <c r="C6276">
        <v>1</v>
      </c>
      <c r="D6276">
        <v>3</v>
      </c>
      <c r="E6276">
        <v>3</v>
      </c>
      <c r="F6276" t="s">
        <v>10020</v>
      </c>
      <c r="G6276" t="s">
        <v>10021</v>
      </c>
      <c r="H6276" s="6">
        <v>45119</v>
      </c>
      <c r="I6276">
        <f t="shared" si="196"/>
        <v>0</v>
      </c>
      <c r="J6276" t="str">
        <f t="shared" si="197"/>
        <v>Complete</v>
      </c>
      <c r="K6276">
        <f>COUNTIFS(RawData[Item], B6276,RawData[Quantity],C6276,RawData[Price Per Unit],D6276,RawData[Total Spent],E6276,RawData[Payment Method],F6276,RawData[Location],G6276,RawData[Transaction Date],H6276)</f>
        <v>1</v>
      </c>
      <c r="L6276"/>
    </row>
    <row r="6277" spans="1:12" x14ac:dyDescent="0.3">
      <c r="A6277" t="s">
        <v>6283</v>
      </c>
      <c r="B6277" t="s">
        <v>10011</v>
      </c>
      <c r="C6277">
        <v>3</v>
      </c>
      <c r="D6277">
        <v>5</v>
      </c>
      <c r="E6277">
        <v>15</v>
      </c>
      <c r="F6277" t="s">
        <v>10019</v>
      </c>
      <c r="G6277" t="s">
        <v>10102</v>
      </c>
      <c r="H6277" s="6" t="s">
        <v>10112</v>
      </c>
      <c r="I6277">
        <f t="shared" si="196"/>
        <v>1</v>
      </c>
      <c r="J6277" t="str">
        <f t="shared" si="197"/>
        <v>Incomplete</v>
      </c>
      <c r="K6277">
        <f>COUNTIFS(RawData[Item], B6277,RawData[Quantity],C6277,RawData[Price Per Unit],D6277,RawData[Total Spent],E6277,RawData[Payment Method],F6277,RawData[Location],G6277,RawData[Transaction Date],H6277)</f>
        <v>1</v>
      </c>
      <c r="L6277"/>
    </row>
    <row r="6278" spans="1:12" x14ac:dyDescent="0.3">
      <c r="A6278" t="s">
        <v>6284</v>
      </c>
      <c r="B6278" t="s">
        <v>10014</v>
      </c>
      <c r="C6278">
        <v>2</v>
      </c>
      <c r="D6278">
        <v>4</v>
      </c>
      <c r="E6278">
        <v>8</v>
      </c>
      <c r="F6278" t="s">
        <v>10018</v>
      </c>
      <c r="G6278" t="s">
        <v>10102</v>
      </c>
      <c r="H6278" s="6">
        <v>45233</v>
      </c>
      <c r="I6278">
        <f t="shared" si="196"/>
        <v>0</v>
      </c>
      <c r="J6278" t="str">
        <f t="shared" si="197"/>
        <v>Complete</v>
      </c>
      <c r="K6278">
        <f>COUNTIFS(RawData[Item], B6278,RawData[Quantity],C6278,RawData[Price Per Unit],D6278,RawData[Total Spent],E6278,RawData[Payment Method],F6278,RawData[Location],G6278,RawData[Transaction Date],H6278)</f>
        <v>1</v>
      </c>
      <c r="L6278"/>
    </row>
    <row r="6279" spans="1:12" x14ac:dyDescent="0.3">
      <c r="A6279" t="s">
        <v>6285</v>
      </c>
      <c r="B6279" t="s">
        <v>10008</v>
      </c>
      <c r="C6279">
        <v>5</v>
      </c>
      <c r="D6279">
        <v>2</v>
      </c>
      <c r="E6279" t="s">
        <v>10015</v>
      </c>
      <c r="F6279" t="s">
        <v>10018</v>
      </c>
      <c r="G6279" t="s">
        <v>10102</v>
      </c>
      <c r="H6279" s="6">
        <v>45033</v>
      </c>
      <c r="I6279">
        <f t="shared" si="196"/>
        <v>1</v>
      </c>
      <c r="J6279" t="str">
        <f t="shared" si="197"/>
        <v>Complete</v>
      </c>
      <c r="K6279">
        <f>COUNTIFS(RawData[Item], B6279,RawData[Quantity],C6279,RawData[Price Per Unit],D6279,RawData[Total Spent],E6279,RawData[Payment Method],F6279,RawData[Location],G6279,RawData[Transaction Date],H6279)</f>
        <v>1</v>
      </c>
      <c r="L6279"/>
    </row>
    <row r="6280" spans="1:12" x14ac:dyDescent="0.3">
      <c r="A6280" t="s">
        <v>6286</v>
      </c>
      <c r="B6280" t="s">
        <v>10017</v>
      </c>
      <c r="C6280">
        <v>4</v>
      </c>
      <c r="D6280">
        <v>1.5</v>
      </c>
      <c r="E6280">
        <v>6</v>
      </c>
      <c r="F6280" t="s">
        <v>10020</v>
      </c>
      <c r="G6280" t="s">
        <v>10021</v>
      </c>
      <c r="H6280" s="6">
        <v>45189</v>
      </c>
      <c r="I6280">
        <f t="shared" si="196"/>
        <v>0</v>
      </c>
      <c r="J6280" t="str">
        <f t="shared" si="197"/>
        <v>Complete</v>
      </c>
      <c r="K6280">
        <f>COUNTIFS(RawData[Item], B6280,RawData[Quantity],C6280,RawData[Price Per Unit],D6280,RawData[Total Spent],E6280,RawData[Payment Method],F6280,RawData[Location],G6280,RawData[Transaction Date],H6280)</f>
        <v>1</v>
      </c>
      <c r="L6280"/>
    </row>
    <row r="6281" spans="1:12" x14ac:dyDescent="0.3">
      <c r="A6281" t="s">
        <v>6287</v>
      </c>
      <c r="B6281" t="s">
        <v>10010</v>
      </c>
      <c r="C6281">
        <v>3</v>
      </c>
      <c r="D6281">
        <v>1</v>
      </c>
      <c r="E6281">
        <v>3</v>
      </c>
      <c r="F6281" t="s">
        <v>10018</v>
      </c>
      <c r="G6281" t="s">
        <v>10069</v>
      </c>
      <c r="H6281" s="6">
        <v>45071</v>
      </c>
      <c r="I6281">
        <f t="shared" si="196"/>
        <v>0</v>
      </c>
      <c r="J6281" t="str">
        <f t="shared" si="197"/>
        <v>Complete</v>
      </c>
      <c r="K6281">
        <f>COUNTIFS(RawData[Item], B6281,RawData[Quantity],C6281,RawData[Price Per Unit],D6281,RawData[Total Spent],E6281,RawData[Payment Method],F6281,RawData[Location],G6281,RawData[Transaction Date],H6281)</f>
        <v>1</v>
      </c>
      <c r="L6281"/>
    </row>
    <row r="6282" spans="1:12" x14ac:dyDescent="0.3">
      <c r="A6282" t="s">
        <v>6288</v>
      </c>
      <c r="B6282" t="s">
        <v>10016</v>
      </c>
      <c r="C6282">
        <v>1</v>
      </c>
      <c r="D6282">
        <v>3</v>
      </c>
      <c r="E6282">
        <v>3</v>
      </c>
      <c r="F6282" t="s">
        <v>10020</v>
      </c>
      <c r="G6282" t="s">
        <v>10102</v>
      </c>
      <c r="H6282" s="6">
        <v>45251</v>
      </c>
      <c r="I6282">
        <f t="shared" si="196"/>
        <v>0</v>
      </c>
      <c r="J6282" t="str">
        <f t="shared" si="197"/>
        <v>Complete</v>
      </c>
      <c r="K6282">
        <f>COUNTIFS(RawData[Item], B6282,RawData[Quantity],C6282,RawData[Price Per Unit],D6282,RawData[Total Spent],E6282,RawData[Payment Method],F6282,RawData[Location],G6282,RawData[Transaction Date],H6282)</f>
        <v>1</v>
      </c>
      <c r="L6282"/>
    </row>
    <row r="6283" spans="1:12" x14ac:dyDescent="0.3">
      <c r="A6283" t="s">
        <v>6289</v>
      </c>
      <c r="B6283" t="s">
        <v>10017</v>
      </c>
      <c r="C6283">
        <v>2</v>
      </c>
      <c r="D6283">
        <v>1.5</v>
      </c>
      <c r="E6283">
        <v>3</v>
      </c>
      <c r="F6283" t="s">
        <v>10018</v>
      </c>
      <c r="G6283" t="s">
        <v>10102</v>
      </c>
      <c r="H6283" s="6">
        <v>44930</v>
      </c>
      <c r="I6283">
        <f t="shared" si="196"/>
        <v>0</v>
      </c>
      <c r="J6283" t="str">
        <f t="shared" si="197"/>
        <v>Complete</v>
      </c>
      <c r="K6283">
        <f>COUNTIFS(RawData[Item], B6283,RawData[Quantity],C6283,RawData[Price Per Unit],D6283,RawData[Total Spent],E6283,RawData[Payment Method],F6283,RawData[Location],G6283,RawData[Transaction Date],H6283)</f>
        <v>1</v>
      </c>
      <c r="L6283"/>
    </row>
    <row r="6284" spans="1:12" x14ac:dyDescent="0.3">
      <c r="A6284" t="s">
        <v>6290</v>
      </c>
      <c r="B6284" t="s">
        <v>10010</v>
      </c>
      <c r="C6284">
        <v>5</v>
      </c>
      <c r="D6284">
        <v>1</v>
      </c>
      <c r="E6284">
        <v>5</v>
      </c>
      <c r="F6284" t="s">
        <v>10020</v>
      </c>
      <c r="G6284" t="s">
        <v>10102</v>
      </c>
      <c r="H6284" s="6">
        <v>45155</v>
      </c>
      <c r="I6284">
        <f t="shared" si="196"/>
        <v>0</v>
      </c>
      <c r="J6284" t="str">
        <f t="shared" si="197"/>
        <v>Complete</v>
      </c>
      <c r="K6284">
        <f>COUNTIFS(RawData[Item], B6284,RawData[Quantity],C6284,RawData[Price Per Unit],D6284,RawData[Total Spent],E6284,RawData[Payment Method],F6284,RawData[Location],G6284,RawData[Transaction Date],H6284)</f>
        <v>1</v>
      </c>
      <c r="L6284"/>
    </row>
    <row r="6285" spans="1:12" x14ac:dyDescent="0.3">
      <c r="A6285" t="s">
        <v>6291</v>
      </c>
      <c r="B6285" t="s">
        <v>10009</v>
      </c>
      <c r="C6285">
        <v>4</v>
      </c>
      <c r="D6285">
        <v>3</v>
      </c>
      <c r="E6285">
        <v>12</v>
      </c>
      <c r="F6285" t="s">
        <v>10069</v>
      </c>
      <c r="G6285" t="s">
        <v>10102</v>
      </c>
      <c r="H6285" s="6">
        <v>45116</v>
      </c>
      <c r="I6285">
        <f t="shared" si="196"/>
        <v>0</v>
      </c>
      <c r="J6285" t="str">
        <f t="shared" si="197"/>
        <v>Complete</v>
      </c>
      <c r="K6285">
        <f>COUNTIFS(RawData[Item], B6285,RawData[Quantity],C6285,RawData[Price Per Unit],D6285,RawData[Total Spent],E6285,RawData[Payment Method],F6285,RawData[Location],G6285,RawData[Transaction Date],H6285)</f>
        <v>1</v>
      </c>
      <c r="L6285"/>
    </row>
    <row r="6286" spans="1:12" x14ac:dyDescent="0.3">
      <c r="A6286" t="s">
        <v>6292</v>
      </c>
      <c r="B6286" t="s">
        <v>10017</v>
      </c>
      <c r="C6286">
        <v>4</v>
      </c>
      <c r="D6286">
        <v>1.5</v>
      </c>
      <c r="E6286">
        <v>6</v>
      </c>
      <c r="F6286" t="s">
        <v>10020</v>
      </c>
      <c r="G6286" t="s">
        <v>10021</v>
      </c>
      <c r="H6286" s="6">
        <v>44984</v>
      </c>
      <c r="I6286">
        <f t="shared" si="196"/>
        <v>0</v>
      </c>
      <c r="J6286" t="str">
        <f t="shared" si="197"/>
        <v>Complete</v>
      </c>
      <c r="K6286">
        <f>COUNTIFS(RawData[Item], B6286,RawData[Quantity],C6286,RawData[Price Per Unit],D6286,RawData[Total Spent],E6286,RawData[Payment Method],F6286,RawData[Location],G6286,RawData[Transaction Date],H6286)</f>
        <v>1</v>
      </c>
      <c r="L6286"/>
    </row>
    <row r="6287" spans="1:12" x14ac:dyDescent="0.3">
      <c r="A6287" t="s">
        <v>6293</v>
      </c>
      <c r="B6287" t="s">
        <v>10015</v>
      </c>
      <c r="C6287">
        <v>4</v>
      </c>
      <c r="D6287">
        <v>5</v>
      </c>
      <c r="E6287">
        <v>20</v>
      </c>
      <c r="F6287" t="s">
        <v>10104</v>
      </c>
      <c r="G6287" t="s">
        <v>10069</v>
      </c>
      <c r="H6287" s="6">
        <v>45016</v>
      </c>
      <c r="I6287">
        <f t="shared" si="196"/>
        <v>2</v>
      </c>
      <c r="J6287" t="str">
        <f t="shared" si="197"/>
        <v>Complete</v>
      </c>
      <c r="K6287">
        <f>COUNTIFS(RawData[Item], B6287,RawData[Quantity],C6287,RawData[Price Per Unit],D6287,RawData[Total Spent],E6287,RawData[Payment Method],F6287,RawData[Location],G6287,RawData[Transaction Date],H6287)</f>
        <v>1</v>
      </c>
      <c r="L6287"/>
    </row>
    <row r="6288" spans="1:12" x14ac:dyDescent="0.3">
      <c r="A6288" t="s">
        <v>6294</v>
      </c>
      <c r="B6288" t="s">
        <v>10011</v>
      </c>
      <c r="C6288">
        <v>2</v>
      </c>
      <c r="D6288">
        <v>5</v>
      </c>
      <c r="E6288">
        <v>10</v>
      </c>
      <c r="F6288" t="s">
        <v>10018</v>
      </c>
      <c r="G6288" t="s">
        <v>10103</v>
      </c>
      <c r="H6288" s="6">
        <v>45194</v>
      </c>
      <c r="I6288">
        <f t="shared" si="196"/>
        <v>1</v>
      </c>
      <c r="J6288" t="str">
        <f t="shared" si="197"/>
        <v>Complete</v>
      </c>
      <c r="K6288">
        <f>COUNTIFS(RawData[Item], B6288,RawData[Quantity],C6288,RawData[Price Per Unit],D6288,RawData[Total Spent],E6288,RawData[Payment Method],F6288,RawData[Location],G6288,RawData[Transaction Date],H6288)</f>
        <v>1</v>
      </c>
      <c r="L6288"/>
    </row>
    <row r="6289" spans="1:12" x14ac:dyDescent="0.3">
      <c r="A6289" t="s">
        <v>6295</v>
      </c>
      <c r="B6289" t="s">
        <v>10010</v>
      </c>
      <c r="C6289">
        <v>2</v>
      </c>
      <c r="D6289">
        <v>1</v>
      </c>
      <c r="E6289">
        <v>2</v>
      </c>
      <c r="F6289" t="s">
        <v>10019</v>
      </c>
      <c r="G6289" t="s">
        <v>10021</v>
      </c>
      <c r="H6289" s="6">
        <v>45045</v>
      </c>
      <c r="I6289">
        <f t="shared" si="196"/>
        <v>0</v>
      </c>
      <c r="J6289" t="str">
        <f t="shared" si="197"/>
        <v>Complete</v>
      </c>
      <c r="K6289">
        <f>COUNTIFS(RawData[Item], B6289,RawData[Quantity],C6289,RawData[Price Per Unit],D6289,RawData[Total Spent],E6289,RawData[Payment Method],F6289,RawData[Location],G6289,RawData[Transaction Date],H6289)</f>
        <v>1</v>
      </c>
      <c r="L6289"/>
    </row>
    <row r="6290" spans="1:12" x14ac:dyDescent="0.3">
      <c r="A6290" t="s">
        <v>6296</v>
      </c>
      <c r="B6290" t="s">
        <v>10010</v>
      </c>
      <c r="C6290">
        <v>2</v>
      </c>
      <c r="D6290">
        <v>1</v>
      </c>
      <c r="E6290">
        <v>2</v>
      </c>
      <c r="F6290" t="s">
        <v>10019</v>
      </c>
      <c r="G6290" t="s">
        <v>10069</v>
      </c>
      <c r="H6290" s="6">
        <v>45199</v>
      </c>
      <c r="I6290">
        <f t="shared" si="196"/>
        <v>0</v>
      </c>
      <c r="J6290" t="str">
        <f t="shared" si="197"/>
        <v>Complete</v>
      </c>
      <c r="K6290">
        <f>COUNTIFS(RawData[Item], B6290,RawData[Quantity],C6290,RawData[Price Per Unit],D6290,RawData[Total Spent],E6290,RawData[Payment Method],F6290,RawData[Location],G6290,RawData[Transaction Date],H6290)</f>
        <v>1</v>
      </c>
      <c r="L6290"/>
    </row>
    <row r="6291" spans="1:12" x14ac:dyDescent="0.3">
      <c r="A6291" t="s">
        <v>6297</v>
      </c>
      <c r="B6291" t="s">
        <v>10011</v>
      </c>
      <c r="C6291">
        <v>5</v>
      </c>
      <c r="D6291">
        <v>5</v>
      </c>
      <c r="E6291">
        <v>25</v>
      </c>
      <c r="F6291" t="s">
        <v>10019</v>
      </c>
      <c r="G6291" t="s">
        <v>10069</v>
      </c>
      <c r="H6291" s="6">
        <v>45041</v>
      </c>
      <c r="I6291">
        <f t="shared" si="196"/>
        <v>0</v>
      </c>
      <c r="J6291" t="str">
        <f t="shared" si="197"/>
        <v>Complete</v>
      </c>
      <c r="K6291">
        <f>COUNTIFS(RawData[Item], B6291,RawData[Quantity],C6291,RawData[Price Per Unit],D6291,RawData[Total Spent],E6291,RawData[Payment Method],F6291,RawData[Location],G6291,RawData[Transaction Date],H6291)</f>
        <v>1</v>
      </c>
      <c r="L6291"/>
    </row>
    <row r="6292" spans="1:12" x14ac:dyDescent="0.3">
      <c r="A6292" t="s">
        <v>6298</v>
      </c>
      <c r="B6292" t="s">
        <v>10010</v>
      </c>
      <c r="C6292">
        <v>2</v>
      </c>
      <c r="D6292">
        <v>1</v>
      </c>
      <c r="E6292">
        <v>2</v>
      </c>
      <c r="F6292" t="s">
        <v>10018</v>
      </c>
      <c r="G6292" t="s">
        <v>10069</v>
      </c>
      <c r="H6292" s="6">
        <v>45150</v>
      </c>
      <c r="I6292">
        <f t="shared" si="196"/>
        <v>0</v>
      </c>
      <c r="J6292" t="str">
        <f t="shared" si="197"/>
        <v>Complete</v>
      </c>
      <c r="K6292">
        <f>COUNTIFS(RawData[Item], B6292,RawData[Quantity],C6292,RawData[Price Per Unit],D6292,RawData[Total Spent],E6292,RawData[Payment Method],F6292,RawData[Location],G6292,RawData[Transaction Date],H6292)</f>
        <v>1</v>
      </c>
      <c r="L6292"/>
    </row>
    <row r="6293" spans="1:12" x14ac:dyDescent="0.3">
      <c r="A6293" t="s">
        <v>6299</v>
      </c>
      <c r="B6293" t="s">
        <v>10011</v>
      </c>
      <c r="C6293">
        <v>2</v>
      </c>
      <c r="D6293">
        <v>5</v>
      </c>
      <c r="E6293">
        <v>10</v>
      </c>
      <c r="F6293" t="s">
        <v>10069</v>
      </c>
      <c r="G6293" t="s">
        <v>10021</v>
      </c>
      <c r="H6293" s="6">
        <v>45082</v>
      </c>
      <c r="I6293">
        <f t="shared" si="196"/>
        <v>0</v>
      </c>
      <c r="J6293" t="str">
        <f t="shared" si="197"/>
        <v>Complete</v>
      </c>
      <c r="K6293">
        <f>COUNTIFS(RawData[Item], B6293,RawData[Quantity],C6293,RawData[Price Per Unit],D6293,RawData[Total Spent],E6293,RawData[Payment Method],F6293,RawData[Location],G6293,RawData[Transaction Date],H6293)</f>
        <v>1</v>
      </c>
      <c r="L6293"/>
    </row>
    <row r="6294" spans="1:12" x14ac:dyDescent="0.3">
      <c r="A6294" t="s">
        <v>6300</v>
      </c>
      <c r="B6294" t="s">
        <v>10069</v>
      </c>
      <c r="C6294">
        <v>1</v>
      </c>
      <c r="D6294">
        <v>3</v>
      </c>
      <c r="E6294" t="s">
        <v>10015</v>
      </c>
      <c r="F6294" t="s">
        <v>10019</v>
      </c>
      <c r="G6294" t="s">
        <v>10102</v>
      </c>
      <c r="H6294" s="6">
        <v>45152</v>
      </c>
      <c r="I6294">
        <f t="shared" si="196"/>
        <v>1</v>
      </c>
      <c r="J6294" t="str">
        <f t="shared" si="197"/>
        <v>Complete</v>
      </c>
      <c r="K6294">
        <f>COUNTIFS(RawData[Item], B6294,RawData[Quantity],C6294,RawData[Price Per Unit],D6294,RawData[Total Spent],E6294,RawData[Payment Method],F6294,RawData[Location],G6294,RawData[Transaction Date],H6294)</f>
        <v>1</v>
      </c>
      <c r="L6294"/>
    </row>
    <row r="6295" spans="1:12" x14ac:dyDescent="0.3">
      <c r="A6295" t="s">
        <v>6301</v>
      </c>
      <c r="B6295" t="s">
        <v>10010</v>
      </c>
      <c r="C6295">
        <v>2</v>
      </c>
      <c r="D6295">
        <v>1</v>
      </c>
      <c r="E6295">
        <v>2</v>
      </c>
      <c r="F6295" t="s">
        <v>10018</v>
      </c>
      <c r="G6295" t="s">
        <v>10021</v>
      </c>
      <c r="H6295" s="6">
        <v>45095</v>
      </c>
      <c r="I6295">
        <f t="shared" si="196"/>
        <v>0</v>
      </c>
      <c r="J6295" t="str">
        <f t="shared" si="197"/>
        <v>Complete</v>
      </c>
      <c r="K6295">
        <f>COUNTIFS(RawData[Item], B6295,RawData[Quantity],C6295,RawData[Price Per Unit],D6295,RawData[Total Spent],E6295,RawData[Payment Method],F6295,RawData[Location],G6295,RawData[Transaction Date],H6295)</f>
        <v>1</v>
      </c>
      <c r="L6295"/>
    </row>
    <row r="6296" spans="1:12" x14ac:dyDescent="0.3">
      <c r="A6296" t="s">
        <v>6302</v>
      </c>
      <c r="B6296" t="s">
        <v>10017</v>
      </c>
      <c r="C6296">
        <v>4</v>
      </c>
      <c r="D6296">
        <v>1.5</v>
      </c>
      <c r="E6296">
        <v>6</v>
      </c>
      <c r="F6296" t="s">
        <v>10019</v>
      </c>
      <c r="G6296" t="s">
        <v>10069</v>
      </c>
      <c r="H6296" s="6">
        <v>45256</v>
      </c>
      <c r="I6296">
        <f t="shared" si="196"/>
        <v>0</v>
      </c>
      <c r="J6296" t="str">
        <f t="shared" si="197"/>
        <v>Complete</v>
      </c>
      <c r="K6296">
        <f>COUNTIFS(RawData[Item], B6296,RawData[Quantity],C6296,RawData[Price Per Unit],D6296,RawData[Total Spent],E6296,RawData[Payment Method],F6296,RawData[Location],G6296,RawData[Transaction Date],H6296)</f>
        <v>1</v>
      </c>
      <c r="L6296"/>
    </row>
    <row r="6297" spans="1:12" x14ac:dyDescent="0.3">
      <c r="A6297" t="s">
        <v>6303</v>
      </c>
      <c r="B6297" t="s">
        <v>10010</v>
      </c>
      <c r="C6297">
        <v>4</v>
      </c>
      <c r="D6297">
        <v>1</v>
      </c>
      <c r="E6297" t="s">
        <v>10015</v>
      </c>
      <c r="F6297" t="s">
        <v>10019</v>
      </c>
      <c r="G6297" t="s">
        <v>10104</v>
      </c>
      <c r="H6297" s="6">
        <v>45131</v>
      </c>
      <c r="I6297">
        <f t="shared" si="196"/>
        <v>2</v>
      </c>
      <c r="J6297" t="str">
        <f t="shared" si="197"/>
        <v>Complete</v>
      </c>
      <c r="K6297">
        <f>COUNTIFS(RawData[Item], B6297,RawData[Quantity],C6297,RawData[Price Per Unit],D6297,RawData[Total Spent],E6297,RawData[Payment Method],F6297,RawData[Location],G6297,RawData[Transaction Date],H6297)</f>
        <v>1</v>
      </c>
      <c r="L6297"/>
    </row>
    <row r="6298" spans="1:12" x14ac:dyDescent="0.3">
      <c r="A6298" t="s">
        <v>6304</v>
      </c>
      <c r="B6298" t="s">
        <v>10017</v>
      </c>
      <c r="C6298">
        <v>3</v>
      </c>
      <c r="D6298">
        <v>1.5</v>
      </c>
      <c r="E6298">
        <v>4.5</v>
      </c>
      <c r="F6298" t="s">
        <v>10069</v>
      </c>
      <c r="G6298" t="s">
        <v>10021</v>
      </c>
      <c r="H6298" s="6">
        <v>45239</v>
      </c>
      <c r="I6298">
        <f t="shared" si="196"/>
        <v>0</v>
      </c>
      <c r="J6298" t="str">
        <f t="shared" si="197"/>
        <v>Complete</v>
      </c>
      <c r="K6298">
        <f>COUNTIFS(RawData[Item], B6298,RawData[Quantity],C6298,RawData[Price Per Unit],D6298,RawData[Total Spent],E6298,RawData[Payment Method],F6298,RawData[Location],G6298,RawData[Transaction Date],H6298)</f>
        <v>1</v>
      </c>
      <c r="L6298"/>
    </row>
    <row r="6299" spans="1:12" x14ac:dyDescent="0.3">
      <c r="A6299" t="s">
        <v>6305</v>
      </c>
      <c r="B6299" t="s">
        <v>10016</v>
      </c>
      <c r="C6299">
        <v>1</v>
      </c>
      <c r="D6299">
        <v>3</v>
      </c>
      <c r="E6299">
        <v>3</v>
      </c>
      <c r="F6299" t="s">
        <v>10019</v>
      </c>
      <c r="G6299" t="s">
        <v>10102</v>
      </c>
      <c r="H6299" s="6">
        <v>45074</v>
      </c>
      <c r="I6299">
        <f t="shared" si="196"/>
        <v>0</v>
      </c>
      <c r="J6299" t="str">
        <f t="shared" si="197"/>
        <v>Complete</v>
      </c>
      <c r="K6299">
        <f>COUNTIFS(RawData[Item], B6299,RawData[Quantity],C6299,RawData[Price Per Unit],D6299,RawData[Total Spent],E6299,RawData[Payment Method],F6299,RawData[Location],G6299,RawData[Transaction Date],H6299)</f>
        <v>1</v>
      </c>
      <c r="L6299"/>
    </row>
    <row r="6300" spans="1:12" x14ac:dyDescent="0.3">
      <c r="A6300" t="s">
        <v>6306</v>
      </c>
      <c r="B6300" t="s">
        <v>10012</v>
      </c>
      <c r="C6300">
        <v>4</v>
      </c>
      <c r="D6300">
        <v>4</v>
      </c>
      <c r="E6300">
        <v>16</v>
      </c>
      <c r="F6300" t="s">
        <v>10018</v>
      </c>
      <c r="G6300" t="s">
        <v>10069</v>
      </c>
      <c r="H6300" s="6" t="s">
        <v>10112</v>
      </c>
      <c r="I6300">
        <f t="shared" si="196"/>
        <v>1</v>
      </c>
      <c r="J6300" t="str">
        <f t="shared" si="197"/>
        <v>Incomplete</v>
      </c>
      <c r="K6300">
        <f>COUNTIFS(RawData[Item], B6300,RawData[Quantity],C6300,RawData[Price Per Unit],D6300,RawData[Total Spent],E6300,RawData[Payment Method],F6300,RawData[Location],G6300,RawData[Transaction Date],H6300)</f>
        <v>3</v>
      </c>
      <c r="L6300"/>
    </row>
    <row r="6301" spans="1:12" x14ac:dyDescent="0.3">
      <c r="A6301" t="s">
        <v>6307</v>
      </c>
      <c r="B6301" t="s">
        <v>10008</v>
      </c>
      <c r="C6301">
        <v>4</v>
      </c>
      <c r="D6301">
        <v>2</v>
      </c>
      <c r="E6301">
        <v>8</v>
      </c>
      <c r="F6301" t="s">
        <v>10019</v>
      </c>
      <c r="G6301" t="s">
        <v>10021</v>
      </c>
      <c r="H6301" s="6">
        <v>45106</v>
      </c>
      <c r="I6301">
        <f t="shared" si="196"/>
        <v>0</v>
      </c>
      <c r="J6301" t="str">
        <f t="shared" si="197"/>
        <v>Complete</v>
      </c>
      <c r="K6301">
        <f>COUNTIFS(RawData[Item], B6301,RawData[Quantity],C6301,RawData[Price Per Unit],D6301,RawData[Total Spent],E6301,RawData[Payment Method],F6301,RawData[Location],G6301,RawData[Transaction Date],H6301)</f>
        <v>1</v>
      </c>
      <c r="L6301"/>
    </row>
    <row r="6302" spans="1:12" x14ac:dyDescent="0.3">
      <c r="A6302" t="s">
        <v>6308</v>
      </c>
      <c r="B6302" t="s">
        <v>10017</v>
      </c>
      <c r="C6302">
        <v>2</v>
      </c>
      <c r="D6302">
        <v>1.5</v>
      </c>
      <c r="E6302">
        <v>3</v>
      </c>
      <c r="F6302" t="s">
        <v>10069</v>
      </c>
      <c r="G6302" t="s">
        <v>10069</v>
      </c>
      <c r="H6302" s="6">
        <v>45290</v>
      </c>
      <c r="I6302">
        <f t="shared" si="196"/>
        <v>0</v>
      </c>
      <c r="J6302" t="str">
        <f t="shared" si="197"/>
        <v>Complete</v>
      </c>
      <c r="K6302">
        <f>COUNTIFS(RawData[Item], B6302,RawData[Quantity],C6302,RawData[Price Per Unit],D6302,RawData[Total Spent],E6302,RawData[Payment Method],F6302,RawData[Location],G6302,RawData[Transaction Date],H6302)</f>
        <v>1</v>
      </c>
      <c r="L6302"/>
    </row>
    <row r="6303" spans="1:12" x14ac:dyDescent="0.3">
      <c r="A6303" t="s">
        <v>6309</v>
      </c>
      <c r="B6303" t="s">
        <v>10016</v>
      </c>
      <c r="C6303">
        <v>5</v>
      </c>
      <c r="D6303">
        <v>3</v>
      </c>
      <c r="E6303">
        <v>15</v>
      </c>
      <c r="F6303" t="s">
        <v>10018</v>
      </c>
      <c r="G6303" t="s">
        <v>10069</v>
      </c>
      <c r="H6303" s="6">
        <v>45285</v>
      </c>
      <c r="I6303">
        <f t="shared" si="196"/>
        <v>0</v>
      </c>
      <c r="J6303" t="str">
        <f t="shared" si="197"/>
        <v>Complete</v>
      </c>
      <c r="K6303">
        <f>COUNTIFS(RawData[Item], B6303,RawData[Quantity],C6303,RawData[Price Per Unit],D6303,RawData[Total Spent],E6303,RawData[Payment Method],F6303,RawData[Location],G6303,RawData[Transaction Date],H6303)</f>
        <v>1</v>
      </c>
      <c r="L6303"/>
    </row>
    <row r="6304" spans="1:12" x14ac:dyDescent="0.3">
      <c r="A6304" t="s">
        <v>6310</v>
      </c>
      <c r="B6304" t="s">
        <v>10069</v>
      </c>
      <c r="C6304">
        <v>3</v>
      </c>
      <c r="D6304">
        <v>4</v>
      </c>
      <c r="E6304">
        <v>12</v>
      </c>
      <c r="F6304" t="s">
        <v>10020</v>
      </c>
      <c r="G6304" t="s">
        <v>10021</v>
      </c>
      <c r="H6304" s="6">
        <v>45141</v>
      </c>
      <c r="I6304">
        <f t="shared" si="196"/>
        <v>0</v>
      </c>
      <c r="J6304" t="str">
        <f t="shared" si="197"/>
        <v>Complete</v>
      </c>
      <c r="K6304">
        <f>COUNTIFS(RawData[Item], B6304,RawData[Quantity],C6304,RawData[Price Per Unit],D6304,RawData[Total Spent],E6304,RawData[Payment Method],F6304,RawData[Location],G6304,RawData[Transaction Date],H6304)</f>
        <v>1</v>
      </c>
      <c r="L6304"/>
    </row>
    <row r="6305" spans="1:12" x14ac:dyDescent="0.3">
      <c r="A6305" t="s">
        <v>6311</v>
      </c>
      <c r="B6305" t="s">
        <v>10017</v>
      </c>
      <c r="C6305">
        <v>3</v>
      </c>
      <c r="D6305" t="s">
        <v>10013</v>
      </c>
      <c r="E6305">
        <v>4.5</v>
      </c>
      <c r="F6305" t="s">
        <v>10019</v>
      </c>
      <c r="G6305" t="s">
        <v>10102</v>
      </c>
      <c r="H6305" s="6">
        <v>45001</v>
      </c>
      <c r="I6305">
        <f t="shared" si="196"/>
        <v>1</v>
      </c>
      <c r="J6305" t="str">
        <f t="shared" si="197"/>
        <v>Complete</v>
      </c>
      <c r="K6305">
        <f>COUNTIFS(RawData[Item], B6305,RawData[Quantity],C6305,RawData[Price Per Unit],D6305,RawData[Total Spent],E6305,RawData[Payment Method],F6305,RawData[Location],G6305,RawData[Transaction Date],H6305)</f>
        <v>1</v>
      </c>
      <c r="L6305"/>
    </row>
    <row r="6306" spans="1:12" x14ac:dyDescent="0.3">
      <c r="A6306" t="s">
        <v>6312</v>
      </c>
      <c r="B6306" t="s">
        <v>10012</v>
      </c>
      <c r="C6306">
        <v>1</v>
      </c>
      <c r="D6306">
        <v>4</v>
      </c>
      <c r="E6306">
        <v>4</v>
      </c>
      <c r="F6306" t="s">
        <v>10020</v>
      </c>
      <c r="G6306" t="s">
        <v>10102</v>
      </c>
      <c r="H6306" s="6">
        <v>45046</v>
      </c>
      <c r="I6306">
        <f t="shared" si="196"/>
        <v>0</v>
      </c>
      <c r="J6306" t="str">
        <f t="shared" si="197"/>
        <v>Complete</v>
      </c>
      <c r="K6306">
        <f>COUNTIFS(RawData[Item], B6306,RawData[Quantity],C6306,RawData[Price Per Unit],D6306,RawData[Total Spent],E6306,RawData[Payment Method],F6306,RawData[Location],G6306,RawData[Transaction Date],H6306)</f>
        <v>2</v>
      </c>
      <c r="L6306"/>
    </row>
    <row r="6307" spans="1:12" x14ac:dyDescent="0.3">
      <c r="A6307" t="s">
        <v>6313</v>
      </c>
      <c r="B6307" t="s">
        <v>10010</v>
      </c>
      <c r="C6307">
        <v>4</v>
      </c>
      <c r="D6307">
        <v>1</v>
      </c>
      <c r="E6307">
        <v>4</v>
      </c>
      <c r="F6307" t="s">
        <v>10069</v>
      </c>
      <c r="G6307" t="s">
        <v>10021</v>
      </c>
      <c r="H6307" s="6">
        <v>45095</v>
      </c>
      <c r="I6307">
        <f t="shared" si="196"/>
        <v>0</v>
      </c>
      <c r="J6307" t="str">
        <f t="shared" si="197"/>
        <v>Complete</v>
      </c>
      <c r="K6307">
        <f>COUNTIFS(RawData[Item], B6307,RawData[Quantity],C6307,RawData[Price Per Unit],D6307,RawData[Total Spent],E6307,RawData[Payment Method],F6307,RawData[Location],G6307,RawData[Transaction Date],H6307)</f>
        <v>1</v>
      </c>
      <c r="L6307"/>
    </row>
    <row r="6308" spans="1:12" x14ac:dyDescent="0.3">
      <c r="A6308" t="s">
        <v>6314</v>
      </c>
      <c r="B6308" t="s">
        <v>10016</v>
      </c>
      <c r="C6308">
        <v>3</v>
      </c>
      <c r="D6308">
        <v>3</v>
      </c>
      <c r="E6308">
        <v>9</v>
      </c>
      <c r="F6308" t="s">
        <v>10018</v>
      </c>
      <c r="G6308" t="s">
        <v>10021</v>
      </c>
      <c r="H6308" s="6">
        <v>44982</v>
      </c>
      <c r="I6308">
        <f t="shared" si="196"/>
        <v>0</v>
      </c>
      <c r="J6308" t="str">
        <f t="shared" si="197"/>
        <v>Complete</v>
      </c>
      <c r="K6308">
        <f>COUNTIFS(RawData[Item], B6308,RawData[Quantity],C6308,RawData[Price Per Unit],D6308,RawData[Total Spent],E6308,RawData[Payment Method],F6308,RawData[Location],G6308,RawData[Transaction Date],H6308)</f>
        <v>1</v>
      </c>
      <c r="L6308"/>
    </row>
    <row r="6309" spans="1:12" x14ac:dyDescent="0.3">
      <c r="A6309" t="s">
        <v>6315</v>
      </c>
      <c r="B6309" t="s">
        <v>10012</v>
      </c>
      <c r="C6309">
        <v>3</v>
      </c>
      <c r="D6309">
        <v>4</v>
      </c>
      <c r="E6309">
        <v>12</v>
      </c>
      <c r="F6309" t="s">
        <v>10018</v>
      </c>
      <c r="G6309" t="s">
        <v>10102</v>
      </c>
      <c r="H6309" s="6">
        <v>45084</v>
      </c>
      <c r="I6309">
        <f t="shared" si="196"/>
        <v>0</v>
      </c>
      <c r="J6309" t="str">
        <f t="shared" si="197"/>
        <v>Complete</v>
      </c>
      <c r="K6309">
        <f>COUNTIFS(RawData[Item], B6309,RawData[Quantity],C6309,RawData[Price Per Unit],D6309,RawData[Total Spent],E6309,RawData[Payment Method],F6309,RawData[Location],G6309,RawData[Transaction Date],H6309)</f>
        <v>1</v>
      </c>
      <c r="L6309"/>
    </row>
    <row r="6310" spans="1:12" x14ac:dyDescent="0.3">
      <c r="A6310" t="s">
        <v>6316</v>
      </c>
      <c r="B6310" t="s">
        <v>10011</v>
      </c>
      <c r="C6310">
        <v>1</v>
      </c>
      <c r="D6310">
        <v>5</v>
      </c>
      <c r="E6310">
        <v>5</v>
      </c>
      <c r="F6310" t="s">
        <v>10069</v>
      </c>
      <c r="G6310" t="s">
        <v>10021</v>
      </c>
      <c r="H6310" s="6">
        <v>45026</v>
      </c>
      <c r="I6310">
        <f t="shared" si="196"/>
        <v>0</v>
      </c>
      <c r="J6310" t="str">
        <f t="shared" si="197"/>
        <v>Complete</v>
      </c>
      <c r="K6310">
        <f>COUNTIFS(RawData[Item], B6310,RawData[Quantity],C6310,RawData[Price Per Unit],D6310,RawData[Total Spent],E6310,RawData[Payment Method],F6310,RawData[Location],G6310,RawData[Transaction Date],H6310)</f>
        <v>1</v>
      </c>
      <c r="L6310"/>
    </row>
    <row r="6311" spans="1:12" x14ac:dyDescent="0.3">
      <c r="A6311" t="s">
        <v>6317</v>
      </c>
      <c r="B6311" t="s">
        <v>10017</v>
      </c>
      <c r="C6311">
        <v>1</v>
      </c>
      <c r="D6311">
        <v>1.5</v>
      </c>
      <c r="E6311">
        <v>1.5</v>
      </c>
      <c r="F6311" t="s">
        <v>10018</v>
      </c>
      <c r="G6311" t="s">
        <v>10069</v>
      </c>
      <c r="H6311" s="6">
        <v>44972</v>
      </c>
      <c r="I6311">
        <f t="shared" si="196"/>
        <v>0</v>
      </c>
      <c r="J6311" t="str">
        <f t="shared" si="197"/>
        <v>Complete</v>
      </c>
      <c r="K6311">
        <f>COUNTIFS(RawData[Item], B6311,RawData[Quantity],C6311,RawData[Price Per Unit],D6311,RawData[Total Spent],E6311,RawData[Payment Method],F6311,RawData[Location],G6311,RawData[Transaction Date],H6311)</f>
        <v>1</v>
      </c>
      <c r="L6311"/>
    </row>
    <row r="6312" spans="1:12" x14ac:dyDescent="0.3">
      <c r="A6312" t="s">
        <v>6318</v>
      </c>
      <c r="B6312" t="s">
        <v>10009</v>
      </c>
      <c r="C6312">
        <v>4</v>
      </c>
      <c r="D6312">
        <v>3</v>
      </c>
      <c r="E6312">
        <v>12</v>
      </c>
      <c r="F6312" t="s">
        <v>10019</v>
      </c>
      <c r="G6312" t="s">
        <v>10021</v>
      </c>
      <c r="H6312" s="6">
        <v>45247</v>
      </c>
      <c r="I6312">
        <f t="shared" si="196"/>
        <v>0</v>
      </c>
      <c r="J6312" t="str">
        <f t="shared" si="197"/>
        <v>Complete</v>
      </c>
      <c r="K6312">
        <f>COUNTIFS(RawData[Item], B6312,RawData[Quantity],C6312,RawData[Price Per Unit],D6312,RawData[Total Spent],E6312,RawData[Payment Method],F6312,RawData[Location],G6312,RawData[Transaction Date],H6312)</f>
        <v>1</v>
      </c>
      <c r="L6312"/>
    </row>
    <row r="6313" spans="1:12" x14ac:dyDescent="0.3">
      <c r="A6313" t="s">
        <v>6319</v>
      </c>
      <c r="B6313" t="s">
        <v>10009</v>
      </c>
      <c r="C6313">
        <v>1</v>
      </c>
      <c r="D6313">
        <v>3</v>
      </c>
      <c r="E6313">
        <v>3</v>
      </c>
      <c r="F6313" t="s">
        <v>10019</v>
      </c>
      <c r="G6313" t="s">
        <v>10069</v>
      </c>
      <c r="H6313" s="6">
        <v>45143</v>
      </c>
      <c r="I6313">
        <f t="shared" si="196"/>
        <v>0</v>
      </c>
      <c r="J6313" t="str">
        <f t="shared" si="197"/>
        <v>Complete</v>
      </c>
      <c r="K6313">
        <f>COUNTIFS(RawData[Item], B6313,RawData[Quantity],C6313,RawData[Price Per Unit],D6313,RawData[Total Spent],E6313,RawData[Payment Method],F6313,RawData[Location],G6313,RawData[Transaction Date],H6313)</f>
        <v>1</v>
      </c>
      <c r="L6313"/>
    </row>
    <row r="6314" spans="1:12" x14ac:dyDescent="0.3">
      <c r="A6314" t="s">
        <v>6320</v>
      </c>
      <c r="B6314" t="s">
        <v>10009</v>
      </c>
      <c r="C6314">
        <v>4</v>
      </c>
      <c r="D6314">
        <v>3</v>
      </c>
      <c r="E6314">
        <v>12</v>
      </c>
      <c r="F6314" t="s">
        <v>10019</v>
      </c>
      <c r="G6314" t="s">
        <v>10021</v>
      </c>
      <c r="H6314" s="6">
        <v>45263</v>
      </c>
      <c r="I6314">
        <f t="shared" si="196"/>
        <v>0</v>
      </c>
      <c r="J6314" t="str">
        <f t="shared" si="197"/>
        <v>Complete</v>
      </c>
      <c r="K6314">
        <f>COUNTIFS(RawData[Item], B6314,RawData[Quantity],C6314,RawData[Price Per Unit],D6314,RawData[Total Spent],E6314,RawData[Payment Method],F6314,RawData[Location],G6314,RawData[Transaction Date],H6314)</f>
        <v>1</v>
      </c>
      <c r="L6314"/>
    </row>
    <row r="6315" spans="1:12" x14ac:dyDescent="0.3">
      <c r="A6315" t="s">
        <v>6321</v>
      </c>
      <c r="B6315" t="s">
        <v>10008</v>
      </c>
      <c r="C6315">
        <v>2</v>
      </c>
      <c r="D6315">
        <v>2</v>
      </c>
      <c r="E6315">
        <v>4</v>
      </c>
      <c r="F6315" t="s">
        <v>10019</v>
      </c>
      <c r="G6315" t="s">
        <v>10021</v>
      </c>
      <c r="H6315" s="6">
        <v>45067</v>
      </c>
      <c r="I6315">
        <f t="shared" si="196"/>
        <v>0</v>
      </c>
      <c r="J6315" t="str">
        <f t="shared" si="197"/>
        <v>Complete</v>
      </c>
      <c r="K6315">
        <f>COUNTIFS(RawData[Item], B6315,RawData[Quantity],C6315,RawData[Price Per Unit],D6315,RawData[Total Spent],E6315,RawData[Payment Method],F6315,RawData[Location],G6315,RawData[Transaction Date],H6315)</f>
        <v>1</v>
      </c>
      <c r="L6315"/>
    </row>
    <row r="6316" spans="1:12" x14ac:dyDescent="0.3">
      <c r="A6316" t="s">
        <v>6322</v>
      </c>
      <c r="B6316" t="s">
        <v>10012</v>
      </c>
      <c r="C6316">
        <v>1</v>
      </c>
      <c r="D6316">
        <v>4</v>
      </c>
      <c r="E6316">
        <v>4</v>
      </c>
      <c r="F6316" t="s">
        <v>10019</v>
      </c>
      <c r="G6316" t="s">
        <v>10069</v>
      </c>
      <c r="H6316" s="6">
        <v>45290</v>
      </c>
      <c r="I6316">
        <f t="shared" si="196"/>
        <v>0</v>
      </c>
      <c r="J6316" t="str">
        <f t="shared" si="197"/>
        <v>Complete</v>
      </c>
      <c r="K6316">
        <f>COUNTIFS(RawData[Item], B6316,RawData[Quantity],C6316,RawData[Price Per Unit],D6316,RawData[Total Spent],E6316,RawData[Payment Method],F6316,RawData[Location],G6316,RawData[Transaction Date],H6316)</f>
        <v>1</v>
      </c>
      <c r="L6316"/>
    </row>
    <row r="6317" spans="1:12" x14ac:dyDescent="0.3">
      <c r="A6317" t="s">
        <v>6323</v>
      </c>
      <c r="B6317" t="s">
        <v>10008</v>
      </c>
      <c r="C6317">
        <v>4</v>
      </c>
      <c r="D6317">
        <v>2</v>
      </c>
      <c r="E6317">
        <v>8</v>
      </c>
      <c r="F6317" t="s">
        <v>10018</v>
      </c>
      <c r="G6317" t="s">
        <v>10102</v>
      </c>
      <c r="H6317" s="6">
        <v>44957</v>
      </c>
      <c r="I6317">
        <f t="shared" si="196"/>
        <v>0</v>
      </c>
      <c r="J6317" t="str">
        <f t="shared" si="197"/>
        <v>Complete</v>
      </c>
      <c r="K6317">
        <f>COUNTIFS(RawData[Item], B6317,RawData[Quantity],C6317,RawData[Price Per Unit],D6317,RawData[Total Spent],E6317,RawData[Payment Method],F6317,RawData[Location],G6317,RawData[Transaction Date],H6317)</f>
        <v>1</v>
      </c>
      <c r="L6317"/>
    </row>
    <row r="6318" spans="1:12" x14ac:dyDescent="0.3">
      <c r="A6318" t="s">
        <v>6324</v>
      </c>
      <c r="B6318" t="s">
        <v>10017</v>
      </c>
      <c r="C6318">
        <v>1</v>
      </c>
      <c r="D6318">
        <v>1.5</v>
      </c>
      <c r="E6318">
        <v>1.5</v>
      </c>
      <c r="F6318" t="s">
        <v>10019</v>
      </c>
      <c r="G6318" t="s">
        <v>10102</v>
      </c>
      <c r="H6318" s="6">
        <v>45189</v>
      </c>
      <c r="I6318">
        <f t="shared" si="196"/>
        <v>0</v>
      </c>
      <c r="J6318" t="str">
        <f t="shared" si="197"/>
        <v>Complete</v>
      </c>
      <c r="K6318">
        <f>COUNTIFS(RawData[Item], B6318,RawData[Quantity],C6318,RawData[Price Per Unit],D6318,RawData[Total Spent],E6318,RawData[Payment Method],F6318,RawData[Location],G6318,RawData[Transaction Date],H6318)</f>
        <v>1</v>
      </c>
      <c r="L6318"/>
    </row>
    <row r="6319" spans="1:12" x14ac:dyDescent="0.3">
      <c r="A6319" t="s">
        <v>6325</v>
      </c>
      <c r="B6319" t="s">
        <v>10008</v>
      </c>
      <c r="C6319">
        <v>5</v>
      </c>
      <c r="D6319">
        <v>2</v>
      </c>
      <c r="E6319">
        <v>10</v>
      </c>
      <c r="F6319" t="s">
        <v>10020</v>
      </c>
      <c r="G6319" t="s">
        <v>10102</v>
      </c>
      <c r="H6319" s="6">
        <v>44982</v>
      </c>
      <c r="I6319">
        <f t="shared" si="196"/>
        <v>0</v>
      </c>
      <c r="J6319" t="str">
        <f t="shared" si="197"/>
        <v>Complete</v>
      </c>
      <c r="K6319">
        <f>COUNTIFS(RawData[Item], B6319,RawData[Quantity],C6319,RawData[Price Per Unit],D6319,RawData[Total Spent],E6319,RawData[Payment Method],F6319,RawData[Location],G6319,RawData[Transaction Date],H6319)</f>
        <v>1</v>
      </c>
      <c r="L6319"/>
    </row>
    <row r="6320" spans="1:12" x14ac:dyDescent="0.3">
      <c r="A6320" t="s">
        <v>6326</v>
      </c>
      <c r="B6320" t="s">
        <v>10010</v>
      </c>
      <c r="C6320">
        <v>5</v>
      </c>
      <c r="D6320">
        <v>1</v>
      </c>
      <c r="E6320">
        <v>5</v>
      </c>
      <c r="F6320" t="s">
        <v>10104</v>
      </c>
      <c r="G6320" t="s">
        <v>10102</v>
      </c>
      <c r="H6320" s="6">
        <v>45066</v>
      </c>
      <c r="I6320">
        <f t="shared" si="196"/>
        <v>1</v>
      </c>
      <c r="J6320" t="str">
        <f t="shared" si="197"/>
        <v>Complete</v>
      </c>
      <c r="K6320">
        <f>COUNTIFS(RawData[Item], B6320,RawData[Quantity],C6320,RawData[Price Per Unit],D6320,RawData[Total Spent],E6320,RawData[Payment Method],F6320,RawData[Location],G6320,RawData[Transaction Date],H6320)</f>
        <v>1</v>
      </c>
      <c r="L6320"/>
    </row>
    <row r="6321" spans="1:12" x14ac:dyDescent="0.3">
      <c r="A6321" t="s">
        <v>6327</v>
      </c>
      <c r="B6321" t="s">
        <v>10008</v>
      </c>
      <c r="C6321">
        <v>3</v>
      </c>
      <c r="D6321">
        <v>2</v>
      </c>
      <c r="E6321">
        <v>6</v>
      </c>
      <c r="F6321" t="s">
        <v>10018</v>
      </c>
      <c r="G6321" t="s">
        <v>10102</v>
      </c>
      <c r="H6321" s="6">
        <v>45011</v>
      </c>
      <c r="I6321">
        <f t="shared" si="196"/>
        <v>0</v>
      </c>
      <c r="J6321" t="str">
        <f t="shared" si="197"/>
        <v>Complete</v>
      </c>
      <c r="K6321">
        <f>COUNTIFS(RawData[Item], B6321,RawData[Quantity],C6321,RawData[Price Per Unit],D6321,RawData[Total Spent],E6321,RawData[Payment Method],F6321,RawData[Location],G6321,RawData[Transaction Date],H6321)</f>
        <v>1</v>
      </c>
      <c r="L6321"/>
    </row>
    <row r="6322" spans="1:12" x14ac:dyDescent="0.3">
      <c r="A6322" t="s">
        <v>6328</v>
      </c>
      <c r="B6322" t="s">
        <v>10008</v>
      </c>
      <c r="C6322">
        <v>5</v>
      </c>
      <c r="D6322">
        <v>2</v>
      </c>
      <c r="E6322">
        <v>10</v>
      </c>
      <c r="F6322" t="s">
        <v>10069</v>
      </c>
      <c r="G6322" t="s">
        <v>10069</v>
      </c>
      <c r="H6322" s="6">
        <v>45255</v>
      </c>
      <c r="I6322">
        <f t="shared" si="196"/>
        <v>0</v>
      </c>
      <c r="J6322" t="str">
        <f t="shared" si="197"/>
        <v>Complete</v>
      </c>
      <c r="K6322">
        <f>COUNTIFS(RawData[Item], B6322,RawData[Quantity],C6322,RawData[Price Per Unit],D6322,RawData[Total Spent],E6322,RawData[Payment Method],F6322,RawData[Location],G6322,RawData[Transaction Date],H6322)</f>
        <v>1</v>
      </c>
      <c r="L6322"/>
    </row>
    <row r="6323" spans="1:12" x14ac:dyDescent="0.3">
      <c r="A6323" t="s">
        <v>6329</v>
      </c>
      <c r="B6323" t="s">
        <v>10012</v>
      </c>
      <c r="C6323">
        <v>1</v>
      </c>
      <c r="D6323">
        <v>4</v>
      </c>
      <c r="E6323">
        <v>4</v>
      </c>
      <c r="F6323" t="s">
        <v>10020</v>
      </c>
      <c r="G6323" t="s">
        <v>10102</v>
      </c>
      <c r="H6323" s="6">
        <v>45284</v>
      </c>
      <c r="I6323">
        <f t="shared" si="196"/>
        <v>0</v>
      </c>
      <c r="J6323" t="str">
        <f t="shared" si="197"/>
        <v>Complete</v>
      </c>
      <c r="K6323">
        <f>COUNTIFS(RawData[Item], B6323,RawData[Quantity],C6323,RawData[Price Per Unit],D6323,RawData[Total Spent],E6323,RawData[Payment Method],F6323,RawData[Location],G6323,RawData[Transaction Date],H6323)</f>
        <v>1</v>
      </c>
      <c r="L6323"/>
    </row>
    <row r="6324" spans="1:12" x14ac:dyDescent="0.3">
      <c r="A6324" t="s">
        <v>6330</v>
      </c>
      <c r="B6324" t="s">
        <v>10012</v>
      </c>
      <c r="C6324">
        <v>2</v>
      </c>
      <c r="D6324" t="s">
        <v>10015</v>
      </c>
      <c r="E6324">
        <v>8</v>
      </c>
      <c r="F6324" t="s">
        <v>10019</v>
      </c>
      <c r="G6324" t="s">
        <v>10102</v>
      </c>
      <c r="H6324" s="6">
        <v>45171</v>
      </c>
      <c r="I6324">
        <f t="shared" si="196"/>
        <v>1</v>
      </c>
      <c r="J6324" t="str">
        <f t="shared" si="197"/>
        <v>Complete</v>
      </c>
      <c r="K6324">
        <f>COUNTIFS(RawData[Item], B6324,RawData[Quantity],C6324,RawData[Price Per Unit],D6324,RawData[Total Spent],E6324,RawData[Payment Method],F6324,RawData[Location],G6324,RawData[Transaction Date],H6324)</f>
        <v>1</v>
      </c>
      <c r="L6324"/>
    </row>
    <row r="6325" spans="1:12" x14ac:dyDescent="0.3">
      <c r="A6325" t="s">
        <v>6331</v>
      </c>
      <c r="B6325" t="s">
        <v>10016</v>
      </c>
      <c r="C6325">
        <v>3</v>
      </c>
      <c r="D6325">
        <v>3</v>
      </c>
      <c r="E6325">
        <v>9</v>
      </c>
      <c r="F6325" t="s">
        <v>10069</v>
      </c>
      <c r="G6325" t="s">
        <v>10021</v>
      </c>
      <c r="H6325" s="6">
        <v>45141</v>
      </c>
      <c r="I6325">
        <f t="shared" si="196"/>
        <v>0</v>
      </c>
      <c r="J6325" t="str">
        <f t="shared" si="197"/>
        <v>Complete</v>
      </c>
      <c r="K6325">
        <f>COUNTIFS(RawData[Item], B6325,RawData[Quantity],C6325,RawData[Price Per Unit],D6325,RawData[Total Spent],E6325,RawData[Payment Method],F6325,RawData[Location],G6325,RawData[Transaction Date],H6325)</f>
        <v>1</v>
      </c>
      <c r="L6325"/>
    </row>
    <row r="6326" spans="1:12" x14ac:dyDescent="0.3">
      <c r="A6326" t="s">
        <v>6332</v>
      </c>
      <c r="B6326" t="s">
        <v>10009</v>
      </c>
      <c r="C6326">
        <v>4</v>
      </c>
      <c r="D6326">
        <v>3</v>
      </c>
      <c r="E6326">
        <v>12</v>
      </c>
      <c r="F6326" t="s">
        <v>10069</v>
      </c>
      <c r="G6326" t="s">
        <v>10069</v>
      </c>
      <c r="H6326" s="6">
        <v>45131</v>
      </c>
      <c r="I6326">
        <f t="shared" si="196"/>
        <v>0</v>
      </c>
      <c r="J6326" t="str">
        <f t="shared" si="197"/>
        <v>Complete</v>
      </c>
      <c r="K6326">
        <f>COUNTIFS(RawData[Item], B6326,RawData[Quantity],C6326,RawData[Price Per Unit],D6326,RawData[Total Spent],E6326,RawData[Payment Method],F6326,RawData[Location],G6326,RawData[Transaction Date],H6326)</f>
        <v>1</v>
      </c>
      <c r="L6326"/>
    </row>
    <row r="6327" spans="1:12" x14ac:dyDescent="0.3">
      <c r="A6327" t="s">
        <v>6333</v>
      </c>
      <c r="B6327" t="s">
        <v>10017</v>
      </c>
      <c r="C6327">
        <v>5</v>
      </c>
      <c r="D6327">
        <v>1.5</v>
      </c>
      <c r="E6327">
        <v>7.5</v>
      </c>
      <c r="F6327" t="s">
        <v>10069</v>
      </c>
      <c r="G6327" t="s">
        <v>10069</v>
      </c>
      <c r="H6327" s="6">
        <v>45114</v>
      </c>
      <c r="I6327">
        <f t="shared" si="196"/>
        <v>0</v>
      </c>
      <c r="J6327" t="str">
        <f t="shared" si="197"/>
        <v>Complete</v>
      </c>
      <c r="K6327">
        <f>COUNTIFS(RawData[Item], B6327,RawData[Quantity],C6327,RawData[Price Per Unit],D6327,RawData[Total Spent],E6327,RawData[Payment Method],F6327,RawData[Location],G6327,RawData[Transaction Date],H6327)</f>
        <v>1</v>
      </c>
      <c r="L6327"/>
    </row>
    <row r="6328" spans="1:12" x14ac:dyDescent="0.3">
      <c r="A6328" t="s">
        <v>6334</v>
      </c>
      <c r="B6328" t="s">
        <v>10011</v>
      </c>
      <c r="C6328">
        <v>3</v>
      </c>
      <c r="D6328">
        <v>5</v>
      </c>
      <c r="E6328">
        <v>15</v>
      </c>
      <c r="F6328" t="s">
        <v>10018</v>
      </c>
      <c r="G6328" t="s">
        <v>10102</v>
      </c>
      <c r="H6328" s="6">
        <v>44954</v>
      </c>
      <c r="I6328">
        <f t="shared" si="196"/>
        <v>0</v>
      </c>
      <c r="J6328" t="str">
        <f t="shared" si="197"/>
        <v>Complete</v>
      </c>
      <c r="K6328">
        <f>COUNTIFS(RawData[Item], B6328,RawData[Quantity],C6328,RawData[Price Per Unit],D6328,RawData[Total Spent],E6328,RawData[Payment Method],F6328,RawData[Location],G6328,RawData[Transaction Date],H6328)</f>
        <v>1</v>
      </c>
      <c r="L6328"/>
    </row>
    <row r="6329" spans="1:12" x14ac:dyDescent="0.3">
      <c r="A6329" t="s">
        <v>6335</v>
      </c>
      <c r="B6329" t="s">
        <v>10016</v>
      </c>
      <c r="C6329">
        <v>3</v>
      </c>
      <c r="D6329">
        <v>3</v>
      </c>
      <c r="E6329">
        <v>9</v>
      </c>
      <c r="F6329" t="s">
        <v>10069</v>
      </c>
      <c r="G6329" t="s">
        <v>10069</v>
      </c>
      <c r="H6329" s="6">
        <v>45052</v>
      </c>
      <c r="I6329">
        <f t="shared" si="196"/>
        <v>0</v>
      </c>
      <c r="J6329" t="str">
        <f t="shared" si="197"/>
        <v>Complete</v>
      </c>
      <c r="K6329">
        <f>COUNTIFS(RawData[Item], B6329,RawData[Quantity],C6329,RawData[Price Per Unit],D6329,RawData[Total Spent],E6329,RawData[Payment Method],F6329,RawData[Location],G6329,RawData[Transaction Date],H6329)</f>
        <v>1</v>
      </c>
      <c r="L6329"/>
    </row>
    <row r="6330" spans="1:12" x14ac:dyDescent="0.3">
      <c r="A6330" t="s">
        <v>6336</v>
      </c>
      <c r="B6330" t="s">
        <v>10008</v>
      </c>
      <c r="C6330">
        <v>3</v>
      </c>
      <c r="D6330">
        <v>2</v>
      </c>
      <c r="E6330">
        <v>6</v>
      </c>
      <c r="F6330" t="s">
        <v>10069</v>
      </c>
      <c r="G6330" t="s">
        <v>10102</v>
      </c>
      <c r="H6330" s="6">
        <v>45241</v>
      </c>
      <c r="I6330">
        <f t="shared" si="196"/>
        <v>0</v>
      </c>
      <c r="J6330" t="str">
        <f t="shared" si="197"/>
        <v>Complete</v>
      </c>
      <c r="K6330">
        <f>COUNTIFS(RawData[Item], B6330,RawData[Quantity],C6330,RawData[Price Per Unit],D6330,RawData[Total Spent],E6330,RawData[Payment Method],F6330,RawData[Location],G6330,RawData[Transaction Date],H6330)</f>
        <v>1</v>
      </c>
      <c r="L6330"/>
    </row>
    <row r="6331" spans="1:12" x14ac:dyDescent="0.3">
      <c r="A6331" t="s">
        <v>6337</v>
      </c>
      <c r="B6331" t="s">
        <v>10009</v>
      </c>
      <c r="C6331">
        <v>5</v>
      </c>
      <c r="D6331">
        <v>3</v>
      </c>
      <c r="E6331">
        <v>15</v>
      </c>
      <c r="F6331" t="s">
        <v>10018</v>
      </c>
      <c r="G6331" t="s">
        <v>10069</v>
      </c>
      <c r="H6331" s="6">
        <v>45256</v>
      </c>
      <c r="I6331">
        <f t="shared" si="196"/>
        <v>0</v>
      </c>
      <c r="J6331" t="str">
        <f t="shared" si="197"/>
        <v>Complete</v>
      </c>
      <c r="K6331">
        <f>COUNTIFS(RawData[Item], B6331,RawData[Quantity],C6331,RawData[Price Per Unit],D6331,RawData[Total Spent],E6331,RawData[Payment Method],F6331,RawData[Location],G6331,RawData[Transaction Date],H6331)</f>
        <v>1</v>
      </c>
      <c r="L6331"/>
    </row>
    <row r="6332" spans="1:12" x14ac:dyDescent="0.3">
      <c r="A6332" t="s">
        <v>6338</v>
      </c>
      <c r="B6332" t="s">
        <v>10015</v>
      </c>
      <c r="C6332">
        <v>5</v>
      </c>
      <c r="D6332">
        <v>5</v>
      </c>
      <c r="E6332">
        <v>25</v>
      </c>
      <c r="F6332" t="s">
        <v>10018</v>
      </c>
      <c r="G6332" t="s">
        <v>10103</v>
      </c>
      <c r="H6332" s="6">
        <v>45119</v>
      </c>
      <c r="I6332">
        <f t="shared" si="196"/>
        <v>2</v>
      </c>
      <c r="J6332" t="str">
        <f t="shared" si="197"/>
        <v>Complete</v>
      </c>
      <c r="K6332">
        <f>COUNTIFS(RawData[Item], B6332,RawData[Quantity],C6332,RawData[Price Per Unit],D6332,RawData[Total Spent],E6332,RawData[Payment Method],F6332,RawData[Location],G6332,RawData[Transaction Date],H6332)</f>
        <v>1</v>
      </c>
      <c r="L6332"/>
    </row>
    <row r="6333" spans="1:12" x14ac:dyDescent="0.3">
      <c r="A6333" t="s">
        <v>6339</v>
      </c>
      <c r="B6333" t="s">
        <v>10009</v>
      </c>
      <c r="C6333">
        <v>2</v>
      </c>
      <c r="D6333">
        <v>3</v>
      </c>
      <c r="E6333">
        <v>6</v>
      </c>
      <c r="F6333" t="s">
        <v>10069</v>
      </c>
      <c r="G6333" t="s">
        <v>10021</v>
      </c>
      <c r="H6333" s="6">
        <v>44994</v>
      </c>
      <c r="I6333">
        <f t="shared" si="196"/>
        <v>0</v>
      </c>
      <c r="J6333" t="str">
        <f t="shared" si="197"/>
        <v>Complete</v>
      </c>
      <c r="K6333">
        <f>COUNTIFS(RawData[Item], B6333,RawData[Quantity],C6333,RawData[Price Per Unit],D6333,RawData[Total Spent],E6333,RawData[Payment Method],F6333,RawData[Location],G6333,RawData[Transaction Date],H6333)</f>
        <v>1</v>
      </c>
      <c r="L6333"/>
    </row>
    <row r="6334" spans="1:12" x14ac:dyDescent="0.3">
      <c r="A6334" t="s">
        <v>6340</v>
      </c>
      <c r="B6334" t="s">
        <v>10010</v>
      </c>
      <c r="C6334">
        <v>1</v>
      </c>
      <c r="D6334">
        <v>1</v>
      </c>
      <c r="E6334">
        <v>1</v>
      </c>
      <c r="F6334" t="s">
        <v>10104</v>
      </c>
      <c r="G6334" t="s">
        <v>10069</v>
      </c>
      <c r="H6334" s="6">
        <v>44983</v>
      </c>
      <c r="I6334">
        <f t="shared" si="196"/>
        <v>1</v>
      </c>
      <c r="J6334" t="str">
        <f t="shared" si="197"/>
        <v>Complete</v>
      </c>
      <c r="K6334">
        <f>COUNTIFS(RawData[Item], B6334,RawData[Quantity],C6334,RawData[Price Per Unit],D6334,RawData[Total Spent],E6334,RawData[Payment Method],F6334,RawData[Location],G6334,RawData[Transaction Date],H6334)</f>
        <v>1</v>
      </c>
      <c r="L6334"/>
    </row>
    <row r="6335" spans="1:12" x14ac:dyDescent="0.3">
      <c r="A6335" t="s">
        <v>6341</v>
      </c>
      <c r="B6335" t="s">
        <v>10016</v>
      </c>
      <c r="C6335">
        <v>5</v>
      </c>
      <c r="D6335">
        <v>3</v>
      </c>
      <c r="E6335">
        <v>15</v>
      </c>
      <c r="F6335" t="s">
        <v>10069</v>
      </c>
      <c r="G6335" t="s">
        <v>10069</v>
      </c>
      <c r="H6335" s="6">
        <v>45036</v>
      </c>
      <c r="I6335">
        <f t="shared" si="196"/>
        <v>0</v>
      </c>
      <c r="J6335" t="str">
        <f t="shared" si="197"/>
        <v>Complete</v>
      </c>
      <c r="K6335">
        <f>COUNTIFS(RawData[Item], B6335,RawData[Quantity],C6335,RawData[Price Per Unit],D6335,RawData[Total Spent],E6335,RawData[Payment Method],F6335,RawData[Location],G6335,RawData[Transaction Date],H6335)</f>
        <v>1</v>
      </c>
      <c r="L6335"/>
    </row>
    <row r="6336" spans="1:12" x14ac:dyDescent="0.3">
      <c r="A6336" t="s">
        <v>6342</v>
      </c>
      <c r="B6336" t="s">
        <v>10011</v>
      </c>
      <c r="C6336">
        <v>4</v>
      </c>
      <c r="D6336">
        <v>5</v>
      </c>
      <c r="E6336">
        <v>20</v>
      </c>
      <c r="F6336" t="s">
        <v>10018</v>
      </c>
      <c r="G6336" t="s">
        <v>10102</v>
      </c>
      <c r="H6336" s="6">
        <v>45126</v>
      </c>
      <c r="I6336">
        <f t="shared" si="196"/>
        <v>0</v>
      </c>
      <c r="J6336" t="str">
        <f t="shared" si="197"/>
        <v>Complete</v>
      </c>
      <c r="K6336">
        <f>COUNTIFS(RawData[Item], B6336,RawData[Quantity],C6336,RawData[Price Per Unit],D6336,RawData[Total Spent],E6336,RawData[Payment Method],F6336,RawData[Location],G6336,RawData[Transaction Date],H6336)</f>
        <v>1</v>
      </c>
      <c r="L6336"/>
    </row>
    <row r="6337" spans="1:12" x14ac:dyDescent="0.3">
      <c r="A6337" t="s">
        <v>6343</v>
      </c>
      <c r="B6337" t="s">
        <v>10017</v>
      </c>
      <c r="C6337">
        <v>5</v>
      </c>
      <c r="D6337">
        <v>1.5</v>
      </c>
      <c r="E6337">
        <v>7.5</v>
      </c>
      <c r="F6337" t="s">
        <v>10069</v>
      </c>
      <c r="G6337" t="s">
        <v>10069</v>
      </c>
      <c r="H6337" s="6">
        <v>45155</v>
      </c>
      <c r="I6337">
        <f t="shared" si="196"/>
        <v>0</v>
      </c>
      <c r="J6337" t="str">
        <f t="shared" si="197"/>
        <v>Complete</v>
      </c>
      <c r="K6337">
        <f>COUNTIFS(RawData[Item], B6337,RawData[Quantity],C6337,RawData[Price Per Unit],D6337,RawData[Total Spent],E6337,RawData[Payment Method],F6337,RawData[Location],G6337,RawData[Transaction Date],H6337)</f>
        <v>1</v>
      </c>
      <c r="L6337"/>
    </row>
    <row r="6338" spans="1:12" x14ac:dyDescent="0.3">
      <c r="A6338" t="s">
        <v>6344</v>
      </c>
      <c r="B6338" t="s">
        <v>10011</v>
      </c>
      <c r="C6338">
        <v>3</v>
      </c>
      <c r="D6338">
        <v>5</v>
      </c>
      <c r="E6338">
        <v>15</v>
      </c>
      <c r="F6338" t="s">
        <v>10104</v>
      </c>
      <c r="G6338" t="s">
        <v>10021</v>
      </c>
      <c r="H6338" s="6">
        <v>45055</v>
      </c>
      <c r="I6338">
        <f t="shared" ref="I6338:I6401" si="198">(B6338="Unknown")+(B6338="Error")+(C6338="Unknown")+(C6338="Error")+(D6338="Unknown")+(D6338="Error")+(E6338="Unknown")+(E6338="Error")+(F6338="Unknown")+(F6338="Error")+(G6338="Unknown")+(G6338="Error")+(H6338="No Date")</f>
        <v>1</v>
      </c>
      <c r="J6338" t="str">
        <f t="shared" ref="J6338:J6401" si="199">IF((H6338="No Date"),"Incomplete","Complete")</f>
        <v>Complete</v>
      </c>
      <c r="K6338">
        <f>COUNTIFS(RawData[Item], B6338,RawData[Quantity],C6338,RawData[Price Per Unit],D6338,RawData[Total Spent],E6338,RawData[Payment Method],F6338,RawData[Location],G6338,RawData[Transaction Date],H6338)</f>
        <v>1</v>
      </c>
      <c r="L6338"/>
    </row>
    <row r="6339" spans="1:12" x14ac:dyDescent="0.3">
      <c r="A6339" t="s">
        <v>6345</v>
      </c>
      <c r="B6339" t="s">
        <v>10009</v>
      </c>
      <c r="C6339">
        <v>5</v>
      </c>
      <c r="D6339">
        <v>3</v>
      </c>
      <c r="E6339">
        <v>15</v>
      </c>
      <c r="F6339" t="s">
        <v>10018</v>
      </c>
      <c r="G6339" t="s">
        <v>10069</v>
      </c>
      <c r="H6339" s="6" t="s">
        <v>10112</v>
      </c>
      <c r="I6339">
        <f t="shared" si="198"/>
        <v>1</v>
      </c>
      <c r="J6339" t="str">
        <f t="shared" si="199"/>
        <v>Incomplete</v>
      </c>
      <c r="K6339">
        <f>COUNTIFS(RawData[Item], B6339,RawData[Quantity],C6339,RawData[Price Per Unit],D6339,RawData[Total Spent],E6339,RawData[Payment Method],F6339,RawData[Location],G6339,RawData[Transaction Date],H6339)</f>
        <v>6</v>
      </c>
      <c r="L6339"/>
    </row>
    <row r="6340" spans="1:12" x14ac:dyDescent="0.3">
      <c r="A6340" t="s">
        <v>6346</v>
      </c>
      <c r="B6340" t="s">
        <v>10010</v>
      </c>
      <c r="C6340">
        <v>5</v>
      </c>
      <c r="D6340">
        <v>1</v>
      </c>
      <c r="E6340">
        <v>5</v>
      </c>
      <c r="F6340" t="s">
        <v>10020</v>
      </c>
      <c r="G6340" t="s">
        <v>10069</v>
      </c>
      <c r="H6340" s="6">
        <v>45287</v>
      </c>
      <c r="I6340">
        <f t="shared" si="198"/>
        <v>0</v>
      </c>
      <c r="J6340" t="str">
        <f t="shared" si="199"/>
        <v>Complete</v>
      </c>
      <c r="K6340">
        <f>COUNTIFS(RawData[Item], B6340,RawData[Quantity],C6340,RawData[Price Per Unit],D6340,RawData[Total Spent],E6340,RawData[Payment Method],F6340,RawData[Location],G6340,RawData[Transaction Date],H6340)</f>
        <v>1</v>
      </c>
      <c r="L6340"/>
    </row>
    <row r="6341" spans="1:12" x14ac:dyDescent="0.3">
      <c r="A6341" t="s">
        <v>6347</v>
      </c>
      <c r="B6341" t="s">
        <v>10012</v>
      </c>
      <c r="C6341">
        <v>1</v>
      </c>
      <c r="D6341">
        <v>4</v>
      </c>
      <c r="E6341">
        <v>4</v>
      </c>
      <c r="F6341" t="s">
        <v>10020</v>
      </c>
      <c r="G6341" t="s">
        <v>10102</v>
      </c>
      <c r="H6341" s="6">
        <v>45007</v>
      </c>
      <c r="I6341">
        <f t="shared" si="198"/>
        <v>0</v>
      </c>
      <c r="J6341" t="str">
        <f t="shared" si="199"/>
        <v>Complete</v>
      </c>
      <c r="K6341">
        <f>COUNTIFS(RawData[Item], B6341,RawData[Quantity],C6341,RawData[Price Per Unit],D6341,RawData[Total Spent],E6341,RawData[Payment Method],F6341,RawData[Location],G6341,RawData[Transaction Date],H6341)</f>
        <v>1</v>
      </c>
      <c r="L6341"/>
    </row>
    <row r="6342" spans="1:12" x14ac:dyDescent="0.3">
      <c r="A6342" t="s">
        <v>6348</v>
      </c>
      <c r="B6342" t="s">
        <v>10008</v>
      </c>
      <c r="C6342">
        <v>2</v>
      </c>
      <c r="D6342">
        <v>2</v>
      </c>
      <c r="E6342">
        <v>4</v>
      </c>
      <c r="F6342" t="s">
        <v>10069</v>
      </c>
      <c r="G6342" t="s">
        <v>10102</v>
      </c>
      <c r="H6342" s="6">
        <v>45202</v>
      </c>
      <c r="I6342">
        <f t="shared" si="198"/>
        <v>0</v>
      </c>
      <c r="J6342" t="str">
        <f t="shared" si="199"/>
        <v>Complete</v>
      </c>
      <c r="K6342">
        <f>COUNTIFS(RawData[Item], B6342,RawData[Quantity],C6342,RawData[Price Per Unit],D6342,RawData[Total Spent],E6342,RawData[Payment Method],F6342,RawData[Location],G6342,RawData[Transaction Date],H6342)</f>
        <v>1</v>
      </c>
      <c r="L6342"/>
    </row>
    <row r="6343" spans="1:12" x14ac:dyDescent="0.3">
      <c r="A6343" t="s">
        <v>6349</v>
      </c>
      <c r="B6343" t="s">
        <v>10008</v>
      </c>
      <c r="C6343">
        <v>2</v>
      </c>
      <c r="D6343">
        <v>2</v>
      </c>
      <c r="E6343">
        <v>4</v>
      </c>
      <c r="F6343" t="s">
        <v>10019</v>
      </c>
      <c r="G6343" t="s">
        <v>10069</v>
      </c>
      <c r="H6343" s="6">
        <v>45017</v>
      </c>
      <c r="I6343">
        <f t="shared" si="198"/>
        <v>0</v>
      </c>
      <c r="J6343" t="str">
        <f t="shared" si="199"/>
        <v>Complete</v>
      </c>
      <c r="K6343">
        <f>COUNTIFS(RawData[Item], B6343,RawData[Quantity],C6343,RawData[Price Per Unit],D6343,RawData[Total Spent],E6343,RawData[Payment Method],F6343,RawData[Location],G6343,RawData[Transaction Date],H6343)</f>
        <v>1</v>
      </c>
      <c r="L6343"/>
    </row>
    <row r="6344" spans="1:12" x14ac:dyDescent="0.3">
      <c r="A6344" t="s">
        <v>6350</v>
      </c>
      <c r="B6344" t="s">
        <v>10010</v>
      </c>
      <c r="C6344">
        <v>2</v>
      </c>
      <c r="D6344">
        <v>1</v>
      </c>
      <c r="E6344">
        <v>2</v>
      </c>
      <c r="F6344" t="s">
        <v>10069</v>
      </c>
      <c r="G6344" t="s">
        <v>10021</v>
      </c>
      <c r="H6344" s="6">
        <v>45269</v>
      </c>
      <c r="I6344">
        <f t="shared" si="198"/>
        <v>0</v>
      </c>
      <c r="J6344" t="str">
        <f t="shared" si="199"/>
        <v>Complete</v>
      </c>
      <c r="K6344">
        <f>COUNTIFS(RawData[Item], B6344,RawData[Quantity],C6344,RawData[Price Per Unit],D6344,RawData[Total Spent],E6344,RawData[Payment Method],F6344,RawData[Location],G6344,RawData[Transaction Date],H6344)</f>
        <v>1</v>
      </c>
      <c r="L6344"/>
    </row>
    <row r="6345" spans="1:12" x14ac:dyDescent="0.3">
      <c r="A6345" t="s">
        <v>6351</v>
      </c>
      <c r="B6345" t="s">
        <v>10017</v>
      </c>
      <c r="C6345">
        <v>1</v>
      </c>
      <c r="D6345">
        <v>1.5</v>
      </c>
      <c r="E6345">
        <v>1.5</v>
      </c>
      <c r="F6345" t="s">
        <v>10069</v>
      </c>
      <c r="G6345" t="s">
        <v>10069</v>
      </c>
      <c r="H6345" s="6">
        <v>45108</v>
      </c>
      <c r="I6345">
        <f t="shared" si="198"/>
        <v>0</v>
      </c>
      <c r="J6345" t="str">
        <f t="shared" si="199"/>
        <v>Complete</v>
      </c>
      <c r="K6345">
        <f>COUNTIFS(RawData[Item], B6345,RawData[Quantity],C6345,RawData[Price Per Unit],D6345,RawData[Total Spent],E6345,RawData[Payment Method],F6345,RawData[Location],G6345,RawData[Transaction Date],H6345)</f>
        <v>1</v>
      </c>
      <c r="L6345"/>
    </row>
    <row r="6346" spans="1:12" x14ac:dyDescent="0.3">
      <c r="A6346" t="s">
        <v>6352</v>
      </c>
      <c r="B6346" t="s">
        <v>10010</v>
      </c>
      <c r="C6346">
        <v>2</v>
      </c>
      <c r="D6346">
        <v>1</v>
      </c>
      <c r="E6346">
        <v>2</v>
      </c>
      <c r="F6346" t="s">
        <v>10020</v>
      </c>
      <c r="G6346" t="s">
        <v>10069</v>
      </c>
      <c r="H6346" s="6">
        <v>45260</v>
      </c>
      <c r="I6346">
        <f t="shared" si="198"/>
        <v>0</v>
      </c>
      <c r="J6346" t="str">
        <f t="shared" si="199"/>
        <v>Complete</v>
      </c>
      <c r="K6346">
        <f>COUNTIFS(RawData[Item], B6346,RawData[Quantity],C6346,RawData[Price Per Unit],D6346,RawData[Total Spent],E6346,RawData[Payment Method],F6346,RawData[Location],G6346,RawData[Transaction Date],H6346)</f>
        <v>1</v>
      </c>
      <c r="L6346"/>
    </row>
    <row r="6347" spans="1:12" x14ac:dyDescent="0.3">
      <c r="A6347" t="s">
        <v>6353</v>
      </c>
      <c r="B6347" t="s">
        <v>10069</v>
      </c>
      <c r="C6347">
        <v>3</v>
      </c>
      <c r="D6347" t="s">
        <v>10013</v>
      </c>
      <c r="E6347">
        <v>12</v>
      </c>
      <c r="F6347" t="s">
        <v>10069</v>
      </c>
      <c r="G6347" t="s">
        <v>10021</v>
      </c>
      <c r="H6347" s="6">
        <v>45076</v>
      </c>
      <c r="I6347">
        <f t="shared" si="198"/>
        <v>1</v>
      </c>
      <c r="J6347" t="str">
        <f t="shared" si="199"/>
        <v>Complete</v>
      </c>
      <c r="K6347">
        <f>COUNTIFS(RawData[Item], B6347,RawData[Quantity],C6347,RawData[Price Per Unit],D6347,RawData[Total Spent],E6347,RawData[Payment Method],F6347,RawData[Location],G6347,RawData[Transaction Date],H6347)</f>
        <v>1</v>
      </c>
      <c r="L6347"/>
    </row>
    <row r="6348" spans="1:12" x14ac:dyDescent="0.3">
      <c r="A6348" t="s">
        <v>6354</v>
      </c>
      <c r="B6348" t="s">
        <v>10012</v>
      </c>
      <c r="C6348">
        <v>1</v>
      </c>
      <c r="D6348" t="s">
        <v>10013</v>
      </c>
      <c r="E6348">
        <v>4</v>
      </c>
      <c r="F6348" t="s">
        <v>10019</v>
      </c>
      <c r="G6348" t="s">
        <v>10102</v>
      </c>
      <c r="H6348" s="6">
        <v>44969</v>
      </c>
      <c r="I6348">
        <f t="shared" si="198"/>
        <v>1</v>
      </c>
      <c r="J6348" t="str">
        <f t="shared" si="199"/>
        <v>Complete</v>
      </c>
      <c r="K6348">
        <f>COUNTIFS(RawData[Item], B6348,RawData[Quantity],C6348,RawData[Price Per Unit],D6348,RawData[Total Spent],E6348,RawData[Payment Method],F6348,RawData[Location],G6348,RawData[Transaction Date],H6348)</f>
        <v>1</v>
      </c>
      <c r="L6348"/>
    </row>
    <row r="6349" spans="1:12" x14ac:dyDescent="0.3">
      <c r="A6349" t="s">
        <v>6355</v>
      </c>
      <c r="B6349" t="s">
        <v>10011</v>
      </c>
      <c r="C6349">
        <v>4</v>
      </c>
      <c r="D6349">
        <v>5</v>
      </c>
      <c r="E6349">
        <v>20</v>
      </c>
      <c r="F6349" t="s">
        <v>10020</v>
      </c>
      <c r="G6349" t="s">
        <v>10021</v>
      </c>
      <c r="H6349" s="6">
        <v>44987</v>
      </c>
      <c r="I6349">
        <f t="shared" si="198"/>
        <v>0</v>
      </c>
      <c r="J6349" t="str">
        <f t="shared" si="199"/>
        <v>Complete</v>
      </c>
      <c r="K6349">
        <f>COUNTIFS(RawData[Item], B6349,RawData[Quantity],C6349,RawData[Price Per Unit],D6349,RawData[Total Spent],E6349,RawData[Payment Method],F6349,RawData[Location],G6349,RawData[Transaction Date],H6349)</f>
        <v>1</v>
      </c>
      <c r="L6349"/>
    </row>
    <row r="6350" spans="1:12" x14ac:dyDescent="0.3">
      <c r="A6350" t="s">
        <v>6356</v>
      </c>
      <c r="B6350" t="s">
        <v>10012</v>
      </c>
      <c r="C6350">
        <v>5</v>
      </c>
      <c r="D6350">
        <v>4</v>
      </c>
      <c r="E6350">
        <v>20</v>
      </c>
      <c r="F6350" t="s">
        <v>10069</v>
      </c>
      <c r="G6350" t="s">
        <v>10069</v>
      </c>
      <c r="H6350" s="6">
        <v>44972</v>
      </c>
      <c r="I6350">
        <f t="shared" si="198"/>
        <v>0</v>
      </c>
      <c r="J6350" t="str">
        <f t="shared" si="199"/>
        <v>Complete</v>
      </c>
      <c r="K6350">
        <f>COUNTIFS(RawData[Item], B6350,RawData[Quantity],C6350,RawData[Price Per Unit],D6350,RawData[Total Spent],E6350,RawData[Payment Method],F6350,RawData[Location],G6350,RawData[Transaction Date],H6350)</f>
        <v>1</v>
      </c>
      <c r="L6350"/>
    </row>
    <row r="6351" spans="1:12" x14ac:dyDescent="0.3">
      <c r="A6351" t="s">
        <v>6357</v>
      </c>
      <c r="B6351" t="s">
        <v>10069</v>
      </c>
      <c r="C6351">
        <v>1</v>
      </c>
      <c r="D6351">
        <v>1</v>
      </c>
      <c r="E6351">
        <v>1</v>
      </c>
      <c r="F6351" t="s">
        <v>10069</v>
      </c>
      <c r="G6351" t="s">
        <v>10102</v>
      </c>
      <c r="H6351" s="6" t="s">
        <v>10112</v>
      </c>
      <c r="I6351">
        <f t="shared" si="198"/>
        <v>1</v>
      </c>
      <c r="J6351" t="str">
        <f t="shared" si="199"/>
        <v>Incomplete</v>
      </c>
      <c r="K6351">
        <f>COUNTIFS(RawData[Item], B6351,RawData[Quantity],C6351,RawData[Price Per Unit],D6351,RawData[Total Spent],E6351,RawData[Payment Method],F6351,RawData[Location],G6351,RawData[Transaction Date],H6351)</f>
        <v>1</v>
      </c>
      <c r="L6351"/>
    </row>
    <row r="6352" spans="1:12" x14ac:dyDescent="0.3">
      <c r="A6352" t="s">
        <v>6358</v>
      </c>
      <c r="B6352" t="s">
        <v>10009</v>
      </c>
      <c r="C6352">
        <v>5</v>
      </c>
      <c r="D6352">
        <v>3</v>
      </c>
      <c r="E6352">
        <v>15</v>
      </c>
      <c r="F6352" t="s">
        <v>10018</v>
      </c>
      <c r="G6352" t="s">
        <v>10103</v>
      </c>
      <c r="H6352" s="6">
        <v>45265</v>
      </c>
      <c r="I6352">
        <f t="shared" si="198"/>
        <v>1</v>
      </c>
      <c r="J6352" t="str">
        <f t="shared" si="199"/>
        <v>Complete</v>
      </c>
      <c r="K6352">
        <f>COUNTIFS(RawData[Item], B6352,RawData[Quantity],C6352,RawData[Price Per Unit],D6352,RawData[Total Spent],E6352,RawData[Payment Method],F6352,RawData[Location],G6352,RawData[Transaction Date],H6352)</f>
        <v>1</v>
      </c>
      <c r="L6352"/>
    </row>
    <row r="6353" spans="1:12" x14ac:dyDescent="0.3">
      <c r="A6353" t="s">
        <v>6359</v>
      </c>
      <c r="B6353" t="s">
        <v>10009</v>
      </c>
      <c r="C6353">
        <v>4</v>
      </c>
      <c r="D6353">
        <v>3</v>
      </c>
      <c r="E6353">
        <v>12</v>
      </c>
      <c r="F6353" t="s">
        <v>10019</v>
      </c>
      <c r="G6353" t="s">
        <v>10104</v>
      </c>
      <c r="H6353" s="6">
        <v>44928</v>
      </c>
      <c r="I6353">
        <f t="shared" si="198"/>
        <v>1</v>
      </c>
      <c r="J6353" t="str">
        <f t="shared" si="199"/>
        <v>Complete</v>
      </c>
      <c r="K6353">
        <f>COUNTIFS(RawData[Item], B6353,RawData[Quantity],C6353,RawData[Price Per Unit],D6353,RawData[Total Spent],E6353,RawData[Payment Method],F6353,RawData[Location],G6353,RawData[Transaction Date],H6353)</f>
        <v>1</v>
      </c>
      <c r="L6353"/>
    </row>
    <row r="6354" spans="1:12" x14ac:dyDescent="0.3">
      <c r="A6354" t="s">
        <v>6360</v>
      </c>
      <c r="B6354" t="s">
        <v>10012</v>
      </c>
      <c r="C6354">
        <v>1</v>
      </c>
      <c r="D6354">
        <v>4</v>
      </c>
      <c r="E6354">
        <v>4</v>
      </c>
      <c r="F6354" t="s">
        <v>10069</v>
      </c>
      <c r="G6354" t="s">
        <v>10069</v>
      </c>
      <c r="H6354" s="6">
        <v>45260</v>
      </c>
      <c r="I6354">
        <f t="shared" si="198"/>
        <v>0</v>
      </c>
      <c r="J6354" t="str">
        <f t="shared" si="199"/>
        <v>Complete</v>
      </c>
      <c r="K6354">
        <f>COUNTIFS(RawData[Item], B6354,RawData[Quantity],C6354,RawData[Price Per Unit],D6354,RawData[Total Spent],E6354,RawData[Payment Method],F6354,RawData[Location],G6354,RawData[Transaction Date],H6354)</f>
        <v>2</v>
      </c>
      <c r="L6354"/>
    </row>
    <row r="6355" spans="1:12" x14ac:dyDescent="0.3">
      <c r="A6355" t="s">
        <v>6361</v>
      </c>
      <c r="B6355" t="s">
        <v>10016</v>
      </c>
      <c r="C6355">
        <v>2</v>
      </c>
      <c r="D6355">
        <v>3</v>
      </c>
      <c r="E6355" t="s">
        <v>10013</v>
      </c>
      <c r="F6355" t="s">
        <v>10019</v>
      </c>
      <c r="G6355" t="s">
        <v>10069</v>
      </c>
      <c r="H6355" s="6">
        <v>45076</v>
      </c>
      <c r="I6355">
        <f t="shared" si="198"/>
        <v>1</v>
      </c>
      <c r="J6355" t="str">
        <f t="shared" si="199"/>
        <v>Complete</v>
      </c>
      <c r="K6355">
        <f>COUNTIFS(RawData[Item], B6355,RawData[Quantity],C6355,RawData[Price Per Unit],D6355,RawData[Total Spent],E6355,RawData[Payment Method],F6355,RawData[Location],G6355,RawData[Transaction Date],H6355)</f>
        <v>1</v>
      </c>
      <c r="L6355"/>
    </row>
    <row r="6356" spans="1:12" x14ac:dyDescent="0.3">
      <c r="A6356" t="s">
        <v>6362</v>
      </c>
      <c r="B6356" t="s">
        <v>10009</v>
      </c>
      <c r="C6356">
        <v>3</v>
      </c>
      <c r="D6356">
        <v>3</v>
      </c>
      <c r="E6356">
        <v>9</v>
      </c>
      <c r="F6356" t="s">
        <v>10018</v>
      </c>
      <c r="G6356" t="s">
        <v>10021</v>
      </c>
      <c r="H6356" s="6">
        <v>45076</v>
      </c>
      <c r="I6356">
        <f t="shared" si="198"/>
        <v>0</v>
      </c>
      <c r="J6356" t="str">
        <f t="shared" si="199"/>
        <v>Complete</v>
      </c>
      <c r="K6356">
        <f>COUNTIFS(RawData[Item], B6356,RawData[Quantity],C6356,RawData[Price Per Unit],D6356,RawData[Total Spent],E6356,RawData[Payment Method],F6356,RawData[Location],G6356,RawData[Transaction Date],H6356)</f>
        <v>1</v>
      </c>
      <c r="L6356"/>
    </row>
    <row r="6357" spans="1:12" x14ac:dyDescent="0.3">
      <c r="A6357" t="s">
        <v>6363</v>
      </c>
      <c r="B6357" t="s">
        <v>10010</v>
      </c>
      <c r="C6357">
        <v>1</v>
      </c>
      <c r="D6357">
        <v>1</v>
      </c>
      <c r="E6357">
        <v>1</v>
      </c>
      <c r="F6357" t="s">
        <v>10018</v>
      </c>
      <c r="G6357" t="s">
        <v>10102</v>
      </c>
      <c r="H6357" s="6">
        <v>44949</v>
      </c>
      <c r="I6357">
        <f t="shared" si="198"/>
        <v>0</v>
      </c>
      <c r="J6357" t="str">
        <f t="shared" si="199"/>
        <v>Complete</v>
      </c>
      <c r="K6357">
        <f>COUNTIFS(RawData[Item], B6357,RawData[Quantity],C6357,RawData[Price Per Unit],D6357,RawData[Total Spent],E6357,RawData[Payment Method],F6357,RawData[Location],G6357,RawData[Transaction Date],H6357)</f>
        <v>1</v>
      </c>
      <c r="L6357"/>
    </row>
    <row r="6358" spans="1:12" x14ac:dyDescent="0.3">
      <c r="A6358" t="s">
        <v>6364</v>
      </c>
      <c r="B6358" t="s">
        <v>10010</v>
      </c>
      <c r="C6358">
        <v>2</v>
      </c>
      <c r="D6358">
        <v>1</v>
      </c>
      <c r="E6358">
        <v>2</v>
      </c>
      <c r="F6358" t="s">
        <v>10019</v>
      </c>
      <c r="G6358" t="s">
        <v>10021</v>
      </c>
      <c r="H6358" s="6">
        <v>45281</v>
      </c>
      <c r="I6358">
        <f t="shared" si="198"/>
        <v>0</v>
      </c>
      <c r="J6358" t="str">
        <f t="shared" si="199"/>
        <v>Complete</v>
      </c>
      <c r="K6358">
        <f>COUNTIFS(RawData[Item], B6358,RawData[Quantity],C6358,RawData[Price Per Unit],D6358,RawData[Total Spent],E6358,RawData[Payment Method],F6358,RawData[Location],G6358,RawData[Transaction Date],H6358)</f>
        <v>1</v>
      </c>
      <c r="L6358"/>
    </row>
    <row r="6359" spans="1:12" x14ac:dyDescent="0.3">
      <c r="A6359" t="s">
        <v>6365</v>
      </c>
      <c r="B6359" t="s">
        <v>10008</v>
      </c>
      <c r="C6359">
        <v>1</v>
      </c>
      <c r="D6359">
        <v>2</v>
      </c>
      <c r="E6359">
        <v>2</v>
      </c>
      <c r="F6359" t="s">
        <v>10020</v>
      </c>
      <c r="G6359" t="s">
        <v>10102</v>
      </c>
      <c r="H6359" s="6">
        <v>45151</v>
      </c>
      <c r="I6359">
        <f t="shared" si="198"/>
        <v>0</v>
      </c>
      <c r="J6359" t="str">
        <f t="shared" si="199"/>
        <v>Complete</v>
      </c>
      <c r="K6359">
        <f>COUNTIFS(RawData[Item], B6359,RawData[Quantity],C6359,RawData[Price Per Unit],D6359,RawData[Total Spent],E6359,RawData[Payment Method],F6359,RawData[Location],G6359,RawData[Transaction Date],H6359)</f>
        <v>1</v>
      </c>
      <c r="L6359"/>
    </row>
    <row r="6360" spans="1:12" x14ac:dyDescent="0.3">
      <c r="A6360" t="s">
        <v>6366</v>
      </c>
      <c r="B6360" t="s">
        <v>10069</v>
      </c>
      <c r="C6360">
        <v>4</v>
      </c>
      <c r="D6360">
        <v>3</v>
      </c>
      <c r="E6360">
        <v>12</v>
      </c>
      <c r="F6360" t="s">
        <v>10020</v>
      </c>
      <c r="G6360" t="s">
        <v>10069</v>
      </c>
      <c r="H6360" s="6">
        <v>45078</v>
      </c>
      <c r="I6360">
        <f t="shared" si="198"/>
        <v>0</v>
      </c>
      <c r="J6360" t="str">
        <f t="shared" si="199"/>
        <v>Complete</v>
      </c>
      <c r="K6360">
        <f>COUNTIFS(RawData[Item], B6360,RawData[Quantity],C6360,RawData[Price Per Unit],D6360,RawData[Total Spent],E6360,RawData[Payment Method],F6360,RawData[Location],G6360,RawData[Transaction Date],H6360)</f>
        <v>1</v>
      </c>
      <c r="L6360"/>
    </row>
    <row r="6361" spans="1:12" x14ac:dyDescent="0.3">
      <c r="A6361" t="s">
        <v>6367</v>
      </c>
      <c r="B6361" t="s">
        <v>10014</v>
      </c>
      <c r="C6361">
        <v>3</v>
      </c>
      <c r="D6361">
        <v>4</v>
      </c>
      <c r="E6361">
        <v>12</v>
      </c>
      <c r="F6361" t="s">
        <v>10018</v>
      </c>
      <c r="G6361" t="s">
        <v>10102</v>
      </c>
      <c r="H6361" s="6">
        <v>45164</v>
      </c>
      <c r="I6361">
        <f t="shared" si="198"/>
        <v>0</v>
      </c>
      <c r="J6361" t="str">
        <f t="shared" si="199"/>
        <v>Complete</v>
      </c>
      <c r="K6361">
        <f>COUNTIFS(RawData[Item], B6361,RawData[Quantity],C6361,RawData[Price Per Unit],D6361,RawData[Total Spent],E6361,RawData[Payment Method],F6361,RawData[Location],G6361,RawData[Transaction Date],H6361)</f>
        <v>1</v>
      </c>
      <c r="L6361"/>
    </row>
    <row r="6362" spans="1:12" x14ac:dyDescent="0.3">
      <c r="A6362" t="s">
        <v>6368</v>
      </c>
      <c r="B6362" t="s">
        <v>10016</v>
      </c>
      <c r="C6362">
        <v>4</v>
      </c>
      <c r="D6362">
        <v>3</v>
      </c>
      <c r="E6362">
        <v>12</v>
      </c>
      <c r="F6362" t="s">
        <v>10019</v>
      </c>
      <c r="G6362" t="s">
        <v>10102</v>
      </c>
      <c r="H6362" s="6">
        <v>45022</v>
      </c>
      <c r="I6362">
        <f t="shared" si="198"/>
        <v>0</v>
      </c>
      <c r="J6362" t="str">
        <f t="shared" si="199"/>
        <v>Complete</v>
      </c>
      <c r="K6362">
        <f>COUNTIFS(RawData[Item], B6362,RawData[Quantity],C6362,RawData[Price Per Unit],D6362,RawData[Total Spent],E6362,RawData[Payment Method],F6362,RawData[Location],G6362,RawData[Transaction Date],H6362)</f>
        <v>1</v>
      </c>
      <c r="L6362"/>
    </row>
    <row r="6363" spans="1:12" x14ac:dyDescent="0.3">
      <c r="A6363" t="s">
        <v>6369</v>
      </c>
      <c r="B6363" t="s">
        <v>10011</v>
      </c>
      <c r="C6363">
        <v>1</v>
      </c>
      <c r="D6363">
        <v>5</v>
      </c>
      <c r="E6363">
        <v>5</v>
      </c>
      <c r="F6363" t="s">
        <v>10069</v>
      </c>
      <c r="G6363" t="s">
        <v>10021</v>
      </c>
      <c r="H6363" s="6">
        <v>44984</v>
      </c>
      <c r="I6363">
        <f t="shared" si="198"/>
        <v>0</v>
      </c>
      <c r="J6363" t="str">
        <f t="shared" si="199"/>
        <v>Complete</v>
      </c>
      <c r="K6363">
        <f>COUNTIFS(RawData[Item], B6363,RawData[Quantity],C6363,RawData[Price Per Unit],D6363,RawData[Total Spent],E6363,RawData[Payment Method],F6363,RawData[Location],G6363,RawData[Transaction Date],H6363)</f>
        <v>1</v>
      </c>
      <c r="L6363"/>
    </row>
    <row r="6364" spans="1:12" x14ac:dyDescent="0.3">
      <c r="A6364" t="s">
        <v>6370</v>
      </c>
      <c r="B6364" t="s">
        <v>10008</v>
      </c>
      <c r="C6364">
        <v>1</v>
      </c>
      <c r="D6364">
        <v>2</v>
      </c>
      <c r="E6364">
        <v>2</v>
      </c>
      <c r="F6364" t="s">
        <v>10018</v>
      </c>
      <c r="G6364" t="s">
        <v>10069</v>
      </c>
      <c r="H6364" s="6">
        <v>45107</v>
      </c>
      <c r="I6364">
        <f t="shared" si="198"/>
        <v>0</v>
      </c>
      <c r="J6364" t="str">
        <f t="shared" si="199"/>
        <v>Complete</v>
      </c>
      <c r="K6364">
        <f>COUNTIFS(RawData[Item], B6364,RawData[Quantity],C6364,RawData[Price Per Unit],D6364,RawData[Total Spent],E6364,RawData[Payment Method],F6364,RawData[Location],G6364,RawData[Transaction Date],H6364)</f>
        <v>2</v>
      </c>
      <c r="L6364"/>
    </row>
    <row r="6365" spans="1:12" x14ac:dyDescent="0.3">
      <c r="A6365" t="s">
        <v>6371</v>
      </c>
      <c r="B6365" t="s">
        <v>10008</v>
      </c>
      <c r="C6365">
        <v>1</v>
      </c>
      <c r="D6365">
        <v>2</v>
      </c>
      <c r="E6365">
        <v>2</v>
      </c>
      <c r="F6365" t="s">
        <v>10069</v>
      </c>
      <c r="G6365" t="s">
        <v>10102</v>
      </c>
      <c r="H6365" s="6">
        <v>45278</v>
      </c>
      <c r="I6365">
        <f t="shared" si="198"/>
        <v>0</v>
      </c>
      <c r="J6365" t="str">
        <f t="shared" si="199"/>
        <v>Complete</v>
      </c>
      <c r="K6365">
        <f>COUNTIFS(RawData[Item], B6365,RawData[Quantity],C6365,RawData[Price Per Unit],D6365,RawData[Total Spent],E6365,RawData[Payment Method],F6365,RawData[Location],G6365,RawData[Transaction Date],H6365)</f>
        <v>1</v>
      </c>
      <c r="L6365"/>
    </row>
    <row r="6366" spans="1:12" x14ac:dyDescent="0.3">
      <c r="A6366" t="s">
        <v>6372</v>
      </c>
      <c r="B6366" t="s">
        <v>10012</v>
      </c>
      <c r="C6366">
        <v>5</v>
      </c>
      <c r="D6366">
        <v>4</v>
      </c>
      <c r="E6366">
        <v>20</v>
      </c>
      <c r="F6366" t="s">
        <v>10018</v>
      </c>
      <c r="G6366" t="s">
        <v>10021</v>
      </c>
      <c r="H6366" s="6">
        <v>45175</v>
      </c>
      <c r="I6366">
        <f t="shared" si="198"/>
        <v>0</v>
      </c>
      <c r="J6366" t="str">
        <f t="shared" si="199"/>
        <v>Complete</v>
      </c>
      <c r="K6366">
        <f>COUNTIFS(RawData[Item], B6366,RawData[Quantity],C6366,RawData[Price Per Unit],D6366,RawData[Total Spent],E6366,RawData[Payment Method],F6366,RawData[Location],G6366,RawData[Transaction Date],H6366)</f>
        <v>2</v>
      </c>
      <c r="L6366"/>
    </row>
    <row r="6367" spans="1:12" x14ac:dyDescent="0.3">
      <c r="A6367" t="s">
        <v>6373</v>
      </c>
      <c r="B6367" t="s">
        <v>10012</v>
      </c>
      <c r="C6367">
        <v>1</v>
      </c>
      <c r="D6367">
        <v>4</v>
      </c>
      <c r="E6367">
        <v>4</v>
      </c>
      <c r="F6367" t="s">
        <v>10069</v>
      </c>
      <c r="G6367" t="s">
        <v>10021</v>
      </c>
      <c r="H6367" s="6">
        <v>44932</v>
      </c>
      <c r="I6367">
        <f t="shared" si="198"/>
        <v>0</v>
      </c>
      <c r="J6367" t="str">
        <f t="shared" si="199"/>
        <v>Complete</v>
      </c>
      <c r="K6367">
        <f>COUNTIFS(RawData[Item], B6367,RawData[Quantity],C6367,RawData[Price Per Unit],D6367,RawData[Total Spent],E6367,RawData[Payment Method],F6367,RawData[Location],G6367,RawData[Transaction Date],H6367)</f>
        <v>1</v>
      </c>
      <c r="L6367"/>
    </row>
    <row r="6368" spans="1:12" x14ac:dyDescent="0.3">
      <c r="A6368" t="s">
        <v>6374</v>
      </c>
      <c r="B6368" t="s">
        <v>10009</v>
      </c>
      <c r="C6368">
        <v>3</v>
      </c>
      <c r="D6368">
        <v>3</v>
      </c>
      <c r="E6368">
        <v>9</v>
      </c>
      <c r="F6368" t="s">
        <v>10020</v>
      </c>
      <c r="G6368" t="s">
        <v>10069</v>
      </c>
      <c r="H6368" s="6">
        <v>45177</v>
      </c>
      <c r="I6368">
        <f t="shared" si="198"/>
        <v>0</v>
      </c>
      <c r="J6368" t="str">
        <f t="shared" si="199"/>
        <v>Complete</v>
      </c>
      <c r="K6368">
        <f>COUNTIFS(RawData[Item], B6368,RawData[Quantity],C6368,RawData[Price Per Unit],D6368,RawData[Total Spent],E6368,RawData[Payment Method],F6368,RawData[Location],G6368,RawData[Transaction Date],H6368)</f>
        <v>2</v>
      </c>
      <c r="L6368"/>
    </row>
    <row r="6369" spans="1:12" x14ac:dyDescent="0.3">
      <c r="A6369" t="s">
        <v>6375</v>
      </c>
      <c r="B6369" t="s">
        <v>10012</v>
      </c>
      <c r="C6369">
        <v>5</v>
      </c>
      <c r="D6369">
        <v>4</v>
      </c>
      <c r="E6369">
        <v>20</v>
      </c>
      <c r="F6369" t="s">
        <v>10019</v>
      </c>
      <c r="G6369" t="s">
        <v>10069</v>
      </c>
      <c r="H6369" s="6">
        <v>45219</v>
      </c>
      <c r="I6369">
        <f t="shared" si="198"/>
        <v>0</v>
      </c>
      <c r="J6369" t="str">
        <f t="shared" si="199"/>
        <v>Complete</v>
      </c>
      <c r="K6369">
        <f>COUNTIFS(RawData[Item], B6369,RawData[Quantity],C6369,RawData[Price Per Unit],D6369,RawData[Total Spent],E6369,RawData[Payment Method],F6369,RawData[Location],G6369,RawData[Transaction Date],H6369)</f>
        <v>1</v>
      </c>
      <c r="L6369"/>
    </row>
    <row r="6370" spans="1:12" x14ac:dyDescent="0.3">
      <c r="A6370" t="s">
        <v>6376</v>
      </c>
      <c r="B6370" t="s">
        <v>10069</v>
      </c>
      <c r="C6370">
        <v>4</v>
      </c>
      <c r="D6370">
        <v>3</v>
      </c>
      <c r="E6370">
        <v>12</v>
      </c>
      <c r="F6370" t="s">
        <v>10020</v>
      </c>
      <c r="G6370" t="s">
        <v>10021</v>
      </c>
      <c r="H6370" s="6">
        <v>45144</v>
      </c>
      <c r="I6370">
        <f t="shared" si="198"/>
        <v>0</v>
      </c>
      <c r="J6370" t="str">
        <f t="shared" si="199"/>
        <v>Complete</v>
      </c>
      <c r="K6370">
        <f>COUNTIFS(RawData[Item], B6370,RawData[Quantity],C6370,RawData[Price Per Unit],D6370,RawData[Total Spent],E6370,RawData[Payment Method],F6370,RawData[Location],G6370,RawData[Transaction Date],H6370)</f>
        <v>1</v>
      </c>
      <c r="L6370"/>
    </row>
    <row r="6371" spans="1:12" x14ac:dyDescent="0.3">
      <c r="A6371" t="s">
        <v>6377</v>
      </c>
      <c r="B6371" t="s">
        <v>10009</v>
      </c>
      <c r="C6371">
        <v>3</v>
      </c>
      <c r="D6371">
        <v>3</v>
      </c>
      <c r="E6371">
        <v>9</v>
      </c>
      <c r="F6371" t="s">
        <v>10018</v>
      </c>
      <c r="G6371" t="s">
        <v>10069</v>
      </c>
      <c r="H6371" s="6">
        <v>45239</v>
      </c>
      <c r="I6371">
        <f t="shared" si="198"/>
        <v>0</v>
      </c>
      <c r="J6371" t="str">
        <f t="shared" si="199"/>
        <v>Complete</v>
      </c>
      <c r="K6371">
        <f>COUNTIFS(RawData[Item], B6371,RawData[Quantity],C6371,RawData[Price Per Unit],D6371,RawData[Total Spent],E6371,RawData[Payment Method],F6371,RawData[Location],G6371,RawData[Transaction Date],H6371)</f>
        <v>1</v>
      </c>
      <c r="L6371"/>
    </row>
    <row r="6372" spans="1:12" x14ac:dyDescent="0.3">
      <c r="A6372" t="s">
        <v>6378</v>
      </c>
      <c r="B6372" t="s">
        <v>10014</v>
      </c>
      <c r="C6372">
        <v>3</v>
      </c>
      <c r="D6372">
        <v>4</v>
      </c>
      <c r="E6372">
        <v>12</v>
      </c>
      <c r="F6372" t="s">
        <v>10069</v>
      </c>
      <c r="G6372" t="s">
        <v>10021</v>
      </c>
      <c r="H6372" s="6">
        <v>45118</v>
      </c>
      <c r="I6372">
        <f t="shared" si="198"/>
        <v>0</v>
      </c>
      <c r="J6372" t="str">
        <f t="shared" si="199"/>
        <v>Complete</v>
      </c>
      <c r="K6372">
        <f>COUNTIFS(RawData[Item], B6372,RawData[Quantity],C6372,RawData[Price Per Unit],D6372,RawData[Total Spent],E6372,RawData[Payment Method],F6372,RawData[Location],G6372,RawData[Transaction Date],H6372)</f>
        <v>1</v>
      </c>
      <c r="L6372"/>
    </row>
    <row r="6373" spans="1:12" x14ac:dyDescent="0.3">
      <c r="A6373" t="s">
        <v>6379</v>
      </c>
      <c r="B6373" t="s">
        <v>10011</v>
      </c>
      <c r="C6373">
        <v>1</v>
      </c>
      <c r="D6373">
        <v>5</v>
      </c>
      <c r="E6373">
        <v>5</v>
      </c>
      <c r="F6373" t="s">
        <v>10018</v>
      </c>
      <c r="G6373" t="s">
        <v>10069</v>
      </c>
      <c r="H6373" s="6">
        <v>44969</v>
      </c>
      <c r="I6373">
        <f t="shared" si="198"/>
        <v>0</v>
      </c>
      <c r="J6373" t="str">
        <f t="shared" si="199"/>
        <v>Complete</v>
      </c>
      <c r="K6373">
        <f>COUNTIFS(RawData[Item], B6373,RawData[Quantity],C6373,RawData[Price Per Unit],D6373,RawData[Total Spent],E6373,RawData[Payment Method],F6373,RawData[Location],G6373,RawData[Transaction Date],H6373)</f>
        <v>1</v>
      </c>
      <c r="L6373"/>
    </row>
    <row r="6374" spans="1:12" x14ac:dyDescent="0.3">
      <c r="A6374" t="s">
        <v>6380</v>
      </c>
      <c r="B6374" t="s">
        <v>10016</v>
      </c>
      <c r="C6374">
        <v>1</v>
      </c>
      <c r="D6374">
        <v>3</v>
      </c>
      <c r="E6374">
        <v>3</v>
      </c>
      <c r="F6374" t="s">
        <v>10019</v>
      </c>
      <c r="G6374" t="s">
        <v>10102</v>
      </c>
      <c r="H6374" s="6">
        <v>45111</v>
      </c>
      <c r="I6374">
        <f t="shared" si="198"/>
        <v>0</v>
      </c>
      <c r="J6374" t="str">
        <f t="shared" si="199"/>
        <v>Complete</v>
      </c>
      <c r="K6374">
        <f>COUNTIFS(RawData[Item], B6374,RawData[Quantity],C6374,RawData[Price Per Unit],D6374,RawData[Total Spent],E6374,RawData[Payment Method],F6374,RawData[Location],G6374,RawData[Transaction Date],H6374)</f>
        <v>1</v>
      </c>
      <c r="L6374"/>
    </row>
    <row r="6375" spans="1:12" x14ac:dyDescent="0.3">
      <c r="A6375" t="s">
        <v>6381</v>
      </c>
      <c r="B6375" t="s">
        <v>10011</v>
      </c>
      <c r="C6375">
        <v>5</v>
      </c>
      <c r="D6375">
        <v>5</v>
      </c>
      <c r="E6375">
        <v>25</v>
      </c>
      <c r="F6375" t="s">
        <v>10069</v>
      </c>
      <c r="G6375" t="s">
        <v>10021</v>
      </c>
      <c r="H6375" s="6">
        <v>45071</v>
      </c>
      <c r="I6375">
        <f t="shared" si="198"/>
        <v>0</v>
      </c>
      <c r="J6375" t="str">
        <f t="shared" si="199"/>
        <v>Complete</v>
      </c>
      <c r="K6375">
        <f>COUNTIFS(RawData[Item], B6375,RawData[Quantity],C6375,RawData[Price Per Unit],D6375,RawData[Total Spent],E6375,RawData[Payment Method],F6375,RawData[Location],G6375,RawData[Transaction Date],H6375)</f>
        <v>1</v>
      </c>
      <c r="L6375"/>
    </row>
    <row r="6376" spans="1:12" x14ac:dyDescent="0.3">
      <c r="A6376" t="s">
        <v>6382</v>
      </c>
      <c r="B6376" t="s">
        <v>10008</v>
      </c>
      <c r="C6376">
        <v>1</v>
      </c>
      <c r="D6376">
        <v>2</v>
      </c>
      <c r="E6376">
        <v>2</v>
      </c>
      <c r="F6376" t="s">
        <v>10019</v>
      </c>
      <c r="G6376" t="s">
        <v>10069</v>
      </c>
      <c r="H6376" s="6">
        <v>45105</v>
      </c>
      <c r="I6376">
        <f t="shared" si="198"/>
        <v>0</v>
      </c>
      <c r="J6376" t="str">
        <f t="shared" si="199"/>
        <v>Complete</v>
      </c>
      <c r="K6376">
        <f>COUNTIFS(RawData[Item], B6376,RawData[Quantity],C6376,RawData[Price Per Unit],D6376,RawData[Total Spent],E6376,RawData[Payment Method],F6376,RawData[Location],G6376,RawData[Transaction Date],H6376)</f>
        <v>1</v>
      </c>
      <c r="L6376"/>
    </row>
    <row r="6377" spans="1:12" x14ac:dyDescent="0.3">
      <c r="A6377" t="s">
        <v>6383</v>
      </c>
      <c r="B6377" t="s">
        <v>10010</v>
      </c>
      <c r="C6377">
        <v>1</v>
      </c>
      <c r="D6377">
        <v>1</v>
      </c>
      <c r="E6377">
        <v>0</v>
      </c>
      <c r="F6377" t="s">
        <v>10019</v>
      </c>
      <c r="G6377" t="s">
        <v>10102</v>
      </c>
      <c r="H6377" s="6">
        <v>45157</v>
      </c>
      <c r="I6377">
        <f t="shared" si="198"/>
        <v>0</v>
      </c>
      <c r="J6377" t="str">
        <f t="shared" si="199"/>
        <v>Complete</v>
      </c>
      <c r="K6377">
        <f>COUNTIFS(RawData[Item], B6377,RawData[Quantity],C6377,RawData[Price Per Unit],D6377,RawData[Total Spent],E6377,RawData[Payment Method],F6377,RawData[Location],G6377,RawData[Transaction Date],H6377)</f>
        <v>1</v>
      </c>
      <c r="L6377"/>
    </row>
    <row r="6378" spans="1:12" x14ac:dyDescent="0.3">
      <c r="A6378" t="s">
        <v>6384</v>
      </c>
      <c r="B6378" t="s">
        <v>10008</v>
      </c>
      <c r="C6378">
        <v>2</v>
      </c>
      <c r="D6378">
        <v>2</v>
      </c>
      <c r="E6378">
        <v>4</v>
      </c>
      <c r="F6378" t="s">
        <v>10069</v>
      </c>
      <c r="G6378" t="s">
        <v>10021</v>
      </c>
      <c r="H6378" s="6">
        <v>45258</v>
      </c>
      <c r="I6378">
        <f t="shared" si="198"/>
        <v>0</v>
      </c>
      <c r="J6378" t="str">
        <f t="shared" si="199"/>
        <v>Complete</v>
      </c>
      <c r="K6378">
        <f>COUNTIFS(RawData[Item], B6378,RawData[Quantity],C6378,RawData[Price Per Unit],D6378,RawData[Total Spent],E6378,RawData[Payment Method],F6378,RawData[Location],G6378,RawData[Transaction Date],H6378)</f>
        <v>1</v>
      </c>
      <c r="L6378"/>
    </row>
    <row r="6379" spans="1:12" x14ac:dyDescent="0.3">
      <c r="A6379" t="s">
        <v>6385</v>
      </c>
      <c r="B6379" t="s">
        <v>10010</v>
      </c>
      <c r="C6379">
        <v>4</v>
      </c>
      <c r="D6379">
        <v>1</v>
      </c>
      <c r="E6379">
        <v>4</v>
      </c>
      <c r="F6379" t="s">
        <v>10069</v>
      </c>
      <c r="G6379" t="s">
        <v>10102</v>
      </c>
      <c r="H6379" s="6">
        <v>44991</v>
      </c>
      <c r="I6379">
        <f t="shared" si="198"/>
        <v>0</v>
      </c>
      <c r="J6379" t="str">
        <f t="shared" si="199"/>
        <v>Complete</v>
      </c>
      <c r="K6379">
        <f>COUNTIFS(RawData[Item], B6379,RawData[Quantity],C6379,RawData[Price Per Unit],D6379,RawData[Total Spent],E6379,RawData[Payment Method],F6379,RawData[Location],G6379,RawData[Transaction Date],H6379)</f>
        <v>1</v>
      </c>
      <c r="L6379"/>
    </row>
    <row r="6380" spans="1:12" x14ac:dyDescent="0.3">
      <c r="A6380" t="s">
        <v>6386</v>
      </c>
      <c r="B6380" t="s">
        <v>10016</v>
      </c>
      <c r="C6380">
        <v>5</v>
      </c>
      <c r="D6380">
        <v>3</v>
      </c>
      <c r="E6380">
        <v>15</v>
      </c>
      <c r="F6380" t="s">
        <v>10020</v>
      </c>
      <c r="G6380" t="s">
        <v>10021</v>
      </c>
      <c r="H6380" s="6">
        <v>45189</v>
      </c>
      <c r="I6380">
        <f t="shared" si="198"/>
        <v>0</v>
      </c>
      <c r="J6380" t="str">
        <f t="shared" si="199"/>
        <v>Complete</v>
      </c>
      <c r="K6380">
        <f>COUNTIFS(RawData[Item], B6380,RawData[Quantity],C6380,RawData[Price Per Unit],D6380,RawData[Total Spent],E6380,RawData[Payment Method],F6380,RawData[Location],G6380,RawData[Transaction Date],H6380)</f>
        <v>1</v>
      </c>
      <c r="L6380"/>
    </row>
    <row r="6381" spans="1:12" x14ac:dyDescent="0.3">
      <c r="A6381" t="s">
        <v>6387</v>
      </c>
      <c r="B6381" t="s">
        <v>10012</v>
      </c>
      <c r="C6381">
        <v>3</v>
      </c>
      <c r="D6381">
        <v>4</v>
      </c>
      <c r="E6381">
        <v>12</v>
      </c>
      <c r="F6381" t="s">
        <v>10103</v>
      </c>
      <c r="G6381" t="s">
        <v>10102</v>
      </c>
      <c r="H6381" s="6">
        <v>45184</v>
      </c>
      <c r="I6381">
        <f t="shared" si="198"/>
        <v>1</v>
      </c>
      <c r="J6381" t="str">
        <f t="shared" si="199"/>
        <v>Complete</v>
      </c>
      <c r="K6381">
        <f>COUNTIFS(RawData[Item], B6381,RawData[Quantity],C6381,RawData[Price Per Unit],D6381,RawData[Total Spent],E6381,RawData[Payment Method],F6381,RawData[Location],G6381,RawData[Transaction Date],H6381)</f>
        <v>1</v>
      </c>
      <c r="L6381"/>
    </row>
    <row r="6382" spans="1:12" x14ac:dyDescent="0.3">
      <c r="A6382" t="s">
        <v>6388</v>
      </c>
      <c r="B6382" t="s">
        <v>10012</v>
      </c>
      <c r="C6382">
        <v>3</v>
      </c>
      <c r="D6382">
        <v>4</v>
      </c>
      <c r="E6382">
        <v>12</v>
      </c>
      <c r="F6382" t="s">
        <v>10018</v>
      </c>
      <c r="G6382" t="s">
        <v>10069</v>
      </c>
      <c r="H6382" s="6">
        <v>45139</v>
      </c>
      <c r="I6382">
        <f t="shared" si="198"/>
        <v>0</v>
      </c>
      <c r="J6382" t="str">
        <f t="shared" si="199"/>
        <v>Complete</v>
      </c>
      <c r="K6382">
        <f>COUNTIFS(RawData[Item], B6382,RawData[Quantity],C6382,RawData[Price Per Unit],D6382,RawData[Total Spent],E6382,RawData[Payment Method],F6382,RawData[Location],G6382,RawData[Transaction Date],H6382)</f>
        <v>1</v>
      </c>
      <c r="L6382"/>
    </row>
    <row r="6383" spans="1:12" x14ac:dyDescent="0.3">
      <c r="A6383" t="s">
        <v>6389</v>
      </c>
      <c r="B6383" t="s">
        <v>10013</v>
      </c>
      <c r="C6383">
        <v>3</v>
      </c>
      <c r="D6383">
        <v>5</v>
      </c>
      <c r="E6383">
        <v>15</v>
      </c>
      <c r="F6383" t="s">
        <v>10020</v>
      </c>
      <c r="G6383" t="s">
        <v>10069</v>
      </c>
      <c r="H6383" s="6">
        <v>45051</v>
      </c>
      <c r="I6383">
        <f t="shared" si="198"/>
        <v>1</v>
      </c>
      <c r="J6383" t="str">
        <f t="shared" si="199"/>
        <v>Complete</v>
      </c>
      <c r="K6383">
        <f>COUNTIFS(RawData[Item], B6383,RawData[Quantity],C6383,RawData[Price Per Unit],D6383,RawData[Total Spent],E6383,RawData[Payment Method],F6383,RawData[Location],G6383,RawData[Transaction Date],H6383)</f>
        <v>1</v>
      </c>
      <c r="L6383"/>
    </row>
    <row r="6384" spans="1:12" x14ac:dyDescent="0.3">
      <c r="A6384" t="s">
        <v>6390</v>
      </c>
      <c r="B6384" t="s">
        <v>10017</v>
      </c>
      <c r="C6384">
        <v>3</v>
      </c>
      <c r="D6384" t="s">
        <v>10013</v>
      </c>
      <c r="E6384">
        <v>4.5</v>
      </c>
      <c r="F6384" t="s">
        <v>10018</v>
      </c>
      <c r="G6384" t="s">
        <v>10102</v>
      </c>
      <c r="H6384" s="6" t="s">
        <v>10112</v>
      </c>
      <c r="I6384">
        <f t="shared" si="198"/>
        <v>2</v>
      </c>
      <c r="J6384" t="str">
        <f t="shared" si="199"/>
        <v>Incomplete</v>
      </c>
      <c r="K6384">
        <f>COUNTIFS(RawData[Item], B6384,RawData[Quantity],C6384,RawData[Price Per Unit],D6384,RawData[Total Spent],E6384,RawData[Payment Method],F6384,RawData[Location],G6384,RawData[Transaction Date],H6384)</f>
        <v>1</v>
      </c>
      <c r="L6384"/>
    </row>
    <row r="6385" spans="1:12" x14ac:dyDescent="0.3">
      <c r="A6385" t="s">
        <v>6391</v>
      </c>
      <c r="B6385" t="s">
        <v>10014</v>
      </c>
      <c r="C6385">
        <v>5</v>
      </c>
      <c r="D6385">
        <v>4</v>
      </c>
      <c r="E6385">
        <v>20</v>
      </c>
      <c r="F6385" t="s">
        <v>10020</v>
      </c>
      <c r="G6385" t="s">
        <v>10102</v>
      </c>
      <c r="H6385" s="6">
        <v>44970</v>
      </c>
      <c r="I6385">
        <f t="shared" si="198"/>
        <v>0</v>
      </c>
      <c r="J6385" t="str">
        <f t="shared" si="199"/>
        <v>Complete</v>
      </c>
      <c r="K6385">
        <f>COUNTIFS(RawData[Item], B6385,RawData[Quantity],C6385,RawData[Price Per Unit],D6385,RawData[Total Spent],E6385,RawData[Payment Method],F6385,RawData[Location],G6385,RawData[Transaction Date],H6385)</f>
        <v>1</v>
      </c>
      <c r="L6385"/>
    </row>
    <row r="6386" spans="1:12" x14ac:dyDescent="0.3">
      <c r="A6386" t="s">
        <v>6392</v>
      </c>
      <c r="B6386" t="s">
        <v>10011</v>
      </c>
      <c r="C6386">
        <v>3</v>
      </c>
      <c r="D6386">
        <v>5</v>
      </c>
      <c r="E6386">
        <v>15</v>
      </c>
      <c r="F6386" t="s">
        <v>10069</v>
      </c>
      <c r="G6386" t="s">
        <v>10069</v>
      </c>
      <c r="H6386" s="6">
        <v>45096</v>
      </c>
      <c r="I6386">
        <f t="shared" si="198"/>
        <v>0</v>
      </c>
      <c r="J6386" t="str">
        <f t="shared" si="199"/>
        <v>Complete</v>
      </c>
      <c r="K6386">
        <f>COUNTIFS(RawData[Item], B6386,RawData[Quantity],C6386,RawData[Price Per Unit],D6386,RawData[Total Spent],E6386,RawData[Payment Method],F6386,RawData[Location],G6386,RawData[Transaction Date],H6386)</f>
        <v>1</v>
      </c>
      <c r="L6386"/>
    </row>
    <row r="6387" spans="1:12" x14ac:dyDescent="0.3">
      <c r="A6387" t="s">
        <v>6393</v>
      </c>
      <c r="B6387" t="s">
        <v>10010</v>
      </c>
      <c r="C6387">
        <v>3</v>
      </c>
      <c r="D6387">
        <v>1</v>
      </c>
      <c r="E6387">
        <v>3</v>
      </c>
      <c r="F6387" t="s">
        <v>10020</v>
      </c>
      <c r="G6387" t="s">
        <v>10069</v>
      </c>
      <c r="H6387" s="6">
        <v>45124</v>
      </c>
      <c r="I6387">
        <f t="shared" si="198"/>
        <v>0</v>
      </c>
      <c r="J6387" t="str">
        <f t="shared" si="199"/>
        <v>Complete</v>
      </c>
      <c r="K6387">
        <f>COUNTIFS(RawData[Item], B6387,RawData[Quantity],C6387,RawData[Price Per Unit],D6387,RawData[Total Spent],E6387,RawData[Payment Method],F6387,RawData[Location],G6387,RawData[Transaction Date],H6387)</f>
        <v>1</v>
      </c>
      <c r="L6387"/>
    </row>
    <row r="6388" spans="1:12" x14ac:dyDescent="0.3">
      <c r="A6388" t="s">
        <v>6394</v>
      </c>
      <c r="B6388" t="s">
        <v>10009</v>
      </c>
      <c r="C6388">
        <v>1</v>
      </c>
      <c r="D6388">
        <v>3</v>
      </c>
      <c r="E6388">
        <v>3</v>
      </c>
      <c r="F6388" t="s">
        <v>10018</v>
      </c>
      <c r="G6388" t="s">
        <v>10069</v>
      </c>
      <c r="H6388" s="6">
        <v>44968</v>
      </c>
      <c r="I6388">
        <f t="shared" si="198"/>
        <v>0</v>
      </c>
      <c r="J6388" t="str">
        <f t="shared" si="199"/>
        <v>Complete</v>
      </c>
      <c r="K6388">
        <f>COUNTIFS(RawData[Item], B6388,RawData[Quantity],C6388,RawData[Price Per Unit],D6388,RawData[Total Spent],E6388,RawData[Payment Method],F6388,RawData[Location],G6388,RawData[Transaction Date],H6388)</f>
        <v>1</v>
      </c>
      <c r="L6388"/>
    </row>
    <row r="6389" spans="1:12" x14ac:dyDescent="0.3">
      <c r="A6389" t="s">
        <v>6395</v>
      </c>
      <c r="B6389" t="s">
        <v>10017</v>
      </c>
      <c r="C6389">
        <v>3</v>
      </c>
      <c r="D6389">
        <v>1.5</v>
      </c>
      <c r="E6389">
        <v>4.5</v>
      </c>
      <c r="F6389" t="s">
        <v>10020</v>
      </c>
      <c r="G6389" t="s">
        <v>10021</v>
      </c>
      <c r="H6389" s="6">
        <v>45041</v>
      </c>
      <c r="I6389">
        <f t="shared" si="198"/>
        <v>0</v>
      </c>
      <c r="J6389" t="str">
        <f t="shared" si="199"/>
        <v>Complete</v>
      </c>
      <c r="K6389">
        <f>COUNTIFS(RawData[Item], B6389,RawData[Quantity],C6389,RawData[Price Per Unit],D6389,RawData[Total Spent],E6389,RawData[Payment Method],F6389,RawData[Location],G6389,RawData[Transaction Date],H6389)</f>
        <v>1</v>
      </c>
      <c r="L6389"/>
    </row>
    <row r="6390" spans="1:12" x14ac:dyDescent="0.3">
      <c r="A6390" t="s">
        <v>6396</v>
      </c>
      <c r="B6390" t="s">
        <v>10010</v>
      </c>
      <c r="C6390">
        <v>4</v>
      </c>
      <c r="D6390">
        <v>1</v>
      </c>
      <c r="E6390">
        <v>4</v>
      </c>
      <c r="F6390" t="s">
        <v>10069</v>
      </c>
      <c r="G6390" t="s">
        <v>10069</v>
      </c>
      <c r="H6390" s="6">
        <v>45079</v>
      </c>
      <c r="I6390">
        <f t="shared" si="198"/>
        <v>0</v>
      </c>
      <c r="J6390" t="str">
        <f t="shared" si="199"/>
        <v>Complete</v>
      </c>
      <c r="K6390">
        <f>COUNTIFS(RawData[Item], B6390,RawData[Quantity],C6390,RawData[Price Per Unit],D6390,RawData[Total Spent],E6390,RawData[Payment Method],F6390,RawData[Location],G6390,RawData[Transaction Date],H6390)</f>
        <v>1</v>
      </c>
      <c r="L6390"/>
    </row>
    <row r="6391" spans="1:12" x14ac:dyDescent="0.3">
      <c r="A6391" t="s">
        <v>6397</v>
      </c>
      <c r="B6391" t="s">
        <v>10013</v>
      </c>
      <c r="C6391">
        <v>1</v>
      </c>
      <c r="D6391">
        <v>5</v>
      </c>
      <c r="E6391">
        <v>5</v>
      </c>
      <c r="F6391" t="s">
        <v>10020</v>
      </c>
      <c r="G6391" t="s">
        <v>10021</v>
      </c>
      <c r="H6391" s="6">
        <v>45130</v>
      </c>
      <c r="I6391">
        <f t="shared" si="198"/>
        <v>1</v>
      </c>
      <c r="J6391" t="str">
        <f t="shared" si="199"/>
        <v>Complete</v>
      </c>
      <c r="K6391">
        <f>COUNTIFS(RawData[Item], B6391,RawData[Quantity],C6391,RawData[Price Per Unit],D6391,RawData[Total Spent],E6391,RawData[Payment Method],F6391,RawData[Location],G6391,RawData[Transaction Date],H6391)</f>
        <v>1</v>
      </c>
      <c r="L6391"/>
    </row>
    <row r="6392" spans="1:12" x14ac:dyDescent="0.3">
      <c r="A6392" t="s">
        <v>6398</v>
      </c>
      <c r="B6392" t="s">
        <v>10014</v>
      </c>
      <c r="C6392">
        <v>4</v>
      </c>
      <c r="D6392">
        <v>4</v>
      </c>
      <c r="E6392">
        <v>16</v>
      </c>
      <c r="F6392" t="s">
        <v>10019</v>
      </c>
      <c r="G6392" t="s">
        <v>10069</v>
      </c>
      <c r="H6392" s="6">
        <v>45002</v>
      </c>
      <c r="I6392">
        <f t="shared" si="198"/>
        <v>0</v>
      </c>
      <c r="J6392" t="str">
        <f t="shared" si="199"/>
        <v>Complete</v>
      </c>
      <c r="K6392">
        <f>COUNTIFS(RawData[Item], B6392,RawData[Quantity],C6392,RawData[Price Per Unit],D6392,RawData[Total Spent],E6392,RawData[Payment Method],F6392,RawData[Location],G6392,RawData[Transaction Date],H6392)</f>
        <v>1</v>
      </c>
      <c r="L6392"/>
    </row>
    <row r="6393" spans="1:12" x14ac:dyDescent="0.3">
      <c r="A6393" t="s">
        <v>6399</v>
      </c>
      <c r="B6393" t="s">
        <v>10017</v>
      </c>
      <c r="C6393">
        <v>4</v>
      </c>
      <c r="D6393">
        <v>1.5</v>
      </c>
      <c r="E6393">
        <v>6</v>
      </c>
      <c r="F6393" t="s">
        <v>10020</v>
      </c>
      <c r="G6393" t="s">
        <v>10021</v>
      </c>
      <c r="H6393" s="6">
        <v>45283</v>
      </c>
      <c r="I6393">
        <f t="shared" si="198"/>
        <v>0</v>
      </c>
      <c r="J6393" t="str">
        <f t="shared" si="199"/>
        <v>Complete</v>
      </c>
      <c r="K6393">
        <f>COUNTIFS(RawData[Item], B6393,RawData[Quantity],C6393,RawData[Price Per Unit],D6393,RawData[Total Spent],E6393,RawData[Payment Method],F6393,RawData[Location],G6393,RawData[Transaction Date],H6393)</f>
        <v>1</v>
      </c>
      <c r="L6393"/>
    </row>
    <row r="6394" spans="1:12" x14ac:dyDescent="0.3">
      <c r="A6394" t="s">
        <v>6400</v>
      </c>
      <c r="B6394" t="s">
        <v>10010</v>
      </c>
      <c r="C6394">
        <v>5</v>
      </c>
      <c r="D6394">
        <v>1</v>
      </c>
      <c r="E6394">
        <v>5</v>
      </c>
      <c r="F6394" t="s">
        <v>10019</v>
      </c>
      <c r="G6394" t="s">
        <v>10069</v>
      </c>
      <c r="H6394" s="6">
        <v>45040</v>
      </c>
      <c r="I6394">
        <f t="shared" si="198"/>
        <v>0</v>
      </c>
      <c r="J6394" t="str">
        <f t="shared" si="199"/>
        <v>Complete</v>
      </c>
      <c r="K6394">
        <f>COUNTIFS(RawData[Item], B6394,RawData[Quantity],C6394,RawData[Price Per Unit],D6394,RawData[Total Spent],E6394,RawData[Payment Method],F6394,RawData[Location],G6394,RawData[Transaction Date],H6394)</f>
        <v>1</v>
      </c>
      <c r="L6394"/>
    </row>
    <row r="6395" spans="1:12" x14ac:dyDescent="0.3">
      <c r="A6395" t="s">
        <v>6401</v>
      </c>
      <c r="B6395" t="s">
        <v>10012</v>
      </c>
      <c r="C6395">
        <v>5</v>
      </c>
      <c r="D6395">
        <v>4</v>
      </c>
      <c r="E6395">
        <v>20</v>
      </c>
      <c r="F6395" t="s">
        <v>10019</v>
      </c>
      <c r="G6395" t="s">
        <v>10021</v>
      </c>
      <c r="H6395" s="6">
        <v>44981</v>
      </c>
      <c r="I6395">
        <f t="shared" si="198"/>
        <v>0</v>
      </c>
      <c r="J6395" t="str">
        <f t="shared" si="199"/>
        <v>Complete</v>
      </c>
      <c r="K6395">
        <f>COUNTIFS(RawData[Item], B6395,RawData[Quantity],C6395,RawData[Price Per Unit],D6395,RawData[Total Spent],E6395,RawData[Payment Method],F6395,RawData[Location],G6395,RawData[Transaction Date],H6395)</f>
        <v>1</v>
      </c>
      <c r="L6395"/>
    </row>
    <row r="6396" spans="1:12" x14ac:dyDescent="0.3">
      <c r="A6396" t="s">
        <v>6402</v>
      </c>
      <c r="B6396" t="s">
        <v>10012</v>
      </c>
      <c r="C6396">
        <v>1</v>
      </c>
      <c r="D6396">
        <v>4</v>
      </c>
      <c r="E6396">
        <v>4</v>
      </c>
      <c r="F6396" t="s">
        <v>10019</v>
      </c>
      <c r="G6396" t="s">
        <v>10103</v>
      </c>
      <c r="H6396" s="6">
        <v>45068</v>
      </c>
      <c r="I6396">
        <f t="shared" si="198"/>
        <v>1</v>
      </c>
      <c r="J6396" t="str">
        <f t="shared" si="199"/>
        <v>Complete</v>
      </c>
      <c r="K6396">
        <f>COUNTIFS(RawData[Item], B6396,RawData[Quantity],C6396,RawData[Price Per Unit],D6396,RawData[Total Spent],E6396,RawData[Payment Method],F6396,RawData[Location],G6396,RawData[Transaction Date],H6396)</f>
        <v>1</v>
      </c>
      <c r="L6396"/>
    </row>
    <row r="6397" spans="1:12" x14ac:dyDescent="0.3">
      <c r="A6397" t="s">
        <v>6403</v>
      </c>
      <c r="B6397" t="s">
        <v>10009</v>
      </c>
      <c r="C6397">
        <v>1</v>
      </c>
      <c r="D6397">
        <v>3</v>
      </c>
      <c r="E6397">
        <v>3</v>
      </c>
      <c r="F6397" t="s">
        <v>10020</v>
      </c>
      <c r="G6397" t="s">
        <v>10102</v>
      </c>
      <c r="H6397" s="6">
        <v>45234</v>
      </c>
      <c r="I6397">
        <f t="shared" si="198"/>
        <v>0</v>
      </c>
      <c r="J6397" t="str">
        <f t="shared" si="199"/>
        <v>Complete</v>
      </c>
      <c r="K6397">
        <f>COUNTIFS(RawData[Item], B6397,RawData[Quantity],C6397,RawData[Price Per Unit],D6397,RawData[Total Spent],E6397,RawData[Payment Method],F6397,RawData[Location],G6397,RawData[Transaction Date],H6397)</f>
        <v>1</v>
      </c>
      <c r="L6397"/>
    </row>
    <row r="6398" spans="1:12" x14ac:dyDescent="0.3">
      <c r="A6398" t="s">
        <v>6404</v>
      </c>
      <c r="B6398" t="s">
        <v>10011</v>
      </c>
      <c r="C6398">
        <v>1</v>
      </c>
      <c r="D6398">
        <v>5</v>
      </c>
      <c r="E6398">
        <v>5</v>
      </c>
      <c r="F6398" t="s">
        <v>10069</v>
      </c>
      <c r="G6398" t="s">
        <v>10102</v>
      </c>
      <c r="H6398" s="6">
        <v>45222</v>
      </c>
      <c r="I6398">
        <f t="shared" si="198"/>
        <v>0</v>
      </c>
      <c r="J6398" t="str">
        <f t="shared" si="199"/>
        <v>Complete</v>
      </c>
      <c r="K6398">
        <f>COUNTIFS(RawData[Item], B6398,RawData[Quantity],C6398,RawData[Price Per Unit],D6398,RawData[Total Spent],E6398,RawData[Payment Method],F6398,RawData[Location],G6398,RawData[Transaction Date],H6398)</f>
        <v>1</v>
      </c>
      <c r="L6398"/>
    </row>
    <row r="6399" spans="1:12" x14ac:dyDescent="0.3">
      <c r="A6399" t="s">
        <v>6405</v>
      </c>
      <c r="B6399" t="s">
        <v>10014</v>
      </c>
      <c r="C6399">
        <v>1</v>
      </c>
      <c r="D6399">
        <v>4</v>
      </c>
      <c r="E6399">
        <v>4</v>
      </c>
      <c r="F6399" t="s">
        <v>10069</v>
      </c>
      <c r="G6399" t="s">
        <v>10102</v>
      </c>
      <c r="H6399" s="6">
        <v>45228</v>
      </c>
      <c r="I6399">
        <f t="shared" si="198"/>
        <v>0</v>
      </c>
      <c r="J6399" t="str">
        <f t="shared" si="199"/>
        <v>Complete</v>
      </c>
      <c r="K6399">
        <f>COUNTIFS(RawData[Item], B6399,RawData[Quantity],C6399,RawData[Price Per Unit],D6399,RawData[Total Spent],E6399,RawData[Payment Method],F6399,RawData[Location],G6399,RawData[Transaction Date],H6399)</f>
        <v>1</v>
      </c>
      <c r="L6399"/>
    </row>
    <row r="6400" spans="1:12" x14ac:dyDescent="0.3">
      <c r="A6400" t="s">
        <v>6406</v>
      </c>
      <c r="B6400" t="s">
        <v>10009</v>
      </c>
      <c r="C6400">
        <v>5</v>
      </c>
      <c r="D6400">
        <v>3</v>
      </c>
      <c r="E6400">
        <v>15</v>
      </c>
      <c r="F6400" t="s">
        <v>10018</v>
      </c>
      <c r="G6400" t="s">
        <v>10069</v>
      </c>
      <c r="H6400" s="6">
        <v>45223</v>
      </c>
      <c r="I6400">
        <f t="shared" si="198"/>
        <v>0</v>
      </c>
      <c r="J6400" t="str">
        <f t="shared" si="199"/>
        <v>Complete</v>
      </c>
      <c r="K6400">
        <f>COUNTIFS(RawData[Item], B6400,RawData[Quantity],C6400,RawData[Price Per Unit],D6400,RawData[Total Spent],E6400,RawData[Payment Method],F6400,RawData[Location],G6400,RawData[Transaction Date],H6400)</f>
        <v>1</v>
      </c>
      <c r="L6400"/>
    </row>
    <row r="6401" spans="1:12" x14ac:dyDescent="0.3">
      <c r="A6401" t="s">
        <v>6407</v>
      </c>
      <c r="B6401" t="s">
        <v>10011</v>
      </c>
      <c r="C6401" t="s">
        <v>10015</v>
      </c>
      <c r="D6401">
        <v>5</v>
      </c>
      <c r="E6401">
        <v>5</v>
      </c>
      <c r="F6401" t="s">
        <v>10103</v>
      </c>
      <c r="G6401" t="s">
        <v>10103</v>
      </c>
      <c r="H6401" s="6" t="s">
        <v>10112</v>
      </c>
      <c r="I6401">
        <f t="shared" si="198"/>
        <v>4</v>
      </c>
      <c r="J6401" t="str">
        <f t="shared" si="199"/>
        <v>Incomplete</v>
      </c>
      <c r="K6401">
        <f>COUNTIFS(RawData[Item], B6401,RawData[Quantity],C6401,RawData[Price Per Unit],D6401,RawData[Total Spent],E6401,RawData[Payment Method],F6401,RawData[Location],G6401,RawData[Transaction Date],H6401)</f>
        <v>1</v>
      </c>
      <c r="L6401"/>
    </row>
    <row r="6402" spans="1:12" x14ac:dyDescent="0.3">
      <c r="A6402" t="s">
        <v>6408</v>
      </c>
      <c r="B6402" t="s">
        <v>10017</v>
      </c>
      <c r="C6402">
        <v>1</v>
      </c>
      <c r="D6402" t="s">
        <v>10013</v>
      </c>
      <c r="E6402">
        <v>1.5</v>
      </c>
      <c r="F6402" t="s">
        <v>10020</v>
      </c>
      <c r="G6402" t="s">
        <v>10102</v>
      </c>
      <c r="H6402" s="6">
        <v>45137</v>
      </c>
      <c r="I6402">
        <f t="shared" ref="I6402:I6465" si="200">(B6402="Unknown")+(B6402="Error")+(C6402="Unknown")+(C6402="Error")+(D6402="Unknown")+(D6402="Error")+(E6402="Unknown")+(E6402="Error")+(F6402="Unknown")+(F6402="Error")+(G6402="Unknown")+(G6402="Error")+(H6402="No Date")</f>
        <v>1</v>
      </c>
      <c r="J6402" t="str">
        <f t="shared" ref="J6402:J6465" si="201">IF((H6402="No Date"),"Incomplete","Complete")</f>
        <v>Complete</v>
      </c>
      <c r="K6402">
        <f>COUNTIFS(RawData[Item], B6402,RawData[Quantity],C6402,RawData[Price Per Unit],D6402,RawData[Total Spent],E6402,RawData[Payment Method],F6402,RawData[Location],G6402,RawData[Transaction Date],H6402)</f>
        <v>1</v>
      </c>
      <c r="L6402"/>
    </row>
    <row r="6403" spans="1:12" x14ac:dyDescent="0.3">
      <c r="A6403" t="s">
        <v>6409</v>
      </c>
      <c r="B6403" t="s">
        <v>10009</v>
      </c>
      <c r="C6403">
        <v>5</v>
      </c>
      <c r="D6403">
        <v>3</v>
      </c>
      <c r="E6403">
        <v>15</v>
      </c>
      <c r="F6403" t="s">
        <v>10018</v>
      </c>
      <c r="G6403" t="s">
        <v>10069</v>
      </c>
      <c r="H6403" s="6">
        <v>45237</v>
      </c>
      <c r="I6403">
        <f t="shared" si="200"/>
        <v>0</v>
      </c>
      <c r="J6403" t="str">
        <f t="shared" si="201"/>
        <v>Complete</v>
      </c>
      <c r="K6403">
        <f>COUNTIFS(RawData[Item], B6403,RawData[Quantity],C6403,RawData[Price Per Unit],D6403,RawData[Total Spent],E6403,RawData[Payment Method],F6403,RawData[Location],G6403,RawData[Transaction Date],H6403)</f>
        <v>1</v>
      </c>
      <c r="L6403"/>
    </row>
    <row r="6404" spans="1:12" x14ac:dyDescent="0.3">
      <c r="A6404" t="s">
        <v>6410</v>
      </c>
      <c r="B6404" t="s">
        <v>10009</v>
      </c>
      <c r="C6404">
        <v>4</v>
      </c>
      <c r="D6404">
        <v>3</v>
      </c>
      <c r="E6404">
        <v>12</v>
      </c>
      <c r="F6404" t="s">
        <v>10103</v>
      </c>
      <c r="G6404" t="s">
        <v>10021</v>
      </c>
      <c r="H6404" s="6">
        <v>45128</v>
      </c>
      <c r="I6404">
        <f t="shared" si="200"/>
        <v>1</v>
      </c>
      <c r="J6404" t="str">
        <f t="shared" si="201"/>
        <v>Complete</v>
      </c>
      <c r="K6404">
        <f>COUNTIFS(RawData[Item], B6404,RawData[Quantity],C6404,RawData[Price Per Unit],D6404,RawData[Total Spent],E6404,RawData[Payment Method],F6404,RawData[Location],G6404,RawData[Transaction Date],H6404)</f>
        <v>1</v>
      </c>
      <c r="L6404"/>
    </row>
    <row r="6405" spans="1:12" x14ac:dyDescent="0.3">
      <c r="A6405" t="s">
        <v>6411</v>
      </c>
      <c r="B6405" t="s">
        <v>10012</v>
      </c>
      <c r="C6405">
        <v>3</v>
      </c>
      <c r="D6405">
        <v>4</v>
      </c>
      <c r="E6405">
        <v>12</v>
      </c>
      <c r="F6405" t="s">
        <v>10018</v>
      </c>
      <c r="G6405" t="s">
        <v>10021</v>
      </c>
      <c r="H6405" s="6">
        <v>45085</v>
      </c>
      <c r="I6405">
        <f t="shared" si="200"/>
        <v>0</v>
      </c>
      <c r="J6405" t="str">
        <f t="shared" si="201"/>
        <v>Complete</v>
      </c>
      <c r="K6405">
        <f>COUNTIFS(RawData[Item], B6405,RawData[Quantity],C6405,RawData[Price Per Unit],D6405,RawData[Total Spent],E6405,RawData[Payment Method],F6405,RawData[Location],G6405,RawData[Transaction Date],H6405)</f>
        <v>1</v>
      </c>
      <c r="L6405"/>
    </row>
    <row r="6406" spans="1:12" x14ac:dyDescent="0.3">
      <c r="A6406" t="s">
        <v>6412</v>
      </c>
      <c r="B6406" t="s">
        <v>10010</v>
      </c>
      <c r="C6406">
        <v>5</v>
      </c>
      <c r="D6406">
        <v>1</v>
      </c>
      <c r="E6406">
        <v>5</v>
      </c>
      <c r="F6406" t="s">
        <v>10019</v>
      </c>
      <c r="G6406" t="s">
        <v>10021</v>
      </c>
      <c r="H6406" s="6">
        <v>45088</v>
      </c>
      <c r="I6406">
        <f t="shared" si="200"/>
        <v>0</v>
      </c>
      <c r="J6406" t="str">
        <f t="shared" si="201"/>
        <v>Complete</v>
      </c>
      <c r="K6406">
        <f>COUNTIFS(RawData[Item], B6406,RawData[Quantity],C6406,RawData[Price Per Unit],D6406,RawData[Total Spent],E6406,RawData[Payment Method],F6406,RawData[Location],G6406,RawData[Transaction Date],H6406)</f>
        <v>1</v>
      </c>
      <c r="L6406"/>
    </row>
    <row r="6407" spans="1:12" x14ac:dyDescent="0.3">
      <c r="A6407" t="s">
        <v>6413</v>
      </c>
      <c r="B6407" t="s">
        <v>10014</v>
      </c>
      <c r="C6407">
        <v>3</v>
      </c>
      <c r="D6407">
        <v>4</v>
      </c>
      <c r="E6407">
        <v>12</v>
      </c>
      <c r="F6407" t="s">
        <v>10019</v>
      </c>
      <c r="G6407" t="s">
        <v>10021</v>
      </c>
      <c r="H6407" s="6">
        <v>45086</v>
      </c>
      <c r="I6407">
        <f t="shared" si="200"/>
        <v>0</v>
      </c>
      <c r="J6407" t="str">
        <f t="shared" si="201"/>
        <v>Complete</v>
      </c>
      <c r="K6407">
        <f>COUNTIFS(RawData[Item], B6407,RawData[Quantity],C6407,RawData[Price Per Unit],D6407,RawData[Total Spent],E6407,RawData[Payment Method],F6407,RawData[Location],G6407,RawData[Transaction Date],H6407)</f>
        <v>1</v>
      </c>
      <c r="L6407"/>
    </row>
    <row r="6408" spans="1:12" x14ac:dyDescent="0.3">
      <c r="A6408" t="s">
        <v>6414</v>
      </c>
      <c r="B6408" t="s">
        <v>10014</v>
      </c>
      <c r="C6408">
        <v>3</v>
      </c>
      <c r="D6408">
        <v>4</v>
      </c>
      <c r="E6408">
        <v>12</v>
      </c>
      <c r="F6408" t="s">
        <v>10018</v>
      </c>
      <c r="G6408" t="s">
        <v>10021</v>
      </c>
      <c r="H6408" s="6">
        <v>45039</v>
      </c>
      <c r="I6408">
        <f t="shared" si="200"/>
        <v>0</v>
      </c>
      <c r="J6408" t="str">
        <f t="shared" si="201"/>
        <v>Complete</v>
      </c>
      <c r="K6408">
        <f>COUNTIFS(RawData[Item], B6408,RawData[Quantity],C6408,RawData[Price Per Unit],D6408,RawData[Total Spent],E6408,RawData[Payment Method],F6408,RawData[Location],G6408,RawData[Transaction Date],H6408)</f>
        <v>1</v>
      </c>
      <c r="L6408"/>
    </row>
    <row r="6409" spans="1:12" x14ac:dyDescent="0.3">
      <c r="A6409" t="s">
        <v>6415</v>
      </c>
      <c r="B6409" t="s">
        <v>10016</v>
      </c>
      <c r="C6409">
        <v>2</v>
      </c>
      <c r="D6409">
        <v>3</v>
      </c>
      <c r="E6409">
        <v>6</v>
      </c>
      <c r="F6409" t="s">
        <v>10069</v>
      </c>
      <c r="G6409" t="s">
        <v>10102</v>
      </c>
      <c r="H6409" s="6">
        <v>45211</v>
      </c>
      <c r="I6409">
        <f t="shared" si="200"/>
        <v>0</v>
      </c>
      <c r="J6409" t="str">
        <f t="shared" si="201"/>
        <v>Complete</v>
      </c>
      <c r="K6409">
        <f>COUNTIFS(RawData[Item], B6409,RawData[Quantity],C6409,RawData[Price Per Unit],D6409,RawData[Total Spent],E6409,RawData[Payment Method],F6409,RawData[Location],G6409,RawData[Transaction Date],H6409)</f>
        <v>1</v>
      </c>
      <c r="L6409"/>
    </row>
    <row r="6410" spans="1:12" x14ac:dyDescent="0.3">
      <c r="A6410" t="s">
        <v>6416</v>
      </c>
      <c r="B6410" t="s">
        <v>10017</v>
      </c>
      <c r="C6410">
        <v>5</v>
      </c>
      <c r="D6410">
        <v>1.5</v>
      </c>
      <c r="E6410">
        <v>7.5</v>
      </c>
      <c r="F6410" t="s">
        <v>10020</v>
      </c>
      <c r="G6410" t="s">
        <v>10104</v>
      </c>
      <c r="H6410" s="6">
        <v>45244</v>
      </c>
      <c r="I6410">
        <f t="shared" si="200"/>
        <v>1</v>
      </c>
      <c r="J6410" t="str">
        <f t="shared" si="201"/>
        <v>Complete</v>
      </c>
      <c r="K6410">
        <f>COUNTIFS(RawData[Item], B6410,RawData[Quantity],C6410,RawData[Price Per Unit],D6410,RawData[Total Spent],E6410,RawData[Payment Method],F6410,RawData[Location],G6410,RawData[Transaction Date],H6410)</f>
        <v>1</v>
      </c>
      <c r="L6410"/>
    </row>
    <row r="6411" spans="1:12" x14ac:dyDescent="0.3">
      <c r="A6411" t="s">
        <v>6417</v>
      </c>
      <c r="B6411" t="s">
        <v>10017</v>
      </c>
      <c r="C6411">
        <v>3</v>
      </c>
      <c r="D6411">
        <v>1.5</v>
      </c>
      <c r="E6411">
        <v>4.5</v>
      </c>
      <c r="F6411" t="s">
        <v>10020</v>
      </c>
      <c r="G6411" t="s">
        <v>10021</v>
      </c>
      <c r="H6411" s="6">
        <v>45144</v>
      </c>
      <c r="I6411">
        <f t="shared" si="200"/>
        <v>0</v>
      </c>
      <c r="J6411" t="str">
        <f t="shared" si="201"/>
        <v>Complete</v>
      </c>
      <c r="K6411">
        <f>COUNTIFS(RawData[Item], B6411,RawData[Quantity],C6411,RawData[Price Per Unit],D6411,RawData[Total Spent],E6411,RawData[Payment Method],F6411,RawData[Location],G6411,RawData[Transaction Date],H6411)</f>
        <v>1</v>
      </c>
      <c r="L6411"/>
    </row>
    <row r="6412" spans="1:12" x14ac:dyDescent="0.3">
      <c r="A6412" t="s">
        <v>6418</v>
      </c>
      <c r="B6412" t="s">
        <v>10069</v>
      </c>
      <c r="C6412">
        <v>1</v>
      </c>
      <c r="D6412">
        <v>2</v>
      </c>
      <c r="E6412">
        <v>2</v>
      </c>
      <c r="F6412" t="s">
        <v>10019</v>
      </c>
      <c r="G6412" t="s">
        <v>10069</v>
      </c>
      <c r="H6412" s="6">
        <v>44993</v>
      </c>
      <c r="I6412">
        <f t="shared" si="200"/>
        <v>0</v>
      </c>
      <c r="J6412" t="str">
        <f t="shared" si="201"/>
        <v>Complete</v>
      </c>
      <c r="K6412">
        <f>COUNTIFS(RawData[Item], B6412,RawData[Quantity],C6412,RawData[Price Per Unit],D6412,RawData[Total Spent],E6412,RawData[Payment Method],F6412,RawData[Location],G6412,RawData[Transaction Date],H6412)</f>
        <v>1</v>
      </c>
      <c r="L6412"/>
    </row>
    <row r="6413" spans="1:12" x14ac:dyDescent="0.3">
      <c r="A6413" t="s">
        <v>6419</v>
      </c>
      <c r="B6413" t="s">
        <v>10014</v>
      </c>
      <c r="C6413">
        <v>2</v>
      </c>
      <c r="D6413">
        <v>4</v>
      </c>
      <c r="E6413">
        <v>8</v>
      </c>
      <c r="F6413" t="s">
        <v>10103</v>
      </c>
      <c r="G6413" t="s">
        <v>10069</v>
      </c>
      <c r="H6413" s="6">
        <v>45231</v>
      </c>
      <c r="I6413">
        <f t="shared" si="200"/>
        <v>1</v>
      </c>
      <c r="J6413" t="str">
        <f t="shared" si="201"/>
        <v>Complete</v>
      </c>
      <c r="K6413">
        <f>COUNTIFS(RawData[Item], B6413,RawData[Quantity],C6413,RawData[Price Per Unit],D6413,RawData[Total Spent],E6413,RawData[Payment Method],F6413,RawData[Location],G6413,RawData[Transaction Date],H6413)</f>
        <v>1</v>
      </c>
      <c r="L6413"/>
    </row>
    <row r="6414" spans="1:12" x14ac:dyDescent="0.3">
      <c r="A6414" t="s">
        <v>6420</v>
      </c>
      <c r="B6414" t="s">
        <v>10016</v>
      </c>
      <c r="C6414">
        <v>4</v>
      </c>
      <c r="D6414">
        <v>3</v>
      </c>
      <c r="E6414">
        <v>12</v>
      </c>
      <c r="F6414" t="s">
        <v>10018</v>
      </c>
      <c r="G6414" t="s">
        <v>10021</v>
      </c>
      <c r="H6414" s="6">
        <v>45103</v>
      </c>
      <c r="I6414">
        <f t="shared" si="200"/>
        <v>0</v>
      </c>
      <c r="J6414" t="str">
        <f t="shared" si="201"/>
        <v>Complete</v>
      </c>
      <c r="K6414">
        <f>COUNTIFS(RawData[Item], B6414,RawData[Quantity],C6414,RawData[Price Per Unit],D6414,RawData[Total Spent],E6414,RawData[Payment Method],F6414,RawData[Location],G6414,RawData[Transaction Date],H6414)</f>
        <v>1</v>
      </c>
      <c r="L6414"/>
    </row>
    <row r="6415" spans="1:12" x14ac:dyDescent="0.3">
      <c r="A6415" t="s">
        <v>6421</v>
      </c>
      <c r="B6415" t="s">
        <v>10011</v>
      </c>
      <c r="C6415">
        <v>4</v>
      </c>
      <c r="D6415" t="s">
        <v>10013</v>
      </c>
      <c r="E6415">
        <v>20</v>
      </c>
      <c r="F6415" t="s">
        <v>10019</v>
      </c>
      <c r="G6415" t="s">
        <v>10021</v>
      </c>
      <c r="H6415" s="6">
        <v>45232</v>
      </c>
      <c r="I6415">
        <f t="shared" si="200"/>
        <v>1</v>
      </c>
      <c r="J6415" t="str">
        <f t="shared" si="201"/>
        <v>Complete</v>
      </c>
      <c r="K6415">
        <f>COUNTIFS(RawData[Item], B6415,RawData[Quantity],C6415,RawData[Price Per Unit],D6415,RawData[Total Spent],E6415,RawData[Payment Method],F6415,RawData[Location],G6415,RawData[Transaction Date],H6415)</f>
        <v>1</v>
      </c>
      <c r="L6415"/>
    </row>
    <row r="6416" spans="1:12" x14ac:dyDescent="0.3">
      <c r="A6416" t="s">
        <v>6422</v>
      </c>
      <c r="B6416" t="s">
        <v>10014</v>
      </c>
      <c r="C6416">
        <v>4</v>
      </c>
      <c r="D6416">
        <v>4</v>
      </c>
      <c r="E6416">
        <v>16</v>
      </c>
      <c r="F6416" t="s">
        <v>10069</v>
      </c>
      <c r="G6416" t="s">
        <v>10102</v>
      </c>
      <c r="H6416" s="6">
        <v>45247</v>
      </c>
      <c r="I6416">
        <f t="shared" si="200"/>
        <v>0</v>
      </c>
      <c r="J6416" t="str">
        <f t="shared" si="201"/>
        <v>Complete</v>
      </c>
      <c r="K6416">
        <f>COUNTIFS(RawData[Item], B6416,RawData[Quantity],C6416,RawData[Price Per Unit],D6416,RawData[Total Spent],E6416,RawData[Payment Method],F6416,RawData[Location],G6416,RawData[Transaction Date],H6416)</f>
        <v>1</v>
      </c>
      <c r="L6416"/>
    </row>
    <row r="6417" spans="1:12" x14ac:dyDescent="0.3">
      <c r="A6417" t="s">
        <v>6423</v>
      </c>
      <c r="B6417" t="s">
        <v>10010</v>
      </c>
      <c r="C6417">
        <v>5</v>
      </c>
      <c r="D6417">
        <v>1</v>
      </c>
      <c r="E6417">
        <v>5</v>
      </c>
      <c r="F6417" t="s">
        <v>10019</v>
      </c>
      <c r="G6417" t="s">
        <v>10069</v>
      </c>
      <c r="H6417" s="6">
        <v>45279</v>
      </c>
      <c r="I6417">
        <f t="shared" si="200"/>
        <v>0</v>
      </c>
      <c r="J6417" t="str">
        <f t="shared" si="201"/>
        <v>Complete</v>
      </c>
      <c r="K6417">
        <f>COUNTIFS(RawData[Item], B6417,RawData[Quantity],C6417,RawData[Price Per Unit],D6417,RawData[Total Spent],E6417,RawData[Payment Method],F6417,RawData[Location],G6417,RawData[Transaction Date],H6417)</f>
        <v>1</v>
      </c>
      <c r="L6417"/>
    </row>
    <row r="6418" spans="1:12" x14ac:dyDescent="0.3">
      <c r="A6418" t="s">
        <v>6424</v>
      </c>
      <c r="B6418" t="s">
        <v>10017</v>
      </c>
      <c r="C6418">
        <v>2</v>
      </c>
      <c r="D6418">
        <v>1.5</v>
      </c>
      <c r="E6418">
        <v>3</v>
      </c>
      <c r="F6418" t="s">
        <v>10019</v>
      </c>
      <c r="G6418" t="s">
        <v>10102</v>
      </c>
      <c r="H6418" s="6">
        <v>44958</v>
      </c>
      <c r="I6418">
        <f t="shared" si="200"/>
        <v>0</v>
      </c>
      <c r="J6418" t="str">
        <f t="shared" si="201"/>
        <v>Complete</v>
      </c>
      <c r="K6418">
        <f>COUNTIFS(RawData[Item], B6418,RawData[Quantity],C6418,RawData[Price Per Unit],D6418,RawData[Total Spent],E6418,RawData[Payment Method],F6418,RawData[Location],G6418,RawData[Transaction Date],H6418)</f>
        <v>1</v>
      </c>
      <c r="L6418"/>
    </row>
    <row r="6419" spans="1:12" x14ac:dyDescent="0.3">
      <c r="A6419" t="s">
        <v>6425</v>
      </c>
      <c r="B6419" t="s">
        <v>10014</v>
      </c>
      <c r="C6419">
        <v>3</v>
      </c>
      <c r="D6419">
        <v>4</v>
      </c>
      <c r="E6419">
        <v>12</v>
      </c>
      <c r="F6419" t="s">
        <v>10069</v>
      </c>
      <c r="G6419" t="s">
        <v>10069</v>
      </c>
      <c r="H6419" s="6" t="s">
        <v>10112</v>
      </c>
      <c r="I6419">
        <f t="shared" si="200"/>
        <v>1</v>
      </c>
      <c r="J6419" t="str">
        <f t="shared" si="201"/>
        <v>Incomplete</v>
      </c>
      <c r="K6419">
        <f>COUNTIFS(RawData[Item], B6419,RawData[Quantity],C6419,RawData[Price Per Unit],D6419,RawData[Total Spent],E6419,RawData[Payment Method],F6419,RawData[Location],G6419,RawData[Transaction Date],H6419)</f>
        <v>2</v>
      </c>
      <c r="L6419"/>
    </row>
    <row r="6420" spans="1:12" x14ac:dyDescent="0.3">
      <c r="A6420" t="s">
        <v>6426</v>
      </c>
      <c r="B6420" t="s">
        <v>10015</v>
      </c>
      <c r="C6420">
        <v>2</v>
      </c>
      <c r="D6420">
        <v>3</v>
      </c>
      <c r="E6420">
        <v>6</v>
      </c>
      <c r="F6420" t="s">
        <v>10069</v>
      </c>
      <c r="G6420" t="s">
        <v>10069</v>
      </c>
      <c r="H6420" s="6">
        <v>45110</v>
      </c>
      <c r="I6420">
        <f t="shared" si="200"/>
        <v>1</v>
      </c>
      <c r="J6420" t="str">
        <f t="shared" si="201"/>
        <v>Complete</v>
      </c>
      <c r="K6420">
        <f>COUNTIFS(RawData[Item], B6420,RawData[Quantity],C6420,RawData[Price Per Unit],D6420,RawData[Total Spent],E6420,RawData[Payment Method],F6420,RawData[Location],G6420,RawData[Transaction Date],H6420)</f>
        <v>1</v>
      </c>
      <c r="L6420"/>
    </row>
    <row r="6421" spans="1:12" x14ac:dyDescent="0.3">
      <c r="A6421" t="s">
        <v>6427</v>
      </c>
      <c r="B6421" t="s">
        <v>10011</v>
      </c>
      <c r="C6421">
        <v>5</v>
      </c>
      <c r="D6421">
        <v>5</v>
      </c>
      <c r="E6421">
        <v>25</v>
      </c>
      <c r="F6421" t="s">
        <v>10104</v>
      </c>
      <c r="G6421" t="s">
        <v>10102</v>
      </c>
      <c r="H6421" s="6">
        <v>45149</v>
      </c>
      <c r="I6421">
        <f t="shared" si="200"/>
        <v>1</v>
      </c>
      <c r="J6421" t="str">
        <f t="shared" si="201"/>
        <v>Complete</v>
      </c>
      <c r="K6421">
        <f>COUNTIFS(RawData[Item], B6421,RawData[Quantity],C6421,RawData[Price Per Unit],D6421,RawData[Total Spent],E6421,RawData[Payment Method],F6421,RawData[Location],G6421,RawData[Transaction Date],H6421)</f>
        <v>1</v>
      </c>
      <c r="L6421"/>
    </row>
    <row r="6422" spans="1:12" x14ac:dyDescent="0.3">
      <c r="A6422" t="s">
        <v>6428</v>
      </c>
      <c r="B6422" t="s">
        <v>10014</v>
      </c>
      <c r="C6422">
        <v>1</v>
      </c>
      <c r="D6422">
        <v>4</v>
      </c>
      <c r="E6422">
        <v>4</v>
      </c>
      <c r="F6422" t="s">
        <v>10020</v>
      </c>
      <c r="G6422" t="s">
        <v>10021</v>
      </c>
      <c r="H6422" s="6">
        <v>45179</v>
      </c>
      <c r="I6422">
        <f t="shared" si="200"/>
        <v>0</v>
      </c>
      <c r="J6422" t="str">
        <f t="shared" si="201"/>
        <v>Complete</v>
      </c>
      <c r="K6422">
        <f>COUNTIFS(RawData[Item], B6422,RawData[Quantity],C6422,RawData[Price Per Unit],D6422,RawData[Total Spent],E6422,RawData[Payment Method],F6422,RawData[Location],G6422,RawData[Transaction Date],H6422)</f>
        <v>1</v>
      </c>
      <c r="L6422"/>
    </row>
    <row r="6423" spans="1:12" x14ac:dyDescent="0.3">
      <c r="A6423" t="s">
        <v>6429</v>
      </c>
      <c r="B6423" t="s">
        <v>10017</v>
      </c>
      <c r="C6423">
        <v>3</v>
      </c>
      <c r="D6423">
        <v>1.5</v>
      </c>
      <c r="E6423">
        <v>4.5</v>
      </c>
      <c r="F6423" t="s">
        <v>10018</v>
      </c>
      <c r="G6423" t="s">
        <v>10021</v>
      </c>
      <c r="H6423" s="6">
        <v>44933</v>
      </c>
      <c r="I6423">
        <f t="shared" si="200"/>
        <v>0</v>
      </c>
      <c r="J6423" t="str">
        <f t="shared" si="201"/>
        <v>Complete</v>
      </c>
      <c r="K6423">
        <f>COUNTIFS(RawData[Item], B6423,RawData[Quantity],C6423,RawData[Price Per Unit],D6423,RawData[Total Spent],E6423,RawData[Payment Method],F6423,RawData[Location],G6423,RawData[Transaction Date],H6423)</f>
        <v>1</v>
      </c>
      <c r="L6423"/>
    </row>
    <row r="6424" spans="1:12" x14ac:dyDescent="0.3">
      <c r="A6424" t="s">
        <v>6430</v>
      </c>
      <c r="B6424" t="s">
        <v>10069</v>
      </c>
      <c r="C6424">
        <v>4</v>
      </c>
      <c r="D6424">
        <v>2</v>
      </c>
      <c r="E6424">
        <v>8</v>
      </c>
      <c r="F6424" t="s">
        <v>10019</v>
      </c>
      <c r="G6424" t="s">
        <v>10069</v>
      </c>
      <c r="H6424" s="6" t="s">
        <v>10112</v>
      </c>
      <c r="I6424">
        <f t="shared" si="200"/>
        <v>1</v>
      </c>
      <c r="J6424" t="str">
        <f t="shared" si="201"/>
        <v>Incomplete</v>
      </c>
      <c r="K6424">
        <f>COUNTIFS(RawData[Item], B6424,RawData[Quantity],C6424,RawData[Price Per Unit],D6424,RawData[Total Spent],E6424,RawData[Payment Method],F6424,RawData[Location],G6424,RawData[Transaction Date],H6424)</f>
        <v>1</v>
      </c>
      <c r="L6424"/>
    </row>
    <row r="6425" spans="1:12" x14ac:dyDescent="0.3">
      <c r="A6425" t="s">
        <v>6431</v>
      </c>
      <c r="B6425" t="s">
        <v>10009</v>
      </c>
      <c r="C6425">
        <v>1</v>
      </c>
      <c r="D6425">
        <v>3</v>
      </c>
      <c r="E6425">
        <v>3</v>
      </c>
      <c r="F6425" t="s">
        <v>10019</v>
      </c>
      <c r="G6425" t="s">
        <v>10021</v>
      </c>
      <c r="H6425" s="6">
        <v>45213</v>
      </c>
      <c r="I6425">
        <f t="shared" si="200"/>
        <v>0</v>
      </c>
      <c r="J6425" t="str">
        <f t="shared" si="201"/>
        <v>Complete</v>
      </c>
      <c r="K6425">
        <f>COUNTIFS(RawData[Item], B6425,RawData[Quantity],C6425,RawData[Price Per Unit],D6425,RawData[Total Spent],E6425,RawData[Payment Method],F6425,RawData[Location],G6425,RawData[Transaction Date],H6425)</f>
        <v>1</v>
      </c>
      <c r="L6425"/>
    </row>
    <row r="6426" spans="1:12" x14ac:dyDescent="0.3">
      <c r="A6426" t="s">
        <v>6432</v>
      </c>
      <c r="B6426" t="s">
        <v>10008</v>
      </c>
      <c r="C6426">
        <v>3</v>
      </c>
      <c r="D6426">
        <v>2</v>
      </c>
      <c r="E6426">
        <v>6</v>
      </c>
      <c r="F6426" t="s">
        <v>10069</v>
      </c>
      <c r="G6426" t="s">
        <v>10069</v>
      </c>
      <c r="H6426" s="6">
        <v>44941</v>
      </c>
      <c r="I6426">
        <f t="shared" si="200"/>
        <v>0</v>
      </c>
      <c r="J6426" t="str">
        <f t="shared" si="201"/>
        <v>Complete</v>
      </c>
      <c r="K6426">
        <f>COUNTIFS(RawData[Item], B6426,RawData[Quantity],C6426,RawData[Price Per Unit],D6426,RawData[Total Spent],E6426,RawData[Payment Method],F6426,RawData[Location],G6426,RawData[Transaction Date],H6426)</f>
        <v>1</v>
      </c>
      <c r="L6426"/>
    </row>
    <row r="6427" spans="1:12" x14ac:dyDescent="0.3">
      <c r="A6427" t="s">
        <v>6433</v>
      </c>
      <c r="B6427" t="s">
        <v>10069</v>
      </c>
      <c r="C6427">
        <v>1</v>
      </c>
      <c r="D6427">
        <v>1</v>
      </c>
      <c r="E6427">
        <v>1</v>
      </c>
      <c r="F6427" t="s">
        <v>10019</v>
      </c>
      <c r="G6427" t="s">
        <v>10102</v>
      </c>
      <c r="H6427" s="6">
        <v>45270</v>
      </c>
      <c r="I6427">
        <f t="shared" si="200"/>
        <v>0</v>
      </c>
      <c r="J6427" t="str">
        <f t="shared" si="201"/>
        <v>Complete</v>
      </c>
      <c r="K6427">
        <f>COUNTIFS(RawData[Item], B6427,RawData[Quantity],C6427,RawData[Price Per Unit],D6427,RawData[Total Spent],E6427,RawData[Payment Method],F6427,RawData[Location],G6427,RawData[Transaction Date],H6427)</f>
        <v>1</v>
      </c>
      <c r="L6427"/>
    </row>
    <row r="6428" spans="1:12" x14ac:dyDescent="0.3">
      <c r="A6428" t="s">
        <v>6434</v>
      </c>
      <c r="B6428" t="s">
        <v>10014</v>
      </c>
      <c r="C6428">
        <v>4</v>
      </c>
      <c r="D6428">
        <v>4</v>
      </c>
      <c r="E6428">
        <v>16</v>
      </c>
      <c r="F6428" t="s">
        <v>10020</v>
      </c>
      <c r="G6428" t="s">
        <v>10021</v>
      </c>
      <c r="H6428" s="6">
        <v>45064</v>
      </c>
      <c r="I6428">
        <f t="shared" si="200"/>
        <v>0</v>
      </c>
      <c r="J6428" t="str">
        <f t="shared" si="201"/>
        <v>Complete</v>
      </c>
      <c r="K6428">
        <f>COUNTIFS(RawData[Item], B6428,RawData[Quantity],C6428,RawData[Price Per Unit],D6428,RawData[Total Spent],E6428,RawData[Payment Method],F6428,RawData[Location],G6428,RawData[Transaction Date],H6428)</f>
        <v>1</v>
      </c>
      <c r="L6428"/>
    </row>
    <row r="6429" spans="1:12" x14ac:dyDescent="0.3">
      <c r="A6429" t="s">
        <v>6435</v>
      </c>
      <c r="B6429" t="s">
        <v>10011</v>
      </c>
      <c r="C6429" t="s">
        <v>10015</v>
      </c>
      <c r="D6429">
        <v>5</v>
      </c>
      <c r="E6429">
        <v>15</v>
      </c>
      <c r="F6429" t="s">
        <v>10020</v>
      </c>
      <c r="G6429" t="s">
        <v>10102</v>
      </c>
      <c r="H6429" s="6">
        <v>44962</v>
      </c>
      <c r="I6429">
        <f t="shared" si="200"/>
        <v>1</v>
      </c>
      <c r="J6429" t="str">
        <f t="shared" si="201"/>
        <v>Complete</v>
      </c>
      <c r="K6429">
        <f>COUNTIFS(RawData[Item], B6429,RawData[Quantity],C6429,RawData[Price Per Unit],D6429,RawData[Total Spent],E6429,RawData[Payment Method],F6429,RawData[Location],G6429,RawData[Transaction Date],H6429)</f>
        <v>1</v>
      </c>
      <c r="L6429"/>
    </row>
    <row r="6430" spans="1:12" x14ac:dyDescent="0.3">
      <c r="A6430" t="s">
        <v>6436</v>
      </c>
      <c r="B6430" t="s">
        <v>10014</v>
      </c>
      <c r="C6430">
        <v>3</v>
      </c>
      <c r="D6430">
        <v>4</v>
      </c>
      <c r="E6430">
        <v>12</v>
      </c>
      <c r="F6430" t="s">
        <v>10018</v>
      </c>
      <c r="G6430" t="s">
        <v>10069</v>
      </c>
      <c r="H6430" s="6">
        <v>45102</v>
      </c>
      <c r="I6430">
        <f t="shared" si="200"/>
        <v>0</v>
      </c>
      <c r="J6430" t="str">
        <f t="shared" si="201"/>
        <v>Complete</v>
      </c>
      <c r="K6430">
        <f>COUNTIFS(RawData[Item], B6430,RawData[Quantity],C6430,RawData[Price Per Unit],D6430,RawData[Total Spent],E6430,RawData[Payment Method],F6430,RawData[Location],G6430,RawData[Transaction Date],H6430)</f>
        <v>1</v>
      </c>
      <c r="L6430"/>
    </row>
    <row r="6431" spans="1:12" x14ac:dyDescent="0.3">
      <c r="A6431" t="s">
        <v>6437</v>
      </c>
      <c r="B6431" t="s">
        <v>10069</v>
      </c>
      <c r="C6431">
        <v>2</v>
      </c>
      <c r="D6431">
        <v>0</v>
      </c>
      <c r="E6431">
        <v>8</v>
      </c>
      <c r="F6431" t="s">
        <v>10019</v>
      </c>
      <c r="G6431" t="s">
        <v>10102</v>
      </c>
      <c r="H6431" s="6">
        <v>45101</v>
      </c>
      <c r="I6431">
        <f t="shared" si="200"/>
        <v>0</v>
      </c>
      <c r="J6431" t="str">
        <f t="shared" si="201"/>
        <v>Complete</v>
      </c>
      <c r="K6431">
        <f>COUNTIFS(RawData[Item], B6431,RawData[Quantity],C6431,RawData[Price Per Unit],D6431,RawData[Total Spent],E6431,RawData[Payment Method],F6431,RawData[Location],G6431,RawData[Transaction Date],H6431)</f>
        <v>1</v>
      </c>
      <c r="L6431"/>
    </row>
    <row r="6432" spans="1:12" x14ac:dyDescent="0.3">
      <c r="A6432" t="s">
        <v>6438</v>
      </c>
      <c r="B6432" t="s">
        <v>10069</v>
      </c>
      <c r="C6432">
        <v>2</v>
      </c>
      <c r="D6432">
        <v>1.5</v>
      </c>
      <c r="E6432">
        <v>3</v>
      </c>
      <c r="F6432" t="s">
        <v>10069</v>
      </c>
      <c r="G6432" t="s">
        <v>10102</v>
      </c>
      <c r="H6432" s="6">
        <v>45030</v>
      </c>
      <c r="I6432">
        <f t="shared" si="200"/>
        <v>0</v>
      </c>
      <c r="J6432" t="str">
        <f t="shared" si="201"/>
        <v>Complete</v>
      </c>
      <c r="K6432">
        <f>COUNTIFS(RawData[Item], B6432,RawData[Quantity],C6432,RawData[Price Per Unit],D6432,RawData[Total Spent],E6432,RawData[Payment Method],F6432,RawData[Location],G6432,RawData[Transaction Date],H6432)</f>
        <v>1</v>
      </c>
      <c r="L6432"/>
    </row>
    <row r="6433" spans="1:12" x14ac:dyDescent="0.3">
      <c r="A6433" t="s">
        <v>6439</v>
      </c>
      <c r="B6433" t="s">
        <v>10010</v>
      </c>
      <c r="C6433">
        <v>5</v>
      </c>
      <c r="D6433">
        <v>1</v>
      </c>
      <c r="E6433">
        <v>5</v>
      </c>
      <c r="F6433" t="s">
        <v>10020</v>
      </c>
      <c r="G6433" t="s">
        <v>10104</v>
      </c>
      <c r="H6433" s="6">
        <v>45022</v>
      </c>
      <c r="I6433">
        <f t="shared" si="200"/>
        <v>1</v>
      </c>
      <c r="J6433" t="str">
        <f t="shared" si="201"/>
        <v>Complete</v>
      </c>
      <c r="K6433">
        <f>COUNTIFS(RawData[Item], B6433,RawData[Quantity],C6433,RawData[Price Per Unit],D6433,RawData[Total Spent],E6433,RawData[Payment Method],F6433,RawData[Location],G6433,RawData[Transaction Date],H6433)</f>
        <v>1</v>
      </c>
      <c r="L6433"/>
    </row>
    <row r="6434" spans="1:12" x14ac:dyDescent="0.3">
      <c r="A6434" t="s">
        <v>6440</v>
      </c>
      <c r="B6434" t="s">
        <v>10016</v>
      </c>
      <c r="C6434">
        <v>1</v>
      </c>
      <c r="D6434">
        <v>3</v>
      </c>
      <c r="E6434">
        <v>3</v>
      </c>
      <c r="F6434" t="s">
        <v>10018</v>
      </c>
      <c r="G6434" t="s">
        <v>10021</v>
      </c>
      <c r="H6434" s="6">
        <v>45218</v>
      </c>
      <c r="I6434">
        <f t="shared" si="200"/>
        <v>0</v>
      </c>
      <c r="J6434" t="str">
        <f t="shared" si="201"/>
        <v>Complete</v>
      </c>
      <c r="K6434">
        <f>COUNTIFS(RawData[Item], B6434,RawData[Quantity],C6434,RawData[Price Per Unit],D6434,RawData[Total Spent],E6434,RawData[Payment Method],F6434,RawData[Location],G6434,RawData[Transaction Date],H6434)</f>
        <v>1</v>
      </c>
      <c r="L6434"/>
    </row>
    <row r="6435" spans="1:12" x14ac:dyDescent="0.3">
      <c r="A6435" t="s">
        <v>6441</v>
      </c>
      <c r="B6435" t="s">
        <v>10012</v>
      </c>
      <c r="C6435">
        <v>4</v>
      </c>
      <c r="D6435">
        <v>4</v>
      </c>
      <c r="E6435">
        <v>0</v>
      </c>
      <c r="F6435" t="s">
        <v>10069</v>
      </c>
      <c r="G6435" t="s">
        <v>10102</v>
      </c>
      <c r="H6435" s="6">
        <v>45277</v>
      </c>
      <c r="I6435">
        <f t="shared" si="200"/>
        <v>0</v>
      </c>
      <c r="J6435" t="str">
        <f t="shared" si="201"/>
        <v>Complete</v>
      </c>
      <c r="K6435">
        <f>COUNTIFS(RawData[Item], B6435,RawData[Quantity],C6435,RawData[Price Per Unit],D6435,RawData[Total Spent],E6435,RawData[Payment Method],F6435,RawData[Location],G6435,RawData[Transaction Date],H6435)</f>
        <v>1</v>
      </c>
      <c r="L6435"/>
    </row>
    <row r="6436" spans="1:12" x14ac:dyDescent="0.3">
      <c r="A6436" t="s">
        <v>6442</v>
      </c>
      <c r="B6436" t="s">
        <v>10015</v>
      </c>
      <c r="C6436">
        <v>4</v>
      </c>
      <c r="D6436">
        <v>3</v>
      </c>
      <c r="E6436">
        <v>12</v>
      </c>
      <c r="F6436" t="s">
        <v>10018</v>
      </c>
      <c r="G6436" t="s">
        <v>10069</v>
      </c>
      <c r="H6436" s="6">
        <v>44999</v>
      </c>
      <c r="I6436">
        <f t="shared" si="200"/>
        <v>1</v>
      </c>
      <c r="J6436" t="str">
        <f t="shared" si="201"/>
        <v>Complete</v>
      </c>
      <c r="K6436">
        <f>COUNTIFS(RawData[Item], B6436,RawData[Quantity],C6436,RawData[Price Per Unit],D6436,RawData[Total Spent],E6436,RawData[Payment Method],F6436,RawData[Location],G6436,RawData[Transaction Date],H6436)</f>
        <v>1</v>
      </c>
      <c r="L6436"/>
    </row>
    <row r="6437" spans="1:12" x14ac:dyDescent="0.3">
      <c r="A6437" t="s">
        <v>6443</v>
      </c>
      <c r="B6437" t="s">
        <v>10017</v>
      </c>
      <c r="C6437">
        <v>5</v>
      </c>
      <c r="D6437">
        <v>1.5</v>
      </c>
      <c r="E6437">
        <v>7.5</v>
      </c>
      <c r="F6437" t="s">
        <v>10020</v>
      </c>
      <c r="G6437" t="s">
        <v>10102</v>
      </c>
      <c r="H6437" s="6">
        <v>45207</v>
      </c>
      <c r="I6437">
        <f t="shared" si="200"/>
        <v>0</v>
      </c>
      <c r="J6437" t="str">
        <f t="shared" si="201"/>
        <v>Complete</v>
      </c>
      <c r="K6437">
        <f>COUNTIFS(RawData[Item], B6437,RawData[Quantity],C6437,RawData[Price Per Unit],D6437,RawData[Total Spent],E6437,RawData[Payment Method],F6437,RawData[Location],G6437,RawData[Transaction Date],H6437)</f>
        <v>1</v>
      </c>
      <c r="L6437"/>
    </row>
    <row r="6438" spans="1:12" x14ac:dyDescent="0.3">
      <c r="A6438" t="s">
        <v>6444</v>
      </c>
      <c r="B6438" t="s">
        <v>10009</v>
      </c>
      <c r="C6438">
        <v>2</v>
      </c>
      <c r="D6438">
        <v>3</v>
      </c>
      <c r="E6438">
        <v>6</v>
      </c>
      <c r="F6438" t="s">
        <v>10069</v>
      </c>
      <c r="G6438" t="s">
        <v>10069</v>
      </c>
      <c r="H6438" s="6">
        <v>44979</v>
      </c>
      <c r="I6438">
        <f t="shared" si="200"/>
        <v>0</v>
      </c>
      <c r="J6438" t="str">
        <f t="shared" si="201"/>
        <v>Complete</v>
      </c>
      <c r="K6438">
        <f>COUNTIFS(RawData[Item], B6438,RawData[Quantity],C6438,RawData[Price Per Unit],D6438,RawData[Total Spent],E6438,RawData[Payment Method],F6438,RawData[Location],G6438,RawData[Transaction Date],H6438)</f>
        <v>1</v>
      </c>
      <c r="L6438"/>
    </row>
    <row r="6439" spans="1:12" x14ac:dyDescent="0.3">
      <c r="A6439" t="s">
        <v>6445</v>
      </c>
      <c r="B6439" t="s">
        <v>10008</v>
      </c>
      <c r="C6439">
        <v>5</v>
      </c>
      <c r="D6439">
        <v>2</v>
      </c>
      <c r="E6439">
        <v>10</v>
      </c>
      <c r="F6439" t="s">
        <v>10069</v>
      </c>
      <c r="G6439" t="s">
        <v>10021</v>
      </c>
      <c r="H6439" s="6">
        <v>45279</v>
      </c>
      <c r="I6439">
        <f t="shared" si="200"/>
        <v>0</v>
      </c>
      <c r="J6439" t="str">
        <f t="shared" si="201"/>
        <v>Complete</v>
      </c>
      <c r="K6439">
        <f>COUNTIFS(RawData[Item], B6439,RawData[Quantity],C6439,RawData[Price Per Unit],D6439,RawData[Total Spent],E6439,RawData[Payment Method],F6439,RawData[Location],G6439,RawData[Transaction Date],H6439)</f>
        <v>1</v>
      </c>
      <c r="L6439"/>
    </row>
    <row r="6440" spans="1:12" x14ac:dyDescent="0.3">
      <c r="A6440" t="s">
        <v>6446</v>
      </c>
      <c r="B6440" t="s">
        <v>10010</v>
      </c>
      <c r="C6440">
        <v>2</v>
      </c>
      <c r="D6440">
        <v>1</v>
      </c>
      <c r="E6440">
        <v>2</v>
      </c>
      <c r="F6440" t="s">
        <v>10019</v>
      </c>
      <c r="G6440" t="s">
        <v>10102</v>
      </c>
      <c r="H6440" s="6">
        <v>44957</v>
      </c>
      <c r="I6440">
        <f t="shared" si="200"/>
        <v>0</v>
      </c>
      <c r="J6440" t="str">
        <f t="shared" si="201"/>
        <v>Complete</v>
      </c>
      <c r="K6440">
        <f>COUNTIFS(RawData[Item], B6440,RawData[Quantity],C6440,RawData[Price Per Unit],D6440,RawData[Total Spent],E6440,RawData[Payment Method],F6440,RawData[Location],G6440,RawData[Transaction Date],H6440)</f>
        <v>1</v>
      </c>
      <c r="L6440"/>
    </row>
    <row r="6441" spans="1:12" x14ac:dyDescent="0.3">
      <c r="A6441" t="s">
        <v>6447</v>
      </c>
      <c r="B6441" t="s">
        <v>10010</v>
      </c>
      <c r="C6441">
        <v>4</v>
      </c>
      <c r="D6441">
        <v>1</v>
      </c>
      <c r="E6441">
        <v>4</v>
      </c>
      <c r="F6441" t="s">
        <v>10020</v>
      </c>
      <c r="G6441" t="s">
        <v>10021</v>
      </c>
      <c r="H6441" s="6">
        <v>45062</v>
      </c>
      <c r="I6441">
        <f t="shared" si="200"/>
        <v>0</v>
      </c>
      <c r="J6441" t="str">
        <f t="shared" si="201"/>
        <v>Complete</v>
      </c>
      <c r="K6441">
        <f>COUNTIFS(RawData[Item], B6441,RawData[Quantity],C6441,RawData[Price Per Unit],D6441,RawData[Total Spent],E6441,RawData[Payment Method],F6441,RawData[Location],G6441,RawData[Transaction Date],H6441)</f>
        <v>1</v>
      </c>
      <c r="L6441"/>
    </row>
    <row r="6442" spans="1:12" x14ac:dyDescent="0.3">
      <c r="A6442" t="s">
        <v>6448</v>
      </c>
      <c r="B6442" t="s">
        <v>10016</v>
      </c>
      <c r="C6442">
        <v>1</v>
      </c>
      <c r="D6442">
        <v>3</v>
      </c>
      <c r="E6442">
        <v>3</v>
      </c>
      <c r="F6442" t="s">
        <v>10103</v>
      </c>
      <c r="G6442" t="s">
        <v>10069</v>
      </c>
      <c r="H6442" s="6">
        <v>45232</v>
      </c>
      <c r="I6442">
        <f t="shared" si="200"/>
        <v>1</v>
      </c>
      <c r="J6442" t="str">
        <f t="shared" si="201"/>
        <v>Complete</v>
      </c>
      <c r="K6442">
        <f>COUNTIFS(RawData[Item], B6442,RawData[Quantity],C6442,RawData[Price Per Unit],D6442,RawData[Total Spent],E6442,RawData[Payment Method],F6442,RawData[Location],G6442,RawData[Transaction Date],H6442)</f>
        <v>1</v>
      </c>
      <c r="L6442"/>
    </row>
    <row r="6443" spans="1:12" x14ac:dyDescent="0.3">
      <c r="A6443" t="s">
        <v>6449</v>
      </c>
      <c r="B6443" t="s">
        <v>10008</v>
      </c>
      <c r="C6443">
        <v>3</v>
      </c>
      <c r="D6443">
        <v>2</v>
      </c>
      <c r="E6443">
        <v>6</v>
      </c>
      <c r="F6443" t="s">
        <v>10069</v>
      </c>
      <c r="G6443" t="s">
        <v>10069</v>
      </c>
      <c r="H6443" s="6">
        <v>44963</v>
      </c>
      <c r="I6443">
        <f t="shared" si="200"/>
        <v>0</v>
      </c>
      <c r="J6443" t="str">
        <f t="shared" si="201"/>
        <v>Complete</v>
      </c>
      <c r="K6443">
        <f>COUNTIFS(RawData[Item], B6443,RawData[Quantity],C6443,RawData[Price Per Unit],D6443,RawData[Total Spent],E6443,RawData[Payment Method],F6443,RawData[Location],G6443,RawData[Transaction Date],H6443)</f>
        <v>1</v>
      </c>
      <c r="L6443"/>
    </row>
    <row r="6444" spans="1:12" x14ac:dyDescent="0.3">
      <c r="A6444" t="s">
        <v>6450</v>
      </c>
      <c r="B6444" t="s">
        <v>10014</v>
      </c>
      <c r="C6444">
        <v>2</v>
      </c>
      <c r="D6444">
        <v>4</v>
      </c>
      <c r="E6444">
        <v>8</v>
      </c>
      <c r="F6444" t="s">
        <v>10018</v>
      </c>
      <c r="G6444" t="s">
        <v>10069</v>
      </c>
      <c r="H6444" s="6">
        <v>45155</v>
      </c>
      <c r="I6444">
        <f t="shared" si="200"/>
        <v>0</v>
      </c>
      <c r="J6444" t="str">
        <f t="shared" si="201"/>
        <v>Complete</v>
      </c>
      <c r="K6444">
        <f>COUNTIFS(RawData[Item], B6444,RawData[Quantity],C6444,RawData[Price Per Unit],D6444,RawData[Total Spent],E6444,RawData[Payment Method],F6444,RawData[Location],G6444,RawData[Transaction Date],H6444)</f>
        <v>1</v>
      </c>
      <c r="L6444"/>
    </row>
    <row r="6445" spans="1:12" x14ac:dyDescent="0.3">
      <c r="A6445" t="s">
        <v>6451</v>
      </c>
      <c r="B6445" t="s">
        <v>10013</v>
      </c>
      <c r="C6445">
        <v>5</v>
      </c>
      <c r="D6445">
        <v>3</v>
      </c>
      <c r="E6445">
        <v>15</v>
      </c>
      <c r="F6445" t="s">
        <v>10069</v>
      </c>
      <c r="G6445" t="s">
        <v>10102</v>
      </c>
      <c r="H6445" s="6">
        <v>44980</v>
      </c>
      <c r="I6445">
        <f t="shared" si="200"/>
        <v>1</v>
      </c>
      <c r="J6445" t="str">
        <f t="shared" si="201"/>
        <v>Complete</v>
      </c>
      <c r="K6445">
        <f>COUNTIFS(RawData[Item], B6445,RawData[Quantity],C6445,RawData[Price Per Unit],D6445,RawData[Total Spent],E6445,RawData[Payment Method],F6445,RawData[Location],G6445,RawData[Transaction Date],H6445)</f>
        <v>1</v>
      </c>
      <c r="L6445"/>
    </row>
    <row r="6446" spans="1:12" x14ac:dyDescent="0.3">
      <c r="A6446" t="s">
        <v>6452</v>
      </c>
      <c r="B6446" t="s">
        <v>10010</v>
      </c>
      <c r="C6446">
        <v>3</v>
      </c>
      <c r="D6446">
        <v>1</v>
      </c>
      <c r="E6446">
        <v>3</v>
      </c>
      <c r="F6446" t="s">
        <v>10019</v>
      </c>
      <c r="G6446" t="s">
        <v>10069</v>
      </c>
      <c r="H6446" s="6">
        <v>44993</v>
      </c>
      <c r="I6446">
        <f t="shared" si="200"/>
        <v>0</v>
      </c>
      <c r="J6446" t="str">
        <f t="shared" si="201"/>
        <v>Complete</v>
      </c>
      <c r="K6446">
        <f>COUNTIFS(RawData[Item], B6446,RawData[Quantity],C6446,RawData[Price Per Unit],D6446,RawData[Total Spent],E6446,RawData[Payment Method],F6446,RawData[Location],G6446,RawData[Transaction Date],H6446)</f>
        <v>1</v>
      </c>
      <c r="L6446"/>
    </row>
    <row r="6447" spans="1:12" x14ac:dyDescent="0.3">
      <c r="A6447" t="s">
        <v>6453</v>
      </c>
      <c r="B6447" t="s">
        <v>10012</v>
      </c>
      <c r="C6447">
        <v>3</v>
      </c>
      <c r="D6447">
        <v>4</v>
      </c>
      <c r="E6447">
        <v>12</v>
      </c>
      <c r="F6447" t="s">
        <v>10069</v>
      </c>
      <c r="G6447" t="s">
        <v>10102</v>
      </c>
      <c r="H6447" s="6">
        <v>45236</v>
      </c>
      <c r="I6447">
        <f t="shared" si="200"/>
        <v>0</v>
      </c>
      <c r="J6447" t="str">
        <f t="shared" si="201"/>
        <v>Complete</v>
      </c>
      <c r="K6447">
        <f>COUNTIFS(RawData[Item], B6447,RawData[Quantity],C6447,RawData[Price Per Unit],D6447,RawData[Total Spent],E6447,RawData[Payment Method],F6447,RawData[Location],G6447,RawData[Transaction Date],H6447)</f>
        <v>1</v>
      </c>
      <c r="L6447"/>
    </row>
    <row r="6448" spans="1:12" x14ac:dyDescent="0.3">
      <c r="A6448" t="s">
        <v>6454</v>
      </c>
      <c r="B6448" t="s">
        <v>10009</v>
      </c>
      <c r="C6448">
        <v>5</v>
      </c>
      <c r="D6448">
        <v>3</v>
      </c>
      <c r="E6448">
        <v>15</v>
      </c>
      <c r="F6448" t="s">
        <v>10018</v>
      </c>
      <c r="G6448" t="s">
        <v>10102</v>
      </c>
      <c r="H6448" s="6">
        <v>45076</v>
      </c>
      <c r="I6448">
        <f t="shared" si="200"/>
        <v>0</v>
      </c>
      <c r="J6448" t="str">
        <f t="shared" si="201"/>
        <v>Complete</v>
      </c>
      <c r="K6448">
        <f>COUNTIFS(RawData[Item], B6448,RawData[Quantity],C6448,RawData[Price Per Unit],D6448,RawData[Total Spent],E6448,RawData[Payment Method],F6448,RawData[Location],G6448,RawData[Transaction Date],H6448)</f>
        <v>1</v>
      </c>
      <c r="L6448"/>
    </row>
    <row r="6449" spans="1:12" x14ac:dyDescent="0.3">
      <c r="A6449" t="s">
        <v>6455</v>
      </c>
      <c r="B6449" t="s">
        <v>10069</v>
      </c>
      <c r="C6449">
        <v>3</v>
      </c>
      <c r="D6449">
        <v>4</v>
      </c>
      <c r="E6449">
        <v>12</v>
      </c>
      <c r="F6449" t="s">
        <v>10069</v>
      </c>
      <c r="G6449" t="s">
        <v>10021</v>
      </c>
      <c r="H6449" s="6">
        <v>45015</v>
      </c>
      <c r="I6449">
        <f t="shared" si="200"/>
        <v>0</v>
      </c>
      <c r="J6449" t="str">
        <f t="shared" si="201"/>
        <v>Complete</v>
      </c>
      <c r="K6449">
        <f>COUNTIFS(RawData[Item], B6449,RawData[Quantity],C6449,RawData[Price Per Unit],D6449,RawData[Total Spent],E6449,RawData[Payment Method],F6449,RawData[Location],G6449,RawData[Transaction Date],H6449)</f>
        <v>1</v>
      </c>
      <c r="L6449"/>
    </row>
    <row r="6450" spans="1:12" x14ac:dyDescent="0.3">
      <c r="A6450" t="s">
        <v>6456</v>
      </c>
      <c r="B6450" t="s">
        <v>10011</v>
      </c>
      <c r="C6450">
        <v>4</v>
      </c>
      <c r="D6450">
        <v>5</v>
      </c>
      <c r="E6450">
        <v>20</v>
      </c>
      <c r="F6450" t="s">
        <v>10020</v>
      </c>
      <c r="G6450" t="s">
        <v>10021</v>
      </c>
      <c r="H6450" s="6">
        <v>45027</v>
      </c>
      <c r="I6450">
        <f t="shared" si="200"/>
        <v>0</v>
      </c>
      <c r="J6450" t="str">
        <f t="shared" si="201"/>
        <v>Complete</v>
      </c>
      <c r="K6450">
        <f>COUNTIFS(RawData[Item], B6450,RawData[Quantity],C6450,RawData[Price Per Unit],D6450,RawData[Total Spent],E6450,RawData[Payment Method],F6450,RawData[Location],G6450,RawData[Transaction Date],H6450)</f>
        <v>1</v>
      </c>
      <c r="L6450"/>
    </row>
    <row r="6451" spans="1:12" x14ac:dyDescent="0.3">
      <c r="A6451" t="s">
        <v>6457</v>
      </c>
      <c r="B6451" t="s">
        <v>10009</v>
      </c>
      <c r="C6451">
        <v>2</v>
      </c>
      <c r="D6451">
        <v>3</v>
      </c>
      <c r="E6451">
        <v>6</v>
      </c>
      <c r="F6451" t="s">
        <v>10069</v>
      </c>
      <c r="G6451" t="s">
        <v>10102</v>
      </c>
      <c r="H6451" s="6">
        <v>45125</v>
      </c>
      <c r="I6451">
        <f t="shared" si="200"/>
        <v>0</v>
      </c>
      <c r="J6451" t="str">
        <f t="shared" si="201"/>
        <v>Complete</v>
      </c>
      <c r="K6451">
        <f>COUNTIFS(RawData[Item], B6451,RawData[Quantity],C6451,RawData[Price Per Unit],D6451,RawData[Total Spent],E6451,RawData[Payment Method],F6451,RawData[Location],G6451,RawData[Transaction Date],H6451)</f>
        <v>1</v>
      </c>
      <c r="L6451"/>
    </row>
    <row r="6452" spans="1:12" x14ac:dyDescent="0.3">
      <c r="A6452" t="s">
        <v>6458</v>
      </c>
      <c r="B6452" t="s">
        <v>10010</v>
      </c>
      <c r="C6452">
        <v>4</v>
      </c>
      <c r="D6452">
        <v>1</v>
      </c>
      <c r="E6452">
        <v>4</v>
      </c>
      <c r="F6452" t="s">
        <v>10020</v>
      </c>
      <c r="G6452" t="s">
        <v>10021</v>
      </c>
      <c r="H6452" s="6">
        <v>45144</v>
      </c>
      <c r="I6452">
        <f t="shared" si="200"/>
        <v>0</v>
      </c>
      <c r="J6452" t="str">
        <f t="shared" si="201"/>
        <v>Complete</v>
      </c>
      <c r="K6452">
        <f>COUNTIFS(RawData[Item], B6452,RawData[Quantity],C6452,RawData[Price Per Unit],D6452,RawData[Total Spent],E6452,RawData[Payment Method],F6452,RawData[Location],G6452,RawData[Transaction Date],H6452)</f>
        <v>1</v>
      </c>
      <c r="L6452"/>
    </row>
    <row r="6453" spans="1:12" x14ac:dyDescent="0.3">
      <c r="A6453" t="s">
        <v>6459</v>
      </c>
      <c r="B6453" t="s">
        <v>10011</v>
      </c>
      <c r="C6453">
        <v>5</v>
      </c>
      <c r="D6453">
        <v>5</v>
      </c>
      <c r="E6453">
        <v>25</v>
      </c>
      <c r="F6453" t="s">
        <v>10019</v>
      </c>
      <c r="G6453" t="s">
        <v>10069</v>
      </c>
      <c r="H6453" s="6">
        <v>44953</v>
      </c>
      <c r="I6453">
        <f t="shared" si="200"/>
        <v>0</v>
      </c>
      <c r="J6453" t="str">
        <f t="shared" si="201"/>
        <v>Complete</v>
      </c>
      <c r="K6453">
        <f>COUNTIFS(RawData[Item], B6453,RawData[Quantity],C6453,RawData[Price Per Unit],D6453,RawData[Total Spent],E6453,RawData[Payment Method],F6453,RawData[Location],G6453,RawData[Transaction Date],H6453)</f>
        <v>1</v>
      </c>
      <c r="L6453"/>
    </row>
    <row r="6454" spans="1:12" x14ac:dyDescent="0.3">
      <c r="A6454" t="s">
        <v>6460</v>
      </c>
      <c r="B6454" t="s">
        <v>10012</v>
      </c>
      <c r="C6454">
        <v>5</v>
      </c>
      <c r="D6454">
        <v>4</v>
      </c>
      <c r="E6454">
        <v>20</v>
      </c>
      <c r="F6454" t="s">
        <v>10069</v>
      </c>
      <c r="G6454" t="s">
        <v>10021</v>
      </c>
      <c r="H6454" s="6">
        <v>45261</v>
      </c>
      <c r="I6454">
        <f t="shared" si="200"/>
        <v>0</v>
      </c>
      <c r="J6454" t="str">
        <f t="shared" si="201"/>
        <v>Complete</v>
      </c>
      <c r="K6454">
        <f>COUNTIFS(RawData[Item], B6454,RawData[Quantity],C6454,RawData[Price Per Unit],D6454,RawData[Total Spent],E6454,RawData[Payment Method],F6454,RawData[Location],G6454,RawData[Transaction Date],H6454)</f>
        <v>1</v>
      </c>
      <c r="L6454"/>
    </row>
    <row r="6455" spans="1:12" x14ac:dyDescent="0.3">
      <c r="A6455" t="s">
        <v>6461</v>
      </c>
      <c r="B6455" t="s">
        <v>10008</v>
      </c>
      <c r="C6455">
        <v>1</v>
      </c>
      <c r="D6455">
        <v>2</v>
      </c>
      <c r="E6455">
        <v>2</v>
      </c>
      <c r="F6455" t="s">
        <v>10020</v>
      </c>
      <c r="G6455" t="s">
        <v>10021</v>
      </c>
      <c r="H6455" s="6">
        <v>45200</v>
      </c>
      <c r="I6455">
        <f t="shared" si="200"/>
        <v>0</v>
      </c>
      <c r="J6455" t="str">
        <f t="shared" si="201"/>
        <v>Complete</v>
      </c>
      <c r="K6455">
        <f>COUNTIFS(RawData[Item], B6455,RawData[Quantity],C6455,RawData[Price Per Unit],D6455,RawData[Total Spent],E6455,RawData[Payment Method],F6455,RawData[Location],G6455,RawData[Transaction Date],H6455)</f>
        <v>1</v>
      </c>
      <c r="L6455"/>
    </row>
    <row r="6456" spans="1:12" x14ac:dyDescent="0.3">
      <c r="A6456" t="s">
        <v>6462</v>
      </c>
      <c r="B6456" t="s">
        <v>10010</v>
      </c>
      <c r="C6456">
        <v>3</v>
      </c>
      <c r="D6456">
        <v>1</v>
      </c>
      <c r="E6456">
        <v>3</v>
      </c>
      <c r="F6456" t="s">
        <v>10018</v>
      </c>
      <c r="G6456" t="s">
        <v>10069</v>
      </c>
      <c r="H6456" s="6">
        <v>45097</v>
      </c>
      <c r="I6456">
        <f t="shared" si="200"/>
        <v>0</v>
      </c>
      <c r="J6456" t="str">
        <f t="shared" si="201"/>
        <v>Complete</v>
      </c>
      <c r="K6456">
        <f>COUNTIFS(RawData[Item], B6456,RawData[Quantity],C6456,RawData[Price Per Unit],D6456,RawData[Total Spent],E6456,RawData[Payment Method],F6456,RawData[Location],G6456,RawData[Transaction Date],H6456)</f>
        <v>1</v>
      </c>
      <c r="L6456"/>
    </row>
    <row r="6457" spans="1:12" x14ac:dyDescent="0.3">
      <c r="A6457" t="s">
        <v>6463</v>
      </c>
      <c r="B6457" t="s">
        <v>10016</v>
      </c>
      <c r="C6457">
        <v>5</v>
      </c>
      <c r="D6457">
        <v>3</v>
      </c>
      <c r="E6457">
        <v>15</v>
      </c>
      <c r="F6457" t="s">
        <v>10069</v>
      </c>
      <c r="G6457" t="s">
        <v>10104</v>
      </c>
      <c r="H6457" s="6" t="s">
        <v>10112</v>
      </c>
      <c r="I6457">
        <f t="shared" si="200"/>
        <v>2</v>
      </c>
      <c r="J6457" t="str">
        <f t="shared" si="201"/>
        <v>Incomplete</v>
      </c>
      <c r="K6457">
        <f>COUNTIFS(RawData[Item], B6457,RawData[Quantity],C6457,RawData[Price Per Unit],D6457,RawData[Total Spent],E6457,RawData[Payment Method],F6457,RawData[Location],G6457,RawData[Transaction Date],H6457)</f>
        <v>1</v>
      </c>
      <c r="L6457"/>
    </row>
    <row r="6458" spans="1:12" x14ac:dyDescent="0.3">
      <c r="A6458" t="s">
        <v>6464</v>
      </c>
      <c r="B6458" t="s">
        <v>10012</v>
      </c>
      <c r="C6458">
        <v>5</v>
      </c>
      <c r="D6458">
        <v>4</v>
      </c>
      <c r="E6458">
        <v>20</v>
      </c>
      <c r="F6458" t="s">
        <v>10019</v>
      </c>
      <c r="G6458" t="s">
        <v>10021</v>
      </c>
      <c r="H6458" s="6">
        <v>45257</v>
      </c>
      <c r="I6458">
        <f t="shared" si="200"/>
        <v>0</v>
      </c>
      <c r="J6458" t="str">
        <f t="shared" si="201"/>
        <v>Complete</v>
      </c>
      <c r="K6458">
        <f>COUNTIFS(RawData[Item], B6458,RawData[Quantity],C6458,RawData[Price Per Unit],D6458,RawData[Total Spent],E6458,RawData[Payment Method],F6458,RawData[Location],G6458,RawData[Transaction Date],H6458)</f>
        <v>1</v>
      </c>
      <c r="L6458"/>
    </row>
    <row r="6459" spans="1:12" x14ac:dyDescent="0.3">
      <c r="A6459" t="s">
        <v>6465</v>
      </c>
      <c r="B6459" t="s">
        <v>10010</v>
      </c>
      <c r="C6459">
        <v>4</v>
      </c>
      <c r="D6459">
        <v>1</v>
      </c>
      <c r="E6459">
        <v>4</v>
      </c>
      <c r="F6459" t="s">
        <v>10018</v>
      </c>
      <c r="G6459" t="s">
        <v>10102</v>
      </c>
      <c r="H6459" s="6" t="s">
        <v>10112</v>
      </c>
      <c r="I6459">
        <f t="shared" si="200"/>
        <v>1</v>
      </c>
      <c r="J6459" t="str">
        <f t="shared" si="201"/>
        <v>Incomplete</v>
      </c>
      <c r="K6459">
        <f>COUNTIFS(RawData[Item], B6459,RawData[Quantity],C6459,RawData[Price Per Unit],D6459,RawData[Total Spent],E6459,RawData[Payment Method],F6459,RawData[Location],G6459,RawData[Transaction Date],H6459)</f>
        <v>1</v>
      </c>
      <c r="L6459"/>
    </row>
    <row r="6460" spans="1:12" x14ac:dyDescent="0.3">
      <c r="A6460" t="s">
        <v>6466</v>
      </c>
      <c r="B6460" t="s">
        <v>10017</v>
      </c>
      <c r="C6460">
        <v>1</v>
      </c>
      <c r="D6460">
        <v>1.5</v>
      </c>
      <c r="E6460">
        <v>1.5</v>
      </c>
      <c r="F6460" t="s">
        <v>10104</v>
      </c>
      <c r="G6460" t="s">
        <v>10069</v>
      </c>
      <c r="H6460" s="6">
        <v>45199</v>
      </c>
      <c r="I6460">
        <f t="shared" si="200"/>
        <v>1</v>
      </c>
      <c r="J6460" t="str">
        <f t="shared" si="201"/>
        <v>Complete</v>
      </c>
      <c r="K6460">
        <f>COUNTIFS(RawData[Item], B6460,RawData[Quantity],C6460,RawData[Price Per Unit],D6460,RawData[Total Spent],E6460,RawData[Payment Method],F6460,RawData[Location],G6460,RawData[Transaction Date],H6460)</f>
        <v>1</v>
      </c>
      <c r="L6460"/>
    </row>
    <row r="6461" spans="1:12" x14ac:dyDescent="0.3">
      <c r="A6461" t="s">
        <v>6467</v>
      </c>
      <c r="B6461" t="s">
        <v>10014</v>
      </c>
      <c r="C6461">
        <v>2</v>
      </c>
      <c r="D6461">
        <v>4</v>
      </c>
      <c r="E6461">
        <v>8</v>
      </c>
      <c r="F6461" t="s">
        <v>10020</v>
      </c>
      <c r="G6461" t="s">
        <v>10021</v>
      </c>
      <c r="H6461" s="6">
        <v>45094</v>
      </c>
      <c r="I6461">
        <f t="shared" si="200"/>
        <v>0</v>
      </c>
      <c r="J6461" t="str">
        <f t="shared" si="201"/>
        <v>Complete</v>
      </c>
      <c r="K6461">
        <f>COUNTIFS(RawData[Item], B6461,RawData[Quantity],C6461,RawData[Price Per Unit],D6461,RawData[Total Spent],E6461,RawData[Payment Method],F6461,RawData[Location],G6461,RawData[Transaction Date],H6461)</f>
        <v>1</v>
      </c>
      <c r="L6461"/>
    </row>
    <row r="6462" spans="1:12" x14ac:dyDescent="0.3">
      <c r="A6462" t="s">
        <v>6468</v>
      </c>
      <c r="B6462" t="s">
        <v>10011</v>
      </c>
      <c r="C6462">
        <v>5</v>
      </c>
      <c r="D6462">
        <v>5</v>
      </c>
      <c r="E6462">
        <v>25</v>
      </c>
      <c r="F6462" t="s">
        <v>10020</v>
      </c>
      <c r="G6462" t="s">
        <v>10102</v>
      </c>
      <c r="H6462" s="6">
        <v>45249</v>
      </c>
      <c r="I6462">
        <f t="shared" si="200"/>
        <v>0</v>
      </c>
      <c r="J6462" t="str">
        <f t="shared" si="201"/>
        <v>Complete</v>
      </c>
      <c r="K6462">
        <f>COUNTIFS(RawData[Item], B6462,RawData[Quantity],C6462,RawData[Price Per Unit],D6462,RawData[Total Spent],E6462,RawData[Payment Method],F6462,RawData[Location],G6462,RawData[Transaction Date],H6462)</f>
        <v>1</v>
      </c>
      <c r="L6462"/>
    </row>
    <row r="6463" spans="1:12" x14ac:dyDescent="0.3">
      <c r="A6463" t="s">
        <v>6469</v>
      </c>
      <c r="B6463" t="s">
        <v>10014</v>
      </c>
      <c r="C6463">
        <v>1</v>
      </c>
      <c r="D6463">
        <v>4</v>
      </c>
      <c r="E6463">
        <v>4</v>
      </c>
      <c r="F6463" t="s">
        <v>10020</v>
      </c>
      <c r="G6463" t="s">
        <v>10021</v>
      </c>
      <c r="H6463" s="6" t="s">
        <v>10112</v>
      </c>
      <c r="I6463">
        <f t="shared" si="200"/>
        <v>1</v>
      </c>
      <c r="J6463" t="str">
        <f t="shared" si="201"/>
        <v>Incomplete</v>
      </c>
      <c r="K6463">
        <f>COUNTIFS(RawData[Item], B6463,RawData[Quantity],C6463,RawData[Price Per Unit],D6463,RawData[Total Spent],E6463,RawData[Payment Method],F6463,RawData[Location],G6463,RawData[Transaction Date],H6463)</f>
        <v>1</v>
      </c>
      <c r="L6463"/>
    </row>
    <row r="6464" spans="1:12" x14ac:dyDescent="0.3">
      <c r="A6464" t="s">
        <v>6470</v>
      </c>
      <c r="B6464" t="s">
        <v>10016</v>
      </c>
      <c r="C6464">
        <v>4</v>
      </c>
      <c r="D6464">
        <v>3</v>
      </c>
      <c r="E6464">
        <v>12</v>
      </c>
      <c r="F6464" t="s">
        <v>10020</v>
      </c>
      <c r="G6464" t="s">
        <v>10102</v>
      </c>
      <c r="H6464" s="6">
        <v>45080</v>
      </c>
      <c r="I6464">
        <f t="shared" si="200"/>
        <v>0</v>
      </c>
      <c r="J6464" t="str">
        <f t="shared" si="201"/>
        <v>Complete</v>
      </c>
      <c r="K6464">
        <f>COUNTIFS(RawData[Item], B6464,RawData[Quantity],C6464,RawData[Price Per Unit],D6464,RawData[Total Spent],E6464,RawData[Payment Method],F6464,RawData[Location],G6464,RawData[Transaction Date],H6464)</f>
        <v>1</v>
      </c>
      <c r="L6464"/>
    </row>
    <row r="6465" spans="1:12" x14ac:dyDescent="0.3">
      <c r="A6465" t="s">
        <v>6471</v>
      </c>
      <c r="B6465" t="s">
        <v>10010</v>
      </c>
      <c r="C6465">
        <v>1</v>
      </c>
      <c r="D6465">
        <v>1</v>
      </c>
      <c r="E6465">
        <v>1</v>
      </c>
      <c r="F6465" t="s">
        <v>10020</v>
      </c>
      <c r="G6465" t="s">
        <v>10102</v>
      </c>
      <c r="H6465" s="6">
        <v>45037</v>
      </c>
      <c r="I6465">
        <f t="shared" si="200"/>
        <v>0</v>
      </c>
      <c r="J6465" t="str">
        <f t="shared" si="201"/>
        <v>Complete</v>
      </c>
      <c r="K6465">
        <f>COUNTIFS(RawData[Item], B6465,RawData[Quantity],C6465,RawData[Price Per Unit],D6465,RawData[Total Spent],E6465,RawData[Payment Method],F6465,RawData[Location],G6465,RawData[Transaction Date],H6465)</f>
        <v>1</v>
      </c>
      <c r="L6465"/>
    </row>
    <row r="6466" spans="1:12" x14ac:dyDescent="0.3">
      <c r="A6466" t="s">
        <v>6472</v>
      </c>
      <c r="B6466" t="s">
        <v>10012</v>
      </c>
      <c r="C6466">
        <v>5</v>
      </c>
      <c r="D6466">
        <v>4</v>
      </c>
      <c r="E6466">
        <v>20</v>
      </c>
      <c r="F6466" t="s">
        <v>10018</v>
      </c>
      <c r="G6466" t="s">
        <v>10069</v>
      </c>
      <c r="H6466" s="6">
        <v>44992</v>
      </c>
      <c r="I6466">
        <f t="shared" ref="I6466:I6529" si="202">(B6466="Unknown")+(B6466="Error")+(C6466="Unknown")+(C6466="Error")+(D6466="Unknown")+(D6466="Error")+(E6466="Unknown")+(E6466="Error")+(F6466="Unknown")+(F6466="Error")+(G6466="Unknown")+(G6466="Error")+(H6466="No Date")</f>
        <v>0</v>
      </c>
      <c r="J6466" t="str">
        <f t="shared" ref="J6466:J6529" si="203">IF((H6466="No Date"),"Incomplete","Complete")</f>
        <v>Complete</v>
      </c>
      <c r="K6466">
        <f>COUNTIFS(RawData[Item], B6466,RawData[Quantity],C6466,RawData[Price Per Unit],D6466,RawData[Total Spent],E6466,RawData[Payment Method],F6466,RawData[Location],G6466,RawData[Transaction Date],H6466)</f>
        <v>1</v>
      </c>
      <c r="L6466"/>
    </row>
    <row r="6467" spans="1:12" x14ac:dyDescent="0.3">
      <c r="A6467" t="s">
        <v>6473</v>
      </c>
      <c r="B6467" t="s">
        <v>10009</v>
      </c>
      <c r="C6467">
        <v>2</v>
      </c>
      <c r="D6467">
        <v>3</v>
      </c>
      <c r="E6467">
        <v>6</v>
      </c>
      <c r="F6467" t="s">
        <v>10069</v>
      </c>
      <c r="G6467" t="s">
        <v>10102</v>
      </c>
      <c r="H6467" s="6">
        <v>45083</v>
      </c>
      <c r="I6467">
        <f t="shared" si="202"/>
        <v>0</v>
      </c>
      <c r="J6467" t="str">
        <f t="shared" si="203"/>
        <v>Complete</v>
      </c>
      <c r="K6467">
        <f>COUNTIFS(RawData[Item], B6467,RawData[Quantity],C6467,RawData[Price Per Unit],D6467,RawData[Total Spent],E6467,RawData[Payment Method],F6467,RawData[Location],G6467,RawData[Transaction Date],H6467)</f>
        <v>1</v>
      </c>
      <c r="L6467"/>
    </row>
    <row r="6468" spans="1:12" x14ac:dyDescent="0.3">
      <c r="A6468" t="s">
        <v>6474</v>
      </c>
      <c r="B6468" t="s">
        <v>10008</v>
      </c>
      <c r="C6468">
        <v>4</v>
      </c>
      <c r="D6468">
        <v>2</v>
      </c>
      <c r="E6468">
        <v>8</v>
      </c>
      <c r="F6468" t="s">
        <v>10069</v>
      </c>
      <c r="G6468" t="s">
        <v>10102</v>
      </c>
      <c r="H6468" s="6">
        <v>44947</v>
      </c>
      <c r="I6468">
        <f t="shared" si="202"/>
        <v>0</v>
      </c>
      <c r="J6468" t="str">
        <f t="shared" si="203"/>
        <v>Complete</v>
      </c>
      <c r="K6468">
        <f>COUNTIFS(RawData[Item], B6468,RawData[Quantity],C6468,RawData[Price Per Unit],D6468,RawData[Total Spent],E6468,RawData[Payment Method],F6468,RawData[Location],G6468,RawData[Transaction Date],H6468)</f>
        <v>1</v>
      </c>
      <c r="L6468"/>
    </row>
    <row r="6469" spans="1:12" x14ac:dyDescent="0.3">
      <c r="A6469" t="s">
        <v>6475</v>
      </c>
      <c r="B6469" t="s">
        <v>10014</v>
      </c>
      <c r="C6469">
        <v>4</v>
      </c>
      <c r="D6469">
        <v>4</v>
      </c>
      <c r="E6469">
        <v>16</v>
      </c>
      <c r="F6469" t="s">
        <v>10020</v>
      </c>
      <c r="G6469" t="s">
        <v>10069</v>
      </c>
      <c r="H6469" s="6">
        <v>45051</v>
      </c>
      <c r="I6469">
        <f t="shared" si="202"/>
        <v>0</v>
      </c>
      <c r="J6469" t="str">
        <f t="shared" si="203"/>
        <v>Complete</v>
      </c>
      <c r="K6469">
        <f>COUNTIFS(RawData[Item], B6469,RawData[Quantity],C6469,RawData[Price Per Unit],D6469,RawData[Total Spent],E6469,RawData[Payment Method],F6469,RawData[Location],G6469,RawData[Transaction Date],H6469)</f>
        <v>1</v>
      </c>
      <c r="L6469"/>
    </row>
    <row r="6470" spans="1:12" x14ac:dyDescent="0.3">
      <c r="A6470" t="s">
        <v>6476</v>
      </c>
      <c r="B6470" t="s">
        <v>10012</v>
      </c>
      <c r="C6470">
        <v>2</v>
      </c>
      <c r="D6470">
        <v>4</v>
      </c>
      <c r="E6470">
        <v>8</v>
      </c>
      <c r="F6470" t="s">
        <v>10069</v>
      </c>
      <c r="G6470" t="s">
        <v>10069</v>
      </c>
      <c r="H6470" s="6">
        <v>45171</v>
      </c>
      <c r="I6470">
        <f t="shared" si="202"/>
        <v>0</v>
      </c>
      <c r="J6470" t="str">
        <f t="shared" si="203"/>
        <v>Complete</v>
      </c>
      <c r="K6470">
        <f>COUNTIFS(RawData[Item], B6470,RawData[Quantity],C6470,RawData[Price Per Unit],D6470,RawData[Total Spent],E6470,RawData[Payment Method],F6470,RawData[Location],G6470,RawData[Transaction Date],H6470)</f>
        <v>1</v>
      </c>
      <c r="L6470"/>
    </row>
    <row r="6471" spans="1:12" x14ac:dyDescent="0.3">
      <c r="A6471" t="s">
        <v>6477</v>
      </c>
      <c r="B6471" t="s">
        <v>10011</v>
      </c>
      <c r="C6471">
        <v>2</v>
      </c>
      <c r="D6471">
        <v>5</v>
      </c>
      <c r="E6471">
        <v>10</v>
      </c>
      <c r="F6471" t="s">
        <v>10019</v>
      </c>
      <c r="G6471" t="s">
        <v>10069</v>
      </c>
      <c r="H6471" s="6">
        <v>45243</v>
      </c>
      <c r="I6471">
        <f t="shared" si="202"/>
        <v>0</v>
      </c>
      <c r="J6471" t="str">
        <f t="shared" si="203"/>
        <v>Complete</v>
      </c>
      <c r="K6471">
        <f>COUNTIFS(RawData[Item], B6471,RawData[Quantity],C6471,RawData[Price Per Unit],D6471,RawData[Total Spent],E6471,RawData[Payment Method],F6471,RawData[Location],G6471,RawData[Transaction Date],H6471)</f>
        <v>1</v>
      </c>
      <c r="L6471"/>
    </row>
    <row r="6472" spans="1:12" x14ac:dyDescent="0.3">
      <c r="A6472" t="s">
        <v>6478</v>
      </c>
      <c r="B6472" t="s">
        <v>10017</v>
      </c>
      <c r="C6472">
        <v>4</v>
      </c>
      <c r="D6472">
        <v>1.5</v>
      </c>
      <c r="E6472">
        <v>6</v>
      </c>
      <c r="F6472" t="s">
        <v>10069</v>
      </c>
      <c r="G6472" t="s">
        <v>10069</v>
      </c>
      <c r="H6472" s="6">
        <v>44985</v>
      </c>
      <c r="I6472">
        <f t="shared" si="202"/>
        <v>0</v>
      </c>
      <c r="J6472" t="str">
        <f t="shared" si="203"/>
        <v>Complete</v>
      </c>
      <c r="K6472">
        <f>COUNTIFS(RawData[Item], B6472,RawData[Quantity],C6472,RawData[Price Per Unit],D6472,RawData[Total Spent],E6472,RawData[Payment Method],F6472,RawData[Location],G6472,RawData[Transaction Date],H6472)</f>
        <v>1</v>
      </c>
      <c r="L6472"/>
    </row>
    <row r="6473" spans="1:12" x14ac:dyDescent="0.3">
      <c r="A6473" t="s">
        <v>6479</v>
      </c>
      <c r="B6473" t="s">
        <v>10010</v>
      </c>
      <c r="C6473">
        <v>3</v>
      </c>
      <c r="D6473">
        <v>1</v>
      </c>
      <c r="E6473">
        <v>3</v>
      </c>
      <c r="F6473" t="s">
        <v>10018</v>
      </c>
      <c r="G6473" t="s">
        <v>10102</v>
      </c>
      <c r="H6473" s="6">
        <v>44936</v>
      </c>
      <c r="I6473">
        <f t="shared" si="202"/>
        <v>0</v>
      </c>
      <c r="J6473" t="str">
        <f t="shared" si="203"/>
        <v>Complete</v>
      </c>
      <c r="K6473">
        <f>COUNTIFS(RawData[Item], B6473,RawData[Quantity],C6473,RawData[Price Per Unit],D6473,RawData[Total Spent],E6473,RawData[Payment Method],F6473,RawData[Location],G6473,RawData[Transaction Date],H6473)</f>
        <v>1</v>
      </c>
      <c r="L6473"/>
    </row>
    <row r="6474" spans="1:12" x14ac:dyDescent="0.3">
      <c r="A6474" t="s">
        <v>6480</v>
      </c>
      <c r="B6474" t="s">
        <v>10014</v>
      </c>
      <c r="C6474">
        <v>2</v>
      </c>
      <c r="D6474">
        <v>4</v>
      </c>
      <c r="E6474">
        <v>8</v>
      </c>
      <c r="F6474" t="s">
        <v>10019</v>
      </c>
      <c r="G6474" t="s">
        <v>10069</v>
      </c>
      <c r="H6474" s="6">
        <v>45245</v>
      </c>
      <c r="I6474">
        <f t="shared" si="202"/>
        <v>0</v>
      </c>
      <c r="J6474" t="str">
        <f t="shared" si="203"/>
        <v>Complete</v>
      </c>
      <c r="K6474">
        <f>COUNTIFS(RawData[Item], B6474,RawData[Quantity],C6474,RawData[Price Per Unit],D6474,RawData[Total Spent],E6474,RawData[Payment Method],F6474,RawData[Location],G6474,RawData[Transaction Date],H6474)</f>
        <v>1</v>
      </c>
      <c r="L6474"/>
    </row>
    <row r="6475" spans="1:12" x14ac:dyDescent="0.3">
      <c r="A6475" t="s">
        <v>6481</v>
      </c>
      <c r="B6475" t="s">
        <v>10015</v>
      </c>
      <c r="C6475">
        <v>4</v>
      </c>
      <c r="D6475">
        <v>5</v>
      </c>
      <c r="E6475">
        <v>20</v>
      </c>
      <c r="F6475" t="s">
        <v>10019</v>
      </c>
      <c r="G6475" t="s">
        <v>10069</v>
      </c>
      <c r="H6475" s="6">
        <v>44938</v>
      </c>
      <c r="I6475">
        <f t="shared" si="202"/>
        <v>1</v>
      </c>
      <c r="J6475" t="str">
        <f t="shared" si="203"/>
        <v>Complete</v>
      </c>
      <c r="K6475">
        <f>COUNTIFS(RawData[Item], B6475,RawData[Quantity],C6475,RawData[Price Per Unit],D6475,RawData[Total Spent],E6475,RawData[Payment Method],F6475,RawData[Location],G6475,RawData[Transaction Date],H6475)</f>
        <v>1</v>
      </c>
      <c r="L6475"/>
    </row>
    <row r="6476" spans="1:12" x14ac:dyDescent="0.3">
      <c r="A6476" t="s">
        <v>6482</v>
      </c>
      <c r="B6476" t="s">
        <v>10012</v>
      </c>
      <c r="C6476">
        <v>5</v>
      </c>
      <c r="D6476">
        <v>4</v>
      </c>
      <c r="E6476">
        <v>20</v>
      </c>
      <c r="F6476" t="s">
        <v>10018</v>
      </c>
      <c r="G6476" t="s">
        <v>10021</v>
      </c>
      <c r="H6476" s="6">
        <v>45193</v>
      </c>
      <c r="I6476">
        <f t="shared" si="202"/>
        <v>0</v>
      </c>
      <c r="J6476" t="str">
        <f t="shared" si="203"/>
        <v>Complete</v>
      </c>
      <c r="K6476">
        <f>COUNTIFS(RawData[Item], B6476,RawData[Quantity],C6476,RawData[Price Per Unit],D6476,RawData[Total Spent],E6476,RawData[Payment Method],F6476,RawData[Location],G6476,RawData[Transaction Date],H6476)</f>
        <v>1</v>
      </c>
      <c r="L6476"/>
    </row>
    <row r="6477" spans="1:12" x14ac:dyDescent="0.3">
      <c r="A6477" t="s">
        <v>6483</v>
      </c>
      <c r="B6477" t="s">
        <v>10011</v>
      </c>
      <c r="C6477">
        <v>3</v>
      </c>
      <c r="D6477">
        <v>5</v>
      </c>
      <c r="E6477">
        <v>15</v>
      </c>
      <c r="F6477" t="s">
        <v>10069</v>
      </c>
      <c r="G6477" t="s">
        <v>10021</v>
      </c>
      <c r="H6477" s="6">
        <v>44976</v>
      </c>
      <c r="I6477">
        <f t="shared" si="202"/>
        <v>0</v>
      </c>
      <c r="J6477" t="str">
        <f t="shared" si="203"/>
        <v>Complete</v>
      </c>
      <c r="K6477">
        <f>COUNTIFS(RawData[Item], B6477,RawData[Quantity],C6477,RawData[Price Per Unit],D6477,RawData[Total Spent],E6477,RawData[Payment Method],F6477,RawData[Location],G6477,RawData[Transaction Date],H6477)</f>
        <v>1</v>
      </c>
      <c r="L6477"/>
    </row>
    <row r="6478" spans="1:12" x14ac:dyDescent="0.3">
      <c r="A6478" t="s">
        <v>6484</v>
      </c>
      <c r="B6478" t="s">
        <v>10014</v>
      </c>
      <c r="C6478">
        <v>1</v>
      </c>
      <c r="D6478">
        <v>4</v>
      </c>
      <c r="E6478">
        <v>0</v>
      </c>
      <c r="F6478" t="s">
        <v>10069</v>
      </c>
      <c r="G6478" t="s">
        <v>10102</v>
      </c>
      <c r="H6478" s="6">
        <v>45154</v>
      </c>
      <c r="I6478">
        <f t="shared" si="202"/>
        <v>0</v>
      </c>
      <c r="J6478" t="str">
        <f t="shared" si="203"/>
        <v>Complete</v>
      </c>
      <c r="K6478">
        <f>COUNTIFS(RawData[Item], B6478,RawData[Quantity],C6478,RawData[Price Per Unit],D6478,RawData[Total Spent],E6478,RawData[Payment Method],F6478,RawData[Location],G6478,RawData[Transaction Date],H6478)</f>
        <v>1</v>
      </c>
      <c r="L6478"/>
    </row>
    <row r="6479" spans="1:12" x14ac:dyDescent="0.3">
      <c r="A6479" t="s">
        <v>6485</v>
      </c>
      <c r="B6479" t="s">
        <v>10014</v>
      </c>
      <c r="C6479">
        <v>2</v>
      </c>
      <c r="D6479">
        <v>4</v>
      </c>
      <c r="E6479">
        <v>8</v>
      </c>
      <c r="F6479" t="s">
        <v>10019</v>
      </c>
      <c r="G6479" t="s">
        <v>10069</v>
      </c>
      <c r="H6479" s="6">
        <v>45231</v>
      </c>
      <c r="I6479">
        <f t="shared" si="202"/>
        <v>0</v>
      </c>
      <c r="J6479" t="str">
        <f t="shared" si="203"/>
        <v>Complete</v>
      </c>
      <c r="K6479">
        <f>COUNTIFS(RawData[Item], B6479,RawData[Quantity],C6479,RawData[Price Per Unit],D6479,RawData[Total Spent],E6479,RawData[Payment Method],F6479,RawData[Location],G6479,RawData[Transaction Date],H6479)</f>
        <v>1</v>
      </c>
      <c r="L6479"/>
    </row>
    <row r="6480" spans="1:12" x14ac:dyDescent="0.3">
      <c r="A6480" t="s">
        <v>6486</v>
      </c>
      <c r="B6480" t="s">
        <v>10017</v>
      </c>
      <c r="C6480">
        <v>4</v>
      </c>
      <c r="D6480">
        <v>1.5</v>
      </c>
      <c r="E6480">
        <v>6</v>
      </c>
      <c r="F6480" t="s">
        <v>10069</v>
      </c>
      <c r="G6480" t="s">
        <v>10069</v>
      </c>
      <c r="H6480" s="6">
        <v>45107</v>
      </c>
      <c r="I6480">
        <f t="shared" si="202"/>
        <v>0</v>
      </c>
      <c r="J6480" t="str">
        <f t="shared" si="203"/>
        <v>Complete</v>
      </c>
      <c r="K6480">
        <f>COUNTIFS(RawData[Item], B6480,RawData[Quantity],C6480,RawData[Price Per Unit],D6480,RawData[Total Spent],E6480,RawData[Payment Method],F6480,RawData[Location],G6480,RawData[Transaction Date],H6480)</f>
        <v>1</v>
      </c>
      <c r="L6480"/>
    </row>
    <row r="6481" spans="1:12" x14ac:dyDescent="0.3">
      <c r="A6481" t="s">
        <v>6487</v>
      </c>
      <c r="B6481" t="s">
        <v>10012</v>
      </c>
      <c r="C6481">
        <v>4</v>
      </c>
      <c r="D6481">
        <v>4</v>
      </c>
      <c r="E6481">
        <v>16</v>
      </c>
      <c r="F6481" t="s">
        <v>10019</v>
      </c>
      <c r="G6481" t="s">
        <v>10103</v>
      </c>
      <c r="H6481" s="6">
        <v>45005</v>
      </c>
      <c r="I6481">
        <f t="shared" si="202"/>
        <v>1</v>
      </c>
      <c r="J6481" t="str">
        <f t="shared" si="203"/>
        <v>Complete</v>
      </c>
      <c r="K6481">
        <f>COUNTIFS(RawData[Item], B6481,RawData[Quantity],C6481,RawData[Price Per Unit],D6481,RawData[Total Spent],E6481,RawData[Payment Method],F6481,RawData[Location],G6481,RawData[Transaction Date],H6481)</f>
        <v>1</v>
      </c>
      <c r="L6481"/>
    </row>
    <row r="6482" spans="1:12" x14ac:dyDescent="0.3">
      <c r="A6482" t="s">
        <v>6488</v>
      </c>
      <c r="B6482" t="s">
        <v>10013</v>
      </c>
      <c r="C6482">
        <v>5</v>
      </c>
      <c r="D6482">
        <v>1</v>
      </c>
      <c r="E6482">
        <v>5</v>
      </c>
      <c r="F6482" t="s">
        <v>10019</v>
      </c>
      <c r="G6482" t="s">
        <v>10104</v>
      </c>
      <c r="H6482" s="6">
        <v>45030</v>
      </c>
      <c r="I6482">
        <f t="shared" si="202"/>
        <v>2</v>
      </c>
      <c r="J6482" t="str">
        <f t="shared" si="203"/>
        <v>Complete</v>
      </c>
      <c r="K6482">
        <f>COUNTIFS(RawData[Item], B6482,RawData[Quantity],C6482,RawData[Price Per Unit],D6482,RawData[Total Spent],E6482,RawData[Payment Method],F6482,RawData[Location],G6482,RawData[Transaction Date],H6482)</f>
        <v>1</v>
      </c>
      <c r="L6482"/>
    </row>
    <row r="6483" spans="1:12" x14ac:dyDescent="0.3">
      <c r="A6483" t="s">
        <v>6489</v>
      </c>
      <c r="B6483" t="s">
        <v>10010</v>
      </c>
      <c r="C6483">
        <v>5</v>
      </c>
      <c r="D6483">
        <v>1</v>
      </c>
      <c r="E6483">
        <v>5</v>
      </c>
      <c r="F6483" t="s">
        <v>10018</v>
      </c>
      <c r="G6483" t="s">
        <v>10069</v>
      </c>
      <c r="H6483" s="6">
        <v>45188</v>
      </c>
      <c r="I6483">
        <f t="shared" si="202"/>
        <v>0</v>
      </c>
      <c r="J6483" t="str">
        <f t="shared" si="203"/>
        <v>Complete</v>
      </c>
      <c r="K6483">
        <f>COUNTIFS(RawData[Item], B6483,RawData[Quantity],C6483,RawData[Price Per Unit],D6483,RawData[Total Spent],E6483,RawData[Payment Method],F6483,RawData[Location],G6483,RawData[Transaction Date],H6483)</f>
        <v>1</v>
      </c>
      <c r="L6483"/>
    </row>
    <row r="6484" spans="1:12" x14ac:dyDescent="0.3">
      <c r="A6484" t="s">
        <v>6490</v>
      </c>
      <c r="B6484" t="s">
        <v>10015</v>
      </c>
      <c r="C6484">
        <v>1</v>
      </c>
      <c r="D6484">
        <v>3</v>
      </c>
      <c r="E6484">
        <v>3</v>
      </c>
      <c r="F6484" t="s">
        <v>10103</v>
      </c>
      <c r="G6484" t="s">
        <v>10102</v>
      </c>
      <c r="H6484" s="6">
        <v>45050</v>
      </c>
      <c r="I6484">
        <f t="shared" si="202"/>
        <v>2</v>
      </c>
      <c r="J6484" t="str">
        <f t="shared" si="203"/>
        <v>Complete</v>
      </c>
      <c r="K6484">
        <f>COUNTIFS(RawData[Item], B6484,RawData[Quantity],C6484,RawData[Price Per Unit],D6484,RawData[Total Spent],E6484,RawData[Payment Method],F6484,RawData[Location],G6484,RawData[Transaction Date],H6484)</f>
        <v>1</v>
      </c>
      <c r="L6484"/>
    </row>
    <row r="6485" spans="1:12" x14ac:dyDescent="0.3">
      <c r="A6485" t="s">
        <v>6491</v>
      </c>
      <c r="B6485" t="s">
        <v>10011</v>
      </c>
      <c r="C6485">
        <v>2</v>
      </c>
      <c r="D6485">
        <v>5</v>
      </c>
      <c r="E6485">
        <v>10</v>
      </c>
      <c r="F6485" t="s">
        <v>10019</v>
      </c>
      <c r="G6485" t="s">
        <v>10069</v>
      </c>
      <c r="H6485" s="6">
        <v>45092</v>
      </c>
      <c r="I6485">
        <f t="shared" si="202"/>
        <v>0</v>
      </c>
      <c r="J6485" t="str">
        <f t="shared" si="203"/>
        <v>Complete</v>
      </c>
      <c r="K6485">
        <f>COUNTIFS(RawData[Item], B6485,RawData[Quantity],C6485,RawData[Price Per Unit],D6485,RawData[Total Spent],E6485,RawData[Payment Method],F6485,RawData[Location],G6485,RawData[Transaction Date],H6485)</f>
        <v>1</v>
      </c>
      <c r="L6485"/>
    </row>
    <row r="6486" spans="1:12" x14ac:dyDescent="0.3">
      <c r="A6486" t="s">
        <v>6492</v>
      </c>
      <c r="B6486" t="s">
        <v>10017</v>
      </c>
      <c r="C6486">
        <v>2</v>
      </c>
      <c r="D6486">
        <v>1.5</v>
      </c>
      <c r="E6486">
        <v>3</v>
      </c>
      <c r="F6486" t="s">
        <v>10019</v>
      </c>
      <c r="G6486" t="s">
        <v>10103</v>
      </c>
      <c r="H6486" s="6">
        <v>45024</v>
      </c>
      <c r="I6486">
        <f t="shared" si="202"/>
        <v>1</v>
      </c>
      <c r="J6486" t="str">
        <f t="shared" si="203"/>
        <v>Complete</v>
      </c>
      <c r="K6486">
        <f>COUNTIFS(RawData[Item], B6486,RawData[Quantity],C6486,RawData[Price Per Unit],D6486,RawData[Total Spent],E6486,RawData[Payment Method],F6486,RawData[Location],G6486,RawData[Transaction Date],H6486)</f>
        <v>1</v>
      </c>
      <c r="L6486"/>
    </row>
    <row r="6487" spans="1:12" x14ac:dyDescent="0.3">
      <c r="A6487" t="s">
        <v>6493</v>
      </c>
      <c r="B6487" t="s">
        <v>10014</v>
      </c>
      <c r="C6487">
        <v>1</v>
      </c>
      <c r="D6487">
        <v>4</v>
      </c>
      <c r="E6487">
        <v>4</v>
      </c>
      <c r="F6487" t="s">
        <v>10020</v>
      </c>
      <c r="G6487" t="s">
        <v>10102</v>
      </c>
      <c r="H6487" s="6">
        <v>45253</v>
      </c>
      <c r="I6487">
        <f t="shared" si="202"/>
        <v>0</v>
      </c>
      <c r="J6487" t="str">
        <f t="shared" si="203"/>
        <v>Complete</v>
      </c>
      <c r="K6487">
        <f>COUNTIFS(RawData[Item], B6487,RawData[Quantity],C6487,RawData[Price Per Unit],D6487,RawData[Total Spent],E6487,RawData[Payment Method],F6487,RawData[Location],G6487,RawData[Transaction Date],H6487)</f>
        <v>1</v>
      </c>
      <c r="L6487"/>
    </row>
    <row r="6488" spans="1:12" x14ac:dyDescent="0.3">
      <c r="A6488" t="s">
        <v>6494</v>
      </c>
      <c r="B6488" t="s">
        <v>10017</v>
      </c>
      <c r="C6488">
        <v>3</v>
      </c>
      <c r="D6488">
        <v>1.5</v>
      </c>
      <c r="E6488">
        <v>4.5</v>
      </c>
      <c r="F6488" t="s">
        <v>10019</v>
      </c>
      <c r="G6488" t="s">
        <v>10102</v>
      </c>
      <c r="H6488" s="6">
        <v>45121</v>
      </c>
      <c r="I6488">
        <f t="shared" si="202"/>
        <v>0</v>
      </c>
      <c r="J6488" t="str">
        <f t="shared" si="203"/>
        <v>Complete</v>
      </c>
      <c r="K6488">
        <f>COUNTIFS(RawData[Item], B6488,RawData[Quantity],C6488,RawData[Price Per Unit],D6488,RawData[Total Spent],E6488,RawData[Payment Method],F6488,RawData[Location],G6488,RawData[Transaction Date],H6488)</f>
        <v>1</v>
      </c>
      <c r="L6488"/>
    </row>
    <row r="6489" spans="1:12" x14ac:dyDescent="0.3">
      <c r="A6489" t="s">
        <v>6495</v>
      </c>
      <c r="B6489" t="s">
        <v>10012</v>
      </c>
      <c r="C6489">
        <v>3</v>
      </c>
      <c r="D6489">
        <v>4</v>
      </c>
      <c r="E6489">
        <v>12</v>
      </c>
      <c r="F6489" t="s">
        <v>10069</v>
      </c>
      <c r="G6489" t="s">
        <v>10021</v>
      </c>
      <c r="H6489" s="6">
        <v>45022</v>
      </c>
      <c r="I6489">
        <f t="shared" si="202"/>
        <v>0</v>
      </c>
      <c r="J6489" t="str">
        <f t="shared" si="203"/>
        <v>Complete</v>
      </c>
      <c r="K6489">
        <f>COUNTIFS(RawData[Item], B6489,RawData[Quantity],C6489,RawData[Price Per Unit],D6489,RawData[Total Spent],E6489,RawData[Payment Method],F6489,RawData[Location],G6489,RawData[Transaction Date],H6489)</f>
        <v>1</v>
      </c>
      <c r="L6489"/>
    </row>
    <row r="6490" spans="1:12" x14ac:dyDescent="0.3">
      <c r="A6490" t="s">
        <v>6496</v>
      </c>
      <c r="B6490" t="s">
        <v>10013</v>
      </c>
      <c r="C6490">
        <v>4</v>
      </c>
      <c r="D6490">
        <v>3</v>
      </c>
      <c r="E6490">
        <v>12</v>
      </c>
      <c r="F6490" t="s">
        <v>10020</v>
      </c>
      <c r="G6490" t="s">
        <v>10102</v>
      </c>
      <c r="H6490" s="6">
        <v>45156</v>
      </c>
      <c r="I6490">
        <f t="shared" si="202"/>
        <v>1</v>
      </c>
      <c r="J6490" t="str">
        <f t="shared" si="203"/>
        <v>Complete</v>
      </c>
      <c r="K6490">
        <f>COUNTIFS(RawData[Item], B6490,RawData[Quantity],C6490,RawData[Price Per Unit],D6490,RawData[Total Spent],E6490,RawData[Payment Method],F6490,RawData[Location],G6490,RawData[Transaction Date],H6490)</f>
        <v>1</v>
      </c>
      <c r="L6490"/>
    </row>
    <row r="6491" spans="1:12" x14ac:dyDescent="0.3">
      <c r="A6491" t="s">
        <v>6497</v>
      </c>
      <c r="B6491" t="s">
        <v>10069</v>
      </c>
      <c r="C6491">
        <v>5</v>
      </c>
      <c r="D6491">
        <v>1.5</v>
      </c>
      <c r="E6491">
        <v>7.5</v>
      </c>
      <c r="F6491" t="s">
        <v>10069</v>
      </c>
      <c r="G6491" t="s">
        <v>10021</v>
      </c>
      <c r="H6491" s="6">
        <v>44931</v>
      </c>
      <c r="I6491">
        <f t="shared" si="202"/>
        <v>0</v>
      </c>
      <c r="J6491" t="str">
        <f t="shared" si="203"/>
        <v>Complete</v>
      </c>
      <c r="K6491">
        <f>COUNTIFS(RawData[Item], B6491,RawData[Quantity],C6491,RawData[Price Per Unit],D6491,RawData[Total Spent],E6491,RawData[Payment Method],F6491,RawData[Location],G6491,RawData[Transaction Date],H6491)</f>
        <v>1</v>
      </c>
      <c r="L6491"/>
    </row>
    <row r="6492" spans="1:12" x14ac:dyDescent="0.3">
      <c r="A6492" t="s">
        <v>6498</v>
      </c>
      <c r="B6492" t="s">
        <v>10069</v>
      </c>
      <c r="C6492">
        <v>2</v>
      </c>
      <c r="D6492">
        <v>1.5</v>
      </c>
      <c r="E6492">
        <v>3</v>
      </c>
      <c r="F6492" t="s">
        <v>10020</v>
      </c>
      <c r="G6492" t="s">
        <v>10069</v>
      </c>
      <c r="H6492" s="6">
        <v>45212</v>
      </c>
      <c r="I6492">
        <f t="shared" si="202"/>
        <v>0</v>
      </c>
      <c r="J6492" t="str">
        <f t="shared" si="203"/>
        <v>Complete</v>
      </c>
      <c r="K6492">
        <f>COUNTIFS(RawData[Item], B6492,RawData[Quantity],C6492,RawData[Price Per Unit],D6492,RawData[Total Spent],E6492,RawData[Payment Method],F6492,RawData[Location],G6492,RawData[Transaction Date],H6492)</f>
        <v>1</v>
      </c>
      <c r="L6492"/>
    </row>
    <row r="6493" spans="1:12" x14ac:dyDescent="0.3">
      <c r="A6493" t="s">
        <v>6499</v>
      </c>
      <c r="B6493" t="s">
        <v>10017</v>
      </c>
      <c r="C6493">
        <v>3</v>
      </c>
      <c r="D6493">
        <v>1.5</v>
      </c>
      <c r="E6493">
        <v>4.5</v>
      </c>
      <c r="F6493" t="s">
        <v>10019</v>
      </c>
      <c r="G6493" t="s">
        <v>10021</v>
      </c>
      <c r="H6493" s="6">
        <v>45025</v>
      </c>
      <c r="I6493">
        <f t="shared" si="202"/>
        <v>0</v>
      </c>
      <c r="J6493" t="str">
        <f t="shared" si="203"/>
        <v>Complete</v>
      </c>
      <c r="K6493">
        <f>COUNTIFS(RawData[Item], B6493,RawData[Quantity],C6493,RawData[Price Per Unit],D6493,RawData[Total Spent],E6493,RawData[Payment Method],F6493,RawData[Location],G6493,RawData[Transaction Date],H6493)</f>
        <v>1</v>
      </c>
      <c r="L6493"/>
    </row>
    <row r="6494" spans="1:12" x14ac:dyDescent="0.3">
      <c r="A6494" t="s">
        <v>6500</v>
      </c>
      <c r="B6494" t="s">
        <v>10009</v>
      </c>
      <c r="C6494" t="s">
        <v>10015</v>
      </c>
      <c r="D6494">
        <v>3</v>
      </c>
      <c r="E6494">
        <v>3</v>
      </c>
      <c r="F6494" t="s">
        <v>10020</v>
      </c>
      <c r="G6494" t="s">
        <v>10069</v>
      </c>
      <c r="H6494" s="6">
        <v>45155</v>
      </c>
      <c r="I6494">
        <f t="shared" si="202"/>
        <v>1</v>
      </c>
      <c r="J6494" t="str">
        <f t="shared" si="203"/>
        <v>Complete</v>
      </c>
      <c r="K6494">
        <f>COUNTIFS(RawData[Item], B6494,RawData[Quantity],C6494,RawData[Price Per Unit],D6494,RawData[Total Spent],E6494,RawData[Payment Method],F6494,RawData[Location],G6494,RawData[Transaction Date],H6494)</f>
        <v>1</v>
      </c>
      <c r="L6494"/>
    </row>
    <row r="6495" spans="1:12" x14ac:dyDescent="0.3">
      <c r="A6495" t="s">
        <v>6501</v>
      </c>
      <c r="B6495" t="s">
        <v>10013</v>
      </c>
      <c r="C6495">
        <v>4</v>
      </c>
      <c r="D6495">
        <v>1.5</v>
      </c>
      <c r="E6495">
        <v>6</v>
      </c>
      <c r="F6495" t="s">
        <v>10018</v>
      </c>
      <c r="G6495" t="s">
        <v>10069</v>
      </c>
      <c r="H6495" s="6">
        <v>45285</v>
      </c>
      <c r="I6495">
        <f t="shared" si="202"/>
        <v>1</v>
      </c>
      <c r="J6495" t="str">
        <f t="shared" si="203"/>
        <v>Complete</v>
      </c>
      <c r="K6495">
        <f>COUNTIFS(RawData[Item], B6495,RawData[Quantity],C6495,RawData[Price Per Unit],D6495,RawData[Total Spent],E6495,RawData[Payment Method],F6495,RawData[Location],G6495,RawData[Transaction Date],H6495)</f>
        <v>1</v>
      </c>
      <c r="L6495"/>
    </row>
    <row r="6496" spans="1:12" x14ac:dyDescent="0.3">
      <c r="A6496" t="s">
        <v>6502</v>
      </c>
      <c r="B6496" t="s">
        <v>10017</v>
      </c>
      <c r="C6496">
        <v>5</v>
      </c>
      <c r="D6496">
        <v>1.5</v>
      </c>
      <c r="E6496">
        <v>7.5</v>
      </c>
      <c r="F6496" t="s">
        <v>10069</v>
      </c>
      <c r="G6496" t="s">
        <v>10021</v>
      </c>
      <c r="H6496" s="6">
        <v>44967</v>
      </c>
      <c r="I6496">
        <f t="shared" si="202"/>
        <v>0</v>
      </c>
      <c r="J6496" t="str">
        <f t="shared" si="203"/>
        <v>Complete</v>
      </c>
      <c r="K6496">
        <f>COUNTIFS(RawData[Item], B6496,RawData[Quantity],C6496,RawData[Price Per Unit],D6496,RawData[Total Spent],E6496,RawData[Payment Method],F6496,RawData[Location],G6496,RawData[Transaction Date],H6496)</f>
        <v>1</v>
      </c>
      <c r="L6496"/>
    </row>
    <row r="6497" spans="1:12" x14ac:dyDescent="0.3">
      <c r="A6497" t="s">
        <v>6503</v>
      </c>
      <c r="B6497" t="s">
        <v>10008</v>
      </c>
      <c r="C6497">
        <v>2</v>
      </c>
      <c r="D6497">
        <v>2</v>
      </c>
      <c r="E6497">
        <v>4</v>
      </c>
      <c r="F6497" t="s">
        <v>10018</v>
      </c>
      <c r="G6497" t="s">
        <v>10102</v>
      </c>
      <c r="H6497" s="6">
        <v>44935</v>
      </c>
      <c r="I6497">
        <f t="shared" si="202"/>
        <v>0</v>
      </c>
      <c r="J6497" t="str">
        <f t="shared" si="203"/>
        <v>Complete</v>
      </c>
      <c r="K6497">
        <f>COUNTIFS(RawData[Item], B6497,RawData[Quantity],C6497,RawData[Price Per Unit],D6497,RawData[Total Spent],E6497,RawData[Payment Method],F6497,RawData[Location],G6497,RawData[Transaction Date],H6497)</f>
        <v>1</v>
      </c>
      <c r="L6497"/>
    </row>
    <row r="6498" spans="1:12" x14ac:dyDescent="0.3">
      <c r="A6498" t="s">
        <v>6504</v>
      </c>
      <c r="B6498" t="s">
        <v>10012</v>
      </c>
      <c r="C6498">
        <v>1</v>
      </c>
      <c r="D6498">
        <v>4</v>
      </c>
      <c r="E6498">
        <v>4</v>
      </c>
      <c r="F6498" t="s">
        <v>10018</v>
      </c>
      <c r="G6498" t="s">
        <v>10102</v>
      </c>
      <c r="H6498" s="6">
        <v>45117</v>
      </c>
      <c r="I6498">
        <f t="shared" si="202"/>
        <v>0</v>
      </c>
      <c r="J6498" t="str">
        <f t="shared" si="203"/>
        <v>Complete</v>
      </c>
      <c r="K6498">
        <f>COUNTIFS(RawData[Item], B6498,RawData[Quantity],C6498,RawData[Price Per Unit],D6498,RawData[Total Spent],E6498,RawData[Payment Method],F6498,RawData[Location],G6498,RawData[Transaction Date],H6498)</f>
        <v>1</v>
      </c>
      <c r="L6498"/>
    </row>
    <row r="6499" spans="1:12" x14ac:dyDescent="0.3">
      <c r="A6499" t="s">
        <v>6505</v>
      </c>
      <c r="B6499" t="s">
        <v>10012</v>
      </c>
      <c r="C6499">
        <v>3</v>
      </c>
      <c r="D6499">
        <v>4</v>
      </c>
      <c r="E6499">
        <v>12</v>
      </c>
      <c r="F6499" t="s">
        <v>10069</v>
      </c>
      <c r="G6499" t="s">
        <v>10102</v>
      </c>
      <c r="H6499" s="6">
        <v>44958</v>
      </c>
      <c r="I6499">
        <f t="shared" si="202"/>
        <v>0</v>
      </c>
      <c r="J6499" t="str">
        <f t="shared" si="203"/>
        <v>Complete</v>
      </c>
      <c r="K6499">
        <f>COUNTIFS(RawData[Item], B6499,RawData[Quantity],C6499,RawData[Price Per Unit],D6499,RawData[Total Spent],E6499,RawData[Payment Method],F6499,RawData[Location],G6499,RawData[Transaction Date],H6499)</f>
        <v>1</v>
      </c>
      <c r="L6499"/>
    </row>
    <row r="6500" spans="1:12" x14ac:dyDescent="0.3">
      <c r="A6500" t="s">
        <v>6506</v>
      </c>
      <c r="B6500" t="s">
        <v>10008</v>
      </c>
      <c r="C6500">
        <v>4</v>
      </c>
      <c r="D6500">
        <v>2</v>
      </c>
      <c r="E6500">
        <v>8</v>
      </c>
      <c r="F6500" t="s">
        <v>10069</v>
      </c>
      <c r="G6500" t="s">
        <v>10069</v>
      </c>
      <c r="H6500" s="6">
        <v>45164</v>
      </c>
      <c r="I6500">
        <f t="shared" si="202"/>
        <v>0</v>
      </c>
      <c r="J6500" t="str">
        <f t="shared" si="203"/>
        <v>Complete</v>
      </c>
      <c r="K6500">
        <f>COUNTIFS(RawData[Item], B6500,RawData[Quantity],C6500,RawData[Price Per Unit],D6500,RawData[Total Spent],E6500,RawData[Payment Method],F6500,RawData[Location],G6500,RawData[Transaction Date],H6500)</f>
        <v>1</v>
      </c>
      <c r="L6500"/>
    </row>
    <row r="6501" spans="1:12" x14ac:dyDescent="0.3">
      <c r="A6501" t="s">
        <v>6507</v>
      </c>
      <c r="B6501" t="s">
        <v>10012</v>
      </c>
      <c r="C6501">
        <v>4</v>
      </c>
      <c r="D6501">
        <v>4</v>
      </c>
      <c r="E6501">
        <v>16</v>
      </c>
      <c r="F6501" t="s">
        <v>10019</v>
      </c>
      <c r="G6501" t="s">
        <v>10021</v>
      </c>
      <c r="H6501" s="6">
        <v>45078</v>
      </c>
      <c r="I6501">
        <f t="shared" si="202"/>
        <v>0</v>
      </c>
      <c r="J6501" t="str">
        <f t="shared" si="203"/>
        <v>Complete</v>
      </c>
      <c r="K6501">
        <f>COUNTIFS(RawData[Item], B6501,RawData[Quantity],C6501,RawData[Price Per Unit],D6501,RawData[Total Spent],E6501,RawData[Payment Method],F6501,RawData[Location],G6501,RawData[Transaction Date],H6501)</f>
        <v>1</v>
      </c>
      <c r="L6501"/>
    </row>
    <row r="6502" spans="1:12" x14ac:dyDescent="0.3">
      <c r="A6502" t="s">
        <v>6508</v>
      </c>
      <c r="B6502" t="s">
        <v>10013</v>
      </c>
      <c r="C6502">
        <v>4</v>
      </c>
      <c r="D6502">
        <v>3</v>
      </c>
      <c r="E6502">
        <v>12</v>
      </c>
      <c r="F6502" t="s">
        <v>10019</v>
      </c>
      <c r="G6502" t="s">
        <v>10021</v>
      </c>
      <c r="H6502" s="6">
        <v>45281</v>
      </c>
      <c r="I6502">
        <f t="shared" si="202"/>
        <v>1</v>
      </c>
      <c r="J6502" t="str">
        <f t="shared" si="203"/>
        <v>Complete</v>
      </c>
      <c r="K6502">
        <f>COUNTIFS(RawData[Item], B6502,RawData[Quantity],C6502,RawData[Price Per Unit],D6502,RawData[Total Spent],E6502,RawData[Payment Method],F6502,RawData[Location],G6502,RawData[Transaction Date],H6502)</f>
        <v>1</v>
      </c>
      <c r="L6502"/>
    </row>
    <row r="6503" spans="1:12" x14ac:dyDescent="0.3">
      <c r="A6503" t="s">
        <v>6509</v>
      </c>
      <c r="B6503" t="s">
        <v>10008</v>
      </c>
      <c r="C6503">
        <v>2</v>
      </c>
      <c r="D6503">
        <v>2</v>
      </c>
      <c r="E6503">
        <v>4</v>
      </c>
      <c r="F6503" t="s">
        <v>10020</v>
      </c>
      <c r="G6503" t="s">
        <v>10103</v>
      </c>
      <c r="H6503" s="6">
        <v>45259</v>
      </c>
      <c r="I6503">
        <f t="shared" si="202"/>
        <v>1</v>
      </c>
      <c r="J6503" t="str">
        <f t="shared" si="203"/>
        <v>Complete</v>
      </c>
      <c r="K6503">
        <f>COUNTIFS(RawData[Item], B6503,RawData[Quantity],C6503,RawData[Price Per Unit],D6503,RawData[Total Spent],E6503,RawData[Payment Method],F6503,RawData[Location],G6503,RawData[Transaction Date],H6503)</f>
        <v>1</v>
      </c>
      <c r="L6503"/>
    </row>
    <row r="6504" spans="1:12" x14ac:dyDescent="0.3">
      <c r="A6504" t="s">
        <v>6510</v>
      </c>
      <c r="B6504" t="s">
        <v>10016</v>
      </c>
      <c r="C6504">
        <v>3</v>
      </c>
      <c r="D6504">
        <v>3</v>
      </c>
      <c r="E6504">
        <v>9</v>
      </c>
      <c r="F6504" t="s">
        <v>10020</v>
      </c>
      <c r="G6504" t="s">
        <v>10102</v>
      </c>
      <c r="H6504" s="6">
        <v>45149</v>
      </c>
      <c r="I6504">
        <f t="shared" si="202"/>
        <v>0</v>
      </c>
      <c r="J6504" t="str">
        <f t="shared" si="203"/>
        <v>Complete</v>
      </c>
      <c r="K6504">
        <f>COUNTIFS(RawData[Item], B6504,RawData[Quantity],C6504,RawData[Price Per Unit],D6504,RawData[Total Spent],E6504,RawData[Payment Method],F6504,RawData[Location],G6504,RawData[Transaction Date],H6504)</f>
        <v>1</v>
      </c>
      <c r="L6504"/>
    </row>
    <row r="6505" spans="1:12" x14ac:dyDescent="0.3">
      <c r="A6505" t="s">
        <v>6511</v>
      </c>
      <c r="B6505" t="s">
        <v>10011</v>
      </c>
      <c r="C6505">
        <v>4</v>
      </c>
      <c r="D6505">
        <v>5</v>
      </c>
      <c r="E6505">
        <v>20</v>
      </c>
      <c r="F6505" t="s">
        <v>10069</v>
      </c>
      <c r="G6505" t="s">
        <v>10021</v>
      </c>
      <c r="H6505" s="6">
        <v>44938</v>
      </c>
      <c r="I6505">
        <f t="shared" si="202"/>
        <v>0</v>
      </c>
      <c r="J6505" t="str">
        <f t="shared" si="203"/>
        <v>Complete</v>
      </c>
      <c r="K6505">
        <f>COUNTIFS(RawData[Item], B6505,RawData[Quantity],C6505,RawData[Price Per Unit],D6505,RawData[Total Spent],E6505,RawData[Payment Method],F6505,RawData[Location],G6505,RawData[Transaction Date],H6505)</f>
        <v>1</v>
      </c>
      <c r="L6505"/>
    </row>
    <row r="6506" spans="1:12" x14ac:dyDescent="0.3">
      <c r="A6506" t="s">
        <v>6512</v>
      </c>
      <c r="B6506" t="s">
        <v>10012</v>
      </c>
      <c r="C6506">
        <v>2</v>
      </c>
      <c r="D6506">
        <v>4</v>
      </c>
      <c r="E6506">
        <v>8</v>
      </c>
      <c r="F6506" t="s">
        <v>10069</v>
      </c>
      <c r="G6506" t="s">
        <v>10069</v>
      </c>
      <c r="H6506" s="6">
        <v>45184</v>
      </c>
      <c r="I6506">
        <f t="shared" si="202"/>
        <v>0</v>
      </c>
      <c r="J6506" t="str">
        <f t="shared" si="203"/>
        <v>Complete</v>
      </c>
      <c r="K6506">
        <f>COUNTIFS(RawData[Item], B6506,RawData[Quantity],C6506,RawData[Price Per Unit],D6506,RawData[Total Spent],E6506,RawData[Payment Method],F6506,RawData[Location],G6506,RawData[Transaction Date],H6506)</f>
        <v>1</v>
      </c>
      <c r="L6506"/>
    </row>
    <row r="6507" spans="1:12" x14ac:dyDescent="0.3">
      <c r="A6507" t="s">
        <v>6513</v>
      </c>
      <c r="B6507" t="s">
        <v>10010</v>
      </c>
      <c r="C6507">
        <v>2</v>
      </c>
      <c r="D6507">
        <v>1</v>
      </c>
      <c r="E6507">
        <v>2</v>
      </c>
      <c r="F6507" t="s">
        <v>10019</v>
      </c>
      <c r="G6507" t="s">
        <v>10104</v>
      </c>
      <c r="H6507" s="6">
        <v>45126</v>
      </c>
      <c r="I6507">
        <f t="shared" si="202"/>
        <v>1</v>
      </c>
      <c r="J6507" t="str">
        <f t="shared" si="203"/>
        <v>Complete</v>
      </c>
      <c r="K6507">
        <f>COUNTIFS(RawData[Item], B6507,RawData[Quantity],C6507,RawData[Price Per Unit],D6507,RawData[Total Spent],E6507,RawData[Payment Method],F6507,RawData[Location],G6507,RawData[Transaction Date],H6507)</f>
        <v>1</v>
      </c>
      <c r="L6507"/>
    </row>
    <row r="6508" spans="1:12" x14ac:dyDescent="0.3">
      <c r="A6508" t="s">
        <v>6514</v>
      </c>
      <c r="B6508" t="s">
        <v>10011</v>
      </c>
      <c r="C6508">
        <v>3</v>
      </c>
      <c r="D6508">
        <v>5</v>
      </c>
      <c r="E6508">
        <v>15</v>
      </c>
      <c r="F6508" t="s">
        <v>10020</v>
      </c>
      <c r="G6508" t="s">
        <v>10102</v>
      </c>
      <c r="H6508" s="6">
        <v>45103</v>
      </c>
      <c r="I6508">
        <f t="shared" si="202"/>
        <v>0</v>
      </c>
      <c r="J6508" t="str">
        <f t="shared" si="203"/>
        <v>Complete</v>
      </c>
      <c r="K6508">
        <f>COUNTIFS(RawData[Item], B6508,RawData[Quantity],C6508,RawData[Price Per Unit],D6508,RawData[Total Spent],E6508,RawData[Payment Method],F6508,RawData[Location],G6508,RawData[Transaction Date],H6508)</f>
        <v>1</v>
      </c>
      <c r="L6508"/>
    </row>
    <row r="6509" spans="1:12" x14ac:dyDescent="0.3">
      <c r="A6509" t="s">
        <v>6515</v>
      </c>
      <c r="B6509" t="s">
        <v>10015</v>
      </c>
      <c r="C6509">
        <v>4</v>
      </c>
      <c r="D6509">
        <v>4</v>
      </c>
      <c r="E6509">
        <v>16</v>
      </c>
      <c r="F6509" t="s">
        <v>10018</v>
      </c>
      <c r="G6509" t="s">
        <v>10021</v>
      </c>
      <c r="H6509" s="6">
        <v>45167</v>
      </c>
      <c r="I6509">
        <f t="shared" si="202"/>
        <v>1</v>
      </c>
      <c r="J6509" t="str">
        <f t="shared" si="203"/>
        <v>Complete</v>
      </c>
      <c r="K6509">
        <f>COUNTIFS(RawData[Item], B6509,RawData[Quantity],C6509,RawData[Price Per Unit],D6509,RawData[Total Spent],E6509,RawData[Payment Method],F6509,RawData[Location],G6509,RawData[Transaction Date],H6509)</f>
        <v>1</v>
      </c>
      <c r="L6509"/>
    </row>
    <row r="6510" spans="1:12" x14ac:dyDescent="0.3">
      <c r="A6510" t="s">
        <v>6516</v>
      </c>
      <c r="B6510" t="s">
        <v>10069</v>
      </c>
      <c r="C6510">
        <v>3</v>
      </c>
      <c r="D6510">
        <v>4</v>
      </c>
      <c r="E6510">
        <v>12</v>
      </c>
      <c r="F6510" t="s">
        <v>10019</v>
      </c>
      <c r="G6510" t="s">
        <v>10021</v>
      </c>
      <c r="H6510" s="6">
        <v>44971</v>
      </c>
      <c r="I6510">
        <f t="shared" si="202"/>
        <v>0</v>
      </c>
      <c r="J6510" t="str">
        <f t="shared" si="203"/>
        <v>Complete</v>
      </c>
      <c r="K6510">
        <f>COUNTIFS(RawData[Item], B6510,RawData[Quantity],C6510,RawData[Price Per Unit],D6510,RawData[Total Spent],E6510,RawData[Payment Method],F6510,RawData[Location],G6510,RawData[Transaction Date],H6510)</f>
        <v>1</v>
      </c>
      <c r="L6510"/>
    </row>
    <row r="6511" spans="1:12" x14ac:dyDescent="0.3">
      <c r="A6511" t="s">
        <v>6517</v>
      </c>
      <c r="B6511" t="s">
        <v>10014</v>
      </c>
      <c r="C6511">
        <v>3</v>
      </c>
      <c r="D6511">
        <v>4</v>
      </c>
      <c r="E6511">
        <v>12</v>
      </c>
      <c r="F6511" t="s">
        <v>10020</v>
      </c>
      <c r="G6511" t="s">
        <v>10102</v>
      </c>
      <c r="H6511" s="6">
        <v>45216</v>
      </c>
      <c r="I6511">
        <f t="shared" si="202"/>
        <v>0</v>
      </c>
      <c r="J6511" t="str">
        <f t="shared" si="203"/>
        <v>Complete</v>
      </c>
      <c r="K6511">
        <f>COUNTIFS(RawData[Item], B6511,RawData[Quantity],C6511,RawData[Price Per Unit],D6511,RawData[Total Spent],E6511,RawData[Payment Method],F6511,RawData[Location],G6511,RawData[Transaction Date],H6511)</f>
        <v>1</v>
      </c>
      <c r="L6511"/>
    </row>
    <row r="6512" spans="1:12" x14ac:dyDescent="0.3">
      <c r="A6512" t="s">
        <v>6518</v>
      </c>
      <c r="B6512" t="s">
        <v>10013</v>
      </c>
      <c r="C6512">
        <v>3</v>
      </c>
      <c r="D6512">
        <v>4</v>
      </c>
      <c r="E6512">
        <v>12</v>
      </c>
      <c r="F6512" t="s">
        <v>10103</v>
      </c>
      <c r="G6512" t="s">
        <v>10102</v>
      </c>
      <c r="H6512" s="6">
        <v>45170</v>
      </c>
      <c r="I6512">
        <f t="shared" si="202"/>
        <v>2</v>
      </c>
      <c r="J6512" t="str">
        <f t="shared" si="203"/>
        <v>Complete</v>
      </c>
      <c r="K6512">
        <f>COUNTIFS(RawData[Item], B6512,RawData[Quantity],C6512,RawData[Price Per Unit],D6512,RawData[Total Spent],E6512,RawData[Payment Method],F6512,RawData[Location],G6512,RawData[Transaction Date],H6512)</f>
        <v>1</v>
      </c>
      <c r="L6512"/>
    </row>
    <row r="6513" spans="1:12" x14ac:dyDescent="0.3">
      <c r="A6513" t="s">
        <v>6519</v>
      </c>
      <c r="B6513" t="s">
        <v>10008</v>
      </c>
      <c r="C6513">
        <v>3</v>
      </c>
      <c r="D6513">
        <v>2</v>
      </c>
      <c r="E6513">
        <v>6</v>
      </c>
      <c r="F6513" t="s">
        <v>10019</v>
      </c>
      <c r="G6513" t="s">
        <v>10021</v>
      </c>
      <c r="H6513" s="6">
        <v>45018</v>
      </c>
      <c r="I6513">
        <f t="shared" si="202"/>
        <v>0</v>
      </c>
      <c r="J6513" t="str">
        <f t="shared" si="203"/>
        <v>Complete</v>
      </c>
      <c r="K6513">
        <f>COUNTIFS(RawData[Item], B6513,RawData[Quantity],C6513,RawData[Price Per Unit],D6513,RawData[Total Spent],E6513,RawData[Payment Method],F6513,RawData[Location],G6513,RawData[Transaction Date],H6513)</f>
        <v>1</v>
      </c>
      <c r="L6513"/>
    </row>
    <row r="6514" spans="1:12" x14ac:dyDescent="0.3">
      <c r="A6514" t="s">
        <v>6520</v>
      </c>
      <c r="B6514" t="s">
        <v>10008</v>
      </c>
      <c r="C6514">
        <v>2</v>
      </c>
      <c r="D6514">
        <v>2</v>
      </c>
      <c r="E6514">
        <v>4</v>
      </c>
      <c r="F6514" t="s">
        <v>10069</v>
      </c>
      <c r="G6514" t="s">
        <v>10102</v>
      </c>
      <c r="H6514" s="6">
        <v>44970</v>
      </c>
      <c r="I6514">
        <f t="shared" si="202"/>
        <v>0</v>
      </c>
      <c r="J6514" t="str">
        <f t="shared" si="203"/>
        <v>Complete</v>
      </c>
      <c r="K6514">
        <f>COUNTIFS(RawData[Item], B6514,RawData[Quantity],C6514,RawData[Price Per Unit],D6514,RawData[Total Spent],E6514,RawData[Payment Method],F6514,RawData[Location],G6514,RawData[Transaction Date],H6514)</f>
        <v>1</v>
      </c>
      <c r="L6514"/>
    </row>
    <row r="6515" spans="1:12" x14ac:dyDescent="0.3">
      <c r="A6515" t="s">
        <v>6521</v>
      </c>
      <c r="B6515" t="s">
        <v>10012</v>
      </c>
      <c r="C6515">
        <v>3</v>
      </c>
      <c r="D6515">
        <v>4</v>
      </c>
      <c r="E6515">
        <v>12</v>
      </c>
      <c r="F6515" t="s">
        <v>10019</v>
      </c>
      <c r="G6515" t="s">
        <v>10069</v>
      </c>
      <c r="H6515" s="6">
        <v>45212</v>
      </c>
      <c r="I6515">
        <f t="shared" si="202"/>
        <v>0</v>
      </c>
      <c r="J6515" t="str">
        <f t="shared" si="203"/>
        <v>Complete</v>
      </c>
      <c r="K6515">
        <f>COUNTIFS(RawData[Item], B6515,RawData[Quantity],C6515,RawData[Price Per Unit],D6515,RawData[Total Spent],E6515,RawData[Payment Method],F6515,RawData[Location],G6515,RawData[Transaction Date],H6515)</f>
        <v>1</v>
      </c>
      <c r="L6515"/>
    </row>
    <row r="6516" spans="1:12" x14ac:dyDescent="0.3">
      <c r="A6516" t="s">
        <v>6522</v>
      </c>
      <c r="B6516" t="s">
        <v>10016</v>
      </c>
      <c r="C6516">
        <v>3</v>
      </c>
      <c r="D6516">
        <v>3</v>
      </c>
      <c r="E6516" t="s">
        <v>10015</v>
      </c>
      <c r="F6516" t="s">
        <v>10018</v>
      </c>
      <c r="G6516" t="s">
        <v>10104</v>
      </c>
      <c r="H6516" s="6">
        <v>45167</v>
      </c>
      <c r="I6516">
        <f t="shared" si="202"/>
        <v>2</v>
      </c>
      <c r="J6516" t="str">
        <f t="shared" si="203"/>
        <v>Complete</v>
      </c>
      <c r="K6516">
        <f>COUNTIFS(RawData[Item], B6516,RawData[Quantity],C6516,RawData[Price Per Unit],D6516,RawData[Total Spent],E6516,RawData[Payment Method],F6516,RawData[Location],G6516,RawData[Transaction Date],H6516)</f>
        <v>1</v>
      </c>
      <c r="L6516"/>
    </row>
    <row r="6517" spans="1:12" x14ac:dyDescent="0.3">
      <c r="A6517" t="s">
        <v>6523</v>
      </c>
      <c r="B6517" t="s">
        <v>10017</v>
      </c>
      <c r="C6517">
        <v>1</v>
      </c>
      <c r="D6517">
        <v>1.5</v>
      </c>
      <c r="E6517">
        <v>1.5</v>
      </c>
      <c r="F6517" t="s">
        <v>10020</v>
      </c>
      <c r="G6517" t="s">
        <v>10021</v>
      </c>
      <c r="H6517" s="6">
        <v>45291</v>
      </c>
      <c r="I6517">
        <f t="shared" si="202"/>
        <v>0</v>
      </c>
      <c r="J6517" t="str">
        <f t="shared" si="203"/>
        <v>Complete</v>
      </c>
      <c r="K6517">
        <f>COUNTIFS(RawData[Item], B6517,RawData[Quantity],C6517,RawData[Price Per Unit],D6517,RawData[Total Spent],E6517,RawData[Payment Method],F6517,RawData[Location],G6517,RawData[Transaction Date],H6517)</f>
        <v>1</v>
      </c>
      <c r="L6517"/>
    </row>
    <row r="6518" spans="1:12" x14ac:dyDescent="0.3">
      <c r="A6518" t="s">
        <v>6524</v>
      </c>
      <c r="B6518" t="s">
        <v>10011</v>
      </c>
      <c r="C6518">
        <v>3</v>
      </c>
      <c r="D6518">
        <v>5</v>
      </c>
      <c r="E6518">
        <v>15</v>
      </c>
      <c r="F6518" t="s">
        <v>10018</v>
      </c>
      <c r="G6518" t="s">
        <v>10102</v>
      </c>
      <c r="H6518" s="6">
        <v>45175</v>
      </c>
      <c r="I6518">
        <f t="shared" si="202"/>
        <v>0</v>
      </c>
      <c r="J6518" t="str">
        <f t="shared" si="203"/>
        <v>Complete</v>
      </c>
      <c r="K6518">
        <f>COUNTIFS(RawData[Item], B6518,RawData[Quantity],C6518,RawData[Price Per Unit],D6518,RawData[Total Spent],E6518,RawData[Payment Method],F6518,RawData[Location],G6518,RawData[Transaction Date],H6518)</f>
        <v>1</v>
      </c>
      <c r="L6518"/>
    </row>
    <row r="6519" spans="1:12" x14ac:dyDescent="0.3">
      <c r="A6519" t="s">
        <v>6525</v>
      </c>
      <c r="B6519" t="s">
        <v>10009</v>
      </c>
      <c r="C6519">
        <v>3</v>
      </c>
      <c r="D6519">
        <v>3</v>
      </c>
      <c r="E6519">
        <v>9</v>
      </c>
      <c r="F6519" t="s">
        <v>10069</v>
      </c>
      <c r="G6519" t="s">
        <v>10102</v>
      </c>
      <c r="H6519" s="6">
        <v>45062</v>
      </c>
      <c r="I6519">
        <f t="shared" si="202"/>
        <v>0</v>
      </c>
      <c r="J6519" t="str">
        <f t="shared" si="203"/>
        <v>Complete</v>
      </c>
      <c r="K6519">
        <f>COUNTIFS(RawData[Item], B6519,RawData[Quantity],C6519,RawData[Price Per Unit],D6519,RawData[Total Spent],E6519,RawData[Payment Method],F6519,RawData[Location],G6519,RawData[Transaction Date],H6519)</f>
        <v>1</v>
      </c>
      <c r="L6519"/>
    </row>
    <row r="6520" spans="1:12" x14ac:dyDescent="0.3">
      <c r="A6520" t="s">
        <v>6526</v>
      </c>
      <c r="B6520" t="s">
        <v>10017</v>
      </c>
      <c r="C6520">
        <v>2</v>
      </c>
      <c r="D6520">
        <v>1.5</v>
      </c>
      <c r="E6520">
        <v>3</v>
      </c>
      <c r="F6520" t="s">
        <v>10019</v>
      </c>
      <c r="G6520" t="s">
        <v>10021</v>
      </c>
      <c r="H6520" s="6">
        <v>45151</v>
      </c>
      <c r="I6520">
        <f t="shared" si="202"/>
        <v>0</v>
      </c>
      <c r="J6520" t="str">
        <f t="shared" si="203"/>
        <v>Complete</v>
      </c>
      <c r="K6520">
        <f>COUNTIFS(RawData[Item], B6520,RawData[Quantity],C6520,RawData[Price Per Unit],D6520,RawData[Total Spent],E6520,RawData[Payment Method],F6520,RawData[Location],G6520,RawData[Transaction Date],H6520)</f>
        <v>1</v>
      </c>
      <c r="L6520"/>
    </row>
    <row r="6521" spans="1:12" x14ac:dyDescent="0.3">
      <c r="A6521" t="s">
        <v>6527</v>
      </c>
      <c r="B6521" t="s">
        <v>10012</v>
      </c>
      <c r="C6521">
        <v>2</v>
      </c>
      <c r="D6521">
        <v>4</v>
      </c>
      <c r="E6521">
        <v>8</v>
      </c>
      <c r="F6521" t="s">
        <v>10019</v>
      </c>
      <c r="G6521" t="s">
        <v>10103</v>
      </c>
      <c r="H6521" s="6">
        <v>45250</v>
      </c>
      <c r="I6521">
        <f t="shared" si="202"/>
        <v>1</v>
      </c>
      <c r="J6521" t="str">
        <f t="shared" si="203"/>
        <v>Complete</v>
      </c>
      <c r="K6521">
        <f>COUNTIFS(RawData[Item], B6521,RawData[Quantity],C6521,RawData[Price Per Unit],D6521,RawData[Total Spent],E6521,RawData[Payment Method],F6521,RawData[Location],G6521,RawData[Transaction Date],H6521)</f>
        <v>1</v>
      </c>
      <c r="L6521"/>
    </row>
    <row r="6522" spans="1:12" x14ac:dyDescent="0.3">
      <c r="A6522" t="s">
        <v>6528</v>
      </c>
      <c r="B6522" t="s">
        <v>10008</v>
      </c>
      <c r="C6522">
        <v>1</v>
      </c>
      <c r="D6522">
        <v>2</v>
      </c>
      <c r="E6522" t="s">
        <v>10015</v>
      </c>
      <c r="F6522" t="s">
        <v>10019</v>
      </c>
      <c r="G6522" t="s">
        <v>10021</v>
      </c>
      <c r="H6522" s="6">
        <v>45266</v>
      </c>
      <c r="I6522">
        <f t="shared" si="202"/>
        <v>1</v>
      </c>
      <c r="J6522" t="str">
        <f t="shared" si="203"/>
        <v>Complete</v>
      </c>
      <c r="K6522">
        <f>COUNTIFS(RawData[Item], B6522,RawData[Quantity],C6522,RawData[Price Per Unit],D6522,RawData[Total Spent],E6522,RawData[Payment Method],F6522,RawData[Location],G6522,RawData[Transaction Date],H6522)</f>
        <v>1</v>
      </c>
      <c r="L6522"/>
    </row>
    <row r="6523" spans="1:12" x14ac:dyDescent="0.3">
      <c r="A6523" t="s">
        <v>6529</v>
      </c>
      <c r="B6523" t="s">
        <v>10010</v>
      </c>
      <c r="C6523">
        <v>4</v>
      </c>
      <c r="D6523">
        <v>1</v>
      </c>
      <c r="E6523">
        <v>4</v>
      </c>
      <c r="F6523" t="s">
        <v>10018</v>
      </c>
      <c r="G6523" t="s">
        <v>10069</v>
      </c>
      <c r="H6523" s="6">
        <v>45160</v>
      </c>
      <c r="I6523">
        <f t="shared" si="202"/>
        <v>0</v>
      </c>
      <c r="J6523" t="str">
        <f t="shared" si="203"/>
        <v>Complete</v>
      </c>
      <c r="K6523">
        <f>COUNTIFS(RawData[Item], B6523,RawData[Quantity],C6523,RawData[Price Per Unit],D6523,RawData[Total Spent],E6523,RawData[Payment Method],F6523,RawData[Location],G6523,RawData[Transaction Date],H6523)</f>
        <v>1</v>
      </c>
      <c r="L6523"/>
    </row>
    <row r="6524" spans="1:12" x14ac:dyDescent="0.3">
      <c r="A6524" t="s">
        <v>6530</v>
      </c>
      <c r="B6524" t="s">
        <v>10008</v>
      </c>
      <c r="C6524">
        <v>4</v>
      </c>
      <c r="D6524">
        <v>2</v>
      </c>
      <c r="E6524">
        <v>8</v>
      </c>
      <c r="F6524" t="s">
        <v>10069</v>
      </c>
      <c r="G6524" t="s">
        <v>10069</v>
      </c>
      <c r="H6524" s="6">
        <v>45167</v>
      </c>
      <c r="I6524">
        <f t="shared" si="202"/>
        <v>0</v>
      </c>
      <c r="J6524" t="str">
        <f t="shared" si="203"/>
        <v>Complete</v>
      </c>
      <c r="K6524">
        <f>COUNTIFS(RawData[Item], B6524,RawData[Quantity],C6524,RawData[Price Per Unit],D6524,RawData[Total Spent],E6524,RawData[Payment Method],F6524,RawData[Location],G6524,RawData[Transaction Date],H6524)</f>
        <v>1</v>
      </c>
      <c r="L6524"/>
    </row>
    <row r="6525" spans="1:12" x14ac:dyDescent="0.3">
      <c r="A6525" t="s">
        <v>6531</v>
      </c>
      <c r="B6525" t="s">
        <v>10008</v>
      </c>
      <c r="C6525">
        <v>4</v>
      </c>
      <c r="D6525">
        <v>2</v>
      </c>
      <c r="E6525">
        <v>8</v>
      </c>
      <c r="F6525" t="s">
        <v>10020</v>
      </c>
      <c r="G6525" t="s">
        <v>10021</v>
      </c>
      <c r="H6525" s="6">
        <v>45107</v>
      </c>
      <c r="I6525">
        <f t="shared" si="202"/>
        <v>0</v>
      </c>
      <c r="J6525" t="str">
        <f t="shared" si="203"/>
        <v>Complete</v>
      </c>
      <c r="K6525">
        <f>COUNTIFS(RawData[Item], B6525,RawData[Quantity],C6525,RawData[Price Per Unit],D6525,RawData[Total Spent],E6525,RawData[Payment Method],F6525,RawData[Location],G6525,RawData[Transaction Date],H6525)</f>
        <v>1</v>
      </c>
      <c r="L6525"/>
    </row>
    <row r="6526" spans="1:12" x14ac:dyDescent="0.3">
      <c r="A6526" t="s">
        <v>6532</v>
      </c>
      <c r="B6526" t="s">
        <v>10009</v>
      </c>
      <c r="C6526">
        <v>5</v>
      </c>
      <c r="D6526">
        <v>3</v>
      </c>
      <c r="E6526">
        <v>15</v>
      </c>
      <c r="F6526" t="s">
        <v>10018</v>
      </c>
      <c r="G6526" t="s">
        <v>10102</v>
      </c>
      <c r="H6526" s="6">
        <v>44938</v>
      </c>
      <c r="I6526">
        <f t="shared" si="202"/>
        <v>0</v>
      </c>
      <c r="J6526" t="str">
        <f t="shared" si="203"/>
        <v>Complete</v>
      </c>
      <c r="K6526">
        <f>COUNTIFS(RawData[Item], B6526,RawData[Quantity],C6526,RawData[Price Per Unit],D6526,RawData[Total Spent],E6526,RawData[Payment Method],F6526,RawData[Location],G6526,RawData[Transaction Date],H6526)</f>
        <v>1</v>
      </c>
      <c r="L6526"/>
    </row>
    <row r="6527" spans="1:12" x14ac:dyDescent="0.3">
      <c r="A6527" t="s">
        <v>6533</v>
      </c>
      <c r="B6527" t="s">
        <v>10011</v>
      </c>
      <c r="C6527">
        <v>2</v>
      </c>
      <c r="D6527">
        <v>5</v>
      </c>
      <c r="E6527">
        <v>10</v>
      </c>
      <c r="F6527" t="s">
        <v>10018</v>
      </c>
      <c r="G6527" t="s">
        <v>10102</v>
      </c>
      <c r="H6527" s="6">
        <v>44931</v>
      </c>
      <c r="I6527">
        <f t="shared" si="202"/>
        <v>0</v>
      </c>
      <c r="J6527" t="str">
        <f t="shared" si="203"/>
        <v>Complete</v>
      </c>
      <c r="K6527">
        <f>COUNTIFS(RawData[Item], B6527,RawData[Quantity],C6527,RawData[Price Per Unit],D6527,RawData[Total Spent],E6527,RawData[Payment Method],F6527,RawData[Location],G6527,RawData[Transaction Date],H6527)</f>
        <v>1</v>
      </c>
      <c r="L6527"/>
    </row>
    <row r="6528" spans="1:12" x14ac:dyDescent="0.3">
      <c r="A6528" t="s">
        <v>6534</v>
      </c>
      <c r="B6528" t="s">
        <v>10016</v>
      </c>
      <c r="C6528">
        <v>1</v>
      </c>
      <c r="D6528">
        <v>3</v>
      </c>
      <c r="E6528">
        <v>3</v>
      </c>
      <c r="F6528" t="s">
        <v>10069</v>
      </c>
      <c r="G6528" t="s">
        <v>10104</v>
      </c>
      <c r="H6528" s="6">
        <v>45248</v>
      </c>
      <c r="I6528">
        <f t="shared" si="202"/>
        <v>1</v>
      </c>
      <c r="J6528" t="str">
        <f t="shared" si="203"/>
        <v>Complete</v>
      </c>
      <c r="K6528">
        <f>COUNTIFS(RawData[Item], B6528,RawData[Quantity],C6528,RawData[Price Per Unit],D6528,RawData[Total Spent],E6528,RawData[Payment Method],F6528,RawData[Location],G6528,RawData[Transaction Date],H6528)</f>
        <v>1</v>
      </c>
      <c r="L6528"/>
    </row>
    <row r="6529" spans="1:12" x14ac:dyDescent="0.3">
      <c r="A6529" t="s">
        <v>6535</v>
      </c>
      <c r="B6529" t="s">
        <v>10011</v>
      </c>
      <c r="C6529">
        <v>1</v>
      </c>
      <c r="D6529">
        <v>5</v>
      </c>
      <c r="E6529">
        <v>5</v>
      </c>
      <c r="F6529" t="s">
        <v>10020</v>
      </c>
      <c r="G6529" t="s">
        <v>10102</v>
      </c>
      <c r="H6529" s="6">
        <v>45197</v>
      </c>
      <c r="I6529">
        <f t="shared" si="202"/>
        <v>0</v>
      </c>
      <c r="J6529" t="str">
        <f t="shared" si="203"/>
        <v>Complete</v>
      </c>
      <c r="K6529">
        <f>COUNTIFS(RawData[Item], B6529,RawData[Quantity],C6529,RawData[Price Per Unit],D6529,RawData[Total Spent],E6529,RawData[Payment Method],F6529,RawData[Location],G6529,RawData[Transaction Date],H6529)</f>
        <v>1</v>
      </c>
      <c r="L6529"/>
    </row>
    <row r="6530" spans="1:12" x14ac:dyDescent="0.3">
      <c r="A6530" t="s">
        <v>6536</v>
      </c>
      <c r="B6530" t="s">
        <v>10016</v>
      </c>
      <c r="C6530">
        <v>5</v>
      </c>
      <c r="D6530">
        <v>3</v>
      </c>
      <c r="E6530">
        <v>15</v>
      </c>
      <c r="F6530" t="s">
        <v>10103</v>
      </c>
      <c r="G6530" t="s">
        <v>10069</v>
      </c>
      <c r="H6530" s="6">
        <v>44982</v>
      </c>
      <c r="I6530">
        <f t="shared" ref="I6530:I6593" si="204">(B6530="Unknown")+(B6530="Error")+(C6530="Unknown")+(C6530="Error")+(D6530="Unknown")+(D6530="Error")+(E6530="Unknown")+(E6530="Error")+(F6530="Unknown")+(F6530="Error")+(G6530="Unknown")+(G6530="Error")+(H6530="No Date")</f>
        <v>1</v>
      </c>
      <c r="J6530" t="str">
        <f t="shared" ref="J6530:J6593" si="205">IF((H6530="No Date"),"Incomplete","Complete")</f>
        <v>Complete</v>
      </c>
      <c r="K6530">
        <f>COUNTIFS(RawData[Item], B6530,RawData[Quantity],C6530,RawData[Price Per Unit],D6530,RawData[Total Spent],E6530,RawData[Payment Method],F6530,RawData[Location],G6530,RawData[Transaction Date],H6530)</f>
        <v>1</v>
      </c>
      <c r="L6530"/>
    </row>
    <row r="6531" spans="1:12" x14ac:dyDescent="0.3">
      <c r="A6531" t="s">
        <v>6537</v>
      </c>
      <c r="B6531" t="s">
        <v>10010</v>
      </c>
      <c r="C6531">
        <v>3</v>
      </c>
      <c r="D6531">
        <v>1</v>
      </c>
      <c r="E6531">
        <v>3</v>
      </c>
      <c r="F6531" t="s">
        <v>10019</v>
      </c>
      <c r="G6531" t="s">
        <v>10021</v>
      </c>
      <c r="H6531" s="6">
        <v>45201</v>
      </c>
      <c r="I6531">
        <f t="shared" si="204"/>
        <v>0</v>
      </c>
      <c r="J6531" t="str">
        <f t="shared" si="205"/>
        <v>Complete</v>
      </c>
      <c r="K6531">
        <f>COUNTIFS(RawData[Item], B6531,RawData[Quantity],C6531,RawData[Price Per Unit],D6531,RawData[Total Spent],E6531,RawData[Payment Method],F6531,RawData[Location],G6531,RawData[Transaction Date],H6531)</f>
        <v>2</v>
      </c>
      <c r="L6531"/>
    </row>
    <row r="6532" spans="1:12" x14ac:dyDescent="0.3">
      <c r="A6532" t="s">
        <v>6538</v>
      </c>
      <c r="B6532" t="s">
        <v>10008</v>
      </c>
      <c r="C6532">
        <v>1</v>
      </c>
      <c r="D6532">
        <v>2</v>
      </c>
      <c r="E6532">
        <v>2</v>
      </c>
      <c r="F6532" t="s">
        <v>10069</v>
      </c>
      <c r="G6532" t="s">
        <v>10021</v>
      </c>
      <c r="H6532" s="6">
        <v>45130</v>
      </c>
      <c r="I6532">
        <f t="shared" si="204"/>
        <v>0</v>
      </c>
      <c r="J6532" t="str">
        <f t="shared" si="205"/>
        <v>Complete</v>
      </c>
      <c r="K6532">
        <f>COUNTIFS(RawData[Item], B6532,RawData[Quantity],C6532,RawData[Price Per Unit],D6532,RawData[Total Spent],E6532,RawData[Payment Method],F6532,RawData[Location],G6532,RawData[Transaction Date],H6532)</f>
        <v>1</v>
      </c>
      <c r="L6532"/>
    </row>
    <row r="6533" spans="1:12" x14ac:dyDescent="0.3">
      <c r="A6533" t="s">
        <v>6539</v>
      </c>
      <c r="B6533" t="s">
        <v>10009</v>
      </c>
      <c r="C6533">
        <v>2</v>
      </c>
      <c r="D6533">
        <v>3</v>
      </c>
      <c r="E6533">
        <v>6</v>
      </c>
      <c r="F6533" t="s">
        <v>10018</v>
      </c>
      <c r="G6533" t="s">
        <v>10102</v>
      </c>
      <c r="H6533" s="6">
        <v>45029</v>
      </c>
      <c r="I6533">
        <f t="shared" si="204"/>
        <v>0</v>
      </c>
      <c r="J6533" t="str">
        <f t="shared" si="205"/>
        <v>Complete</v>
      </c>
      <c r="K6533">
        <f>COUNTIFS(RawData[Item], B6533,RawData[Quantity],C6533,RawData[Price Per Unit],D6533,RawData[Total Spent],E6533,RawData[Payment Method],F6533,RawData[Location],G6533,RawData[Transaction Date],H6533)</f>
        <v>1</v>
      </c>
      <c r="L6533"/>
    </row>
    <row r="6534" spans="1:12" x14ac:dyDescent="0.3">
      <c r="A6534" t="s">
        <v>6540</v>
      </c>
      <c r="B6534" t="s">
        <v>10013</v>
      </c>
      <c r="C6534">
        <v>1</v>
      </c>
      <c r="D6534">
        <v>5</v>
      </c>
      <c r="E6534">
        <v>5</v>
      </c>
      <c r="F6534" t="s">
        <v>10019</v>
      </c>
      <c r="G6534" t="s">
        <v>10102</v>
      </c>
      <c r="H6534" s="6">
        <v>45093</v>
      </c>
      <c r="I6534">
        <f t="shared" si="204"/>
        <v>1</v>
      </c>
      <c r="J6534" t="str">
        <f t="shared" si="205"/>
        <v>Complete</v>
      </c>
      <c r="K6534">
        <f>COUNTIFS(RawData[Item], B6534,RawData[Quantity],C6534,RawData[Price Per Unit],D6534,RawData[Total Spent],E6534,RawData[Payment Method],F6534,RawData[Location],G6534,RawData[Transaction Date],H6534)</f>
        <v>1</v>
      </c>
      <c r="L6534"/>
    </row>
    <row r="6535" spans="1:12" x14ac:dyDescent="0.3">
      <c r="A6535" t="s">
        <v>6541</v>
      </c>
      <c r="B6535" t="s">
        <v>10012</v>
      </c>
      <c r="C6535">
        <v>1</v>
      </c>
      <c r="D6535">
        <v>4</v>
      </c>
      <c r="E6535">
        <v>4</v>
      </c>
      <c r="F6535" t="s">
        <v>10019</v>
      </c>
      <c r="G6535" t="s">
        <v>10102</v>
      </c>
      <c r="H6535" s="6">
        <v>45118</v>
      </c>
      <c r="I6535">
        <f t="shared" si="204"/>
        <v>0</v>
      </c>
      <c r="J6535" t="str">
        <f t="shared" si="205"/>
        <v>Complete</v>
      </c>
      <c r="K6535">
        <f>COUNTIFS(RawData[Item], B6535,RawData[Quantity],C6535,RawData[Price Per Unit],D6535,RawData[Total Spent],E6535,RawData[Payment Method],F6535,RawData[Location],G6535,RawData[Transaction Date],H6535)</f>
        <v>1</v>
      </c>
      <c r="L6535"/>
    </row>
    <row r="6536" spans="1:12" x14ac:dyDescent="0.3">
      <c r="A6536" t="s">
        <v>6542</v>
      </c>
      <c r="B6536" t="s">
        <v>10015</v>
      </c>
      <c r="C6536">
        <v>5</v>
      </c>
      <c r="D6536">
        <v>3</v>
      </c>
      <c r="E6536">
        <v>15</v>
      </c>
      <c r="F6536" t="s">
        <v>10019</v>
      </c>
      <c r="G6536" t="s">
        <v>10102</v>
      </c>
      <c r="H6536" s="6">
        <v>45108</v>
      </c>
      <c r="I6536">
        <f t="shared" si="204"/>
        <v>1</v>
      </c>
      <c r="J6536" t="str">
        <f t="shared" si="205"/>
        <v>Complete</v>
      </c>
      <c r="K6536">
        <f>COUNTIFS(RawData[Item], B6536,RawData[Quantity],C6536,RawData[Price Per Unit],D6536,RawData[Total Spent],E6536,RawData[Payment Method],F6536,RawData[Location],G6536,RawData[Transaction Date],H6536)</f>
        <v>1</v>
      </c>
      <c r="L6536"/>
    </row>
    <row r="6537" spans="1:12" x14ac:dyDescent="0.3">
      <c r="A6537" t="s">
        <v>6543</v>
      </c>
      <c r="B6537" t="s">
        <v>10017</v>
      </c>
      <c r="C6537" t="s">
        <v>10015</v>
      </c>
      <c r="D6537">
        <v>1.5</v>
      </c>
      <c r="E6537">
        <v>4.5</v>
      </c>
      <c r="F6537" t="s">
        <v>10069</v>
      </c>
      <c r="G6537" t="s">
        <v>10103</v>
      </c>
      <c r="H6537" s="6" t="s">
        <v>10112</v>
      </c>
      <c r="I6537">
        <f t="shared" si="204"/>
        <v>3</v>
      </c>
      <c r="J6537" t="str">
        <f t="shared" si="205"/>
        <v>Incomplete</v>
      </c>
      <c r="K6537">
        <f>COUNTIFS(RawData[Item], B6537,RawData[Quantity],C6537,RawData[Price Per Unit],D6537,RawData[Total Spent],E6537,RawData[Payment Method],F6537,RawData[Location],G6537,RawData[Transaction Date],H6537)</f>
        <v>1</v>
      </c>
      <c r="L6537"/>
    </row>
    <row r="6538" spans="1:12" x14ac:dyDescent="0.3">
      <c r="A6538" t="s">
        <v>6544</v>
      </c>
      <c r="B6538" t="s">
        <v>10016</v>
      </c>
      <c r="C6538">
        <v>1</v>
      </c>
      <c r="D6538">
        <v>3</v>
      </c>
      <c r="E6538">
        <v>3</v>
      </c>
      <c r="F6538" t="s">
        <v>10020</v>
      </c>
      <c r="G6538" t="s">
        <v>10069</v>
      </c>
      <c r="H6538" s="6">
        <v>45285</v>
      </c>
      <c r="I6538">
        <f t="shared" si="204"/>
        <v>0</v>
      </c>
      <c r="J6538" t="str">
        <f t="shared" si="205"/>
        <v>Complete</v>
      </c>
      <c r="K6538">
        <f>COUNTIFS(RawData[Item], B6538,RawData[Quantity],C6538,RawData[Price Per Unit],D6538,RawData[Total Spent],E6538,RawData[Payment Method],F6538,RawData[Location],G6538,RawData[Transaction Date],H6538)</f>
        <v>1</v>
      </c>
      <c r="L6538"/>
    </row>
    <row r="6539" spans="1:12" x14ac:dyDescent="0.3">
      <c r="A6539" t="s">
        <v>6545</v>
      </c>
      <c r="B6539" t="s">
        <v>10012</v>
      </c>
      <c r="C6539">
        <v>2</v>
      </c>
      <c r="D6539">
        <v>4</v>
      </c>
      <c r="E6539">
        <v>8</v>
      </c>
      <c r="F6539" t="s">
        <v>10018</v>
      </c>
      <c r="G6539" t="s">
        <v>10102</v>
      </c>
      <c r="H6539" s="6">
        <v>45228</v>
      </c>
      <c r="I6539">
        <f t="shared" si="204"/>
        <v>0</v>
      </c>
      <c r="J6539" t="str">
        <f t="shared" si="205"/>
        <v>Complete</v>
      </c>
      <c r="K6539">
        <f>COUNTIFS(RawData[Item], B6539,RawData[Quantity],C6539,RawData[Price Per Unit],D6539,RawData[Total Spent],E6539,RawData[Payment Method],F6539,RawData[Location],G6539,RawData[Transaction Date],H6539)</f>
        <v>1</v>
      </c>
      <c r="L6539"/>
    </row>
    <row r="6540" spans="1:12" x14ac:dyDescent="0.3">
      <c r="A6540" t="s">
        <v>6546</v>
      </c>
      <c r="B6540" t="s">
        <v>10014</v>
      </c>
      <c r="C6540">
        <v>5</v>
      </c>
      <c r="D6540">
        <v>4</v>
      </c>
      <c r="E6540">
        <v>20</v>
      </c>
      <c r="F6540" t="s">
        <v>10019</v>
      </c>
      <c r="G6540" t="s">
        <v>10069</v>
      </c>
      <c r="H6540" s="6">
        <v>44960</v>
      </c>
      <c r="I6540">
        <f t="shared" si="204"/>
        <v>0</v>
      </c>
      <c r="J6540" t="str">
        <f t="shared" si="205"/>
        <v>Complete</v>
      </c>
      <c r="K6540">
        <f>COUNTIFS(RawData[Item], B6540,RawData[Quantity],C6540,RawData[Price Per Unit],D6540,RawData[Total Spent],E6540,RawData[Payment Method],F6540,RawData[Location],G6540,RawData[Transaction Date],H6540)</f>
        <v>1</v>
      </c>
      <c r="L6540"/>
    </row>
    <row r="6541" spans="1:12" x14ac:dyDescent="0.3">
      <c r="A6541" t="s">
        <v>6547</v>
      </c>
      <c r="B6541" t="s">
        <v>10014</v>
      </c>
      <c r="C6541">
        <v>4</v>
      </c>
      <c r="D6541">
        <v>4</v>
      </c>
      <c r="E6541">
        <v>16</v>
      </c>
      <c r="F6541" t="s">
        <v>10018</v>
      </c>
      <c r="G6541" t="s">
        <v>10102</v>
      </c>
      <c r="H6541" s="6">
        <v>45055</v>
      </c>
      <c r="I6541">
        <f t="shared" si="204"/>
        <v>0</v>
      </c>
      <c r="J6541" t="str">
        <f t="shared" si="205"/>
        <v>Complete</v>
      </c>
      <c r="K6541">
        <f>COUNTIFS(RawData[Item], B6541,RawData[Quantity],C6541,RawData[Price Per Unit],D6541,RawData[Total Spent],E6541,RawData[Payment Method],F6541,RawData[Location],G6541,RawData[Transaction Date],H6541)</f>
        <v>1</v>
      </c>
      <c r="L6541"/>
    </row>
    <row r="6542" spans="1:12" x14ac:dyDescent="0.3">
      <c r="A6542" t="s">
        <v>6548</v>
      </c>
      <c r="B6542" t="s">
        <v>10016</v>
      </c>
      <c r="C6542">
        <v>1</v>
      </c>
      <c r="D6542">
        <v>3</v>
      </c>
      <c r="E6542">
        <v>3</v>
      </c>
      <c r="F6542" t="s">
        <v>10069</v>
      </c>
      <c r="G6542" t="s">
        <v>10021</v>
      </c>
      <c r="H6542" s="6">
        <v>45269</v>
      </c>
      <c r="I6542">
        <f t="shared" si="204"/>
        <v>0</v>
      </c>
      <c r="J6542" t="str">
        <f t="shared" si="205"/>
        <v>Complete</v>
      </c>
      <c r="K6542">
        <f>COUNTIFS(RawData[Item], B6542,RawData[Quantity],C6542,RawData[Price Per Unit],D6542,RawData[Total Spent],E6542,RawData[Payment Method],F6542,RawData[Location],G6542,RawData[Transaction Date],H6542)</f>
        <v>1</v>
      </c>
      <c r="L6542"/>
    </row>
    <row r="6543" spans="1:12" x14ac:dyDescent="0.3">
      <c r="A6543" t="s">
        <v>6549</v>
      </c>
      <c r="B6543" t="s">
        <v>10014</v>
      </c>
      <c r="C6543">
        <v>5</v>
      </c>
      <c r="D6543">
        <v>4</v>
      </c>
      <c r="E6543">
        <v>20</v>
      </c>
      <c r="F6543" t="s">
        <v>10069</v>
      </c>
      <c r="G6543" t="s">
        <v>10102</v>
      </c>
      <c r="H6543" s="6">
        <v>45048</v>
      </c>
      <c r="I6543">
        <f t="shared" si="204"/>
        <v>0</v>
      </c>
      <c r="J6543" t="str">
        <f t="shared" si="205"/>
        <v>Complete</v>
      </c>
      <c r="K6543">
        <f>COUNTIFS(RawData[Item], B6543,RawData[Quantity],C6543,RawData[Price Per Unit],D6543,RawData[Total Spent],E6543,RawData[Payment Method],F6543,RawData[Location],G6543,RawData[Transaction Date],H6543)</f>
        <v>1</v>
      </c>
      <c r="L6543"/>
    </row>
    <row r="6544" spans="1:12" x14ac:dyDescent="0.3">
      <c r="A6544" t="s">
        <v>6550</v>
      </c>
      <c r="B6544" t="s">
        <v>10014</v>
      </c>
      <c r="C6544">
        <v>3</v>
      </c>
      <c r="D6544">
        <v>4</v>
      </c>
      <c r="E6544">
        <v>12</v>
      </c>
      <c r="F6544" t="s">
        <v>10069</v>
      </c>
      <c r="G6544" t="s">
        <v>10102</v>
      </c>
      <c r="H6544" s="6">
        <v>45001</v>
      </c>
      <c r="I6544">
        <f t="shared" si="204"/>
        <v>0</v>
      </c>
      <c r="J6544" t="str">
        <f t="shared" si="205"/>
        <v>Complete</v>
      </c>
      <c r="K6544">
        <f>COUNTIFS(RawData[Item], B6544,RawData[Quantity],C6544,RawData[Price Per Unit],D6544,RawData[Total Spent],E6544,RawData[Payment Method],F6544,RawData[Location],G6544,RawData[Transaction Date],H6544)</f>
        <v>1</v>
      </c>
      <c r="L6544"/>
    </row>
    <row r="6545" spans="1:12" x14ac:dyDescent="0.3">
      <c r="A6545" t="s">
        <v>6551</v>
      </c>
      <c r="B6545" t="s">
        <v>10014</v>
      </c>
      <c r="C6545">
        <v>2</v>
      </c>
      <c r="D6545">
        <v>4</v>
      </c>
      <c r="E6545" t="s">
        <v>10013</v>
      </c>
      <c r="F6545" t="s">
        <v>10019</v>
      </c>
      <c r="G6545" t="s">
        <v>10104</v>
      </c>
      <c r="H6545" s="6">
        <v>45099</v>
      </c>
      <c r="I6545">
        <f t="shared" si="204"/>
        <v>2</v>
      </c>
      <c r="J6545" t="str">
        <f t="shared" si="205"/>
        <v>Complete</v>
      </c>
      <c r="K6545">
        <f>COUNTIFS(RawData[Item], B6545,RawData[Quantity],C6545,RawData[Price Per Unit],D6545,RawData[Total Spent],E6545,RawData[Payment Method],F6545,RawData[Location],G6545,RawData[Transaction Date],H6545)</f>
        <v>1</v>
      </c>
      <c r="L6545"/>
    </row>
    <row r="6546" spans="1:12" x14ac:dyDescent="0.3">
      <c r="A6546" t="s">
        <v>6552</v>
      </c>
      <c r="B6546" t="s">
        <v>10008</v>
      </c>
      <c r="C6546">
        <v>4</v>
      </c>
      <c r="D6546">
        <v>2</v>
      </c>
      <c r="E6546">
        <v>8</v>
      </c>
      <c r="F6546" t="s">
        <v>10069</v>
      </c>
      <c r="G6546" t="s">
        <v>10021</v>
      </c>
      <c r="H6546" s="6">
        <v>45062</v>
      </c>
      <c r="I6546">
        <f t="shared" si="204"/>
        <v>0</v>
      </c>
      <c r="J6546" t="str">
        <f t="shared" si="205"/>
        <v>Complete</v>
      </c>
      <c r="K6546">
        <f>COUNTIFS(RawData[Item], B6546,RawData[Quantity],C6546,RawData[Price Per Unit],D6546,RawData[Total Spent],E6546,RawData[Payment Method],F6546,RawData[Location],G6546,RawData[Transaction Date],H6546)</f>
        <v>1</v>
      </c>
      <c r="L6546"/>
    </row>
    <row r="6547" spans="1:12" x14ac:dyDescent="0.3">
      <c r="A6547" t="s">
        <v>6553</v>
      </c>
      <c r="B6547" t="s">
        <v>10014</v>
      </c>
      <c r="C6547">
        <v>5</v>
      </c>
      <c r="D6547">
        <v>4</v>
      </c>
      <c r="E6547">
        <v>20</v>
      </c>
      <c r="F6547" t="s">
        <v>10019</v>
      </c>
      <c r="G6547" t="s">
        <v>10069</v>
      </c>
      <c r="H6547" s="6">
        <v>45200</v>
      </c>
      <c r="I6547">
        <f t="shared" si="204"/>
        <v>0</v>
      </c>
      <c r="J6547" t="str">
        <f t="shared" si="205"/>
        <v>Complete</v>
      </c>
      <c r="K6547">
        <f>COUNTIFS(RawData[Item], B6547,RawData[Quantity],C6547,RawData[Price Per Unit],D6547,RawData[Total Spent],E6547,RawData[Payment Method],F6547,RawData[Location],G6547,RawData[Transaction Date],H6547)</f>
        <v>2</v>
      </c>
      <c r="L6547"/>
    </row>
    <row r="6548" spans="1:12" x14ac:dyDescent="0.3">
      <c r="A6548" t="s">
        <v>6554</v>
      </c>
      <c r="B6548" t="s">
        <v>10014</v>
      </c>
      <c r="C6548">
        <v>3</v>
      </c>
      <c r="D6548">
        <v>4</v>
      </c>
      <c r="E6548">
        <v>12</v>
      </c>
      <c r="F6548" t="s">
        <v>10069</v>
      </c>
      <c r="G6548" t="s">
        <v>10102</v>
      </c>
      <c r="H6548" s="6">
        <v>45078</v>
      </c>
      <c r="I6548">
        <f t="shared" si="204"/>
        <v>0</v>
      </c>
      <c r="J6548" t="str">
        <f t="shared" si="205"/>
        <v>Complete</v>
      </c>
      <c r="K6548">
        <f>COUNTIFS(RawData[Item], B6548,RawData[Quantity],C6548,RawData[Price Per Unit],D6548,RawData[Total Spent],E6548,RawData[Payment Method],F6548,RawData[Location],G6548,RawData[Transaction Date],H6548)</f>
        <v>2</v>
      </c>
      <c r="L6548"/>
    </row>
    <row r="6549" spans="1:12" x14ac:dyDescent="0.3">
      <c r="A6549" t="s">
        <v>6555</v>
      </c>
      <c r="B6549" t="s">
        <v>10014</v>
      </c>
      <c r="C6549">
        <v>2</v>
      </c>
      <c r="D6549">
        <v>4</v>
      </c>
      <c r="E6549">
        <v>8</v>
      </c>
      <c r="F6549" t="s">
        <v>10020</v>
      </c>
      <c r="G6549" t="s">
        <v>10102</v>
      </c>
      <c r="H6549" s="6">
        <v>45287</v>
      </c>
      <c r="I6549">
        <f t="shared" si="204"/>
        <v>0</v>
      </c>
      <c r="J6549" t="str">
        <f t="shared" si="205"/>
        <v>Complete</v>
      </c>
      <c r="K6549">
        <f>COUNTIFS(RawData[Item], B6549,RawData[Quantity],C6549,RawData[Price Per Unit],D6549,RawData[Total Spent],E6549,RawData[Payment Method],F6549,RawData[Location],G6549,RawData[Transaction Date],H6549)</f>
        <v>1</v>
      </c>
      <c r="L6549"/>
    </row>
    <row r="6550" spans="1:12" x14ac:dyDescent="0.3">
      <c r="A6550" t="s">
        <v>6556</v>
      </c>
      <c r="B6550" t="s">
        <v>10008</v>
      </c>
      <c r="C6550">
        <v>3</v>
      </c>
      <c r="D6550">
        <v>2</v>
      </c>
      <c r="E6550">
        <v>6</v>
      </c>
      <c r="F6550" t="s">
        <v>10069</v>
      </c>
      <c r="G6550" t="s">
        <v>10021</v>
      </c>
      <c r="H6550" s="6" t="s">
        <v>10112</v>
      </c>
      <c r="I6550">
        <f t="shared" si="204"/>
        <v>1</v>
      </c>
      <c r="J6550" t="str">
        <f t="shared" si="205"/>
        <v>Incomplete</v>
      </c>
      <c r="K6550">
        <f>COUNTIFS(RawData[Item], B6550,RawData[Quantity],C6550,RawData[Price Per Unit],D6550,RawData[Total Spent],E6550,RawData[Payment Method],F6550,RawData[Location],G6550,RawData[Transaction Date],H6550)</f>
        <v>1</v>
      </c>
      <c r="L6550"/>
    </row>
    <row r="6551" spans="1:12" x14ac:dyDescent="0.3">
      <c r="A6551" t="s">
        <v>6557</v>
      </c>
      <c r="B6551" t="s">
        <v>10014</v>
      </c>
      <c r="C6551">
        <v>5</v>
      </c>
      <c r="D6551">
        <v>4</v>
      </c>
      <c r="E6551">
        <v>20</v>
      </c>
      <c r="F6551" t="s">
        <v>10069</v>
      </c>
      <c r="G6551" t="s">
        <v>10102</v>
      </c>
      <c r="H6551" s="6">
        <v>44974</v>
      </c>
      <c r="I6551">
        <f t="shared" si="204"/>
        <v>0</v>
      </c>
      <c r="J6551" t="str">
        <f t="shared" si="205"/>
        <v>Complete</v>
      </c>
      <c r="K6551">
        <f>COUNTIFS(RawData[Item], B6551,RawData[Quantity],C6551,RawData[Price Per Unit],D6551,RawData[Total Spent],E6551,RawData[Payment Method],F6551,RawData[Location],G6551,RawData[Transaction Date],H6551)</f>
        <v>1</v>
      </c>
      <c r="L6551"/>
    </row>
    <row r="6552" spans="1:12" x14ac:dyDescent="0.3">
      <c r="A6552" t="s">
        <v>6558</v>
      </c>
      <c r="B6552" t="s">
        <v>10014</v>
      </c>
      <c r="C6552">
        <v>2</v>
      </c>
      <c r="D6552" t="s">
        <v>10013</v>
      </c>
      <c r="E6552">
        <v>8</v>
      </c>
      <c r="F6552" t="s">
        <v>10018</v>
      </c>
      <c r="G6552" t="s">
        <v>10102</v>
      </c>
      <c r="H6552" s="6">
        <v>45161</v>
      </c>
      <c r="I6552">
        <f t="shared" si="204"/>
        <v>1</v>
      </c>
      <c r="J6552" t="str">
        <f t="shared" si="205"/>
        <v>Complete</v>
      </c>
      <c r="K6552">
        <f>COUNTIFS(RawData[Item], B6552,RawData[Quantity],C6552,RawData[Price Per Unit],D6552,RawData[Total Spent],E6552,RawData[Payment Method],F6552,RawData[Location],G6552,RawData[Transaction Date],H6552)</f>
        <v>1</v>
      </c>
      <c r="L6552"/>
    </row>
    <row r="6553" spans="1:12" x14ac:dyDescent="0.3">
      <c r="A6553" t="s">
        <v>6559</v>
      </c>
      <c r="B6553" t="s">
        <v>10012</v>
      </c>
      <c r="C6553">
        <v>1</v>
      </c>
      <c r="D6553">
        <v>4</v>
      </c>
      <c r="E6553">
        <v>4</v>
      </c>
      <c r="F6553" t="s">
        <v>10018</v>
      </c>
      <c r="G6553" t="s">
        <v>10069</v>
      </c>
      <c r="H6553" s="6">
        <v>45225</v>
      </c>
      <c r="I6553">
        <f t="shared" si="204"/>
        <v>0</v>
      </c>
      <c r="J6553" t="str">
        <f t="shared" si="205"/>
        <v>Complete</v>
      </c>
      <c r="K6553">
        <f>COUNTIFS(RawData[Item], B6553,RawData[Quantity],C6553,RawData[Price Per Unit],D6553,RawData[Total Spent],E6553,RawData[Payment Method],F6553,RawData[Location],G6553,RawData[Transaction Date],H6553)</f>
        <v>1</v>
      </c>
      <c r="L6553"/>
    </row>
    <row r="6554" spans="1:12" x14ac:dyDescent="0.3">
      <c r="A6554" t="s">
        <v>6560</v>
      </c>
      <c r="B6554" t="s">
        <v>10010</v>
      </c>
      <c r="C6554">
        <v>3</v>
      </c>
      <c r="D6554">
        <v>1</v>
      </c>
      <c r="E6554">
        <v>3</v>
      </c>
      <c r="F6554" t="s">
        <v>10020</v>
      </c>
      <c r="G6554" t="s">
        <v>10069</v>
      </c>
      <c r="H6554" s="6">
        <v>44961</v>
      </c>
      <c r="I6554">
        <f t="shared" si="204"/>
        <v>0</v>
      </c>
      <c r="J6554" t="str">
        <f t="shared" si="205"/>
        <v>Complete</v>
      </c>
      <c r="K6554">
        <f>COUNTIFS(RawData[Item], B6554,RawData[Quantity],C6554,RawData[Price Per Unit],D6554,RawData[Total Spent],E6554,RawData[Payment Method],F6554,RawData[Location],G6554,RawData[Transaction Date],H6554)</f>
        <v>1</v>
      </c>
      <c r="L6554"/>
    </row>
    <row r="6555" spans="1:12" x14ac:dyDescent="0.3">
      <c r="A6555" t="s">
        <v>6561</v>
      </c>
      <c r="B6555" t="s">
        <v>10017</v>
      </c>
      <c r="C6555">
        <v>2</v>
      </c>
      <c r="D6555">
        <v>1.5</v>
      </c>
      <c r="E6555">
        <v>3</v>
      </c>
      <c r="F6555" t="s">
        <v>10020</v>
      </c>
      <c r="G6555" t="s">
        <v>10069</v>
      </c>
      <c r="H6555" s="6">
        <v>45213</v>
      </c>
      <c r="I6555">
        <f t="shared" si="204"/>
        <v>0</v>
      </c>
      <c r="J6555" t="str">
        <f t="shared" si="205"/>
        <v>Complete</v>
      </c>
      <c r="K6555">
        <f>COUNTIFS(RawData[Item], B6555,RawData[Quantity],C6555,RawData[Price Per Unit],D6555,RawData[Total Spent],E6555,RawData[Payment Method],F6555,RawData[Location],G6555,RawData[Transaction Date],H6555)</f>
        <v>1</v>
      </c>
      <c r="L6555"/>
    </row>
    <row r="6556" spans="1:12" x14ac:dyDescent="0.3">
      <c r="A6556" t="s">
        <v>6562</v>
      </c>
      <c r="B6556" t="s">
        <v>10017</v>
      </c>
      <c r="C6556">
        <v>1</v>
      </c>
      <c r="D6556">
        <v>1.5</v>
      </c>
      <c r="E6556">
        <v>1.5</v>
      </c>
      <c r="F6556" t="s">
        <v>10018</v>
      </c>
      <c r="G6556" t="s">
        <v>10069</v>
      </c>
      <c r="H6556" s="6">
        <v>45244</v>
      </c>
      <c r="I6556">
        <f t="shared" si="204"/>
        <v>0</v>
      </c>
      <c r="J6556" t="str">
        <f t="shared" si="205"/>
        <v>Complete</v>
      </c>
      <c r="K6556">
        <f>COUNTIFS(RawData[Item], B6556,RawData[Quantity],C6556,RawData[Price Per Unit],D6556,RawData[Total Spent],E6556,RawData[Payment Method],F6556,RawData[Location],G6556,RawData[Transaction Date],H6556)</f>
        <v>1</v>
      </c>
      <c r="L6556"/>
    </row>
    <row r="6557" spans="1:12" x14ac:dyDescent="0.3">
      <c r="A6557" t="s">
        <v>6563</v>
      </c>
      <c r="B6557" t="s">
        <v>10008</v>
      </c>
      <c r="C6557">
        <v>1</v>
      </c>
      <c r="D6557">
        <v>2</v>
      </c>
      <c r="E6557">
        <v>2</v>
      </c>
      <c r="F6557" t="s">
        <v>10020</v>
      </c>
      <c r="G6557" t="s">
        <v>10021</v>
      </c>
      <c r="H6557" s="6">
        <v>45048</v>
      </c>
      <c r="I6557">
        <f t="shared" si="204"/>
        <v>0</v>
      </c>
      <c r="J6557" t="str">
        <f t="shared" si="205"/>
        <v>Complete</v>
      </c>
      <c r="K6557">
        <f>COUNTIFS(RawData[Item], B6557,RawData[Quantity],C6557,RawData[Price Per Unit],D6557,RawData[Total Spent],E6557,RawData[Payment Method],F6557,RawData[Location],G6557,RawData[Transaction Date],H6557)</f>
        <v>1</v>
      </c>
      <c r="L6557"/>
    </row>
    <row r="6558" spans="1:12" x14ac:dyDescent="0.3">
      <c r="A6558" t="s">
        <v>6564</v>
      </c>
      <c r="B6558" t="s">
        <v>10014</v>
      </c>
      <c r="C6558">
        <v>3</v>
      </c>
      <c r="D6558">
        <v>4</v>
      </c>
      <c r="E6558">
        <v>12</v>
      </c>
      <c r="F6558" t="s">
        <v>10018</v>
      </c>
      <c r="G6558" t="s">
        <v>10102</v>
      </c>
      <c r="H6558" s="6">
        <v>44957</v>
      </c>
      <c r="I6558">
        <f t="shared" si="204"/>
        <v>0</v>
      </c>
      <c r="J6558" t="str">
        <f t="shared" si="205"/>
        <v>Complete</v>
      </c>
      <c r="K6558">
        <f>COUNTIFS(RawData[Item], B6558,RawData[Quantity],C6558,RawData[Price Per Unit],D6558,RawData[Total Spent],E6558,RawData[Payment Method],F6558,RawData[Location],G6558,RawData[Transaction Date],H6558)</f>
        <v>1</v>
      </c>
      <c r="L6558"/>
    </row>
    <row r="6559" spans="1:12" x14ac:dyDescent="0.3">
      <c r="A6559" t="s">
        <v>6565</v>
      </c>
      <c r="B6559" t="s">
        <v>10017</v>
      </c>
      <c r="C6559">
        <v>2</v>
      </c>
      <c r="D6559">
        <v>1.5</v>
      </c>
      <c r="E6559">
        <v>3</v>
      </c>
      <c r="F6559" t="s">
        <v>10069</v>
      </c>
      <c r="G6559" t="s">
        <v>10102</v>
      </c>
      <c r="H6559" s="6">
        <v>45112</v>
      </c>
      <c r="I6559">
        <f t="shared" si="204"/>
        <v>0</v>
      </c>
      <c r="J6559" t="str">
        <f t="shared" si="205"/>
        <v>Complete</v>
      </c>
      <c r="K6559">
        <f>COUNTIFS(RawData[Item], B6559,RawData[Quantity],C6559,RawData[Price Per Unit],D6559,RawData[Total Spent],E6559,RawData[Payment Method],F6559,RawData[Location],G6559,RawData[Transaction Date],H6559)</f>
        <v>1</v>
      </c>
      <c r="L6559"/>
    </row>
    <row r="6560" spans="1:12" x14ac:dyDescent="0.3">
      <c r="A6560" t="s">
        <v>6566</v>
      </c>
      <c r="B6560" t="s">
        <v>10011</v>
      </c>
      <c r="C6560">
        <v>4</v>
      </c>
      <c r="D6560">
        <v>5</v>
      </c>
      <c r="E6560">
        <v>20</v>
      </c>
      <c r="F6560" t="s">
        <v>10069</v>
      </c>
      <c r="G6560" t="s">
        <v>10102</v>
      </c>
      <c r="H6560" s="6">
        <v>45095</v>
      </c>
      <c r="I6560">
        <f t="shared" si="204"/>
        <v>0</v>
      </c>
      <c r="J6560" t="str">
        <f t="shared" si="205"/>
        <v>Complete</v>
      </c>
      <c r="K6560">
        <f>COUNTIFS(RawData[Item], B6560,RawData[Quantity],C6560,RawData[Price Per Unit],D6560,RawData[Total Spent],E6560,RawData[Payment Method],F6560,RawData[Location],G6560,RawData[Transaction Date],H6560)</f>
        <v>1</v>
      </c>
      <c r="L6560"/>
    </row>
    <row r="6561" spans="1:12" x14ac:dyDescent="0.3">
      <c r="A6561" t="s">
        <v>6567</v>
      </c>
      <c r="B6561" t="s">
        <v>10010</v>
      </c>
      <c r="C6561">
        <v>2</v>
      </c>
      <c r="D6561">
        <v>1</v>
      </c>
      <c r="E6561">
        <v>2</v>
      </c>
      <c r="F6561" t="s">
        <v>10020</v>
      </c>
      <c r="G6561" t="s">
        <v>10021</v>
      </c>
      <c r="H6561" s="6">
        <v>45013</v>
      </c>
      <c r="I6561">
        <f t="shared" si="204"/>
        <v>0</v>
      </c>
      <c r="J6561" t="str">
        <f t="shared" si="205"/>
        <v>Complete</v>
      </c>
      <c r="K6561">
        <f>COUNTIFS(RawData[Item], B6561,RawData[Quantity],C6561,RawData[Price Per Unit],D6561,RawData[Total Spent],E6561,RawData[Payment Method],F6561,RawData[Location],G6561,RawData[Transaction Date],H6561)</f>
        <v>1</v>
      </c>
      <c r="L6561"/>
    </row>
    <row r="6562" spans="1:12" x14ac:dyDescent="0.3">
      <c r="A6562" t="s">
        <v>6568</v>
      </c>
      <c r="B6562" t="s">
        <v>10014</v>
      </c>
      <c r="C6562">
        <v>4</v>
      </c>
      <c r="D6562">
        <v>0</v>
      </c>
      <c r="E6562">
        <v>16</v>
      </c>
      <c r="F6562" t="s">
        <v>10020</v>
      </c>
      <c r="G6562" t="s">
        <v>10069</v>
      </c>
      <c r="H6562" s="6">
        <v>45207</v>
      </c>
      <c r="I6562">
        <f t="shared" si="204"/>
        <v>0</v>
      </c>
      <c r="J6562" t="str">
        <f t="shared" si="205"/>
        <v>Complete</v>
      </c>
      <c r="K6562">
        <f>COUNTIFS(RawData[Item], B6562,RawData[Quantity],C6562,RawData[Price Per Unit],D6562,RawData[Total Spent],E6562,RawData[Payment Method],F6562,RawData[Location],G6562,RawData[Transaction Date],H6562)</f>
        <v>1</v>
      </c>
      <c r="L6562"/>
    </row>
    <row r="6563" spans="1:12" x14ac:dyDescent="0.3">
      <c r="A6563" t="s">
        <v>6569</v>
      </c>
      <c r="B6563" t="s">
        <v>10008</v>
      </c>
      <c r="C6563">
        <v>1</v>
      </c>
      <c r="D6563">
        <v>2</v>
      </c>
      <c r="E6563">
        <v>2</v>
      </c>
      <c r="F6563" t="s">
        <v>10018</v>
      </c>
      <c r="G6563" t="s">
        <v>10102</v>
      </c>
      <c r="H6563" s="6">
        <v>45272</v>
      </c>
      <c r="I6563">
        <f t="shared" si="204"/>
        <v>0</v>
      </c>
      <c r="J6563" t="str">
        <f t="shared" si="205"/>
        <v>Complete</v>
      </c>
      <c r="K6563">
        <f>COUNTIFS(RawData[Item], B6563,RawData[Quantity],C6563,RawData[Price Per Unit],D6563,RawData[Total Spent],E6563,RawData[Payment Method],F6563,RawData[Location],G6563,RawData[Transaction Date],H6563)</f>
        <v>1</v>
      </c>
      <c r="L6563"/>
    </row>
    <row r="6564" spans="1:12" x14ac:dyDescent="0.3">
      <c r="A6564" t="s">
        <v>6570</v>
      </c>
      <c r="B6564" t="s">
        <v>10012</v>
      </c>
      <c r="C6564">
        <v>2</v>
      </c>
      <c r="D6564">
        <v>4</v>
      </c>
      <c r="E6564">
        <v>8</v>
      </c>
      <c r="F6564" t="s">
        <v>10104</v>
      </c>
      <c r="G6564" t="s">
        <v>10069</v>
      </c>
      <c r="H6564" s="6">
        <v>45176</v>
      </c>
      <c r="I6564">
        <f t="shared" si="204"/>
        <v>1</v>
      </c>
      <c r="J6564" t="str">
        <f t="shared" si="205"/>
        <v>Complete</v>
      </c>
      <c r="K6564">
        <f>COUNTIFS(RawData[Item], B6564,RawData[Quantity],C6564,RawData[Price Per Unit],D6564,RawData[Total Spent],E6564,RawData[Payment Method],F6564,RawData[Location],G6564,RawData[Transaction Date],H6564)</f>
        <v>1</v>
      </c>
      <c r="L6564"/>
    </row>
    <row r="6565" spans="1:12" x14ac:dyDescent="0.3">
      <c r="A6565" t="s">
        <v>6571</v>
      </c>
      <c r="B6565" t="s">
        <v>10017</v>
      </c>
      <c r="C6565" t="s">
        <v>10013</v>
      </c>
      <c r="D6565">
        <v>1.5</v>
      </c>
      <c r="E6565">
        <v>4.5</v>
      </c>
      <c r="F6565" t="s">
        <v>10069</v>
      </c>
      <c r="G6565" t="s">
        <v>10021</v>
      </c>
      <c r="H6565" s="6">
        <v>45149</v>
      </c>
      <c r="I6565">
        <f t="shared" si="204"/>
        <v>1</v>
      </c>
      <c r="J6565" t="str">
        <f t="shared" si="205"/>
        <v>Complete</v>
      </c>
      <c r="K6565">
        <f>COUNTIFS(RawData[Item], B6565,RawData[Quantity],C6565,RawData[Price Per Unit],D6565,RawData[Total Spent],E6565,RawData[Payment Method],F6565,RawData[Location],G6565,RawData[Transaction Date],H6565)</f>
        <v>1</v>
      </c>
      <c r="L6565"/>
    </row>
    <row r="6566" spans="1:12" x14ac:dyDescent="0.3">
      <c r="A6566" t="s">
        <v>6572</v>
      </c>
      <c r="B6566" t="s">
        <v>10011</v>
      </c>
      <c r="C6566">
        <v>5</v>
      </c>
      <c r="D6566">
        <v>5</v>
      </c>
      <c r="E6566">
        <v>25</v>
      </c>
      <c r="F6566" t="s">
        <v>10069</v>
      </c>
      <c r="G6566" t="s">
        <v>10021</v>
      </c>
      <c r="H6566" s="6">
        <v>45209</v>
      </c>
      <c r="I6566">
        <f t="shared" si="204"/>
        <v>0</v>
      </c>
      <c r="J6566" t="str">
        <f t="shared" si="205"/>
        <v>Complete</v>
      </c>
      <c r="K6566">
        <f>COUNTIFS(RawData[Item], B6566,RawData[Quantity],C6566,RawData[Price Per Unit],D6566,RawData[Total Spent],E6566,RawData[Payment Method],F6566,RawData[Location],G6566,RawData[Transaction Date],H6566)</f>
        <v>1</v>
      </c>
      <c r="L6566"/>
    </row>
    <row r="6567" spans="1:12" x14ac:dyDescent="0.3">
      <c r="A6567" t="s">
        <v>6573</v>
      </c>
      <c r="B6567" t="s">
        <v>10014</v>
      </c>
      <c r="C6567" t="s">
        <v>10015</v>
      </c>
      <c r="D6567">
        <v>4</v>
      </c>
      <c r="E6567">
        <v>20</v>
      </c>
      <c r="F6567" t="s">
        <v>10018</v>
      </c>
      <c r="G6567" t="s">
        <v>10021</v>
      </c>
      <c r="H6567" s="6">
        <v>44983</v>
      </c>
      <c r="I6567">
        <f t="shared" si="204"/>
        <v>1</v>
      </c>
      <c r="J6567" t="str">
        <f t="shared" si="205"/>
        <v>Complete</v>
      </c>
      <c r="K6567">
        <f>COUNTIFS(RawData[Item], B6567,RawData[Quantity],C6567,RawData[Price Per Unit],D6567,RawData[Total Spent],E6567,RawData[Payment Method],F6567,RawData[Location],G6567,RawData[Transaction Date],H6567)</f>
        <v>1</v>
      </c>
      <c r="L6567"/>
    </row>
    <row r="6568" spans="1:12" x14ac:dyDescent="0.3">
      <c r="A6568" t="s">
        <v>6574</v>
      </c>
      <c r="B6568" t="s">
        <v>10012</v>
      </c>
      <c r="C6568">
        <v>1</v>
      </c>
      <c r="D6568">
        <v>4</v>
      </c>
      <c r="E6568">
        <v>4</v>
      </c>
      <c r="F6568" t="s">
        <v>10069</v>
      </c>
      <c r="G6568" t="s">
        <v>10102</v>
      </c>
      <c r="H6568" s="6">
        <v>45252</v>
      </c>
      <c r="I6568">
        <f t="shared" si="204"/>
        <v>0</v>
      </c>
      <c r="J6568" t="str">
        <f t="shared" si="205"/>
        <v>Complete</v>
      </c>
      <c r="K6568">
        <f>COUNTIFS(RawData[Item], B6568,RawData[Quantity],C6568,RawData[Price Per Unit],D6568,RawData[Total Spent],E6568,RawData[Payment Method],F6568,RawData[Location],G6568,RawData[Transaction Date],H6568)</f>
        <v>1</v>
      </c>
      <c r="L6568"/>
    </row>
    <row r="6569" spans="1:12" x14ac:dyDescent="0.3">
      <c r="A6569" t="s">
        <v>6575</v>
      </c>
      <c r="B6569" t="s">
        <v>10008</v>
      </c>
      <c r="C6569">
        <v>1</v>
      </c>
      <c r="D6569">
        <v>2</v>
      </c>
      <c r="E6569">
        <v>2</v>
      </c>
      <c r="F6569" t="s">
        <v>10018</v>
      </c>
      <c r="G6569" t="s">
        <v>10021</v>
      </c>
      <c r="H6569" s="6">
        <v>44981</v>
      </c>
      <c r="I6569">
        <f t="shared" si="204"/>
        <v>0</v>
      </c>
      <c r="J6569" t="str">
        <f t="shared" si="205"/>
        <v>Complete</v>
      </c>
      <c r="K6569">
        <f>COUNTIFS(RawData[Item], B6569,RawData[Quantity],C6569,RawData[Price Per Unit],D6569,RawData[Total Spent],E6569,RawData[Payment Method],F6569,RawData[Location],G6569,RawData[Transaction Date],H6569)</f>
        <v>1</v>
      </c>
      <c r="L6569"/>
    </row>
    <row r="6570" spans="1:12" x14ac:dyDescent="0.3">
      <c r="A6570" t="s">
        <v>6576</v>
      </c>
      <c r="B6570" t="s">
        <v>10012</v>
      </c>
      <c r="C6570">
        <v>1</v>
      </c>
      <c r="D6570">
        <v>4</v>
      </c>
      <c r="E6570">
        <v>4</v>
      </c>
      <c r="F6570" t="s">
        <v>10019</v>
      </c>
      <c r="G6570" t="s">
        <v>10102</v>
      </c>
      <c r="H6570" s="6">
        <v>45147</v>
      </c>
      <c r="I6570">
        <f t="shared" si="204"/>
        <v>0</v>
      </c>
      <c r="J6570" t="str">
        <f t="shared" si="205"/>
        <v>Complete</v>
      </c>
      <c r="K6570">
        <f>COUNTIFS(RawData[Item], B6570,RawData[Quantity],C6570,RawData[Price Per Unit],D6570,RawData[Total Spent],E6570,RawData[Payment Method],F6570,RawData[Location],G6570,RawData[Transaction Date],H6570)</f>
        <v>1</v>
      </c>
      <c r="L6570"/>
    </row>
    <row r="6571" spans="1:12" x14ac:dyDescent="0.3">
      <c r="A6571" t="s">
        <v>6577</v>
      </c>
      <c r="B6571" t="s">
        <v>10010</v>
      </c>
      <c r="C6571">
        <v>2</v>
      </c>
      <c r="D6571">
        <v>0</v>
      </c>
      <c r="E6571">
        <v>2</v>
      </c>
      <c r="F6571" t="s">
        <v>10020</v>
      </c>
      <c r="G6571" t="s">
        <v>10102</v>
      </c>
      <c r="H6571" s="6">
        <v>45161</v>
      </c>
      <c r="I6571">
        <f t="shared" si="204"/>
        <v>0</v>
      </c>
      <c r="J6571" t="str">
        <f t="shared" si="205"/>
        <v>Complete</v>
      </c>
      <c r="K6571">
        <f>COUNTIFS(RawData[Item], B6571,RawData[Quantity],C6571,RawData[Price Per Unit],D6571,RawData[Total Spent],E6571,RawData[Payment Method],F6571,RawData[Location],G6571,RawData[Transaction Date],H6571)</f>
        <v>1</v>
      </c>
      <c r="L6571"/>
    </row>
    <row r="6572" spans="1:12" x14ac:dyDescent="0.3">
      <c r="A6572" t="s">
        <v>6578</v>
      </c>
      <c r="B6572" t="s">
        <v>10017</v>
      </c>
      <c r="C6572">
        <v>1</v>
      </c>
      <c r="D6572">
        <v>1.5</v>
      </c>
      <c r="E6572">
        <v>1.5</v>
      </c>
      <c r="F6572" t="s">
        <v>10020</v>
      </c>
      <c r="G6572" t="s">
        <v>10021</v>
      </c>
      <c r="H6572" s="6">
        <v>45062</v>
      </c>
      <c r="I6572">
        <f t="shared" si="204"/>
        <v>0</v>
      </c>
      <c r="J6572" t="str">
        <f t="shared" si="205"/>
        <v>Complete</v>
      </c>
      <c r="K6572">
        <f>COUNTIFS(RawData[Item], B6572,RawData[Quantity],C6572,RawData[Price Per Unit],D6572,RawData[Total Spent],E6572,RawData[Payment Method],F6572,RawData[Location],G6572,RawData[Transaction Date],H6572)</f>
        <v>1</v>
      </c>
      <c r="L6572"/>
    </row>
    <row r="6573" spans="1:12" x14ac:dyDescent="0.3">
      <c r="A6573" t="s">
        <v>6579</v>
      </c>
      <c r="B6573" t="s">
        <v>10010</v>
      </c>
      <c r="C6573">
        <v>2</v>
      </c>
      <c r="D6573">
        <v>1</v>
      </c>
      <c r="E6573">
        <v>2</v>
      </c>
      <c r="F6573" t="s">
        <v>10018</v>
      </c>
      <c r="G6573" t="s">
        <v>10021</v>
      </c>
      <c r="H6573" s="6">
        <v>45239</v>
      </c>
      <c r="I6573">
        <f t="shared" si="204"/>
        <v>0</v>
      </c>
      <c r="J6573" t="str">
        <f t="shared" si="205"/>
        <v>Complete</v>
      </c>
      <c r="K6573">
        <f>COUNTIFS(RawData[Item], B6573,RawData[Quantity],C6573,RawData[Price Per Unit],D6573,RawData[Total Spent],E6573,RawData[Payment Method],F6573,RawData[Location],G6573,RawData[Transaction Date],H6573)</f>
        <v>1</v>
      </c>
      <c r="L6573"/>
    </row>
    <row r="6574" spans="1:12" x14ac:dyDescent="0.3">
      <c r="A6574" t="s">
        <v>6580</v>
      </c>
      <c r="B6574" t="s">
        <v>10010</v>
      </c>
      <c r="C6574">
        <v>2</v>
      </c>
      <c r="D6574">
        <v>1</v>
      </c>
      <c r="E6574">
        <v>2</v>
      </c>
      <c r="F6574" t="s">
        <v>10069</v>
      </c>
      <c r="G6574" t="s">
        <v>10021</v>
      </c>
      <c r="H6574" s="6">
        <v>45065</v>
      </c>
      <c r="I6574">
        <f t="shared" si="204"/>
        <v>0</v>
      </c>
      <c r="J6574" t="str">
        <f t="shared" si="205"/>
        <v>Complete</v>
      </c>
      <c r="K6574">
        <f>COUNTIFS(RawData[Item], B6574,RawData[Quantity],C6574,RawData[Price Per Unit],D6574,RawData[Total Spent],E6574,RawData[Payment Method],F6574,RawData[Location],G6574,RawData[Transaction Date],H6574)</f>
        <v>1</v>
      </c>
      <c r="L6574"/>
    </row>
    <row r="6575" spans="1:12" x14ac:dyDescent="0.3">
      <c r="A6575" t="s">
        <v>6581</v>
      </c>
      <c r="B6575" t="s">
        <v>10008</v>
      </c>
      <c r="C6575">
        <v>4</v>
      </c>
      <c r="D6575">
        <v>2</v>
      </c>
      <c r="E6575">
        <v>8</v>
      </c>
      <c r="F6575" t="s">
        <v>10069</v>
      </c>
      <c r="G6575" t="s">
        <v>10021</v>
      </c>
      <c r="H6575" s="6">
        <v>45051</v>
      </c>
      <c r="I6575">
        <f t="shared" si="204"/>
        <v>0</v>
      </c>
      <c r="J6575" t="str">
        <f t="shared" si="205"/>
        <v>Complete</v>
      </c>
      <c r="K6575">
        <f>COUNTIFS(RawData[Item], B6575,RawData[Quantity],C6575,RawData[Price Per Unit],D6575,RawData[Total Spent],E6575,RawData[Payment Method],F6575,RawData[Location],G6575,RawData[Transaction Date],H6575)</f>
        <v>1</v>
      </c>
      <c r="L6575"/>
    </row>
    <row r="6576" spans="1:12" x14ac:dyDescent="0.3">
      <c r="A6576" t="s">
        <v>6582</v>
      </c>
      <c r="B6576" t="s">
        <v>10069</v>
      </c>
      <c r="C6576">
        <v>2</v>
      </c>
      <c r="D6576">
        <v>1</v>
      </c>
      <c r="E6576">
        <v>2</v>
      </c>
      <c r="F6576" t="s">
        <v>10103</v>
      </c>
      <c r="G6576" t="s">
        <v>10104</v>
      </c>
      <c r="H6576" s="6">
        <v>45121</v>
      </c>
      <c r="I6576">
        <f t="shared" si="204"/>
        <v>2</v>
      </c>
      <c r="J6576" t="str">
        <f t="shared" si="205"/>
        <v>Complete</v>
      </c>
      <c r="K6576">
        <f>COUNTIFS(RawData[Item], B6576,RawData[Quantity],C6576,RawData[Price Per Unit],D6576,RawData[Total Spent],E6576,RawData[Payment Method],F6576,RawData[Location],G6576,RawData[Transaction Date],H6576)</f>
        <v>1</v>
      </c>
      <c r="L6576"/>
    </row>
    <row r="6577" spans="1:12" x14ac:dyDescent="0.3">
      <c r="A6577" t="s">
        <v>6583</v>
      </c>
      <c r="B6577" t="s">
        <v>10016</v>
      </c>
      <c r="C6577">
        <v>3</v>
      </c>
      <c r="D6577" t="s">
        <v>10015</v>
      </c>
      <c r="E6577">
        <v>9</v>
      </c>
      <c r="F6577" t="s">
        <v>10020</v>
      </c>
      <c r="G6577" t="s">
        <v>10103</v>
      </c>
      <c r="H6577" s="6">
        <v>45030</v>
      </c>
      <c r="I6577">
        <f t="shared" si="204"/>
        <v>2</v>
      </c>
      <c r="J6577" t="str">
        <f t="shared" si="205"/>
        <v>Complete</v>
      </c>
      <c r="K6577">
        <f>COUNTIFS(RawData[Item], B6577,RawData[Quantity],C6577,RawData[Price Per Unit],D6577,RawData[Total Spent],E6577,RawData[Payment Method],F6577,RawData[Location],G6577,RawData[Transaction Date],H6577)</f>
        <v>1</v>
      </c>
      <c r="L6577"/>
    </row>
    <row r="6578" spans="1:12" x14ac:dyDescent="0.3">
      <c r="A6578" t="s">
        <v>6584</v>
      </c>
      <c r="B6578" t="s">
        <v>10011</v>
      </c>
      <c r="C6578">
        <v>2</v>
      </c>
      <c r="D6578">
        <v>5</v>
      </c>
      <c r="E6578">
        <v>10</v>
      </c>
      <c r="F6578" t="s">
        <v>10020</v>
      </c>
      <c r="G6578" t="s">
        <v>10102</v>
      </c>
      <c r="H6578" s="6">
        <v>44931</v>
      </c>
      <c r="I6578">
        <f t="shared" si="204"/>
        <v>0</v>
      </c>
      <c r="J6578" t="str">
        <f t="shared" si="205"/>
        <v>Complete</v>
      </c>
      <c r="K6578">
        <f>COUNTIFS(RawData[Item], B6578,RawData[Quantity],C6578,RawData[Price Per Unit],D6578,RawData[Total Spent],E6578,RawData[Payment Method],F6578,RawData[Location],G6578,RawData[Transaction Date],H6578)</f>
        <v>1</v>
      </c>
      <c r="L6578"/>
    </row>
    <row r="6579" spans="1:12" x14ac:dyDescent="0.3">
      <c r="A6579" t="s">
        <v>6585</v>
      </c>
      <c r="B6579" t="s">
        <v>10011</v>
      </c>
      <c r="C6579">
        <v>3</v>
      </c>
      <c r="D6579" t="s">
        <v>10015</v>
      </c>
      <c r="E6579">
        <v>15</v>
      </c>
      <c r="F6579" t="s">
        <v>10069</v>
      </c>
      <c r="G6579" t="s">
        <v>10069</v>
      </c>
      <c r="H6579" s="6">
        <v>45078</v>
      </c>
      <c r="I6579">
        <f t="shared" si="204"/>
        <v>1</v>
      </c>
      <c r="J6579" t="str">
        <f t="shared" si="205"/>
        <v>Complete</v>
      </c>
      <c r="K6579">
        <f>COUNTIFS(RawData[Item], B6579,RawData[Quantity],C6579,RawData[Price Per Unit],D6579,RawData[Total Spent],E6579,RawData[Payment Method],F6579,RawData[Location],G6579,RawData[Transaction Date],H6579)</f>
        <v>1</v>
      </c>
      <c r="L6579"/>
    </row>
    <row r="6580" spans="1:12" x14ac:dyDescent="0.3">
      <c r="A6580" t="s">
        <v>6586</v>
      </c>
      <c r="B6580" t="s">
        <v>10017</v>
      </c>
      <c r="C6580">
        <v>4</v>
      </c>
      <c r="D6580">
        <v>1.5</v>
      </c>
      <c r="E6580">
        <v>6</v>
      </c>
      <c r="F6580" t="s">
        <v>10020</v>
      </c>
      <c r="G6580" t="s">
        <v>10104</v>
      </c>
      <c r="H6580" s="6">
        <v>45278</v>
      </c>
      <c r="I6580">
        <f t="shared" si="204"/>
        <v>1</v>
      </c>
      <c r="J6580" t="str">
        <f t="shared" si="205"/>
        <v>Complete</v>
      </c>
      <c r="K6580">
        <f>COUNTIFS(RawData[Item], B6580,RawData[Quantity],C6580,RawData[Price Per Unit],D6580,RawData[Total Spent],E6580,RawData[Payment Method],F6580,RawData[Location],G6580,RawData[Transaction Date],H6580)</f>
        <v>1</v>
      </c>
      <c r="L6580"/>
    </row>
    <row r="6581" spans="1:12" x14ac:dyDescent="0.3">
      <c r="A6581" t="s">
        <v>6587</v>
      </c>
      <c r="B6581" t="s">
        <v>10015</v>
      </c>
      <c r="C6581">
        <v>3</v>
      </c>
      <c r="D6581">
        <v>2</v>
      </c>
      <c r="E6581">
        <v>6</v>
      </c>
      <c r="F6581" t="s">
        <v>10020</v>
      </c>
      <c r="G6581" t="s">
        <v>10102</v>
      </c>
      <c r="H6581" s="6">
        <v>44968</v>
      </c>
      <c r="I6581">
        <f t="shared" si="204"/>
        <v>1</v>
      </c>
      <c r="J6581" t="str">
        <f t="shared" si="205"/>
        <v>Complete</v>
      </c>
      <c r="K6581">
        <f>COUNTIFS(RawData[Item], B6581,RawData[Quantity],C6581,RawData[Price Per Unit],D6581,RawData[Total Spent],E6581,RawData[Payment Method],F6581,RawData[Location],G6581,RawData[Transaction Date],H6581)</f>
        <v>1</v>
      </c>
      <c r="L6581"/>
    </row>
    <row r="6582" spans="1:12" x14ac:dyDescent="0.3">
      <c r="A6582" t="s">
        <v>6588</v>
      </c>
      <c r="B6582" t="s">
        <v>10013</v>
      </c>
      <c r="C6582">
        <v>3</v>
      </c>
      <c r="D6582">
        <v>5</v>
      </c>
      <c r="E6582">
        <v>15</v>
      </c>
      <c r="F6582" t="s">
        <v>10018</v>
      </c>
      <c r="G6582" t="s">
        <v>10102</v>
      </c>
      <c r="H6582" s="6">
        <v>45214</v>
      </c>
      <c r="I6582">
        <f t="shared" si="204"/>
        <v>1</v>
      </c>
      <c r="J6582" t="str">
        <f t="shared" si="205"/>
        <v>Complete</v>
      </c>
      <c r="K6582">
        <f>COUNTIFS(RawData[Item], B6582,RawData[Quantity],C6582,RawData[Price Per Unit],D6582,RawData[Total Spent],E6582,RawData[Payment Method],F6582,RawData[Location],G6582,RawData[Transaction Date],H6582)</f>
        <v>1</v>
      </c>
      <c r="L6582"/>
    </row>
    <row r="6583" spans="1:12" x14ac:dyDescent="0.3">
      <c r="A6583" t="s">
        <v>6589</v>
      </c>
      <c r="B6583" t="s">
        <v>10014</v>
      </c>
      <c r="C6583">
        <v>1</v>
      </c>
      <c r="D6583">
        <v>4</v>
      </c>
      <c r="E6583">
        <v>4</v>
      </c>
      <c r="F6583" t="s">
        <v>10020</v>
      </c>
      <c r="G6583" t="s">
        <v>10102</v>
      </c>
      <c r="H6583" s="6">
        <v>44980</v>
      </c>
      <c r="I6583">
        <f t="shared" si="204"/>
        <v>0</v>
      </c>
      <c r="J6583" t="str">
        <f t="shared" si="205"/>
        <v>Complete</v>
      </c>
      <c r="K6583">
        <f>COUNTIFS(RawData[Item], B6583,RawData[Quantity],C6583,RawData[Price Per Unit],D6583,RawData[Total Spent],E6583,RawData[Payment Method],F6583,RawData[Location],G6583,RawData[Transaction Date],H6583)</f>
        <v>1</v>
      </c>
      <c r="L6583"/>
    </row>
    <row r="6584" spans="1:12" x14ac:dyDescent="0.3">
      <c r="A6584" t="s">
        <v>6590</v>
      </c>
      <c r="B6584" t="s">
        <v>10011</v>
      </c>
      <c r="C6584">
        <v>2</v>
      </c>
      <c r="D6584">
        <v>5</v>
      </c>
      <c r="E6584">
        <v>10</v>
      </c>
      <c r="F6584" t="s">
        <v>10019</v>
      </c>
      <c r="G6584" t="s">
        <v>10069</v>
      </c>
      <c r="H6584" s="6">
        <v>44984</v>
      </c>
      <c r="I6584">
        <f t="shared" si="204"/>
        <v>0</v>
      </c>
      <c r="J6584" t="str">
        <f t="shared" si="205"/>
        <v>Complete</v>
      </c>
      <c r="K6584">
        <f>COUNTIFS(RawData[Item], B6584,RawData[Quantity],C6584,RawData[Price Per Unit],D6584,RawData[Total Spent],E6584,RawData[Payment Method],F6584,RawData[Location],G6584,RawData[Transaction Date],H6584)</f>
        <v>1</v>
      </c>
      <c r="L6584"/>
    </row>
    <row r="6585" spans="1:12" x14ac:dyDescent="0.3">
      <c r="A6585" t="s">
        <v>6591</v>
      </c>
      <c r="B6585" t="s">
        <v>10008</v>
      </c>
      <c r="C6585">
        <v>4</v>
      </c>
      <c r="D6585">
        <v>2</v>
      </c>
      <c r="E6585">
        <v>8</v>
      </c>
      <c r="F6585" t="s">
        <v>10020</v>
      </c>
      <c r="G6585" t="s">
        <v>10102</v>
      </c>
      <c r="H6585" s="6">
        <v>44927</v>
      </c>
      <c r="I6585">
        <f t="shared" si="204"/>
        <v>0</v>
      </c>
      <c r="J6585" t="str">
        <f t="shared" si="205"/>
        <v>Complete</v>
      </c>
      <c r="K6585">
        <f>COUNTIFS(RawData[Item], B6585,RawData[Quantity],C6585,RawData[Price Per Unit],D6585,RawData[Total Spent],E6585,RawData[Payment Method],F6585,RawData[Location],G6585,RawData[Transaction Date],H6585)</f>
        <v>1</v>
      </c>
      <c r="L6585"/>
    </row>
    <row r="6586" spans="1:12" x14ac:dyDescent="0.3">
      <c r="A6586" t="s">
        <v>6592</v>
      </c>
      <c r="B6586" t="s">
        <v>10012</v>
      </c>
      <c r="C6586">
        <v>4</v>
      </c>
      <c r="D6586">
        <v>4</v>
      </c>
      <c r="E6586">
        <v>16</v>
      </c>
      <c r="F6586" t="s">
        <v>10069</v>
      </c>
      <c r="G6586" t="s">
        <v>10102</v>
      </c>
      <c r="H6586" s="6">
        <v>45185</v>
      </c>
      <c r="I6586">
        <f t="shared" si="204"/>
        <v>0</v>
      </c>
      <c r="J6586" t="str">
        <f t="shared" si="205"/>
        <v>Complete</v>
      </c>
      <c r="K6586">
        <f>COUNTIFS(RawData[Item], B6586,RawData[Quantity],C6586,RawData[Price Per Unit],D6586,RawData[Total Spent],E6586,RawData[Payment Method],F6586,RawData[Location],G6586,RawData[Transaction Date],H6586)</f>
        <v>1</v>
      </c>
      <c r="L6586"/>
    </row>
    <row r="6587" spans="1:12" x14ac:dyDescent="0.3">
      <c r="A6587" t="s">
        <v>6593</v>
      </c>
      <c r="B6587" t="s">
        <v>10016</v>
      </c>
      <c r="C6587">
        <v>5</v>
      </c>
      <c r="D6587">
        <v>3</v>
      </c>
      <c r="E6587">
        <v>15</v>
      </c>
      <c r="F6587" t="s">
        <v>10018</v>
      </c>
      <c r="G6587" t="s">
        <v>10102</v>
      </c>
      <c r="H6587" s="6">
        <v>45220</v>
      </c>
      <c r="I6587">
        <f t="shared" si="204"/>
        <v>0</v>
      </c>
      <c r="J6587" t="str">
        <f t="shared" si="205"/>
        <v>Complete</v>
      </c>
      <c r="K6587">
        <f>COUNTIFS(RawData[Item], B6587,RawData[Quantity],C6587,RawData[Price Per Unit],D6587,RawData[Total Spent],E6587,RawData[Payment Method],F6587,RawData[Location],G6587,RawData[Transaction Date],H6587)</f>
        <v>1</v>
      </c>
      <c r="L6587"/>
    </row>
    <row r="6588" spans="1:12" x14ac:dyDescent="0.3">
      <c r="A6588" t="s">
        <v>6594</v>
      </c>
      <c r="B6588" t="s">
        <v>10008</v>
      </c>
      <c r="C6588">
        <v>1</v>
      </c>
      <c r="D6588">
        <v>2</v>
      </c>
      <c r="E6588">
        <v>2</v>
      </c>
      <c r="F6588" t="s">
        <v>10018</v>
      </c>
      <c r="G6588" t="s">
        <v>10102</v>
      </c>
      <c r="H6588" s="6">
        <v>45267</v>
      </c>
      <c r="I6588">
        <f t="shared" si="204"/>
        <v>0</v>
      </c>
      <c r="J6588" t="str">
        <f t="shared" si="205"/>
        <v>Complete</v>
      </c>
      <c r="K6588">
        <f>COUNTIFS(RawData[Item], B6588,RawData[Quantity],C6588,RawData[Price Per Unit],D6588,RawData[Total Spent],E6588,RawData[Payment Method],F6588,RawData[Location],G6588,RawData[Transaction Date],H6588)</f>
        <v>1</v>
      </c>
      <c r="L6588"/>
    </row>
    <row r="6589" spans="1:12" x14ac:dyDescent="0.3">
      <c r="A6589" t="s">
        <v>6595</v>
      </c>
      <c r="B6589" t="s">
        <v>10016</v>
      </c>
      <c r="C6589">
        <v>5</v>
      </c>
      <c r="D6589">
        <v>3</v>
      </c>
      <c r="E6589">
        <v>15</v>
      </c>
      <c r="F6589" t="s">
        <v>10019</v>
      </c>
      <c r="G6589" t="s">
        <v>10021</v>
      </c>
      <c r="H6589" s="6">
        <v>45136</v>
      </c>
      <c r="I6589">
        <f t="shared" si="204"/>
        <v>0</v>
      </c>
      <c r="J6589" t="str">
        <f t="shared" si="205"/>
        <v>Complete</v>
      </c>
      <c r="K6589">
        <f>COUNTIFS(RawData[Item], B6589,RawData[Quantity],C6589,RawData[Price Per Unit],D6589,RawData[Total Spent],E6589,RawData[Payment Method],F6589,RawData[Location],G6589,RawData[Transaction Date],H6589)</f>
        <v>1</v>
      </c>
      <c r="L6589"/>
    </row>
    <row r="6590" spans="1:12" x14ac:dyDescent="0.3">
      <c r="A6590" t="s">
        <v>6596</v>
      </c>
      <c r="B6590" t="s">
        <v>10016</v>
      </c>
      <c r="C6590" t="s">
        <v>10013</v>
      </c>
      <c r="D6590">
        <v>3</v>
      </c>
      <c r="E6590">
        <v>15</v>
      </c>
      <c r="F6590" t="s">
        <v>10069</v>
      </c>
      <c r="G6590" t="s">
        <v>10021</v>
      </c>
      <c r="H6590" s="6">
        <v>44958</v>
      </c>
      <c r="I6590">
        <f t="shared" si="204"/>
        <v>1</v>
      </c>
      <c r="J6590" t="str">
        <f t="shared" si="205"/>
        <v>Complete</v>
      </c>
      <c r="K6590">
        <f>COUNTIFS(RawData[Item], B6590,RawData[Quantity],C6590,RawData[Price Per Unit],D6590,RawData[Total Spent],E6590,RawData[Payment Method],F6590,RawData[Location],G6590,RawData[Transaction Date],H6590)</f>
        <v>1</v>
      </c>
      <c r="L6590"/>
    </row>
    <row r="6591" spans="1:12" x14ac:dyDescent="0.3">
      <c r="A6591" t="s">
        <v>6597</v>
      </c>
      <c r="B6591" t="s">
        <v>10009</v>
      </c>
      <c r="C6591">
        <v>2</v>
      </c>
      <c r="D6591">
        <v>3</v>
      </c>
      <c r="E6591">
        <v>6</v>
      </c>
      <c r="F6591" t="s">
        <v>10020</v>
      </c>
      <c r="G6591" t="s">
        <v>10021</v>
      </c>
      <c r="H6591" s="6">
        <v>44931</v>
      </c>
      <c r="I6591">
        <f t="shared" si="204"/>
        <v>0</v>
      </c>
      <c r="J6591" t="str">
        <f t="shared" si="205"/>
        <v>Complete</v>
      </c>
      <c r="K6591">
        <f>COUNTIFS(RawData[Item], B6591,RawData[Quantity],C6591,RawData[Price Per Unit],D6591,RawData[Total Spent],E6591,RawData[Payment Method],F6591,RawData[Location],G6591,RawData[Transaction Date],H6591)</f>
        <v>1</v>
      </c>
      <c r="L6591"/>
    </row>
    <row r="6592" spans="1:12" x14ac:dyDescent="0.3">
      <c r="A6592" t="s">
        <v>6598</v>
      </c>
      <c r="B6592" t="s">
        <v>10069</v>
      </c>
      <c r="C6592">
        <v>4</v>
      </c>
      <c r="D6592">
        <v>5</v>
      </c>
      <c r="E6592">
        <v>20</v>
      </c>
      <c r="F6592" t="s">
        <v>10069</v>
      </c>
      <c r="G6592" t="s">
        <v>10021</v>
      </c>
      <c r="H6592" s="6">
        <v>45066</v>
      </c>
      <c r="I6592">
        <f t="shared" si="204"/>
        <v>0</v>
      </c>
      <c r="J6592" t="str">
        <f t="shared" si="205"/>
        <v>Complete</v>
      </c>
      <c r="K6592">
        <f>COUNTIFS(RawData[Item], B6592,RawData[Quantity],C6592,RawData[Price Per Unit],D6592,RawData[Total Spent],E6592,RawData[Payment Method],F6592,RawData[Location],G6592,RawData[Transaction Date],H6592)</f>
        <v>1</v>
      </c>
      <c r="L6592"/>
    </row>
    <row r="6593" spans="1:12" x14ac:dyDescent="0.3">
      <c r="A6593" t="s">
        <v>6599</v>
      </c>
      <c r="B6593" t="s">
        <v>10016</v>
      </c>
      <c r="C6593">
        <v>1</v>
      </c>
      <c r="D6593">
        <v>3</v>
      </c>
      <c r="E6593">
        <v>3</v>
      </c>
      <c r="F6593" t="s">
        <v>10019</v>
      </c>
      <c r="G6593" t="s">
        <v>10102</v>
      </c>
      <c r="H6593" s="6">
        <v>45260</v>
      </c>
      <c r="I6593">
        <f t="shared" si="204"/>
        <v>0</v>
      </c>
      <c r="J6593" t="str">
        <f t="shared" si="205"/>
        <v>Complete</v>
      </c>
      <c r="K6593">
        <f>COUNTIFS(RawData[Item], B6593,RawData[Quantity],C6593,RawData[Price Per Unit],D6593,RawData[Total Spent],E6593,RawData[Payment Method],F6593,RawData[Location],G6593,RawData[Transaction Date],H6593)</f>
        <v>1</v>
      </c>
      <c r="L6593"/>
    </row>
    <row r="6594" spans="1:12" x14ac:dyDescent="0.3">
      <c r="A6594" t="s">
        <v>6600</v>
      </c>
      <c r="B6594" t="s">
        <v>10015</v>
      </c>
      <c r="C6594">
        <v>4</v>
      </c>
      <c r="D6594">
        <v>4</v>
      </c>
      <c r="E6594">
        <v>16</v>
      </c>
      <c r="F6594" t="s">
        <v>10069</v>
      </c>
      <c r="G6594" t="s">
        <v>10069</v>
      </c>
      <c r="H6594" s="6">
        <v>45165</v>
      </c>
      <c r="I6594">
        <f t="shared" ref="I6594:I6657" si="206">(B6594="Unknown")+(B6594="Error")+(C6594="Unknown")+(C6594="Error")+(D6594="Unknown")+(D6594="Error")+(E6594="Unknown")+(E6594="Error")+(F6594="Unknown")+(F6594="Error")+(G6594="Unknown")+(G6594="Error")+(H6594="No Date")</f>
        <v>1</v>
      </c>
      <c r="J6594" t="str">
        <f t="shared" ref="J6594:J6657" si="207">IF((H6594="No Date"),"Incomplete","Complete")</f>
        <v>Complete</v>
      </c>
      <c r="K6594">
        <f>COUNTIFS(RawData[Item], B6594,RawData[Quantity],C6594,RawData[Price Per Unit],D6594,RawData[Total Spent],E6594,RawData[Payment Method],F6594,RawData[Location],G6594,RawData[Transaction Date],H6594)</f>
        <v>1</v>
      </c>
      <c r="L6594"/>
    </row>
    <row r="6595" spans="1:12" x14ac:dyDescent="0.3">
      <c r="A6595" t="s">
        <v>6601</v>
      </c>
      <c r="B6595" t="s">
        <v>10012</v>
      </c>
      <c r="C6595">
        <v>5</v>
      </c>
      <c r="D6595">
        <v>4</v>
      </c>
      <c r="E6595">
        <v>20</v>
      </c>
      <c r="F6595" t="s">
        <v>10069</v>
      </c>
      <c r="G6595" t="s">
        <v>10021</v>
      </c>
      <c r="H6595" s="6">
        <v>45249</v>
      </c>
      <c r="I6595">
        <f t="shared" si="206"/>
        <v>0</v>
      </c>
      <c r="J6595" t="str">
        <f t="shared" si="207"/>
        <v>Complete</v>
      </c>
      <c r="K6595">
        <f>COUNTIFS(RawData[Item], B6595,RawData[Quantity],C6595,RawData[Price Per Unit],D6595,RawData[Total Spent],E6595,RawData[Payment Method],F6595,RawData[Location],G6595,RawData[Transaction Date],H6595)</f>
        <v>1</v>
      </c>
      <c r="L6595"/>
    </row>
    <row r="6596" spans="1:12" x14ac:dyDescent="0.3">
      <c r="A6596" t="s">
        <v>6602</v>
      </c>
      <c r="B6596" t="s">
        <v>10014</v>
      </c>
      <c r="C6596">
        <v>3</v>
      </c>
      <c r="D6596">
        <v>4</v>
      </c>
      <c r="E6596">
        <v>12</v>
      </c>
      <c r="F6596" t="s">
        <v>10069</v>
      </c>
      <c r="G6596" t="s">
        <v>10069</v>
      </c>
      <c r="H6596" s="6">
        <v>45178</v>
      </c>
      <c r="I6596">
        <f t="shared" si="206"/>
        <v>0</v>
      </c>
      <c r="J6596" t="str">
        <f t="shared" si="207"/>
        <v>Complete</v>
      </c>
      <c r="K6596">
        <f>COUNTIFS(RawData[Item], B6596,RawData[Quantity],C6596,RawData[Price Per Unit],D6596,RawData[Total Spent],E6596,RawData[Payment Method],F6596,RawData[Location],G6596,RawData[Transaction Date],H6596)</f>
        <v>1</v>
      </c>
      <c r="L6596"/>
    </row>
    <row r="6597" spans="1:12" x14ac:dyDescent="0.3">
      <c r="A6597" t="s">
        <v>6603</v>
      </c>
      <c r="B6597" t="s">
        <v>10013</v>
      </c>
      <c r="C6597" t="s">
        <v>10015</v>
      </c>
      <c r="D6597">
        <v>4</v>
      </c>
      <c r="E6597">
        <v>16</v>
      </c>
      <c r="F6597" t="s">
        <v>10019</v>
      </c>
      <c r="G6597" t="s">
        <v>10021</v>
      </c>
      <c r="H6597" s="6">
        <v>45194</v>
      </c>
      <c r="I6597">
        <f t="shared" si="206"/>
        <v>2</v>
      </c>
      <c r="J6597" t="str">
        <f t="shared" si="207"/>
        <v>Complete</v>
      </c>
      <c r="K6597">
        <f>COUNTIFS(RawData[Item], B6597,RawData[Quantity],C6597,RawData[Price Per Unit],D6597,RawData[Total Spent],E6597,RawData[Payment Method],F6597,RawData[Location],G6597,RawData[Transaction Date],H6597)</f>
        <v>1</v>
      </c>
      <c r="L6597"/>
    </row>
    <row r="6598" spans="1:12" x14ac:dyDescent="0.3">
      <c r="A6598" t="s">
        <v>6604</v>
      </c>
      <c r="B6598" t="s">
        <v>10016</v>
      </c>
      <c r="C6598">
        <v>2</v>
      </c>
      <c r="D6598">
        <v>3</v>
      </c>
      <c r="E6598">
        <v>6</v>
      </c>
      <c r="F6598" t="s">
        <v>10020</v>
      </c>
      <c r="G6598" t="s">
        <v>10069</v>
      </c>
      <c r="H6598" s="6">
        <v>45018</v>
      </c>
      <c r="I6598">
        <f t="shared" si="206"/>
        <v>0</v>
      </c>
      <c r="J6598" t="str">
        <f t="shared" si="207"/>
        <v>Complete</v>
      </c>
      <c r="K6598">
        <f>COUNTIFS(RawData[Item], B6598,RawData[Quantity],C6598,RawData[Price Per Unit],D6598,RawData[Total Spent],E6598,RawData[Payment Method],F6598,RawData[Location],G6598,RawData[Transaction Date],H6598)</f>
        <v>1</v>
      </c>
      <c r="L6598"/>
    </row>
    <row r="6599" spans="1:12" x14ac:dyDescent="0.3">
      <c r="A6599" t="s">
        <v>6605</v>
      </c>
      <c r="B6599" t="s">
        <v>10017</v>
      </c>
      <c r="C6599">
        <v>1</v>
      </c>
      <c r="D6599">
        <v>1.5</v>
      </c>
      <c r="E6599">
        <v>1.5</v>
      </c>
      <c r="F6599" t="s">
        <v>10103</v>
      </c>
      <c r="G6599" t="s">
        <v>10021</v>
      </c>
      <c r="H6599" s="6">
        <v>45251</v>
      </c>
      <c r="I6599">
        <f t="shared" si="206"/>
        <v>1</v>
      </c>
      <c r="J6599" t="str">
        <f t="shared" si="207"/>
        <v>Complete</v>
      </c>
      <c r="K6599">
        <f>COUNTIFS(RawData[Item], B6599,RawData[Quantity],C6599,RawData[Price Per Unit],D6599,RawData[Total Spent],E6599,RawData[Payment Method],F6599,RawData[Location],G6599,RawData[Transaction Date],H6599)</f>
        <v>1</v>
      </c>
      <c r="L6599"/>
    </row>
    <row r="6600" spans="1:12" x14ac:dyDescent="0.3">
      <c r="A6600" t="s">
        <v>6606</v>
      </c>
      <c r="B6600" t="s">
        <v>10014</v>
      </c>
      <c r="C6600">
        <v>0</v>
      </c>
      <c r="D6600">
        <v>4</v>
      </c>
      <c r="E6600">
        <v>8</v>
      </c>
      <c r="F6600" t="s">
        <v>10019</v>
      </c>
      <c r="G6600" t="s">
        <v>10102</v>
      </c>
      <c r="H6600" s="6">
        <v>44995</v>
      </c>
      <c r="I6600">
        <f t="shared" si="206"/>
        <v>0</v>
      </c>
      <c r="J6600" t="str">
        <f t="shared" si="207"/>
        <v>Complete</v>
      </c>
      <c r="K6600">
        <f>COUNTIFS(RawData[Item], B6600,RawData[Quantity],C6600,RawData[Price Per Unit],D6600,RawData[Total Spent],E6600,RawData[Payment Method],F6600,RawData[Location],G6600,RawData[Transaction Date],H6600)</f>
        <v>1</v>
      </c>
      <c r="L6600"/>
    </row>
    <row r="6601" spans="1:12" x14ac:dyDescent="0.3">
      <c r="A6601" t="s">
        <v>6607</v>
      </c>
      <c r="B6601" t="s">
        <v>10008</v>
      </c>
      <c r="C6601">
        <v>1</v>
      </c>
      <c r="D6601">
        <v>2</v>
      </c>
      <c r="E6601">
        <v>2</v>
      </c>
      <c r="F6601" t="s">
        <v>10018</v>
      </c>
      <c r="G6601" t="s">
        <v>10069</v>
      </c>
      <c r="H6601" s="6">
        <v>45107</v>
      </c>
      <c r="I6601">
        <f t="shared" si="206"/>
        <v>0</v>
      </c>
      <c r="J6601" t="str">
        <f t="shared" si="207"/>
        <v>Complete</v>
      </c>
      <c r="K6601">
        <f>COUNTIFS(RawData[Item], B6601,RawData[Quantity],C6601,RawData[Price Per Unit],D6601,RawData[Total Spent],E6601,RawData[Payment Method],F6601,RawData[Location],G6601,RawData[Transaction Date],H6601)</f>
        <v>2</v>
      </c>
      <c r="L6601"/>
    </row>
    <row r="6602" spans="1:12" x14ac:dyDescent="0.3">
      <c r="A6602" t="s">
        <v>6608</v>
      </c>
      <c r="B6602" t="s">
        <v>10011</v>
      </c>
      <c r="C6602">
        <v>3</v>
      </c>
      <c r="D6602">
        <v>5</v>
      </c>
      <c r="E6602">
        <v>15</v>
      </c>
      <c r="F6602" t="s">
        <v>10018</v>
      </c>
      <c r="G6602" t="s">
        <v>10021</v>
      </c>
      <c r="H6602" s="6">
        <v>45114</v>
      </c>
      <c r="I6602">
        <f t="shared" si="206"/>
        <v>0</v>
      </c>
      <c r="J6602" t="str">
        <f t="shared" si="207"/>
        <v>Complete</v>
      </c>
      <c r="K6602">
        <f>COUNTIFS(RawData[Item], B6602,RawData[Quantity],C6602,RawData[Price Per Unit],D6602,RawData[Total Spent],E6602,RawData[Payment Method],F6602,RawData[Location],G6602,RawData[Transaction Date],H6602)</f>
        <v>1</v>
      </c>
      <c r="L6602"/>
    </row>
    <row r="6603" spans="1:12" x14ac:dyDescent="0.3">
      <c r="A6603" t="s">
        <v>6609</v>
      </c>
      <c r="B6603" t="s">
        <v>10014</v>
      </c>
      <c r="C6603">
        <v>5</v>
      </c>
      <c r="D6603">
        <v>4</v>
      </c>
      <c r="E6603">
        <v>20</v>
      </c>
      <c r="F6603" t="s">
        <v>10020</v>
      </c>
      <c r="G6603" t="s">
        <v>10021</v>
      </c>
      <c r="H6603" s="6">
        <v>45277</v>
      </c>
      <c r="I6603">
        <f t="shared" si="206"/>
        <v>0</v>
      </c>
      <c r="J6603" t="str">
        <f t="shared" si="207"/>
        <v>Complete</v>
      </c>
      <c r="K6603">
        <f>COUNTIFS(RawData[Item], B6603,RawData[Quantity],C6603,RawData[Price Per Unit],D6603,RawData[Total Spent],E6603,RawData[Payment Method],F6603,RawData[Location],G6603,RawData[Transaction Date],H6603)</f>
        <v>1</v>
      </c>
      <c r="L6603"/>
    </row>
    <row r="6604" spans="1:12" x14ac:dyDescent="0.3">
      <c r="A6604" t="s">
        <v>6610</v>
      </c>
      <c r="B6604" t="s">
        <v>10017</v>
      </c>
      <c r="C6604">
        <v>4</v>
      </c>
      <c r="D6604">
        <v>1.5</v>
      </c>
      <c r="E6604">
        <v>6</v>
      </c>
      <c r="F6604" t="s">
        <v>10018</v>
      </c>
      <c r="G6604" t="s">
        <v>10102</v>
      </c>
      <c r="H6604" s="6">
        <v>45195</v>
      </c>
      <c r="I6604">
        <f t="shared" si="206"/>
        <v>0</v>
      </c>
      <c r="J6604" t="str">
        <f t="shared" si="207"/>
        <v>Complete</v>
      </c>
      <c r="K6604">
        <f>COUNTIFS(RawData[Item], B6604,RawData[Quantity],C6604,RawData[Price Per Unit],D6604,RawData[Total Spent],E6604,RawData[Payment Method],F6604,RawData[Location],G6604,RawData[Transaction Date],H6604)</f>
        <v>1</v>
      </c>
      <c r="L6604"/>
    </row>
    <row r="6605" spans="1:12" x14ac:dyDescent="0.3">
      <c r="A6605" t="s">
        <v>6611</v>
      </c>
      <c r="B6605" t="s">
        <v>10010</v>
      </c>
      <c r="C6605">
        <v>1</v>
      </c>
      <c r="D6605">
        <v>1</v>
      </c>
      <c r="E6605">
        <v>1</v>
      </c>
      <c r="F6605" t="s">
        <v>10019</v>
      </c>
      <c r="G6605" t="s">
        <v>10103</v>
      </c>
      <c r="H6605" s="6">
        <v>44949</v>
      </c>
      <c r="I6605">
        <f t="shared" si="206"/>
        <v>1</v>
      </c>
      <c r="J6605" t="str">
        <f t="shared" si="207"/>
        <v>Complete</v>
      </c>
      <c r="K6605">
        <f>COUNTIFS(RawData[Item], B6605,RawData[Quantity],C6605,RawData[Price Per Unit],D6605,RawData[Total Spent],E6605,RawData[Payment Method],F6605,RawData[Location],G6605,RawData[Transaction Date],H6605)</f>
        <v>1</v>
      </c>
      <c r="L6605"/>
    </row>
    <row r="6606" spans="1:12" x14ac:dyDescent="0.3">
      <c r="A6606" t="s">
        <v>6612</v>
      </c>
      <c r="B6606" t="s">
        <v>10016</v>
      </c>
      <c r="C6606">
        <v>1</v>
      </c>
      <c r="D6606">
        <v>3</v>
      </c>
      <c r="E6606">
        <v>3</v>
      </c>
      <c r="F6606" t="s">
        <v>10020</v>
      </c>
      <c r="G6606" t="s">
        <v>10069</v>
      </c>
      <c r="H6606" s="6">
        <v>45012</v>
      </c>
      <c r="I6606">
        <f t="shared" si="206"/>
        <v>0</v>
      </c>
      <c r="J6606" t="str">
        <f t="shared" si="207"/>
        <v>Complete</v>
      </c>
      <c r="K6606">
        <f>COUNTIFS(RawData[Item], B6606,RawData[Quantity],C6606,RawData[Price Per Unit],D6606,RawData[Total Spent],E6606,RawData[Payment Method],F6606,RawData[Location],G6606,RawData[Transaction Date],H6606)</f>
        <v>1</v>
      </c>
      <c r="L6606"/>
    </row>
    <row r="6607" spans="1:12" x14ac:dyDescent="0.3">
      <c r="A6607" t="s">
        <v>6613</v>
      </c>
      <c r="B6607" t="s">
        <v>10069</v>
      </c>
      <c r="C6607">
        <v>2</v>
      </c>
      <c r="D6607">
        <v>3</v>
      </c>
      <c r="E6607">
        <v>6</v>
      </c>
      <c r="F6607" t="s">
        <v>10069</v>
      </c>
      <c r="G6607" t="s">
        <v>10069</v>
      </c>
      <c r="H6607" s="6">
        <v>45039</v>
      </c>
      <c r="I6607">
        <f t="shared" si="206"/>
        <v>0</v>
      </c>
      <c r="J6607" t="str">
        <f t="shared" si="207"/>
        <v>Complete</v>
      </c>
      <c r="K6607">
        <f>COUNTIFS(RawData[Item], B6607,RawData[Quantity],C6607,RawData[Price Per Unit],D6607,RawData[Total Spent],E6607,RawData[Payment Method],F6607,RawData[Location],G6607,RawData[Transaction Date],H6607)</f>
        <v>1</v>
      </c>
      <c r="L6607"/>
    </row>
    <row r="6608" spans="1:12" x14ac:dyDescent="0.3">
      <c r="A6608" t="s">
        <v>6614</v>
      </c>
      <c r="B6608" t="s">
        <v>10010</v>
      </c>
      <c r="C6608">
        <v>2</v>
      </c>
      <c r="D6608">
        <v>1</v>
      </c>
      <c r="E6608">
        <v>2</v>
      </c>
      <c r="F6608" t="s">
        <v>10020</v>
      </c>
      <c r="G6608" t="s">
        <v>10069</v>
      </c>
      <c r="H6608" s="6">
        <v>45262</v>
      </c>
      <c r="I6608">
        <f t="shared" si="206"/>
        <v>0</v>
      </c>
      <c r="J6608" t="str">
        <f t="shared" si="207"/>
        <v>Complete</v>
      </c>
      <c r="K6608">
        <f>COUNTIFS(RawData[Item], B6608,RawData[Quantity],C6608,RawData[Price Per Unit],D6608,RawData[Total Spent],E6608,RawData[Payment Method],F6608,RawData[Location],G6608,RawData[Transaction Date],H6608)</f>
        <v>1</v>
      </c>
      <c r="L6608"/>
    </row>
    <row r="6609" spans="1:12" x14ac:dyDescent="0.3">
      <c r="A6609" t="s">
        <v>6615</v>
      </c>
      <c r="B6609" t="s">
        <v>10017</v>
      </c>
      <c r="C6609">
        <v>3</v>
      </c>
      <c r="D6609" t="s">
        <v>10015</v>
      </c>
      <c r="E6609">
        <v>4.5</v>
      </c>
      <c r="F6609" t="s">
        <v>10069</v>
      </c>
      <c r="G6609" t="s">
        <v>10021</v>
      </c>
      <c r="H6609" s="6">
        <v>45140</v>
      </c>
      <c r="I6609">
        <f t="shared" si="206"/>
        <v>1</v>
      </c>
      <c r="J6609" t="str">
        <f t="shared" si="207"/>
        <v>Complete</v>
      </c>
      <c r="K6609">
        <f>COUNTIFS(RawData[Item], B6609,RawData[Quantity],C6609,RawData[Price Per Unit],D6609,RawData[Total Spent],E6609,RawData[Payment Method],F6609,RawData[Location],G6609,RawData[Transaction Date],H6609)</f>
        <v>1</v>
      </c>
      <c r="L6609"/>
    </row>
    <row r="6610" spans="1:12" x14ac:dyDescent="0.3">
      <c r="A6610" t="s">
        <v>6616</v>
      </c>
      <c r="B6610" t="s">
        <v>10011</v>
      </c>
      <c r="C6610">
        <v>4</v>
      </c>
      <c r="D6610">
        <v>5</v>
      </c>
      <c r="E6610">
        <v>20</v>
      </c>
      <c r="F6610" t="s">
        <v>10020</v>
      </c>
      <c r="G6610" t="s">
        <v>10069</v>
      </c>
      <c r="H6610" s="6">
        <v>44975</v>
      </c>
      <c r="I6610">
        <f t="shared" si="206"/>
        <v>0</v>
      </c>
      <c r="J6610" t="str">
        <f t="shared" si="207"/>
        <v>Complete</v>
      </c>
      <c r="K6610">
        <f>COUNTIFS(RawData[Item], B6610,RawData[Quantity],C6610,RawData[Price Per Unit],D6610,RawData[Total Spent],E6610,RawData[Payment Method],F6610,RawData[Location],G6610,RawData[Transaction Date],H6610)</f>
        <v>1</v>
      </c>
      <c r="L6610"/>
    </row>
    <row r="6611" spans="1:12" x14ac:dyDescent="0.3">
      <c r="A6611" t="s">
        <v>6617</v>
      </c>
      <c r="B6611" t="s">
        <v>10009</v>
      </c>
      <c r="C6611">
        <v>2</v>
      </c>
      <c r="D6611">
        <v>3</v>
      </c>
      <c r="E6611">
        <v>6</v>
      </c>
      <c r="F6611" t="s">
        <v>10020</v>
      </c>
      <c r="G6611" t="s">
        <v>10021</v>
      </c>
      <c r="H6611" s="6">
        <v>44990</v>
      </c>
      <c r="I6611">
        <f t="shared" si="206"/>
        <v>0</v>
      </c>
      <c r="J6611" t="str">
        <f t="shared" si="207"/>
        <v>Complete</v>
      </c>
      <c r="K6611">
        <f>COUNTIFS(RawData[Item], B6611,RawData[Quantity],C6611,RawData[Price Per Unit],D6611,RawData[Total Spent],E6611,RawData[Payment Method],F6611,RawData[Location],G6611,RawData[Transaction Date],H6611)</f>
        <v>1</v>
      </c>
      <c r="L6611"/>
    </row>
    <row r="6612" spans="1:12" x14ac:dyDescent="0.3">
      <c r="A6612" t="s">
        <v>6618</v>
      </c>
      <c r="B6612" t="s">
        <v>10017</v>
      </c>
      <c r="C6612">
        <v>1</v>
      </c>
      <c r="D6612">
        <v>1.5</v>
      </c>
      <c r="E6612">
        <v>1.5</v>
      </c>
      <c r="F6612" t="s">
        <v>10019</v>
      </c>
      <c r="G6612" t="s">
        <v>10104</v>
      </c>
      <c r="H6612" s="6">
        <v>45113</v>
      </c>
      <c r="I6612">
        <f t="shared" si="206"/>
        <v>1</v>
      </c>
      <c r="J6612" t="str">
        <f t="shared" si="207"/>
        <v>Complete</v>
      </c>
      <c r="K6612">
        <f>COUNTIFS(RawData[Item], B6612,RawData[Quantity],C6612,RawData[Price Per Unit],D6612,RawData[Total Spent],E6612,RawData[Payment Method],F6612,RawData[Location],G6612,RawData[Transaction Date],H6612)</f>
        <v>1</v>
      </c>
      <c r="L6612"/>
    </row>
    <row r="6613" spans="1:12" x14ac:dyDescent="0.3">
      <c r="A6613" t="s">
        <v>6619</v>
      </c>
      <c r="B6613" t="s">
        <v>10011</v>
      </c>
      <c r="C6613">
        <v>5</v>
      </c>
      <c r="D6613">
        <v>5</v>
      </c>
      <c r="E6613">
        <v>25</v>
      </c>
      <c r="F6613" t="s">
        <v>10020</v>
      </c>
      <c r="G6613" t="s">
        <v>10069</v>
      </c>
      <c r="H6613" s="6" t="s">
        <v>10112</v>
      </c>
      <c r="I6613">
        <f t="shared" si="206"/>
        <v>1</v>
      </c>
      <c r="J6613" t="str">
        <f t="shared" si="207"/>
        <v>Incomplete</v>
      </c>
      <c r="K6613">
        <f>COUNTIFS(RawData[Item], B6613,RawData[Quantity],C6613,RawData[Price Per Unit],D6613,RawData[Total Spent],E6613,RawData[Payment Method],F6613,RawData[Location],G6613,RawData[Transaction Date],H6613)</f>
        <v>2</v>
      </c>
      <c r="L6613"/>
    </row>
    <row r="6614" spans="1:12" x14ac:dyDescent="0.3">
      <c r="A6614" t="s">
        <v>6620</v>
      </c>
      <c r="B6614" t="s">
        <v>10008</v>
      </c>
      <c r="C6614">
        <v>3</v>
      </c>
      <c r="D6614">
        <v>2</v>
      </c>
      <c r="E6614">
        <v>6</v>
      </c>
      <c r="F6614" t="s">
        <v>10069</v>
      </c>
      <c r="G6614" t="s">
        <v>10069</v>
      </c>
      <c r="H6614" s="6">
        <v>45281</v>
      </c>
      <c r="I6614">
        <f t="shared" si="206"/>
        <v>0</v>
      </c>
      <c r="J6614" t="str">
        <f t="shared" si="207"/>
        <v>Complete</v>
      </c>
      <c r="K6614">
        <f>COUNTIFS(RawData[Item], B6614,RawData[Quantity],C6614,RawData[Price Per Unit],D6614,RawData[Total Spent],E6614,RawData[Payment Method],F6614,RawData[Location],G6614,RawData[Transaction Date],H6614)</f>
        <v>1</v>
      </c>
      <c r="L6614"/>
    </row>
    <row r="6615" spans="1:12" x14ac:dyDescent="0.3">
      <c r="A6615" t="s">
        <v>6621</v>
      </c>
      <c r="B6615" t="s">
        <v>10008</v>
      </c>
      <c r="C6615">
        <v>4</v>
      </c>
      <c r="D6615">
        <v>2</v>
      </c>
      <c r="E6615">
        <v>8</v>
      </c>
      <c r="F6615" t="s">
        <v>10069</v>
      </c>
      <c r="G6615" t="s">
        <v>10104</v>
      </c>
      <c r="H6615" s="6">
        <v>45032</v>
      </c>
      <c r="I6615">
        <f t="shared" si="206"/>
        <v>1</v>
      </c>
      <c r="J6615" t="str">
        <f t="shared" si="207"/>
        <v>Complete</v>
      </c>
      <c r="K6615">
        <f>COUNTIFS(RawData[Item], B6615,RawData[Quantity],C6615,RawData[Price Per Unit],D6615,RawData[Total Spent],E6615,RawData[Payment Method],F6615,RawData[Location],G6615,RawData[Transaction Date],H6615)</f>
        <v>1</v>
      </c>
      <c r="L6615"/>
    </row>
    <row r="6616" spans="1:12" x14ac:dyDescent="0.3">
      <c r="A6616" t="s">
        <v>6622</v>
      </c>
      <c r="B6616" t="s">
        <v>10008</v>
      </c>
      <c r="C6616">
        <v>1</v>
      </c>
      <c r="D6616" t="s">
        <v>10013</v>
      </c>
      <c r="E6616">
        <v>2</v>
      </c>
      <c r="F6616" t="s">
        <v>10104</v>
      </c>
      <c r="G6616" t="s">
        <v>10103</v>
      </c>
      <c r="H6616" s="6">
        <v>45199</v>
      </c>
      <c r="I6616">
        <f t="shared" si="206"/>
        <v>3</v>
      </c>
      <c r="J6616" t="str">
        <f t="shared" si="207"/>
        <v>Complete</v>
      </c>
      <c r="K6616">
        <f>COUNTIFS(RawData[Item], B6616,RawData[Quantity],C6616,RawData[Price Per Unit],D6616,RawData[Total Spent],E6616,RawData[Payment Method],F6616,RawData[Location],G6616,RawData[Transaction Date],H6616)</f>
        <v>1</v>
      </c>
      <c r="L6616"/>
    </row>
    <row r="6617" spans="1:12" x14ac:dyDescent="0.3">
      <c r="A6617" t="s">
        <v>6623</v>
      </c>
      <c r="B6617" t="s">
        <v>10017</v>
      </c>
      <c r="C6617">
        <v>5</v>
      </c>
      <c r="D6617">
        <v>1.5</v>
      </c>
      <c r="E6617">
        <v>7.5</v>
      </c>
      <c r="F6617" t="s">
        <v>10019</v>
      </c>
      <c r="G6617" t="s">
        <v>10069</v>
      </c>
      <c r="H6617" s="6">
        <v>44985</v>
      </c>
      <c r="I6617">
        <f t="shared" si="206"/>
        <v>0</v>
      </c>
      <c r="J6617" t="str">
        <f t="shared" si="207"/>
        <v>Complete</v>
      </c>
      <c r="K6617">
        <f>COUNTIFS(RawData[Item], B6617,RawData[Quantity],C6617,RawData[Price Per Unit],D6617,RawData[Total Spent],E6617,RawData[Payment Method],F6617,RawData[Location],G6617,RawData[Transaction Date],H6617)</f>
        <v>1</v>
      </c>
      <c r="L6617"/>
    </row>
    <row r="6618" spans="1:12" x14ac:dyDescent="0.3">
      <c r="A6618" t="s">
        <v>6624</v>
      </c>
      <c r="B6618" t="s">
        <v>10012</v>
      </c>
      <c r="C6618">
        <v>3</v>
      </c>
      <c r="D6618">
        <v>4</v>
      </c>
      <c r="E6618">
        <v>12</v>
      </c>
      <c r="F6618" t="s">
        <v>10019</v>
      </c>
      <c r="G6618" t="s">
        <v>10104</v>
      </c>
      <c r="H6618" s="6">
        <v>45218</v>
      </c>
      <c r="I6618">
        <f t="shared" si="206"/>
        <v>1</v>
      </c>
      <c r="J6618" t="str">
        <f t="shared" si="207"/>
        <v>Complete</v>
      </c>
      <c r="K6618">
        <f>COUNTIFS(RawData[Item], B6618,RawData[Quantity],C6618,RawData[Price Per Unit],D6618,RawData[Total Spent],E6618,RawData[Payment Method],F6618,RawData[Location],G6618,RawData[Transaction Date],H6618)</f>
        <v>1</v>
      </c>
      <c r="L6618"/>
    </row>
    <row r="6619" spans="1:12" x14ac:dyDescent="0.3">
      <c r="A6619" t="s">
        <v>6625</v>
      </c>
      <c r="B6619" t="s">
        <v>10009</v>
      </c>
      <c r="C6619">
        <v>2</v>
      </c>
      <c r="D6619">
        <v>3</v>
      </c>
      <c r="E6619">
        <v>6</v>
      </c>
      <c r="F6619" t="s">
        <v>10020</v>
      </c>
      <c r="G6619" t="s">
        <v>10021</v>
      </c>
      <c r="H6619" s="6">
        <v>45079</v>
      </c>
      <c r="I6619">
        <f t="shared" si="206"/>
        <v>0</v>
      </c>
      <c r="J6619" t="str">
        <f t="shared" si="207"/>
        <v>Complete</v>
      </c>
      <c r="K6619">
        <f>COUNTIFS(RawData[Item], B6619,RawData[Quantity],C6619,RawData[Price Per Unit],D6619,RawData[Total Spent],E6619,RawData[Payment Method],F6619,RawData[Location],G6619,RawData[Transaction Date],H6619)</f>
        <v>1</v>
      </c>
      <c r="L6619"/>
    </row>
    <row r="6620" spans="1:12" x14ac:dyDescent="0.3">
      <c r="A6620" t="s">
        <v>6626</v>
      </c>
      <c r="B6620" t="s">
        <v>10017</v>
      </c>
      <c r="C6620">
        <v>5</v>
      </c>
      <c r="D6620">
        <v>1.5</v>
      </c>
      <c r="E6620">
        <v>7.5</v>
      </c>
      <c r="F6620" t="s">
        <v>10018</v>
      </c>
      <c r="G6620" t="s">
        <v>10069</v>
      </c>
      <c r="H6620" s="6">
        <v>45053</v>
      </c>
      <c r="I6620">
        <f t="shared" si="206"/>
        <v>0</v>
      </c>
      <c r="J6620" t="str">
        <f t="shared" si="207"/>
        <v>Complete</v>
      </c>
      <c r="K6620">
        <f>COUNTIFS(RawData[Item], B6620,RawData[Quantity],C6620,RawData[Price Per Unit],D6620,RawData[Total Spent],E6620,RawData[Payment Method],F6620,RawData[Location],G6620,RawData[Transaction Date],H6620)</f>
        <v>1</v>
      </c>
      <c r="L6620"/>
    </row>
    <row r="6621" spans="1:12" x14ac:dyDescent="0.3">
      <c r="A6621" t="s">
        <v>6627</v>
      </c>
      <c r="B6621" t="s">
        <v>10016</v>
      </c>
      <c r="C6621">
        <v>2</v>
      </c>
      <c r="D6621">
        <v>3</v>
      </c>
      <c r="E6621">
        <v>6</v>
      </c>
      <c r="F6621" t="s">
        <v>10020</v>
      </c>
      <c r="G6621" t="s">
        <v>10102</v>
      </c>
      <c r="H6621" s="6">
        <v>44992</v>
      </c>
      <c r="I6621">
        <f t="shared" si="206"/>
        <v>0</v>
      </c>
      <c r="J6621" t="str">
        <f t="shared" si="207"/>
        <v>Complete</v>
      </c>
      <c r="K6621">
        <f>COUNTIFS(RawData[Item], B6621,RawData[Quantity],C6621,RawData[Price Per Unit],D6621,RawData[Total Spent],E6621,RawData[Payment Method],F6621,RawData[Location],G6621,RawData[Transaction Date],H6621)</f>
        <v>1</v>
      </c>
      <c r="L6621"/>
    </row>
    <row r="6622" spans="1:12" x14ac:dyDescent="0.3">
      <c r="A6622" t="s">
        <v>6628</v>
      </c>
      <c r="B6622" t="s">
        <v>10017</v>
      </c>
      <c r="C6622">
        <v>5</v>
      </c>
      <c r="D6622">
        <v>1.5</v>
      </c>
      <c r="E6622">
        <v>7.5</v>
      </c>
      <c r="F6622" t="s">
        <v>10020</v>
      </c>
      <c r="G6622" t="s">
        <v>10102</v>
      </c>
      <c r="H6622" s="6">
        <v>45041</v>
      </c>
      <c r="I6622">
        <f t="shared" si="206"/>
        <v>0</v>
      </c>
      <c r="J6622" t="str">
        <f t="shared" si="207"/>
        <v>Complete</v>
      </c>
      <c r="K6622">
        <f>COUNTIFS(RawData[Item], B6622,RawData[Quantity],C6622,RawData[Price Per Unit],D6622,RawData[Total Spent],E6622,RawData[Payment Method],F6622,RawData[Location],G6622,RawData[Transaction Date],H6622)</f>
        <v>1</v>
      </c>
      <c r="L6622"/>
    </row>
    <row r="6623" spans="1:12" x14ac:dyDescent="0.3">
      <c r="A6623" t="s">
        <v>6629</v>
      </c>
      <c r="B6623" t="s">
        <v>10014</v>
      </c>
      <c r="C6623">
        <v>4</v>
      </c>
      <c r="D6623">
        <v>4</v>
      </c>
      <c r="E6623">
        <v>16</v>
      </c>
      <c r="F6623" t="s">
        <v>10018</v>
      </c>
      <c r="G6623" t="s">
        <v>10021</v>
      </c>
      <c r="H6623" s="6">
        <v>44942</v>
      </c>
      <c r="I6623">
        <f t="shared" si="206"/>
        <v>0</v>
      </c>
      <c r="J6623" t="str">
        <f t="shared" si="207"/>
        <v>Complete</v>
      </c>
      <c r="K6623">
        <f>COUNTIFS(RawData[Item], B6623,RawData[Quantity],C6623,RawData[Price Per Unit],D6623,RawData[Total Spent],E6623,RawData[Payment Method],F6623,RawData[Location],G6623,RawData[Transaction Date],H6623)</f>
        <v>1</v>
      </c>
      <c r="L6623"/>
    </row>
    <row r="6624" spans="1:12" x14ac:dyDescent="0.3">
      <c r="A6624" t="s">
        <v>6630</v>
      </c>
      <c r="B6624" t="s">
        <v>10069</v>
      </c>
      <c r="C6624">
        <v>4</v>
      </c>
      <c r="D6624">
        <v>5</v>
      </c>
      <c r="E6624">
        <v>20</v>
      </c>
      <c r="F6624" t="s">
        <v>10019</v>
      </c>
      <c r="G6624" t="s">
        <v>10102</v>
      </c>
      <c r="H6624" s="6">
        <v>45141</v>
      </c>
      <c r="I6624">
        <f t="shared" si="206"/>
        <v>0</v>
      </c>
      <c r="J6624" t="str">
        <f t="shared" si="207"/>
        <v>Complete</v>
      </c>
      <c r="K6624">
        <f>COUNTIFS(RawData[Item], B6624,RawData[Quantity],C6624,RawData[Price Per Unit],D6624,RawData[Total Spent],E6624,RawData[Payment Method],F6624,RawData[Location],G6624,RawData[Transaction Date],H6624)</f>
        <v>1</v>
      </c>
      <c r="L6624"/>
    </row>
    <row r="6625" spans="1:12" x14ac:dyDescent="0.3">
      <c r="A6625" t="s">
        <v>6631</v>
      </c>
      <c r="B6625" t="s">
        <v>10010</v>
      </c>
      <c r="C6625">
        <v>1</v>
      </c>
      <c r="D6625">
        <v>1</v>
      </c>
      <c r="E6625">
        <v>1</v>
      </c>
      <c r="F6625" t="s">
        <v>10018</v>
      </c>
      <c r="G6625" t="s">
        <v>10069</v>
      </c>
      <c r="H6625" s="6">
        <v>45084</v>
      </c>
      <c r="I6625">
        <f t="shared" si="206"/>
        <v>0</v>
      </c>
      <c r="J6625" t="str">
        <f t="shared" si="207"/>
        <v>Complete</v>
      </c>
      <c r="K6625">
        <f>COUNTIFS(RawData[Item], B6625,RawData[Quantity],C6625,RawData[Price Per Unit],D6625,RawData[Total Spent],E6625,RawData[Payment Method],F6625,RawData[Location],G6625,RawData[Transaction Date],H6625)</f>
        <v>1</v>
      </c>
      <c r="L6625"/>
    </row>
    <row r="6626" spans="1:12" x14ac:dyDescent="0.3">
      <c r="A6626" t="s">
        <v>6632</v>
      </c>
      <c r="B6626" t="s">
        <v>10009</v>
      </c>
      <c r="C6626">
        <v>5</v>
      </c>
      <c r="D6626">
        <v>3</v>
      </c>
      <c r="E6626">
        <v>15</v>
      </c>
      <c r="F6626" t="s">
        <v>10020</v>
      </c>
      <c r="G6626" t="s">
        <v>10069</v>
      </c>
      <c r="H6626" s="6">
        <v>45074</v>
      </c>
      <c r="I6626">
        <f t="shared" si="206"/>
        <v>0</v>
      </c>
      <c r="J6626" t="str">
        <f t="shared" si="207"/>
        <v>Complete</v>
      </c>
      <c r="K6626">
        <f>COUNTIFS(RawData[Item], B6626,RawData[Quantity],C6626,RawData[Price Per Unit],D6626,RawData[Total Spent],E6626,RawData[Payment Method],F6626,RawData[Location],G6626,RawData[Transaction Date],H6626)</f>
        <v>1</v>
      </c>
      <c r="L6626"/>
    </row>
    <row r="6627" spans="1:12" x14ac:dyDescent="0.3">
      <c r="A6627" t="s">
        <v>6633</v>
      </c>
      <c r="B6627" t="s">
        <v>10011</v>
      </c>
      <c r="C6627">
        <v>4</v>
      </c>
      <c r="D6627">
        <v>5</v>
      </c>
      <c r="E6627">
        <v>20</v>
      </c>
      <c r="F6627" t="s">
        <v>10019</v>
      </c>
      <c r="G6627" t="s">
        <v>10102</v>
      </c>
      <c r="H6627" s="6">
        <v>45128</v>
      </c>
      <c r="I6627">
        <f t="shared" si="206"/>
        <v>0</v>
      </c>
      <c r="J6627" t="str">
        <f t="shared" si="207"/>
        <v>Complete</v>
      </c>
      <c r="K6627">
        <f>COUNTIFS(RawData[Item], B6627,RawData[Quantity],C6627,RawData[Price Per Unit],D6627,RawData[Total Spent],E6627,RawData[Payment Method],F6627,RawData[Location],G6627,RawData[Transaction Date],H6627)</f>
        <v>1</v>
      </c>
      <c r="L6627"/>
    </row>
    <row r="6628" spans="1:12" x14ac:dyDescent="0.3">
      <c r="A6628" t="s">
        <v>6634</v>
      </c>
      <c r="B6628" t="s">
        <v>10009</v>
      </c>
      <c r="C6628">
        <v>5</v>
      </c>
      <c r="D6628">
        <v>3</v>
      </c>
      <c r="E6628">
        <v>15</v>
      </c>
      <c r="F6628" t="s">
        <v>10020</v>
      </c>
      <c r="G6628" t="s">
        <v>10102</v>
      </c>
      <c r="H6628" s="6">
        <v>45111</v>
      </c>
      <c r="I6628">
        <f t="shared" si="206"/>
        <v>0</v>
      </c>
      <c r="J6628" t="str">
        <f t="shared" si="207"/>
        <v>Complete</v>
      </c>
      <c r="K6628">
        <f>COUNTIFS(RawData[Item], B6628,RawData[Quantity],C6628,RawData[Price Per Unit],D6628,RawData[Total Spent],E6628,RawData[Payment Method],F6628,RawData[Location],G6628,RawData[Transaction Date],H6628)</f>
        <v>1</v>
      </c>
      <c r="L6628"/>
    </row>
    <row r="6629" spans="1:12" x14ac:dyDescent="0.3">
      <c r="A6629" t="s">
        <v>6635</v>
      </c>
      <c r="B6629" t="s">
        <v>10011</v>
      </c>
      <c r="C6629">
        <v>4</v>
      </c>
      <c r="D6629">
        <v>5</v>
      </c>
      <c r="E6629">
        <v>20</v>
      </c>
      <c r="F6629" t="s">
        <v>10019</v>
      </c>
      <c r="G6629" t="s">
        <v>10069</v>
      </c>
      <c r="H6629" s="6">
        <v>45123</v>
      </c>
      <c r="I6629">
        <f t="shared" si="206"/>
        <v>0</v>
      </c>
      <c r="J6629" t="str">
        <f t="shared" si="207"/>
        <v>Complete</v>
      </c>
      <c r="K6629">
        <f>COUNTIFS(RawData[Item], B6629,RawData[Quantity],C6629,RawData[Price Per Unit],D6629,RawData[Total Spent],E6629,RawData[Payment Method],F6629,RawData[Location],G6629,RawData[Transaction Date],H6629)</f>
        <v>1</v>
      </c>
      <c r="L6629"/>
    </row>
    <row r="6630" spans="1:12" x14ac:dyDescent="0.3">
      <c r="A6630" t="s">
        <v>6636</v>
      </c>
      <c r="B6630" t="s">
        <v>10014</v>
      </c>
      <c r="C6630">
        <v>5</v>
      </c>
      <c r="D6630">
        <v>4</v>
      </c>
      <c r="E6630">
        <v>20</v>
      </c>
      <c r="F6630" t="s">
        <v>10018</v>
      </c>
      <c r="G6630" t="s">
        <v>10021</v>
      </c>
      <c r="H6630" s="6" t="s">
        <v>10112</v>
      </c>
      <c r="I6630">
        <f t="shared" si="206"/>
        <v>1</v>
      </c>
      <c r="J6630" t="str">
        <f t="shared" si="207"/>
        <v>Incomplete</v>
      </c>
      <c r="K6630">
        <f>COUNTIFS(RawData[Item], B6630,RawData[Quantity],C6630,RawData[Price Per Unit],D6630,RawData[Total Spent],E6630,RawData[Payment Method],F6630,RawData[Location],G6630,RawData[Transaction Date],H6630)</f>
        <v>1</v>
      </c>
      <c r="L6630"/>
    </row>
    <row r="6631" spans="1:12" x14ac:dyDescent="0.3">
      <c r="A6631" t="s">
        <v>6637</v>
      </c>
      <c r="B6631" t="s">
        <v>10008</v>
      </c>
      <c r="C6631">
        <v>1</v>
      </c>
      <c r="D6631" t="s">
        <v>10013</v>
      </c>
      <c r="E6631">
        <v>2</v>
      </c>
      <c r="F6631" t="s">
        <v>10019</v>
      </c>
      <c r="G6631" t="s">
        <v>10021</v>
      </c>
      <c r="H6631" s="6">
        <v>45188</v>
      </c>
      <c r="I6631">
        <f t="shared" si="206"/>
        <v>1</v>
      </c>
      <c r="J6631" t="str">
        <f t="shared" si="207"/>
        <v>Complete</v>
      </c>
      <c r="K6631">
        <f>COUNTIFS(RawData[Item], B6631,RawData[Quantity],C6631,RawData[Price Per Unit],D6631,RawData[Total Spent],E6631,RawData[Payment Method],F6631,RawData[Location],G6631,RawData[Transaction Date],H6631)</f>
        <v>1</v>
      </c>
      <c r="L6631"/>
    </row>
    <row r="6632" spans="1:12" x14ac:dyDescent="0.3">
      <c r="A6632" t="s">
        <v>6638</v>
      </c>
      <c r="B6632" t="s">
        <v>10015</v>
      </c>
      <c r="C6632">
        <v>1</v>
      </c>
      <c r="D6632">
        <v>5</v>
      </c>
      <c r="E6632">
        <v>5</v>
      </c>
      <c r="F6632" t="s">
        <v>10103</v>
      </c>
      <c r="G6632" t="s">
        <v>10069</v>
      </c>
      <c r="H6632" s="6">
        <v>44975</v>
      </c>
      <c r="I6632">
        <f t="shared" si="206"/>
        <v>2</v>
      </c>
      <c r="J6632" t="str">
        <f t="shared" si="207"/>
        <v>Complete</v>
      </c>
      <c r="K6632">
        <f>COUNTIFS(RawData[Item], B6632,RawData[Quantity],C6632,RawData[Price Per Unit],D6632,RawData[Total Spent],E6632,RawData[Payment Method],F6632,RawData[Location],G6632,RawData[Transaction Date],H6632)</f>
        <v>1</v>
      </c>
      <c r="L6632"/>
    </row>
    <row r="6633" spans="1:12" x14ac:dyDescent="0.3">
      <c r="A6633" t="s">
        <v>6639</v>
      </c>
      <c r="B6633" t="s">
        <v>10009</v>
      </c>
      <c r="C6633">
        <v>4</v>
      </c>
      <c r="D6633">
        <v>3</v>
      </c>
      <c r="E6633">
        <v>12</v>
      </c>
      <c r="F6633" t="s">
        <v>10019</v>
      </c>
      <c r="G6633" t="s">
        <v>10021</v>
      </c>
      <c r="H6633" s="6">
        <v>44947</v>
      </c>
      <c r="I6633">
        <f t="shared" si="206"/>
        <v>0</v>
      </c>
      <c r="J6633" t="str">
        <f t="shared" si="207"/>
        <v>Complete</v>
      </c>
      <c r="K6633">
        <f>COUNTIFS(RawData[Item], B6633,RawData[Quantity],C6633,RawData[Price Per Unit],D6633,RawData[Total Spent],E6633,RawData[Payment Method],F6633,RawData[Location],G6633,RawData[Transaction Date],H6633)</f>
        <v>1</v>
      </c>
      <c r="L6633"/>
    </row>
    <row r="6634" spans="1:12" x14ac:dyDescent="0.3">
      <c r="A6634" t="s">
        <v>6640</v>
      </c>
      <c r="B6634" t="s">
        <v>10008</v>
      </c>
      <c r="C6634">
        <v>3</v>
      </c>
      <c r="D6634">
        <v>2</v>
      </c>
      <c r="E6634">
        <v>6</v>
      </c>
      <c r="F6634" t="s">
        <v>10103</v>
      </c>
      <c r="G6634" t="s">
        <v>10104</v>
      </c>
      <c r="H6634" s="6">
        <v>45180</v>
      </c>
      <c r="I6634">
        <f t="shared" si="206"/>
        <v>2</v>
      </c>
      <c r="J6634" t="str">
        <f t="shared" si="207"/>
        <v>Complete</v>
      </c>
      <c r="K6634">
        <f>COUNTIFS(RawData[Item], B6634,RawData[Quantity],C6634,RawData[Price Per Unit],D6634,RawData[Total Spent],E6634,RawData[Payment Method],F6634,RawData[Location],G6634,RawData[Transaction Date],H6634)</f>
        <v>1</v>
      </c>
      <c r="L6634"/>
    </row>
    <row r="6635" spans="1:12" x14ac:dyDescent="0.3">
      <c r="A6635" t="s">
        <v>6641</v>
      </c>
      <c r="B6635" t="s">
        <v>10012</v>
      </c>
      <c r="C6635">
        <v>1</v>
      </c>
      <c r="D6635">
        <v>4</v>
      </c>
      <c r="E6635">
        <v>4</v>
      </c>
      <c r="F6635" t="s">
        <v>10018</v>
      </c>
      <c r="G6635" t="s">
        <v>10102</v>
      </c>
      <c r="H6635" s="6">
        <v>45172</v>
      </c>
      <c r="I6635">
        <f t="shared" si="206"/>
        <v>0</v>
      </c>
      <c r="J6635" t="str">
        <f t="shared" si="207"/>
        <v>Complete</v>
      </c>
      <c r="K6635">
        <f>COUNTIFS(RawData[Item], B6635,RawData[Quantity],C6635,RawData[Price Per Unit],D6635,RawData[Total Spent],E6635,RawData[Payment Method],F6635,RawData[Location],G6635,RawData[Transaction Date],H6635)</f>
        <v>1</v>
      </c>
      <c r="L6635"/>
    </row>
    <row r="6636" spans="1:12" x14ac:dyDescent="0.3">
      <c r="A6636" t="s">
        <v>6642</v>
      </c>
      <c r="B6636" t="s">
        <v>10016</v>
      </c>
      <c r="C6636">
        <v>5</v>
      </c>
      <c r="D6636">
        <v>3</v>
      </c>
      <c r="E6636">
        <v>15</v>
      </c>
      <c r="F6636" t="s">
        <v>10103</v>
      </c>
      <c r="G6636" t="s">
        <v>10021</v>
      </c>
      <c r="H6636" s="6">
        <v>45078</v>
      </c>
      <c r="I6636">
        <f t="shared" si="206"/>
        <v>1</v>
      </c>
      <c r="J6636" t="str">
        <f t="shared" si="207"/>
        <v>Complete</v>
      </c>
      <c r="K6636">
        <f>COUNTIFS(RawData[Item], B6636,RawData[Quantity],C6636,RawData[Price Per Unit],D6636,RawData[Total Spent],E6636,RawData[Payment Method],F6636,RawData[Location],G6636,RawData[Transaction Date],H6636)</f>
        <v>1</v>
      </c>
      <c r="L6636"/>
    </row>
    <row r="6637" spans="1:12" x14ac:dyDescent="0.3">
      <c r="A6637" t="s">
        <v>6643</v>
      </c>
      <c r="B6637" t="s">
        <v>10013</v>
      </c>
      <c r="C6637">
        <v>2</v>
      </c>
      <c r="D6637">
        <v>1.5</v>
      </c>
      <c r="E6637">
        <v>3</v>
      </c>
      <c r="F6637" t="s">
        <v>10020</v>
      </c>
      <c r="G6637" t="s">
        <v>10069</v>
      </c>
      <c r="H6637" s="6">
        <v>45277</v>
      </c>
      <c r="I6637">
        <f t="shared" si="206"/>
        <v>1</v>
      </c>
      <c r="J6637" t="str">
        <f t="shared" si="207"/>
        <v>Complete</v>
      </c>
      <c r="K6637">
        <f>COUNTIFS(RawData[Item], B6637,RawData[Quantity],C6637,RawData[Price Per Unit],D6637,RawData[Total Spent],E6637,RawData[Payment Method],F6637,RawData[Location],G6637,RawData[Transaction Date],H6637)</f>
        <v>1</v>
      </c>
      <c r="L6637"/>
    </row>
    <row r="6638" spans="1:12" x14ac:dyDescent="0.3">
      <c r="A6638" t="s">
        <v>6644</v>
      </c>
      <c r="B6638" t="s">
        <v>10017</v>
      </c>
      <c r="C6638">
        <v>5</v>
      </c>
      <c r="D6638">
        <v>1.5</v>
      </c>
      <c r="E6638">
        <v>7.5</v>
      </c>
      <c r="F6638" t="s">
        <v>10019</v>
      </c>
      <c r="G6638" t="s">
        <v>10021</v>
      </c>
      <c r="H6638" s="6">
        <v>45106</v>
      </c>
      <c r="I6638">
        <f t="shared" si="206"/>
        <v>0</v>
      </c>
      <c r="J6638" t="str">
        <f t="shared" si="207"/>
        <v>Complete</v>
      </c>
      <c r="K6638">
        <f>COUNTIFS(RawData[Item], B6638,RawData[Quantity],C6638,RawData[Price Per Unit],D6638,RawData[Total Spent],E6638,RawData[Payment Method],F6638,RawData[Location],G6638,RawData[Transaction Date],H6638)</f>
        <v>1</v>
      </c>
      <c r="L6638"/>
    </row>
    <row r="6639" spans="1:12" x14ac:dyDescent="0.3">
      <c r="A6639" t="s">
        <v>6645</v>
      </c>
      <c r="B6639" t="s">
        <v>10009</v>
      </c>
      <c r="C6639">
        <v>2</v>
      </c>
      <c r="D6639">
        <v>3</v>
      </c>
      <c r="E6639">
        <v>6</v>
      </c>
      <c r="F6639" t="s">
        <v>10069</v>
      </c>
      <c r="G6639" t="s">
        <v>10021</v>
      </c>
      <c r="H6639" s="6">
        <v>44998</v>
      </c>
      <c r="I6639">
        <f t="shared" si="206"/>
        <v>0</v>
      </c>
      <c r="J6639" t="str">
        <f t="shared" si="207"/>
        <v>Complete</v>
      </c>
      <c r="K6639">
        <f>COUNTIFS(RawData[Item], B6639,RawData[Quantity],C6639,RawData[Price Per Unit],D6639,RawData[Total Spent],E6639,RawData[Payment Method],F6639,RawData[Location],G6639,RawData[Transaction Date],H6639)</f>
        <v>1</v>
      </c>
      <c r="L6639"/>
    </row>
    <row r="6640" spans="1:12" x14ac:dyDescent="0.3">
      <c r="A6640" t="s">
        <v>6646</v>
      </c>
      <c r="B6640" t="s">
        <v>10014</v>
      </c>
      <c r="C6640">
        <v>1</v>
      </c>
      <c r="D6640">
        <v>4</v>
      </c>
      <c r="E6640">
        <v>4</v>
      </c>
      <c r="F6640" t="s">
        <v>10069</v>
      </c>
      <c r="G6640" t="s">
        <v>10102</v>
      </c>
      <c r="H6640" s="6">
        <v>45251</v>
      </c>
      <c r="I6640">
        <f t="shared" si="206"/>
        <v>0</v>
      </c>
      <c r="J6640" t="str">
        <f t="shared" si="207"/>
        <v>Complete</v>
      </c>
      <c r="K6640">
        <f>COUNTIFS(RawData[Item], B6640,RawData[Quantity],C6640,RawData[Price Per Unit],D6640,RawData[Total Spent],E6640,RawData[Payment Method],F6640,RawData[Location],G6640,RawData[Transaction Date],H6640)</f>
        <v>1</v>
      </c>
      <c r="L6640"/>
    </row>
    <row r="6641" spans="1:12" x14ac:dyDescent="0.3">
      <c r="A6641" t="s">
        <v>6647</v>
      </c>
      <c r="B6641" t="s">
        <v>10008</v>
      </c>
      <c r="C6641">
        <v>3</v>
      </c>
      <c r="D6641">
        <v>2</v>
      </c>
      <c r="E6641">
        <v>6</v>
      </c>
      <c r="F6641" t="s">
        <v>10018</v>
      </c>
      <c r="G6641" t="s">
        <v>10021</v>
      </c>
      <c r="H6641" s="6">
        <v>45284</v>
      </c>
      <c r="I6641">
        <f t="shared" si="206"/>
        <v>0</v>
      </c>
      <c r="J6641" t="str">
        <f t="shared" si="207"/>
        <v>Complete</v>
      </c>
      <c r="K6641">
        <f>COUNTIFS(RawData[Item], B6641,RawData[Quantity],C6641,RawData[Price Per Unit],D6641,RawData[Total Spent],E6641,RawData[Payment Method],F6641,RawData[Location],G6641,RawData[Transaction Date],H6641)</f>
        <v>1</v>
      </c>
      <c r="L6641"/>
    </row>
    <row r="6642" spans="1:12" x14ac:dyDescent="0.3">
      <c r="A6642" t="s">
        <v>6648</v>
      </c>
      <c r="B6642" t="s">
        <v>10013</v>
      </c>
      <c r="C6642">
        <v>3</v>
      </c>
      <c r="D6642">
        <v>3</v>
      </c>
      <c r="E6642" t="s">
        <v>10015</v>
      </c>
      <c r="F6642" t="s">
        <v>10020</v>
      </c>
      <c r="G6642" t="s">
        <v>10069</v>
      </c>
      <c r="H6642" s="6">
        <v>45140</v>
      </c>
      <c r="I6642">
        <f t="shared" si="206"/>
        <v>2</v>
      </c>
      <c r="J6642" t="str">
        <f t="shared" si="207"/>
        <v>Complete</v>
      </c>
      <c r="K6642">
        <f>COUNTIFS(RawData[Item], B6642,RawData[Quantity],C6642,RawData[Price Per Unit],D6642,RawData[Total Spent],E6642,RawData[Payment Method],F6642,RawData[Location],G6642,RawData[Transaction Date],H6642)</f>
        <v>1</v>
      </c>
      <c r="L6642"/>
    </row>
    <row r="6643" spans="1:12" x14ac:dyDescent="0.3">
      <c r="A6643" t="s">
        <v>6649</v>
      </c>
      <c r="B6643" t="s">
        <v>10013</v>
      </c>
      <c r="C6643">
        <v>4</v>
      </c>
      <c r="D6643">
        <v>4</v>
      </c>
      <c r="E6643">
        <v>16</v>
      </c>
      <c r="F6643" t="s">
        <v>10018</v>
      </c>
      <c r="G6643" t="s">
        <v>10021</v>
      </c>
      <c r="H6643" s="6">
        <v>45096</v>
      </c>
      <c r="I6643">
        <f t="shared" si="206"/>
        <v>1</v>
      </c>
      <c r="J6643" t="str">
        <f t="shared" si="207"/>
        <v>Complete</v>
      </c>
      <c r="K6643">
        <f>COUNTIFS(RawData[Item], B6643,RawData[Quantity],C6643,RawData[Price Per Unit],D6643,RawData[Total Spent],E6643,RawData[Payment Method],F6643,RawData[Location],G6643,RawData[Transaction Date],H6643)</f>
        <v>1</v>
      </c>
      <c r="L6643"/>
    </row>
    <row r="6644" spans="1:12" x14ac:dyDescent="0.3">
      <c r="A6644" t="s">
        <v>6650</v>
      </c>
      <c r="B6644" t="s">
        <v>10017</v>
      </c>
      <c r="C6644">
        <v>5</v>
      </c>
      <c r="D6644">
        <v>1.5</v>
      </c>
      <c r="E6644">
        <v>7.5</v>
      </c>
      <c r="F6644" t="s">
        <v>10020</v>
      </c>
      <c r="G6644" t="s">
        <v>10102</v>
      </c>
      <c r="H6644" s="6">
        <v>45274</v>
      </c>
      <c r="I6644">
        <f t="shared" si="206"/>
        <v>0</v>
      </c>
      <c r="J6644" t="str">
        <f t="shared" si="207"/>
        <v>Complete</v>
      </c>
      <c r="K6644">
        <f>COUNTIFS(RawData[Item], B6644,RawData[Quantity],C6644,RawData[Price Per Unit],D6644,RawData[Total Spent],E6644,RawData[Payment Method],F6644,RawData[Location],G6644,RawData[Transaction Date],H6644)</f>
        <v>1</v>
      </c>
      <c r="L6644"/>
    </row>
    <row r="6645" spans="1:12" x14ac:dyDescent="0.3">
      <c r="A6645" t="s">
        <v>6651</v>
      </c>
      <c r="B6645" t="s">
        <v>10016</v>
      </c>
      <c r="C6645">
        <v>4</v>
      </c>
      <c r="D6645">
        <v>3</v>
      </c>
      <c r="E6645">
        <v>12</v>
      </c>
      <c r="F6645" t="s">
        <v>10020</v>
      </c>
      <c r="G6645" t="s">
        <v>10102</v>
      </c>
      <c r="H6645" s="6">
        <v>45167</v>
      </c>
      <c r="I6645">
        <f t="shared" si="206"/>
        <v>0</v>
      </c>
      <c r="J6645" t="str">
        <f t="shared" si="207"/>
        <v>Complete</v>
      </c>
      <c r="K6645">
        <f>COUNTIFS(RawData[Item], B6645,RawData[Quantity],C6645,RawData[Price Per Unit],D6645,RawData[Total Spent],E6645,RawData[Payment Method],F6645,RawData[Location],G6645,RawData[Transaction Date],H6645)</f>
        <v>1</v>
      </c>
      <c r="L6645"/>
    </row>
    <row r="6646" spans="1:12" x14ac:dyDescent="0.3">
      <c r="A6646" t="s">
        <v>6652</v>
      </c>
      <c r="B6646" t="s">
        <v>10017</v>
      </c>
      <c r="C6646">
        <v>4</v>
      </c>
      <c r="D6646">
        <v>1.5</v>
      </c>
      <c r="E6646">
        <v>6</v>
      </c>
      <c r="F6646" t="s">
        <v>10103</v>
      </c>
      <c r="G6646" t="s">
        <v>10102</v>
      </c>
      <c r="H6646" s="6" t="s">
        <v>10112</v>
      </c>
      <c r="I6646">
        <f t="shared" si="206"/>
        <v>2</v>
      </c>
      <c r="J6646" t="str">
        <f t="shared" si="207"/>
        <v>Incomplete</v>
      </c>
      <c r="K6646">
        <f>COUNTIFS(RawData[Item], B6646,RawData[Quantity],C6646,RawData[Price Per Unit],D6646,RawData[Total Spent],E6646,RawData[Payment Method],F6646,RawData[Location],G6646,RawData[Transaction Date],H6646)</f>
        <v>1</v>
      </c>
      <c r="L6646"/>
    </row>
    <row r="6647" spans="1:12" x14ac:dyDescent="0.3">
      <c r="A6647" t="s">
        <v>6653</v>
      </c>
      <c r="B6647" t="s">
        <v>10008</v>
      </c>
      <c r="C6647">
        <v>2</v>
      </c>
      <c r="D6647">
        <v>2</v>
      </c>
      <c r="E6647">
        <v>4</v>
      </c>
      <c r="F6647" t="s">
        <v>10020</v>
      </c>
      <c r="G6647" t="s">
        <v>10069</v>
      </c>
      <c r="H6647" s="6">
        <v>45245</v>
      </c>
      <c r="I6647">
        <f t="shared" si="206"/>
        <v>0</v>
      </c>
      <c r="J6647" t="str">
        <f t="shared" si="207"/>
        <v>Complete</v>
      </c>
      <c r="K6647">
        <f>COUNTIFS(RawData[Item], B6647,RawData[Quantity],C6647,RawData[Price Per Unit],D6647,RawData[Total Spent],E6647,RawData[Payment Method],F6647,RawData[Location],G6647,RawData[Transaction Date],H6647)</f>
        <v>1</v>
      </c>
      <c r="L6647"/>
    </row>
    <row r="6648" spans="1:12" x14ac:dyDescent="0.3">
      <c r="A6648" t="s">
        <v>6654</v>
      </c>
      <c r="B6648" t="s">
        <v>10008</v>
      </c>
      <c r="C6648">
        <v>1</v>
      </c>
      <c r="D6648">
        <v>2</v>
      </c>
      <c r="E6648">
        <v>2</v>
      </c>
      <c r="F6648" t="s">
        <v>10069</v>
      </c>
      <c r="G6648" t="s">
        <v>10104</v>
      </c>
      <c r="H6648" s="6">
        <v>45259</v>
      </c>
      <c r="I6648">
        <f t="shared" si="206"/>
        <v>1</v>
      </c>
      <c r="J6648" t="str">
        <f t="shared" si="207"/>
        <v>Complete</v>
      </c>
      <c r="K6648">
        <f>COUNTIFS(RawData[Item], B6648,RawData[Quantity],C6648,RawData[Price Per Unit],D6648,RawData[Total Spent],E6648,RawData[Payment Method],F6648,RawData[Location],G6648,RawData[Transaction Date],H6648)</f>
        <v>1</v>
      </c>
      <c r="L6648"/>
    </row>
    <row r="6649" spans="1:12" x14ac:dyDescent="0.3">
      <c r="A6649" t="s">
        <v>6655</v>
      </c>
      <c r="B6649" t="s">
        <v>10009</v>
      </c>
      <c r="C6649">
        <v>4</v>
      </c>
      <c r="D6649">
        <v>3</v>
      </c>
      <c r="E6649">
        <v>12</v>
      </c>
      <c r="F6649" t="s">
        <v>10019</v>
      </c>
      <c r="G6649" t="s">
        <v>10021</v>
      </c>
      <c r="H6649" s="6">
        <v>45121</v>
      </c>
      <c r="I6649">
        <f t="shared" si="206"/>
        <v>0</v>
      </c>
      <c r="J6649" t="str">
        <f t="shared" si="207"/>
        <v>Complete</v>
      </c>
      <c r="K6649">
        <f>COUNTIFS(RawData[Item], B6649,RawData[Quantity],C6649,RawData[Price Per Unit],D6649,RawData[Total Spent],E6649,RawData[Payment Method],F6649,RawData[Location],G6649,RawData[Transaction Date],H6649)</f>
        <v>1</v>
      </c>
      <c r="L6649"/>
    </row>
    <row r="6650" spans="1:12" x14ac:dyDescent="0.3">
      <c r="A6650" t="s">
        <v>6656</v>
      </c>
      <c r="B6650" t="s">
        <v>10008</v>
      </c>
      <c r="C6650">
        <v>1</v>
      </c>
      <c r="D6650">
        <v>2</v>
      </c>
      <c r="E6650">
        <v>0</v>
      </c>
      <c r="F6650" t="s">
        <v>10020</v>
      </c>
      <c r="G6650" t="s">
        <v>10102</v>
      </c>
      <c r="H6650" s="6">
        <v>45110</v>
      </c>
      <c r="I6650">
        <f t="shared" si="206"/>
        <v>0</v>
      </c>
      <c r="J6650" t="str">
        <f t="shared" si="207"/>
        <v>Complete</v>
      </c>
      <c r="K6650">
        <f>COUNTIFS(RawData[Item], B6650,RawData[Quantity],C6650,RawData[Price Per Unit],D6650,RawData[Total Spent],E6650,RawData[Payment Method],F6650,RawData[Location],G6650,RawData[Transaction Date],H6650)</f>
        <v>1</v>
      </c>
      <c r="L6650"/>
    </row>
    <row r="6651" spans="1:12" x14ac:dyDescent="0.3">
      <c r="A6651" t="s">
        <v>6657</v>
      </c>
      <c r="B6651" t="s">
        <v>10014</v>
      </c>
      <c r="C6651">
        <v>5</v>
      </c>
      <c r="D6651">
        <v>4</v>
      </c>
      <c r="E6651">
        <v>20</v>
      </c>
      <c r="F6651" t="s">
        <v>10018</v>
      </c>
      <c r="G6651" t="s">
        <v>10102</v>
      </c>
      <c r="H6651" s="6">
        <v>44947</v>
      </c>
      <c r="I6651">
        <f t="shared" si="206"/>
        <v>0</v>
      </c>
      <c r="J6651" t="str">
        <f t="shared" si="207"/>
        <v>Complete</v>
      </c>
      <c r="K6651">
        <f>COUNTIFS(RawData[Item], B6651,RawData[Quantity],C6651,RawData[Price Per Unit],D6651,RawData[Total Spent],E6651,RawData[Payment Method],F6651,RawData[Location],G6651,RawData[Transaction Date],H6651)</f>
        <v>1</v>
      </c>
      <c r="L6651"/>
    </row>
    <row r="6652" spans="1:12" x14ac:dyDescent="0.3">
      <c r="A6652" t="s">
        <v>6658</v>
      </c>
      <c r="B6652" t="s">
        <v>10014</v>
      </c>
      <c r="C6652" t="s">
        <v>10013</v>
      </c>
      <c r="D6652">
        <v>4</v>
      </c>
      <c r="E6652">
        <v>4</v>
      </c>
      <c r="F6652" t="s">
        <v>10019</v>
      </c>
      <c r="G6652" t="s">
        <v>10069</v>
      </c>
      <c r="H6652" s="6">
        <v>45238</v>
      </c>
      <c r="I6652">
        <f t="shared" si="206"/>
        <v>1</v>
      </c>
      <c r="J6652" t="str">
        <f t="shared" si="207"/>
        <v>Complete</v>
      </c>
      <c r="K6652">
        <f>COUNTIFS(RawData[Item], B6652,RawData[Quantity],C6652,RawData[Price Per Unit],D6652,RawData[Total Spent],E6652,RawData[Payment Method],F6652,RawData[Location],G6652,RawData[Transaction Date],H6652)</f>
        <v>1</v>
      </c>
      <c r="L6652"/>
    </row>
    <row r="6653" spans="1:12" x14ac:dyDescent="0.3">
      <c r="A6653" t="s">
        <v>6659</v>
      </c>
      <c r="B6653" t="s">
        <v>10008</v>
      </c>
      <c r="C6653">
        <v>5</v>
      </c>
      <c r="D6653">
        <v>2</v>
      </c>
      <c r="E6653">
        <v>10</v>
      </c>
      <c r="F6653" t="s">
        <v>10069</v>
      </c>
      <c r="G6653" t="s">
        <v>10069</v>
      </c>
      <c r="H6653" s="6">
        <v>45091</v>
      </c>
      <c r="I6653">
        <f t="shared" si="206"/>
        <v>0</v>
      </c>
      <c r="J6653" t="str">
        <f t="shared" si="207"/>
        <v>Complete</v>
      </c>
      <c r="K6653">
        <f>COUNTIFS(RawData[Item], B6653,RawData[Quantity],C6653,RawData[Price Per Unit],D6653,RawData[Total Spent],E6653,RawData[Payment Method],F6653,RawData[Location],G6653,RawData[Transaction Date],H6653)</f>
        <v>1</v>
      </c>
      <c r="L6653"/>
    </row>
    <row r="6654" spans="1:12" x14ac:dyDescent="0.3">
      <c r="A6654" t="s">
        <v>6660</v>
      </c>
      <c r="B6654" t="s">
        <v>10011</v>
      </c>
      <c r="C6654">
        <v>2</v>
      </c>
      <c r="D6654">
        <v>5</v>
      </c>
      <c r="E6654">
        <v>10</v>
      </c>
      <c r="F6654" t="s">
        <v>10019</v>
      </c>
      <c r="G6654" t="s">
        <v>10021</v>
      </c>
      <c r="H6654" s="6">
        <v>44989</v>
      </c>
      <c r="I6654">
        <f t="shared" si="206"/>
        <v>0</v>
      </c>
      <c r="J6654" t="str">
        <f t="shared" si="207"/>
        <v>Complete</v>
      </c>
      <c r="K6654">
        <f>COUNTIFS(RawData[Item], B6654,RawData[Quantity],C6654,RawData[Price Per Unit],D6654,RawData[Total Spent],E6654,RawData[Payment Method],F6654,RawData[Location],G6654,RawData[Transaction Date],H6654)</f>
        <v>1</v>
      </c>
      <c r="L6654"/>
    </row>
    <row r="6655" spans="1:12" x14ac:dyDescent="0.3">
      <c r="A6655" t="s">
        <v>6661</v>
      </c>
      <c r="B6655" t="s">
        <v>10017</v>
      </c>
      <c r="C6655">
        <v>2</v>
      </c>
      <c r="D6655">
        <v>1.5</v>
      </c>
      <c r="E6655">
        <v>3</v>
      </c>
      <c r="F6655" t="s">
        <v>10018</v>
      </c>
      <c r="G6655" t="s">
        <v>10021</v>
      </c>
      <c r="H6655" s="6">
        <v>45268</v>
      </c>
      <c r="I6655">
        <f t="shared" si="206"/>
        <v>0</v>
      </c>
      <c r="J6655" t="str">
        <f t="shared" si="207"/>
        <v>Complete</v>
      </c>
      <c r="K6655">
        <f>COUNTIFS(RawData[Item], B6655,RawData[Quantity],C6655,RawData[Price Per Unit],D6655,RawData[Total Spent],E6655,RawData[Payment Method],F6655,RawData[Location],G6655,RawData[Transaction Date],H6655)</f>
        <v>1</v>
      </c>
      <c r="L6655"/>
    </row>
    <row r="6656" spans="1:12" x14ac:dyDescent="0.3">
      <c r="A6656" t="s">
        <v>6662</v>
      </c>
      <c r="B6656" t="s">
        <v>10012</v>
      </c>
      <c r="C6656">
        <v>4</v>
      </c>
      <c r="D6656">
        <v>4</v>
      </c>
      <c r="E6656">
        <v>16</v>
      </c>
      <c r="F6656" t="s">
        <v>10069</v>
      </c>
      <c r="G6656" t="s">
        <v>10069</v>
      </c>
      <c r="H6656" s="6">
        <v>45121</v>
      </c>
      <c r="I6656">
        <f t="shared" si="206"/>
        <v>0</v>
      </c>
      <c r="J6656" t="str">
        <f t="shared" si="207"/>
        <v>Complete</v>
      </c>
      <c r="K6656">
        <f>COUNTIFS(RawData[Item], B6656,RawData[Quantity],C6656,RawData[Price Per Unit],D6656,RawData[Total Spent],E6656,RawData[Payment Method],F6656,RawData[Location],G6656,RawData[Transaction Date],H6656)</f>
        <v>1</v>
      </c>
      <c r="L6656"/>
    </row>
    <row r="6657" spans="1:12" x14ac:dyDescent="0.3">
      <c r="A6657" t="s">
        <v>6663</v>
      </c>
      <c r="B6657" t="s">
        <v>10012</v>
      </c>
      <c r="C6657">
        <v>4</v>
      </c>
      <c r="D6657">
        <v>4</v>
      </c>
      <c r="E6657">
        <v>16</v>
      </c>
      <c r="F6657" t="s">
        <v>10020</v>
      </c>
      <c r="G6657" t="s">
        <v>10102</v>
      </c>
      <c r="H6657" s="6">
        <v>45131</v>
      </c>
      <c r="I6657">
        <f t="shared" si="206"/>
        <v>0</v>
      </c>
      <c r="J6657" t="str">
        <f t="shared" si="207"/>
        <v>Complete</v>
      </c>
      <c r="K6657">
        <f>COUNTIFS(RawData[Item], B6657,RawData[Quantity],C6657,RawData[Price Per Unit],D6657,RawData[Total Spent],E6657,RawData[Payment Method],F6657,RawData[Location],G6657,RawData[Transaction Date],H6657)</f>
        <v>1</v>
      </c>
      <c r="L6657"/>
    </row>
    <row r="6658" spans="1:12" x14ac:dyDescent="0.3">
      <c r="A6658" t="s">
        <v>6664</v>
      </c>
      <c r="B6658" t="s">
        <v>10014</v>
      </c>
      <c r="C6658">
        <v>5</v>
      </c>
      <c r="D6658">
        <v>4</v>
      </c>
      <c r="E6658">
        <v>20</v>
      </c>
      <c r="F6658" t="s">
        <v>10020</v>
      </c>
      <c r="G6658" t="s">
        <v>10021</v>
      </c>
      <c r="H6658" s="6">
        <v>45206</v>
      </c>
      <c r="I6658">
        <f t="shared" ref="I6658:I6721" si="208">(B6658="Unknown")+(B6658="Error")+(C6658="Unknown")+(C6658="Error")+(D6658="Unknown")+(D6658="Error")+(E6658="Unknown")+(E6658="Error")+(F6658="Unknown")+(F6658="Error")+(G6658="Unknown")+(G6658="Error")+(H6658="No Date")</f>
        <v>0</v>
      </c>
      <c r="J6658" t="str">
        <f t="shared" ref="J6658:J6721" si="209">IF((H6658="No Date"),"Incomplete","Complete")</f>
        <v>Complete</v>
      </c>
      <c r="K6658">
        <f>COUNTIFS(RawData[Item], B6658,RawData[Quantity],C6658,RawData[Price Per Unit],D6658,RawData[Total Spent],E6658,RawData[Payment Method],F6658,RawData[Location],G6658,RawData[Transaction Date],H6658)</f>
        <v>1</v>
      </c>
      <c r="L6658"/>
    </row>
    <row r="6659" spans="1:12" x14ac:dyDescent="0.3">
      <c r="A6659" t="s">
        <v>6665</v>
      </c>
      <c r="B6659" t="s">
        <v>10015</v>
      </c>
      <c r="C6659">
        <v>4</v>
      </c>
      <c r="D6659">
        <v>1</v>
      </c>
      <c r="E6659">
        <v>4</v>
      </c>
      <c r="F6659" t="s">
        <v>10069</v>
      </c>
      <c r="G6659" t="s">
        <v>10021</v>
      </c>
      <c r="H6659" s="6">
        <v>44957</v>
      </c>
      <c r="I6659">
        <f t="shared" si="208"/>
        <v>1</v>
      </c>
      <c r="J6659" t="str">
        <f t="shared" si="209"/>
        <v>Complete</v>
      </c>
      <c r="K6659">
        <f>COUNTIFS(RawData[Item], B6659,RawData[Quantity],C6659,RawData[Price Per Unit],D6659,RawData[Total Spent],E6659,RawData[Payment Method],F6659,RawData[Location],G6659,RawData[Transaction Date],H6659)</f>
        <v>1</v>
      </c>
      <c r="L6659"/>
    </row>
    <row r="6660" spans="1:12" x14ac:dyDescent="0.3">
      <c r="A6660" t="s">
        <v>6666</v>
      </c>
      <c r="B6660" t="s">
        <v>10069</v>
      </c>
      <c r="C6660">
        <v>5</v>
      </c>
      <c r="D6660">
        <v>2</v>
      </c>
      <c r="E6660">
        <v>10</v>
      </c>
      <c r="F6660" t="s">
        <v>10104</v>
      </c>
      <c r="G6660" t="s">
        <v>10069</v>
      </c>
      <c r="H6660" s="6">
        <v>45224</v>
      </c>
      <c r="I6660">
        <f t="shared" si="208"/>
        <v>1</v>
      </c>
      <c r="J6660" t="str">
        <f t="shared" si="209"/>
        <v>Complete</v>
      </c>
      <c r="K6660">
        <f>COUNTIFS(RawData[Item], B6660,RawData[Quantity],C6660,RawData[Price Per Unit],D6660,RawData[Total Spent],E6660,RawData[Payment Method],F6660,RawData[Location],G6660,RawData[Transaction Date],H6660)</f>
        <v>1</v>
      </c>
      <c r="L6660"/>
    </row>
    <row r="6661" spans="1:12" x14ac:dyDescent="0.3">
      <c r="A6661" t="s">
        <v>6667</v>
      </c>
      <c r="B6661" t="s">
        <v>10015</v>
      </c>
      <c r="C6661">
        <v>4</v>
      </c>
      <c r="D6661">
        <v>1</v>
      </c>
      <c r="E6661">
        <v>4</v>
      </c>
      <c r="F6661" t="s">
        <v>10019</v>
      </c>
      <c r="G6661" t="s">
        <v>10102</v>
      </c>
      <c r="H6661" s="6">
        <v>45290</v>
      </c>
      <c r="I6661">
        <f t="shared" si="208"/>
        <v>1</v>
      </c>
      <c r="J6661" t="str">
        <f t="shared" si="209"/>
        <v>Complete</v>
      </c>
      <c r="K6661">
        <f>COUNTIFS(RawData[Item], B6661,RawData[Quantity],C6661,RawData[Price Per Unit],D6661,RawData[Total Spent],E6661,RawData[Payment Method],F6661,RawData[Location],G6661,RawData[Transaction Date],H6661)</f>
        <v>1</v>
      </c>
      <c r="L6661"/>
    </row>
    <row r="6662" spans="1:12" x14ac:dyDescent="0.3">
      <c r="A6662" t="s">
        <v>6668</v>
      </c>
      <c r="B6662" t="s">
        <v>10010</v>
      </c>
      <c r="C6662">
        <v>4</v>
      </c>
      <c r="D6662" t="s">
        <v>10015</v>
      </c>
      <c r="E6662">
        <v>4</v>
      </c>
      <c r="F6662" t="s">
        <v>10020</v>
      </c>
      <c r="G6662" t="s">
        <v>10102</v>
      </c>
      <c r="H6662" s="6">
        <v>45282</v>
      </c>
      <c r="I6662">
        <f t="shared" si="208"/>
        <v>1</v>
      </c>
      <c r="J6662" t="str">
        <f t="shared" si="209"/>
        <v>Complete</v>
      </c>
      <c r="K6662">
        <f>COUNTIFS(RawData[Item], B6662,RawData[Quantity],C6662,RawData[Price Per Unit],D6662,RawData[Total Spent],E6662,RawData[Payment Method],F6662,RawData[Location],G6662,RawData[Transaction Date],H6662)</f>
        <v>1</v>
      </c>
      <c r="L6662"/>
    </row>
    <row r="6663" spans="1:12" x14ac:dyDescent="0.3">
      <c r="A6663" t="s">
        <v>6669</v>
      </c>
      <c r="B6663" t="s">
        <v>10010</v>
      </c>
      <c r="C6663" t="s">
        <v>10013</v>
      </c>
      <c r="D6663" t="s">
        <v>10015</v>
      </c>
      <c r="E6663">
        <v>1</v>
      </c>
      <c r="F6663" t="s">
        <v>10018</v>
      </c>
      <c r="G6663" t="s">
        <v>10069</v>
      </c>
      <c r="H6663" s="6">
        <v>45227</v>
      </c>
      <c r="I6663">
        <f t="shared" si="208"/>
        <v>2</v>
      </c>
      <c r="J6663" t="str">
        <f t="shared" si="209"/>
        <v>Complete</v>
      </c>
      <c r="K6663">
        <f>COUNTIFS(RawData[Item], B6663,RawData[Quantity],C6663,RawData[Price Per Unit],D6663,RawData[Total Spent],E6663,RawData[Payment Method],F6663,RawData[Location],G6663,RawData[Transaction Date],H6663)</f>
        <v>1</v>
      </c>
      <c r="L6663"/>
    </row>
    <row r="6664" spans="1:12" x14ac:dyDescent="0.3">
      <c r="A6664" t="s">
        <v>6670</v>
      </c>
      <c r="B6664" t="s">
        <v>10014</v>
      </c>
      <c r="C6664">
        <v>1</v>
      </c>
      <c r="D6664">
        <v>4</v>
      </c>
      <c r="E6664">
        <v>4</v>
      </c>
      <c r="F6664" t="s">
        <v>10018</v>
      </c>
      <c r="G6664" t="s">
        <v>10102</v>
      </c>
      <c r="H6664" s="6">
        <v>45058</v>
      </c>
      <c r="I6664">
        <f t="shared" si="208"/>
        <v>0</v>
      </c>
      <c r="J6664" t="str">
        <f t="shared" si="209"/>
        <v>Complete</v>
      </c>
      <c r="K6664">
        <f>COUNTIFS(RawData[Item], B6664,RawData[Quantity],C6664,RawData[Price Per Unit],D6664,RawData[Total Spent],E6664,RawData[Payment Method],F6664,RawData[Location],G6664,RawData[Transaction Date],H6664)</f>
        <v>1</v>
      </c>
      <c r="L6664"/>
    </row>
    <row r="6665" spans="1:12" x14ac:dyDescent="0.3">
      <c r="A6665" t="s">
        <v>6671</v>
      </c>
      <c r="B6665" t="s">
        <v>10017</v>
      </c>
      <c r="C6665">
        <v>2</v>
      </c>
      <c r="D6665">
        <v>1.5</v>
      </c>
      <c r="E6665">
        <v>3</v>
      </c>
      <c r="F6665" t="s">
        <v>10018</v>
      </c>
      <c r="G6665" t="s">
        <v>10069</v>
      </c>
      <c r="H6665" s="6">
        <v>45258</v>
      </c>
      <c r="I6665">
        <f t="shared" si="208"/>
        <v>0</v>
      </c>
      <c r="J6665" t="str">
        <f t="shared" si="209"/>
        <v>Complete</v>
      </c>
      <c r="K6665">
        <f>COUNTIFS(RawData[Item], B6665,RawData[Quantity],C6665,RawData[Price Per Unit],D6665,RawData[Total Spent],E6665,RawData[Payment Method],F6665,RawData[Location],G6665,RawData[Transaction Date],H6665)</f>
        <v>1</v>
      </c>
      <c r="L6665"/>
    </row>
    <row r="6666" spans="1:12" x14ac:dyDescent="0.3">
      <c r="A6666" t="s">
        <v>6672</v>
      </c>
      <c r="B6666" t="s">
        <v>10017</v>
      </c>
      <c r="C6666">
        <v>2</v>
      </c>
      <c r="D6666">
        <v>1.5</v>
      </c>
      <c r="E6666">
        <v>3</v>
      </c>
      <c r="F6666" t="s">
        <v>10069</v>
      </c>
      <c r="G6666" t="s">
        <v>10069</v>
      </c>
      <c r="H6666" s="6">
        <v>45056</v>
      </c>
      <c r="I6666">
        <f t="shared" si="208"/>
        <v>0</v>
      </c>
      <c r="J6666" t="str">
        <f t="shared" si="209"/>
        <v>Complete</v>
      </c>
      <c r="K6666">
        <f>COUNTIFS(RawData[Item], B6666,RawData[Quantity],C6666,RawData[Price Per Unit],D6666,RawData[Total Spent],E6666,RawData[Payment Method],F6666,RawData[Location],G6666,RawData[Transaction Date],H6666)</f>
        <v>1</v>
      </c>
      <c r="L6666"/>
    </row>
    <row r="6667" spans="1:12" x14ac:dyDescent="0.3">
      <c r="A6667" t="s">
        <v>6673</v>
      </c>
      <c r="B6667" t="s">
        <v>10016</v>
      </c>
      <c r="C6667">
        <v>2</v>
      </c>
      <c r="D6667">
        <v>3</v>
      </c>
      <c r="E6667">
        <v>6</v>
      </c>
      <c r="F6667" t="s">
        <v>10018</v>
      </c>
      <c r="G6667" t="s">
        <v>10069</v>
      </c>
      <c r="H6667" s="6">
        <v>44996</v>
      </c>
      <c r="I6667">
        <f t="shared" si="208"/>
        <v>0</v>
      </c>
      <c r="J6667" t="str">
        <f t="shared" si="209"/>
        <v>Complete</v>
      </c>
      <c r="K6667">
        <f>COUNTIFS(RawData[Item], B6667,RawData[Quantity],C6667,RawData[Price Per Unit],D6667,RawData[Total Spent],E6667,RawData[Payment Method],F6667,RawData[Location],G6667,RawData[Transaction Date],H6667)</f>
        <v>1</v>
      </c>
      <c r="L6667"/>
    </row>
    <row r="6668" spans="1:12" x14ac:dyDescent="0.3">
      <c r="A6668" t="s">
        <v>6674</v>
      </c>
      <c r="B6668" t="s">
        <v>10016</v>
      </c>
      <c r="C6668">
        <v>5</v>
      </c>
      <c r="D6668">
        <v>3</v>
      </c>
      <c r="E6668">
        <v>15</v>
      </c>
      <c r="F6668" t="s">
        <v>10018</v>
      </c>
      <c r="G6668" t="s">
        <v>10069</v>
      </c>
      <c r="H6668" s="6">
        <v>45170</v>
      </c>
      <c r="I6668">
        <f t="shared" si="208"/>
        <v>0</v>
      </c>
      <c r="J6668" t="str">
        <f t="shared" si="209"/>
        <v>Complete</v>
      </c>
      <c r="K6668">
        <f>COUNTIFS(RawData[Item], B6668,RawData[Quantity],C6668,RawData[Price Per Unit],D6668,RawData[Total Spent],E6668,RawData[Payment Method],F6668,RawData[Location],G6668,RawData[Transaction Date],H6668)</f>
        <v>1</v>
      </c>
      <c r="L6668"/>
    </row>
    <row r="6669" spans="1:12" x14ac:dyDescent="0.3">
      <c r="A6669" t="s">
        <v>6675</v>
      </c>
      <c r="B6669" t="s">
        <v>10010</v>
      </c>
      <c r="C6669" t="s">
        <v>10015</v>
      </c>
      <c r="D6669">
        <v>1</v>
      </c>
      <c r="E6669">
        <v>1</v>
      </c>
      <c r="F6669" t="s">
        <v>10020</v>
      </c>
      <c r="G6669" t="s">
        <v>10021</v>
      </c>
      <c r="H6669" s="6">
        <v>44933</v>
      </c>
      <c r="I6669">
        <f t="shared" si="208"/>
        <v>1</v>
      </c>
      <c r="J6669" t="str">
        <f t="shared" si="209"/>
        <v>Complete</v>
      </c>
      <c r="K6669">
        <f>COUNTIFS(RawData[Item], B6669,RawData[Quantity],C6669,RawData[Price Per Unit],D6669,RawData[Total Spent],E6669,RawData[Payment Method],F6669,RawData[Location],G6669,RawData[Transaction Date],H6669)</f>
        <v>1</v>
      </c>
      <c r="L6669"/>
    </row>
    <row r="6670" spans="1:12" x14ac:dyDescent="0.3">
      <c r="A6670" t="s">
        <v>6676</v>
      </c>
      <c r="B6670" t="s">
        <v>10009</v>
      </c>
      <c r="C6670">
        <v>1</v>
      </c>
      <c r="D6670">
        <v>3</v>
      </c>
      <c r="E6670">
        <v>3</v>
      </c>
      <c r="F6670" t="s">
        <v>10069</v>
      </c>
      <c r="G6670" t="s">
        <v>10021</v>
      </c>
      <c r="H6670" s="6">
        <v>45015</v>
      </c>
      <c r="I6670">
        <f t="shared" si="208"/>
        <v>0</v>
      </c>
      <c r="J6670" t="str">
        <f t="shared" si="209"/>
        <v>Complete</v>
      </c>
      <c r="K6670">
        <f>COUNTIFS(RawData[Item], B6670,RawData[Quantity],C6670,RawData[Price Per Unit],D6670,RawData[Total Spent],E6670,RawData[Payment Method],F6670,RawData[Location],G6670,RawData[Transaction Date],H6670)</f>
        <v>2</v>
      </c>
      <c r="L6670"/>
    </row>
    <row r="6671" spans="1:12" x14ac:dyDescent="0.3">
      <c r="A6671" t="s">
        <v>6677</v>
      </c>
      <c r="B6671" t="s">
        <v>10012</v>
      </c>
      <c r="C6671">
        <v>3</v>
      </c>
      <c r="D6671">
        <v>4</v>
      </c>
      <c r="E6671">
        <v>12</v>
      </c>
      <c r="F6671" t="s">
        <v>10019</v>
      </c>
      <c r="G6671" t="s">
        <v>10069</v>
      </c>
      <c r="H6671" s="6">
        <v>44959</v>
      </c>
      <c r="I6671">
        <f t="shared" si="208"/>
        <v>0</v>
      </c>
      <c r="J6671" t="str">
        <f t="shared" si="209"/>
        <v>Complete</v>
      </c>
      <c r="K6671">
        <f>COUNTIFS(RawData[Item], B6671,RawData[Quantity],C6671,RawData[Price Per Unit],D6671,RawData[Total Spent],E6671,RawData[Payment Method],F6671,RawData[Location],G6671,RawData[Transaction Date],H6671)</f>
        <v>1</v>
      </c>
      <c r="L6671"/>
    </row>
    <row r="6672" spans="1:12" x14ac:dyDescent="0.3">
      <c r="A6672" t="s">
        <v>6678</v>
      </c>
      <c r="B6672" t="s">
        <v>10010</v>
      </c>
      <c r="C6672">
        <v>3</v>
      </c>
      <c r="D6672" t="s">
        <v>10013</v>
      </c>
      <c r="E6672">
        <v>3</v>
      </c>
      <c r="F6672" t="s">
        <v>10069</v>
      </c>
      <c r="G6672" t="s">
        <v>10069</v>
      </c>
      <c r="H6672" s="6">
        <v>45143</v>
      </c>
      <c r="I6672">
        <f t="shared" si="208"/>
        <v>1</v>
      </c>
      <c r="J6672" t="str">
        <f t="shared" si="209"/>
        <v>Complete</v>
      </c>
      <c r="K6672">
        <f>COUNTIFS(RawData[Item], B6672,RawData[Quantity],C6672,RawData[Price Per Unit],D6672,RawData[Total Spent],E6672,RawData[Payment Method],F6672,RawData[Location],G6672,RawData[Transaction Date],H6672)</f>
        <v>1</v>
      </c>
      <c r="L6672"/>
    </row>
    <row r="6673" spans="1:12" x14ac:dyDescent="0.3">
      <c r="A6673" t="s">
        <v>6679</v>
      </c>
      <c r="B6673" t="s">
        <v>10011</v>
      </c>
      <c r="C6673">
        <v>4</v>
      </c>
      <c r="D6673">
        <v>5</v>
      </c>
      <c r="E6673">
        <v>20</v>
      </c>
      <c r="F6673" t="s">
        <v>10019</v>
      </c>
      <c r="G6673" t="s">
        <v>10069</v>
      </c>
      <c r="H6673" s="6">
        <v>45150</v>
      </c>
      <c r="I6673">
        <f t="shared" si="208"/>
        <v>0</v>
      </c>
      <c r="J6673" t="str">
        <f t="shared" si="209"/>
        <v>Complete</v>
      </c>
      <c r="K6673">
        <f>COUNTIFS(RawData[Item], B6673,RawData[Quantity],C6673,RawData[Price Per Unit],D6673,RawData[Total Spent],E6673,RawData[Payment Method],F6673,RawData[Location],G6673,RawData[Transaction Date],H6673)</f>
        <v>1</v>
      </c>
      <c r="L6673"/>
    </row>
    <row r="6674" spans="1:12" x14ac:dyDescent="0.3">
      <c r="A6674" t="s">
        <v>6680</v>
      </c>
      <c r="B6674" t="s">
        <v>10009</v>
      </c>
      <c r="C6674">
        <v>4</v>
      </c>
      <c r="D6674">
        <v>3</v>
      </c>
      <c r="E6674">
        <v>12</v>
      </c>
      <c r="F6674" t="s">
        <v>10020</v>
      </c>
      <c r="G6674" t="s">
        <v>10102</v>
      </c>
      <c r="H6674" s="6">
        <v>44970</v>
      </c>
      <c r="I6674">
        <f t="shared" si="208"/>
        <v>0</v>
      </c>
      <c r="J6674" t="str">
        <f t="shared" si="209"/>
        <v>Complete</v>
      </c>
      <c r="K6674">
        <f>COUNTIFS(RawData[Item], B6674,RawData[Quantity],C6674,RawData[Price Per Unit],D6674,RawData[Total Spent],E6674,RawData[Payment Method],F6674,RawData[Location],G6674,RawData[Transaction Date],H6674)</f>
        <v>1</v>
      </c>
      <c r="L6674"/>
    </row>
    <row r="6675" spans="1:12" x14ac:dyDescent="0.3">
      <c r="A6675" t="s">
        <v>6681</v>
      </c>
      <c r="B6675" t="s">
        <v>10014</v>
      </c>
      <c r="C6675">
        <v>2</v>
      </c>
      <c r="D6675">
        <v>4</v>
      </c>
      <c r="E6675">
        <v>8</v>
      </c>
      <c r="F6675" t="s">
        <v>10020</v>
      </c>
      <c r="G6675" t="s">
        <v>10069</v>
      </c>
      <c r="H6675" s="6">
        <v>45281</v>
      </c>
      <c r="I6675">
        <f t="shared" si="208"/>
        <v>0</v>
      </c>
      <c r="J6675" t="str">
        <f t="shared" si="209"/>
        <v>Complete</v>
      </c>
      <c r="K6675">
        <f>COUNTIFS(RawData[Item], B6675,RawData[Quantity],C6675,RawData[Price Per Unit],D6675,RawData[Total Spent],E6675,RawData[Payment Method],F6675,RawData[Location],G6675,RawData[Transaction Date],H6675)</f>
        <v>1</v>
      </c>
      <c r="L6675"/>
    </row>
    <row r="6676" spans="1:12" x14ac:dyDescent="0.3">
      <c r="A6676" t="s">
        <v>6682</v>
      </c>
      <c r="B6676" t="s">
        <v>10008</v>
      </c>
      <c r="C6676" t="s">
        <v>10015</v>
      </c>
      <c r="D6676" t="s">
        <v>10013</v>
      </c>
      <c r="E6676">
        <v>4</v>
      </c>
      <c r="F6676" t="s">
        <v>10104</v>
      </c>
      <c r="G6676" t="s">
        <v>10069</v>
      </c>
      <c r="H6676" s="6">
        <v>45177</v>
      </c>
      <c r="I6676">
        <f t="shared" si="208"/>
        <v>3</v>
      </c>
      <c r="J6676" t="str">
        <f t="shared" si="209"/>
        <v>Complete</v>
      </c>
      <c r="K6676">
        <f>COUNTIFS(RawData[Item], B6676,RawData[Quantity],C6676,RawData[Price Per Unit],D6676,RawData[Total Spent],E6676,RawData[Payment Method],F6676,RawData[Location],G6676,RawData[Transaction Date],H6676)</f>
        <v>1</v>
      </c>
      <c r="L6676"/>
    </row>
    <row r="6677" spans="1:12" x14ac:dyDescent="0.3">
      <c r="A6677" t="s">
        <v>6683</v>
      </c>
      <c r="B6677" t="s">
        <v>10009</v>
      </c>
      <c r="C6677">
        <v>5</v>
      </c>
      <c r="D6677">
        <v>3</v>
      </c>
      <c r="E6677">
        <v>15</v>
      </c>
      <c r="F6677" t="s">
        <v>10020</v>
      </c>
      <c r="G6677" t="s">
        <v>10069</v>
      </c>
      <c r="H6677" s="6">
        <v>45025</v>
      </c>
      <c r="I6677">
        <f t="shared" si="208"/>
        <v>0</v>
      </c>
      <c r="J6677" t="str">
        <f t="shared" si="209"/>
        <v>Complete</v>
      </c>
      <c r="K6677">
        <f>COUNTIFS(RawData[Item], B6677,RawData[Quantity],C6677,RawData[Price Per Unit],D6677,RawData[Total Spent],E6677,RawData[Payment Method],F6677,RawData[Location],G6677,RawData[Transaction Date],H6677)</f>
        <v>1</v>
      </c>
      <c r="L6677"/>
    </row>
    <row r="6678" spans="1:12" x14ac:dyDescent="0.3">
      <c r="A6678" t="s">
        <v>6684</v>
      </c>
      <c r="B6678" t="s">
        <v>10012</v>
      </c>
      <c r="C6678">
        <v>5</v>
      </c>
      <c r="D6678">
        <v>4</v>
      </c>
      <c r="E6678">
        <v>20</v>
      </c>
      <c r="F6678" t="s">
        <v>10018</v>
      </c>
      <c r="G6678" t="s">
        <v>10069</v>
      </c>
      <c r="H6678" s="6">
        <v>45049</v>
      </c>
      <c r="I6678">
        <f t="shared" si="208"/>
        <v>0</v>
      </c>
      <c r="J6678" t="str">
        <f t="shared" si="209"/>
        <v>Complete</v>
      </c>
      <c r="K6678">
        <f>COUNTIFS(RawData[Item], B6678,RawData[Quantity],C6678,RawData[Price Per Unit],D6678,RawData[Total Spent],E6678,RawData[Payment Method],F6678,RawData[Location],G6678,RawData[Transaction Date],H6678)</f>
        <v>1</v>
      </c>
      <c r="L6678"/>
    </row>
    <row r="6679" spans="1:12" x14ac:dyDescent="0.3">
      <c r="A6679" t="s">
        <v>6685</v>
      </c>
      <c r="B6679" t="s">
        <v>10011</v>
      </c>
      <c r="C6679">
        <v>4</v>
      </c>
      <c r="D6679">
        <v>5</v>
      </c>
      <c r="E6679">
        <v>20</v>
      </c>
      <c r="F6679" t="s">
        <v>10069</v>
      </c>
      <c r="G6679" t="s">
        <v>10102</v>
      </c>
      <c r="H6679" s="6">
        <v>45017</v>
      </c>
      <c r="I6679">
        <f t="shared" si="208"/>
        <v>0</v>
      </c>
      <c r="J6679" t="str">
        <f t="shared" si="209"/>
        <v>Complete</v>
      </c>
      <c r="K6679">
        <f>COUNTIFS(RawData[Item], B6679,RawData[Quantity],C6679,RawData[Price Per Unit],D6679,RawData[Total Spent],E6679,RawData[Payment Method],F6679,RawData[Location],G6679,RawData[Transaction Date],H6679)</f>
        <v>1</v>
      </c>
      <c r="L6679"/>
    </row>
    <row r="6680" spans="1:12" x14ac:dyDescent="0.3">
      <c r="A6680" t="s">
        <v>6686</v>
      </c>
      <c r="B6680" t="s">
        <v>10017</v>
      </c>
      <c r="C6680">
        <v>1</v>
      </c>
      <c r="D6680">
        <v>1.5</v>
      </c>
      <c r="E6680">
        <v>1.5</v>
      </c>
      <c r="F6680" t="s">
        <v>10019</v>
      </c>
      <c r="G6680" t="s">
        <v>10102</v>
      </c>
      <c r="H6680" s="6">
        <v>45258</v>
      </c>
      <c r="I6680">
        <f t="shared" si="208"/>
        <v>0</v>
      </c>
      <c r="J6680" t="str">
        <f t="shared" si="209"/>
        <v>Complete</v>
      </c>
      <c r="K6680">
        <f>COUNTIFS(RawData[Item], B6680,RawData[Quantity],C6680,RawData[Price Per Unit],D6680,RawData[Total Spent],E6680,RawData[Payment Method],F6680,RawData[Location],G6680,RawData[Transaction Date],H6680)</f>
        <v>1</v>
      </c>
      <c r="L6680"/>
    </row>
    <row r="6681" spans="1:12" x14ac:dyDescent="0.3">
      <c r="A6681" t="s">
        <v>6687</v>
      </c>
      <c r="B6681" t="s">
        <v>10017</v>
      </c>
      <c r="C6681">
        <v>3</v>
      </c>
      <c r="D6681">
        <v>1.5</v>
      </c>
      <c r="E6681">
        <v>4.5</v>
      </c>
      <c r="F6681" t="s">
        <v>10018</v>
      </c>
      <c r="G6681" t="s">
        <v>10069</v>
      </c>
      <c r="H6681" s="6">
        <v>45123</v>
      </c>
      <c r="I6681">
        <f t="shared" si="208"/>
        <v>0</v>
      </c>
      <c r="J6681" t="str">
        <f t="shared" si="209"/>
        <v>Complete</v>
      </c>
      <c r="K6681">
        <f>COUNTIFS(RawData[Item], B6681,RawData[Quantity],C6681,RawData[Price Per Unit],D6681,RawData[Total Spent],E6681,RawData[Payment Method],F6681,RawData[Location],G6681,RawData[Transaction Date],H6681)</f>
        <v>1</v>
      </c>
      <c r="L6681"/>
    </row>
    <row r="6682" spans="1:12" x14ac:dyDescent="0.3">
      <c r="A6682" t="s">
        <v>6688</v>
      </c>
      <c r="B6682" t="s">
        <v>10009</v>
      </c>
      <c r="C6682">
        <v>3</v>
      </c>
      <c r="D6682">
        <v>3</v>
      </c>
      <c r="E6682">
        <v>9</v>
      </c>
      <c r="F6682" t="s">
        <v>10020</v>
      </c>
      <c r="G6682" t="s">
        <v>10021</v>
      </c>
      <c r="H6682" s="6">
        <v>45236</v>
      </c>
      <c r="I6682">
        <f t="shared" si="208"/>
        <v>0</v>
      </c>
      <c r="J6682" t="str">
        <f t="shared" si="209"/>
        <v>Complete</v>
      </c>
      <c r="K6682">
        <f>COUNTIFS(RawData[Item], B6682,RawData[Quantity],C6682,RawData[Price Per Unit],D6682,RawData[Total Spent],E6682,RawData[Payment Method],F6682,RawData[Location],G6682,RawData[Transaction Date],H6682)</f>
        <v>1</v>
      </c>
      <c r="L6682"/>
    </row>
    <row r="6683" spans="1:12" x14ac:dyDescent="0.3">
      <c r="A6683" t="s">
        <v>6689</v>
      </c>
      <c r="B6683" t="s">
        <v>10016</v>
      </c>
      <c r="C6683">
        <v>1</v>
      </c>
      <c r="D6683">
        <v>3</v>
      </c>
      <c r="E6683">
        <v>3</v>
      </c>
      <c r="F6683" t="s">
        <v>10019</v>
      </c>
      <c r="G6683" t="s">
        <v>10102</v>
      </c>
      <c r="H6683" s="6">
        <v>45126</v>
      </c>
      <c r="I6683">
        <f t="shared" si="208"/>
        <v>0</v>
      </c>
      <c r="J6683" t="str">
        <f t="shared" si="209"/>
        <v>Complete</v>
      </c>
      <c r="K6683">
        <f>COUNTIFS(RawData[Item], B6683,RawData[Quantity],C6683,RawData[Price Per Unit],D6683,RawData[Total Spent],E6683,RawData[Payment Method],F6683,RawData[Location],G6683,RawData[Transaction Date],H6683)</f>
        <v>2</v>
      </c>
      <c r="L6683"/>
    </row>
    <row r="6684" spans="1:12" x14ac:dyDescent="0.3">
      <c r="A6684" t="s">
        <v>6690</v>
      </c>
      <c r="B6684" t="s">
        <v>10012</v>
      </c>
      <c r="C6684">
        <v>2</v>
      </c>
      <c r="D6684" t="s">
        <v>10015</v>
      </c>
      <c r="E6684">
        <v>8</v>
      </c>
      <c r="F6684" t="s">
        <v>10069</v>
      </c>
      <c r="G6684" t="s">
        <v>10069</v>
      </c>
      <c r="H6684" s="6">
        <v>44998</v>
      </c>
      <c r="I6684">
        <f t="shared" si="208"/>
        <v>1</v>
      </c>
      <c r="J6684" t="str">
        <f t="shared" si="209"/>
        <v>Complete</v>
      </c>
      <c r="K6684">
        <f>COUNTIFS(RawData[Item], B6684,RawData[Quantity],C6684,RawData[Price Per Unit],D6684,RawData[Total Spent],E6684,RawData[Payment Method],F6684,RawData[Location],G6684,RawData[Transaction Date],H6684)</f>
        <v>1</v>
      </c>
      <c r="L6684"/>
    </row>
    <row r="6685" spans="1:12" x14ac:dyDescent="0.3">
      <c r="A6685" t="s">
        <v>6691</v>
      </c>
      <c r="B6685" t="s">
        <v>10008</v>
      </c>
      <c r="C6685">
        <v>5</v>
      </c>
      <c r="D6685">
        <v>2</v>
      </c>
      <c r="E6685">
        <v>10</v>
      </c>
      <c r="F6685" t="s">
        <v>10018</v>
      </c>
      <c r="G6685" t="s">
        <v>10069</v>
      </c>
      <c r="H6685" s="6">
        <v>45000</v>
      </c>
      <c r="I6685">
        <f t="shared" si="208"/>
        <v>0</v>
      </c>
      <c r="J6685" t="str">
        <f t="shared" si="209"/>
        <v>Complete</v>
      </c>
      <c r="K6685">
        <f>COUNTIFS(RawData[Item], B6685,RawData[Quantity],C6685,RawData[Price Per Unit],D6685,RawData[Total Spent],E6685,RawData[Payment Method],F6685,RawData[Location],G6685,RawData[Transaction Date],H6685)</f>
        <v>1</v>
      </c>
      <c r="L6685"/>
    </row>
    <row r="6686" spans="1:12" x14ac:dyDescent="0.3">
      <c r="A6686" t="s">
        <v>6692</v>
      </c>
      <c r="B6686" t="s">
        <v>10016</v>
      </c>
      <c r="C6686">
        <v>2</v>
      </c>
      <c r="D6686">
        <v>3</v>
      </c>
      <c r="E6686">
        <v>6</v>
      </c>
      <c r="F6686" t="s">
        <v>10020</v>
      </c>
      <c r="G6686" t="s">
        <v>10102</v>
      </c>
      <c r="H6686" s="6">
        <v>45250</v>
      </c>
      <c r="I6686">
        <f t="shared" si="208"/>
        <v>0</v>
      </c>
      <c r="J6686" t="str">
        <f t="shared" si="209"/>
        <v>Complete</v>
      </c>
      <c r="K6686">
        <f>COUNTIFS(RawData[Item], B6686,RawData[Quantity],C6686,RawData[Price Per Unit],D6686,RawData[Total Spent],E6686,RawData[Payment Method],F6686,RawData[Location],G6686,RawData[Transaction Date],H6686)</f>
        <v>1</v>
      </c>
      <c r="L6686"/>
    </row>
    <row r="6687" spans="1:12" x14ac:dyDescent="0.3">
      <c r="A6687" t="s">
        <v>6693</v>
      </c>
      <c r="B6687" t="s">
        <v>10008</v>
      </c>
      <c r="C6687">
        <v>1</v>
      </c>
      <c r="D6687">
        <v>2</v>
      </c>
      <c r="E6687">
        <v>2</v>
      </c>
      <c r="F6687" t="s">
        <v>10018</v>
      </c>
      <c r="G6687" t="s">
        <v>10021</v>
      </c>
      <c r="H6687" s="6">
        <v>45031</v>
      </c>
      <c r="I6687">
        <f t="shared" si="208"/>
        <v>0</v>
      </c>
      <c r="J6687" t="str">
        <f t="shared" si="209"/>
        <v>Complete</v>
      </c>
      <c r="K6687">
        <f>COUNTIFS(RawData[Item], B6687,RawData[Quantity],C6687,RawData[Price Per Unit],D6687,RawData[Total Spent],E6687,RawData[Payment Method],F6687,RawData[Location],G6687,RawData[Transaction Date],H6687)</f>
        <v>2</v>
      </c>
      <c r="L6687"/>
    </row>
    <row r="6688" spans="1:12" x14ac:dyDescent="0.3">
      <c r="A6688" t="s">
        <v>6694</v>
      </c>
      <c r="B6688" t="s">
        <v>10011</v>
      </c>
      <c r="C6688">
        <v>1</v>
      </c>
      <c r="D6688" t="s">
        <v>10015</v>
      </c>
      <c r="E6688">
        <v>5</v>
      </c>
      <c r="F6688" t="s">
        <v>10103</v>
      </c>
      <c r="G6688" t="s">
        <v>10021</v>
      </c>
      <c r="H6688" s="6">
        <v>45265</v>
      </c>
      <c r="I6688">
        <f t="shared" si="208"/>
        <v>2</v>
      </c>
      <c r="J6688" t="str">
        <f t="shared" si="209"/>
        <v>Complete</v>
      </c>
      <c r="K6688">
        <f>COUNTIFS(RawData[Item], B6688,RawData[Quantity],C6688,RawData[Price Per Unit],D6688,RawData[Total Spent],E6688,RawData[Payment Method],F6688,RawData[Location],G6688,RawData[Transaction Date],H6688)</f>
        <v>1</v>
      </c>
      <c r="L6688"/>
    </row>
    <row r="6689" spans="1:12" x14ac:dyDescent="0.3">
      <c r="A6689" t="s">
        <v>6695</v>
      </c>
      <c r="B6689" t="s">
        <v>10011</v>
      </c>
      <c r="C6689">
        <v>5</v>
      </c>
      <c r="D6689">
        <v>5</v>
      </c>
      <c r="E6689">
        <v>25</v>
      </c>
      <c r="F6689" t="s">
        <v>10069</v>
      </c>
      <c r="G6689" t="s">
        <v>10069</v>
      </c>
      <c r="H6689" s="6">
        <v>45164</v>
      </c>
      <c r="I6689">
        <f t="shared" si="208"/>
        <v>0</v>
      </c>
      <c r="J6689" t="str">
        <f t="shared" si="209"/>
        <v>Complete</v>
      </c>
      <c r="K6689">
        <f>COUNTIFS(RawData[Item], B6689,RawData[Quantity],C6689,RawData[Price Per Unit],D6689,RawData[Total Spent],E6689,RawData[Payment Method],F6689,RawData[Location],G6689,RawData[Transaction Date],H6689)</f>
        <v>1</v>
      </c>
      <c r="L6689"/>
    </row>
    <row r="6690" spans="1:12" x14ac:dyDescent="0.3">
      <c r="A6690" t="s">
        <v>6696</v>
      </c>
      <c r="B6690" t="s">
        <v>10012</v>
      </c>
      <c r="C6690">
        <v>1</v>
      </c>
      <c r="D6690">
        <v>4</v>
      </c>
      <c r="E6690">
        <v>4</v>
      </c>
      <c r="F6690" t="s">
        <v>10069</v>
      </c>
      <c r="G6690" t="s">
        <v>10069</v>
      </c>
      <c r="H6690" s="6">
        <v>44961</v>
      </c>
      <c r="I6690">
        <f t="shared" si="208"/>
        <v>0</v>
      </c>
      <c r="J6690" t="str">
        <f t="shared" si="209"/>
        <v>Complete</v>
      </c>
      <c r="K6690">
        <f>COUNTIFS(RawData[Item], B6690,RawData[Quantity],C6690,RawData[Price Per Unit],D6690,RawData[Total Spent],E6690,RawData[Payment Method],F6690,RawData[Location],G6690,RawData[Transaction Date],H6690)</f>
        <v>1</v>
      </c>
      <c r="L6690"/>
    </row>
    <row r="6691" spans="1:12" x14ac:dyDescent="0.3">
      <c r="A6691" t="s">
        <v>6697</v>
      </c>
      <c r="B6691" t="s">
        <v>10016</v>
      </c>
      <c r="C6691">
        <v>1</v>
      </c>
      <c r="D6691">
        <v>3</v>
      </c>
      <c r="E6691">
        <v>3</v>
      </c>
      <c r="F6691" t="s">
        <v>10019</v>
      </c>
      <c r="G6691" t="s">
        <v>10102</v>
      </c>
      <c r="H6691" s="6">
        <v>45207</v>
      </c>
      <c r="I6691">
        <f t="shared" si="208"/>
        <v>0</v>
      </c>
      <c r="J6691" t="str">
        <f t="shared" si="209"/>
        <v>Complete</v>
      </c>
      <c r="K6691">
        <f>COUNTIFS(RawData[Item], B6691,RawData[Quantity],C6691,RawData[Price Per Unit],D6691,RawData[Total Spent],E6691,RawData[Payment Method],F6691,RawData[Location],G6691,RawData[Transaction Date],H6691)</f>
        <v>1</v>
      </c>
      <c r="L6691"/>
    </row>
    <row r="6692" spans="1:12" x14ac:dyDescent="0.3">
      <c r="A6692" t="s">
        <v>6698</v>
      </c>
      <c r="B6692" t="s">
        <v>10008</v>
      </c>
      <c r="C6692">
        <v>5</v>
      </c>
      <c r="D6692">
        <v>2</v>
      </c>
      <c r="E6692">
        <v>10</v>
      </c>
      <c r="F6692" t="s">
        <v>10104</v>
      </c>
      <c r="G6692" t="s">
        <v>10102</v>
      </c>
      <c r="H6692" s="6">
        <v>45224</v>
      </c>
      <c r="I6692">
        <f t="shared" si="208"/>
        <v>1</v>
      </c>
      <c r="J6692" t="str">
        <f t="shared" si="209"/>
        <v>Complete</v>
      </c>
      <c r="K6692">
        <f>COUNTIFS(RawData[Item], B6692,RawData[Quantity],C6692,RawData[Price Per Unit],D6692,RawData[Total Spent],E6692,RawData[Payment Method],F6692,RawData[Location],G6692,RawData[Transaction Date],H6692)</f>
        <v>1</v>
      </c>
      <c r="L6692"/>
    </row>
    <row r="6693" spans="1:12" x14ac:dyDescent="0.3">
      <c r="A6693" t="s">
        <v>6699</v>
      </c>
      <c r="B6693" t="s">
        <v>10016</v>
      </c>
      <c r="C6693">
        <v>3</v>
      </c>
      <c r="D6693">
        <v>3</v>
      </c>
      <c r="E6693">
        <v>9</v>
      </c>
      <c r="F6693" t="s">
        <v>10018</v>
      </c>
      <c r="G6693" t="s">
        <v>10021</v>
      </c>
      <c r="H6693" s="6">
        <v>45247</v>
      </c>
      <c r="I6693">
        <f t="shared" si="208"/>
        <v>0</v>
      </c>
      <c r="J6693" t="str">
        <f t="shared" si="209"/>
        <v>Complete</v>
      </c>
      <c r="K6693">
        <f>COUNTIFS(RawData[Item], B6693,RawData[Quantity],C6693,RawData[Price Per Unit],D6693,RawData[Total Spent],E6693,RawData[Payment Method],F6693,RawData[Location],G6693,RawData[Transaction Date],H6693)</f>
        <v>2</v>
      </c>
      <c r="L6693"/>
    </row>
    <row r="6694" spans="1:12" x14ac:dyDescent="0.3">
      <c r="A6694" t="s">
        <v>6700</v>
      </c>
      <c r="B6694" t="s">
        <v>10069</v>
      </c>
      <c r="C6694">
        <v>5</v>
      </c>
      <c r="D6694">
        <v>4</v>
      </c>
      <c r="E6694">
        <v>20</v>
      </c>
      <c r="F6694" t="s">
        <v>10018</v>
      </c>
      <c r="G6694" t="s">
        <v>10069</v>
      </c>
      <c r="H6694" s="6">
        <v>45111</v>
      </c>
      <c r="I6694">
        <f t="shared" si="208"/>
        <v>0</v>
      </c>
      <c r="J6694" t="str">
        <f t="shared" si="209"/>
        <v>Complete</v>
      </c>
      <c r="K6694">
        <f>COUNTIFS(RawData[Item], B6694,RawData[Quantity],C6694,RawData[Price Per Unit],D6694,RawData[Total Spent],E6694,RawData[Payment Method],F6694,RawData[Location],G6694,RawData[Transaction Date],H6694)</f>
        <v>1</v>
      </c>
      <c r="L6694"/>
    </row>
    <row r="6695" spans="1:12" x14ac:dyDescent="0.3">
      <c r="A6695" t="s">
        <v>6701</v>
      </c>
      <c r="B6695" t="s">
        <v>10015</v>
      </c>
      <c r="C6695">
        <v>3</v>
      </c>
      <c r="D6695">
        <v>4</v>
      </c>
      <c r="E6695">
        <v>12</v>
      </c>
      <c r="F6695" t="s">
        <v>10019</v>
      </c>
      <c r="G6695" t="s">
        <v>10104</v>
      </c>
      <c r="H6695" s="6">
        <v>45034</v>
      </c>
      <c r="I6695">
        <f t="shared" si="208"/>
        <v>2</v>
      </c>
      <c r="J6695" t="str">
        <f t="shared" si="209"/>
        <v>Complete</v>
      </c>
      <c r="K6695">
        <f>COUNTIFS(RawData[Item], B6695,RawData[Quantity],C6695,RawData[Price Per Unit],D6695,RawData[Total Spent],E6695,RawData[Payment Method],F6695,RawData[Location],G6695,RawData[Transaction Date],H6695)</f>
        <v>1</v>
      </c>
      <c r="L6695"/>
    </row>
    <row r="6696" spans="1:12" x14ac:dyDescent="0.3">
      <c r="A6696" t="s">
        <v>6702</v>
      </c>
      <c r="B6696" t="s">
        <v>10008</v>
      </c>
      <c r="C6696">
        <v>2</v>
      </c>
      <c r="D6696">
        <v>2</v>
      </c>
      <c r="E6696">
        <v>4</v>
      </c>
      <c r="F6696" t="s">
        <v>10069</v>
      </c>
      <c r="G6696" t="s">
        <v>10102</v>
      </c>
      <c r="H6696" s="6">
        <v>45155</v>
      </c>
      <c r="I6696">
        <f t="shared" si="208"/>
        <v>0</v>
      </c>
      <c r="J6696" t="str">
        <f t="shared" si="209"/>
        <v>Complete</v>
      </c>
      <c r="K6696">
        <f>COUNTIFS(RawData[Item], B6696,RawData[Quantity],C6696,RawData[Price Per Unit],D6696,RawData[Total Spent],E6696,RawData[Payment Method],F6696,RawData[Location],G6696,RawData[Transaction Date],H6696)</f>
        <v>1</v>
      </c>
      <c r="L6696"/>
    </row>
    <row r="6697" spans="1:12" x14ac:dyDescent="0.3">
      <c r="A6697" t="s">
        <v>6703</v>
      </c>
      <c r="B6697" t="s">
        <v>10016</v>
      </c>
      <c r="C6697">
        <v>1</v>
      </c>
      <c r="D6697">
        <v>3</v>
      </c>
      <c r="E6697">
        <v>3</v>
      </c>
      <c r="F6697" t="s">
        <v>10019</v>
      </c>
      <c r="G6697" t="s">
        <v>10103</v>
      </c>
      <c r="H6697" s="6">
        <v>45178</v>
      </c>
      <c r="I6697">
        <f t="shared" si="208"/>
        <v>1</v>
      </c>
      <c r="J6697" t="str">
        <f t="shared" si="209"/>
        <v>Complete</v>
      </c>
      <c r="K6697">
        <f>COUNTIFS(RawData[Item], B6697,RawData[Quantity],C6697,RawData[Price Per Unit],D6697,RawData[Total Spent],E6697,RawData[Payment Method],F6697,RawData[Location],G6697,RawData[Transaction Date],H6697)</f>
        <v>1</v>
      </c>
      <c r="L6697"/>
    </row>
    <row r="6698" spans="1:12" x14ac:dyDescent="0.3">
      <c r="A6698" t="s">
        <v>6704</v>
      </c>
      <c r="B6698" t="s">
        <v>10012</v>
      </c>
      <c r="C6698">
        <v>3</v>
      </c>
      <c r="D6698">
        <v>4</v>
      </c>
      <c r="E6698">
        <v>12</v>
      </c>
      <c r="F6698" t="s">
        <v>10019</v>
      </c>
      <c r="G6698" t="s">
        <v>10069</v>
      </c>
      <c r="H6698" s="6">
        <v>44939</v>
      </c>
      <c r="I6698">
        <f t="shared" si="208"/>
        <v>0</v>
      </c>
      <c r="J6698" t="str">
        <f t="shared" si="209"/>
        <v>Complete</v>
      </c>
      <c r="K6698">
        <f>COUNTIFS(RawData[Item], B6698,RawData[Quantity],C6698,RawData[Price Per Unit],D6698,RawData[Total Spent],E6698,RawData[Payment Method],F6698,RawData[Location],G6698,RawData[Transaction Date],H6698)</f>
        <v>1</v>
      </c>
      <c r="L6698"/>
    </row>
    <row r="6699" spans="1:12" x14ac:dyDescent="0.3">
      <c r="A6699" t="s">
        <v>6705</v>
      </c>
      <c r="B6699" t="s">
        <v>10012</v>
      </c>
      <c r="C6699">
        <v>2</v>
      </c>
      <c r="D6699">
        <v>4</v>
      </c>
      <c r="E6699">
        <v>8</v>
      </c>
      <c r="F6699" t="s">
        <v>10018</v>
      </c>
      <c r="G6699" t="s">
        <v>10021</v>
      </c>
      <c r="H6699" s="6">
        <v>45177</v>
      </c>
      <c r="I6699">
        <f t="shared" si="208"/>
        <v>0</v>
      </c>
      <c r="J6699" t="str">
        <f t="shared" si="209"/>
        <v>Complete</v>
      </c>
      <c r="K6699">
        <f>COUNTIFS(RawData[Item], B6699,RawData[Quantity],C6699,RawData[Price Per Unit],D6699,RawData[Total Spent],E6699,RawData[Payment Method],F6699,RawData[Location],G6699,RawData[Transaction Date],H6699)</f>
        <v>1</v>
      </c>
      <c r="L6699"/>
    </row>
    <row r="6700" spans="1:12" x14ac:dyDescent="0.3">
      <c r="A6700" t="s">
        <v>6706</v>
      </c>
      <c r="B6700" t="s">
        <v>10010</v>
      </c>
      <c r="C6700">
        <v>3</v>
      </c>
      <c r="D6700">
        <v>1</v>
      </c>
      <c r="E6700">
        <v>3</v>
      </c>
      <c r="F6700" t="s">
        <v>10020</v>
      </c>
      <c r="G6700" t="s">
        <v>10021</v>
      </c>
      <c r="H6700" s="6">
        <v>45155</v>
      </c>
      <c r="I6700">
        <f t="shared" si="208"/>
        <v>0</v>
      </c>
      <c r="J6700" t="str">
        <f t="shared" si="209"/>
        <v>Complete</v>
      </c>
      <c r="K6700">
        <f>COUNTIFS(RawData[Item], B6700,RawData[Quantity],C6700,RawData[Price Per Unit],D6700,RawData[Total Spent],E6700,RawData[Payment Method],F6700,RawData[Location],G6700,RawData[Transaction Date],H6700)</f>
        <v>1</v>
      </c>
      <c r="L6700"/>
    </row>
    <row r="6701" spans="1:12" x14ac:dyDescent="0.3">
      <c r="A6701" t="s">
        <v>6707</v>
      </c>
      <c r="B6701" t="s">
        <v>10017</v>
      </c>
      <c r="C6701">
        <v>2</v>
      </c>
      <c r="D6701">
        <v>1.5</v>
      </c>
      <c r="E6701">
        <v>3</v>
      </c>
      <c r="F6701" t="s">
        <v>10018</v>
      </c>
      <c r="G6701" t="s">
        <v>10021</v>
      </c>
      <c r="H6701" s="6">
        <v>45149</v>
      </c>
      <c r="I6701">
        <f t="shared" si="208"/>
        <v>0</v>
      </c>
      <c r="J6701" t="str">
        <f t="shared" si="209"/>
        <v>Complete</v>
      </c>
      <c r="K6701">
        <f>COUNTIFS(RawData[Item], B6701,RawData[Quantity],C6701,RawData[Price Per Unit],D6701,RawData[Total Spent],E6701,RawData[Payment Method],F6701,RawData[Location],G6701,RawData[Transaction Date],H6701)</f>
        <v>1</v>
      </c>
      <c r="L6701"/>
    </row>
    <row r="6702" spans="1:12" x14ac:dyDescent="0.3">
      <c r="A6702" t="s">
        <v>6708</v>
      </c>
      <c r="B6702" t="s">
        <v>10009</v>
      </c>
      <c r="C6702">
        <v>2</v>
      </c>
      <c r="D6702">
        <v>3</v>
      </c>
      <c r="E6702">
        <v>6</v>
      </c>
      <c r="F6702" t="s">
        <v>10018</v>
      </c>
      <c r="G6702" t="s">
        <v>10069</v>
      </c>
      <c r="H6702" s="6">
        <v>45051</v>
      </c>
      <c r="I6702">
        <f t="shared" si="208"/>
        <v>0</v>
      </c>
      <c r="J6702" t="str">
        <f t="shared" si="209"/>
        <v>Complete</v>
      </c>
      <c r="K6702">
        <f>COUNTIFS(RawData[Item], B6702,RawData[Quantity],C6702,RawData[Price Per Unit],D6702,RawData[Total Spent],E6702,RawData[Payment Method],F6702,RawData[Location],G6702,RawData[Transaction Date],H6702)</f>
        <v>1</v>
      </c>
      <c r="L6702"/>
    </row>
    <row r="6703" spans="1:12" x14ac:dyDescent="0.3">
      <c r="A6703" t="s">
        <v>6709</v>
      </c>
      <c r="B6703" t="s">
        <v>10012</v>
      </c>
      <c r="C6703">
        <v>0</v>
      </c>
      <c r="D6703">
        <v>4</v>
      </c>
      <c r="E6703">
        <v>4</v>
      </c>
      <c r="F6703" t="s">
        <v>10019</v>
      </c>
      <c r="G6703" t="s">
        <v>10069</v>
      </c>
      <c r="H6703" s="6">
        <v>45048</v>
      </c>
      <c r="I6703">
        <f t="shared" si="208"/>
        <v>0</v>
      </c>
      <c r="J6703" t="str">
        <f t="shared" si="209"/>
        <v>Complete</v>
      </c>
      <c r="K6703">
        <f>COUNTIFS(RawData[Item], B6703,RawData[Quantity],C6703,RawData[Price Per Unit],D6703,RawData[Total Spent],E6703,RawData[Payment Method],F6703,RawData[Location],G6703,RawData[Transaction Date],H6703)</f>
        <v>1</v>
      </c>
      <c r="L6703"/>
    </row>
    <row r="6704" spans="1:12" x14ac:dyDescent="0.3">
      <c r="A6704" t="s">
        <v>6710</v>
      </c>
      <c r="B6704" t="s">
        <v>10011</v>
      </c>
      <c r="C6704">
        <v>4</v>
      </c>
      <c r="D6704">
        <v>5</v>
      </c>
      <c r="E6704">
        <v>20</v>
      </c>
      <c r="F6704" t="s">
        <v>10069</v>
      </c>
      <c r="G6704" t="s">
        <v>10021</v>
      </c>
      <c r="H6704" s="6">
        <v>45183</v>
      </c>
      <c r="I6704">
        <f t="shared" si="208"/>
        <v>0</v>
      </c>
      <c r="J6704" t="str">
        <f t="shared" si="209"/>
        <v>Complete</v>
      </c>
      <c r="K6704">
        <f>COUNTIFS(RawData[Item], B6704,RawData[Quantity],C6704,RawData[Price Per Unit],D6704,RawData[Total Spent],E6704,RawData[Payment Method],F6704,RawData[Location],G6704,RawData[Transaction Date],H6704)</f>
        <v>1</v>
      </c>
      <c r="L6704"/>
    </row>
    <row r="6705" spans="1:12" x14ac:dyDescent="0.3">
      <c r="A6705" t="s">
        <v>6711</v>
      </c>
      <c r="B6705" t="s">
        <v>10017</v>
      </c>
      <c r="C6705">
        <v>2</v>
      </c>
      <c r="D6705">
        <v>1.5</v>
      </c>
      <c r="E6705">
        <v>3</v>
      </c>
      <c r="F6705" t="s">
        <v>10020</v>
      </c>
      <c r="G6705" t="s">
        <v>10103</v>
      </c>
      <c r="H6705" s="6">
        <v>45008</v>
      </c>
      <c r="I6705">
        <f t="shared" si="208"/>
        <v>1</v>
      </c>
      <c r="J6705" t="str">
        <f t="shared" si="209"/>
        <v>Complete</v>
      </c>
      <c r="K6705">
        <f>COUNTIFS(RawData[Item], B6705,RawData[Quantity],C6705,RawData[Price Per Unit],D6705,RawData[Total Spent],E6705,RawData[Payment Method],F6705,RawData[Location],G6705,RawData[Transaction Date],H6705)</f>
        <v>1</v>
      </c>
      <c r="L6705"/>
    </row>
    <row r="6706" spans="1:12" x14ac:dyDescent="0.3">
      <c r="A6706" t="s">
        <v>6712</v>
      </c>
      <c r="B6706" t="s">
        <v>10016</v>
      </c>
      <c r="C6706">
        <v>1</v>
      </c>
      <c r="D6706">
        <v>3</v>
      </c>
      <c r="E6706">
        <v>3</v>
      </c>
      <c r="F6706" t="s">
        <v>10069</v>
      </c>
      <c r="G6706" t="s">
        <v>10021</v>
      </c>
      <c r="H6706" s="6">
        <v>44984</v>
      </c>
      <c r="I6706">
        <f t="shared" si="208"/>
        <v>0</v>
      </c>
      <c r="J6706" t="str">
        <f t="shared" si="209"/>
        <v>Complete</v>
      </c>
      <c r="K6706">
        <f>COUNTIFS(RawData[Item], B6706,RawData[Quantity],C6706,RawData[Price Per Unit],D6706,RawData[Total Spent],E6706,RawData[Payment Method],F6706,RawData[Location],G6706,RawData[Transaction Date],H6706)</f>
        <v>1</v>
      </c>
      <c r="L6706"/>
    </row>
    <row r="6707" spans="1:12" x14ac:dyDescent="0.3">
      <c r="A6707" t="s">
        <v>6713</v>
      </c>
      <c r="B6707" t="s">
        <v>10008</v>
      </c>
      <c r="C6707">
        <v>2</v>
      </c>
      <c r="D6707">
        <v>2</v>
      </c>
      <c r="E6707">
        <v>4</v>
      </c>
      <c r="F6707" t="s">
        <v>10018</v>
      </c>
      <c r="G6707" t="s">
        <v>10069</v>
      </c>
      <c r="H6707" s="6">
        <v>45126</v>
      </c>
      <c r="I6707">
        <f t="shared" si="208"/>
        <v>0</v>
      </c>
      <c r="J6707" t="str">
        <f t="shared" si="209"/>
        <v>Complete</v>
      </c>
      <c r="K6707">
        <f>COUNTIFS(RawData[Item], B6707,RawData[Quantity],C6707,RawData[Price Per Unit],D6707,RawData[Total Spent],E6707,RawData[Payment Method],F6707,RawData[Location],G6707,RawData[Transaction Date],H6707)</f>
        <v>1</v>
      </c>
      <c r="L6707"/>
    </row>
    <row r="6708" spans="1:12" x14ac:dyDescent="0.3">
      <c r="A6708" t="s">
        <v>6714</v>
      </c>
      <c r="B6708" t="s">
        <v>10008</v>
      </c>
      <c r="C6708">
        <v>4</v>
      </c>
      <c r="D6708">
        <v>2</v>
      </c>
      <c r="E6708">
        <v>8</v>
      </c>
      <c r="F6708" t="s">
        <v>10019</v>
      </c>
      <c r="G6708" t="s">
        <v>10021</v>
      </c>
      <c r="H6708" s="6">
        <v>45226</v>
      </c>
      <c r="I6708">
        <f t="shared" si="208"/>
        <v>0</v>
      </c>
      <c r="J6708" t="str">
        <f t="shared" si="209"/>
        <v>Complete</v>
      </c>
      <c r="K6708">
        <f>COUNTIFS(RawData[Item], B6708,RawData[Quantity],C6708,RawData[Price Per Unit],D6708,RawData[Total Spent],E6708,RawData[Payment Method],F6708,RawData[Location],G6708,RawData[Transaction Date],H6708)</f>
        <v>1</v>
      </c>
      <c r="L6708"/>
    </row>
    <row r="6709" spans="1:12" x14ac:dyDescent="0.3">
      <c r="A6709" t="s">
        <v>6715</v>
      </c>
      <c r="B6709" t="s">
        <v>10014</v>
      </c>
      <c r="C6709">
        <v>1</v>
      </c>
      <c r="D6709">
        <v>4</v>
      </c>
      <c r="E6709">
        <v>4</v>
      </c>
      <c r="F6709" t="s">
        <v>10019</v>
      </c>
      <c r="G6709" t="s">
        <v>10102</v>
      </c>
      <c r="H6709" s="6">
        <v>45011</v>
      </c>
      <c r="I6709">
        <f t="shared" si="208"/>
        <v>0</v>
      </c>
      <c r="J6709" t="str">
        <f t="shared" si="209"/>
        <v>Complete</v>
      </c>
      <c r="K6709">
        <f>COUNTIFS(RawData[Item], B6709,RawData[Quantity],C6709,RawData[Price Per Unit],D6709,RawData[Total Spent],E6709,RawData[Payment Method],F6709,RawData[Location],G6709,RawData[Transaction Date],H6709)</f>
        <v>2</v>
      </c>
      <c r="L6709"/>
    </row>
    <row r="6710" spans="1:12" x14ac:dyDescent="0.3">
      <c r="A6710" t="s">
        <v>6716</v>
      </c>
      <c r="B6710" t="s">
        <v>10016</v>
      </c>
      <c r="C6710">
        <v>2</v>
      </c>
      <c r="D6710">
        <v>3</v>
      </c>
      <c r="E6710">
        <v>6</v>
      </c>
      <c r="F6710" t="s">
        <v>10019</v>
      </c>
      <c r="G6710" t="s">
        <v>10069</v>
      </c>
      <c r="H6710" s="6">
        <v>45199</v>
      </c>
      <c r="I6710">
        <f t="shared" si="208"/>
        <v>0</v>
      </c>
      <c r="J6710" t="str">
        <f t="shared" si="209"/>
        <v>Complete</v>
      </c>
      <c r="K6710">
        <f>COUNTIFS(RawData[Item], B6710,RawData[Quantity],C6710,RawData[Price Per Unit],D6710,RawData[Total Spent],E6710,RawData[Payment Method],F6710,RawData[Location],G6710,RawData[Transaction Date],H6710)</f>
        <v>1</v>
      </c>
      <c r="L6710"/>
    </row>
    <row r="6711" spans="1:12" x14ac:dyDescent="0.3">
      <c r="A6711" t="s">
        <v>6717</v>
      </c>
      <c r="B6711" t="s">
        <v>10011</v>
      </c>
      <c r="C6711">
        <v>1</v>
      </c>
      <c r="D6711">
        <v>5</v>
      </c>
      <c r="E6711">
        <v>5</v>
      </c>
      <c r="F6711" t="s">
        <v>10018</v>
      </c>
      <c r="G6711" t="s">
        <v>10102</v>
      </c>
      <c r="H6711" s="6">
        <v>45156</v>
      </c>
      <c r="I6711">
        <f t="shared" si="208"/>
        <v>0</v>
      </c>
      <c r="J6711" t="str">
        <f t="shared" si="209"/>
        <v>Complete</v>
      </c>
      <c r="K6711">
        <f>COUNTIFS(RawData[Item], B6711,RawData[Quantity],C6711,RawData[Price Per Unit],D6711,RawData[Total Spent],E6711,RawData[Payment Method],F6711,RawData[Location],G6711,RawData[Transaction Date],H6711)</f>
        <v>1</v>
      </c>
      <c r="L6711"/>
    </row>
    <row r="6712" spans="1:12" x14ac:dyDescent="0.3">
      <c r="A6712" t="s">
        <v>6718</v>
      </c>
      <c r="B6712" t="s">
        <v>10016</v>
      </c>
      <c r="C6712">
        <v>3</v>
      </c>
      <c r="D6712">
        <v>3</v>
      </c>
      <c r="E6712">
        <v>9</v>
      </c>
      <c r="F6712" t="s">
        <v>10069</v>
      </c>
      <c r="G6712" t="s">
        <v>10021</v>
      </c>
      <c r="H6712" s="6">
        <v>45005</v>
      </c>
      <c r="I6712">
        <f t="shared" si="208"/>
        <v>0</v>
      </c>
      <c r="J6712" t="str">
        <f t="shared" si="209"/>
        <v>Complete</v>
      </c>
      <c r="K6712">
        <f>COUNTIFS(RawData[Item], B6712,RawData[Quantity],C6712,RawData[Price Per Unit],D6712,RawData[Total Spent],E6712,RawData[Payment Method],F6712,RawData[Location],G6712,RawData[Transaction Date],H6712)</f>
        <v>1</v>
      </c>
      <c r="L6712"/>
    </row>
    <row r="6713" spans="1:12" x14ac:dyDescent="0.3">
      <c r="A6713" t="s">
        <v>6719</v>
      </c>
      <c r="B6713" t="s">
        <v>10069</v>
      </c>
      <c r="C6713">
        <v>4</v>
      </c>
      <c r="D6713">
        <v>1</v>
      </c>
      <c r="E6713">
        <v>4</v>
      </c>
      <c r="F6713" t="s">
        <v>10020</v>
      </c>
      <c r="G6713" t="s">
        <v>10021</v>
      </c>
      <c r="H6713" s="6">
        <v>45102</v>
      </c>
      <c r="I6713">
        <f t="shared" si="208"/>
        <v>0</v>
      </c>
      <c r="J6713" t="str">
        <f t="shared" si="209"/>
        <v>Complete</v>
      </c>
      <c r="K6713">
        <f>COUNTIFS(RawData[Item], B6713,RawData[Quantity],C6713,RawData[Price Per Unit],D6713,RawData[Total Spent],E6713,RawData[Payment Method],F6713,RawData[Location],G6713,RawData[Transaction Date],H6713)</f>
        <v>1</v>
      </c>
      <c r="L6713"/>
    </row>
    <row r="6714" spans="1:12" x14ac:dyDescent="0.3">
      <c r="A6714" t="s">
        <v>6720</v>
      </c>
      <c r="B6714" t="s">
        <v>10017</v>
      </c>
      <c r="C6714">
        <v>4</v>
      </c>
      <c r="D6714">
        <v>1.5</v>
      </c>
      <c r="E6714">
        <v>6</v>
      </c>
      <c r="F6714" t="s">
        <v>10018</v>
      </c>
      <c r="G6714" t="s">
        <v>10021</v>
      </c>
      <c r="H6714" s="6" t="s">
        <v>10112</v>
      </c>
      <c r="I6714">
        <f t="shared" si="208"/>
        <v>1</v>
      </c>
      <c r="J6714" t="str">
        <f t="shared" si="209"/>
        <v>Incomplete</v>
      </c>
      <c r="K6714">
        <f>COUNTIFS(RawData[Item], B6714,RawData[Quantity],C6714,RawData[Price Per Unit],D6714,RawData[Total Spent],E6714,RawData[Payment Method],F6714,RawData[Location],G6714,RawData[Transaction Date],H6714)</f>
        <v>2</v>
      </c>
      <c r="L6714"/>
    </row>
    <row r="6715" spans="1:12" x14ac:dyDescent="0.3">
      <c r="A6715" t="s">
        <v>6721</v>
      </c>
      <c r="B6715" t="s">
        <v>10011</v>
      </c>
      <c r="C6715">
        <v>3</v>
      </c>
      <c r="D6715">
        <v>5</v>
      </c>
      <c r="E6715">
        <v>15</v>
      </c>
      <c r="F6715" t="s">
        <v>10069</v>
      </c>
      <c r="G6715" t="s">
        <v>10102</v>
      </c>
      <c r="H6715" s="6">
        <v>44988</v>
      </c>
      <c r="I6715">
        <f t="shared" si="208"/>
        <v>0</v>
      </c>
      <c r="J6715" t="str">
        <f t="shared" si="209"/>
        <v>Complete</v>
      </c>
      <c r="K6715">
        <f>COUNTIFS(RawData[Item], B6715,RawData[Quantity],C6715,RawData[Price Per Unit],D6715,RawData[Total Spent],E6715,RawData[Payment Method],F6715,RawData[Location],G6715,RawData[Transaction Date],H6715)</f>
        <v>1</v>
      </c>
      <c r="L6715"/>
    </row>
    <row r="6716" spans="1:12" x14ac:dyDescent="0.3">
      <c r="A6716" t="s">
        <v>6722</v>
      </c>
      <c r="B6716" t="s">
        <v>10008</v>
      </c>
      <c r="C6716">
        <v>5</v>
      </c>
      <c r="D6716">
        <v>2</v>
      </c>
      <c r="E6716">
        <v>10</v>
      </c>
      <c r="F6716" t="s">
        <v>10019</v>
      </c>
      <c r="G6716" t="s">
        <v>10021</v>
      </c>
      <c r="H6716" s="6" t="s">
        <v>10112</v>
      </c>
      <c r="I6716">
        <f t="shared" si="208"/>
        <v>1</v>
      </c>
      <c r="J6716" t="str">
        <f t="shared" si="209"/>
        <v>Incomplete</v>
      </c>
      <c r="K6716">
        <f>COUNTIFS(RawData[Item], B6716,RawData[Quantity],C6716,RawData[Price Per Unit],D6716,RawData[Total Spent],E6716,RawData[Payment Method],F6716,RawData[Location],G6716,RawData[Transaction Date],H6716)</f>
        <v>2</v>
      </c>
      <c r="L6716"/>
    </row>
    <row r="6717" spans="1:12" x14ac:dyDescent="0.3">
      <c r="A6717" t="s">
        <v>6723</v>
      </c>
      <c r="B6717" t="s">
        <v>10017</v>
      </c>
      <c r="C6717">
        <v>4</v>
      </c>
      <c r="D6717">
        <v>1.5</v>
      </c>
      <c r="E6717">
        <v>6</v>
      </c>
      <c r="F6717" t="s">
        <v>10018</v>
      </c>
      <c r="G6717" t="s">
        <v>10021</v>
      </c>
      <c r="H6717" s="6">
        <v>45007</v>
      </c>
      <c r="I6717">
        <f t="shared" si="208"/>
        <v>0</v>
      </c>
      <c r="J6717" t="str">
        <f t="shared" si="209"/>
        <v>Complete</v>
      </c>
      <c r="K6717">
        <f>COUNTIFS(RawData[Item], B6717,RawData[Quantity],C6717,RawData[Price Per Unit],D6717,RawData[Total Spent],E6717,RawData[Payment Method],F6717,RawData[Location],G6717,RawData[Transaction Date],H6717)</f>
        <v>1</v>
      </c>
      <c r="L6717"/>
    </row>
    <row r="6718" spans="1:12" x14ac:dyDescent="0.3">
      <c r="A6718" t="s">
        <v>6724</v>
      </c>
      <c r="B6718" t="s">
        <v>10011</v>
      </c>
      <c r="C6718">
        <v>1</v>
      </c>
      <c r="D6718">
        <v>5</v>
      </c>
      <c r="E6718">
        <v>5</v>
      </c>
      <c r="F6718" t="s">
        <v>10069</v>
      </c>
      <c r="G6718" t="s">
        <v>10069</v>
      </c>
      <c r="H6718" s="6">
        <v>45065</v>
      </c>
      <c r="I6718">
        <f t="shared" si="208"/>
        <v>0</v>
      </c>
      <c r="J6718" t="str">
        <f t="shared" si="209"/>
        <v>Complete</v>
      </c>
      <c r="K6718">
        <f>COUNTIFS(RawData[Item], B6718,RawData[Quantity],C6718,RawData[Price Per Unit],D6718,RawData[Total Spent],E6718,RawData[Payment Method],F6718,RawData[Location],G6718,RawData[Transaction Date],H6718)</f>
        <v>1</v>
      </c>
      <c r="L6718"/>
    </row>
    <row r="6719" spans="1:12" x14ac:dyDescent="0.3">
      <c r="A6719" t="s">
        <v>6725</v>
      </c>
      <c r="B6719" t="s">
        <v>10008</v>
      </c>
      <c r="C6719">
        <v>4</v>
      </c>
      <c r="D6719">
        <v>0</v>
      </c>
      <c r="E6719">
        <v>8</v>
      </c>
      <c r="F6719" t="s">
        <v>10018</v>
      </c>
      <c r="G6719" t="s">
        <v>10102</v>
      </c>
      <c r="H6719" s="6">
        <v>44998</v>
      </c>
      <c r="I6719">
        <f t="shared" si="208"/>
        <v>0</v>
      </c>
      <c r="J6719" t="str">
        <f t="shared" si="209"/>
        <v>Complete</v>
      </c>
      <c r="K6719">
        <f>COUNTIFS(RawData[Item], B6719,RawData[Quantity],C6719,RawData[Price Per Unit],D6719,RawData[Total Spent],E6719,RawData[Payment Method],F6719,RawData[Location],G6719,RawData[Transaction Date],H6719)</f>
        <v>1</v>
      </c>
      <c r="L6719"/>
    </row>
    <row r="6720" spans="1:12" x14ac:dyDescent="0.3">
      <c r="A6720" t="s">
        <v>6726</v>
      </c>
      <c r="B6720" t="s">
        <v>10012</v>
      </c>
      <c r="C6720">
        <v>5</v>
      </c>
      <c r="D6720">
        <v>4</v>
      </c>
      <c r="E6720">
        <v>20</v>
      </c>
      <c r="F6720" t="s">
        <v>10018</v>
      </c>
      <c r="G6720" t="s">
        <v>10021</v>
      </c>
      <c r="H6720" s="6">
        <v>44972</v>
      </c>
      <c r="I6720">
        <f t="shared" si="208"/>
        <v>0</v>
      </c>
      <c r="J6720" t="str">
        <f t="shared" si="209"/>
        <v>Complete</v>
      </c>
      <c r="K6720">
        <f>COUNTIFS(RawData[Item], B6720,RawData[Quantity],C6720,RawData[Price Per Unit],D6720,RawData[Total Spent],E6720,RawData[Payment Method],F6720,RawData[Location],G6720,RawData[Transaction Date],H6720)</f>
        <v>1</v>
      </c>
      <c r="L6720"/>
    </row>
    <row r="6721" spans="1:12" x14ac:dyDescent="0.3">
      <c r="A6721" t="s">
        <v>6727</v>
      </c>
      <c r="B6721" t="s">
        <v>10016</v>
      </c>
      <c r="C6721">
        <v>2</v>
      </c>
      <c r="D6721">
        <v>3</v>
      </c>
      <c r="E6721">
        <v>6</v>
      </c>
      <c r="F6721" t="s">
        <v>10019</v>
      </c>
      <c r="G6721" t="s">
        <v>10102</v>
      </c>
      <c r="H6721" s="6">
        <v>45267</v>
      </c>
      <c r="I6721">
        <f t="shared" si="208"/>
        <v>0</v>
      </c>
      <c r="J6721" t="str">
        <f t="shared" si="209"/>
        <v>Complete</v>
      </c>
      <c r="K6721">
        <f>COUNTIFS(RawData[Item], B6721,RawData[Quantity],C6721,RawData[Price Per Unit],D6721,RawData[Total Spent],E6721,RawData[Payment Method],F6721,RawData[Location],G6721,RawData[Transaction Date],H6721)</f>
        <v>1</v>
      </c>
      <c r="L6721"/>
    </row>
    <row r="6722" spans="1:12" x14ac:dyDescent="0.3">
      <c r="A6722" t="s">
        <v>6728</v>
      </c>
      <c r="B6722" t="s">
        <v>10012</v>
      </c>
      <c r="C6722">
        <v>4</v>
      </c>
      <c r="D6722">
        <v>4</v>
      </c>
      <c r="E6722">
        <v>16</v>
      </c>
      <c r="F6722" t="s">
        <v>10103</v>
      </c>
      <c r="G6722" t="s">
        <v>10069</v>
      </c>
      <c r="H6722" s="6">
        <v>45136</v>
      </c>
      <c r="I6722">
        <f t="shared" ref="I6722:I6785" si="210">(B6722="Unknown")+(B6722="Error")+(C6722="Unknown")+(C6722="Error")+(D6722="Unknown")+(D6722="Error")+(E6722="Unknown")+(E6722="Error")+(F6722="Unknown")+(F6722="Error")+(G6722="Unknown")+(G6722="Error")+(H6722="No Date")</f>
        <v>1</v>
      </c>
      <c r="J6722" t="str">
        <f t="shared" ref="J6722:J6785" si="211">IF((H6722="No Date"),"Incomplete","Complete")</f>
        <v>Complete</v>
      </c>
      <c r="K6722">
        <f>COUNTIFS(RawData[Item], B6722,RawData[Quantity],C6722,RawData[Price Per Unit],D6722,RawData[Total Spent],E6722,RawData[Payment Method],F6722,RawData[Location],G6722,RawData[Transaction Date],H6722)</f>
        <v>1</v>
      </c>
      <c r="L6722"/>
    </row>
    <row r="6723" spans="1:12" x14ac:dyDescent="0.3">
      <c r="A6723" t="s">
        <v>6729</v>
      </c>
      <c r="B6723" t="s">
        <v>10009</v>
      </c>
      <c r="C6723">
        <v>1</v>
      </c>
      <c r="D6723">
        <v>3</v>
      </c>
      <c r="E6723" t="s">
        <v>10013</v>
      </c>
      <c r="F6723" t="s">
        <v>10018</v>
      </c>
      <c r="G6723" t="s">
        <v>10069</v>
      </c>
      <c r="H6723" s="6">
        <v>45205</v>
      </c>
      <c r="I6723">
        <f t="shared" si="210"/>
        <v>1</v>
      </c>
      <c r="J6723" t="str">
        <f t="shared" si="211"/>
        <v>Complete</v>
      </c>
      <c r="K6723">
        <f>COUNTIFS(RawData[Item], B6723,RawData[Quantity],C6723,RawData[Price Per Unit],D6723,RawData[Total Spent],E6723,RawData[Payment Method],F6723,RawData[Location],G6723,RawData[Transaction Date],H6723)</f>
        <v>1</v>
      </c>
      <c r="L6723"/>
    </row>
    <row r="6724" spans="1:12" x14ac:dyDescent="0.3">
      <c r="A6724" t="s">
        <v>6730</v>
      </c>
      <c r="B6724" t="s">
        <v>10017</v>
      </c>
      <c r="C6724">
        <v>4</v>
      </c>
      <c r="D6724">
        <v>1.5</v>
      </c>
      <c r="E6724" t="s">
        <v>10015</v>
      </c>
      <c r="F6724" t="s">
        <v>10020</v>
      </c>
      <c r="G6724" t="s">
        <v>10102</v>
      </c>
      <c r="H6724" s="6">
        <v>45279</v>
      </c>
      <c r="I6724">
        <f t="shared" si="210"/>
        <v>1</v>
      </c>
      <c r="J6724" t="str">
        <f t="shared" si="211"/>
        <v>Complete</v>
      </c>
      <c r="K6724">
        <f>COUNTIFS(RawData[Item], B6724,RawData[Quantity],C6724,RawData[Price Per Unit],D6724,RawData[Total Spent],E6724,RawData[Payment Method],F6724,RawData[Location],G6724,RawData[Transaction Date],H6724)</f>
        <v>1</v>
      </c>
      <c r="L6724"/>
    </row>
    <row r="6725" spans="1:12" x14ac:dyDescent="0.3">
      <c r="A6725" t="s">
        <v>6731</v>
      </c>
      <c r="B6725" t="s">
        <v>10011</v>
      </c>
      <c r="C6725">
        <v>1</v>
      </c>
      <c r="D6725">
        <v>5</v>
      </c>
      <c r="E6725">
        <v>5</v>
      </c>
      <c r="F6725" t="s">
        <v>10019</v>
      </c>
      <c r="G6725" t="s">
        <v>10102</v>
      </c>
      <c r="H6725" s="6">
        <v>45211</v>
      </c>
      <c r="I6725">
        <f t="shared" si="210"/>
        <v>0</v>
      </c>
      <c r="J6725" t="str">
        <f t="shared" si="211"/>
        <v>Complete</v>
      </c>
      <c r="K6725">
        <f>COUNTIFS(RawData[Item], B6725,RawData[Quantity],C6725,RawData[Price Per Unit],D6725,RawData[Total Spent],E6725,RawData[Payment Method],F6725,RawData[Location],G6725,RawData[Transaction Date],H6725)</f>
        <v>1</v>
      </c>
      <c r="L6725"/>
    </row>
    <row r="6726" spans="1:12" x14ac:dyDescent="0.3">
      <c r="A6726" t="s">
        <v>6732</v>
      </c>
      <c r="B6726" t="s">
        <v>10009</v>
      </c>
      <c r="C6726">
        <v>1</v>
      </c>
      <c r="D6726">
        <v>3</v>
      </c>
      <c r="E6726">
        <v>3</v>
      </c>
      <c r="F6726" t="s">
        <v>10019</v>
      </c>
      <c r="G6726" t="s">
        <v>10102</v>
      </c>
      <c r="H6726" s="6">
        <v>44977</v>
      </c>
      <c r="I6726">
        <f t="shared" si="210"/>
        <v>0</v>
      </c>
      <c r="J6726" t="str">
        <f t="shared" si="211"/>
        <v>Complete</v>
      </c>
      <c r="K6726">
        <f>COUNTIFS(RawData[Item], B6726,RawData[Quantity],C6726,RawData[Price Per Unit],D6726,RawData[Total Spent],E6726,RawData[Payment Method],F6726,RawData[Location],G6726,RawData[Transaction Date],H6726)</f>
        <v>1</v>
      </c>
      <c r="L6726"/>
    </row>
    <row r="6727" spans="1:12" x14ac:dyDescent="0.3">
      <c r="A6727" t="s">
        <v>6733</v>
      </c>
      <c r="B6727" t="s">
        <v>10013</v>
      </c>
      <c r="C6727">
        <v>3</v>
      </c>
      <c r="D6727">
        <v>1</v>
      </c>
      <c r="E6727">
        <v>3</v>
      </c>
      <c r="F6727" t="s">
        <v>10069</v>
      </c>
      <c r="G6727" t="s">
        <v>10021</v>
      </c>
      <c r="H6727" s="6">
        <v>44948</v>
      </c>
      <c r="I6727">
        <f t="shared" si="210"/>
        <v>1</v>
      </c>
      <c r="J6727" t="str">
        <f t="shared" si="211"/>
        <v>Complete</v>
      </c>
      <c r="K6727">
        <f>COUNTIFS(RawData[Item], B6727,RawData[Quantity],C6727,RawData[Price Per Unit],D6727,RawData[Total Spent],E6727,RawData[Payment Method],F6727,RawData[Location],G6727,RawData[Transaction Date],H6727)</f>
        <v>1</v>
      </c>
      <c r="L6727"/>
    </row>
    <row r="6728" spans="1:12" x14ac:dyDescent="0.3">
      <c r="A6728" t="s">
        <v>6734</v>
      </c>
      <c r="B6728" t="s">
        <v>10008</v>
      </c>
      <c r="C6728">
        <v>1</v>
      </c>
      <c r="D6728">
        <v>2</v>
      </c>
      <c r="E6728">
        <v>2</v>
      </c>
      <c r="F6728" t="s">
        <v>10069</v>
      </c>
      <c r="G6728" t="s">
        <v>10069</v>
      </c>
      <c r="H6728" s="6">
        <v>45238</v>
      </c>
      <c r="I6728">
        <f t="shared" si="210"/>
        <v>0</v>
      </c>
      <c r="J6728" t="str">
        <f t="shared" si="211"/>
        <v>Complete</v>
      </c>
      <c r="K6728">
        <f>COUNTIFS(RawData[Item], B6728,RawData[Quantity],C6728,RawData[Price Per Unit],D6728,RawData[Total Spent],E6728,RawData[Payment Method],F6728,RawData[Location],G6728,RawData[Transaction Date],H6728)</f>
        <v>1</v>
      </c>
      <c r="L6728"/>
    </row>
    <row r="6729" spans="1:12" x14ac:dyDescent="0.3">
      <c r="A6729" t="s">
        <v>6735</v>
      </c>
      <c r="B6729" t="s">
        <v>10011</v>
      </c>
      <c r="C6729">
        <v>3</v>
      </c>
      <c r="D6729">
        <v>5</v>
      </c>
      <c r="E6729">
        <v>15</v>
      </c>
      <c r="F6729" t="s">
        <v>10019</v>
      </c>
      <c r="G6729" t="s">
        <v>10069</v>
      </c>
      <c r="H6729" s="6">
        <v>45282</v>
      </c>
      <c r="I6729">
        <f t="shared" si="210"/>
        <v>0</v>
      </c>
      <c r="J6729" t="str">
        <f t="shared" si="211"/>
        <v>Complete</v>
      </c>
      <c r="K6729">
        <f>COUNTIFS(RawData[Item], B6729,RawData[Quantity],C6729,RawData[Price Per Unit],D6729,RawData[Total Spent],E6729,RawData[Payment Method],F6729,RawData[Location],G6729,RawData[Transaction Date],H6729)</f>
        <v>1</v>
      </c>
      <c r="L6729"/>
    </row>
    <row r="6730" spans="1:12" x14ac:dyDescent="0.3">
      <c r="A6730" t="s">
        <v>6736</v>
      </c>
      <c r="B6730" t="s">
        <v>10009</v>
      </c>
      <c r="C6730">
        <v>3</v>
      </c>
      <c r="D6730">
        <v>3</v>
      </c>
      <c r="E6730">
        <v>9</v>
      </c>
      <c r="F6730" t="s">
        <v>10019</v>
      </c>
      <c r="G6730" t="s">
        <v>10104</v>
      </c>
      <c r="H6730" s="6">
        <v>45291</v>
      </c>
      <c r="I6730">
        <f t="shared" si="210"/>
        <v>1</v>
      </c>
      <c r="J6730" t="str">
        <f t="shared" si="211"/>
        <v>Complete</v>
      </c>
      <c r="K6730">
        <f>COUNTIFS(RawData[Item], B6730,RawData[Quantity],C6730,RawData[Price Per Unit],D6730,RawData[Total Spent],E6730,RawData[Payment Method],F6730,RawData[Location],G6730,RawData[Transaction Date],H6730)</f>
        <v>1</v>
      </c>
      <c r="L6730"/>
    </row>
    <row r="6731" spans="1:12" x14ac:dyDescent="0.3">
      <c r="A6731" t="s">
        <v>6737</v>
      </c>
      <c r="B6731" t="s">
        <v>10009</v>
      </c>
      <c r="C6731">
        <v>3</v>
      </c>
      <c r="D6731">
        <v>3</v>
      </c>
      <c r="E6731">
        <v>9</v>
      </c>
      <c r="F6731" t="s">
        <v>10018</v>
      </c>
      <c r="G6731" t="s">
        <v>10069</v>
      </c>
      <c r="H6731" s="6">
        <v>45205</v>
      </c>
      <c r="I6731">
        <f t="shared" si="210"/>
        <v>0</v>
      </c>
      <c r="J6731" t="str">
        <f t="shared" si="211"/>
        <v>Complete</v>
      </c>
      <c r="K6731">
        <f>COUNTIFS(RawData[Item], B6731,RawData[Quantity],C6731,RawData[Price Per Unit],D6731,RawData[Total Spent],E6731,RawData[Payment Method],F6731,RawData[Location],G6731,RawData[Transaction Date],H6731)</f>
        <v>1</v>
      </c>
      <c r="L6731"/>
    </row>
    <row r="6732" spans="1:12" x14ac:dyDescent="0.3">
      <c r="A6732" t="s">
        <v>6738</v>
      </c>
      <c r="B6732" t="s">
        <v>10011</v>
      </c>
      <c r="C6732">
        <v>4</v>
      </c>
      <c r="D6732">
        <v>5</v>
      </c>
      <c r="E6732">
        <v>20</v>
      </c>
      <c r="F6732" t="s">
        <v>10018</v>
      </c>
      <c r="G6732" t="s">
        <v>10103</v>
      </c>
      <c r="H6732" s="6">
        <v>44983</v>
      </c>
      <c r="I6732">
        <f t="shared" si="210"/>
        <v>1</v>
      </c>
      <c r="J6732" t="str">
        <f t="shared" si="211"/>
        <v>Complete</v>
      </c>
      <c r="K6732">
        <f>COUNTIFS(RawData[Item], B6732,RawData[Quantity],C6732,RawData[Price Per Unit],D6732,RawData[Total Spent],E6732,RawData[Payment Method],F6732,RawData[Location],G6732,RawData[Transaction Date],H6732)</f>
        <v>1</v>
      </c>
      <c r="L6732"/>
    </row>
    <row r="6733" spans="1:12" x14ac:dyDescent="0.3">
      <c r="A6733" t="s">
        <v>6739</v>
      </c>
      <c r="B6733" t="s">
        <v>10008</v>
      </c>
      <c r="C6733">
        <v>4</v>
      </c>
      <c r="D6733">
        <v>2</v>
      </c>
      <c r="E6733">
        <v>8</v>
      </c>
      <c r="F6733" t="s">
        <v>10018</v>
      </c>
      <c r="G6733" t="s">
        <v>10021</v>
      </c>
      <c r="H6733" s="6">
        <v>45111</v>
      </c>
      <c r="I6733">
        <f t="shared" si="210"/>
        <v>0</v>
      </c>
      <c r="J6733" t="str">
        <f t="shared" si="211"/>
        <v>Complete</v>
      </c>
      <c r="K6733">
        <f>COUNTIFS(RawData[Item], B6733,RawData[Quantity],C6733,RawData[Price Per Unit],D6733,RawData[Total Spent],E6733,RawData[Payment Method],F6733,RawData[Location],G6733,RawData[Transaction Date],H6733)</f>
        <v>1</v>
      </c>
      <c r="L6733"/>
    </row>
    <row r="6734" spans="1:12" x14ac:dyDescent="0.3">
      <c r="A6734" t="s">
        <v>6740</v>
      </c>
      <c r="B6734" t="s">
        <v>10012</v>
      </c>
      <c r="C6734">
        <v>1</v>
      </c>
      <c r="D6734">
        <v>4</v>
      </c>
      <c r="E6734">
        <v>4</v>
      </c>
      <c r="F6734" t="s">
        <v>10019</v>
      </c>
      <c r="G6734" t="s">
        <v>10021</v>
      </c>
      <c r="H6734" s="6">
        <v>45117</v>
      </c>
      <c r="I6734">
        <f t="shared" si="210"/>
        <v>0</v>
      </c>
      <c r="J6734" t="str">
        <f t="shared" si="211"/>
        <v>Complete</v>
      </c>
      <c r="K6734">
        <f>COUNTIFS(RawData[Item], B6734,RawData[Quantity],C6734,RawData[Price Per Unit],D6734,RawData[Total Spent],E6734,RawData[Payment Method],F6734,RawData[Location],G6734,RawData[Transaction Date],H6734)</f>
        <v>1</v>
      </c>
      <c r="L6734"/>
    </row>
    <row r="6735" spans="1:12" x14ac:dyDescent="0.3">
      <c r="A6735" t="s">
        <v>6741</v>
      </c>
      <c r="B6735" t="s">
        <v>10014</v>
      </c>
      <c r="C6735">
        <v>5</v>
      </c>
      <c r="D6735">
        <v>4</v>
      </c>
      <c r="E6735">
        <v>20</v>
      </c>
      <c r="F6735" t="s">
        <v>10103</v>
      </c>
      <c r="G6735" t="s">
        <v>10021</v>
      </c>
      <c r="H6735" s="6">
        <v>45283</v>
      </c>
      <c r="I6735">
        <f t="shared" si="210"/>
        <v>1</v>
      </c>
      <c r="J6735" t="str">
        <f t="shared" si="211"/>
        <v>Complete</v>
      </c>
      <c r="K6735">
        <f>COUNTIFS(RawData[Item], B6735,RawData[Quantity],C6735,RawData[Price Per Unit],D6735,RawData[Total Spent],E6735,RawData[Payment Method],F6735,RawData[Location],G6735,RawData[Transaction Date],H6735)</f>
        <v>1</v>
      </c>
      <c r="L6735"/>
    </row>
    <row r="6736" spans="1:12" x14ac:dyDescent="0.3">
      <c r="A6736" t="s">
        <v>6742</v>
      </c>
      <c r="B6736" t="s">
        <v>10010</v>
      </c>
      <c r="C6736">
        <v>5</v>
      </c>
      <c r="D6736">
        <v>1</v>
      </c>
      <c r="E6736">
        <v>5</v>
      </c>
      <c r="F6736" t="s">
        <v>10020</v>
      </c>
      <c r="G6736" t="s">
        <v>10102</v>
      </c>
      <c r="H6736" s="6">
        <v>45082</v>
      </c>
      <c r="I6736">
        <f t="shared" si="210"/>
        <v>0</v>
      </c>
      <c r="J6736" t="str">
        <f t="shared" si="211"/>
        <v>Complete</v>
      </c>
      <c r="K6736">
        <f>COUNTIFS(RawData[Item], B6736,RawData[Quantity],C6736,RawData[Price Per Unit],D6736,RawData[Total Spent],E6736,RawData[Payment Method],F6736,RawData[Location],G6736,RawData[Transaction Date],H6736)</f>
        <v>1</v>
      </c>
      <c r="L6736"/>
    </row>
    <row r="6737" spans="1:12" x14ac:dyDescent="0.3">
      <c r="A6737" t="s">
        <v>6743</v>
      </c>
      <c r="B6737" t="s">
        <v>10010</v>
      </c>
      <c r="C6737">
        <v>1</v>
      </c>
      <c r="D6737">
        <v>1</v>
      </c>
      <c r="E6737">
        <v>1</v>
      </c>
      <c r="F6737" t="s">
        <v>10069</v>
      </c>
      <c r="G6737" t="s">
        <v>10069</v>
      </c>
      <c r="H6737" s="6">
        <v>44998</v>
      </c>
      <c r="I6737">
        <f t="shared" si="210"/>
        <v>0</v>
      </c>
      <c r="J6737" t="str">
        <f t="shared" si="211"/>
        <v>Complete</v>
      </c>
      <c r="K6737">
        <f>COUNTIFS(RawData[Item], B6737,RawData[Quantity],C6737,RawData[Price Per Unit],D6737,RawData[Total Spent],E6737,RawData[Payment Method],F6737,RawData[Location],G6737,RawData[Transaction Date],H6737)</f>
        <v>2</v>
      </c>
      <c r="L6737"/>
    </row>
    <row r="6738" spans="1:12" x14ac:dyDescent="0.3">
      <c r="A6738" t="s">
        <v>6744</v>
      </c>
      <c r="B6738" t="s">
        <v>10008</v>
      </c>
      <c r="C6738">
        <v>3</v>
      </c>
      <c r="D6738">
        <v>2</v>
      </c>
      <c r="E6738">
        <v>6</v>
      </c>
      <c r="F6738" t="s">
        <v>10069</v>
      </c>
      <c r="G6738" t="s">
        <v>10021</v>
      </c>
      <c r="H6738" s="6">
        <v>45081</v>
      </c>
      <c r="I6738">
        <f t="shared" si="210"/>
        <v>0</v>
      </c>
      <c r="J6738" t="str">
        <f t="shared" si="211"/>
        <v>Complete</v>
      </c>
      <c r="K6738">
        <f>COUNTIFS(RawData[Item], B6738,RawData[Quantity],C6738,RawData[Price Per Unit],D6738,RawData[Total Spent],E6738,RawData[Payment Method],F6738,RawData[Location],G6738,RawData[Transaction Date],H6738)</f>
        <v>1</v>
      </c>
      <c r="L6738"/>
    </row>
    <row r="6739" spans="1:12" x14ac:dyDescent="0.3">
      <c r="A6739" t="s">
        <v>6745</v>
      </c>
      <c r="B6739" t="s">
        <v>10008</v>
      </c>
      <c r="C6739">
        <v>5</v>
      </c>
      <c r="D6739">
        <v>2</v>
      </c>
      <c r="E6739">
        <v>10</v>
      </c>
      <c r="F6739" t="s">
        <v>10020</v>
      </c>
      <c r="G6739" t="s">
        <v>10021</v>
      </c>
      <c r="H6739" s="6">
        <v>45187</v>
      </c>
      <c r="I6739">
        <f t="shared" si="210"/>
        <v>0</v>
      </c>
      <c r="J6739" t="str">
        <f t="shared" si="211"/>
        <v>Complete</v>
      </c>
      <c r="K6739">
        <f>COUNTIFS(RawData[Item], B6739,RawData[Quantity],C6739,RawData[Price Per Unit],D6739,RawData[Total Spent],E6739,RawData[Payment Method],F6739,RawData[Location],G6739,RawData[Transaction Date],H6739)</f>
        <v>1</v>
      </c>
      <c r="L6739"/>
    </row>
    <row r="6740" spans="1:12" x14ac:dyDescent="0.3">
      <c r="A6740" t="s">
        <v>6746</v>
      </c>
      <c r="B6740" t="s">
        <v>10016</v>
      </c>
      <c r="C6740">
        <v>4</v>
      </c>
      <c r="D6740">
        <v>3</v>
      </c>
      <c r="E6740">
        <v>12</v>
      </c>
      <c r="F6740" t="s">
        <v>10018</v>
      </c>
      <c r="G6740" t="s">
        <v>10069</v>
      </c>
      <c r="H6740" s="6" t="s">
        <v>10112</v>
      </c>
      <c r="I6740">
        <f t="shared" si="210"/>
        <v>1</v>
      </c>
      <c r="J6740" t="str">
        <f t="shared" si="211"/>
        <v>Incomplete</v>
      </c>
      <c r="K6740">
        <f>COUNTIFS(RawData[Item], B6740,RawData[Quantity],C6740,RawData[Price Per Unit],D6740,RawData[Total Spent],E6740,RawData[Payment Method],F6740,RawData[Location],G6740,RawData[Transaction Date],H6740)</f>
        <v>1</v>
      </c>
      <c r="L6740"/>
    </row>
    <row r="6741" spans="1:12" x14ac:dyDescent="0.3">
      <c r="A6741" t="s">
        <v>6747</v>
      </c>
      <c r="B6741" t="s">
        <v>10008</v>
      </c>
      <c r="C6741">
        <v>5</v>
      </c>
      <c r="D6741">
        <v>2</v>
      </c>
      <c r="E6741">
        <v>10</v>
      </c>
      <c r="F6741" t="s">
        <v>10069</v>
      </c>
      <c r="G6741" t="s">
        <v>10102</v>
      </c>
      <c r="H6741" s="6">
        <v>45172</v>
      </c>
      <c r="I6741">
        <f t="shared" si="210"/>
        <v>0</v>
      </c>
      <c r="J6741" t="str">
        <f t="shared" si="211"/>
        <v>Complete</v>
      </c>
      <c r="K6741">
        <f>COUNTIFS(RawData[Item], B6741,RawData[Quantity],C6741,RawData[Price Per Unit],D6741,RawData[Total Spent],E6741,RawData[Payment Method],F6741,RawData[Location],G6741,RawData[Transaction Date],H6741)</f>
        <v>1</v>
      </c>
      <c r="L6741"/>
    </row>
    <row r="6742" spans="1:12" x14ac:dyDescent="0.3">
      <c r="A6742" t="s">
        <v>6748</v>
      </c>
      <c r="B6742" t="s">
        <v>10010</v>
      </c>
      <c r="C6742">
        <v>2</v>
      </c>
      <c r="D6742">
        <v>1</v>
      </c>
      <c r="E6742">
        <v>2</v>
      </c>
      <c r="F6742" t="s">
        <v>10018</v>
      </c>
      <c r="G6742" t="s">
        <v>10021</v>
      </c>
      <c r="H6742" s="6">
        <v>44983</v>
      </c>
      <c r="I6742">
        <f t="shared" si="210"/>
        <v>0</v>
      </c>
      <c r="J6742" t="str">
        <f t="shared" si="211"/>
        <v>Complete</v>
      </c>
      <c r="K6742">
        <f>COUNTIFS(RawData[Item], B6742,RawData[Quantity],C6742,RawData[Price Per Unit],D6742,RawData[Total Spent],E6742,RawData[Payment Method],F6742,RawData[Location],G6742,RawData[Transaction Date],H6742)</f>
        <v>1</v>
      </c>
      <c r="L6742"/>
    </row>
    <row r="6743" spans="1:12" x14ac:dyDescent="0.3">
      <c r="A6743" t="s">
        <v>6749</v>
      </c>
      <c r="B6743" t="s">
        <v>10012</v>
      </c>
      <c r="C6743">
        <v>1</v>
      </c>
      <c r="D6743">
        <v>4</v>
      </c>
      <c r="E6743">
        <v>4</v>
      </c>
      <c r="F6743" t="s">
        <v>10020</v>
      </c>
      <c r="G6743" t="s">
        <v>10069</v>
      </c>
      <c r="H6743" s="6">
        <v>45225</v>
      </c>
      <c r="I6743">
        <f t="shared" si="210"/>
        <v>0</v>
      </c>
      <c r="J6743" t="str">
        <f t="shared" si="211"/>
        <v>Complete</v>
      </c>
      <c r="K6743">
        <f>COUNTIFS(RawData[Item], B6743,RawData[Quantity],C6743,RawData[Price Per Unit],D6743,RawData[Total Spent],E6743,RawData[Payment Method],F6743,RawData[Location],G6743,RawData[Transaction Date],H6743)</f>
        <v>1</v>
      </c>
      <c r="L6743"/>
    </row>
    <row r="6744" spans="1:12" x14ac:dyDescent="0.3">
      <c r="A6744" t="s">
        <v>6750</v>
      </c>
      <c r="B6744" t="s">
        <v>10016</v>
      </c>
      <c r="C6744">
        <v>3</v>
      </c>
      <c r="D6744">
        <v>3</v>
      </c>
      <c r="E6744">
        <v>9</v>
      </c>
      <c r="F6744" t="s">
        <v>10020</v>
      </c>
      <c r="G6744" t="s">
        <v>10069</v>
      </c>
      <c r="H6744" s="6">
        <v>44948</v>
      </c>
      <c r="I6744">
        <f t="shared" si="210"/>
        <v>0</v>
      </c>
      <c r="J6744" t="str">
        <f t="shared" si="211"/>
        <v>Complete</v>
      </c>
      <c r="K6744">
        <f>COUNTIFS(RawData[Item], B6744,RawData[Quantity],C6744,RawData[Price Per Unit],D6744,RawData[Total Spent],E6744,RawData[Payment Method],F6744,RawData[Location],G6744,RawData[Transaction Date],H6744)</f>
        <v>1</v>
      </c>
      <c r="L6744"/>
    </row>
    <row r="6745" spans="1:12" x14ac:dyDescent="0.3">
      <c r="A6745" t="s">
        <v>6751</v>
      </c>
      <c r="B6745" t="s">
        <v>10010</v>
      </c>
      <c r="C6745">
        <v>1</v>
      </c>
      <c r="D6745">
        <v>1</v>
      </c>
      <c r="E6745">
        <v>1</v>
      </c>
      <c r="F6745" t="s">
        <v>10069</v>
      </c>
      <c r="G6745" t="s">
        <v>10069</v>
      </c>
      <c r="H6745" s="6" t="s">
        <v>10112</v>
      </c>
      <c r="I6745">
        <f t="shared" si="210"/>
        <v>1</v>
      </c>
      <c r="J6745" t="str">
        <f t="shared" si="211"/>
        <v>Incomplete</v>
      </c>
      <c r="K6745">
        <f>COUNTIFS(RawData[Item], B6745,RawData[Quantity],C6745,RawData[Price Per Unit],D6745,RawData[Total Spent],E6745,RawData[Payment Method],F6745,RawData[Location],G6745,RawData[Transaction Date],H6745)</f>
        <v>2</v>
      </c>
      <c r="L6745"/>
    </row>
    <row r="6746" spans="1:12" x14ac:dyDescent="0.3">
      <c r="A6746" t="s">
        <v>6752</v>
      </c>
      <c r="B6746" t="s">
        <v>10012</v>
      </c>
      <c r="C6746">
        <v>4</v>
      </c>
      <c r="D6746">
        <v>4</v>
      </c>
      <c r="E6746">
        <v>16</v>
      </c>
      <c r="F6746" t="s">
        <v>10019</v>
      </c>
      <c r="G6746" t="s">
        <v>10021</v>
      </c>
      <c r="H6746" s="6">
        <v>45174</v>
      </c>
      <c r="I6746">
        <f t="shared" si="210"/>
        <v>0</v>
      </c>
      <c r="J6746" t="str">
        <f t="shared" si="211"/>
        <v>Complete</v>
      </c>
      <c r="K6746">
        <f>COUNTIFS(RawData[Item], B6746,RawData[Quantity],C6746,RawData[Price Per Unit],D6746,RawData[Total Spent],E6746,RawData[Payment Method],F6746,RawData[Location],G6746,RawData[Transaction Date],H6746)</f>
        <v>1</v>
      </c>
      <c r="L6746"/>
    </row>
    <row r="6747" spans="1:12" x14ac:dyDescent="0.3">
      <c r="A6747" t="s">
        <v>6753</v>
      </c>
      <c r="B6747" t="s">
        <v>10010</v>
      </c>
      <c r="C6747">
        <v>3</v>
      </c>
      <c r="D6747" t="s">
        <v>10015</v>
      </c>
      <c r="E6747">
        <v>3</v>
      </c>
      <c r="F6747" t="s">
        <v>10020</v>
      </c>
      <c r="G6747" t="s">
        <v>10021</v>
      </c>
      <c r="H6747" s="6">
        <v>45095</v>
      </c>
      <c r="I6747">
        <f t="shared" si="210"/>
        <v>1</v>
      </c>
      <c r="J6747" t="str">
        <f t="shared" si="211"/>
        <v>Complete</v>
      </c>
      <c r="K6747">
        <f>COUNTIFS(RawData[Item], B6747,RawData[Quantity],C6747,RawData[Price Per Unit],D6747,RawData[Total Spent],E6747,RawData[Payment Method],F6747,RawData[Location],G6747,RawData[Transaction Date],H6747)</f>
        <v>1</v>
      </c>
      <c r="L6747"/>
    </row>
    <row r="6748" spans="1:12" x14ac:dyDescent="0.3">
      <c r="A6748" t="s">
        <v>6754</v>
      </c>
      <c r="B6748" t="s">
        <v>10010</v>
      </c>
      <c r="C6748">
        <v>5</v>
      </c>
      <c r="D6748">
        <v>1</v>
      </c>
      <c r="E6748">
        <v>5</v>
      </c>
      <c r="F6748" t="s">
        <v>10069</v>
      </c>
      <c r="G6748" t="s">
        <v>10104</v>
      </c>
      <c r="H6748" s="6">
        <v>45036</v>
      </c>
      <c r="I6748">
        <f t="shared" si="210"/>
        <v>1</v>
      </c>
      <c r="J6748" t="str">
        <f t="shared" si="211"/>
        <v>Complete</v>
      </c>
      <c r="K6748">
        <f>COUNTIFS(RawData[Item], B6748,RawData[Quantity],C6748,RawData[Price Per Unit],D6748,RawData[Total Spent],E6748,RawData[Payment Method],F6748,RawData[Location],G6748,RawData[Transaction Date],H6748)</f>
        <v>1</v>
      </c>
      <c r="L6748"/>
    </row>
    <row r="6749" spans="1:12" x14ac:dyDescent="0.3">
      <c r="A6749" t="s">
        <v>6755</v>
      </c>
      <c r="B6749" t="s">
        <v>10012</v>
      </c>
      <c r="C6749">
        <v>2</v>
      </c>
      <c r="D6749">
        <v>4</v>
      </c>
      <c r="E6749">
        <v>8</v>
      </c>
      <c r="F6749" t="s">
        <v>10020</v>
      </c>
      <c r="G6749" t="s">
        <v>10021</v>
      </c>
      <c r="H6749" s="6">
        <v>44987</v>
      </c>
      <c r="I6749">
        <f t="shared" si="210"/>
        <v>0</v>
      </c>
      <c r="J6749" t="str">
        <f t="shared" si="211"/>
        <v>Complete</v>
      </c>
      <c r="K6749">
        <f>COUNTIFS(RawData[Item], B6749,RawData[Quantity],C6749,RawData[Price Per Unit],D6749,RawData[Total Spent],E6749,RawData[Payment Method],F6749,RawData[Location],G6749,RawData[Transaction Date],H6749)</f>
        <v>1</v>
      </c>
      <c r="L6749"/>
    </row>
    <row r="6750" spans="1:12" x14ac:dyDescent="0.3">
      <c r="A6750" t="s">
        <v>6756</v>
      </c>
      <c r="B6750" t="s">
        <v>10008</v>
      </c>
      <c r="C6750">
        <v>4</v>
      </c>
      <c r="D6750">
        <v>2</v>
      </c>
      <c r="E6750">
        <v>8</v>
      </c>
      <c r="F6750" t="s">
        <v>10020</v>
      </c>
      <c r="G6750" t="s">
        <v>10069</v>
      </c>
      <c r="H6750" s="6">
        <v>45032</v>
      </c>
      <c r="I6750">
        <f t="shared" si="210"/>
        <v>0</v>
      </c>
      <c r="J6750" t="str">
        <f t="shared" si="211"/>
        <v>Complete</v>
      </c>
      <c r="K6750">
        <f>COUNTIFS(RawData[Item], B6750,RawData[Quantity],C6750,RawData[Price Per Unit],D6750,RawData[Total Spent],E6750,RawData[Payment Method],F6750,RawData[Location],G6750,RawData[Transaction Date],H6750)</f>
        <v>1</v>
      </c>
      <c r="L6750"/>
    </row>
    <row r="6751" spans="1:12" x14ac:dyDescent="0.3">
      <c r="A6751" t="s">
        <v>6757</v>
      </c>
      <c r="B6751" t="s">
        <v>10008</v>
      </c>
      <c r="C6751">
        <v>4</v>
      </c>
      <c r="D6751">
        <v>2</v>
      </c>
      <c r="E6751">
        <v>8</v>
      </c>
      <c r="F6751" t="s">
        <v>10069</v>
      </c>
      <c r="G6751" t="s">
        <v>10069</v>
      </c>
      <c r="H6751" s="6">
        <v>45159</v>
      </c>
      <c r="I6751">
        <f t="shared" si="210"/>
        <v>0</v>
      </c>
      <c r="J6751" t="str">
        <f t="shared" si="211"/>
        <v>Complete</v>
      </c>
      <c r="K6751">
        <f>COUNTIFS(RawData[Item], B6751,RawData[Quantity],C6751,RawData[Price Per Unit],D6751,RawData[Total Spent],E6751,RawData[Payment Method],F6751,RawData[Location],G6751,RawData[Transaction Date],H6751)</f>
        <v>2</v>
      </c>
      <c r="L6751"/>
    </row>
    <row r="6752" spans="1:12" x14ac:dyDescent="0.3">
      <c r="A6752" t="s">
        <v>6758</v>
      </c>
      <c r="B6752" t="s">
        <v>10009</v>
      </c>
      <c r="C6752">
        <v>3</v>
      </c>
      <c r="D6752">
        <v>3</v>
      </c>
      <c r="E6752">
        <v>9</v>
      </c>
      <c r="F6752" t="s">
        <v>10019</v>
      </c>
      <c r="G6752" t="s">
        <v>10104</v>
      </c>
      <c r="H6752" s="6">
        <v>45017</v>
      </c>
      <c r="I6752">
        <f t="shared" si="210"/>
        <v>1</v>
      </c>
      <c r="J6752" t="str">
        <f t="shared" si="211"/>
        <v>Complete</v>
      </c>
      <c r="K6752">
        <f>COUNTIFS(RawData[Item], B6752,RawData[Quantity],C6752,RawData[Price Per Unit],D6752,RawData[Total Spent],E6752,RawData[Payment Method],F6752,RawData[Location],G6752,RawData[Transaction Date],H6752)</f>
        <v>1</v>
      </c>
      <c r="L6752"/>
    </row>
    <row r="6753" spans="1:12" x14ac:dyDescent="0.3">
      <c r="A6753" t="s">
        <v>6759</v>
      </c>
      <c r="B6753" t="s">
        <v>10014</v>
      </c>
      <c r="C6753">
        <v>2</v>
      </c>
      <c r="D6753">
        <v>4</v>
      </c>
      <c r="E6753">
        <v>8</v>
      </c>
      <c r="F6753" t="s">
        <v>10020</v>
      </c>
      <c r="G6753" t="s">
        <v>10102</v>
      </c>
      <c r="H6753" s="6">
        <v>44941</v>
      </c>
      <c r="I6753">
        <f t="shared" si="210"/>
        <v>0</v>
      </c>
      <c r="J6753" t="str">
        <f t="shared" si="211"/>
        <v>Complete</v>
      </c>
      <c r="K6753">
        <f>COUNTIFS(RawData[Item], B6753,RawData[Quantity],C6753,RawData[Price Per Unit],D6753,RawData[Total Spent],E6753,RawData[Payment Method],F6753,RawData[Location],G6753,RawData[Transaction Date],H6753)</f>
        <v>1</v>
      </c>
      <c r="L6753"/>
    </row>
    <row r="6754" spans="1:12" x14ac:dyDescent="0.3">
      <c r="A6754" t="s">
        <v>6760</v>
      </c>
      <c r="B6754" t="s">
        <v>10011</v>
      </c>
      <c r="C6754">
        <v>2</v>
      </c>
      <c r="D6754">
        <v>5</v>
      </c>
      <c r="E6754">
        <v>10</v>
      </c>
      <c r="F6754" t="s">
        <v>10020</v>
      </c>
      <c r="G6754" t="s">
        <v>10069</v>
      </c>
      <c r="H6754" s="6">
        <v>45286</v>
      </c>
      <c r="I6754">
        <f t="shared" si="210"/>
        <v>0</v>
      </c>
      <c r="J6754" t="str">
        <f t="shared" si="211"/>
        <v>Complete</v>
      </c>
      <c r="K6754">
        <f>COUNTIFS(RawData[Item], B6754,RawData[Quantity],C6754,RawData[Price Per Unit],D6754,RawData[Total Spent],E6754,RawData[Payment Method],F6754,RawData[Location],G6754,RawData[Transaction Date],H6754)</f>
        <v>1</v>
      </c>
      <c r="L6754"/>
    </row>
    <row r="6755" spans="1:12" x14ac:dyDescent="0.3">
      <c r="A6755" t="s">
        <v>6761</v>
      </c>
      <c r="B6755" t="s">
        <v>10017</v>
      </c>
      <c r="C6755">
        <v>3</v>
      </c>
      <c r="D6755">
        <v>1.5</v>
      </c>
      <c r="E6755">
        <v>4.5</v>
      </c>
      <c r="F6755" t="s">
        <v>10020</v>
      </c>
      <c r="G6755" t="s">
        <v>10069</v>
      </c>
      <c r="H6755" s="6">
        <v>45164</v>
      </c>
      <c r="I6755">
        <f t="shared" si="210"/>
        <v>0</v>
      </c>
      <c r="J6755" t="str">
        <f t="shared" si="211"/>
        <v>Complete</v>
      </c>
      <c r="K6755">
        <f>COUNTIFS(RawData[Item], B6755,RawData[Quantity],C6755,RawData[Price Per Unit],D6755,RawData[Total Spent],E6755,RawData[Payment Method],F6755,RawData[Location],G6755,RawData[Transaction Date],H6755)</f>
        <v>1</v>
      </c>
      <c r="L6755"/>
    </row>
    <row r="6756" spans="1:12" x14ac:dyDescent="0.3">
      <c r="A6756" t="s">
        <v>6762</v>
      </c>
      <c r="B6756" t="s">
        <v>10008</v>
      </c>
      <c r="C6756">
        <v>3</v>
      </c>
      <c r="D6756">
        <v>2</v>
      </c>
      <c r="E6756">
        <v>6</v>
      </c>
      <c r="F6756" t="s">
        <v>10020</v>
      </c>
      <c r="G6756" t="s">
        <v>10021</v>
      </c>
      <c r="H6756" s="6">
        <v>45125</v>
      </c>
      <c r="I6756">
        <f t="shared" si="210"/>
        <v>0</v>
      </c>
      <c r="J6756" t="str">
        <f t="shared" si="211"/>
        <v>Complete</v>
      </c>
      <c r="K6756">
        <f>COUNTIFS(RawData[Item], B6756,RawData[Quantity],C6756,RawData[Price Per Unit],D6756,RawData[Total Spent],E6756,RawData[Payment Method],F6756,RawData[Location],G6756,RawData[Transaction Date],H6756)</f>
        <v>1</v>
      </c>
      <c r="L6756"/>
    </row>
    <row r="6757" spans="1:12" x14ac:dyDescent="0.3">
      <c r="A6757" t="s">
        <v>6763</v>
      </c>
      <c r="B6757" t="s">
        <v>10014</v>
      </c>
      <c r="C6757">
        <v>2</v>
      </c>
      <c r="D6757">
        <v>4</v>
      </c>
      <c r="E6757">
        <v>8</v>
      </c>
      <c r="F6757" t="s">
        <v>10069</v>
      </c>
      <c r="G6757" t="s">
        <v>10104</v>
      </c>
      <c r="H6757" s="6">
        <v>45074</v>
      </c>
      <c r="I6757">
        <f t="shared" si="210"/>
        <v>1</v>
      </c>
      <c r="J6757" t="str">
        <f t="shared" si="211"/>
        <v>Complete</v>
      </c>
      <c r="K6757">
        <f>COUNTIFS(RawData[Item], B6757,RawData[Quantity],C6757,RawData[Price Per Unit],D6757,RawData[Total Spent],E6757,RawData[Payment Method],F6757,RawData[Location],G6757,RawData[Transaction Date],H6757)</f>
        <v>2</v>
      </c>
      <c r="L6757"/>
    </row>
    <row r="6758" spans="1:12" x14ac:dyDescent="0.3">
      <c r="A6758" t="s">
        <v>6764</v>
      </c>
      <c r="B6758" t="s">
        <v>10014</v>
      </c>
      <c r="C6758">
        <v>4</v>
      </c>
      <c r="D6758">
        <v>4</v>
      </c>
      <c r="E6758">
        <v>16</v>
      </c>
      <c r="F6758" t="s">
        <v>10018</v>
      </c>
      <c r="G6758" t="s">
        <v>10021</v>
      </c>
      <c r="H6758" s="6">
        <v>45221</v>
      </c>
      <c r="I6758">
        <f t="shared" si="210"/>
        <v>0</v>
      </c>
      <c r="J6758" t="str">
        <f t="shared" si="211"/>
        <v>Complete</v>
      </c>
      <c r="K6758">
        <f>COUNTIFS(RawData[Item], B6758,RawData[Quantity],C6758,RawData[Price Per Unit],D6758,RawData[Total Spent],E6758,RawData[Payment Method],F6758,RawData[Location],G6758,RawData[Transaction Date],H6758)</f>
        <v>1</v>
      </c>
      <c r="L6758"/>
    </row>
    <row r="6759" spans="1:12" x14ac:dyDescent="0.3">
      <c r="A6759" t="s">
        <v>6765</v>
      </c>
      <c r="B6759" t="s">
        <v>10010</v>
      </c>
      <c r="C6759">
        <v>5</v>
      </c>
      <c r="D6759">
        <v>1</v>
      </c>
      <c r="E6759">
        <v>5</v>
      </c>
      <c r="F6759" t="s">
        <v>10103</v>
      </c>
      <c r="G6759" t="s">
        <v>10102</v>
      </c>
      <c r="H6759" s="6">
        <v>45071</v>
      </c>
      <c r="I6759">
        <f t="shared" si="210"/>
        <v>1</v>
      </c>
      <c r="J6759" t="str">
        <f t="shared" si="211"/>
        <v>Complete</v>
      </c>
      <c r="K6759">
        <f>COUNTIFS(RawData[Item], B6759,RawData[Quantity],C6759,RawData[Price Per Unit],D6759,RawData[Total Spent],E6759,RawData[Payment Method],F6759,RawData[Location],G6759,RawData[Transaction Date],H6759)</f>
        <v>1</v>
      </c>
      <c r="L6759"/>
    </row>
    <row r="6760" spans="1:12" x14ac:dyDescent="0.3">
      <c r="A6760" t="s">
        <v>6766</v>
      </c>
      <c r="B6760" t="s">
        <v>10008</v>
      </c>
      <c r="C6760">
        <v>2</v>
      </c>
      <c r="D6760">
        <v>2</v>
      </c>
      <c r="E6760">
        <v>4</v>
      </c>
      <c r="F6760" t="s">
        <v>10020</v>
      </c>
      <c r="G6760" t="s">
        <v>10102</v>
      </c>
      <c r="H6760" s="6">
        <v>45177</v>
      </c>
      <c r="I6760">
        <f t="shared" si="210"/>
        <v>0</v>
      </c>
      <c r="J6760" t="str">
        <f t="shared" si="211"/>
        <v>Complete</v>
      </c>
      <c r="K6760">
        <f>COUNTIFS(RawData[Item], B6760,RawData[Quantity],C6760,RawData[Price Per Unit],D6760,RawData[Total Spent],E6760,RawData[Payment Method],F6760,RawData[Location],G6760,RawData[Transaction Date],H6760)</f>
        <v>1</v>
      </c>
      <c r="L6760"/>
    </row>
    <row r="6761" spans="1:12" x14ac:dyDescent="0.3">
      <c r="A6761" t="s">
        <v>6767</v>
      </c>
      <c r="B6761" t="s">
        <v>10011</v>
      </c>
      <c r="C6761">
        <v>2</v>
      </c>
      <c r="D6761">
        <v>5</v>
      </c>
      <c r="E6761">
        <v>10</v>
      </c>
      <c r="F6761" t="s">
        <v>10019</v>
      </c>
      <c r="G6761" t="s">
        <v>10102</v>
      </c>
      <c r="H6761" s="6">
        <v>45171</v>
      </c>
      <c r="I6761">
        <f t="shared" si="210"/>
        <v>0</v>
      </c>
      <c r="J6761" t="str">
        <f t="shared" si="211"/>
        <v>Complete</v>
      </c>
      <c r="K6761">
        <f>COUNTIFS(RawData[Item], B6761,RawData[Quantity],C6761,RawData[Price Per Unit],D6761,RawData[Total Spent],E6761,RawData[Payment Method],F6761,RawData[Location],G6761,RawData[Transaction Date],H6761)</f>
        <v>1</v>
      </c>
      <c r="L6761"/>
    </row>
    <row r="6762" spans="1:12" x14ac:dyDescent="0.3">
      <c r="A6762" t="s">
        <v>6768</v>
      </c>
      <c r="B6762" t="s">
        <v>10012</v>
      </c>
      <c r="C6762">
        <v>4</v>
      </c>
      <c r="D6762">
        <v>4</v>
      </c>
      <c r="E6762" t="s">
        <v>10015</v>
      </c>
      <c r="F6762" t="s">
        <v>10069</v>
      </c>
      <c r="G6762" t="s">
        <v>10069</v>
      </c>
      <c r="H6762" s="6">
        <v>44986</v>
      </c>
      <c r="I6762">
        <f t="shared" si="210"/>
        <v>1</v>
      </c>
      <c r="J6762" t="str">
        <f t="shared" si="211"/>
        <v>Complete</v>
      </c>
      <c r="K6762">
        <f>COUNTIFS(RawData[Item], B6762,RawData[Quantity],C6762,RawData[Price Per Unit],D6762,RawData[Total Spent],E6762,RawData[Payment Method],F6762,RawData[Location],G6762,RawData[Transaction Date],H6762)</f>
        <v>1</v>
      </c>
      <c r="L6762"/>
    </row>
    <row r="6763" spans="1:12" x14ac:dyDescent="0.3">
      <c r="A6763" t="s">
        <v>6769</v>
      </c>
      <c r="B6763" t="s">
        <v>10014</v>
      </c>
      <c r="C6763">
        <v>3</v>
      </c>
      <c r="D6763">
        <v>4</v>
      </c>
      <c r="E6763">
        <v>12</v>
      </c>
      <c r="F6763" t="s">
        <v>10018</v>
      </c>
      <c r="G6763" t="s">
        <v>10021</v>
      </c>
      <c r="H6763" s="6">
        <v>45198</v>
      </c>
      <c r="I6763">
        <f t="shared" si="210"/>
        <v>0</v>
      </c>
      <c r="J6763" t="str">
        <f t="shared" si="211"/>
        <v>Complete</v>
      </c>
      <c r="K6763">
        <f>COUNTIFS(RawData[Item], B6763,RawData[Quantity],C6763,RawData[Price Per Unit],D6763,RawData[Total Spent],E6763,RawData[Payment Method],F6763,RawData[Location],G6763,RawData[Transaction Date],H6763)</f>
        <v>1</v>
      </c>
      <c r="L6763"/>
    </row>
    <row r="6764" spans="1:12" x14ac:dyDescent="0.3">
      <c r="A6764" t="s">
        <v>6770</v>
      </c>
      <c r="B6764" t="s">
        <v>10010</v>
      </c>
      <c r="C6764">
        <v>3</v>
      </c>
      <c r="D6764">
        <v>1</v>
      </c>
      <c r="E6764">
        <v>3</v>
      </c>
      <c r="F6764" t="s">
        <v>10018</v>
      </c>
      <c r="G6764" t="s">
        <v>10021</v>
      </c>
      <c r="H6764" s="6">
        <v>45177</v>
      </c>
      <c r="I6764">
        <f t="shared" si="210"/>
        <v>0</v>
      </c>
      <c r="J6764" t="str">
        <f t="shared" si="211"/>
        <v>Complete</v>
      </c>
      <c r="K6764">
        <f>COUNTIFS(RawData[Item], B6764,RawData[Quantity],C6764,RawData[Price Per Unit],D6764,RawData[Total Spent],E6764,RawData[Payment Method],F6764,RawData[Location],G6764,RawData[Transaction Date],H6764)</f>
        <v>1</v>
      </c>
      <c r="L6764"/>
    </row>
    <row r="6765" spans="1:12" x14ac:dyDescent="0.3">
      <c r="A6765" t="s">
        <v>6771</v>
      </c>
      <c r="B6765" t="s">
        <v>10011</v>
      </c>
      <c r="C6765">
        <v>4</v>
      </c>
      <c r="D6765">
        <v>5</v>
      </c>
      <c r="E6765">
        <v>20</v>
      </c>
      <c r="F6765" t="s">
        <v>10019</v>
      </c>
      <c r="G6765" t="s">
        <v>10069</v>
      </c>
      <c r="H6765" s="6">
        <v>45275</v>
      </c>
      <c r="I6765">
        <f t="shared" si="210"/>
        <v>0</v>
      </c>
      <c r="J6765" t="str">
        <f t="shared" si="211"/>
        <v>Complete</v>
      </c>
      <c r="K6765">
        <f>COUNTIFS(RawData[Item], B6765,RawData[Quantity],C6765,RawData[Price Per Unit],D6765,RawData[Total Spent],E6765,RawData[Payment Method],F6765,RawData[Location],G6765,RawData[Transaction Date],H6765)</f>
        <v>1</v>
      </c>
      <c r="L6765"/>
    </row>
    <row r="6766" spans="1:12" x14ac:dyDescent="0.3">
      <c r="A6766" t="s">
        <v>6772</v>
      </c>
      <c r="B6766" t="s">
        <v>10009</v>
      </c>
      <c r="C6766">
        <v>2</v>
      </c>
      <c r="D6766">
        <v>3</v>
      </c>
      <c r="E6766">
        <v>6</v>
      </c>
      <c r="F6766" t="s">
        <v>10020</v>
      </c>
      <c r="G6766" t="s">
        <v>10021</v>
      </c>
      <c r="H6766" s="6">
        <v>45017</v>
      </c>
      <c r="I6766">
        <f t="shared" si="210"/>
        <v>0</v>
      </c>
      <c r="J6766" t="str">
        <f t="shared" si="211"/>
        <v>Complete</v>
      </c>
      <c r="K6766">
        <f>COUNTIFS(RawData[Item], B6766,RawData[Quantity],C6766,RawData[Price Per Unit],D6766,RawData[Total Spent],E6766,RawData[Payment Method],F6766,RawData[Location],G6766,RawData[Transaction Date],H6766)</f>
        <v>1</v>
      </c>
      <c r="L6766"/>
    </row>
    <row r="6767" spans="1:12" x14ac:dyDescent="0.3">
      <c r="A6767" t="s">
        <v>6773</v>
      </c>
      <c r="B6767" t="s">
        <v>10012</v>
      </c>
      <c r="C6767">
        <v>5</v>
      </c>
      <c r="D6767">
        <v>4</v>
      </c>
      <c r="E6767">
        <v>20</v>
      </c>
      <c r="F6767" t="s">
        <v>10019</v>
      </c>
      <c r="G6767" t="s">
        <v>10069</v>
      </c>
      <c r="H6767" s="6">
        <v>45042</v>
      </c>
      <c r="I6767">
        <f t="shared" si="210"/>
        <v>0</v>
      </c>
      <c r="J6767" t="str">
        <f t="shared" si="211"/>
        <v>Complete</v>
      </c>
      <c r="K6767">
        <f>COUNTIFS(RawData[Item], B6767,RawData[Quantity],C6767,RawData[Price Per Unit],D6767,RawData[Total Spent],E6767,RawData[Payment Method],F6767,RawData[Location],G6767,RawData[Transaction Date],H6767)</f>
        <v>1</v>
      </c>
      <c r="L6767"/>
    </row>
    <row r="6768" spans="1:12" x14ac:dyDescent="0.3">
      <c r="A6768" t="s">
        <v>6774</v>
      </c>
      <c r="B6768" t="s">
        <v>10014</v>
      </c>
      <c r="C6768">
        <v>4</v>
      </c>
      <c r="D6768">
        <v>4</v>
      </c>
      <c r="E6768">
        <v>16</v>
      </c>
      <c r="F6768" t="s">
        <v>10018</v>
      </c>
      <c r="G6768" t="s">
        <v>10069</v>
      </c>
      <c r="H6768" s="6">
        <v>45203</v>
      </c>
      <c r="I6768">
        <f t="shared" si="210"/>
        <v>0</v>
      </c>
      <c r="J6768" t="str">
        <f t="shared" si="211"/>
        <v>Complete</v>
      </c>
      <c r="K6768">
        <f>COUNTIFS(RawData[Item], B6768,RawData[Quantity],C6768,RawData[Price Per Unit],D6768,RawData[Total Spent],E6768,RawData[Payment Method],F6768,RawData[Location],G6768,RawData[Transaction Date],H6768)</f>
        <v>1</v>
      </c>
      <c r="L6768"/>
    </row>
    <row r="6769" spans="1:12" x14ac:dyDescent="0.3">
      <c r="A6769" t="s">
        <v>6775</v>
      </c>
      <c r="B6769" t="s">
        <v>10016</v>
      </c>
      <c r="C6769">
        <v>4</v>
      </c>
      <c r="D6769">
        <v>3</v>
      </c>
      <c r="E6769">
        <v>12</v>
      </c>
      <c r="F6769" t="s">
        <v>10069</v>
      </c>
      <c r="G6769" t="s">
        <v>10102</v>
      </c>
      <c r="H6769" s="6">
        <v>45290</v>
      </c>
      <c r="I6769">
        <f t="shared" si="210"/>
        <v>0</v>
      </c>
      <c r="J6769" t="str">
        <f t="shared" si="211"/>
        <v>Complete</v>
      </c>
      <c r="K6769">
        <f>COUNTIFS(RawData[Item], B6769,RawData[Quantity],C6769,RawData[Price Per Unit],D6769,RawData[Total Spent],E6769,RawData[Payment Method],F6769,RawData[Location],G6769,RawData[Transaction Date],H6769)</f>
        <v>1</v>
      </c>
      <c r="L6769"/>
    </row>
    <row r="6770" spans="1:12" x14ac:dyDescent="0.3">
      <c r="A6770" t="s">
        <v>6776</v>
      </c>
      <c r="B6770" t="s">
        <v>10069</v>
      </c>
      <c r="C6770">
        <v>2</v>
      </c>
      <c r="D6770">
        <v>4</v>
      </c>
      <c r="E6770">
        <v>8</v>
      </c>
      <c r="F6770" t="s">
        <v>10018</v>
      </c>
      <c r="G6770" t="s">
        <v>10102</v>
      </c>
      <c r="H6770" s="6" t="s">
        <v>10112</v>
      </c>
      <c r="I6770">
        <f t="shared" si="210"/>
        <v>1</v>
      </c>
      <c r="J6770" t="str">
        <f t="shared" si="211"/>
        <v>Incomplete</v>
      </c>
      <c r="K6770">
        <f>COUNTIFS(RawData[Item], B6770,RawData[Quantity],C6770,RawData[Price Per Unit],D6770,RawData[Total Spent],E6770,RawData[Payment Method],F6770,RawData[Location],G6770,RawData[Transaction Date],H6770)</f>
        <v>1</v>
      </c>
      <c r="L6770"/>
    </row>
    <row r="6771" spans="1:12" x14ac:dyDescent="0.3">
      <c r="A6771" t="s">
        <v>6777</v>
      </c>
      <c r="B6771" t="s">
        <v>10012</v>
      </c>
      <c r="C6771">
        <v>4</v>
      </c>
      <c r="D6771">
        <v>4</v>
      </c>
      <c r="E6771">
        <v>16</v>
      </c>
      <c r="F6771" t="s">
        <v>10069</v>
      </c>
      <c r="G6771" t="s">
        <v>10102</v>
      </c>
      <c r="H6771" s="6">
        <v>45169</v>
      </c>
      <c r="I6771">
        <f t="shared" si="210"/>
        <v>0</v>
      </c>
      <c r="J6771" t="str">
        <f t="shared" si="211"/>
        <v>Complete</v>
      </c>
      <c r="K6771">
        <f>COUNTIFS(RawData[Item], B6771,RawData[Quantity],C6771,RawData[Price Per Unit],D6771,RawData[Total Spent],E6771,RawData[Payment Method],F6771,RawData[Location],G6771,RawData[Transaction Date],H6771)</f>
        <v>1</v>
      </c>
      <c r="L6771"/>
    </row>
    <row r="6772" spans="1:12" x14ac:dyDescent="0.3">
      <c r="A6772" t="s">
        <v>6778</v>
      </c>
      <c r="B6772" t="s">
        <v>10016</v>
      </c>
      <c r="C6772">
        <v>1</v>
      </c>
      <c r="D6772">
        <v>3</v>
      </c>
      <c r="E6772">
        <v>3</v>
      </c>
      <c r="F6772" t="s">
        <v>10018</v>
      </c>
      <c r="G6772" t="s">
        <v>10069</v>
      </c>
      <c r="H6772" s="6">
        <v>45112</v>
      </c>
      <c r="I6772">
        <f t="shared" si="210"/>
        <v>0</v>
      </c>
      <c r="J6772" t="str">
        <f t="shared" si="211"/>
        <v>Complete</v>
      </c>
      <c r="K6772">
        <f>COUNTIFS(RawData[Item], B6772,RawData[Quantity],C6772,RawData[Price Per Unit],D6772,RawData[Total Spent],E6772,RawData[Payment Method],F6772,RawData[Location],G6772,RawData[Transaction Date],H6772)</f>
        <v>1</v>
      </c>
      <c r="L6772"/>
    </row>
    <row r="6773" spans="1:12" x14ac:dyDescent="0.3">
      <c r="A6773" t="s">
        <v>6779</v>
      </c>
      <c r="B6773" t="s">
        <v>10009</v>
      </c>
      <c r="C6773">
        <v>5</v>
      </c>
      <c r="D6773">
        <v>3</v>
      </c>
      <c r="E6773">
        <v>15</v>
      </c>
      <c r="F6773" t="s">
        <v>10104</v>
      </c>
      <c r="G6773" t="s">
        <v>10069</v>
      </c>
      <c r="H6773" s="6">
        <v>45112</v>
      </c>
      <c r="I6773">
        <f t="shared" si="210"/>
        <v>1</v>
      </c>
      <c r="J6773" t="str">
        <f t="shared" si="211"/>
        <v>Complete</v>
      </c>
      <c r="K6773">
        <f>COUNTIFS(RawData[Item], B6773,RawData[Quantity],C6773,RawData[Price Per Unit],D6773,RawData[Total Spent],E6773,RawData[Payment Method],F6773,RawData[Location],G6773,RawData[Transaction Date],H6773)</f>
        <v>1</v>
      </c>
      <c r="L6773"/>
    </row>
    <row r="6774" spans="1:12" x14ac:dyDescent="0.3">
      <c r="A6774" t="s">
        <v>6780</v>
      </c>
      <c r="B6774" t="s">
        <v>10014</v>
      </c>
      <c r="C6774">
        <v>2</v>
      </c>
      <c r="D6774">
        <v>4</v>
      </c>
      <c r="E6774">
        <v>8</v>
      </c>
      <c r="F6774" t="s">
        <v>10018</v>
      </c>
      <c r="G6774" t="s">
        <v>10021</v>
      </c>
      <c r="H6774" s="6">
        <v>45116</v>
      </c>
      <c r="I6774">
        <f t="shared" si="210"/>
        <v>0</v>
      </c>
      <c r="J6774" t="str">
        <f t="shared" si="211"/>
        <v>Complete</v>
      </c>
      <c r="K6774">
        <f>COUNTIFS(RawData[Item], B6774,RawData[Quantity],C6774,RawData[Price Per Unit],D6774,RawData[Total Spent],E6774,RawData[Payment Method],F6774,RawData[Location],G6774,RawData[Transaction Date],H6774)</f>
        <v>1</v>
      </c>
      <c r="L6774"/>
    </row>
    <row r="6775" spans="1:12" x14ac:dyDescent="0.3">
      <c r="A6775" t="s">
        <v>6781</v>
      </c>
      <c r="B6775" t="s">
        <v>10009</v>
      </c>
      <c r="C6775">
        <v>3</v>
      </c>
      <c r="D6775">
        <v>3</v>
      </c>
      <c r="E6775">
        <v>9</v>
      </c>
      <c r="F6775" t="s">
        <v>10018</v>
      </c>
      <c r="G6775" t="s">
        <v>10102</v>
      </c>
      <c r="H6775" s="6">
        <v>45221</v>
      </c>
      <c r="I6775">
        <f t="shared" si="210"/>
        <v>0</v>
      </c>
      <c r="J6775" t="str">
        <f t="shared" si="211"/>
        <v>Complete</v>
      </c>
      <c r="K6775">
        <f>COUNTIFS(RawData[Item], B6775,RawData[Quantity],C6775,RawData[Price Per Unit],D6775,RawData[Total Spent],E6775,RawData[Payment Method],F6775,RawData[Location],G6775,RawData[Transaction Date],H6775)</f>
        <v>1</v>
      </c>
      <c r="L6775"/>
    </row>
    <row r="6776" spans="1:12" x14ac:dyDescent="0.3">
      <c r="A6776" t="s">
        <v>6782</v>
      </c>
      <c r="B6776" t="s">
        <v>10010</v>
      </c>
      <c r="C6776">
        <v>3</v>
      </c>
      <c r="D6776">
        <v>1</v>
      </c>
      <c r="E6776">
        <v>3</v>
      </c>
      <c r="F6776" t="s">
        <v>10019</v>
      </c>
      <c r="G6776" t="s">
        <v>10102</v>
      </c>
      <c r="H6776" s="6">
        <v>45283</v>
      </c>
      <c r="I6776">
        <f t="shared" si="210"/>
        <v>0</v>
      </c>
      <c r="J6776" t="str">
        <f t="shared" si="211"/>
        <v>Complete</v>
      </c>
      <c r="K6776">
        <f>COUNTIFS(RawData[Item], B6776,RawData[Quantity],C6776,RawData[Price Per Unit],D6776,RawData[Total Spent],E6776,RawData[Payment Method],F6776,RawData[Location],G6776,RawData[Transaction Date],H6776)</f>
        <v>1</v>
      </c>
      <c r="L6776"/>
    </row>
    <row r="6777" spans="1:12" x14ac:dyDescent="0.3">
      <c r="A6777" t="s">
        <v>6783</v>
      </c>
      <c r="B6777" t="s">
        <v>10017</v>
      </c>
      <c r="C6777">
        <v>3</v>
      </c>
      <c r="D6777">
        <v>1.5</v>
      </c>
      <c r="E6777">
        <v>4.5</v>
      </c>
      <c r="F6777" t="s">
        <v>10018</v>
      </c>
      <c r="G6777" t="s">
        <v>10069</v>
      </c>
      <c r="H6777" s="6" t="s">
        <v>10112</v>
      </c>
      <c r="I6777">
        <f t="shared" si="210"/>
        <v>1</v>
      </c>
      <c r="J6777" t="str">
        <f t="shared" si="211"/>
        <v>Incomplete</v>
      </c>
      <c r="K6777">
        <f>COUNTIFS(RawData[Item], B6777,RawData[Quantity],C6777,RawData[Price Per Unit],D6777,RawData[Total Spent],E6777,RawData[Payment Method],F6777,RawData[Location],G6777,RawData[Transaction Date],H6777)</f>
        <v>1</v>
      </c>
      <c r="L6777"/>
    </row>
    <row r="6778" spans="1:12" x14ac:dyDescent="0.3">
      <c r="A6778" t="s">
        <v>6784</v>
      </c>
      <c r="B6778" t="s">
        <v>10008</v>
      </c>
      <c r="C6778">
        <v>2</v>
      </c>
      <c r="D6778">
        <v>2</v>
      </c>
      <c r="E6778">
        <v>4</v>
      </c>
      <c r="F6778" t="s">
        <v>10104</v>
      </c>
      <c r="G6778" t="s">
        <v>10102</v>
      </c>
      <c r="H6778" s="6">
        <v>45208</v>
      </c>
      <c r="I6778">
        <f t="shared" si="210"/>
        <v>1</v>
      </c>
      <c r="J6778" t="str">
        <f t="shared" si="211"/>
        <v>Complete</v>
      </c>
      <c r="K6778">
        <f>COUNTIFS(RawData[Item], B6778,RawData[Quantity],C6778,RawData[Price Per Unit],D6778,RawData[Total Spent],E6778,RawData[Payment Method],F6778,RawData[Location],G6778,RawData[Transaction Date],H6778)</f>
        <v>1</v>
      </c>
      <c r="L6778"/>
    </row>
    <row r="6779" spans="1:12" x14ac:dyDescent="0.3">
      <c r="A6779" t="s">
        <v>6785</v>
      </c>
      <c r="B6779" t="s">
        <v>10014</v>
      </c>
      <c r="C6779">
        <v>3</v>
      </c>
      <c r="D6779">
        <v>4</v>
      </c>
      <c r="E6779">
        <v>12</v>
      </c>
      <c r="F6779" t="s">
        <v>10069</v>
      </c>
      <c r="G6779" t="s">
        <v>10021</v>
      </c>
      <c r="H6779" s="6">
        <v>44999</v>
      </c>
      <c r="I6779">
        <f t="shared" si="210"/>
        <v>0</v>
      </c>
      <c r="J6779" t="str">
        <f t="shared" si="211"/>
        <v>Complete</v>
      </c>
      <c r="K6779">
        <f>COUNTIFS(RawData[Item], B6779,RawData[Quantity],C6779,RawData[Price Per Unit],D6779,RawData[Total Spent],E6779,RawData[Payment Method],F6779,RawData[Location],G6779,RawData[Transaction Date],H6779)</f>
        <v>1</v>
      </c>
      <c r="L6779"/>
    </row>
    <row r="6780" spans="1:12" x14ac:dyDescent="0.3">
      <c r="A6780" t="s">
        <v>6786</v>
      </c>
      <c r="B6780" t="s">
        <v>10014</v>
      </c>
      <c r="C6780">
        <v>3</v>
      </c>
      <c r="D6780">
        <v>4</v>
      </c>
      <c r="E6780">
        <v>12</v>
      </c>
      <c r="F6780" t="s">
        <v>10069</v>
      </c>
      <c r="G6780" t="s">
        <v>10069</v>
      </c>
      <c r="H6780" s="6">
        <v>44975</v>
      </c>
      <c r="I6780">
        <f t="shared" si="210"/>
        <v>0</v>
      </c>
      <c r="J6780" t="str">
        <f t="shared" si="211"/>
        <v>Complete</v>
      </c>
      <c r="K6780">
        <f>COUNTIFS(RawData[Item], B6780,RawData[Quantity],C6780,RawData[Price Per Unit],D6780,RawData[Total Spent],E6780,RawData[Payment Method],F6780,RawData[Location],G6780,RawData[Transaction Date],H6780)</f>
        <v>1</v>
      </c>
      <c r="L6780"/>
    </row>
    <row r="6781" spans="1:12" x14ac:dyDescent="0.3">
      <c r="A6781" t="s">
        <v>6787</v>
      </c>
      <c r="B6781" t="s">
        <v>10012</v>
      </c>
      <c r="C6781" t="s">
        <v>10013</v>
      </c>
      <c r="D6781">
        <v>4</v>
      </c>
      <c r="E6781">
        <v>20</v>
      </c>
      <c r="F6781" t="s">
        <v>10069</v>
      </c>
      <c r="G6781" t="s">
        <v>10069</v>
      </c>
      <c r="H6781" s="6">
        <v>45073</v>
      </c>
      <c r="I6781">
        <f t="shared" si="210"/>
        <v>1</v>
      </c>
      <c r="J6781" t="str">
        <f t="shared" si="211"/>
        <v>Complete</v>
      </c>
      <c r="K6781">
        <f>COUNTIFS(RawData[Item], B6781,RawData[Quantity],C6781,RawData[Price Per Unit],D6781,RawData[Total Spent],E6781,RawData[Payment Method],F6781,RawData[Location],G6781,RawData[Transaction Date],H6781)</f>
        <v>1</v>
      </c>
      <c r="L6781"/>
    </row>
    <row r="6782" spans="1:12" x14ac:dyDescent="0.3">
      <c r="A6782" t="s">
        <v>6788</v>
      </c>
      <c r="B6782" t="s">
        <v>10012</v>
      </c>
      <c r="C6782">
        <v>1</v>
      </c>
      <c r="D6782">
        <v>4</v>
      </c>
      <c r="E6782" t="s">
        <v>10015</v>
      </c>
      <c r="F6782" t="s">
        <v>10018</v>
      </c>
      <c r="G6782" t="s">
        <v>10102</v>
      </c>
      <c r="H6782" s="6">
        <v>44956</v>
      </c>
      <c r="I6782">
        <f t="shared" si="210"/>
        <v>1</v>
      </c>
      <c r="J6782" t="str">
        <f t="shared" si="211"/>
        <v>Complete</v>
      </c>
      <c r="K6782">
        <f>COUNTIFS(RawData[Item], B6782,RawData[Quantity],C6782,RawData[Price Per Unit],D6782,RawData[Total Spent],E6782,RawData[Payment Method],F6782,RawData[Location],G6782,RawData[Transaction Date],H6782)</f>
        <v>1</v>
      </c>
      <c r="L6782"/>
    </row>
    <row r="6783" spans="1:12" x14ac:dyDescent="0.3">
      <c r="A6783" t="s">
        <v>6789</v>
      </c>
      <c r="B6783" t="s">
        <v>10008</v>
      </c>
      <c r="C6783">
        <v>2</v>
      </c>
      <c r="D6783">
        <v>2</v>
      </c>
      <c r="E6783">
        <v>4</v>
      </c>
      <c r="F6783" t="s">
        <v>10019</v>
      </c>
      <c r="G6783" t="s">
        <v>10069</v>
      </c>
      <c r="H6783" s="6">
        <v>45107</v>
      </c>
      <c r="I6783">
        <f t="shared" si="210"/>
        <v>0</v>
      </c>
      <c r="J6783" t="str">
        <f t="shared" si="211"/>
        <v>Complete</v>
      </c>
      <c r="K6783">
        <f>COUNTIFS(RawData[Item], B6783,RawData[Quantity],C6783,RawData[Price Per Unit],D6783,RawData[Total Spent],E6783,RawData[Payment Method],F6783,RawData[Location],G6783,RawData[Transaction Date],H6783)</f>
        <v>1</v>
      </c>
      <c r="L6783"/>
    </row>
    <row r="6784" spans="1:12" x14ac:dyDescent="0.3">
      <c r="A6784" t="s">
        <v>6790</v>
      </c>
      <c r="B6784" t="s">
        <v>10013</v>
      </c>
      <c r="C6784">
        <v>2</v>
      </c>
      <c r="D6784">
        <v>1</v>
      </c>
      <c r="E6784">
        <v>2</v>
      </c>
      <c r="F6784" t="s">
        <v>10019</v>
      </c>
      <c r="G6784" t="s">
        <v>10021</v>
      </c>
      <c r="H6784" s="6">
        <v>45207</v>
      </c>
      <c r="I6784">
        <f t="shared" si="210"/>
        <v>1</v>
      </c>
      <c r="J6784" t="str">
        <f t="shared" si="211"/>
        <v>Complete</v>
      </c>
      <c r="K6784">
        <f>COUNTIFS(RawData[Item], B6784,RawData[Quantity],C6784,RawData[Price Per Unit],D6784,RawData[Total Spent],E6784,RawData[Payment Method],F6784,RawData[Location],G6784,RawData[Transaction Date],H6784)</f>
        <v>1</v>
      </c>
      <c r="L6784"/>
    </row>
    <row r="6785" spans="1:12" x14ac:dyDescent="0.3">
      <c r="A6785" t="s">
        <v>6791</v>
      </c>
      <c r="B6785" t="s">
        <v>10009</v>
      </c>
      <c r="C6785">
        <v>1</v>
      </c>
      <c r="D6785">
        <v>3</v>
      </c>
      <c r="E6785">
        <v>3</v>
      </c>
      <c r="F6785" t="s">
        <v>10019</v>
      </c>
      <c r="G6785" t="s">
        <v>10069</v>
      </c>
      <c r="H6785" s="6">
        <v>45092</v>
      </c>
      <c r="I6785">
        <f t="shared" si="210"/>
        <v>0</v>
      </c>
      <c r="J6785" t="str">
        <f t="shared" si="211"/>
        <v>Complete</v>
      </c>
      <c r="K6785">
        <f>COUNTIFS(RawData[Item], B6785,RawData[Quantity],C6785,RawData[Price Per Unit],D6785,RawData[Total Spent],E6785,RawData[Payment Method],F6785,RawData[Location],G6785,RawData[Transaction Date],H6785)</f>
        <v>1</v>
      </c>
      <c r="L6785"/>
    </row>
    <row r="6786" spans="1:12" x14ac:dyDescent="0.3">
      <c r="A6786" t="s">
        <v>6792</v>
      </c>
      <c r="B6786" t="s">
        <v>10009</v>
      </c>
      <c r="C6786">
        <v>3</v>
      </c>
      <c r="D6786">
        <v>3</v>
      </c>
      <c r="E6786">
        <v>9</v>
      </c>
      <c r="F6786" t="s">
        <v>10104</v>
      </c>
      <c r="G6786" t="s">
        <v>10069</v>
      </c>
      <c r="H6786" s="6">
        <v>45242</v>
      </c>
      <c r="I6786">
        <f t="shared" ref="I6786:I6849" si="212">(B6786="Unknown")+(B6786="Error")+(C6786="Unknown")+(C6786="Error")+(D6786="Unknown")+(D6786="Error")+(E6786="Unknown")+(E6786="Error")+(F6786="Unknown")+(F6786="Error")+(G6786="Unknown")+(G6786="Error")+(H6786="No Date")</f>
        <v>1</v>
      </c>
      <c r="J6786" t="str">
        <f t="shared" ref="J6786:J6849" si="213">IF((H6786="No Date"),"Incomplete","Complete")</f>
        <v>Complete</v>
      </c>
      <c r="K6786">
        <f>COUNTIFS(RawData[Item], B6786,RawData[Quantity],C6786,RawData[Price Per Unit],D6786,RawData[Total Spent],E6786,RawData[Payment Method],F6786,RawData[Location],G6786,RawData[Transaction Date],H6786)</f>
        <v>1</v>
      </c>
      <c r="L6786"/>
    </row>
    <row r="6787" spans="1:12" x14ac:dyDescent="0.3">
      <c r="A6787" t="s">
        <v>6793</v>
      </c>
      <c r="B6787" t="s">
        <v>10016</v>
      </c>
      <c r="C6787" t="s">
        <v>10015</v>
      </c>
      <c r="D6787">
        <v>3</v>
      </c>
      <c r="E6787">
        <v>6</v>
      </c>
      <c r="F6787" t="s">
        <v>10018</v>
      </c>
      <c r="G6787" t="s">
        <v>10102</v>
      </c>
      <c r="H6787" s="6">
        <v>45175</v>
      </c>
      <c r="I6787">
        <f t="shared" si="212"/>
        <v>1</v>
      </c>
      <c r="J6787" t="str">
        <f t="shared" si="213"/>
        <v>Complete</v>
      </c>
      <c r="K6787">
        <f>COUNTIFS(RawData[Item], B6787,RawData[Quantity],C6787,RawData[Price Per Unit],D6787,RawData[Total Spent],E6787,RawData[Payment Method],F6787,RawData[Location],G6787,RawData[Transaction Date],H6787)</f>
        <v>1</v>
      </c>
      <c r="L6787"/>
    </row>
    <row r="6788" spans="1:12" x14ac:dyDescent="0.3">
      <c r="A6788" t="s">
        <v>6794</v>
      </c>
      <c r="B6788" t="s">
        <v>10013</v>
      </c>
      <c r="C6788">
        <v>1</v>
      </c>
      <c r="D6788">
        <v>1.5</v>
      </c>
      <c r="E6788">
        <v>1.5</v>
      </c>
      <c r="F6788" t="s">
        <v>10020</v>
      </c>
      <c r="G6788" t="s">
        <v>10021</v>
      </c>
      <c r="H6788" s="6">
        <v>45059</v>
      </c>
      <c r="I6788">
        <f t="shared" si="212"/>
        <v>1</v>
      </c>
      <c r="J6788" t="str">
        <f t="shared" si="213"/>
        <v>Complete</v>
      </c>
      <c r="K6788">
        <f>COUNTIFS(RawData[Item], B6788,RawData[Quantity],C6788,RawData[Price Per Unit],D6788,RawData[Total Spent],E6788,RawData[Payment Method],F6788,RawData[Location],G6788,RawData[Transaction Date],H6788)</f>
        <v>1</v>
      </c>
      <c r="L6788"/>
    </row>
    <row r="6789" spans="1:12" x14ac:dyDescent="0.3">
      <c r="A6789" t="s">
        <v>6795</v>
      </c>
      <c r="B6789" t="s">
        <v>10016</v>
      </c>
      <c r="C6789">
        <v>2</v>
      </c>
      <c r="D6789">
        <v>3</v>
      </c>
      <c r="E6789">
        <v>6</v>
      </c>
      <c r="F6789" t="s">
        <v>10019</v>
      </c>
      <c r="G6789" t="s">
        <v>10021</v>
      </c>
      <c r="H6789" s="6">
        <v>44986</v>
      </c>
      <c r="I6789">
        <f t="shared" si="212"/>
        <v>0</v>
      </c>
      <c r="J6789" t="str">
        <f t="shared" si="213"/>
        <v>Complete</v>
      </c>
      <c r="K6789">
        <f>COUNTIFS(RawData[Item], B6789,RawData[Quantity],C6789,RawData[Price Per Unit],D6789,RawData[Total Spent],E6789,RawData[Payment Method],F6789,RawData[Location],G6789,RawData[Transaction Date],H6789)</f>
        <v>1</v>
      </c>
      <c r="L6789"/>
    </row>
    <row r="6790" spans="1:12" x14ac:dyDescent="0.3">
      <c r="A6790" t="s">
        <v>6796</v>
      </c>
      <c r="B6790" t="s">
        <v>10008</v>
      </c>
      <c r="C6790">
        <v>2</v>
      </c>
      <c r="D6790">
        <v>2</v>
      </c>
      <c r="E6790">
        <v>4</v>
      </c>
      <c r="F6790" t="s">
        <v>10018</v>
      </c>
      <c r="G6790" t="s">
        <v>10104</v>
      </c>
      <c r="H6790" s="6">
        <v>45192</v>
      </c>
      <c r="I6790">
        <f t="shared" si="212"/>
        <v>1</v>
      </c>
      <c r="J6790" t="str">
        <f t="shared" si="213"/>
        <v>Complete</v>
      </c>
      <c r="K6790">
        <f>COUNTIFS(RawData[Item], B6790,RawData[Quantity],C6790,RawData[Price Per Unit],D6790,RawData[Total Spent],E6790,RawData[Payment Method],F6790,RawData[Location],G6790,RawData[Transaction Date],H6790)</f>
        <v>1</v>
      </c>
      <c r="L6790"/>
    </row>
    <row r="6791" spans="1:12" x14ac:dyDescent="0.3">
      <c r="A6791" t="s">
        <v>6797</v>
      </c>
      <c r="B6791" t="s">
        <v>10010</v>
      </c>
      <c r="C6791">
        <v>0</v>
      </c>
      <c r="D6791">
        <v>1</v>
      </c>
      <c r="E6791">
        <v>3</v>
      </c>
      <c r="F6791" t="s">
        <v>10020</v>
      </c>
      <c r="G6791" t="s">
        <v>10021</v>
      </c>
      <c r="H6791" s="6">
        <v>44955</v>
      </c>
      <c r="I6791">
        <f t="shared" si="212"/>
        <v>0</v>
      </c>
      <c r="J6791" t="str">
        <f t="shared" si="213"/>
        <v>Complete</v>
      </c>
      <c r="K6791">
        <f>COUNTIFS(RawData[Item], B6791,RawData[Quantity],C6791,RawData[Price Per Unit],D6791,RawData[Total Spent],E6791,RawData[Payment Method],F6791,RawData[Location],G6791,RawData[Transaction Date],H6791)</f>
        <v>1</v>
      </c>
      <c r="L6791"/>
    </row>
    <row r="6792" spans="1:12" x14ac:dyDescent="0.3">
      <c r="A6792" t="s">
        <v>6798</v>
      </c>
      <c r="B6792" t="s">
        <v>10012</v>
      </c>
      <c r="C6792">
        <v>0</v>
      </c>
      <c r="D6792">
        <v>4</v>
      </c>
      <c r="E6792">
        <v>12</v>
      </c>
      <c r="F6792" t="s">
        <v>10020</v>
      </c>
      <c r="G6792" t="s">
        <v>10102</v>
      </c>
      <c r="H6792" s="6">
        <v>45109</v>
      </c>
      <c r="I6792">
        <f t="shared" si="212"/>
        <v>0</v>
      </c>
      <c r="J6792" t="str">
        <f t="shared" si="213"/>
        <v>Complete</v>
      </c>
      <c r="K6792">
        <f>COUNTIFS(RawData[Item], B6792,RawData[Quantity],C6792,RawData[Price Per Unit],D6792,RawData[Total Spent],E6792,RawData[Payment Method],F6792,RawData[Location],G6792,RawData[Transaction Date],H6792)</f>
        <v>1</v>
      </c>
      <c r="L6792"/>
    </row>
    <row r="6793" spans="1:12" x14ac:dyDescent="0.3">
      <c r="A6793" t="s">
        <v>6799</v>
      </c>
      <c r="B6793" t="s">
        <v>10009</v>
      </c>
      <c r="C6793">
        <v>4</v>
      </c>
      <c r="D6793">
        <v>3</v>
      </c>
      <c r="E6793" t="s">
        <v>10015</v>
      </c>
      <c r="F6793" t="s">
        <v>10018</v>
      </c>
      <c r="G6793" t="s">
        <v>10021</v>
      </c>
      <c r="H6793" s="6">
        <v>45017</v>
      </c>
      <c r="I6793">
        <f t="shared" si="212"/>
        <v>1</v>
      </c>
      <c r="J6793" t="str">
        <f t="shared" si="213"/>
        <v>Complete</v>
      </c>
      <c r="K6793">
        <f>COUNTIFS(RawData[Item], B6793,RawData[Quantity],C6793,RawData[Price Per Unit],D6793,RawData[Total Spent],E6793,RawData[Payment Method],F6793,RawData[Location],G6793,RawData[Transaction Date],H6793)</f>
        <v>1</v>
      </c>
      <c r="L6793"/>
    </row>
    <row r="6794" spans="1:12" x14ac:dyDescent="0.3">
      <c r="A6794" t="s">
        <v>6800</v>
      </c>
      <c r="B6794" t="s">
        <v>10010</v>
      </c>
      <c r="C6794">
        <v>3</v>
      </c>
      <c r="D6794">
        <v>1</v>
      </c>
      <c r="E6794">
        <v>3</v>
      </c>
      <c r="F6794" t="s">
        <v>10018</v>
      </c>
      <c r="G6794" t="s">
        <v>10102</v>
      </c>
      <c r="H6794" s="6">
        <v>45104</v>
      </c>
      <c r="I6794">
        <f t="shared" si="212"/>
        <v>0</v>
      </c>
      <c r="J6794" t="str">
        <f t="shared" si="213"/>
        <v>Complete</v>
      </c>
      <c r="K6794">
        <f>COUNTIFS(RawData[Item], B6794,RawData[Quantity],C6794,RawData[Price Per Unit],D6794,RawData[Total Spent],E6794,RawData[Payment Method],F6794,RawData[Location],G6794,RawData[Transaction Date],H6794)</f>
        <v>1</v>
      </c>
      <c r="L6794"/>
    </row>
    <row r="6795" spans="1:12" x14ac:dyDescent="0.3">
      <c r="A6795" t="s">
        <v>6801</v>
      </c>
      <c r="B6795" t="s">
        <v>10008</v>
      </c>
      <c r="C6795">
        <v>1</v>
      </c>
      <c r="D6795">
        <v>2</v>
      </c>
      <c r="E6795">
        <v>2</v>
      </c>
      <c r="F6795" t="s">
        <v>10018</v>
      </c>
      <c r="G6795" t="s">
        <v>10102</v>
      </c>
      <c r="H6795" s="6">
        <v>44967</v>
      </c>
      <c r="I6795">
        <f t="shared" si="212"/>
        <v>0</v>
      </c>
      <c r="J6795" t="str">
        <f t="shared" si="213"/>
        <v>Complete</v>
      </c>
      <c r="K6795">
        <f>COUNTIFS(RawData[Item], B6795,RawData[Quantity],C6795,RawData[Price Per Unit],D6795,RawData[Total Spent],E6795,RawData[Payment Method],F6795,RawData[Location],G6795,RawData[Transaction Date],H6795)</f>
        <v>1</v>
      </c>
      <c r="L6795"/>
    </row>
    <row r="6796" spans="1:12" x14ac:dyDescent="0.3">
      <c r="A6796" t="s">
        <v>6802</v>
      </c>
      <c r="B6796" t="s">
        <v>10011</v>
      </c>
      <c r="C6796">
        <v>3</v>
      </c>
      <c r="D6796">
        <v>5</v>
      </c>
      <c r="E6796">
        <v>15</v>
      </c>
      <c r="F6796" t="s">
        <v>10019</v>
      </c>
      <c r="G6796" t="s">
        <v>10021</v>
      </c>
      <c r="H6796" s="6">
        <v>45024</v>
      </c>
      <c r="I6796">
        <f t="shared" si="212"/>
        <v>0</v>
      </c>
      <c r="J6796" t="str">
        <f t="shared" si="213"/>
        <v>Complete</v>
      </c>
      <c r="K6796">
        <f>COUNTIFS(RawData[Item], B6796,RawData[Quantity],C6796,RawData[Price Per Unit],D6796,RawData[Total Spent],E6796,RawData[Payment Method],F6796,RawData[Location],G6796,RawData[Transaction Date],H6796)</f>
        <v>1</v>
      </c>
      <c r="L6796"/>
    </row>
    <row r="6797" spans="1:12" x14ac:dyDescent="0.3">
      <c r="A6797" t="s">
        <v>6803</v>
      </c>
      <c r="B6797" t="s">
        <v>10009</v>
      </c>
      <c r="C6797">
        <v>2</v>
      </c>
      <c r="D6797">
        <v>3</v>
      </c>
      <c r="E6797">
        <v>6</v>
      </c>
      <c r="F6797" t="s">
        <v>10020</v>
      </c>
      <c r="G6797" t="s">
        <v>10069</v>
      </c>
      <c r="H6797" s="6">
        <v>44963</v>
      </c>
      <c r="I6797">
        <f t="shared" si="212"/>
        <v>0</v>
      </c>
      <c r="J6797" t="str">
        <f t="shared" si="213"/>
        <v>Complete</v>
      </c>
      <c r="K6797">
        <f>COUNTIFS(RawData[Item], B6797,RawData[Quantity],C6797,RawData[Price Per Unit],D6797,RawData[Total Spent],E6797,RawData[Payment Method],F6797,RawData[Location],G6797,RawData[Transaction Date],H6797)</f>
        <v>1</v>
      </c>
      <c r="L6797"/>
    </row>
    <row r="6798" spans="1:12" x14ac:dyDescent="0.3">
      <c r="A6798" t="s">
        <v>6804</v>
      </c>
      <c r="B6798" t="s">
        <v>10009</v>
      </c>
      <c r="C6798">
        <v>4</v>
      </c>
      <c r="D6798">
        <v>3</v>
      </c>
      <c r="E6798">
        <v>12</v>
      </c>
      <c r="F6798" t="s">
        <v>10018</v>
      </c>
      <c r="G6798" t="s">
        <v>10102</v>
      </c>
      <c r="H6798" s="6">
        <v>45165</v>
      </c>
      <c r="I6798">
        <f t="shared" si="212"/>
        <v>0</v>
      </c>
      <c r="J6798" t="str">
        <f t="shared" si="213"/>
        <v>Complete</v>
      </c>
      <c r="K6798">
        <f>COUNTIFS(RawData[Item], B6798,RawData[Quantity],C6798,RawData[Price Per Unit],D6798,RawData[Total Spent],E6798,RawData[Payment Method],F6798,RawData[Location],G6798,RawData[Transaction Date],H6798)</f>
        <v>1</v>
      </c>
      <c r="L6798"/>
    </row>
    <row r="6799" spans="1:12" x14ac:dyDescent="0.3">
      <c r="A6799" t="s">
        <v>6805</v>
      </c>
      <c r="B6799" t="s">
        <v>10016</v>
      </c>
      <c r="C6799">
        <v>2</v>
      </c>
      <c r="D6799">
        <v>3</v>
      </c>
      <c r="E6799">
        <v>6</v>
      </c>
      <c r="F6799" t="s">
        <v>10069</v>
      </c>
      <c r="G6799" t="s">
        <v>10104</v>
      </c>
      <c r="H6799" s="6">
        <v>45273</v>
      </c>
      <c r="I6799">
        <f t="shared" si="212"/>
        <v>1</v>
      </c>
      <c r="J6799" t="str">
        <f t="shared" si="213"/>
        <v>Complete</v>
      </c>
      <c r="K6799">
        <f>COUNTIFS(RawData[Item], B6799,RawData[Quantity],C6799,RawData[Price Per Unit],D6799,RawData[Total Spent],E6799,RawData[Payment Method],F6799,RawData[Location],G6799,RawData[Transaction Date],H6799)</f>
        <v>1</v>
      </c>
      <c r="L6799"/>
    </row>
    <row r="6800" spans="1:12" x14ac:dyDescent="0.3">
      <c r="A6800" t="s">
        <v>6806</v>
      </c>
      <c r="B6800" t="s">
        <v>10016</v>
      </c>
      <c r="C6800">
        <v>2</v>
      </c>
      <c r="D6800">
        <v>3</v>
      </c>
      <c r="E6800">
        <v>6</v>
      </c>
      <c r="F6800" t="s">
        <v>10019</v>
      </c>
      <c r="G6800" t="s">
        <v>10021</v>
      </c>
      <c r="H6800" s="6">
        <v>44984</v>
      </c>
      <c r="I6800">
        <f t="shared" si="212"/>
        <v>0</v>
      </c>
      <c r="J6800" t="str">
        <f t="shared" si="213"/>
        <v>Complete</v>
      </c>
      <c r="K6800">
        <f>COUNTIFS(RawData[Item], B6800,RawData[Quantity],C6800,RawData[Price Per Unit],D6800,RawData[Total Spent],E6800,RawData[Payment Method],F6800,RawData[Location],G6800,RawData[Transaction Date],H6800)</f>
        <v>1</v>
      </c>
      <c r="L6800"/>
    </row>
    <row r="6801" spans="1:12" x14ac:dyDescent="0.3">
      <c r="A6801" t="s">
        <v>6807</v>
      </c>
      <c r="B6801" t="s">
        <v>10011</v>
      </c>
      <c r="C6801">
        <v>2</v>
      </c>
      <c r="D6801">
        <v>5</v>
      </c>
      <c r="E6801">
        <v>10</v>
      </c>
      <c r="F6801" t="s">
        <v>10103</v>
      </c>
      <c r="G6801" t="s">
        <v>10069</v>
      </c>
      <c r="H6801" s="6">
        <v>44973</v>
      </c>
      <c r="I6801">
        <f t="shared" si="212"/>
        <v>1</v>
      </c>
      <c r="J6801" t="str">
        <f t="shared" si="213"/>
        <v>Complete</v>
      </c>
      <c r="K6801">
        <f>COUNTIFS(RawData[Item], B6801,RawData[Quantity],C6801,RawData[Price Per Unit],D6801,RawData[Total Spent],E6801,RawData[Payment Method],F6801,RawData[Location],G6801,RawData[Transaction Date],H6801)</f>
        <v>1</v>
      </c>
      <c r="L6801"/>
    </row>
    <row r="6802" spans="1:12" x14ac:dyDescent="0.3">
      <c r="A6802" t="s">
        <v>6808</v>
      </c>
      <c r="B6802" t="s">
        <v>10016</v>
      </c>
      <c r="C6802">
        <v>1</v>
      </c>
      <c r="D6802">
        <v>3</v>
      </c>
      <c r="E6802">
        <v>3</v>
      </c>
      <c r="F6802" t="s">
        <v>10018</v>
      </c>
      <c r="G6802" t="s">
        <v>10102</v>
      </c>
      <c r="H6802" s="6">
        <v>45048</v>
      </c>
      <c r="I6802">
        <f t="shared" si="212"/>
        <v>0</v>
      </c>
      <c r="J6802" t="str">
        <f t="shared" si="213"/>
        <v>Complete</v>
      </c>
      <c r="K6802">
        <f>COUNTIFS(RawData[Item], B6802,RawData[Quantity],C6802,RawData[Price Per Unit],D6802,RawData[Total Spent],E6802,RawData[Payment Method],F6802,RawData[Location],G6802,RawData[Transaction Date],H6802)</f>
        <v>1</v>
      </c>
      <c r="L6802"/>
    </row>
    <row r="6803" spans="1:12" x14ac:dyDescent="0.3">
      <c r="A6803" t="s">
        <v>6809</v>
      </c>
      <c r="B6803" t="s">
        <v>10014</v>
      </c>
      <c r="C6803">
        <v>5</v>
      </c>
      <c r="D6803">
        <v>4</v>
      </c>
      <c r="E6803">
        <v>20</v>
      </c>
      <c r="F6803" t="s">
        <v>10104</v>
      </c>
      <c r="G6803" t="s">
        <v>10021</v>
      </c>
      <c r="H6803" s="6">
        <v>45241</v>
      </c>
      <c r="I6803">
        <f t="shared" si="212"/>
        <v>1</v>
      </c>
      <c r="J6803" t="str">
        <f t="shared" si="213"/>
        <v>Complete</v>
      </c>
      <c r="K6803">
        <f>COUNTIFS(RawData[Item], B6803,RawData[Quantity],C6803,RawData[Price Per Unit],D6803,RawData[Total Spent],E6803,RawData[Payment Method],F6803,RawData[Location],G6803,RawData[Transaction Date],H6803)</f>
        <v>1</v>
      </c>
      <c r="L6803"/>
    </row>
    <row r="6804" spans="1:12" x14ac:dyDescent="0.3">
      <c r="A6804" t="s">
        <v>6810</v>
      </c>
      <c r="B6804" t="s">
        <v>10009</v>
      </c>
      <c r="C6804">
        <v>1</v>
      </c>
      <c r="D6804">
        <v>3</v>
      </c>
      <c r="E6804">
        <v>3</v>
      </c>
      <c r="F6804" t="s">
        <v>10069</v>
      </c>
      <c r="G6804" t="s">
        <v>10069</v>
      </c>
      <c r="H6804" s="6">
        <v>45225</v>
      </c>
      <c r="I6804">
        <f t="shared" si="212"/>
        <v>0</v>
      </c>
      <c r="J6804" t="str">
        <f t="shared" si="213"/>
        <v>Complete</v>
      </c>
      <c r="K6804">
        <f>COUNTIFS(RawData[Item], B6804,RawData[Quantity],C6804,RawData[Price Per Unit],D6804,RawData[Total Spent],E6804,RawData[Payment Method],F6804,RawData[Location],G6804,RawData[Transaction Date],H6804)</f>
        <v>1</v>
      </c>
      <c r="L6804"/>
    </row>
    <row r="6805" spans="1:12" x14ac:dyDescent="0.3">
      <c r="A6805" t="s">
        <v>6811</v>
      </c>
      <c r="B6805" t="s">
        <v>10011</v>
      </c>
      <c r="C6805">
        <v>4</v>
      </c>
      <c r="D6805">
        <v>5</v>
      </c>
      <c r="E6805">
        <v>20</v>
      </c>
      <c r="F6805" t="s">
        <v>10019</v>
      </c>
      <c r="G6805" t="s">
        <v>10021</v>
      </c>
      <c r="H6805" s="6">
        <v>45098</v>
      </c>
      <c r="I6805">
        <f t="shared" si="212"/>
        <v>0</v>
      </c>
      <c r="J6805" t="str">
        <f t="shared" si="213"/>
        <v>Complete</v>
      </c>
      <c r="K6805">
        <f>COUNTIFS(RawData[Item], B6805,RawData[Quantity],C6805,RawData[Price Per Unit],D6805,RawData[Total Spent],E6805,RawData[Payment Method],F6805,RawData[Location],G6805,RawData[Transaction Date],H6805)</f>
        <v>1</v>
      </c>
      <c r="L6805"/>
    </row>
    <row r="6806" spans="1:12" x14ac:dyDescent="0.3">
      <c r="A6806" t="s">
        <v>6812</v>
      </c>
      <c r="B6806" t="s">
        <v>10009</v>
      </c>
      <c r="C6806">
        <v>5</v>
      </c>
      <c r="D6806">
        <v>3</v>
      </c>
      <c r="E6806">
        <v>15</v>
      </c>
      <c r="F6806" t="s">
        <v>10069</v>
      </c>
      <c r="G6806" t="s">
        <v>10021</v>
      </c>
      <c r="H6806" s="6">
        <v>44976</v>
      </c>
      <c r="I6806">
        <f t="shared" si="212"/>
        <v>0</v>
      </c>
      <c r="J6806" t="str">
        <f t="shared" si="213"/>
        <v>Complete</v>
      </c>
      <c r="K6806">
        <f>COUNTIFS(RawData[Item], B6806,RawData[Quantity],C6806,RawData[Price Per Unit],D6806,RawData[Total Spent],E6806,RawData[Payment Method],F6806,RawData[Location],G6806,RawData[Transaction Date],H6806)</f>
        <v>1</v>
      </c>
      <c r="L6806"/>
    </row>
    <row r="6807" spans="1:12" x14ac:dyDescent="0.3">
      <c r="A6807" t="s">
        <v>6813</v>
      </c>
      <c r="B6807" t="s">
        <v>10016</v>
      </c>
      <c r="C6807">
        <v>3</v>
      </c>
      <c r="D6807">
        <v>3</v>
      </c>
      <c r="E6807">
        <v>9</v>
      </c>
      <c r="F6807" t="s">
        <v>10069</v>
      </c>
      <c r="G6807" t="s">
        <v>10069</v>
      </c>
      <c r="H6807" s="6">
        <v>44974</v>
      </c>
      <c r="I6807">
        <f t="shared" si="212"/>
        <v>0</v>
      </c>
      <c r="J6807" t="str">
        <f t="shared" si="213"/>
        <v>Complete</v>
      </c>
      <c r="K6807">
        <f>COUNTIFS(RawData[Item], B6807,RawData[Quantity],C6807,RawData[Price Per Unit],D6807,RawData[Total Spent],E6807,RawData[Payment Method],F6807,RawData[Location],G6807,RawData[Transaction Date],H6807)</f>
        <v>1</v>
      </c>
      <c r="L6807"/>
    </row>
    <row r="6808" spans="1:12" x14ac:dyDescent="0.3">
      <c r="A6808" t="s">
        <v>6814</v>
      </c>
      <c r="B6808" t="s">
        <v>10014</v>
      </c>
      <c r="C6808">
        <v>3</v>
      </c>
      <c r="D6808">
        <v>4</v>
      </c>
      <c r="E6808">
        <v>12</v>
      </c>
      <c r="F6808" t="s">
        <v>10069</v>
      </c>
      <c r="G6808" t="s">
        <v>10021</v>
      </c>
      <c r="H6808" s="6">
        <v>45149</v>
      </c>
      <c r="I6808">
        <f t="shared" si="212"/>
        <v>0</v>
      </c>
      <c r="J6808" t="str">
        <f t="shared" si="213"/>
        <v>Complete</v>
      </c>
      <c r="K6808">
        <f>COUNTIFS(RawData[Item], B6808,RawData[Quantity],C6808,RawData[Price Per Unit],D6808,RawData[Total Spent],E6808,RawData[Payment Method],F6808,RawData[Location],G6808,RawData[Transaction Date],H6808)</f>
        <v>1</v>
      </c>
      <c r="L6808"/>
    </row>
    <row r="6809" spans="1:12" x14ac:dyDescent="0.3">
      <c r="A6809" t="s">
        <v>6815</v>
      </c>
      <c r="B6809" t="s">
        <v>10009</v>
      </c>
      <c r="C6809">
        <v>3</v>
      </c>
      <c r="D6809">
        <v>3</v>
      </c>
      <c r="E6809">
        <v>9</v>
      </c>
      <c r="F6809" t="s">
        <v>10104</v>
      </c>
      <c r="G6809" t="s">
        <v>10069</v>
      </c>
      <c r="H6809" s="6">
        <v>44976</v>
      </c>
      <c r="I6809">
        <f t="shared" si="212"/>
        <v>1</v>
      </c>
      <c r="J6809" t="str">
        <f t="shared" si="213"/>
        <v>Complete</v>
      </c>
      <c r="K6809">
        <f>COUNTIFS(RawData[Item], B6809,RawData[Quantity],C6809,RawData[Price Per Unit],D6809,RawData[Total Spent],E6809,RawData[Payment Method],F6809,RawData[Location],G6809,RawData[Transaction Date],H6809)</f>
        <v>1</v>
      </c>
      <c r="L6809"/>
    </row>
    <row r="6810" spans="1:12" x14ac:dyDescent="0.3">
      <c r="A6810" t="s">
        <v>6816</v>
      </c>
      <c r="B6810" t="s">
        <v>10010</v>
      </c>
      <c r="C6810">
        <v>2</v>
      </c>
      <c r="D6810">
        <v>1</v>
      </c>
      <c r="E6810">
        <v>2</v>
      </c>
      <c r="F6810" t="s">
        <v>10020</v>
      </c>
      <c r="G6810" t="s">
        <v>10021</v>
      </c>
      <c r="H6810" s="6">
        <v>45236</v>
      </c>
      <c r="I6810">
        <f t="shared" si="212"/>
        <v>0</v>
      </c>
      <c r="J6810" t="str">
        <f t="shared" si="213"/>
        <v>Complete</v>
      </c>
      <c r="K6810">
        <f>COUNTIFS(RawData[Item], B6810,RawData[Quantity],C6810,RawData[Price Per Unit],D6810,RawData[Total Spent],E6810,RawData[Payment Method],F6810,RawData[Location],G6810,RawData[Transaction Date],H6810)</f>
        <v>1</v>
      </c>
      <c r="L6810"/>
    </row>
    <row r="6811" spans="1:12" x14ac:dyDescent="0.3">
      <c r="A6811" t="s">
        <v>6817</v>
      </c>
      <c r="B6811" t="s">
        <v>10016</v>
      </c>
      <c r="C6811" t="s">
        <v>10015</v>
      </c>
      <c r="D6811">
        <v>3</v>
      </c>
      <c r="E6811">
        <v>15</v>
      </c>
      <c r="F6811" t="s">
        <v>10020</v>
      </c>
      <c r="G6811" t="s">
        <v>10102</v>
      </c>
      <c r="H6811" s="6">
        <v>45225</v>
      </c>
      <c r="I6811">
        <f t="shared" si="212"/>
        <v>1</v>
      </c>
      <c r="J6811" t="str">
        <f t="shared" si="213"/>
        <v>Complete</v>
      </c>
      <c r="K6811">
        <f>COUNTIFS(RawData[Item], B6811,RawData[Quantity],C6811,RawData[Price Per Unit],D6811,RawData[Total Spent],E6811,RawData[Payment Method],F6811,RawData[Location],G6811,RawData[Transaction Date],H6811)</f>
        <v>1</v>
      </c>
      <c r="L6811"/>
    </row>
    <row r="6812" spans="1:12" x14ac:dyDescent="0.3">
      <c r="A6812" t="s">
        <v>6818</v>
      </c>
      <c r="B6812" t="s">
        <v>10009</v>
      </c>
      <c r="C6812">
        <v>2</v>
      </c>
      <c r="D6812">
        <v>3</v>
      </c>
      <c r="E6812">
        <v>6</v>
      </c>
      <c r="F6812" t="s">
        <v>10069</v>
      </c>
      <c r="G6812" t="s">
        <v>10021</v>
      </c>
      <c r="H6812" s="6">
        <v>45031</v>
      </c>
      <c r="I6812">
        <f t="shared" si="212"/>
        <v>0</v>
      </c>
      <c r="J6812" t="str">
        <f t="shared" si="213"/>
        <v>Complete</v>
      </c>
      <c r="K6812">
        <f>COUNTIFS(RawData[Item], B6812,RawData[Quantity],C6812,RawData[Price Per Unit],D6812,RawData[Total Spent],E6812,RawData[Payment Method],F6812,RawData[Location],G6812,RawData[Transaction Date],H6812)</f>
        <v>1</v>
      </c>
      <c r="L6812"/>
    </row>
    <row r="6813" spans="1:12" x14ac:dyDescent="0.3">
      <c r="A6813" t="s">
        <v>6819</v>
      </c>
      <c r="B6813" t="s">
        <v>10012</v>
      </c>
      <c r="C6813">
        <v>4</v>
      </c>
      <c r="D6813">
        <v>4</v>
      </c>
      <c r="E6813">
        <v>16</v>
      </c>
      <c r="F6813" t="s">
        <v>10019</v>
      </c>
      <c r="G6813" t="s">
        <v>10021</v>
      </c>
      <c r="H6813" s="6">
        <v>45264</v>
      </c>
      <c r="I6813">
        <f t="shared" si="212"/>
        <v>0</v>
      </c>
      <c r="J6813" t="str">
        <f t="shared" si="213"/>
        <v>Complete</v>
      </c>
      <c r="K6813">
        <f>COUNTIFS(RawData[Item], B6813,RawData[Quantity],C6813,RawData[Price Per Unit],D6813,RawData[Total Spent],E6813,RawData[Payment Method],F6813,RawData[Location],G6813,RawData[Transaction Date],H6813)</f>
        <v>1</v>
      </c>
      <c r="L6813"/>
    </row>
    <row r="6814" spans="1:12" x14ac:dyDescent="0.3">
      <c r="A6814" t="s">
        <v>6820</v>
      </c>
      <c r="B6814" t="s">
        <v>10009</v>
      </c>
      <c r="C6814">
        <v>0</v>
      </c>
      <c r="D6814">
        <v>3</v>
      </c>
      <c r="E6814">
        <v>12</v>
      </c>
      <c r="F6814" t="s">
        <v>10020</v>
      </c>
      <c r="G6814" t="s">
        <v>10104</v>
      </c>
      <c r="H6814" s="6">
        <v>45003</v>
      </c>
      <c r="I6814">
        <f t="shared" si="212"/>
        <v>1</v>
      </c>
      <c r="J6814" t="str">
        <f t="shared" si="213"/>
        <v>Complete</v>
      </c>
      <c r="K6814">
        <f>COUNTIFS(RawData[Item], B6814,RawData[Quantity],C6814,RawData[Price Per Unit],D6814,RawData[Total Spent],E6814,RawData[Payment Method],F6814,RawData[Location],G6814,RawData[Transaction Date],H6814)</f>
        <v>1</v>
      </c>
      <c r="L6814"/>
    </row>
    <row r="6815" spans="1:12" x14ac:dyDescent="0.3">
      <c r="A6815" t="s">
        <v>6821</v>
      </c>
      <c r="B6815" t="s">
        <v>10017</v>
      </c>
      <c r="C6815">
        <v>2</v>
      </c>
      <c r="D6815">
        <v>1.5</v>
      </c>
      <c r="E6815">
        <v>3</v>
      </c>
      <c r="F6815" t="s">
        <v>10020</v>
      </c>
      <c r="G6815" t="s">
        <v>10102</v>
      </c>
      <c r="H6815" s="6">
        <v>45091</v>
      </c>
      <c r="I6815">
        <f t="shared" si="212"/>
        <v>0</v>
      </c>
      <c r="J6815" t="str">
        <f t="shared" si="213"/>
        <v>Complete</v>
      </c>
      <c r="K6815">
        <f>COUNTIFS(RawData[Item], B6815,RawData[Quantity],C6815,RawData[Price Per Unit],D6815,RawData[Total Spent],E6815,RawData[Payment Method],F6815,RawData[Location],G6815,RawData[Transaction Date],H6815)</f>
        <v>1</v>
      </c>
      <c r="L6815"/>
    </row>
    <row r="6816" spans="1:12" x14ac:dyDescent="0.3">
      <c r="A6816" t="s">
        <v>6822</v>
      </c>
      <c r="B6816" t="s">
        <v>10011</v>
      </c>
      <c r="C6816">
        <v>2</v>
      </c>
      <c r="D6816">
        <v>5</v>
      </c>
      <c r="E6816">
        <v>0</v>
      </c>
      <c r="F6816" t="s">
        <v>10020</v>
      </c>
      <c r="G6816" t="s">
        <v>10021</v>
      </c>
      <c r="H6816" s="6">
        <v>45078</v>
      </c>
      <c r="I6816">
        <f t="shared" si="212"/>
        <v>0</v>
      </c>
      <c r="J6816" t="str">
        <f t="shared" si="213"/>
        <v>Complete</v>
      </c>
      <c r="K6816">
        <f>COUNTIFS(RawData[Item], B6816,RawData[Quantity],C6816,RawData[Price Per Unit],D6816,RawData[Total Spent],E6816,RawData[Payment Method],F6816,RawData[Location],G6816,RawData[Transaction Date],H6816)</f>
        <v>1</v>
      </c>
      <c r="L6816"/>
    </row>
    <row r="6817" spans="1:12" x14ac:dyDescent="0.3">
      <c r="A6817" t="s">
        <v>6823</v>
      </c>
      <c r="B6817" t="s">
        <v>10017</v>
      </c>
      <c r="C6817">
        <v>3</v>
      </c>
      <c r="D6817">
        <v>1.5</v>
      </c>
      <c r="E6817">
        <v>4.5</v>
      </c>
      <c r="F6817" t="s">
        <v>10069</v>
      </c>
      <c r="G6817" t="s">
        <v>10069</v>
      </c>
      <c r="H6817" s="6">
        <v>45187</v>
      </c>
      <c r="I6817">
        <f t="shared" si="212"/>
        <v>0</v>
      </c>
      <c r="J6817" t="str">
        <f t="shared" si="213"/>
        <v>Complete</v>
      </c>
      <c r="K6817">
        <f>COUNTIFS(RawData[Item], B6817,RawData[Quantity],C6817,RawData[Price Per Unit],D6817,RawData[Total Spent],E6817,RawData[Payment Method],F6817,RawData[Location],G6817,RawData[Transaction Date],H6817)</f>
        <v>1</v>
      </c>
      <c r="L6817"/>
    </row>
    <row r="6818" spans="1:12" x14ac:dyDescent="0.3">
      <c r="A6818" t="s">
        <v>6824</v>
      </c>
      <c r="B6818" t="s">
        <v>10014</v>
      </c>
      <c r="C6818" t="s">
        <v>10013</v>
      </c>
      <c r="D6818">
        <v>4</v>
      </c>
      <c r="E6818">
        <v>20</v>
      </c>
      <c r="F6818" t="s">
        <v>10019</v>
      </c>
      <c r="G6818" t="s">
        <v>10102</v>
      </c>
      <c r="H6818" s="6">
        <v>45022</v>
      </c>
      <c r="I6818">
        <f t="shared" si="212"/>
        <v>1</v>
      </c>
      <c r="J6818" t="str">
        <f t="shared" si="213"/>
        <v>Complete</v>
      </c>
      <c r="K6818">
        <f>COUNTIFS(RawData[Item], B6818,RawData[Quantity],C6818,RawData[Price Per Unit],D6818,RawData[Total Spent],E6818,RawData[Payment Method],F6818,RawData[Location],G6818,RawData[Transaction Date],H6818)</f>
        <v>1</v>
      </c>
      <c r="L6818"/>
    </row>
    <row r="6819" spans="1:12" x14ac:dyDescent="0.3">
      <c r="A6819" t="s">
        <v>6825</v>
      </c>
      <c r="B6819" t="s">
        <v>10017</v>
      </c>
      <c r="C6819">
        <v>4</v>
      </c>
      <c r="D6819">
        <v>1.5</v>
      </c>
      <c r="E6819">
        <v>6</v>
      </c>
      <c r="F6819" t="s">
        <v>10019</v>
      </c>
      <c r="G6819" t="s">
        <v>10104</v>
      </c>
      <c r="H6819" s="6">
        <v>45159</v>
      </c>
      <c r="I6819">
        <f t="shared" si="212"/>
        <v>1</v>
      </c>
      <c r="J6819" t="str">
        <f t="shared" si="213"/>
        <v>Complete</v>
      </c>
      <c r="K6819">
        <f>COUNTIFS(RawData[Item], B6819,RawData[Quantity],C6819,RawData[Price Per Unit],D6819,RawData[Total Spent],E6819,RawData[Payment Method],F6819,RawData[Location],G6819,RawData[Transaction Date],H6819)</f>
        <v>1</v>
      </c>
      <c r="L6819"/>
    </row>
    <row r="6820" spans="1:12" x14ac:dyDescent="0.3">
      <c r="A6820" t="s">
        <v>6826</v>
      </c>
      <c r="B6820" t="s">
        <v>10014</v>
      </c>
      <c r="C6820">
        <v>5</v>
      </c>
      <c r="D6820">
        <v>4</v>
      </c>
      <c r="E6820">
        <v>20</v>
      </c>
      <c r="F6820" t="s">
        <v>10103</v>
      </c>
      <c r="G6820" t="s">
        <v>10021</v>
      </c>
      <c r="H6820" s="6">
        <v>44973</v>
      </c>
      <c r="I6820">
        <f t="shared" si="212"/>
        <v>1</v>
      </c>
      <c r="J6820" t="str">
        <f t="shared" si="213"/>
        <v>Complete</v>
      </c>
      <c r="K6820">
        <f>COUNTIFS(RawData[Item], B6820,RawData[Quantity],C6820,RawData[Price Per Unit],D6820,RawData[Total Spent],E6820,RawData[Payment Method],F6820,RawData[Location],G6820,RawData[Transaction Date],H6820)</f>
        <v>1</v>
      </c>
      <c r="L6820"/>
    </row>
    <row r="6821" spans="1:12" x14ac:dyDescent="0.3">
      <c r="A6821" t="s">
        <v>6827</v>
      </c>
      <c r="B6821" t="s">
        <v>10012</v>
      </c>
      <c r="C6821">
        <v>4</v>
      </c>
      <c r="D6821">
        <v>0</v>
      </c>
      <c r="E6821">
        <v>16</v>
      </c>
      <c r="F6821" t="s">
        <v>10069</v>
      </c>
      <c r="G6821" t="s">
        <v>10102</v>
      </c>
      <c r="H6821" s="6">
        <v>45175</v>
      </c>
      <c r="I6821">
        <f t="shared" si="212"/>
        <v>0</v>
      </c>
      <c r="J6821" t="str">
        <f t="shared" si="213"/>
        <v>Complete</v>
      </c>
      <c r="K6821">
        <f>COUNTIFS(RawData[Item], B6821,RawData[Quantity],C6821,RawData[Price Per Unit],D6821,RawData[Total Spent],E6821,RawData[Payment Method],F6821,RawData[Location],G6821,RawData[Transaction Date],H6821)</f>
        <v>1</v>
      </c>
      <c r="L6821"/>
    </row>
    <row r="6822" spans="1:12" x14ac:dyDescent="0.3">
      <c r="A6822" t="s">
        <v>6828</v>
      </c>
      <c r="B6822" t="s">
        <v>10014</v>
      </c>
      <c r="C6822">
        <v>1</v>
      </c>
      <c r="D6822">
        <v>4</v>
      </c>
      <c r="E6822" t="s">
        <v>10013</v>
      </c>
      <c r="F6822" t="s">
        <v>10069</v>
      </c>
      <c r="G6822" t="s">
        <v>10021</v>
      </c>
      <c r="H6822" s="6" t="s">
        <v>10112</v>
      </c>
      <c r="I6822">
        <f t="shared" si="212"/>
        <v>2</v>
      </c>
      <c r="J6822" t="str">
        <f t="shared" si="213"/>
        <v>Incomplete</v>
      </c>
      <c r="K6822">
        <f>COUNTIFS(RawData[Item], B6822,RawData[Quantity],C6822,RawData[Price Per Unit],D6822,RawData[Total Spent],E6822,RawData[Payment Method],F6822,RawData[Location],G6822,RawData[Transaction Date],H6822)</f>
        <v>1</v>
      </c>
      <c r="L6822"/>
    </row>
    <row r="6823" spans="1:12" x14ac:dyDescent="0.3">
      <c r="A6823" t="s">
        <v>6829</v>
      </c>
      <c r="B6823" t="s">
        <v>10069</v>
      </c>
      <c r="C6823">
        <v>2</v>
      </c>
      <c r="D6823">
        <v>1.5</v>
      </c>
      <c r="E6823">
        <v>3</v>
      </c>
      <c r="F6823" t="s">
        <v>10069</v>
      </c>
      <c r="G6823" t="s">
        <v>10102</v>
      </c>
      <c r="H6823" s="6">
        <v>45276</v>
      </c>
      <c r="I6823">
        <f t="shared" si="212"/>
        <v>0</v>
      </c>
      <c r="J6823" t="str">
        <f t="shared" si="213"/>
        <v>Complete</v>
      </c>
      <c r="K6823">
        <f>COUNTIFS(RawData[Item], B6823,RawData[Quantity],C6823,RawData[Price Per Unit],D6823,RawData[Total Spent],E6823,RawData[Payment Method],F6823,RawData[Location],G6823,RawData[Transaction Date],H6823)</f>
        <v>1</v>
      </c>
      <c r="L6823"/>
    </row>
    <row r="6824" spans="1:12" x14ac:dyDescent="0.3">
      <c r="A6824" t="s">
        <v>6830</v>
      </c>
      <c r="B6824" t="s">
        <v>10069</v>
      </c>
      <c r="C6824">
        <v>5</v>
      </c>
      <c r="D6824">
        <v>3</v>
      </c>
      <c r="E6824">
        <v>15</v>
      </c>
      <c r="F6824" t="s">
        <v>10018</v>
      </c>
      <c r="G6824" t="s">
        <v>10069</v>
      </c>
      <c r="H6824" s="6">
        <v>45142</v>
      </c>
      <c r="I6824">
        <f t="shared" si="212"/>
        <v>0</v>
      </c>
      <c r="J6824" t="str">
        <f t="shared" si="213"/>
        <v>Complete</v>
      </c>
      <c r="K6824">
        <f>COUNTIFS(RawData[Item], B6824,RawData[Quantity],C6824,RawData[Price Per Unit],D6824,RawData[Total Spent],E6824,RawData[Payment Method],F6824,RawData[Location],G6824,RawData[Transaction Date],H6824)</f>
        <v>1</v>
      </c>
      <c r="L6824"/>
    </row>
    <row r="6825" spans="1:12" x14ac:dyDescent="0.3">
      <c r="A6825" t="s">
        <v>6831</v>
      </c>
      <c r="B6825" t="s">
        <v>10017</v>
      </c>
      <c r="C6825">
        <v>2</v>
      </c>
      <c r="D6825">
        <v>1.5</v>
      </c>
      <c r="E6825">
        <v>3</v>
      </c>
      <c r="F6825" t="s">
        <v>10069</v>
      </c>
      <c r="G6825" t="s">
        <v>10102</v>
      </c>
      <c r="H6825" s="6">
        <v>45116</v>
      </c>
      <c r="I6825">
        <f t="shared" si="212"/>
        <v>0</v>
      </c>
      <c r="J6825" t="str">
        <f t="shared" si="213"/>
        <v>Complete</v>
      </c>
      <c r="K6825">
        <f>COUNTIFS(RawData[Item], B6825,RawData[Quantity],C6825,RawData[Price Per Unit],D6825,RawData[Total Spent],E6825,RawData[Payment Method],F6825,RawData[Location],G6825,RawData[Transaction Date],H6825)</f>
        <v>1</v>
      </c>
      <c r="L6825"/>
    </row>
    <row r="6826" spans="1:12" x14ac:dyDescent="0.3">
      <c r="A6826" t="s">
        <v>6832</v>
      </c>
      <c r="B6826" t="s">
        <v>10014</v>
      </c>
      <c r="C6826">
        <v>1</v>
      </c>
      <c r="D6826">
        <v>4</v>
      </c>
      <c r="E6826">
        <v>4</v>
      </c>
      <c r="F6826" t="s">
        <v>10018</v>
      </c>
      <c r="G6826" t="s">
        <v>10069</v>
      </c>
      <c r="H6826" s="6">
        <v>44936</v>
      </c>
      <c r="I6826">
        <f t="shared" si="212"/>
        <v>0</v>
      </c>
      <c r="J6826" t="str">
        <f t="shared" si="213"/>
        <v>Complete</v>
      </c>
      <c r="K6826">
        <f>COUNTIFS(RawData[Item], B6826,RawData[Quantity],C6826,RawData[Price Per Unit],D6826,RawData[Total Spent],E6826,RawData[Payment Method],F6826,RawData[Location],G6826,RawData[Transaction Date],H6826)</f>
        <v>1</v>
      </c>
      <c r="L6826"/>
    </row>
    <row r="6827" spans="1:12" x14ac:dyDescent="0.3">
      <c r="A6827" t="s">
        <v>6833</v>
      </c>
      <c r="B6827" t="s">
        <v>10011</v>
      </c>
      <c r="C6827">
        <v>1</v>
      </c>
      <c r="D6827">
        <v>5</v>
      </c>
      <c r="E6827">
        <v>5</v>
      </c>
      <c r="F6827" t="s">
        <v>10019</v>
      </c>
      <c r="G6827" t="s">
        <v>10021</v>
      </c>
      <c r="H6827" s="6">
        <v>44993</v>
      </c>
      <c r="I6827">
        <f t="shared" si="212"/>
        <v>0</v>
      </c>
      <c r="J6827" t="str">
        <f t="shared" si="213"/>
        <v>Complete</v>
      </c>
      <c r="K6827">
        <f>COUNTIFS(RawData[Item], B6827,RawData[Quantity],C6827,RawData[Price Per Unit],D6827,RawData[Total Spent],E6827,RawData[Payment Method],F6827,RawData[Location],G6827,RawData[Transaction Date],H6827)</f>
        <v>1</v>
      </c>
      <c r="L6827"/>
    </row>
    <row r="6828" spans="1:12" x14ac:dyDescent="0.3">
      <c r="A6828" t="s">
        <v>6834</v>
      </c>
      <c r="B6828" t="s">
        <v>10009</v>
      </c>
      <c r="C6828">
        <v>1</v>
      </c>
      <c r="D6828">
        <v>3</v>
      </c>
      <c r="E6828">
        <v>3</v>
      </c>
      <c r="F6828" t="s">
        <v>10020</v>
      </c>
      <c r="G6828" t="s">
        <v>10103</v>
      </c>
      <c r="H6828" s="6">
        <v>45049</v>
      </c>
      <c r="I6828">
        <f t="shared" si="212"/>
        <v>1</v>
      </c>
      <c r="J6828" t="str">
        <f t="shared" si="213"/>
        <v>Complete</v>
      </c>
      <c r="K6828">
        <f>COUNTIFS(RawData[Item], B6828,RawData[Quantity],C6828,RawData[Price Per Unit],D6828,RawData[Total Spent],E6828,RawData[Payment Method],F6828,RawData[Location],G6828,RawData[Transaction Date],H6828)</f>
        <v>1</v>
      </c>
      <c r="L6828"/>
    </row>
    <row r="6829" spans="1:12" x14ac:dyDescent="0.3">
      <c r="A6829" t="s">
        <v>6835</v>
      </c>
      <c r="B6829" t="s">
        <v>10017</v>
      </c>
      <c r="C6829">
        <v>1</v>
      </c>
      <c r="D6829">
        <v>1.5</v>
      </c>
      <c r="E6829">
        <v>1.5</v>
      </c>
      <c r="F6829" t="s">
        <v>10018</v>
      </c>
      <c r="G6829" t="s">
        <v>10069</v>
      </c>
      <c r="H6829" s="6">
        <v>45146</v>
      </c>
      <c r="I6829">
        <f t="shared" si="212"/>
        <v>0</v>
      </c>
      <c r="J6829" t="str">
        <f t="shared" si="213"/>
        <v>Complete</v>
      </c>
      <c r="K6829">
        <f>COUNTIFS(RawData[Item], B6829,RawData[Quantity],C6829,RawData[Price Per Unit],D6829,RawData[Total Spent],E6829,RawData[Payment Method],F6829,RawData[Location],G6829,RawData[Transaction Date],H6829)</f>
        <v>1</v>
      </c>
      <c r="L6829"/>
    </row>
    <row r="6830" spans="1:12" x14ac:dyDescent="0.3">
      <c r="A6830" t="s">
        <v>6836</v>
      </c>
      <c r="B6830" t="s">
        <v>10017</v>
      </c>
      <c r="C6830">
        <v>3</v>
      </c>
      <c r="D6830">
        <v>1.5</v>
      </c>
      <c r="E6830">
        <v>0</v>
      </c>
      <c r="F6830" t="s">
        <v>10018</v>
      </c>
      <c r="G6830" t="s">
        <v>10102</v>
      </c>
      <c r="H6830" s="6">
        <v>44966</v>
      </c>
      <c r="I6830">
        <f t="shared" si="212"/>
        <v>0</v>
      </c>
      <c r="J6830" t="str">
        <f t="shared" si="213"/>
        <v>Complete</v>
      </c>
      <c r="K6830">
        <f>COUNTIFS(RawData[Item], B6830,RawData[Quantity],C6830,RawData[Price Per Unit],D6830,RawData[Total Spent],E6830,RawData[Payment Method],F6830,RawData[Location],G6830,RawData[Transaction Date],H6830)</f>
        <v>1</v>
      </c>
      <c r="L6830"/>
    </row>
    <row r="6831" spans="1:12" x14ac:dyDescent="0.3">
      <c r="A6831" t="s">
        <v>6837</v>
      </c>
      <c r="B6831" t="s">
        <v>10009</v>
      </c>
      <c r="C6831">
        <v>3</v>
      </c>
      <c r="D6831">
        <v>3</v>
      </c>
      <c r="E6831">
        <v>0</v>
      </c>
      <c r="F6831" t="s">
        <v>10019</v>
      </c>
      <c r="G6831" t="s">
        <v>10069</v>
      </c>
      <c r="H6831" s="6" t="s">
        <v>10112</v>
      </c>
      <c r="I6831">
        <f t="shared" si="212"/>
        <v>1</v>
      </c>
      <c r="J6831" t="str">
        <f t="shared" si="213"/>
        <v>Incomplete</v>
      </c>
      <c r="K6831">
        <f>COUNTIFS(RawData[Item], B6831,RawData[Quantity],C6831,RawData[Price Per Unit],D6831,RawData[Total Spent],E6831,RawData[Payment Method],F6831,RawData[Location],G6831,RawData[Transaction Date],H6831)</f>
        <v>1</v>
      </c>
      <c r="L6831"/>
    </row>
    <row r="6832" spans="1:12" x14ac:dyDescent="0.3">
      <c r="A6832" t="s">
        <v>6838</v>
      </c>
      <c r="B6832" t="s">
        <v>10010</v>
      </c>
      <c r="C6832">
        <v>4</v>
      </c>
      <c r="D6832">
        <v>1</v>
      </c>
      <c r="E6832">
        <v>4</v>
      </c>
      <c r="F6832" t="s">
        <v>10069</v>
      </c>
      <c r="G6832" t="s">
        <v>10021</v>
      </c>
      <c r="H6832" s="6">
        <v>45015</v>
      </c>
      <c r="I6832">
        <f t="shared" si="212"/>
        <v>0</v>
      </c>
      <c r="J6832" t="str">
        <f t="shared" si="213"/>
        <v>Complete</v>
      </c>
      <c r="K6832">
        <f>COUNTIFS(RawData[Item], B6832,RawData[Quantity],C6832,RawData[Price Per Unit],D6832,RawData[Total Spent],E6832,RawData[Payment Method],F6832,RawData[Location],G6832,RawData[Transaction Date],H6832)</f>
        <v>1</v>
      </c>
      <c r="L6832"/>
    </row>
    <row r="6833" spans="1:12" x14ac:dyDescent="0.3">
      <c r="A6833" t="s">
        <v>6839</v>
      </c>
      <c r="B6833" t="s">
        <v>10016</v>
      </c>
      <c r="C6833">
        <v>2</v>
      </c>
      <c r="D6833">
        <v>3</v>
      </c>
      <c r="E6833">
        <v>6</v>
      </c>
      <c r="F6833" t="s">
        <v>10018</v>
      </c>
      <c r="G6833" t="s">
        <v>10102</v>
      </c>
      <c r="H6833" s="6">
        <v>45075</v>
      </c>
      <c r="I6833">
        <f t="shared" si="212"/>
        <v>0</v>
      </c>
      <c r="J6833" t="str">
        <f t="shared" si="213"/>
        <v>Complete</v>
      </c>
      <c r="K6833">
        <f>COUNTIFS(RawData[Item], B6833,RawData[Quantity],C6833,RawData[Price Per Unit],D6833,RawData[Total Spent],E6833,RawData[Payment Method],F6833,RawData[Location],G6833,RawData[Transaction Date],H6833)</f>
        <v>1</v>
      </c>
      <c r="L6833"/>
    </row>
    <row r="6834" spans="1:12" x14ac:dyDescent="0.3">
      <c r="A6834" t="s">
        <v>6840</v>
      </c>
      <c r="B6834" t="s">
        <v>10008</v>
      </c>
      <c r="C6834">
        <v>1</v>
      </c>
      <c r="D6834">
        <v>2</v>
      </c>
      <c r="E6834">
        <v>2</v>
      </c>
      <c r="F6834" t="s">
        <v>10018</v>
      </c>
      <c r="G6834" t="s">
        <v>10021</v>
      </c>
      <c r="H6834" s="6">
        <v>45198</v>
      </c>
      <c r="I6834">
        <f t="shared" si="212"/>
        <v>0</v>
      </c>
      <c r="J6834" t="str">
        <f t="shared" si="213"/>
        <v>Complete</v>
      </c>
      <c r="K6834">
        <f>COUNTIFS(RawData[Item], B6834,RawData[Quantity],C6834,RawData[Price Per Unit],D6834,RawData[Total Spent],E6834,RawData[Payment Method],F6834,RawData[Location],G6834,RawData[Transaction Date],H6834)</f>
        <v>1</v>
      </c>
      <c r="L6834"/>
    </row>
    <row r="6835" spans="1:12" x14ac:dyDescent="0.3">
      <c r="A6835" t="s">
        <v>6841</v>
      </c>
      <c r="B6835" t="s">
        <v>10011</v>
      </c>
      <c r="C6835">
        <v>1</v>
      </c>
      <c r="D6835">
        <v>5</v>
      </c>
      <c r="E6835">
        <v>5</v>
      </c>
      <c r="F6835" t="s">
        <v>10018</v>
      </c>
      <c r="G6835" t="s">
        <v>10021</v>
      </c>
      <c r="H6835" s="6">
        <v>45155</v>
      </c>
      <c r="I6835">
        <f t="shared" si="212"/>
        <v>0</v>
      </c>
      <c r="J6835" t="str">
        <f t="shared" si="213"/>
        <v>Complete</v>
      </c>
      <c r="K6835">
        <f>COUNTIFS(RawData[Item], B6835,RawData[Quantity],C6835,RawData[Price Per Unit],D6835,RawData[Total Spent],E6835,RawData[Payment Method],F6835,RawData[Location],G6835,RawData[Transaction Date],H6835)</f>
        <v>1</v>
      </c>
      <c r="L6835"/>
    </row>
    <row r="6836" spans="1:12" x14ac:dyDescent="0.3">
      <c r="A6836" t="s">
        <v>6842</v>
      </c>
      <c r="B6836" t="s">
        <v>10012</v>
      </c>
      <c r="C6836">
        <v>5</v>
      </c>
      <c r="D6836">
        <v>4</v>
      </c>
      <c r="E6836" t="s">
        <v>10013</v>
      </c>
      <c r="F6836" t="s">
        <v>10019</v>
      </c>
      <c r="G6836" t="s">
        <v>10069</v>
      </c>
      <c r="H6836" s="6">
        <v>44961</v>
      </c>
      <c r="I6836">
        <f t="shared" si="212"/>
        <v>1</v>
      </c>
      <c r="J6836" t="str">
        <f t="shared" si="213"/>
        <v>Complete</v>
      </c>
      <c r="K6836">
        <f>COUNTIFS(RawData[Item], B6836,RawData[Quantity],C6836,RawData[Price Per Unit],D6836,RawData[Total Spent],E6836,RawData[Payment Method],F6836,RawData[Location],G6836,RawData[Transaction Date],H6836)</f>
        <v>1</v>
      </c>
      <c r="L6836"/>
    </row>
    <row r="6837" spans="1:12" x14ac:dyDescent="0.3">
      <c r="A6837" t="s">
        <v>6843</v>
      </c>
      <c r="B6837" t="s">
        <v>10012</v>
      </c>
      <c r="C6837">
        <v>3</v>
      </c>
      <c r="D6837">
        <v>4</v>
      </c>
      <c r="E6837">
        <v>12</v>
      </c>
      <c r="F6837" t="s">
        <v>10018</v>
      </c>
      <c r="G6837" t="s">
        <v>10102</v>
      </c>
      <c r="H6837" s="6">
        <v>45176</v>
      </c>
      <c r="I6837">
        <f t="shared" si="212"/>
        <v>0</v>
      </c>
      <c r="J6837" t="str">
        <f t="shared" si="213"/>
        <v>Complete</v>
      </c>
      <c r="K6837">
        <f>COUNTIFS(RawData[Item], B6837,RawData[Quantity],C6837,RawData[Price Per Unit],D6837,RawData[Total Spent],E6837,RawData[Payment Method],F6837,RawData[Location],G6837,RawData[Transaction Date],H6837)</f>
        <v>1</v>
      </c>
      <c r="L6837"/>
    </row>
    <row r="6838" spans="1:12" x14ac:dyDescent="0.3">
      <c r="A6838" t="s">
        <v>6844</v>
      </c>
      <c r="B6838" t="s">
        <v>10016</v>
      </c>
      <c r="C6838">
        <v>3</v>
      </c>
      <c r="D6838">
        <v>3</v>
      </c>
      <c r="E6838">
        <v>9</v>
      </c>
      <c r="F6838" t="s">
        <v>10018</v>
      </c>
      <c r="G6838" t="s">
        <v>10102</v>
      </c>
      <c r="H6838" s="6">
        <v>44951</v>
      </c>
      <c r="I6838">
        <f t="shared" si="212"/>
        <v>0</v>
      </c>
      <c r="J6838" t="str">
        <f t="shared" si="213"/>
        <v>Complete</v>
      </c>
      <c r="K6838">
        <f>COUNTIFS(RawData[Item], B6838,RawData[Quantity],C6838,RawData[Price Per Unit],D6838,RawData[Total Spent],E6838,RawData[Payment Method],F6838,RawData[Location],G6838,RawData[Transaction Date],H6838)</f>
        <v>1</v>
      </c>
      <c r="L6838"/>
    </row>
    <row r="6839" spans="1:12" x14ac:dyDescent="0.3">
      <c r="A6839" t="s">
        <v>6845</v>
      </c>
      <c r="B6839" t="s">
        <v>10014</v>
      </c>
      <c r="C6839">
        <v>4</v>
      </c>
      <c r="D6839">
        <v>4</v>
      </c>
      <c r="E6839">
        <v>16</v>
      </c>
      <c r="F6839" t="s">
        <v>10069</v>
      </c>
      <c r="G6839" t="s">
        <v>10069</v>
      </c>
      <c r="H6839" s="6">
        <v>45042</v>
      </c>
      <c r="I6839">
        <f t="shared" si="212"/>
        <v>0</v>
      </c>
      <c r="J6839" t="str">
        <f t="shared" si="213"/>
        <v>Complete</v>
      </c>
      <c r="K6839">
        <f>COUNTIFS(RawData[Item], B6839,RawData[Quantity],C6839,RawData[Price Per Unit],D6839,RawData[Total Spent],E6839,RawData[Payment Method],F6839,RawData[Location],G6839,RawData[Transaction Date],H6839)</f>
        <v>1</v>
      </c>
      <c r="L6839"/>
    </row>
    <row r="6840" spans="1:12" x14ac:dyDescent="0.3">
      <c r="A6840" t="s">
        <v>6846</v>
      </c>
      <c r="B6840" t="s">
        <v>10014</v>
      </c>
      <c r="C6840">
        <v>1</v>
      </c>
      <c r="D6840">
        <v>4</v>
      </c>
      <c r="E6840" t="s">
        <v>10015</v>
      </c>
      <c r="F6840" t="s">
        <v>10069</v>
      </c>
      <c r="G6840" t="s">
        <v>10102</v>
      </c>
      <c r="H6840" s="6">
        <v>45130</v>
      </c>
      <c r="I6840">
        <f t="shared" si="212"/>
        <v>1</v>
      </c>
      <c r="J6840" t="str">
        <f t="shared" si="213"/>
        <v>Complete</v>
      </c>
      <c r="K6840">
        <f>COUNTIFS(RawData[Item], B6840,RawData[Quantity],C6840,RawData[Price Per Unit],D6840,RawData[Total Spent],E6840,RawData[Payment Method],F6840,RawData[Location],G6840,RawData[Transaction Date],H6840)</f>
        <v>1</v>
      </c>
      <c r="L6840"/>
    </row>
    <row r="6841" spans="1:12" x14ac:dyDescent="0.3">
      <c r="A6841" t="s">
        <v>6847</v>
      </c>
      <c r="B6841" t="s">
        <v>10010</v>
      </c>
      <c r="C6841">
        <v>4</v>
      </c>
      <c r="D6841">
        <v>1</v>
      </c>
      <c r="E6841">
        <v>4</v>
      </c>
      <c r="F6841" t="s">
        <v>10018</v>
      </c>
      <c r="G6841" t="s">
        <v>10021</v>
      </c>
      <c r="H6841" s="6">
        <v>45244</v>
      </c>
      <c r="I6841">
        <f t="shared" si="212"/>
        <v>0</v>
      </c>
      <c r="J6841" t="str">
        <f t="shared" si="213"/>
        <v>Complete</v>
      </c>
      <c r="K6841">
        <f>COUNTIFS(RawData[Item], B6841,RawData[Quantity],C6841,RawData[Price Per Unit],D6841,RawData[Total Spent],E6841,RawData[Payment Method],F6841,RawData[Location],G6841,RawData[Transaction Date],H6841)</f>
        <v>1</v>
      </c>
      <c r="L6841"/>
    </row>
    <row r="6842" spans="1:12" x14ac:dyDescent="0.3">
      <c r="A6842" t="s">
        <v>6848</v>
      </c>
      <c r="B6842" t="s">
        <v>10008</v>
      </c>
      <c r="C6842">
        <v>3</v>
      </c>
      <c r="D6842">
        <v>2</v>
      </c>
      <c r="E6842">
        <v>6</v>
      </c>
      <c r="F6842" t="s">
        <v>10019</v>
      </c>
      <c r="G6842" t="s">
        <v>10021</v>
      </c>
      <c r="H6842" s="6">
        <v>45164</v>
      </c>
      <c r="I6842">
        <f t="shared" si="212"/>
        <v>0</v>
      </c>
      <c r="J6842" t="str">
        <f t="shared" si="213"/>
        <v>Complete</v>
      </c>
      <c r="K6842">
        <f>COUNTIFS(RawData[Item], B6842,RawData[Quantity],C6842,RawData[Price Per Unit],D6842,RawData[Total Spent],E6842,RawData[Payment Method],F6842,RawData[Location],G6842,RawData[Transaction Date],H6842)</f>
        <v>1</v>
      </c>
      <c r="L6842"/>
    </row>
    <row r="6843" spans="1:12" x14ac:dyDescent="0.3">
      <c r="A6843" t="s">
        <v>6849</v>
      </c>
      <c r="B6843" t="s">
        <v>10017</v>
      </c>
      <c r="C6843" t="s">
        <v>10015</v>
      </c>
      <c r="D6843">
        <v>1.5</v>
      </c>
      <c r="E6843">
        <v>6</v>
      </c>
      <c r="F6843" t="s">
        <v>10069</v>
      </c>
      <c r="G6843" t="s">
        <v>10102</v>
      </c>
      <c r="H6843" s="6" t="s">
        <v>10112</v>
      </c>
      <c r="I6843">
        <f t="shared" si="212"/>
        <v>2</v>
      </c>
      <c r="J6843" t="str">
        <f t="shared" si="213"/>
        <v>Incomplete</v>
      </c>
      <c r="K6843">
        <f>COUNTIFS(RawData[Item], B6843,RawData[Quantity],C6843,RawData[Price Per Unit],D6843,RawData[Total Spent],E6843,RawData[Payment Method],F6843,RawData[Location],G6843,RawData[Transaction Date],H6843)</f>
        <v>1</v>
      </c>
      <c r="L6843"/>
    </row>
    <row r="6844" spans="1:12" x14ac:dyDescent="0.3">
      <c r="A6844" t="s">
        <v>6850</v>
      </c>
      <c r="B6844" t="s">
        <v>10011</v>
      </c>
      <c r="C6844">
        <v>4</v>
      </c>
      <c r="D6844">
        <v>5</v>
      </c>
      <c r="E6844">
        <v>20</v>
      </c>
      <c r="F6844" t="s">
        <v>10020</v>
      </c>
      <c r="G6844" t="s">
        <v>10021</v>
      </c>
      <c r="H6844" s="6">
        <v>45195</v>
      </c>
      <c r="I6844">
        <f t="shared" si="212"/>
        <v>0</v>
      </c>
      <c r="J6844" t="str">
        <f t="shared" si="213"/>
        <v>Complete</v>
      </c>
      <c r="K6844">
        <f>COUNTIFS(RawData[Item], B6844,RawData[Quantity],C6844,RawData[Price Per Unit],D6844,RawData[Total Spent],E6844,RawData[Payment Method],F6844,RawData[Location],G6844,RawData[Transaction Date],H6844)</f>
        <v>1</v>
      </c>
      <c r="L6844"/>
    </row>
    <row r="6845" spans="1:12" x14ac:dyDescent="0.3">
      <c r="A6845" t="s">
        <v>6851</v>
      </c>
      <c r="B6845" t="s">
        <v>10011</v>
      </c>
      <c r="C6845">
        <v>4</v>
      </c>
      <c r="D6845">
        <v>5</v>
      </c>
      <c r="E6845">
        <v>20</v>
      </c>
      <c r="F6845" t="s">
        <v>10069</v>
      </c>
      <c r="G6845" t="s">
        <v>10069</v>
      </c>
      <c r="H6845" s="6">
        <v>45019</v>
      </c>
      <c r="I6845">
        <f t="shared" si="212"/>
        <v>0</v>
      </c>
      <c r="J6845" t="str">
        <f t="shared" si="213"/>
        <v>Complete</v>
      </c>
      <c r="K6845">
        <f>COUNTIFS(RawData[Item], B6845,RawData[Quantity],C6845,RawData[Price Per Unit],D6845,RawData[Total Spent],E6845,RawData[Payment Method],F6845,RawData[Location],G6845,RawData[Transaction Date],H6845)</f>
        <v>1</v>
      </c>
      <c r="L6845"/>
    </row>
    <row r="6846" spans="1:12" x14ac:dyDescent="0.3">
      <c r="A6846" t="s">
        <v>6852</v>
      </c>
      <c r="B6846" t="s">
        <v>10011</v>
      </c>
      <c r="C6846">
        <v>5</v>
      </c>
      <c r="D6846">
        <v>5</v>
      </c>
      <c r="E6846">
        <v>25</v>
      </c>
      <c r="F6846" t="s">
        <v>10069</v>
      </c>
      <c r="G6846" t="s">
        <v>10069</v>
      </c>
      <c r="H6846" s="6">
        <v>45161</v>
      </c>
      <c r="I6846">
        <f t="shared" si="212"/>
        <v>0</v>
      </c>
      <c r="J6846" t="str">
        <f t="shared" si="213"/>
        <v>Complete</v>
      </c>
      <c r="K6846">
        <f>COUNTIFS(RawData[Item], B6846,RawData[Quantity],C6846,RawData[Price Per Unit],D6846,RawData[Total Spent],E6846,RawData[Payment Method],F6846,RawData[Location],G6846,RawData[Transaction Date],H6846)</f>
        <v>1</v>
      </c>
      <c r="L6846"/>
    </row>
    <row r="6847" spans="1:12" x14ac:dyDescent="0.3">
      <c r="A6847" t="s">
        <v>6853</v>
      </c>
      <c r="B6847" t="s">
        <v>10010</v>
      </c>
      <c r="C6847">
        <v>3</v>
      </c>
      <c r="D6847">
        <v>1</v>
      </c>
      <c r="E6847">
        <v>3</v>
      </c>
      <c r="F6847" t="s">
        <v>10069</v>
      </c>
      <c r="G6847" t="s">
        <v>10021</v>
      </c>
      <c r="H6847" s="6">
        <v>44944</v>
      </c>
      <c r="I6847">
        <f t="shared" si="212"/>
        <v>0</v>
      </c>
      <c r="J6847" t="str">
        <f t="shared" si="213"/>
        <v>Complete</v>
      </c>
      <c r="K6847">
        <f>COUNTIFS(RawData[Item], B6847,RawData[Quantity],C6847,RawData[Price Per Unit],D6847,RawData[Total Spent],E6847,RawData[Payment Method],F6847,RawData[Location],G6847,RawData[Transaction Date],H6847)</f>
        <v>1</v>
      </c>
      <c r="L6847"/>
    </row>
    <row r="6848" spans="1:12" x14ac:dyDescent="0.3">
      <c r="A6848" t="s">
        <v>6854</v>
      </c>
      <c r="B6848" t="s">
        <v>10014</v>
      </c>
      <c r="C6848">
        <v>4</v>
      </c>
      <c r="D6848">
        <v>4</v>
      </c>
      <c r="E6848">
        <v>0</v>
      </c>
      <c r="F6848" t="s">
        <v>10018</v>
      </c>
      <c r="G6848" t="s">
        <v>10021</v>
      </c>
      <c r="H6848" s="6">
        <v>44943</v>
      </c>
      <c r="I6848">
        <f t="shared" si="212"/>
        <v>0</v>
      </c>
      <c r="J6848" t="str">
        <f t="shared" si="213"/>
        <v>Complete</v>
      </c>
      <c r="K6848">
        <f>COUNTIFS(RawData[Item], B6848,RawData[Quantity],C6848,RawData[Price Per Unit],D6848,RawData[Total Spent],E6848,RawData[Payment Method],F6848,RawData[Location],G6848,RawData[Transaction Date],H6848)</f>
        <v>1</v>
      </c>
      <c r="L6848"/>
    </row>
    <row r="6849" spans="1:12" x14ac:dyDescent="0.3">
      <c r="A6849" t="s">
        <v>6855</v>
      </c>
      <c r="B6849" t="s">
        <v>10014</v>
      </c>
      <c r="C6849">
        <v>1</v>
      </c>
      <c r="D6849">
        <v>4</v>
      </c>
      <c r="E6849">
        <v>4</v>
      </c>
      <c r="F6849" t="s">
        <v>10019</v>
      </c>
      <c r="G6849" t="s">
        <v>10069</v>
      </c>
      <c r="H6849" s="6">
        <v>45279</v>
      </c>
      <c r="I6849">
        <f t="shared" si="212"/>
        <v>0</v>
      </c>
      <c r="J6849" t="str">
        <f t="shared" si="213"/>
        <v>Complete</v>
      </c>
      <c r="K6849">
        <f>COUNTIFS(RawData[Item], B6849,RawData[Quantity],C6849,RawData[Price Per Unit],D6849,RawData[Total Spent],E6849,RawData[Payment Method],F6849,RawData[Location],G6849,RawData[Transaction Date],H6849)</f>
        <v>1</v>
      </c>
      <c r="L6849"/>
    </row>
    <row r="6850" spans="1:12" x14ac:dyDescent="0.3">
      <c r="A6850" t="s">
        <v>6856</v>
      </c>
      <c r="B6850" t="s">
        <v>10011</v>
      </c>
      <c r="C6850">
        <v>3</v>
      </c>
      <c r="D6850">
        <v>5</v>
      </c>
      <c r="E6850">
        <v>15</v>
      </c>
      <c r="F6850" t="s">
        <v>10069</v>
      </c>
      <c r="G6850" t="s">
        <v>10069</v>
      </c>
      <c r="H6850" s="6">
        <v>45014</v>
      </c>
      <c r="I6850">
        <f t="shared" ref="I6850:I6913" si="214">(B6850="Unknown")+(B6850="Error")+(C6850="Unknown")+(C6850="Error")+(D6850="Unknown")+(D6850="Error")+(E6850="Unknown")+(E6850="Error")+(F6850="Unknown")+(F6850="Error")+(G6850="Unknown")+(G6850="Error")+(H6850="No Date")</f>
        <v>0</v>
      </c>
      <c r="J6850" t="str">
        <f t="shared" ref="J6850:J6913" si="215">IF((H6850="No Date"),"Incomplete","Complete")</f>
        <v>Complete</v>
      </c>
      <c r="K6850">
        <f>COUNTIFS(RawData[Item], B6850,RawData[Quantity],C6850,RawData[Price Per Unit],D6850,RawData[Total Spent],E6850,RawData[Payment Method],F6850,RawData[Location],G6850,RawData[Transaction Date],H6850)</f>
        <v>1</v>
      </c>
      <c r="L6850"/>
    </row>
    <row r="6851" spans="1:12" x14ac:dyDescent="0.3">
      <c r="A6851" t="s">
        <v>6857</v>
      </c>
      <c r="B6851" t="s">
        <v>10069</v>
      </c>
      <c r="C6851">
        <v>3</v>
      </c>
      <c r="D6851" t="s">
        <v>10013</v>
      </c>
      <c r="E6851">
        <v>12</v>
      </c>
      <c r="F6851" t="s">
        <v>10019</v>
      </c>
      <c r="G6851" t="s">
        <v>10069</v>
      </c>
      <c r="H6851" s="6">
        <v>45111</v>
      </c>
      <c r="I6851">
        <f t="shared" si="214"/>
        <v>1</v>
      </c>
      <c r="J6851" t="str">
        <f t="shared" si="215"/>
        <v>Complete</v>
      </c>
      <c r="K6851">
        <f>COUNTIFS(RawData[Item], B6851,RawData[Quantity],C6851,RawData[Price Per Unit],D6851,RawData[Total Spent],E6851,RawData[Payment Method],F6851,RawData[Location],G6851,RawData[Transaction Date],H6851)</f>
        <v>1</v>
      </c>
      <c r="L6851"/>
    </row>
    <row r="6852" spans="1:12" x14ac:dyDescent="0.3">
      <c r="A6852" t="s">
        <v>6858</v>
      </c>
      <c r="B6852" t="s">
        <v>10012</v>
      </c>
      <c r="C6852">
        <v>4</v>
      </c>
      <c r="D6852">
        <v>4</v>
      </c>
      <c r="E6852">
        <v>16</v>
      </c>
      <c r="F6852" t="s">
        <v>10069</v>
      </c>
      <c r="G6852" t="s">
        <v>10103</v>
      </c>
      <c r="H6852" s="6">
        <v>45124</v>
      </c>
      <c r="I6852">
        <f t="shared" si="214"/>
        <v>1</v>
      </c>
      <c r="J6852" t="str">
        <f t="shared" si="215"/>
        <v>Complete</v>
      </c>
      <c r="K6852">
        <f>COUNTIFS(RawData[Item], B6852,RawData[Quantity],C6852,RawData[Price Per Unit],D6852,RawData[Total Spent],E6852,RawData[Payment Method],F6852,RawData[Location],G6852,RawData[Transaction Date],H6852)</f>
        <v>1</v>
      </c>
      <c r="L6852"/>
    </row>
    <row r="6853" spans="1:12" x14ac:dyDescent="0.3">
      <c r="A6853" t="s">
        <v>6859</v>
      </c>
      <c r="B6853" t="s">
        <v>10012</v>
      </c>
      <c r="C6853">
        <v>3</v>
      </c>
      <c r="D6853">
        <v>4</v>
      </c>
      <c r="E6853">
        <v>12</v>
      </c>
      <c r="F6853" t="s">
        <v>10020</v>
      </c>
      <c r="G6853" t="s">
        <v>10102</v>
      </c>
      <c r="H6853" s="6">
        <v>45062</v>
      </c>
      <c r="I6853">
        <f t="shared" si="214"/>
        <v>0</v>
      </c>
      <c r="J6853" t="str">
        <f t="shared" si="215"/>
        <v>Complete</v>
      </c>
      <c r="K6853">
        <f>COUNTIFS(RawData[Item], B6853,RawData[Quantity],C6853,RawData[Price Per Unit],D6853,RawData[Total Spent],E6853,RawData[Payment Method],F6853,RawData[Location],G6853,RawData[Transaction Date],H6853)</f>
        <v>1</v>
      </c>
      <c r="L6853"/>
    </row>
    <row r="6854" spans="1:12" x14ac:dyDescent="0.3">
      <c r="A6854" t="s">
        <v>6860</v>
      </c>
      <c r="B6854" t="s">
        <v>10014</v>
      </c>
      <c r="C6854">
        <v>1</v>
      </c>
      <c r="D6854">
        <v>4</v>
      </c>
      <c r="E6854">
        <v>4</v>
      </c>
      <c r="F6854" t="s">
        <v>10020</v>
      </c>
      <c r="G6854" t="s">
        <v>10021</v>
      </c>
      <c r="H6854" s="6">
        <v>45035</v>
      </c>
      <c r="I6854">
        <f t="shared" si="214"/>
        <v>0</v>
      </c>
      <c r="J6854" t="str">
        <f t="shared" si="215"/>
        <v>Complete</v>
      </c>
      <c r="K6854">
        <f>COUNTIFS(RawData[Item], B6854,RawData[Quantity],C6854,RawData[Price Per Unit],D6854,RawData[Total Spent],E6854,RawData[Payment Method],F6854,RawData[Location],G6854,RawData[Transaction Date],H6854)</f>
        <v>1</v>
      </c>
      <c r="L6854"/>
    </row>
    <row r="6855" spans="1:12" x14ac:dyDescent="0.3">
      <c r="A6855" t="s">
        <v>6861</v>
      </c>
      <c r="B6855" t="s">
        <v>10013</v>
      </c>
      <c r="C6855">
        <v>2</v>
      </c>
      <c r="D6855">
        <v>5</v>
      </c>
      <c r="E6855">
        <v>10</v>
      </c>
      <c r="F6855" t="s">
        <v>10020</v>
      </c>
      <c r="G6855" t="s">
        <v>10102</v>
      </c>
      <c r="H6855" s="6">
        <v>45096</v>
      </c>
      <c r="I6855">
        <f t="shared" si="214"/>
        <v>1</v>
      </c>
      <c r="J6855" t="str">
        <f t="shared" si="215"/>
        <v>Complete</v>
      </c>
      <c r="K6855">
        <f>COUNTIFS(RawData[Item], B6855,RawData[Quantity],C6855,RawData[Price Per Unit],D6855,RawData[Total Spent],E6855,RawData[Payment Method],F6855,RawData[Location],G6855,RawData[Transaction Date],H6855)</f>
        <v>1</v>
      </c>
      <c r="L6855"/>
    </row>
    <row r="6856" spans="1:12" x14ac:dyDescent="0.3">
      <c r="A6856" t="s">
        <v>6862</v>
      </c>
      <c r="B6856" t="s">
        <v>10012</v>
      </c>
      <c r="C6856">
        <v>5</v>
      </c>
      <c r="D6856">
        <v>4</v>
      </c>
      <c r="E6856">
        <v>20</v>
      </c>
      <c r="F6856" t="s">
        <v>10020</v>
      </c>
      <c r="G6856" t="s">
        <v>10102</v>
      </c>
      <c r="H6856" s="6">
        <v>45161</v>
      </c>
      <c r="I6856">
        <f t="shared" si="214"/>
        <v>0</v>
      </c>
      <c r="J6856" t="str">
        <f t="shared" si="215"/>
        <v>Complete</v>
      </c>
      <c r="K6856">
        <f>COUNTIFS(RawData[Item], B6856,RawData[Quantity],C6856,RawData[Price Per Unit],D6856,RawData[Total Spent],E6856,RawData[Payment Method],F6856,RawData[Location],G6856,RawData[Transaction Date],H6856)</f>
        <v>1</v>
      </c>
      <c r="L6856"/>
    </row>
    <row r="6857" spans="1:12" x14ac:dyDescent="0.3">
      <c r="A6857" t="s">
        <v>6863</v>
      </c>
      <c r="B6857" t="s">
        <v>10012</v>
      </c>
      <c r="C6857">
        <v>1</v>
      </c>
      <c r="D6857">
        <v>4</v>
      </c>
      <c r="E6857">
        <v>4</v>
      </c>
      <c r="F6857" t="s">
        <v>10018</v>
      </c>
      <c r="G6857" t="s">
        <v>10104</v>
      </c>
      <c r="H6857" s="6">
        <v>44955</v>
      </c>
      <c r="I6857">
        <f t="shared" si="214"/>
        <v>1</v>
      </c>
      <c r="J6857" t="str">
        <f t="shared" si="215"/>
        <v>Complete</v>
      </c>
      <c r="K6857">
        <f>COUNTIFS(RawData[Item], B6857,RawData[Quantity],C6857,RawData[Price Per Unit],D6857,RawData[Total Spent],E6857,RawData[Payment Method],F6857,RawData[Location],G6857,RawData[Transaction Date],H6857)</f>
        <v>1</v>
      </c>
      <c r="L6857"/>
    </row>
    <row r="6858" spans="1:12" x14ac:dyDescent="0.3">
      <c r="A6858" t="s">
        <v>6864</v>
      </c>
      <c r="B6858" t="s">
        <v>10008</v>
      </c>
      <c r="C6858">
        <v>4</v>
      </c>
      <c r="D6858">
        <v>2</v>
      </c>
      <c r="E6858">
        <v>8</v>
      </c>
      <c r="F6858" t="s">
        <v>10069</v>
      </c>
      <c r="G6858" t="s">
        <v>10021</v>
      </c>
      <c r="H6858" s="6">
        <v>45244</v>
      </c>
      <c r="I6858">
        <f t="shared" si="214"/>
        <v>0</v>
      </c>
      <c r="J6858" t="str">
        <f t="shared" si="215"/>
        <v>Complete</v>
      </c>
      <c r="K6858">
        <f>COUNTIFS(RawData[Item], B6858,RawData[Quantity],C6858,RawData[Price Per Unit],D6858,RawData[Total Spent],E6858,RawData[Payment Method],F6858,RawData[Location],G6858,RawData[Transaction Date],H6858)</f>
        <v>1</v>
      </c>
      <c r="L6858"/>
    </row>
    <row r="6859" spans="1:12" x14ac:dyDescent="0.3">
      <c r="A6859" t="s">
        <v>6865</v>
      </c>
      <c r="B6859" t="s">
        <v>10015</v>
      </c>
      <c r="C6859">
        <v>4</v>
      </c>
      <c r="D6859">
        <v>2</v>
      </c>
      <c r="E6859">
        <v>8</v>
      </c>
      <c r="F6859" t="s">
        <v>10020</v>
      </c>
      <c r="G6859" t="s">
        <v>10102</v>
      </c>
      <c r="H6859" s="6">
        <v>45064</v>
      </c>
      <c r="I6859">
        <f t="shared" si="214"/>
        <v>1</v>
      </c>
      <c r="J6859" t="str">
        <f t="shared" si="215"/>
        <v>Complete</v>
      </c>
      <c r="K6859">
        <f>COUNTIFS(RawData[Item], B6859,RawData[Quantity],C6859,RawData[Price Per Unit],D6859,RawData[Total Spent],E6859,RawData[Payment Method],F6859,RawData[Location],G6859,RawData[Transaction Date],H6859)</f>
        <v>1</v>
      </c>
      <c r="L6859"/>
    </row>
    <row r="6860" spans="1:12" x14ac:dyDescent="0.3">
      <c r="A6860" t="s">
        <v>6866</v>
      </c>
      <c r="B6860" t="s">
        <v>10014</v>
      </c>
      <c r="C6860">
        <v>3</v>
      </c>
      <c r="D6860">
        <v>4</v>
      </c>
      <c r="E6860">
        <v>12</v>
      </c>
      <c r="F6860" t="s">
        <v>10019</v>
      </c>
      <c r="G6860" t="s">
        <v>10021</v>
      </c>
      <c r="H6860" s="6">
        <v>45119</v>
      </c>
      <c r="I6860">
        <f t="shared" si="214"/>
        <v>0</v>
      </c>
      <c r="J6860" t="str">
        <f t="shared" si="215"/>
        <v>Complete</v>
      </c>
      <c r="K6860">
        <f>COUNTIFS(RawData[Item], B6860,RawData[Quantity],C6860,RawData[Price Per Unit],D6860,RawData[Total Spent],E6860,RawData[Payment Method],F6860,RawData[Location],G6860,RawData[Transaction Date],H6860)</f>
        <v>1</v>
      </c>
      <c r="L6860"/>
    </row>
    <row r="6861" spans="1:12" x14ac:dyDescent="0.3">
      <c r="A6861" t="s">
        <v>6867</v>
      </c>
      <c r="B6861" t="s">
        <v>10012</v>
      </c>
      <c r="C6861">
        <v>4</v>
      </c>
      <c r="D6861">
        <v>4</v>
      </c>
      <c r="E6861">
        <v>16</v>
      </c>
      <c r="F6861" t="s">
        <v>10020</v>
      </c>
      <c r="G6861" t="s">
        <v>10021</v>
      </c>
      <c r="H6861" s="6">
        <v>45288</v>
      </c>
      <c r="I6861">
        <f t="shared" si="214"/>
        <v>0</v>
      </c>
      <c r="J6861" t="str">
        <f t="shared" si="215"/>
        <v>Complete</v>
      </c>
      <c r="K6861">
        <f>COUNTIFS(RawData[Item], B6861,RawData[Quantity],C6861,RawData[Price Per Unit],D6861,RawData[Total Spent],E6861,RawData[Payment Method],F6861,RawData[Location],G6861,RawData[Transaction Date],H6861)</f>
        <v>1</v>
      </c>
      <c r="L6861"/>
    </row>
    <row r="6862" spans="1:12" x14ac:dyDescent="0.3">
      <c r="A6862" t="s">
        <v>6868</v>
      </c>
      <c r="B6862" t="s">
        <v>10016</v>
      </c>
      <c r="C6862">
        <v>2</v>
      </c>
      <c r="D6862">
        <v>3</v>
      </c>
      <c r="E6862">
        <v>6</v>
      </c>
      <c r="F6862" t="s">
        <v>10019</v>
      </c>
      <c r="G6862" t="s">
        <v>10021</v>
      </c>
      <c r="H6862" s="6">
        <v>45197</v>
      </c>
      <c r="I6862">
        <f t="shared" si="214"/>
        <v>0</v>
      </c>
      <c r="J6862" t="str">
        <f t="shared" si="215"/>
        <v>Complete</v>
      </c>
      <c r="K6862">
        <f>COUNTIFS(RawData[Item], B6862,RawData[Quantity],C6862,RawData[Price Per Unit],D6862,RawData[Total Spent],E6862,RawData[Payment Method],F6862,RawData[Location],G6862,RawData[Transaction Date],H6862)</f>
        <v>1</v>
      </c>
      <c r="L6862"/>
    </row>
    <row r="6863" spans="1:12" x14ac:dyDescent="0.3">
      <c r="A6863" t="s">
        <v>6869</v>
      </c>
      <c r="B6863" t="s">
        <v>10016</v>
      </c>
      <c r="C6863">
        <v>5</v>
      </c>
      <c r="D6863">
        <v>3</v>
      </c>
      <c r="E6863">
        <v>15</v>
      </c>
      <c r="F6863" t="s">
        <v>10018</v>
      </c>
      <c r="G6863" t="s">
        <v>10102</v>
      </c>
      <c r="H6863" s="6">
        <v>45079</v>
      </c>
      <c r="I6863">
        <f t="shared" si="214"/>
        <v>0</v>
      </c>
      <c r="J6863" t="str">
        <f t="shared" si="215"/>
        <v>Complete</v>
      </c>
      <c r="K6863">
        <f>COUNTIFS(RawData[Item], B6863,RawData[Quantity],C6863,RawData[Price Per Unit],D6863,RawData[Total Spent],E6863,RawData[Payment Method],F6863,RawData[Location],G6863,RawData[Transaction Date],H6863)</f>
        <v>1</v>
      </c>
      <c r="L6863"/>
    </row>
    <row r="6864" spans="1:12" x14ac:dyDescent="0.3">
      <c r="A6864" t="s">
        <v>6870</v>
      </c>
      <c r="B6864" t="s">
        <v>10011</v>
      </c>
      <c r="C6864">
        <v>4</v>
      </c>
      <c r="D6864">
        <v>5</v>
      </c>
      <c r="E6864">
        <v>20</v>
      </c>
      <c r="F6864" t="s">
        <v>10019</v>
      </c>
      <c r="G6864" t="s">
        <v>10069</v>
      </c>
      <c r="H6864" s="6">
        <v>45004</v>
      </c>
      <c r="I6864">
        <f t="shared" si="214"/>
        <v>0</v>
      </c>
      <c r="J6864" t="str">
        <f t="shared" si="215"/>
        <v>Complete</v>
      </c>
      <c r="K6864">
        <f>COUNTIFS(RawData[Item], B6864,RawData[Quantity],C6864,RawData[Price Per Unit],D6864,RawData[Total Spent],E6864,RawData[Payment Method],F6864,RawData[Location],G6864,RawData[Transaction Date],H6864)</f>
        <v>1</v>
      </c>
      <c r="L6864"/>
    </row>
    <row r="6865" spans="1:12" x14ac:dyDescent="0.3">
      <c r="A6865" t="s">
        <v>6871</v>
      </c>
      <c r="B6865" t="s">
        <v>10014</v>
      </c>
      <c r="C6865">
        <v>2</v>
      </c>
      <c r="D6865">
        <v>4</v>
      </c>
      <c r="E6865">
        <v>8</v>
      </c>
      <c r="F6865" t="s">
        <v>10104</v>
      </c>
      <c r="G6865" t="s">
        <v>10021</v>
      </c>
      <c r="H6865" s="6">
        <v>45138</v>
      </c>
      <c r="I6865">
        <f t="shared" si="214"/>
        <v>1</v>
      </c>
      <c r="J6865" t="str">
        <f t="shared" si="215"/>
        <v>Complete</v>
      </c>
      <c r="K6865">
        <f>COUNTIFS(RawData[Item], B6865,RawData[Quantity],C6865,RawData[Price Per Unit],D6865,RawData[Total Spent],E6865,RawData[Payment Method],F6865,RawData[Location],G6865,RawData[Transaction Date],H6865)</f>
        <v>1</v>
      </c>
      <c r="L6865"/>
    </row>
    <row r="6866" spans="1:12" x14ac:dyDescent="0.3">
      <c r="A6866" t="s">
        <v>6872</v>
      </c>
      <c r="B6866" t="s">
        <v>10010</v>
      </c>
      <c r="C6866">
        <v>3</v>
      </c>
      <c r="D6866">
        <v>1</v>
      </c>
      <c r="E6866">
        <v>3</v>
      </c>
      <c r="F6866" t="s">
        <v>10103</v>
      </c>
      <c r="G6866" t="s">
        <v>10102</v>
      </c>
      <c r="H6866" s="6">
        <v>45290</v>
      </c>
      <c r="I6866">
        <f t="shared" si="214"/>
        <v>1</v>
      </c>
      <c r="J6866" t="str">
        <f t="shared" si="215"/>
        <v>Complete</v>
      </c>
      <c r="K6866">
        <f>COUNTIFS(RawData[Item], B6866,RawData[Quantity],C6866,RawData[Price Per Unit],D6866,RawData[Total Spent],E6866,RawData[Payment Method],F6866,RawData[Location],G6866,RawData[Transaction Date],H6866)</f>
        <v>1</v>
      </c>
      <c r="L6866"/>
    </row>
    <row r="6867" spans="1:12" x14ac:dyDescent="0.3">
      <c r="A6867" t="s">
        <v>6873</v>
      </c>
      <c r="B6867" t="s">
        <v>10009</v>
      </c>
      <c r="C6867">
        <v>4</v>
      </c>
      <c r="D6867">
        <v>3</v>
      </c>
      <c r="E6867">
        <v>12</v>
      </c>
      <c r="F6867" t="s">
        <v>10020</v>
      </c>
      <c r="G6867" t="s">
        <v>10102</v>
      </c>
      <c r="H6867" s="6">
        <v>45230</v>
      </c>
      <c r="I6867">
        <f t="shared" si="214"/>
        <v>0</v>
      </c>
      <c r="J6867" t="str">
        <f t="shared" si="215"/>
        <v>Complete</v>
      </c>
      <c r="K6867">
        <f>COUNTIFS(RawData[Item], B6867,RawData[Quantity],C6867,RawData[Price Per Unit],D6867,RawData[Total Spent],E6867,RawData[Payment Method],F6867,RawData[Location],G6867,RawData[Transaction Date],H6867)</f>
        <v>1</v>
      </c>
      <c r="L6867"/>
    </row>
    <row r="6868" spans="1:12" x14ac:dyDescent="0.3">
      <c r="A6868" t="s">
        <v>6874</v>
      </c>
      <c r="B6868" t="s">
        <v>10010</v>
      </c>
      <c r="C6868">
        <v>5</v>
      </c>
      <c r="D6868">
        <v>1</v>
      </c>
      <c r="E6868">
        <v>5</v>
      </c>
      <c r="F6868" t="s">
        <v>10018</v>
      </c>
      <c r="G6868" t="s">
        <v>10102</v>
      </c>
      <c r="H6868" s="6">
        <v>45116</v>
      </c>
      <c r="I6868">
        <f t="shared" si="214"/>
        <v>0</v>
      </c>
      <c r="J6868" t="str">
        <f t="shared" si="215"/>
        <v>Complete</v>
      </c>
      <c r="K6868">
        <f>COUNTIFS(RawData[Item], B6868,RawData[Quantity],C6868,RawData[Price Per Unit],D6868,RawData[Total Spent],E6868,RawData[Payment Method],F6868,RawData[Location],G6868,RawData[Transaction Date],H6868)</f>
        <v>1</v>
      </c>
      <c r="L6868"/>
    </row>
    <row r="6869" spans="1:12" x14ac:dyDescent="0.3">
      <c r="A6869" t="s">
        <v>6875</v>
      </c>
      <c r="B6869" t="s">
        <v>10015</v>
      </c>
      <c r="C6869">
        <v>2</v>
      </c>
      <c r="D6869">
        <v>4</v>
      </c>
      <c r="E6869">
        <v>8</v>
      </c>
      <c r="F6869" t="s">
        <v>10020</v>
      </c>
      <c r="G6869" t="s">
        <v>10102</v>
      </c>
      <c r="H6869" s="6">
        <v>44989</v>
      </c>
      <c r="I6869">
        <f t="shared" si="214"/>
        <v>1</v>
      </c>
      <c r="J6869" t="str">
        <f t="shared" si="215"/>
        <v>Complete</v>
      </c>
      <c r="K6869">
        <f>COUNTIFS(RawData[Item], B6869,RawData[Quantity],C6869,RawData[Price Per Unit],D6869,RawData[Total Spent],E6869,RawData[Payment Method],F6869,RawData[Location],G6869,RawData[Transaction Date],H6869)</f>
        <v>1</v>
      </c>
      <c r="L6869"/>
    </row>
    <row r="6870" spans="1:12" x14ac:dyDescent="0.3">
      <c r="A6870" t="s">
        <v>6876</v>
      </c>
      <c r="B6870" t="s">
        <v>10017</v>
      </c>
      <c r="C6870">
        <v>3</v>
      </c>
      <c r="D6870">
        <v>1.5</v>
      </c>
      <c r="E6870">
        <v>4.5</v>
      </c>
      <c r="F6870" t="s">
        <v>10018</v>
      </c>
      <c r="G6870" t="s">
        <v>10021</v>
      </c>
      <c r="H6870" s="6">
        <v>45047</v>
      </c>
      <c r="I6870">
        <f t="shared" si="214"/>
        <v>0</v>
      </c>
      <c r="J6870" t="str">
        <f t="shared" si="215"/>
        <v>Complete</v>
      </c>
      <c r="K6870">
        <f>COUNTIFS(RawData[Item], B6870,RawData[Quantity],C6870,RawData[Price Per Unit],D6870,RawData[Total Spent],E6870,RawData[Payment Method],F6870,RawData[Location],G6870,RawData[Transaction Date],H6870)</f>
        <v>1</v>
      </c>
      <c r="L6870"/>
    </row>
    <row r="6871" spans="1:12" x14ac:dyDescent="0.3">
      <c r="A6871" t="s">
        <v>6877</v>
      </c>
      <c r="B6871" t="s">
        <v>10008</v>
      </c>
      <c r="C6871">
        <v>5</v>
      </c>
      <c r="D6871">
        <v>2</v>
      </c>
      <c r="E6871">
        <v>10</v>
      </c>
      <c r="F6871" t="s">
        <v>10020</v>
      </c>
      <c r="G6871" t="s">
        <v>10069</v>
      </c>
      <c r="H6871" s="6">
        <v>45080</v>
      </c>
      <c r="I6871">
        <f t="shared" si="214"/>
        <v>0</v>
      </c>
      <c r="J6871" t="str">
        <f t="shared" si="215"/>
        <v>Complete</v>
      </c>
      <c r="K6871">
        <f>COUNTIFS(RawData[Item], B6871,RawData[Quantity],C6871,RawData[Price Per Unit],D6871,RawData[Total Spent],E6871,RawData[Payment Method],F6871,RawData[Location],G6871,RawData[Transaction Date],H6871)</f>
        <v>1</v>
      </c>
      <c r="L6871"/>
    </row>
    <row r="6872" spans="1:12" x14ac:dyDescent="0.3">
      <c r="A6872" t="s">
        <v>6878</v>
      </c>
      <c r="B6872" t="s">
        <v>10012</v>
      </c>
      <c r="C6872">
        <v>3</v>
      </c>
      <c r="D6872">
        <v>4</v>
      </c>
      <c r="E6872" t="s">
        <v>10013</v>
      </c>
      <c r="F6872" t="s">
        <v>10104</v>
      </c>
      <c r="G6872" t="s">
        <v>10102</v>
      </c>
      <c r="H6872" s="6">
        <v>45028</v>
      </c>
      <c r="I6872">
        <f t="shared" si="214"/>
        <v>2</v>
      </c>
      <c r="J6872" t="str">
        <f t="shared" si="215"/>
        <v>Complete</v>
      </c>
      <c r="K6872">
        <f>COUNTIFS(RawData[Item], B6872,RawData[Quantity],C6872,RawData[Price Per Unit],D6872,RawData[Total Spent],E6872,RawData[Payment Method],F6872,RawData[Location],G6872,RawData[Transaction Date],H6872)</f>
        <v>1</v>
      </c>
      <c r="L6872"/>
    </row>
    <row r="6873" spans="1:12" x14ac:dyDescent="0.3">
      <c r="A6873" t="s">
        <v>6879</v>
      </c>
      <c r="B6873" t="s">
        <v>10010</v>
      </c>
      <c r="C6873">
        <v>3</v>
      </c>
      <c r="D6873">
        <v>1</v>
      </c>
      <c r="E6873">
        <v>0</v>
      </c>
      <c r="F6873" t="s">
        <v>10069</v>
      </c>
      <c r="G6873" t="s">
        <v>10102</v>
      </c>
      <c r="H6873" s="6">
        <v>44963</v>
      </c>
      <c r="I6873">
        <f t="shared" si="214"/>
        <v>0</v>
      </c>
      <c r="J6873" t="str">
        <f t="shared" si="215"/>
        <v>Complete</v>
      </c>
      <c r="K6873">
        <f>COUNTIFS(RawData[Item], B6873,RawData[Quantity],C6873,RawData[Price Per Unit],D6873,RawData[Total Spent],E6873,RawData[Payment Method],F6873,RawData[Location],G6873,RawData[Transaction Date],H6873)</f>
        <v>1</v>
      </c>
      <c r="L6873"/>
    </row>
    <row r="6874" spans="1:12" x14ac:dyDescent="0.3">
      <c r="A6874" t="s">
        <v>6880</v>
      </c>
      <c r="B6874" t="s">
        <v>10013</v>
      </c>
      <c r="C6874">
        <v>2</v>
      </c>
      <c r="D6874">
        <v>2</v>
      </c>
      <c r="E6874">
        <v>4</v>
      </c>
      <c r="F6874" t="s">
        <v>10018</v>
      </c>
      <c r="G6874" t="s">
        <v>10021</v>
      </c>
      <c r="H6874" s="6">
        <v>45239</v>
      </c>
      <c r="I6874">
        <f t="shared" si="214"/>
        <v>1</v>
      </c>
      <c r="J6874" t="str">
        <f t="shared" si="215"/>
        <v>Complete</v>
      </c>
      <c r="K6874">
        <f>COUNTIFS(RawData[Item], B6874,RawData[Quantity],C6874,RawData[Price Per Unit],D6874,RawData[Total Spent],E6874,RawData[Payment Method],F6874,RawData[Location],G6874,RawData[Transaction Date],H6874)</f>
        <v>1</v>
      </c>
      <c r="L6874"/>
    </row>
    <row r="6875" spans="1:12" x14ac:dyDescent="0.3">
      <c r="A6875" t="s">
        <v>6881</v>
      </c>
      <c r="B6875" t="s">
        <v>10069</v>
      </c>
      <c r="C6875">
        <v>3</v>
      </c>
      <c r="D6875">
        <v>3</v>
      </c>
      <c r="E6875">
        <v>9</v>
      </c>
      <c r="F6875" t="s">
        <v>10020</v>
      </c>
      <c r="G6875" t="s">
        <v>10069</v>
      </c>
      <c r="H6875" s="6">
        <v>45077</v>
      </c>
      <c r="I6875">
        <f t="shared" si="214"/>
        <v>0</v>
      </c>
      <c r="J6875" t="str">
        <f t="shared" si="215"/>
        <v>Complete</v>
      </c>
      <c r="K6875">
        <f>COUNTIFS(RawData[Item], B6875,RawData[Quantity],C6875,RawData[Price Per Unit],D6875,RawData[Total Spent],E6875,RawData[Payment Method],F6875,RawData[Location],G6875,RawData[Transaction Date],H6875)</f>
        <v>1</v>
      </c>
      <c r="L6875"/>
    </row>
    <row r="6876" spans="1:12" x14ac:dyDescent="0.3">
      <c r="A6876" t="s">
        <v>6882</v>
      </c>
      <c r="B6876" t="s">
        <v>10008</v>
      </c>
      <c r="C6876">
        <v>4</v>
      </c>
      <c r="D6876">
        <v>2</v>
      </c>
      <c r="E6876">
        <v>8</v>
      </c>
      <c r="F6876" t="s">
        <v>10020</v>
      </c>
      <c r="G6876" t="s">
        <v>10069</v>
      </c>
      <c r="H6876" s="6">
        <v>45057</v>
      </c>
      <c r="I6876">
        <f t="shared" si="214"/>
        <v>0</v>
      </c>
      <c r="J6876" t="str">
        <f t="shared" si="215"/>
        <v>Complete</v>
      </c>
      <c r="K6876">
        <f>COUNTIFS(RawData[Item], B6876,RawData[Quantity],C6876,RawData[Price Per Unit],D6876,RawData[Total Spent],E6876,RawData[Payment Method],F6876,RawData[Location],G6876,RawData[Transaction Date],H6876)</f>
        <v>1</v>
      </c>
      <c r="L6876"/>
    </row>
    <row r="6877" spans="1:12" x14ac:dyDescent="0.3">
      <c r="A6877" t="s">
        <v>6883</v>
      </c>
      <c r="B6877" t="s">
        <v>10016</v>
      </c>
      <c r="C6877">
        <v>3</v>
      </c>
      <c r="D6877">
        <v>3</v>
      </c>
      <c r="E6877">
        <v>9</v>
      </c>
      <c r="F6877" t="s">
        <v>10018</v>
      </c>
      <c r="G6877" t="s">
        <v>10021</v>
      </c>
      <c r="H6877" s="6">
        <v>45189</v>
      </c>
      <c r="I6877">
        <f t="shared" si="214"/>
        <v>0</v>
      </c>
      <c r="J6877" t="str">
        <f t="shared" si="215"/>
        <v>Complete</v>
      </c>
      <c r="K6877">
        <f>COUNTIFS(RawData[Item], B6877,RawData[Quantity],C6877,RawData[Price Per Unit],D6877,RawData[Total Spent],E6877,RawData[Payment Method],F6877,RawData[Location],G6877,RawData[Transaction Date],H6877)</f>
        <v>1</v>
      </c>
      <c r="L6877"/>
    </row>
    <row r="6878" spans="1:12" x14ac:dyDescent="0.3">
      <c r="A6878" t="s">
        <v>6884</v>
      </c>
      <c r="B6878" t="s">
        <v>10008</v>
      </c>
      <c r="C6878">
        <v>4</v>
      </c>
      <c r="D6878">
        <v>2</v>
      </c>
      <c r="E6878">
        <v>8</v>
      </c>
      <c r="F6878" t="s">
        <v>10069</v>
      </c>
      <c r="G6878" t="s">
        <v>10021</v>
      </c>
      <c r="H6878" s="6">
        <v>45002</v>
      </c>
      <c r="I6878">
        <f t="shared" si="214"/>
        <v>0</v>
      </c>
      <c r="J6878" t="str">
        <f t="shared" si="215"/>
        <v>Complete</v>
      </c>
      <c r="K6878">
        <f>COUNTIFS(RawData[Item], B6878,RawData[Quantity],C6878,RawData[Price Per Unit],D6878,RawData[Total Spent],E6878,RawData[Payment Method],F6878,RawData[Location],G6878,RawData[Transaction Date],H6878)</f>
        <v>1</v>
      </c>
      <c r="L6878"/>
    </row>
    <row r="6879" spans="1:12" x14ac:dyDescent="0.3">
      <c r="A6879" t="s">
        <v>6885</v>
      </c>
      <c r="B6879" t="s">
        <v>10008</v>
      </c>
      <c r="C6879">
        <v>2</v>
      </c>
      <c r="D6879">
        <v>2</v>
      </c>
      <c r="E6879">
        <v>4</v>
      </c>
      <c r="F6879" t="s">
        <v>10069</v>
      </c>
      <c r="G6879" t="s">
        <v>10069</v>
      </c>
      <c r="H6879" s="6">
        <v>45154</v>
      </c>
      <c r="I6879">
        <f t="shared" si="214"/>
        <v>0</v>
      </c>
      <c r="J6879" t="str">
        <f t="shared" si="215"/>
        <v>Complete</v>
      </c>
      <c r="K6879">
        <f>COUNTIFS(RawData[Item], B6879,RawData[Quantity],C6879,RawData[Price Per Unit],D6879,RawData[Total Spent],E6879,RawData[Payment Method],F6879,RawData[Location],G6879,RawData[Transaction Date],H6879)</f>
        <v>1</v>
      </c>
      <c r="L6879"/>
    </row>
    <row r="6880" spans="1:12" x14ac:dyDescent="0.3">
      <c r="A6880" t="s">
        <v>6886</v>
      </c>
      <c r="B6880" t="s">
        <v>10017</v>
      </c>
      <c r="C6880">
        <v>1</v>
      </c>
      <c r="D6880">
        <v>1.5</v>
      </c>
      <c r="E6880">
        <v>1.5</v>
      </c>
      <c r="F6880" t="s">
        <v>10069</v>
      </c>
      <c r="G6880" t="s">
        <v>10021</v>
      </c>
      <c r="H6880" s="6">
        <v>45165</v>
      </c>
      <c r="I6880">
        <f t="shared" si="214"/>
        <v>0</v>
      </c>
      <c r="J6880" t="str">
        <f t="shared" si="215"/>
        <v>Complete</v>
      </c>
      <c r="K6880">
        <f>COUNTIFS(RawData[Item], B6880,RawData[Quantity],C6880,RawData[Price Per Unit],D6880,RawData[Total Spent],E6880,RawData[Payment Method],F6880,RawData[Location],G6880,RawData[Transaction Date],H6880)</f>
        <v>1</v>
      </c>
      <c r="L6880"/>
    </row>
    <row r="6881" spans="1:12" x14ac:dyDescent="0.3">
      <c r="A6881" t="s">
        <v>6887</v>
      </c>
      <c r="B6881" t="s">
        <v>10017</v>
      </c>
      <c r="C6881">
        <v>2</v>
      </c>
      <c r="D6881">
        <v>1.5</v>
      </c>
      <c r="E6881">
        <v>3</v>
      </c>
      <c r="F6881" t="s">
        <v>10020</v>
      </c>
      <c r="G6881" t="s">
        <v>10102</v>
      </c>
      <c r="H6881" s="6">
        <v>44963</v>
      </c>
      <c r="I6881">
        <f t="shared" si="214"/>
        <v>0</v>
      </c>
      <c r="J6881" t="str">
        <f t="shared" si="215"/>
        <v>Complete</v>
      </c>
      <c r="K6881">
        <f>COUNTIFS(RawData[Item], B6881,RawData[Quantity],C6881,RawData[Price Per Unit],D6881,RawData[Total Spent],E6881,RawData[Payment Method],F6881,RawData[Location],G6881,RawData[Transaction Date],H6881)</f>
        <v>1</v>
      </c>
      <c r="L6881"/>
    </row>
    <row r="6882" spans="1:12" x14ac:dyDescent="0.3">
      <c r="A6882" t="s">
        <v>6888</v>
      </c>
      <c r="B6882" t="s">
        <v>10016</v>
      </c>
      <c r="C6882">
        <v>5</v>
      </c>
      <c r="D6882">
        <v>3</v>
      </c>
      <c r="E6882">
        <v>15</v>
      </c>
      <c r="F6882" t="s">
        <v>10069</v>
      </c>
      <c r="G6882" t="s">
        <v>10021</v>
      </c>
      <c r="H6882" s="6">
        <v>44936</v>
      </c>
      <c r="I6882">
        <f t="shared" si="214"/>
        <v>0</v>
      </c>
      <c r="J6882" t="str">
        <f t="shared" si="215"/>
        <v>Complete</v>
      </c>
      <c r="K6882">
        <f>COUNTIFS(RawData[Item], B6882,RawData[Quantity],C6882,RawData[Price Per Unit],D6882,RawData[Total Spent],E6882,RawData[Payment Method],F6882,RawData[Location],G6882,RawData[Transaction Date],H6882)</f>
        <v>1</v>
      </c>
      <c r="L6882"/>
    </row>
    <row r="6883" spans="1:12" x14ac:dyDescent="0.3">
      <c r="A6883" t="s">
        <v>6889</v>
      </c>
      <c r="B6883" t="s">
        <v>10009</v>
      </c>
      <c r="C6883">
        <v>5</v>
      </c>
      <c r="D6883">
        <v>3</v>
      </c>
      <c r="E6883" t="s">
        <v>10015</v>
      </c>
      <c r="F6883" t="s">
        <v>10019</v>
      </c>
      <c r="G6883" t="s">
        <v>10069</v>
      </c>
      <c r="H6883" s="6">
        <v>44940</v>
      </c>
      <c r="I6883">
        <f t="shared" si="214"/>
        <v>1</v>
      </c>
      <c r="J6883" t="str">
        <f t="shared" si="215"/>
        <v>Complete</v>
      </c>
      <c r="K6883">
        <f>COUNTIFS(RawData[Item], B6883,RawData[Quantity],C6883,RawData[Price Per Unit],D6883,RawData[Total Spent],E6883,RawData[Payment Method],F6883,RawData[Location],G6883,RawData[Transaction Date],H6883)</f>
        <v>1</v>
      </c>
      <c r="L6883"/>
    </row>
    <row r="6884" spans="1:12" x14ac:dyDescent="0.3">
      <c r="A6884" t="s">
        <v>6890</v>
      </c>
      <c r="B6884" t="s">
        <v>10010</v>
      </c>
      <c r="C6884">
        <v>4</v>
      </c>
      <c r="D6884">
        <v>1</v>
      </c>
      <c r="E6884">
        <v>4</v>
      </c>
      <c r="F6884" t="s">
        <v>10018</v>
      </c>
      <c r="G6884" t="s">
        <v>10021</v>
      </c>
      <c r="H6884" s="6">
        <v>44955</v>
      </c>
      <c r="I6884">
        <f t="shared" si="214"/>
        <v>0</v>
      </c>
      <c r="J6884" t="str">
        <f t="shared" si="215"/>
        <v>Complete</v>
      </c>
      <c r="K6884">
        <f>COUNTIFS(RawData[Item], B6884,RawData[Quantity],C6884,RawData[Price Per Unit],D6884,RawData[Total Spent],E6884,RawData[Payment Method],F6884,RawData[Location],G6884,RawData[Transaction Date],H6884)</f>
        <v>1</v>
      </c>
      <c r="L6884"/>
    </row>
    <row r="6885" spans="1:12" x14ac:dyDescent="0.3">
      <c r="A6885" t="s">
        <v>6891</v>
      </c>
      <c r="B6885" t="s">
        <v>10009</v>
      </c>
      <c r="C6885">
        <v>4</v>
      </c>
      <c r="D6885">
        <v>3</v>
      </c>
      <c r="E6885">
        <v>12</v>
      </c>
      <c r="F6885" t="s">
        <v>10069</v>
      </c>
      <c r="G6885" t="s">
        <v>10103</v>
      </c>
      <c r="H6885" s="6">
        <v>45274</v>
      </c>
      <c r="I6885">
        <f t="shared" si="214"/>
        <v>1</v>
      </c>
      <c r="J6885" t="str">
        <f t="shared" si="215"/>
        <v>Complete</v>
      </c>
      <c r="K6885">
        <f>COUNTIFS(RawData[Item], B6885,RawData[Quantity],C6885,RawData[Price Per Unit],D6885,RawData[Total Spent],E6885,RawData[Payment Method],F6885,RawData[Location],G6885,RawData[Transaction Date],H6885)</f>
        <v>1</v>
      </c>
      <c r="L6885"/>
    </row>
    <row r="6886" spans="1:12" x14ac:dyDescent="0.3">
      <c r="A6886" t="s">
        <v>6892</v>
      </c>
      <c r="B6886" t="s">
        <v>10014</v>
      </c>
      <c r="C6886">
        <v>1</v>
      </c>
      <c r="D6886">
        <v>4</v>
      </c>
      <c r="E6886">
        <v>4</v>
      </c>
      <c r="F6886" t="s">
        <v>10019</v>
      </c>
      <c r="G6886" t="s">
        <v>10021</v>
      </c>
      <c r="H6886" s="6">
        <v>45181</v>
      </c>
      <c r="I6886">
        <f t="shared" si="214"/>
        <v>0</v>
      </c>
      <c r="J6886" t="str">
        <f t="shared" si="215"/>
        <v>Complete</v>
      </c>
      <c r="K6886">
        <f>COUNTIFS(RawData[Item], B6886,RawData[Quantity],C6886,RawData[Price Per Unit],D6886,RawData[Total Spent],E6886,RawData[Payment Method],F6886,RawData[Location],G6886,RawData[Transaction Date],H6886)</f>
        <v>1</v>
      </c>
      <c r="L6886"/>
    </row>
    <row r="6887" spans="1:12" x14ac:dyDescent="0.3">
      <c r="A6887" t="s">
        <v>6893</v>
      </c>
      <c r="B6887" t="s">
        <v>10012</v>
      </c>
      <c r="C6887">
        <v>3</v>
      </c>
      <c r="D6887">
        <v>4</v>
      </c>
      <c r="E6887">
        <v>12</v>
      </c>
      <c r="F6887" t="s">
        <v>10069</v>
      </c>
      <c r="G6887" t="s">
        <v>10021</v>
      </c>
      <c r="H6887" s="6">
        <v>45093</v>
      </c>
      <c r="I6887">
        <f t="shared" si="214"/>
        <v>0</v>
      </c>
      <c r="J6887" t="str">
        <f t="shared" si="215"/>
        <v>Complete</v>
      </c>
      <c r="K6887">
        <f>COUNTIFS(RawData[Item], B6887,RawData[Quantity],C6887,RawData[Price Per Unit],D6887,RawData[Total Spent],E6887,RawData[Payment Method],F6887,RawData[Location],G6887,RawData[Transaction Date],H6887)</f>
        <v>1</v>
      </c>
      <c r="L6887"/>
    </row>
    <row r="6888" spans="1:12" x14ac:dyDescent="0.3">
      <c r="A6888" t="s">
        <v>6894</v>
      </c>
      <c r="B6888" t="s">
        <v>10011</v>
      </c>
      <c r="C6888">
        <v>1</v>
      </c>
      <c r="D6888">
        <v>5</v>
      </c>
      <c r="E6888">
        <v>5</v>
      </c>
      <c r="F6888" t="s">
        <v>10018</v>
      </c>
      <c r="G6888" t="s">
        <v>10021</v>
      </c>
      <c r="H6888" s="6">
        <v>45047</v>
      </c>
      <c r="I6888">
        <f t="shared" si="214"/>
        <v>0</v>
      </c>
      <c r="J6888" t="str">
        <f t="shared" si="215"/>
        <v>Complete</v>
      </c>
      <c r="K6888">
        <f>COUNTIFS(RawData[Item], B6888,RawData[Quantity],C6888,RawData[Price Per Unit],D6888,RawData[Total Spent],E6888,RawData[Payment Method],F6888,RawData[Location],G6888,RawData[Transaction Date],H6888)</f>
        <v>1</v>
      </c>
      <c r="L6888"/>
    </row>
    <row r="6889" spans="1:12" x14ac:dyDescent="0.3">
      <c r="A6889" t="s">
        <v>6895</v>
      </c>
      <c r="B6889" t="s">
        <v>10011</v>
      </c>
      <c r="C6889">
        <v>4</v>
      </c>
      <c r="D6889">
        <v>5</v>
      </c>
      <c r="E6889">
        <v>20</v>
      </c>
      <c r="F6889" t="s">
        <v>10020</v>
      </c>
      <c r="G6889" t="s">
        <v>10102</v>
      </c>
      <c r="H6889" s="6">
        <v>45182</v>
      </c>
      <c r="I6889">
        <f t="shared" si="214"/>
        <v>0</v>
      </c>
      <c r="J6889" t="str">
        <f t="shared" si="215"/>
        <v>Complete</v>
      </c>
      <c r="K6889">
        <f>COUNTIFS(RawData[Item], B6889,RawData[Quantity],C6889,RawData[Price Per Unit],D6889,RawData[Total Spent],E6889,RawData[Payment Method],F6889,RawData[Location],G6889,RawData[Transaction Date],H6889)</f>
        <v>1</v>
      </c>
      <c r="L6889"/>
    </row>
    <row r="6890" spans="1:12" x14ac:dyDescent="0.3">
      <c r="A6890" t="s">
        <v>6896</v>
      </c>
      <c r="B6890" t="s">
        <v>10014</v>
      </c>
      <c r="C6890">
        <v>2</v>
      </c>
      <c r="D6890">
        <v>4</v>
      </c>
      <c r="E6890">
        <v>8</v>
      </c>
      <c r="F6890" t="s">
        <v>10069</v>
      </c>
      <c r="G6890" t="s">
        <v>10102</v>
      </c>
      <c r="H6890" s="6">
        <v>45056</v>
      </c>
      <c r="I6890">
        <f t="shared" si="214"/>
        <v>0</v>
      </c>
      <c r="J6890" t="str">
        <f t="shared" si="215"/>
        <v>Complete</v>
      </c>
      <c r="K6890">
        <f>COUNTIFS(RawData[Item], B6890,RawData[Quantity],C6890,RawData[Price Per Unit],D6890,RawData[Total Spent],E6890,RawData[Payment Method],F6890,RawData[Location],G6890,RawData[Transaction Date],H6890)</f>
        <v>1</v>
      </c>
      <c r="L6890"/>
    </row>
    <row r="6891" spans="1:12" x14ac:dyDescent="0.3">
      <c r="A6891" t="s">
        <v>6897</v>
      </c>
      <c r="B6891" t="s">
        <v>10016</v>
      </c>
      <c r="C6891">
        <v>4</v>
      </c>
      <c r="D6891">
        <v>3</v>
      </c>
      <c r="E6891">
        <v>12</v>
      </c>
      <c r="F6891" t="s">
        <v>10018</v>
      </c>
      <c r="G6891" t="s">
        <v>10069</v>
      </c>
      <c r="H6891" s="6">
        <v>45154</v>
      </c>
      <c r="I6891">
        <f t="shared" si="214"/>
        <v>0</v>
      </c>
      <c r="J6891" t="str">
        <f t="shared" si="215"/>
        <v>Complete</v>
      </c>
      <c r="K6891">
        <f>COUNTIFS(RawData[Item], B6891,RawData[Quantity],C6891,RawData[Price Per Unit],D6891,RawData[Total Spent],E6891,RawData[Payment Method],F6891,RawData[Location],G6891,RawData[Transaction Date],H6891)</f>
        <v>1</v>
      </c>
      <c r="L6891"/>
    </row>
    <row r="6892" spans="1:12" x14ac:dyDescent="0.3">
      <c r="A6892" t="s">
        <v>6898</v>
      </c>
      <c r="B6892" t="s">
        <v>10009</v>
      </c>
      <c r="C6892">
        <v>5</v>
      </c>
      <c r="D6892">
        <v>3</v>
      </c>
      <c r="E6892">
        <v>15</v>
      </c>
      <c r="F6892" t="s">
        <v>10018</v>
      </c>
      <c r="G6892" t="s">
        <v>10021</v>
      </c>
      <c r="H6892" s="6">
        <v>45148</v>
      </c>
      <c r="I6892">
        <f t="shared" si="214"/>
        <v>0</v>
      </c>
      <c r="J6892" t="str">
        <f t="shared" si="215"/>
        <v>Complete</v>
      </c>
      <c r="K6892">
        <f>COUNTIFS(RawData[Item], B6892,RawData[Quantity],C6892,RawData[Price Per Unit],D6892,RawData[Total Spent],E6892,RawData[Payment Method],F6892,RawData[Location],G6892,RawData[Transaction Date],H6892)</f>
        <v>1</v>
      </c>
      <c r="L6892"/>
    </row>
    <row r="6893" spans="1:12" x14ac:dyDescent="0.3">
      <c r="A6893" t="s">
        <v>6899</v>
      </c>
      <c r="B6893" t="s">
        <v>10010</v>
      </c>
      <c r="C6893">
        <v>4</v>
      </c>
      <c r="D6893">
        <v>1</v>
      </c>
      <c r="E6893">
        <v>0</v>
      </c>
      <c r="F6893" t="s">
        <v>10104</v>
      </c>
      <c r="G6893" t="s">
        <v>10069</v>
      </c>
      <c r="H6893" s="6">
        <v>45134</v>
      </c>
      <c r="I6893">
        <f t="shared" si="214"/>
        <v>1</v>
      </c>
      <c r="J6893" t="str">
        <f t="shared" si="215"/>
        <v>Complete</v>
      </c>
      <c r="K6893">
        <f>COUNTIFS(RawData[Item], B6893,RawData[Quantity],C6893,RawData[Price Per Unit],D6893,RawData[Total Spent],E6893,RawData[Payment Method],F6893,RawData[Location],G6893,RawData[Transaction Date],H6893)</f>
        <v>1</v>
      </c>
      <c r="L6893"/>
    </row>
    <row r="6894" spans="1:12" x14ac:dyDescent="0.3">
      <c r="A6894" t="s">
        <v>6900</v>
      </c>
      <c r="B6894" t="s">
        <v>10012</v>
      </c>
      <c r="C6894">
        <v>1</v>
      </c>
      <c r="D6894">
        <v>4</v>
      </c>
      <c r="E6894" t="s">
        <v>10015</v>
      </c>
      <c r="F6894" t="s">
        <v>10069</v>
      </c>
      <c r="G6894" t="s">
        <v>10021</v>
      </c>
      <c r="H6894" s="6">
        <v>44979</v>
      </c>
      <c r="I6894">
        <f t="shared" si="214"/>
        <v>1</v>
      </c>
      <c r="J6894" t="str">
        <f t="shared" si="215"/>
        <v>Complete</v>
      </c>
      <c r="K6894">
        <f>COUNTIFS(RawData[Item], B6894,RawData[Quantity],C6894,RawData[Price Per Unit],D6894,RawData[Total Spent],E6894,RawData[Payment Method],F6894,RawData[Location],G6894,RawData[Transaction Date],H6894)</f>
        <v>1</v>
      </c>
      <c r="L6894"/>
    </row>
    <row r="6895" spans="1:12" x14ac:dyDescent="0.3">
      <c r="A6895" t="s">
        <v>6901</v>
      </c>
      <c r="B6895" t="s">
        <v>10009</v>
      </c>
      <c r="C6895">
        <v>4</v>
      </c>
      <c r="D6895">
        <v>3</v>
      </c>
      <c r="E6895">
        <v>12</v>
      </c>
      <c r="F6895" t="s">
        <v>10018</v>
      </c>
      <c r="G6895" t="s">
        <v>10069</v>
      </c>
      <c r="H6895" s="6">
        <v>45145</v>
      </c>
      <c r="I6895">
        <f t="shared" si="214"/>
        <v>0</v>
      </c>
      <c r="J6895" t="str">
        <f t="shared" si="215"/>
        <v>Complete</v>
      </c>
      <c r="K6895">
        <f>COUNTIFS(RawData[Item], B6895,RawData[Quantity],C6895,RawData[Price Per Unit],D6895,RawData[Total Spent],E6895,RawData[Payment Method],F6895,RawData[Location],G6895,RawData[Transaction Date],H6895)</f>
        <v>1</v>
      </c>
      <c r="L6895"/>
    </row>
    <row r="6896" spans="1:12" x14ac:dyDescent="0.3">
      <c r="A6896" t="s">
        <v>6902</v>
      </c>
      <c r="B6896" t="s">
        <v>10014</v>
      </c>
      <c r="C6896">
        <v>3</v>
      </c>
      <c r="D6896">
        <v>4</v>
      </c>
      <c r="E6896">
        <v>12</v>
      </c>
      <c r="F6896" t="s">
        <v>10020</v>
      </c>
      <c r="G6896" t="s">
        <v>10102</v>
      </c>
      <c r="H6896" s="6">
        <v>44999</v>
      </c>
      <c r="I6896">
        <f t="shared" si="214"/>
        <v>0</v>
      </c>
      <c r="J6896" t="str">
        <f t="shared" si="215"/>
        <v>Complete</v>
      </c>
      <c r="K6896">
        <f>COUNTIFS(RawData[Item], B6896,RawData[Quantity],C6896,RawData[Price Per Unit],D6896,RawData[Total Spent],E6896,RawData[Payment Method],F6896,RawData[Location],G6896,RawData[Transaction Date],H6896)</f>
        <v>1</v>
      </c>
      <c r="L6896"/>
    </row>
    <row r="6897" spans="1:12" x14ac:dyDescent="0.3">
      <c r="A6897" t="s">
        <v>6903</v>
      </c>
      <c r="B6897" t="s">
        <v>10008</v>
      </c>
      <c r="C6897">
        <v>1</v>
      </c>
      <c r="D6897">
        <v>2</v>
      </c>
      <c r="E6897">
        <v>2</v>
      </c>
      <c r="F6897" t="s">
        <v>10018</v>
      </c>
      <c r="G6897" t="s">
        <v>10021</v>
      </c>
      <c r="H6897" s="6">
        <v>45031</v>
      </c>
      <c r="I6897">
        <f t="shared" si="214"/>
        <v>0</v>
      </c>
      <c r="J6897" t="str">
        <f t="shared" si="215"/>
        <v>Complete</v>
      </c>
      <c r="K6897">
        <f>COUNTIFS(RawData[Item], B6897,RawData[Quantity],C6897,RawData[Price Per Unit],D6897,RawData[Total Spent],E6897,RawData[Payment Method],F6897,RawData[Location],G6897,RawData[Transaction Date],H6897)</f>
        <v>2</v>
      </c>
      <c r="L6897"/>
    </row>
    <row r="6898" spans="1:12" x14ac:dyDescent="0.3">
      <c r="A6898" t="s">
        <v>6904</v>
      </c>
      <c r="B6898" t="s">
        <v>10016</v>
      </c>
      <c r="C6898">
        <v>2</v>
      </c>
      <c r="D6898">
        <v>3</v>
      </c>
      <c r="E6898">
        <v>6</v>
      </c>
      <c r="F6898" t="s">
        <v>10019</v>
      </c>
      <c r="G6898" t="s">
        <v>10102</v>
      </c>
      <c r="H6898" s="6">
        <v>44934</v>
      </c>
      <c r="I6898">
        <f t="shared" si="214"/>
        <v>0</v>
      </c>
      <c r="J6898" t="str">
        <f t="shared" si="215"/>
        <v>Complete</v>
      </c>
      <c r="K6898">
        <f>COUNTIFS(RawData[Item], B6898,RawData[Quantity],C6898,RawData[Price Per Unit],D6898,RawData[Total Spent],E6898,RawData[Payment Method],F6898,RawData[Location],G6898,RawData[Transaction Date],H6898)</f>
        <v>1</v>
      </c>
      <c r="L6898"/>
    </row>
    <row r="6899" spans="1:12" x14ac:dyDescent="0.3">
      <c r="A6899" t="s">
        <v>6905</v>
      </c>
      <c r="B6899" t="s">
        <v>10016</v>
      </c>
      <c r="C6899">
        <v>4</v>
      </c>
      <c r="D6899">
        <v>3</v>
      </c>
      <c r="E6899">
        <v>12</v>
      </c>
      <c r="F6899" t="s">
        <v>10019</v>
      </c>
      <c r="G6899" t="s">
        <v>10021</v>
      </c>
      <c r="H6899" s="6">
        <v>45131</v>
      </c>
      <c r="I6899">
        <f t="shared" si="214"/>
        <v>0</v>
      </c>
      <c r="J6899" t="str">
        <f t="shared" si="215"/>
        <v>Complete</v>
      </c>
      <c r="K6899">
        <f>COUNTIFS(RawData[Item], B6899,RawData[Quantity],C6899,RawData[Price Per Unit],D6899,RawData[Total Spent],E6899,RawData[Payment Method],F6899,RawData[Location],G6899,RawData[Transaction Date],H6899)</f>
        <v>1</v>
      </c>
      <c r="L6899"/>
    </row>
    <row r="6900" spans="1:12" x14ac:dyDescent="0.3">
      <c r="A6900" t="s">
        <v>6906</v>
      </c>
      <c r="B6900" t="s">
        <v>10014</v>
      </c>
      <c r="C6900">
        <v>4</v>
      </c>
      <c r="D6900">
        <v>4</v>
      </c>
      <c r="E6900">
        <v>16</v>
      </c>
      <c r="F6900" t="s">
        <v>10018</v>
      </c>
      <c r="G6900" t="s">
        <v>10021</v>
      </c>
      <c r="H6900" s="6">
        <v>44953</v>
      </c>
      <c r="I6900">
        <f t="shared" si="214"/>
        <v>0</v>
      </c>
      <c r="J6900" t="str">
        <f t="shared" si="215"/>
        <v>Complete</v>
      </c>
      <c r="K6900">
        <f>COUNTIFS(RawData[Item], B6900,RawData[Quantity],C6900,RawData[Price Per Unit],D6900,RawData[Total Spent],E6900,RawData[Payment Method],F6900,RawData[Location],G6900,RawData[Transaction Date],H6900)</f>
        <v>1</v>
      </c>
      <c r="L6900"/>
    </row>
    <row r="6901" spans="1:12" x14ac:dyDescent="0.3">
      <c r="A6901" t="s">
        <v>6907</v>
      </c>
      <c r="B6901" t="s">
        <v>10069</v>
      </c>
      <c r="C6901">
        <v>4</v>
      </c>
      <c r="D6901">
        <v>4</v>
      </c>
      <c r="E6901">
        <v>16</v>
      </c>
      <c r="F6901" t="s">
        <v>10019</v>
      </c>
      <c r="G6901" t="s">
        <v>10069</v>
      </c>
      <c r="H6901" s="6">
        <v>45274</v>
      </c>
      <c r="I6901">
        <f t="shared" si="214"/>
        <v>0</v>
      </c>
      <c r="J6901" t="str">
        <f t="shared" si="215"/>
        <v>Complete</v>
      </c>
      <c r="K6901">
        <f>COUNTIFS(RawData[Item], B6901,RawData[Quantity],C6901,RawData[Price Per Unit],D6901,RawData[Total Spent],E6901,RawData[Payment Method],F6901,RawData[Location],G6901,RawData[Transaction Date],H6901)</f>
        <v>1</v>
      </c>
      <c r="L6901"/>
    </row>
    <row r="6902" spans="1:12" x14ac:dyDescent="0.3">
      <c r="A6902" t="s">
        <v>6908</v>
      </c>
      <c r="B6902" t="s">
        <v>10008</v>
      </c>
      <c r="C6902">
        <v>3</v>
      </c>
      <c r="D6902">
        <v>2</v>
      </c>
      <c r="E6902">
        <v>6</v>
      </c>
      <c r="F6902" t="s">
        <v>10069</v>
      </c>
      <c r="G6902" t="s">
        <v>10102</v>
      </c>
      <c r="H6902" s="6">
        <v>45095</v>
      </c>
      <c r="I6902">
        <f t="shared" si="214"/>
        <v>0</v>
      </c>
      <c r="J6902" t="str">
        <f t="shared" si="215"/>
        <v>Complete</v>
      </c>
      <c r="K6902">
        <f>COUNTIFS(RawData[Item], B6902,RawData[Quantity],C6902,RawData[Price Per Unit],D6902,RawData[Total Spent],E6902,RawData[Payment Method],F6902,RawData[Location],G6902,RawData[Transaction Date],H6902)</f>
        <v>1</v>
      </c>
      <c r="L6902"/>
    </row>
    <row r="6903" spans="1:12" x14ac:dyDescent="0.3">
      <c r="A6903" t="s">
        <v>6909</v>
      </c>
      <c r="B6903" t="s">
        <v>10009</v>
      </c>
      <c r="C6903">
        <v>2</v>
      </c>
      <c r="D6903">
        <v>3</v>
      </c>
      <c r="E6903">
        <v>6</v>
      </c>
      <c r="F6903" t="s">
        <v>10103</v>
      </c>
      <c r="G6903" t="s">
        <v>10102</v>
      </c>
      <c r="H6903" s="6">
        <v>45178</v>
      </c>
      <c r="I6903">
        <f t="shared" si="214"/>
        <v>1</v>
      </c>
      <c r="J6903" t="str">
        <f t="shared" si="215"/>
        <v>Complete</v>
      </c>
      <c r="K6903">
        <f>COUNTIFS(RawData[Item], B6903,RawData[Quantity],C6903,RawData[Price Per Unit],D6903,RawData[Total Spent],E6903,RawData[Payment Method],F6903,RawData[Location],G6903,RawData[Transaction Date],H6903)</f>
        <v>1</v>
      </c>
      <c r="L6903"/>
    </row>
    <row r="6904" spans="1:12" x14ac:dyDescent="0.3">
      <c r="A6904" t="s">
        <v>6910</v>
      </c>
      <c r="B6904" t="s">
        <v>10008</v>
      </c>
      <c r="C6904">
        <v>3</v>
      </c>
      <c r="D6904">
        <v>2</v>
      </c>
      <c r="E6904">
        <v>6</v>
      </c>
      <c r="F6904" t="s">
        <v>10103</v>
      </c>
      <c r="G6904" t="s">
        <v>10069</v>
      </c>
      <c r="H6904" s="6">
        <v>45217</v>
      </c>
      <c r="I6904">
        <f t="shared" si="214"/>
        <v>1</v>
      </c>
      <c r="J6904" t="str">
        <f t="shared" si="215"/>
        <v>Complete</v>
      </c>
      <c r="K6904">
        <f>COUNTIFS(RawData[Item], B6904,RawData[Quantity],C6904,RawData[Price Per Unit],D6904,RawData[Total Spent],E6904,RawData[Payment Method],F6904,RawData[Location],G6904,RawData[Transaction Date],H6904)</f>
        <v>1</v>
      </c>
      <c r="L6904"/>
    </row>
    <row r="6905" spans="1:12" x14ac:dyDescent="0.3">
      <c r="A6905" t="s">
        <v>6911</v>
      </c>
      <c r="B6905" t="s">
        <v>10008</v>
      </c>
      <c r="C6905">
        <v>3</v>
      </c>
      <c r="D6905">
        <v>2</v>
      </c>
      <c r="E6905">
        <v>6</v>
      </c>
      <c r="F6905" t="s">
        <v>10069</v>
      </c>
      <c r="G6905" t="s">
        <v>10069</v>
      </c>
      <c r="H6905" s="6">
        <v>45151</v>
      </c>
      <c r="I6905">
        <f t="shared" si="214"/>
        <v>0</v>
      </c>
      <c r="J6905" t="str">
        <f t="shared" si="215"/>
        <v>Complete</v>
      </c>
      <c r="K6905">
        <f>COUNTIFS(RawData[Item], B6905,RawData[Quantity],C6905,RawData[Price Per Unit],D6905,RawData[Total Spent],E6905,RawData[Payment Method],F6905,RawData[Location],G6905,RawData[Transaction Date],H6905)</f>
        <v>1</v>
      </c>
      <c r="L6905"/>
    </row>
    <row r="6906" spans="1:12" x14ac:dyDescent="0.3">
      <c r="A6906" t="s">
        <v>6912</v>
      </c>
      <c r="B6906" t="s">
        <v>10009</v>
      </c>
      <c r="C6906">
        <v>2</v>
      </c>
      <c r="D6906">
        <v>3</v>
      </c>
      <c r="E6906">
        <v>6</v>
      </c>
      <c r="F6906" t="s">
        <v>10018</v>
      </c>
      <c r="G6906" t="s">
        <v>10021</v>
      </c>
      <c r="H6906" s="6">
        <v>45286</v>
      </c>
      <c r="I6906">
        <f t="shared" si="214"/>
        <v>0</v>
      </c>
      <c r="J6906" t="str">
        <f t="shared" si="215"/>
        <v>Complete</v>
      </c>
      <c r="K6906">
        <f>COUNTIFS(RawData[Item], B6906,RawData[Quantity],C6906,RawData[Price Per Unit],D6906,RawData[Total Spent],E6906,RawData[Payment Method],F6906,RawData[Location],G6906,RawData[Transaction Date],H6906)</f>
        <v>1</v>
      </c>
      <c r="L6906"/>
    </row>
    <row r="6907" spans="1:12" x14ac:dyDescent="0.3">
      <c r="A6907" t="s">
        <v>6913</v>
      </c>
      <c r="B6907" t="s">
        <v>10017</v>
      </c>
      <c r="C6907">
        <v>2</v>
      </c>
      <c r="D6907">
        <v>1.5</v>
      </c>
      <c r="E6907">
        <v>3</v>
      </c>
      <c r="F6907" t="s">
        <v>10069</v>
      </c>
      <c r="G6907" t="s">
        <v>10021</v>
      </c>
      <c r="H6907" s="6">
        <v>45264</v>
      </c>
      <c r="I6907">
        <f t="shared" si="214"/>
        <v>0</v>
      </c>
      <c r="J6907" t="str">
        <f t="shared" si="215"/>
        <v>Complete</v>
      </c>
      <c r="K6907">
        <f>COUNTIFS(RawData[Item], B6907,RawData[Quantity],C6907,RawData[Price Per Unit],D6907,RawData[Total Spent],E6907,RawData[Payment Method],F6907,RawData[Location],G6907,RawData[Transaction Date],H6907)</f>
        <v>1</v>
      </c>
      <c r="L6907"/>
    </row>
    <row r="6908" spans="1:12" x14ac:dyDescent="0.3">
      <c r="A6908" t="s">
        <v>6914</v>
      </c>
      <c r="B6908" t="s">
        <v>10014</v>
      </c>
      <c r="C6908">
        <v>2</v>
      </c>
      <c r="D6908">
        <v>4</v>
      </c>
      <c r="E6908">
        <v>8</v>
      </c>
      <c r="F6908" t="s">
        <v>10018</v>
      </c>
      <c r="G6908" t="s">
        <v>10102</v>
      </c>
      <c r="H6908" s="6">
        <v>45042</v>
      </c>
      <c r="I6908">
        <f t="shared" si="214"/>
        <v>0</v>
      </c>
      <c r="J6908" t="str">
        <f t="shared" si="215"/>
        <v>Complete</v>
      </c>
      <c r="K6908">
        <f>COUNTIFS(RawData[Item], B6908,RawData[Quantity],C6908,RawData[Price Per Unit],D6908,RawData[Total Spent],E6908,RawData[Payment Method],F6908,RawData[Location],G6908,RawData[Transaction Date],H6908)</f>
        <v>1</v>
      </c>
      <c r="L6908"/>
    </row>
    <row r="6909" spans="1:12" x14ac:dyDescent="0.3">
      <c r="A6909" t="s">
        <v>6915</v>
      </c>
      <c r="B6909" t="s">
        <v>10013</v>
      </c>
      <c r="C6909">
        <v>1</v>
      </c>
      <c r="D6909">
        <v>5</v>
      </c>
      <c r="E6909">
        <v>5</v>
      </c>
      <c r="F6909" t="s">
        <v>10069</v>
      </c>
      <c r="G6909" t="s">
        <v>10069</v>
      </c>
      <c r="H6909" s="6" t="s">
        <v>10112</v>
      </c>
      <c r="I6909">
        <f t="shared" si="214"/>
        <v>2</v>
      </c>
      <c r="J6909" t="str">
        <f t="shared" si="215"/>
        <v>Incomplete</v>
      </c>
      <c r="K6909">
        <f>COUNTIFS(RawData[Item], B6909,RawData[Quantity],C6909,RawData[Price Per Unit],D6909,RawData[Total Spent],E6909,RawData[Payment Method],F6909,RawData[Location],G6909,RawData[Transaction Date],H6909)</f>
        <v>1</v>
      </c>
      <c r="L6909"/>
    </row>
    <row r="6910" spans="1:12" x14ac:dyDescent="0.3">
      <c r="A6910" t="s">
        <v>6916</v>
      </c>
      <c r="B6910" t="s">
        <v>10016</v>
      </c>
      <c r="C6910">
        <v>5</v>
      </c>
      <c r="D6910">
        <v>3</v>
      </c>
      <c r="E6910">
        <v>15</v>
      </c>
      <c r="F6910" t="s">
        <v>10020</v>
      </c>
      <c r="G6910" t="s">
        <v>10069</v>
      </c>
      <c r="H6910" s="6">
        <v>44947</v>
      </c>
      <c r="I6910">
        <f t="shared" si="214"/>
        <v>0</v>
      </c>
      <c r="J6910" t="str">
        <f t="shared" si="215"/>
        <v>Complete</v>
      </c>
      <c r="K6910">
        <f>COUNTIFS(RawData[Item], B6910,RawData[Quantity],C6910,RawData[Price Per Unit],D6910,RawData[Total Spent],E6910,RawData[Payment Method],F6910,RawData[Location],G6910,RawData[Transaction Date],H6910)</f>
        <v>1</v>
      </c>
      <c r="L6910"/>
    </row>
    <row r="6911" spans="1:12" x14ac:dyDescent="0.3">
      <c r="A6911" t="s">
        <v>6917</v>
      </c>
      <c r="B6911" t="s">
        <v>10014</v>
      </c>
      <c r="C6911">
        <v>1</v>
      </c>
      <c r="D6911">
        <v>4</v>
      </c>
      <c r="E6911">
        <v>4</v>
      </c>
      <c r="F6911" t="s">
        <v>10020</v>
      </c>
      <c r="G6911" t="s">
        <v>10021</v>
      </c>
      <c r="H6911" s="6">
        <v>44944</v>
      </c>
      <c r="I6911">
        <f t="shared" si="214"/>
        <v>0</v>
      </c>
      <c r="J6911" t="str">
        <f t="shared" si="215"/>
        <v>Complete</v>
      </c>
      <c r="K6911">
        <f>COUNTIFS(RawData[Item], B6911,RawData[Quantity],C6911,RawData[Price Per Unit],D6911,RawData[Total Spent],E6911,RawData[Payment Method],F6911,RawData[Location],G6911,RawData[Transaction Date],H6911)</f>
        <v>1</v>
      </c>
      <c r="L6911"/>
    </row>
    <row r="6912" spans="1:12" x14ac:dyDescent="0.3">
      <c r="A6912" t="s">
        <v>6918</v>
      </c>
      <c r="B6912" t="s">
        <v>10069</v>
      </c>
      <c r="C6912">
        <v>1</v>
      </c>
      <c r="D6912">
        <v>3</v>
      </c>
      <c r="E6912">
        <v>3</v>
      </c>
      <c r="F6912" t="s">
        <v>10018</v>
      </c>
      <c r="G6912" t="s">
        <v>10069</v>
      </c>
      <c r="H6912" s="6">
        <v>45080</v>
      </c>
      <c r="I6912">
        <f t="shared" si="214"/>
        <v>0</v>
      </c>
      <c r="J6912" t="str">
        <f t="shared" si="215"/>
        <v>Complete</v>
      </c>
      <c r="K6912">
        <f>COUNTIFS(RawData[Item], B6912,RawData[Quantity],C6912,RawData[Price Per Unit],D6912,RawData[Total Spent],E6912,RawData[Payment Method],F6912,RawData[Location],G6912,RawData[Transaction Date],H6912)</f>
        <v>1</v>
      </c>
      <c r="L6912"/>
    </row>
    <row r="6913" spans="1:12" x14ac:dyDescent="0.3">
      <c r="A6913" t="s">
        <v>6919</v>
      </c>
      <c r="B6913" t="s">
        <v>10009</v>
      </c>
      <c r="C6913">
        <v>1</v>
      </c>
      <c r="D6913">
        <v>3</v>
      </c>
      <c r="E6913">
        <v>3</v>
      </c>
      <c r="F6913" t="s">
        <v>10018</v>
      </c>
      <c r="G6913" t="s">
        <v>10069</v>
      </c>
      <c r="H6913" s="6">
        <v>45257</v>
      </c>
      <c r="I6913">
        <f t="shared" si="214"/>
        <v>0</v>
      </c>
      <c r="J6913" t="str">
        <f t="shared" si="215"/>
        <v>Complete</v>
      </c>
      <c r="K6913">
        <f>COUNTIFS(RawData[Item], B6913,RawData[Quantity],C6913,RawData[Price Per Unit],D6913,RawData[Total Spent],E6913,RawData[Payment Method],F6913,RawData[Location],G6913,RawData[Transaction Date],H6913)</f>
        <v>1</v>
      </c>
      <c r="L6913"/>
    </row>
    <row r="6914" spans="1:12" x14ac:dyDescent="0.3">
      <c r="A6914" t="s">
        <v>6920</v>
      </c>
      <c r="B6914" t="s">
        <v>10010</v>
      </c>
      <c r="C6914">
        <v>5</v>
      </c>
      <c r="D6914">
        <v>1</v>
      </c>
      <c r="E6914">
        <v>5</v>
      </c>
      <c r="F6914" t="s">
        <v>10069</v>
      </c>
      <c r="G6914" t="s">
        <v>10102</v>
      </c>
      <c r="H6914" s="6">
        <v>44987</v>
      </c>
      <c r="I6914">
        <f t="shared" ref="I6914:I6977" si="216">(B6914="Unknown")+(B6914="Error")+(C6914="Unknown")+(C6914="Error")+(D6914="Unknown")+(D6914="Error")+(E6914="Unknown")+(E6914="Error")+(F6914="Unknown")+(F6914="Error")+(G6914="Unknown")+(G6914="Error")+(H6914="No Date")</f>
        <v>0</v>
      </c>
      <c r="J6914" t="str">
        <f t="shared" ref="J6914:J6977" si="217">IF((H6914="No Date"),"Incomplete","Complete")</f>
        <v>Complete</v>
      </c>
      <c r="K6914">
        <f>COUNTIFS(RawData[Item], B6914,RawData[Quantity],C6914,RawData[Price Per Unit],D6914,RawData[Total Spent],E6914,RawData[Payment Method],F6914,RawData[Location],G6914,RawData[Transaction Date],H6914)</f>
        <v>1</v>
      </c>
      <c r="L6914"/>
    </row>
    <row r="6915" spans="1:12" x14ac:dyDescent="0.3">
      <c r="A6915" t="s">
        <v>6921</v>
      </c>
      <c r="B6915" t="s">
        <v>10008</v>
      </c>
      <c r="C6915">
        <v>5</v>
      </c>
      <c r="D6915">
        <v>2</v>
      </c>
      <c r="E6915">
        <v>10</v>
      </c>
      <c r="F6915" t="s">
        <v>10018</v>
      </c>
      <c r="G6915" t="s">
        <v>10104</v>
      </c>
      <c r="H6915" s="6">
        <v>45020</v>
      </c>
      <c r="I6915">
        <f t="shared" si="216"/>
        <v>1</v>
      </c>
      <c r="J6915" t="str">
        <f t="shared" si="217"/>
        <v>Complete</v>
      </c>
      <c r="K6915">
        <f>COUNTIFS(RawData[Item], B6915,RawData[Quantity],C6915,RawData[Price Per Unit],D6915,RawData[Total Spent],E6915,RawData[Payment Method],F6915,RawData[Location],G6915,RawData[Transaction Date],H6915)</f>
        <v>1</v>
      </c>
      <c r="L6915"/>
    </row>
    <row r="6916" spans="1:12" x14ac:dyDescent="0.3">
      <c r="A6916" t="s">
        <v>6922</v>
      </c>
      <c r="B6916" t="s">
        <v>10014</v>
      </c>
      <c r="C6916">
        <v>2</v>
      </c>
      <c r="D6916">
        <v>4</v>
      </c>
      <c r="E6916">
        <v>8</v>
      </c>
      <c r="F6916" t="s">
        <v>10069</v>
      </c>
      <c r="G6916" t="s">
        <v>10102</v>
      </c>
      <c r="H6916" s="6">
        <v>45013</v>
      </c>
      <c r="I6916">
        <f t="shared" si="216"/>
        <v>0</v>
      </c>
      <c r="J6916" t="str">
        <f t="shared" si="217"/>
        <v>Complete</v>
      </c>
      <c r="K6916">
        <f>COUNTIFS(RawData[Item], B6916,RawData[Quantity],C6916,RawData[Price Per Unit],D6916,RawData[Total Spent],E6916,RawData[Payment Method],F6916,RawData[Location],G6916,RawData[Transaction Date],H6916)</f>
        <v>1</v>
      </c>
      <c r="L6916"/>
    </row>
    <row r="6917" spans="1:12" x14ac:dyDescent="0.3">
      <c r="A6917" t="s">
        <v>6923</v>
      </c>
      <c r="B6917" t="s">
        <v>10012</v>
      </c>
      <c r="C6917">
        <v>3</v>
      </c>
      <c r="D6917">
        <v>4</v>
      </c>
      <c r="E6917">
        <v>12</v>
      </c>
      <c r="F6917" t="s">
        <v>10069</v>
      </c>
      <c r="G6917" t="s">
        <v>10021</v>
      </c>
      <c r="H6917" s="6">
        <v>45247</v>
      </c>
      <c r="I6917">
        <f t="shared" si="216"/>
        <v>0</v>
      </c>
      <c r="J6917" t="str">
        <f t="shared" si="217"/>
        <v>Complete</v>
      </c>
      <c r="K6917">
        <f>COUNTIFS(RawData[Item], B6917,RawData[Quantity],C6917,RawData[Price Per Unit],D6917,RawData[Total Spent],E6917,RawData[Payment Method],F6917,RawData[Location],G6917,RawData[Transaction Date],H6917)</f>
        <v>1</v>
      </c>
      <c r="L6917"/>
    </row>
    <row r="6918" spans="1:12" x14ac:dyDescent="0.3">
      <c r="A6918" t="s">
        <v>6924</v>
      </c>
      <c r="B6918" t="s">
        <v>10010</v>
      </c>
      <c r="C6918">
        <v>2</v>
      </c>
      <c r="D6918">
        <v>1</v>
      </c>
      <c r="E6918">
        <v>2</v>
      </c>
      <c r="F6918" t="s">
        <v>10069</v>
      </c>
      <c r="G6918" t="s">
        <v>10021</v>
      </c>
      <c r="H6918" s="6">
        <v>45122</v>
      </c>
      <c r="I6918">
        <f t="shared" si="216"/>
        <v>0</v>
      </c>
      <c r="J6918" t="str">
        <f t="shared" si="217"/>
        <v>Complete</v>
      </c>
      <c r="K6918">
        <f>COUNTIFS(RawData[Item], B6918,RawData[Quantity],C6918,RawData[Price Per Unit],D6918,RawData[Total Spent],E6918,RawData[Payment Method],F6918,RawData[Location],G6918,RawData[Transaction Date],H6918)</f>
        <v>1</v>
      </c>
      <c r="L6918"/>
    </row>
    <row r="6919" spans="1:12" x14ac:dyDescent="0.3">
      <c r="A6919" t="s">
        <v>6925</v>
      </c>
      <c r="B6919" t="s">
        <v>10015</v>
      </c>
      <c r="C6919">
        <v>2</v>
      </c>
      <c r="D6919">
        <v>1</v>
      </c>
      <c r="E6919">
        <v>2</v>
      </c>
      <c r="F6919" t="s">
        <v>10018</v>
      </c>
      <c r="G6919" t="s">
        <v>10102</v>
      </c>
      <c r="H6919" s="6">
        <v>44974</v>
      </c>
      <c r="I6919">
        <f t="shared" si="216"/>
        <v>1</v>
      </c>
      <c r="J6919" t="str">
        <f t="shared" si="217"/>
        <v>Complete</v>
      </c>
      <c r="K6919">
        <f>COUNTIFS(RawData[Item], B6919,RawData[Quantity],C6919,RawData[Price Per Unit],D6919,RawData[Total Spent],E6919,RawData[Payment Method],F6919,RawData[Location],G6919,RawData[Transaction Date],H6919)</f>
        <v>1</v>
      </c>
      <c r="L6919"/>
    </row>
    <row r="6920" spans="1:12" x14ac:dyDescent="0.3">
      <c r="A6920" t="s">
        <v>6926</v>
      </c>
      <c r="B6920" t="s">
        <v>10016</v>
      </c>
      <c r="C6920">
        <v>5</v>
      </c>
      <c r="D6920">
        <v>3</v>
      </c>
      <c r="E6920">
        <v>15</v>
      </c>
      <c r="F6920" t="s">
        <v>10020</v>
      </c>
      <c r="G6920" t="s">
        <v>10021</v>
      </c>
      <c r="H6920" s="6">
        <v>45276</v>
      </c>
      <c r="I6920">
        <f t="shared" si="216"/>
        <v>0</v>
      </c>
      <c r="J6920" t="str">
        <f t="shared" si="217"/>
        <v>Complete</v>
      </c>
      <c r="K6920">
        <f>COUNTIFS(RawData[Item], B6920,RawData[Quantity],C6920,RawData[Price Per Unit],D6920,RawData[Total Spent],E6920,RawData[Payment Method],F6920,RawData[Location],G6920,RawData[Transaction Date],H6920)</f>
        <v>1</v>
      </c>
      <c r="L6920"/>
    </row>
    <row r="6921" spans="1:12" x14ac:dyDescent="0.3">
      <c r="A6921" t="s">
        <v>6927</v>
      </c>
      <c r="B6921" t="s">
        <v>10016</v>
      </c>
      <c r="C6921">
        <v>2</v>
      </c>
      <c r="D6921">
        <v>3</v>
      </c>
      <c r="E6921">
        <v>6</v>
      </c>
      <c r="F6921" t="s">
        <v>10019</v>
      </c>
      <c r="G6921" t="s">
        <v>10069</v>
      </c>
      <c r="H6921" s="6">
        <v>45172</v>
      </c>
      <c r="I6921">
        <f t="shared" si="216"/>
        <v>0</v>
      </c>
      <c r="J6921" t="str">
        <f t="shared" si="217"/>
        <v>Complete</v>
      </c>
      <c r="K6921">
        <f>COUNTIFS(RawData[Item], B6921,RawData[Quantity],C6921,RawData[Price Per Unit],D6921,RawData[Total Spent],E6921,RawData[Payment Method],F6921,RawData[Location],G6921,RawData[Transaction Date],H6921)</f>
        <v>1</v>
      </c>
      <c r="L6921"/>
    </row>
    <row r="6922" spans="1:12" x14ac:dyDescent="0.3">
      <c r="A6922" t="s">
        <v>6928</v>
      </c>
      <c r="B6922" t="s">
        <v>10017</v>
      </c>
      <c r="C6922">
        <v>3</v>
      </c>
      <c r="D6922">
        <v>1.5</v>
      </c>
      <c r="E6922">
        <v>4.5</v>
      </c>
      <c r="F6922" t="s">
        <v>10019</v>
      </c>
      <c r="G6922" t="s">
        <v>10021</v>
      </c>
      <c r="H6922" s="6">
        <v>45030</v>
      </c>
      <c r="I6922">
        <f t="shared" si="216"/>
        <v>0</v>
      </c>
      <c r="J6922" t="str">
        <f t="shared" si="217"/>
        <v>Complete</v>
      </c>
      <c r="K6922">
        <f>COUNTIFS(RawData[Item], B6922,RawData[Quantity],C6922,RawData[Price Per Unit],D6922,RawData[Total Spent],E6922,RawData[Payment Method],F6922,RawData[Location],G6922,RawData[Transaction Date],H6922)</f>
        <v>1</v>
      </c>
      <c r="L6922"/>
    </row>
    <row r="6923" spans="1:12" x14ac:dyDescent="0.3">
      <c r="A6923" t="s">
        <v>6929</v>
      </c>
      <c r="B6923" t="s">
        <v>10016</v>
      </c>
      <c r="C6923">
        <v>2</v>
      </c>
      <c r="D6923">
        <v>3</v>
      </c>
      <c r="E6923">
        <v>6</v>
      </c>
      <c r="F6923" t="s">
        <v>10018</v>
      </c>
      <c r="G6923" t="s">
        <v>10021</v>
      </c>
      <c r="H6923" s="6">
        <v>44959</v>
      </c>
      <c r="I6923">
        <f t="shared" si="216"/>
        <v>0</v>
      </c>
      <c r="J6923" t="str">
        <f t="shared" si="217"/>
        <v>Complete</v>
      </c>
      <c r="K6923">
        <f>COUNTIFS(RawData[Item], B6923,RawData[Quantity],C6923,RawData[Price Per Unit],D6923,RawData[Total Spent],E6923,RawData[Payment Method],F6923,RawData[Location],G6923,RawData[Transaction Date],H6923)</f>
        <v>1</v>
      </c>
      <c r="L6923"/>
    </row>
    <row r="6924" spans="1:12" x14ac:dyDescent="0.3">
      <c r="A6924" t="s">
        <v>6930</v>
      </c>
      <c r="B6924" t="s">
        <v>10016</v>
      </c>
      <c r="C6924">
        <v>5</v>
      </c>
      <c r="D6924" t="s">
        <v>10013</v>
      </c>
      <c r="E6924">
        <v>15</v>
      </c>
      <c r="F6924" t="s">
        <v>10104</v>
      </c>
      <c r="G6924" t="s">
        <v>10069</v>
      </c>
      <c r="H6924" s="6">
        <v>44969</v>
      </c>
      <c r="I6924">
        <f t="shared" si="216"/>
        <v>2</v>
      </c>
      <c r="J6924" t="str">
        <f t="shared" si="217"/>
        <v>Complete</v>
      </c>
      <c r="K6924">
        <f>COUNTIFS(RawData[Item], B6924,RawData[Quantity],C6924,RawData[Price Per Unit],D6924,RawData[Total Spent],E6924,RawData[Payment Method],F6924,RawData[Location],G6924,RawData[Transaction Date],H6924)</f>
        <v>1</v>
      </c>
      <c r="L6924"/>
    </row>
    <row r="6925" spans="1:12" x14ac:dyDescent="0.3">
      <c r="A6925" t="s">
        <v>6931</v>
      </c>
      <c r="B6925" t="s">
        <v>10016</v>
      </c>
      <c r="C6925">
        <v>4</v>
      </c>
      <c r="D6925">
        <v>3</v>
      </c>
      <c r="E6925">
        <v>12</v>
      </c>
      <c r="F6925" t="s">
        <v>10019</v>
      </c>
      <c r="G6925" t="s">
        <v>10069</v>
      </c>
      <c r="H6925" s="6">
        <v>45091</v>
      </c>
      <c r="I6925">
        <f t="shared" si="216"/>
        <v>0</v>
      </c>
      <c r="J6925" t="str">
        <f t="shared" si="217"/>
        <v>Complete</v>
      </c>
      <c r="K6925">
        <f>COUNTIFS(RawData[Item], B6925,RawData[Quantity],C6925,RawData[Price Per Unit],D6925,RawData[Total Spent],E6925,RawData[Payment Method],F6925,RawData[Location],G6925,RawData[Transaction Date],H6925)</f>
        <v>1</v>
      </c>
      <c r="L6925"/>
    </row>
    <row r="6926" spans="1:12" x14ac:dyDescent="0.3">
      <c r="A6926" t="s">
        <v>6932</v>
      </c>
      <c r="B6926" t="s">
        <v>10014</v>
      </c>
      <c r="C6926">
        <v>3</v>
      </c>
      <c r="D6926">
        <v>4</v>
      </c>
      <c r="E6926">
        <v>12</v>
      </c>
      <c r="F6926" t="s">
        <v>10019</v>
      </c>
      <c r="G6926" t="s">
        <v>10069</v>
      </c>
      <c r="H6926" s="6">
        <v>45009</v>
      </c>
      <c r="I6926">
        <f t="shared" si="216"/>
        <v>0</v>
      </c>
      <c r="J6926" t="str">
        <f t="shared" si="217"/>
        <v>Complete</v>
      </c>
      <c r="K6926">
        <f>COUNTIFS(RawData[Item], B6926,RawData[Quantity],C6926,RawData[Price Per Unit],D6926,RawData[Total Spent],E6926,RawData[Payment Method],F6926,RawData[Location],G6926,RawData[Transaction Date],H6926)</f>
        <v>1</v>
      </c>
      <c r="L6926"/>
    </row>
    <row r="6927" spans="1:12" x14ac:dyDescent="0.3">
      <c r="A6927" t="s">
        <v>6933</v>
      </c>
      <c r="B6927" t="s">
        <v>10008</v>
      </c>
      <c r="C6927">
        <v>5</v>
      </c>
      <c r="D6927">
        <v>2</v>
      </c>
      <c r="E6927">
        <v>10</v>
      </c>
      <c r="F6927" t="s">
        <v>10069</v>
      </c>
      <c r="G6927" t="s">
        <v>10102</v>
      </c>
      <c r="H6927" s="6">
        <v>45101</v>
      </c>
      <c r="I6927">
        <f t="shared" si="216"/>
        <v>0</v>
      </c>
      <c r="J6927" t="str">
        <f t="shared" si="217"/>
        <v>Complete</v>
      </c>
      <c r="K6927">
        <f>COUNTIFS(RawData[Item], B6927,RawData[Quantity],C6927,RawData[Price Per Unit],D6927,RawData[Total Spent],E6927,RawData[Payment Method],F6927,RawData[Location],G6927,RawData[Transaction Date],H6927)</f>
        <v>1</v>
      </c>
      <c r="L6927"/>
    </row>
    <row r="6928" spans="1:12" x14ac:dyDescent="0.3">
      <c r="A6928" t="s">
        <v>6934</v>
      </c>
      <c r="B6928" t="s">
        <v>10017</v>
      </c>
      <c r="C6928">
        <v>5</v>
      </c>
      <c r="D6928" t="s">
        <v>10015</v>
      </c>
      <c r="E6928">
        <v>7.5</v>
      </c>
      <c r="F6928" t="s">
        <v>10019</v>
      </c>
      <c r="G6928" t="s">
        <v>10102</v>
      </c>
      <c r="H6928" s="6">
        <v>45141</v>
      </c>
      <c r="I6928">
        <f t="shared" si="216"/>
        <v>1</v>
      </c>
      <c r="J6928" t="str">
        <f t="shared" si="217"/>
        <v>Complete</v>
      </c>
      <c r="K6928">
        <f>COUNTIFS(RawData[Item], B6928,RawData[Quantity],C6928,RawData[Price Per Unit],D6928,RawData[Total Spent],E6928,RawData[Payment Method],F6928,RawData[Location],G6928,RawData[Transaction Date],H6928)</f>
        <v>1</v>
      </c>
      <c r="L6928"/>
    </row>
    <row r="6929" spans="1:12" x14ac:dyDescent="0.3">
      <c r="A6929" t="s">
        <v>6935</v>
      </c>
      <c r="B6929" t="s">
        <v>10008</v>
      </c>
      <c r="C6929">
        <v>1</v>
      </c>
      <c r="D6929">
        <v>2</v>
      </c>
      <c r="E6929">
        <v>2</v>
      </c>
      <c r="F6929" t="s">
        <v>10020</v>
      </c>
      <c r="G6929" t="s">
        <v>10069</v>
      </c>
      <c r="H6929" s="6" t="s">
        <v>10112</v>
      </c>
      <c r="I6929">
        <f t="shared" si="216"/>
        <v>1</v>
      </c>
      <c r="J6929" t="str">
        <f t="shared" si="217"/>
        <v>Incomplete</v>
      </c>
      <c r="K6929">
        <f>COUNTIFS(RawData[Item], B6929,RawData[Quantity],C6929,RawData[Price Per Unit],D6929,RawData[Total Spent],E6929,RawData[Payment Method],F6929,RawData[Location],G6929,RawData[Transaction Date],H6929)</f>
        <v>1</v>
      </c>
      <c r="L6929"/>
    </row>
    <row r="6930" spans="1:12" x14ac:dyDescent="0.3">
      <c r="A6930" t="s">
        <v>6936</v>
      </c>
      <c r="B6930" t="s">
        <v>10016</v>
      </c>
      <c r="C6930">
        <v>4</v>
      </c>
      <c r="D6930">
        <v>3</v>
      </c>
      <c r="E6930">
        <v>12</v>
      </c>
      <c r="F6930" t="s">
        <v>10069</v>
      </c>
      <c r="G6930" t="s">
        <v>10021</v>
      </c>
      <c r="H6930" s="6">
        <v>44931</v>
      </c>
      <c r="I6930">
        <f t="shared" si="216"/>
        <v>0</v>
      </c>
      <c r="J6930" t="str">
        <f t="shared" si="217"/>
        <v>Complete</v>
      </c>
      <c r="K6930">
        <f>COUNTIFS(RawData[Item], B6930,RawData[Quantity],C6930,RawData[Price Per Unit],D6930,RawData[Total Spent],E6930,RawData[Payment Method],F6930,RawData[Location],G6930,RawData[Transaction Date],H6930)</f>
        <v>1</v>
      </c>
      <c r="L6930"/>
    </row>
    <row r="6931" spans="1:12" x14ac:dyDescent="0.3">
      <c r="A6931" t="s">
        <v>6937</v>
      </c>
      <c r="B6931" t="s">
        <v>10010</v>
      </c>
      <c r="C6931">
        <v>3</v>
      </c>
      <c r="D6931">
        <v>1</v>
      </c>
      <c r="E6931">
        <v>3</v>
      </c>
      <c r="F6931" t="s">
        <v>10069</v>
      </c>
      <c r="G6931" t="s">
        <v>10069</v>
      </c>
      <c r="H6931" s="6">
        <v>45022</v>
      </c>
      <c r="I6931">
        <f t="shared" si="216"/>
        <v>0</v>
      </c>
      <c r="J6931" t="str">
        <f t="shared" si="217"/>
        <v>Complete</v>
      </c>
      <c r="K6931">
        <f>COUNTIFS(RawData[Item], B6931,RawData[Quantity],C6931,RawData[Price Per Unit],D6931,RawData[Total Spent],E6931,RawData[Payment Method],F6931,RawData[Location],G6931,RawData[Transaction Date],H6931)</f>
        <v>1</v>
      </c>
      <c r="L6931"/>
    </row>
    <row r="6932" spans="1:12" x14ac:dyDescent="0.3">
      <c r="A6932" t="s">
        <v>6938</v>
      </c>
      <c r="B6932" t="s">
        <v>10011</v>
      </c>
      <c r="C6932">
        <v>5</v>
      </c>
      <c r="D6932">
        <v>5</v>
      </c>
      <c r="E6932">
        <v>25</v>
      </c>
      <c r="F6932" t="s">
        <v>10069</v>
      </c>
      <c r="G6932" t="s">
        <v>10102</v>
      </c>
      <c r="H6932" s="6">
        <v>45112</v>
      </c>
      <c r="I6932">
        <f t="shared" si="216"/>
        <v>0</v>
      </c>
      <c r="J6932" t="str">
        <f t="shared" si="217"/>
        <v>Complete</v>
      </c>
      <c r="K6932">
        <f>COUNTIFS(RawData[Item], B6932,RawData[Quantity],C6932,RawData[Price Per Unit],D6932,RawData[Total Spent],E6932,RawData[Payment Method],F6932,RawData[Location],G6932,RawData[Transaction Date],H6932)</f>
        <v>1</v>
      </c>
      <c r="L6932"/>
    </row>
    <row r="6933" spans="1:12" x14ac:dyDescent="0.3">
      <c r="A6933" t="s">
        <v>6939</v>
      </c>
      <c r="B6933" t="s">
        <v>10016</v>
      </c>
      <c r="C6933">
        <v>4</v>
      </c>
      <c r="D6933">
        <v>3</v>
      </c>
      <c r="E6933" t="s">
        <v>10015</v>
      </c>
      <c r="F6933" t="s">
        <v>10019</v>
      </c>
      <c r="G6933" t="s">
        <v>10021</v>
      </c>
      <c r="H6933" s="6">
        <v>45033</v>
      </c>
      <c r="I6933">
        <f t="shared" si="216"/>
        <v>1</v>
      </c>
      <c r="J6933" t="str">
        <f t="shared" si="217"/>
        <v>Complete</v>
      </c>
      <c r="K6933">
        <f>COUNTIFS(RawData[Item], B6933,RawData[Quantity],C6933,RawData[Price Per Unit],D6933,RawData[Total Spent],E6933,RawData[Payment Method],F6933,RawData[Location],G6933,RawData[Transaction Date],H6933)</f>
        <v>1</v>
      </c>
      <c r="L6933"/>
    </row>
    <row r="6934" spans="1:12" x14ac:dyDescent="0.3">
      <c r="A6934" t="s">
        <v>6940</v>
      </c>
      <c r="B6934" t="s">
        <v>10069</v>
      </c>
      <c r="C6934">
        <v>4</v>
      </c>
      <c r="D6934">
        <v>4</v>
      </c>
      <c r="E6934">
        <v>16</v>
      </c>
      <c r="F6934" t="s">
        <v>10018</v>
      </c>
      <c r="G6934" t="s">
        <v>10069</v>
      </c>
      <c r="H6934" s="6">
        <v>45274</v>
      </c>
      <c r="I6934">
        <f t="shared" si="216"/>
        <v>0</v>
      </c>
      <c r="J6934" t="str">
        <f t="shared" si="217"/>
        <v>Complete</v>
      </c>
      <c r="K6934">
        <f>COUNTIFS(RawData[Item], B6934,RawData[Quantity],C6934,RawData[Price Per Unit],D6934,RawData[Total Spent],E6934,RawData[Payment Method],F6934,RawData[Location],G6934,RawData[Transaction Date],H6934)</f>
        <v>1</v>
      </c>
      <c r="L6934"/>
    </row>
    <row r="6935" spans="1:12" x14ac:dyDescent="0.3">
      <c r="A6935" t="s">
        <v>6941</v>
      </c>
      <c r="B6935" t="s">
        <v>10017</v>
      </c>
      <c r="C6935">
        <v>5</v>
      </c>
      <c r="D6935">
        <v>1.5</v>
      </c>
      <c r="E6935">
        <v>7.5</v>
      </c>
      <c r="F6935" t="s">
        <v>10020</v>
      </c>
      <c r="G6935" t="s">
        <v>10021</v>
      </c>
      <c r="H6935" s="6">
        <v>44989</v>
      </c>
      <c r="I6935">
        <f t="shared" si="216"/>
        <v>0</v>
      </c>
      <c r="J6935" t="str">
        <f t="shared" si="217"/>
        <v>Complete</v>
      </c>
      <c r="K6935">
        <f>COUNTIFS(RawData[Item], B6935,RawData[Quantity],C6935,RawData[Price Per Unit],D6935,RawData[Total Spent],E6935,RawData[Payment Method],F6935,RawData[Location],G6935,RawData[Transaction Date],H6935)</f>
        <v>1</v>
      </c>
      <c r="L6935"/>
    </row>
    <row r="6936" spans="1:12" x14ac:dyDescent="0.3">
      <c r="A6936" t="s">
        <v>6942</v>
      </c>
      <c r="B6936" t="s">
        <v>10017</v>
      </c>
      <c r="C6936">
        <v>3</v>
      </c>
      <c r="D6936">
        <v>1.5</v>
      </c>
      <c r="E6936">
        <v>4.5</v>
      </c>
      <c r="F6936" t="s">
        <v>10019</v>
      </c>
      <c r="G6936" t="s">
        <v>10069</v>
      </c>
      <c r="H6936" s="6">
        <v>44992</v>
      </c>
      <c r="I6936">
        <f t="shared" si="216"/>
        <v>0</v>
      </c>
      <c r="J6936" t="str">
        <f t="shared" si="217"/>
        <v>Complete</v>
      </c>
      <c r="K6936">
        <f>COUNTIFS(RawData[Item], B6936,RawData[Quantity],C6936,RawData[Price Per Unit],D6936,RawData[Total Spent],E6936,RawData[Payment Method],F6936,RawData[Location],G6936,RawData[Transaction Date],H6936)</f>
        <v>1</v>
      </c>
      <c r="L6936"/>
    </row>
    <row r="6937" spans="1:12" x14ac:dyDescent="0.3">
      <c r="A6937" t="s">
        <v>6943</v>
      </c>
      <c r="B6937" t="s">
        <v>10014</v>
      </c>
      <c r="C6937">
        <v>4</v>
      </c>
      <c r="D6937">
        <v>4</v>
      </c>
      <c r="E6937">
        <v>16</v>
      </c>
      <c r="F6937" t="s">
        <v>10018</v>
      </c>
      <c r="G6937" t="s">
        <v>10102</v>
      </c>
      <c r="H6937" s="6">
        <v>44947</v>
      </c>
      <c r="I6937">
        <f t="shared" si="216"/>
        <v>0</v>
      </c>
      <c r="J6937" t="str">
        <f t="shared" si="217"/>
        <v>Complete</v>
      </c>
      <c r="K6937">
        <f>COUNTIFS(RawData[Item], B6937,RawData[Quantity],C6937,RawData[Price Per Unit],D6937,RawData[Total Spent],E6937,RawData[Payment Method],F6937,RawData[Location],G6937,RawData[Transaction Date],H6937)</f>
        <v>1</v>
      </c>
      <c r="L6937"/>
    </row>
    <row r="6938" spans="1:12" x14ac:dyDescent="0.3">
      <c r="A6938" t="s">
        <v>6944</v>
      </c>
      <c r="B6938" t="s">
        <v>10017</v>
      </c>
      <c r="C6938">
        <v>2</v>
      </c>
      <c r="D6938">
        <v>1.5</v>
      </c>
      <c r="E6938">
        <v>3</v>
      </c>
      <c r="F6938" t="s">
        <v>10020</v>
      </c>
      <c r="G6938" t="s">
        <v>10021</v>
      </c>
      <c r="H6938" s="6">
        <v>45077</v>
      </c>
      <c r="I6938">
        <f t="shared" si="216"/>
        <v>0</v>
      </c>
      <c r="J6938" t="str">
        <f t="shared" si="217"/>
        <v>Complete</v>
      </c>
      <c r="K6938">
        <f>COUNTIFS(RawData[Item], B6938,RawData[Quantity],C6938,RawData[Price Per Unit],D6938,RawData[Total Spent],E6938,RawData[Payment Method],F6938,RawData[Location],G6938,RawData[Transaction Date],H6938)</f>
        <v>2</v>
      </c>
      <c r="L6938"/>
    </row>
    <row r="6939" spans="1:12" x14ac:dyDescent="0.3">
      <c r="A6939" t="s">
        <v>6945</v>
      </c>
      <c r="B6939" t="s">
        <v>10014</v>
      </c>
      <c r="C6939">
        <v>1</v>
      </c>
      <c r="D6939">
        <v>4</v>
      </c>
      <c r="E6939">
        <v>4</v>
      </c>
      <c r="F6939" t="s">
        <v>10020</v>
      </c>
      <c r="G6939" t="s">
        <v>10021</v>
      </c>
      <c r="H6939" s="6">
        <v>45112</v>
      </c>
      <c r="I6939">
        <f t="shared" si="216"/>
        <v>0</v>
      </c>
      <c r="J6939" t="str">
        <f t="shared" si="217"/>
        <v>Complete</v>
      </c>
      <c r="K6939">
        <f>COUNTIFS(RawData[Item], B6939,RawData[Quantity],C6939,RawData[Price Per Unit],D6939,RawData[Total Spent],E6939,RawData[Payment Method],F6939,RawData[Location],G6939,RawData[Transaction Date],H6939)</f>
        <v>1</v>
      </c>
      <c r="L6939"/>
    </row>
    <row r="6940" spans="1:12" x14ac:dyDescent="0.3">
      <c r="A6940" t="s">
        <v>6946</v>
      </c>
      <c r="B6940" t="s">
        <v>10011</v>
      </c>
      <c r="C6940">
        <v>2</v>
      </c>
      <c r="D6940">
        <v>5</v>
      </c>
      <c r="E6940">
        <v>10</v>
      </c>
      <c r="F6940" t="s">
        <v>10020</v>
      </c>
      <c r="G6940" t="s">
        <v>10021</v>
      </c>
      <c r="H6940" s="6">
        <v>45143</v>
      </c>
      <c r="I6940">
        <f t="shared" si="216"/>
        <v>0</v>
      </c>
      <c r="J6940" t="str">
        <f t="shared" si="217"/>
        <v>Complete</v>
      </c>
      <c r="K6940">
        <f>COUNTIFS(RawData[Item], B6940,RawData[Quantity],C6940,RawData[Price Per Unit],D6940,RawData[Total Spent],E6940,RawData[Payment Method],F6940,RawData[Location],G6940,RawData[Transaction Date],H6940)</f>
        <v>1</v>
      </c>
      <c r="L6940"/>
    </row>
    <row r="6941" spans="1:12" x14ac:dyDescent="0.3">
      <c r="A6941" t="s">
        <v>6947</v>
      </c>
      <c r="B6941" t="s">
        <v>10014</v>
      </c>
      <c r="C6941">
        <v>3</v>
      </c>
      <c r="D6941">
        <v>4</v>
      </c>
      <c r="E6941">
        <v>12</v>
      </c>
      <c r="F6941" t="s">
        <v>10069</v>
      </c>
      <c r="G6941" t="s">
        <v>10069</v>
      </c>
      <c r="H6941" s="6">
        <v>45268</v>
      </c>
      <c r="I6941">
        <f t="shared" si="216"/>
        <v>0</v>
      </c>
      <c r="J6941" t="str">
        <f t="shared" si="217"/>
        <v>Complete</v>
      </c>
      <c r="K6941">
        <f>COUNTIFS(RawData[Item], B6941,RawData[Quantity],C6941,RawData[Price Per Unit],D6941,RawData[Total Spent],E6941,RawData[Payment Method],F6941,RawData[Location],G6941,RawData[Transaction Date],H6941)</f>
        <v>1</v>
      </c>
      <c r="L6941"/>
    </row>
    <row r="6942" spans="1:12" x14ac:dyDescent="0.3">
      <c r="A6942" t="s">
        <v>6948</v>
      </c>
      <c r="B6942" t="s">
        <v>10008</v>
      </c>
      <c r="C6942">
        <v>5</v>
      </c>
      <c r="D6942">
        <v>2</v>
      </c>
      <c r="E6942">
        <v>10</v>
      </c>
      <c r="F6942" t="s">
        <v>10020</v>
      </c>
      <c r="G6942" t="s">
        <v>10069</v>
      </c>
      <c r="H6942" s="6">
        <v>44985</v>
      </c>
      <c r="I6942">
        <f t="shared" si="216"/>
        <v>0</v>
      </c>
      <c r="J6942" t="str">
        <f t="shared" si="217"/>
        <v>Complete</v>
      </c>
      <c r="K6942">
        <f>COUNTIFS(RawData[Item], B6942,RawData[Quantity],C6942,RawData[Price Per Unit],D6942,RawData[Total Spent],E6942,RawData[Payment Method],F6942,RawData[Location],G6942,RawData[Transaction Date],H6942)</f>
        <v>1</v>
      </c>
      <c r="L6942"/>
    </row>
    <row r="6943" spans="1:12" x14ac:dyDescent="0.3">
      <c r="A6943" t="s">
        <v>6949</v>
      </c>
      <c r="B6943" t="s">
        <v>10017</v>
      </c>
      <c r="C6943">
        <v>0</v>
      </c>
      <c r="D6943">
        <v>1.5</v>
      </c>
      <c r="E6943">
        <v>4.5</v>
      </c>
      <c r="F6943" t="s">
        <v>10020</v>
      </c>
      <c r="G6943" t="s">
        <v>10069</v>
      </c>
      <c r="H6943" s="6">
        <v>45125</v>
      </c>
      <c r="I6943">
        <f t="shared" si="216"/>
        <v>0</v>
      </c>
      <c r="J6943" t="str">
        <f t="shared" si="217"/>
        <v>Complete</v>
      </c>
      <c r="K6943">
        <f>COUNTIFS(RawData[Item], B6943,RawData[Quantity],C6943,RawData[Price Per Unit],D6943,RawData[Total Spent],E6943,RawData[Payment Method],F6943,RawData[Location],G6943,RawData[Transaction Date],H6943)</f>
        <v>1</v>
      </c>
      <c r="L6943"/>
    </row>
    <row r="6944" spans="1:12" x14ac:dyDescent="0.3">
      <c r="A6944" t="s">
        <v>6950</v>
      </c>
      <c r="B6944" t="s">
        <v>10010</v>
      </c>
      <c r="C6944">
        <v>2</v>
      </c>
      <c r="D6944">
        <v>1</v>
      </c>
      <c r="E6944">
        <v>2</v>
      </c>
      <c r="F6944" t="s">
        <v>10019</v>
      </c>
      <c r="G6944" t="s">
        <v>10021</v>
      </c>
      <c r="H6944" s="6">
        <v>44933</v>
      </c>
      <c r="I6944">
        <f t="shared" si="216"/>
        <v>0</v>
      </c>
      <c r="J6944" t="str">
        <f t="shared" si="217"/>
        <v>Complete</v>
      </c>
      <c r="K6944">
        <f>COUNTIFS(RawData[Item], B6944,RawData[Quantity],C6944,RawData[Price Per Unit],D6944,RawData[Total Spent],E6944,RawData[Payment Method],F6944,RawData[Location],G6944,RawData[Transaction Date],H6944)</f>
        <v>1</v>
      </c>
      <c r="L6944"/>
    </row>
    <row r="6945" spans="1:12" x14ac:dyDescent="0.3">
      <c r="A6945" t="s">
        <v>6951</v>
      </c>
      <c r="B6945" t="s">
        <v>10009</v>
      </c>
      <c r="C6945">
        <v>5</v>
      </c>
      <c r="D6945">
        <v>3</v>
      </c>
      <c r="E6945">
        <v>15</v>
      </c>
      <c r="F6945" t="s">
        <v>10019</v>
      </c>
      <c r="G6945" t="s">
        <v>10021</v>
      </c>
      <c r="H6945" s="6">
        <v>45229</v>
      </c>
      <c r="I6945">
        <f t="shared" si="216"/>
        <v>0</v>
      </c>
      <c r="J6945" t="str">
        <f t="shared" si="217"/>
        <v>Complete</v>
      </c>
      <c r="K6945">
        <f>COUNTIFS(RawData[Item], B6945,RawData[Quantity],C6945,RawData[Price Per Unit],D6945,RawData[Total Spent],E6945,RawData[Payment Method],F6945,RawData[Location],G6945,RawData[Transaction Date],H6945)</f>
        <v>1</v>
      </c>
      <c r="L6945"/>
    </row>
    <row r="6946" spans="1:12" x14ac:dyDescent="0.3">
      <c r="A6946" t="s">
        <v>6952</v>
      </c>
      <c r="B6946" t="s">
        <v>10017</v>
      </c>
      <c r="C6946">
        <v>4</v>
      </c>
      <c r="D6946">
        <v>1.5</v>
      </c>
      <c r="E6946">
        <v>6</v>
      </c>
      <c r="F6946" t="s">
        <v>10019</v>
      </c>
      <c r="G6946" t="s">
        <v>10021</v>
      </c>
      <c r="H6946" s="6">
        <v>44986</v>
      </c>
      <c r="I6946">
        <f t="shared" si="216"/>
        <v>0</v>
      </c>
      <c r="J6946" t="str">
        <f t="shared" si="217"/>
        <v>Complete</v>
      </c>
      <c r="K6946">
        <f>COUNTIFS(RawData[Item], B6946,RawData[Quantity],C6946,RawData[Price Per Unit],D6946,RawData[Total Spent],E6946,RawData[Payment Method],F6946,RawData[Location],G6946,RawData[Transaction Date],H6946)</f>
        <v>1</v>
      </c>
      <c r="L6946"/>
    </row>
    <row r="6947" spans="1:12" x14ac:dyDescent="0.3">
      <c r="A6947" t="s">
        <v>6953</v>
      </c>
      <c r="B6947" t="s">
        <v>10011</v>
      </c>
      <c r="C6947">
        <v>5</v>
      </c>
      <c r="D6947">
        <v>5</v>
      </c>
      <c r="E6947">
        <v>25</v>
      </c>
      <c r="F6947" t="s">
        <v>10069</v>
      </c>
      <c r="G6947" t="s">
        <v>10069</v>
      </c>
      <c r="H6947" s="6">
        <v>45214</v>
      </c>
      <c r="I6947">
        <f t="shared" si="216"/>
        <v>0</v>
      </c>
      <c r="J6947" t="str">
        <f t="shared" si="217"/>
        <v>Complete</v>
      </c>
      <c r="K6947">
        <f>COUNTIFS(RawData[Item], B6947,RawData[Quantity],C6947,RawData[Price Per Unit],D6947,RawData[Total Spent],E6947,RawData[Payment Method],F6947,RawData[Location],G6947,RawData[Transaction Date],H6947)</f>
        <v>1</v>
      </c>
      <c r="L6947"/>
    </row>
    <row r="6948" spans="1:12" x14ac:dyDescent="0.3">
      <c r="A6948" t="s">
        <v>6954</v>
      </c>
      <c r="B6948" t="s">
        <v>10012</v>
      </c>
      <c r="C6948">
        <v>5</v>
      </c>
      <c r="D6948">
        <v>4</v>
      </c>
      <c r="E6948">
        <v>20</v>
      </c>
      <c r="F6948" t="s">
        <v>10019</v>
      </c>
      <c r="G6948" t="s">
        <v>10069</v>
      </c>
      <c r="H6948" s="6">
        <v>44954</v>
      </c>
      <c r="I6948">
        <f t="shared" si="216"/>
        <v>0</v>
      </c>
      <c r="J6948" t="str">
        <f t="shared" si="217"/>
        <v>Complete</v>
      </c>
      <c r="K6948">
        <f>COUNTIFS(RawData[Item], B6948,RawData[Quantity],C6948,RawData[Price Per Unit],D6948,RawData[Total Spent],E6948,RawData[Payment Method],F6948,RawData[Location],G6948,RawData[Transaction Date],H6948)</f>
        <v>1</v>
      </c>
      <c r="L6948"/>
    </row>
    <row r="6949" spans="1:12" x14ac:dyDescent="0.3">
      <c r="A6949" t="s">
        <v>6955</v>
      </c>
      <c r="B6949" t="s">
        <v>10010</v>
      </c>
      <c r="C6949">
        <v>4</v>
      </c>
      <c r="D6949">
        <v>1</v>
      </c>
      <c r="E6949">
        <v>4</v>
      </c>
      <c r="F6949" t="s">
        <v>10069</v>
      </c>
      <c r="G6949" t="s">
        <v>10021</v>
      </c>
      <c r="H6949" s="6">
        <v>45239</v>
      </c>
      <c r="I6949">
        <f t="shared" si="216"/>
        <v>0</v>
      </c>
      <c r="J6949" t="str">
        <f t="shared" si="217"/>
        <v>Complete</v>
      </c>
      <c r="K6949">
        <f>COUNTIFS(RawData[Item], B6949,RawData[Quantity],C6949,RawData[Price Per Unit],D6949,RawData[Total Spent],E6949,RawData[Payment Method],F6949,RawData[Location],G6949,RawData[Transaction Date],H6949)</f>
        <v>1</v>
      </c>
      <c r="L6949"/>
    </row>
    <row r="6950" spans="1:12" x14ac:dyDescent="0.3">
      <c r="A6950" t="s">
        <v>6956</v>
      </c>
      <c r="B6950" t="s">
        <v>10016</v>
      </c>
      <c r="C6950">
        <v>1</v>
      </c>
      <c r="D6950">
        <v>3</v>
      </c>
      <c r="E6950">
        <v>3</v>
      </c>
      <c r="F6950" t="s">
        <v>10018</v>
      </c>
      <c r="G6950" t="s">
        <v>10102</v>
      </c>
      <c r="H6950" s="6">
        <v>45215</v>
      </c>
      <c r="I6950">
        <f t="shared" si="216"/>
        <v>0</v>
      </c>
      <c r="J6950" t="str">
        <f t="shared" si="217"/>
        <v>Complete</v>
      </c>
      <c r="K6950">
        <f>COUNTIFS(RawData[Item], B6950,RawData[Quantity],C6950,RawData[Price Per Unit],D6950,RawData[Total Spent],E6950,RawData[Payment Method],F6950,RawData[Location],G6950,RawData[Transaction Date],H6950)</f>
        <v>1</v>
      </c>
      <c r="L6950"/>
    </row>
    <row r="6951" spans="1:12" x14ac:dyDescent="0.3">
      <c r="A6951" t="s">
        <v>6957</v>
      </c>
      <c r="B6951" t="s">
        <v>10012</v>
      </c>
      <c r="C6951">
        <v>3</v>
      </c>
      <c r="D6951">
        <v>4</v>
      </c>
      <c r="E6951">
        <v>12</v>
      </c>
      <c r="F6951" t="s">
        <v>10018</v>
      </c>
      <c r="G6951" t="s">
        <v>10102</v>
      </c>
      <c r="H6951" s="6" t="s">
        <v>10112</v>
      </c>
      <c r="I6951">
        <f t="shared" si="216"/>
        <v>1</v>
      </c>
      <c r="J6951" t="str">
        <f t="shared" si="217"/>
        <v>Incomplete</v>
      </c>
      <c r="K6951">
        <f>COUNTIFS(RawData[Item], B6951,RawData[Quantity],C6951,RawData[Price Per Unit],D6951,RawData[Total Spent],E6951,RawData[Payment Method],F6951,RawData[Location],G6951,RawData[Transaction Date],H6951)</f>
        <v>1</v>
      </c>
      <c r="L6951"/>
    </row>
    <row r="6952" spans="1:12" x14ac:dyDescent="0.3">
      <c r="A6952" t="s">
        <v>6958</v>
      </c>
      <c r="B6952" t="s">
        <v>10010</v>
      </c>
      <c r="C6952">
        <v>4</v>
      </c>
      <c r="D6952">
        <v>1</v>
      </c>
      <c r="E6952">
        <v>4</v>
      </c>
      <c r="F6952" t="s">
        <v>10019</v>
      </c>
      <c r="G6952" t="s">
        <v>10021</v>
      </c>
      <c r="H6952" s="6">
        <v>45190</v>
      </c>
      <c r="I6952">
        <f t="shared" si="216"/>
        <v>0</v>
      </c>
      <c r="J6952" t="str">
        <f t="shared" si="217"/>
        <v>Complete</v>
      </c>
      <c r="K6952">
        <f>COUNTIFS(RawData[Item], B6952,RawData[Quantity],C6952,RawData[Price Per Unit],D6952,RawData[Total Spent],E6952,RawData[Payment Method],F6952,RawData[Location],G6952,RawData[Transaction Date],H6952)</f>
        <v>1</v>
      </c>
      <c r="L6952"/>
    </row>
    <row r="6953" spans="1:12" x14ac:dyDescent="0.3">
      <c r="A6953" t="s">
        <v>6959</v>
      </c>
      <c r="B6953" t="s">
        <v>10016</v>
      </c>
      <c r="C6953">
        <v>2</v>
      </c>
      <c r="D6953">
        <v>3</v>
      </c>
      <c r="E6953">
        <v>6</v>
      </c>
      <c r="F6953" t="s">
        <v>10069</v>
      </c>
      <c r="G6953" t="s">
        <v>10102</v>
      </c>
      <c r="H6953" s="6">
        <v>44937</v>
      </c>
      <c r="I6953">
        <f t="shared" si="216"/>
        <v>0</v>
      </c>
      <c r="J6953" t="str">
        <f t="shared" si="217"/>
        <v>Complete</v>
      </c>
      <c r="K6953">
        <f>COUNTIFS(RawData[Item], B6953,RawData[Quantity],C6953,RawData[Price Per Unit],D6953,RawData[Total Spent],E6953,RawData[Payment Method],F6953,RawData[Location],G6953,RawData[Transaction Date],H6953)</f>
        <v>1</v>
      </c>
      <c r="L6953"/>
    </row>
    <row r="6954" spans="1:12" x14ac:dyDescent="0.3">
      <c r="A6954" t="s">
        <v>6960</v>
      </c>
      <c r="B6954" t="s">
        <v>10012</v>
      </c>
      <c r="C6954">
        <v>2</v>
      </c>
      <c r="D6954">
        <v>4</v>
      </c>
      <c r="E6954">
        <v>8</v>
      </c>
      <c r="F6954" t="s">
        <v>10020</v>
      </c>
      <c r="G6954" t="s">
        <v>10069</v>
      </c>
      <c r="H6954" s="6">
        <v>45249</v>
      </c>
      <c r="I6954">
        <f t="shared" si="216"/>
        <v>0</v>
      </c>
      <c r="J6954" t="str">
        <f t="shared" si="217"/>
        <v>Complete</v>
      </c>
      <c r="K6954">
        <f>COUNTIFS(RawData[Item], B6954,RawData[Quantity],C6954,RawData[Price Per Unit],D6954,RawData[Total Spent],E6954,RawData[Payment Method],F6954,RawData[Location],G6954,RawData[Transaction Date],H6954)</f>
        <v>1</v>
      </c>
      <c r="L6954"/>
    </row>
    <row r="6955" spans="1:12" x14ac:dyDescent="0.3">
      <c r="A6955" t="s">
        <v>6961</v>
      </c>
      <c r="B6955" t="s">
        <v>10008</v>
      </c>
      <c r="C6955">
        <v>5</v>
      </c>
      <c r="D6955">
        <v>2</v>
      </c>
      <c r="E6955">
        <v>10</v>
      </c>
      <c r="F6955" t="s">
        <v>10018</v>
      </c>
      <c r="G6955" t="s">
        <v>10102</v>
      </c>
      <c r="H6955" s="6">
        <v>45221</v>
      </c>
      <c r="I6955">
        <f t="shared" si="216"/>
        <v>0</v>
      </c>
      <c r="J6955" t="str">
        <f t="shared" si="217"/>
        <v>Complete</v>
      </c>
      <c r="K6955">
        <f>COUNTIFS(RawData[Item], B6955,RawData[Quantity],C6955,RawData[Price Per Unit],D6955,RawData[Total Spent],E6955,RawData[Payment Method],F6955,RawData[Location],G6955,RawData[Transaction Date],H6955)</f>
        <v>1</v>
      </c>
      <c r="L6955"/>
    </row>
    <row r="6956" spans="1:12" x14ac:dyDescent="0.3">
      <c r="A6956" t="s">
        <v>6962</v>
      </c>
      <c r="B6956" t="s">
        <v>10013</v>
      </c>
      <c r="C6956">
        <v>5</v>
      </c>
      <c r="D6956">
        <v>2</v>
      </c>
      <c r="E6956">
        <v>10</v>
      </c>
      <c r="F6956" t="s">
        <v>10103</v>
      </c>
      <c r="G6956" t="s">
        <v>10102</v>
      </c>
      <c r="H6956" s="6">
        <v>45112</v>
      </c>
      <c r="I6956">
        <f t="shared" si="216"/>
        <v>2</v>
      </c>
      <c r="J6956" t="str">
        <f t="shared" si="217"/>
        <v>Complete</v>
      </c>
      <c r="K6956">
        <f>COUNTIFS(RawData[Item], B6956,RawData[Quantity],C6956,RawData[Price Per Unit],D6956,RawData[Total Spent],E6956,RawData[Payment Method],F6956,RawData[Location],G6956,RawData[Transaction Date],H6956)</f>
        <v>1</v>
      </c>
      <c r="L6956"/>
    </row>
    <row r="6957" spans="1:12" x14ac:dyDescent="0.3">
      <c r="A6957" t="s">
        <v>6963</v>
      </c>
      <c r="B6957" t="s">
        <v>10012</v>
      </c>
      <c r="C6957">
        <v>0</v>
      </c>
      <c r="D6957">
        <v>4</v>
      </c>
      <c r="E6957">
        <v>12</v>
      </c>
      <c r="F6957" t="s">
        <v>10018</v>
      </c>
      <c r="G6957" t="s">
        <v>10069</v>
      </c>
      <c r="H6957" s="6">
        <v>45283</v>
      </c>
      <c r="I6957">
        <f t="shared" si="216"/>
        <v>0</v>
      </c>
      <c r="J6957" t="str">
        <f t="shared" si="217"/>
        <v>Complete</v>
      </c>
      <c r="K6957">
        <f>COUNTIFS(RawData[Item], B6957,RawData[Quantity],C6957,RawData[Price Per Unit],D6957,RawData[Total Spent],E6957,RawData[Payment Method],F6957,RawData[Location],G6957,RawData[Transaction Date],H6957)</f>
        <v>1</v>
      </c>
      <c r="L6957"/>
    </row>
    <row r="6958" spans="1:12" x14ac:dyDescent="0.3">
      <c r="A6958" t="s">
        <v>6964</v>
      </c>
      <c r="B6958" t="s">
        <v>10012</v>
      </c>
      <c r="C6958">
        <v>5</v>
      </c>
      <c r="D6958">
        <v>4</v>
      </c>
      <c r="E6958">
        <v>20</v>
      </c>
      <c r="F6958" t="s">
        <v>10103</v>
      </c>
      <c r="G6958" t="s">
        <v>10069</v>
      </c>
      <c r="H6958" s="6">
        <v>45144</v>
      </c>
      <c r="I6958">
        <f t="shared" si="216"/>
        <v>1</v>
      </c>
      <c r="J6958" t="str">
        <f t="shared" si="217"/>
        <v>Complete</v>
      </c>
      <c r="K6958">
        <f>COUNTIFS(RawData[Item], B6958,RawData[Quantity],C6958,RawData[Price Per Unit],D6958,RawData[Total Spent],E6958,RawData[Payment Method],F6958,RawData[Location],G6958,RawData[Transaction Date],H6958)</f>
        <v>1</v>
      </c>
      <c r="L6958"/>
    </row>
    <row r="6959" spans="1:12" x14ac:dyDescent="0.3">
      <c r="A6959" t="s">
        <v>6965</v>
      </c>
      <c r="B6959" t="s">
        <v>10011</v>
      </c>
      <c r="C6959">
        <v>1</v>
      </c>
      <c r="D6959">
        <v>5</v>
      </c>
      <c r="E6959">
        <v>5</v>
      </c>
      <c r="F6959" t="s">
        <v>10020</v>
      </c>
      <c r="G6959" t="s">
        <v>10021</v>
      </c>
      <c r="H6959" s="6">
        <v>45063</v>
      </c>
      <c r="I6959">
        <f t="shared" si="216"/>
        <v>0</v>
      </c>
      <c r="J6959" t="str">
        <f t="shared" si="217"/>
        <v>Complete</v>
      </c>
      <c r="K6959">
        <f>COUNTIFS(RawData[Item], B6959,RawData[Quantity],C6959,RawData[Price Per Unit],D6959,RawData[Total Spent],E6959,RawData[Payment Method],F6959,RawData[Location],G6959,RawData[Transaction Date],H6959)</f>
        <v>1</v>
      </c>
      <c r="L6959"/>
    </row>
    <row r="6960" spans="1:12" x14ac:dyDescent="0.3">
      <c r="A6960" t="s">
        <v>6966</v>
      </c>
      <c r="B6960" t="s">
        <v>10009</v>
      </c>
      <c r="C6960">
        <v>4</v>
      </c>
      <c r="D6960">
        <v>3</v>
      </c>
      <c r="E6960">
        <v>0</v>
      </c>
      <c r="F6960" t="s">
        <v>10018</v>
      </c>
      <c r="G6960" t="s">
        <v>10069</v>
      </c>
      <c r="H6960" s="6">
        <v>45003</v>
      </c>
      <c r="I6960">
        <f t="shared" si="216"/>
        <v>0</v>
      </c>
      <c r="J6960" t="str">
        <f t="shared" si="217"/>
        <v>Complete</v>
      </c>
      <c r="K6960">
        <f>COUNTIFS(RawData[Item], B6960,RawData[Quantity],C6960,RawData[Price Per Unit],D6960,RawData[Total Spent],E6960,RawData[Payment Method],F6960,RawData[Location],G6960,RawData[Transaction Date],H6960)</f>
        <v>1</v>
      </c>
      <c r="L6960"/>
    </row>
    <row r="6961" spans="1:12" x14ac:dyDescent="0.3">
      <c r="A6961" t="s">
        <v>6967</v>
      </c>
      <c r="B6961" t="s">
        <v>10009</v>
      </c>
      <c r="C6961">
        <v>3</v>
      </c>
      <c r="D6961">
        <v>3</v>
      </c>
      <c r="E6961">
        <v>9</v>
      </c>
      <c r="F6961" t="s">
        <v>10019</v>
      </c>
      <c r="G6961" t="s">
        <v>10103</v>
      </c>
      <c r="H6961" s="6">
        <v>44962</v>
      </c>
      <c r="I6961">
        <f t="shared" si="216"/>
        <v>1</v>
      </c>
      <c r="J6961" t="str">
        <f t="shared" si="217"/>
        <v>Complete</v>
      </c>
      <c r="K6961">
        <f>COUNTIFS(RawData[Item], B6961,RawData[Quantity],C6961,RawData[Price Per Unit],D6961,RawData[Total Spent],E6961,RawData[Payment Method],F6961,RawData[Location],G6961,RawData[Transaction Date],H6961)</f>
        <v>1</v>
      </c>
      <c r="L6961"/>
    </row>
    <row r="6962" spans="1:12" x14ac:dyDescent="0.3">
      <c r="A6962" t="s">
        <v>6968</v>
      </c>
      <c r="B6962" t="s">
        <v>10012</v>
      </c>
      <c r="C6962">
        <v>2</v>
      </c>
      <c r="D6962">
        <v>4</v>
      </c>
      <c r="E6962">
        <v>8</v>
      </c>
      <c r="F6962" t="s">
        <v>10018</v>
      </c>
      <c r="G6962" t="s">
        <v>10102</v>
      </c>
      <c r="H6962" s="6">
        <v>45012</v>
      </c>
      <c r="I6962">
        <f t="shared" si="216"/>
        <v>0</v>
      </c>
      <c r="J6962" t="str">
        <f t="shared" si="217"/>
        <v>Complete</v>
      </c>
      <c r="K6962">
        <f>COUNTIFS(RawData[Item], B6962,RawData[Quantity],C6962,RawData[Price Per Unit],D6962,RawData[Total Spent],E6962,RawData[Payment Method],F6962,RawData[Location],G6962,RawData[Transaction Date],H6962)</f>
        <v>1</v>
      </c>
      <c r="L6962"/>
    </row>
    <row r="6963" spans="1:12" x14ac:dyDescent="0.3">
      <c r="A6963" t="s">
        <v>6969</v>
      </c>
      <c r="B6963" t="s">
        <v>10014</v>
      </c>
      <c r="C6963">
        <v>3</v>
      </c>
      <c r="D6963">
        <v>4</v>
      </c>
      <c r="E6963" t="s">
        <v>10015</v>
      </c>
      <c r="F6963" t="s">
        <v>10018</v>
      </c>
      <c r="G6963" t="s">
        <v>10069</v>
      </c>
      <c r="H6963" s="6">
        <v>45055</v>
      </c>
      <c r="I6963">
        <f t="shared" si="216"/>
        <v>1</v>
      </c>
      <c r="J6963" t="str">
        <f t="shared" si="217"/>
        <v>Complete</v>
      </c>
      <c r="K6963">
        <f>COUNTIFS(RawData[Item], B6963,RawData[Quantity],C6963,RawData[Price Per Unit],D6963,RawData[Total Spent],E6963,RawData[Payment Method],F6963,RawData[Location],G6963,RawData[Transaction Date],H6963)</f>
        <v>1</v>
      </c>
      <c r="L6963"/>
    </row>
    <row r="6964" spans="1:12" x14ac:dyDescent="0.3">
      <c r="A6964" t="s">
        <v>6970</v>
      </c>
      <c r="B6964" t="s">
        <v>10011</v>
      </c>
      <c r="C6964">
        <v>2</v>
      </c>
      <c r="D6964">
        <v>5</v>
      </c>
      <c r="E6964">
        <v>10</v>
      </c>
      <c r="F6964" t="s">
        <v>10069</v>
      </c>
      <c r="G6964" t="s">
        <v>10021</v>
      </c>
      <c r="H6964" s="6">
        <v>44932</v>
      </c>
      <c r="I6964">
        <f t="shared" si="216"/>
        <v>0</v>
      </c>
      <c r="J6964" t="str">
        <f t="shared" si="217"/>
        <v>Complete</v>
      </c>
      <c r="K6964">
        <f>COUNTIFS(RawData[Item], B6964,RawData[Quantity],C6964,RawData[Price Per Unit],D6964,RawData[Total Spent],E6964,RawData[Payment Method],F6964,RawData[Location],G6964,RawData[Transaction Date],H6964)</f>
        <v>1</v>
      </c>
      <c r="L6964"/>
    </row>
    <row r="6965" spans="1:12" x14ac:dyDescent="0.3">
      <c r="A6965" t="s">
        <v>6971</v>
      </c>
      <c r="B6965" t="s">
        <v>10009</v>
      </c>
      <c r="C6965">
        <v>2</v>
      </c>
      <c r="D6965" t="s">
        <v>10015</v>
      </c>
      <c r="E6965">
        <v>6</v>
      </c>
      <c r="F6965" t="s">
        <v>10018</v>
      </c>
      <c r="G6965" t="s">
        <v>10104</v>
      </c>
      <c r="H6965" s="6">
        <v>45142</v>
      </c>
      <c r="I6965">
        <f t="shared" si="216"/>
        <v>2</v>
      </c>
      <c r="J6965" t="str">
        <f t="shared" si="217"/>
        <v>Complete</v>
      </c>
      <c r="K6965">
        <f>COUNTIFS(RawData[Item], B6965,RawData[Quantity],C6965,RawData[Price Per Unit],D6965,RawData[Total Spent],E6965,RawData[Payment Method],F6965,RawData[Location],G6965,RawData[Transaction Date],H6965)</f>
        <v>1</v>
      </c>
      <c r="L6965"/>
    </row>
    <row r="6966" spans="1:12" x14ac:dyDescent="0.3">
      <c r="A6966" t="s">
        <v>6972</v>
      </c>
      <c r="B6966" t="s">
        <v>10011</v>
      </c>
      <c r="C6966">
        <v>1</v>
      </c>
      <c r="D6966">
        <v>5</v>
      </c>
      <c r="E6966">
        <v>5</v>
      </c>
      <c r="F6966" t="s">
        <v>10069</v>
      </c>
      <c r="G6966" t="s">
        <v>10021</v>
      </c>
      <c r="H6966" s="6">
        <v>45019</v>
      </c>
      <c r="I6966">
        <f t="shared" si="216"/>
        <v>0</v>
      </c>
      <c r="J6966" t="str">
        <f t="shared" si="217"/>
        <v>Complete</v>
      </c>
      <c r="K6966">
        <f>COUNTIFS(RawData[Item], B6966,RawData[Quantity],C6966,RawData[Price Per Unit],D6966,RawData[Total Spent],E6966,RawData[Payment Method],F6966,RawData[Location],G6966,RawData[Transaction Date],H6966)</f>
        <v>1</v>
      </c>
      <c r="L6966"/>
    </row>
    <row r="6967" spans="1:12" x14ac:dyDescent="0.3">
      <c r="A6967" t="s">
        <v>6973</v>
      </c>
      <c r="B6967" t="s">
        <v>10015</v>
      </c>
      <c r="C6967">
        <v>1</v>
      </c>
      <c r="D6967">
        <v>5</v>
      </c>
      <c r="E6967">
        <v>5</v>
      </c>
      <c r="F6967" t="s">
        <v>10020</v>
      </c>
      <c r="G6967" t="s">
        <v>10102</v>
      </c>
      <c r="H6967" s="6">
        <v>44981</v>
      </c>
      <c r="I6967">
        <f t="shared" si="216"/>
        <v>1</v>
      </c>
      <c r="J6967" t="str">
        <f t="shared" si="217"/>
        <v>Complete</v>
      </c>
      <c r="K6967">
        <f>COUNTIFS(RawData[Item], B6967,RawData[Quantity],C6967,RawData[Price Per Unit],D6967,RawData[Total Spent],E6967,RawData[Payment Method],F6967,RawData[Location],G6967,RawData[Transaction Date],H6967)</f>
        <v>1</v>
      </c>
      <c r="L6967"/>
    </row>
    <row r="6968" spans="1:12" x14ac:dyDescent="0.3">
      <c r="A6968" t="s">
        <v>6974</v>
      </c>
      <c r="B6968" t="s">
        <v>10010</v>
      </c>
      <c r="C6968">
        <v>2</v>
      </c>
      <c r="D6968">
        <v>1</v>
      </c>
      <c r="E6968">
        <v>2</v>
      </c>
      <c r="F6968" t="s">
        <v>10020</v>
      </c>
      <c r="G6968" t="s">
        <v>10069</v>
      </c>
      <c r="H6968" s="6">
        <v>45006</v>
      </c>
      <c r="I6968">
        <f t="shared" si="216"/>
        <v>0</v>
      </c>
      <c r="J6968" t="str">
        <f t="shared" si="217"/>
        <v>Complete</v>
      </c>
      <c r="K6968">
        <f>COUNTIFS(RawData[Item], B6968,RawData[Quantity],C6968,RawData[Price Per Unit],D6968,RawData[Total Spent],E6968,RawData[Payment Method],F6968,RawData[Location],G6968,RawData[Transaction Date],H6968)</f>
        <v>1</v>
      </c>
      <c r="L6968"/>
    </row>
    <row r="6969" spans="1:12" x14ac:dyDescent="0.3">
      <c r="A6969" t="s">
        <v>6975</v>
      </c>
      <c r="B6969" t="s">
        <v>10012</v>
      </c>
      <c r="C6969">
        <v>1</v>
      </c>
      <c r="D6969">
        <v>4</v>
      </c>
      <c r="E6969">
        <v>4</v>
      </c>
      <c r="F6969" t="s">
        <v>10020</v>
      </c>
      <c r="G6969" t="s">
        <v>10021</v>
      </c>
      <c r="H6969" s="6">
        <v>45168</v>
      </c>
      <c r="I6969">
        <f t="shared" si="216"/>
        <v>0</v>
      </c>
      <c r="J6969" t="str">
        <f t="shared" si="217"/>
        <v>Complete</v>
      </c>
      <c r="K6969">
        <f>COUNTIFS(RawData[Item], B6969,RawData[Quantity],C6969,RawData[Price Per Unit],D6969,RawData[Total Spent],E6969,RawData[Payment Method],F6969,RawData[Location],G6969,RawData[Transaction Date],H6969)</f>
        <v>1</v>
      </c>
      <c r="L6969"/>
    </row>
    <row r="6970" spans="1:12" x14ac:dyDescent="0.3">
      <c r="A6970" t="s">
        <v>6976</v>
      </c>
      <c r="B6970" t="s">
        <v>10017</v>
      </c>
      <c r="C6970">
        <v>5</v>
      </c>
      <c r="D6970">
        <v>1.5</v>
      </c>
      <c r="E6970">
        <v>7.5</v>
      </c>
      <c r="F6970" t="s">
        <v>10020</v>
      </c>
      <c r="G6970" t="s">
        <v>10069</v>
      </c>
      <c r="H6970" s="6">
        <v>44987</v>
      </c>
      <c r="I6970">
        <f t="shared" si="216"/>
        <v>0</v>
      </c>
      <c r="J6970" t="str">
        <f t="shared" si="217"/>
        <v>Complete</v>
      </c>
      <c r="K6970">
        <f>COUNTIFS(RawData[Item], B6970,RawData[Quantity],C6970,RawData[Price Per Unit],D6970,RawData[Total Spent],E6970,RawData[Payment Method],F6970,RawData[Location],G6970,RawData[Transaction Date],H6970)</f>
        <v>1</v>
      </c>
      <c r="L6970"/>
    </row>
    <row r="6971" spans="1:12" x14ac:dyDescent="0.3">
      <c r="A6971" t="s">
        <v>6977</v>
      </c>
      <c r="B6971" t="s">
        <v>10012</v>
      </c>
      <c r="C6971">
        <v>5</v>
      </c>
      <c r="D6971">
        <v>4</v>
      </c>
      <c r="E6971">
        <v>20</v>
      </c>
      <c r="F6971" t="s">
        <v>10103</v>
      </c>
      <c r="G6971" t="s">
        <v>10069</v>
      </c>
      <c r="H6971" s="6">
        <v>45154</v>
      </c>
      <c r="I6971">
        <f t="shared" si="216"/>
        <v>1</v>
      </c>
      <c r="J6971" t="str">
        <f t="shared" si="217"/>
        <v>Complete</v>
      </c>
      <c r="K6971">
        <f>COUNTIFS(RawData[Item], B6971,RawData[Quantity],C6971,RawData[Price Per Unit],D6971,RawData[Total Spent],E6971,RawData[Payment Method],F6971,RawData[Location],G6971,RawData[Transaction Date],H6971)</f>
        <v>1</v>
      </c>
      <c r="L6971"/>
    </row>
    <row r="6972" spans="1:12" x14ac:dyDescent="0.3">
      <c r="A6972" t="s">
        <v>6978</v>
      </c>
      <c r="B6972" t="s">
        <v>10015</v>
      </c>
      <c r="C6972">
        <v>1</v>
      </c>
      <c r="D6972">
        <v>5</v>
      </c>
      <c r="E6972">
        <v>5</v>
      </c>
      <c r="F6972" t="s">
        <v>10069</v>
      </c>
      <c r="G6972" t="s">
        <v>10021</v>
      </c>
      <c r="H6972" s="6">
        <v>45023</v>
      </c>
      <c r="I6972">
        <f t="shared" si="216"/>
        <v>1</v>
      </c>
      <c r="J6972" t="str">
        <f t="shared" si="217"/>
        <v>Complete</v>
      </c>
      <c r="K6972">
        <f>COUNTIFS(RawData[Item], B6972,RawData[Quantity],C6972,RawData[Price Per Unit],D6972,RawData[Total Spent],E6972,RawData[Payment Method],F6972,RawData[Location],G6972,RawData[Transaction Date],H6972)</f>
        <v>1</v>
      </c>
      <c r="L6972"/>
    </row>
    <row r="6973" spans="1:12" x14ac:dyDescent="0.3">
      <c r="A6973" t="s">
        <v>6979</v>
      </c>
      <c r="B6973" t="s">
        <v>10016</v>
      </c>
      <c r="C6973">
        <v>5</v>
      </c>
      <c r="D6973">
        <v>3</v>
      </c>
      <c r="E6973">
        <v>15</v>
      </c>
      <c r="F6973" t="s">
        <v>10018</v>
      </c>
      <c r="G6973" t="s">
        <v>10102</v>
      </c>
      <c r="H6973" s="6">
        <v>45252</v>
      </c>
      <c r="I6973">
        <f t="shared" si="216"/>
        <v>0</v>
      </c>
      <c r="J6973" t="str">
        <f t="shared" si="217"/>
        <v>Complete</v>
      </c>
      <c r="K6973">
        <f>COUNTIFS(RawData[Item], B6973,RawData[Quantity],C6973,RawData[Price Per Unit],D6973,RawData[Total Spent],E6973,RawData[Payment Method],F6973,RawData[Location],G6973,RawData[Transaction Date],H6973)</f>
        <v>1</v>
      </c>
      <c r="L6973"/>
    </row>
    <row r="6974" spans="1:12" x14ac:dyDescent="0.3">
      <c r="A6974" t="s">
        <v>6980</v>
      </c>
      <c r="B6974" t="s">
        <v>10016</v>
      </c>
      <c r="C6974">
        <v>2</v>
      </c>
      <c r="D6974">
        <v>3</v>
      </c>
      <c r="E6974">
        <v>6</v>
      </c>
      <c r="F6974" t="s">
        <v>10019</v>
      </c>
      <c r="G6974" t="s">
        <v>10021</v>
      </c>
      <c r="H6974" s="6">
        <v>45232</v>
      </c>
      <c r="I6974">
        <f t="shared" si="216"/>
        <v>0</v>
      </c>
      <c r="J6974" t="str">
        <f t="shared" si="217"/>
        <v>Complete</v>
      </c>
      <c r="K6974">
        <f>COUNTIFS(RawData[Item], B6974,RawData[Quantity],C6974,RawData[Price Per Unit],D6974,RawData[Total Spent],E6974,RawData[Payment Method],F6974,RawData[Location],G6974,RawData[Transaction Date],H6974)</f>
        <v>1</v>
      </c>
      <c r="L6974"/>
    </row>
    <row r="6975" spans="1:12" x14ac:dyDescent="0.3">
      <c r="A6975" t="s">
        <v>6981</v>
      </c>
      <c r="B6975" t="s">
        <v>10016</v>
      </c>
      <c r="C6975">
        <v>2</v>
      </c>
      <c r="D6975">
        <v>3</v>
      </c>
      <c r="E6975">
        <v>6</v>
      </c>
      <c r="F6975" t="s">
        <v>10020</v>
      </c>
      <c r="G6975" t="s">
        <v>10102</v>
      </c>
      <c r="H6975" s="6">
        <v>45269</v>
      </c>
      <c r="I6975">
        <f t="shared" si="216"/>
        <v>0</v>
      </c>
      <c r="J6975" t="str">
        <f t="shared" si="217"/>
        <v>Complete</v>
      </c>
      <c r="K6975">
        <f>COUNTIFS(RawData[Item], B6975,RawData[Quantity],C6975,RawData[Price Per Unit],D6975,RawData[Total Spent],E6975,RawData[Payment Method],F6975,RawData[Location],G6975,RawData[Transaction Date],H6975)</f>
        <v>1</v>
      </c>
      <c r="L6975"/>
    </row>
    <row r="6976" spans="1:12" x14ac:dyDescent="0.3">
      <c r="A6976" t="s">
        <v>6982</v>
      </c>
      <c r="B6976" t="s">
        <v>10014</v>
      </c>
      <c r="C6976">
        <v>1</v>
      </c>
      <c r="D6976">
        <v>4</v>
      </c>
      <c r="E6976">
        <v>4</v>
      </c>
      <c r="F6976" t="s">
        <v>10019</v>
      </c>
      <c r="G6976" t="s">
        <v>10021</v>
      </c>
      <c r="H6976" s="6" t="s">
        <v>10112</v>
      </c>
      <c r="I6976">
        <f t="shared" si="216"/>
        <v>1</v>
      </c>
      <c r="J6976" t="str">
        <f t="shared" si="217"/>
        <v>Incomplete</v>
      </c>
      <c r="K6976">
        <f>COUNTIFS(RawData[Item], B6976,RawData[Quantity],C6976,RawData[Price Per Unit],D6976,RawData[Total Spent],E6976,RawData[Payment Method],F6976,RawData[Location],G6976,RawData[Transaction Date],H6976)</f>
        <v>2</v>
      </c>
      <c r="L6976"/>
    </row>
    <row r="6977" spans="1:12" x14ac:dyDescent="0.3">
      <c r="A6977" t="s">
        <v>6983</v>
      </c>
      <c r="B6977" t="s">
        <v>10014</v>
      </c>
      <c r="C6977">
        <v>1</v>
      </c>
      <c r="D6977">
        <v>4</v>
      </c>
      <c r="E6977">
        <v>4</v>
      </c>
      <c r="F6977" t="s">
        <v>10019</v>
      </c>
      <c r="G6977" t="s">
        <v>10021</v>
      </c>
      <c r="H6977" s="6">
        <v>45028</v>
      </c>
      <c r="I6977">
        <f t="shared" si="216"/>
        <v>0</v>
      </c>
      <c r="J6977" t="str">
        <f t="shared" si="217"/>
        <v>Complete</v>
      </c>
      <c r="K6977">
        <f>COUNTIFS(RawData[Item], B6977,RawData[Quantity],C6977,RawData[Price Per Unit],D6977,RawData[Total Spent],E6977,RawData[Payment Method],F6977,RawData[Location],G6977,RawData[Transaction Date],H6977)</f>
        <v>1</v>
      </c>
      <c r="L6977"/>
    </row>
    <row r="6978" spans="1:12" x14ac:dyDescent="0.3">
      <c r="A6978" t="s">
        <v>6984</v>
      </c>
      <c r="B6978" t="s">
        <v>10010</v>
      </c>
      <c r="C6978">
        <v>3</v>
      </c>
      <c r="D6978">
        <v>1</v>
      </c>
      <c r="E6978">
        <v>3</v>
      </c>
      <c r="F6978" t="s">
        <v>10018</v>
      </c>
      <c r="G6978" t="s">
        <v>10103</v>
      </c>
      <c r="H6978" s="6">
        <v>44963</v>
      </c>
      <c r="I6978">
        <f t="shared" ref="I6978:I7041" si="218">(B6978="Unknown")+(B6978="Error")+(C6978="Unknown")+(C6978="Error")+(D6978="Unknown")+(D6978="Error")+(E6978="Unknown")+(E6978="Error")+(F6978="Unknown")+(F6978="Error")+(G6978="Unknown")+(G6978="Error")+(H6978="No Date")</f>
        <v>1</v>
      </c>
      <c r="J6978" t="str">
        <f t="shared" ref="J6978:J7041" si="219">IF((H6978="No Date"),"Incomplete","Complete")</f>
        <v>Complete</v>
      </c>
      <c r="K6978">
        <f>COUNTIFS(RawData[Item], B6978,RawData[Quantity],C6978,RawData[Price Per Unit],D6978,RawData[Total Spent],E6978,RawData[Payment Method],F6978,RawData[Location],G6978,RawData[Transaction Date],H6978)</f>
        <v>1</v>
      </c>
      <c r="L6978"/>
    </row>
    <row r="6979" spans="1:12" x14ac:dyDescent="0.3">
      <c r="A6979" t="s">
        <v>6985</v>
      </c>
      <c r="B6979" t="s">
        <v>10008</v>
      </c>
      <c r="C6979">
        <v>5</v>
      </c>
      <c r="D6979">
        <v>2</v>
      </c>
      <c r="E6979">
        <v>10</v>
      </c>
      <c r="F6979" t="s">
        <v>10069</v>
      </c>
      <c r="G6979" t="s">
        <v>10102</v>
      </c>
      <c r="H6979" s="6">
        <v>45109</v>
      </c>
      <c r="I6979">
        <f t="shared" si="218"/>
        <v>0</v>
      </c>
      <c r="J6979" t="str">
        <f t="shared" si="219"/>
        <v>Complete</v>
      </c>
      <c r="K6979">
        <f>COUNTIFS(RawData[Item], B6979,RawData[Quantity],C6979,RawData[Price Per Unit],D6979,RawData[Total Spent],E6979,RawData[Payment Method],F6979,RawData[Location],G6979,RawData[Transaction Date],H6979)</f>
        <v>1</v>
      </c>
      <c r="L6979"/>
    </row>
    <row r="6980" spans="1:12" x14ac:dyDescent="0.3">
      <c r="A6980" t="s">
        <v>6986</v>
      </c>
      <c r="B6980" t="s">
        <v>10014</v>
      </c>
      <c r="C6980">
        <v>4</v>
      </c>
      <c r="D6980">
        <v>4</v>
      </c>
      <c r="E6980">
        <v>16</v>
      </c>
      <c r="F6980" t="s">
        <v>10019</v>
      </c>
      <c r="G6980" t="s">
        <v>10021</v>
      </c>
      <c r="H6980" s="6">
        <v>44928</v>
      </c>
      <c r="I6980">
        <f t="shared" si="218"/>
        <v>0</v>
      </c>
      <c r="J6980" t="str">
        <f t="shared" si="219"/>
        <v>Complete</v>
      </c>
      <c r="K6980">
        <f>COUNTIFS(RawData[Item], B6980,RawData[Quantity],C6980,RawData[Price Per Unit],D6980,RawData[Total Spent],E6980,RawData[Payment Method],F6980,RawData[Location],G6980,RawData[Transaction Date],H6980)</f>
        <v>1</v>
      </c>
      <c r="L6980"/>
    </row>
    <row r="6981" spans="1:12" x14ac:dyDescent="0.3">
      <c r="A6981" t="s">
        <v>6987</v>
      </c>
      <c r="B6981" t="s">
        <v>10008</v>
      </c>
      <c r="C6981">
        <v>3</v>
      </c>
      <c r="D6981">
        <v>2</v>
      </c>
      <c r="E6981">
        <v>6</v>
      </c>
      <c r="F6981" t="s">
        <v>10069</v>
      </c>
      <c r="G6981" t="s">
        <v>10021</v>
      </c>
      <c r="H6981" s="6">
        <v>45077</v>
      </c>
      <c r="I6981">
        <f t="shared" si="218"/>
        <v>0</v>
      </c>
      <c r="J6981" t="str">
        <f t="shared" si="219"/>
        <v>Complete</v>
      </c>
      <c r="K6981">
        <f>COUNTIFS(RawData[Item], B6981,RawData[Quantity],C6981,RawData[Price Per Unit],D6981,RawData[Total Spent],E6981,RawData[Payment Method],F6981,RawData[Location],G6981,RawData[Transaction Date],H6981)</f>
        <v>1</v>
      </c>
      <c r="L6981"/>
    </row>
    <row r="6982" spans="1:12" x14ac:dyDescent="0.3">
      <c r="A6982" t="s">
        <v>6988</v>
      </c>
      <c r="B6982" t="s">
        <v>10016</v>
      </c>
      <c r="C6982">
        <v>3</v>
      </c>
      <c r="D6982">
        <v>3</v>
      </c>
      <c r="E6982">
        <v>9</v>
      </c>
      <c r="F6982" t="s">
        <v>10103</v>
      </c>
      <c r="G6982" t="s">
        <v>10069</v>
      </c>
      <c r="H6982" s="6">
        <v>45168</v>
      </c>
      <c r="I6982">
        <f t="shared" si="218"/>
        <v>1</v>
      </c>
      <c r="J6982" t="str">
        <f t="shared" si="219"/>
        <v>Complete</v>
      </c>
      <c r="K6982">
        <f>COUNTIFS(RawData[Item], B6982,RawData[Quantity],C6982,RawData[Price Per Unit],D6982,RawData[Total Spent],E6982,RawData[Payment Method],F6982,RawData[Location],G6982,RawData[Transaction Date],H6982)</f>
        <v>1</v>
      </c>
      <c r="L6982"/>
    </row>
    <row r="6983" spans="1:12" x14ac:dyDescent="0.3">
      <c r="A6983" t="s">
        <v>6989</v>
      </c>
      <c r="B6983" t="s">
        <v>10014</v>
      </c>
      <c r="C6983">
        <v>4</v>
      </c>
      <c r="D6983">
        <v>4</v>
      </c>
      <c r="E6983">
        <v>16</v>
      </c>
      <c r="F6983" t="s">
        <v>10069</v>
      </c>
      <c r="G6983" t="s">
        <v>10069</v>
      </c>
      <c r="H6983" s="6">
        <v>45035</v>
      </c>
      <c r="I6983">
        <f t="shared" si="218"/>
        <v>0</v>
      </c>
      <c r="J6983" t="str">
        <f t="shared" si="219"/>
        <v>Complete</v>
      </c>
      <c r="K6983">
        <f>COUNTIFS(RawData[Item], B6983,RawData[Quantity],C6983,RawData[Price Per Unit],D6983,RawData[Total Spent],E6983,RawData[Payment Method],F6983,RawData[Location],G6983,RawData[Transaction Date],H6983)</f>
        <v>1</v>
      </c>
      <c r="L6983"/>
    </row>
    <row r="6984" spans="1:12" x14ac:dyDescent="0.3">
      <c r="A6984" t="s">
        <v>6990</v>
      </c>
      <c r="B6984" t="s">
        <v>10012</v>
      </c>
      <c r="C6984">
        <v>2</v>
      </c>
      <c r="D6984">
        <v>4</v>
      </c>
      <c r="E6984">
        <v>8</v>
      </c>
      <c r="F6984" t="s">
        <v>10020</v>
      </c>
      <c r="G6984" t="s">
        <v>10021</v>
      </c>
      <c r="H6984" s="6">
        <v>44948</v>
      </c>
      <c r="I6984">
        <f t="shared" si="218"/>
        <v>0</v>
      </c>
      <c r="J6984" t="str">
        <f t="shared" si="219"/>
        <v>Complete</v>
      </c>
      <c r="K6984">
        <f>COUNTIFS(RawData[Item], B6984,RawData[Quantity],C6984,RawData[Price Per Unit],D6984,RawData[Total Spent],E6984,RawData[Payment Method],F6984,RawData[Location],G6984,RawData[Transaction Date],H6984)</f>
        <v>1</v>
      </c>
      <c r="L6984"/>
    </row>
    <row r="6985" spans="1:12" x14ac:dyDescent="0.3">
      <c r="A6985" t="s">
        <v>6991</v>
      </c>
      <c r="B6985" t="s">
        <v>10011</v>
      </c>
      <c r="C6985">
        <v>4</v>
      </c>
      <c r="D6985">
        <v>5</v>
      </c>
      <c r="E6985">
        <v>20</v>
      </c>
      <c r="F6985" t="s">
        <v>10018</v>
      </c>
      <c r="G6985" t="s">
        <v>10021</v>
      </c>
      <c r="H6985" s="6">
        <v>45164</v>
      </c>
      <c r="I6985">
        <f t="shared" si="218"/>
        <v>0</v>
      </c>
      <c r="J6985" t="str">
        <f t="shared" si="219"/>
        <v>Complete</v>
      </c>
      <c r="K6985">
        <f>COUNTIFS(RawData[Item], B6985,RawData[Quantity],C6985,RawData[Price Per Unit],D6985,RawData[Total Spent],E6985,RawData[Payment Method],F6985,RawData[Location],G6985,RawData[Transaction Date],H6985)</f>
        <v>1</v>
      </c>
      <c r="L6985"/>
    </row>
    <row r="6986" spans="1:12" x14ac:dyDescent="0.3">
      <c r="A6986" t="s">
        <v>6992</v>
      </c>
      <c r="B6986" t="s">
        <v>10016</v>
      </c>
      <c r="C6986">
        <v>2</v>
      </c>
      <c r="D6986">
        <v>3</v>
      </c>
      <c r="E6986">
        <v>6</v>
      </c>
      <c r="F6986" t="s">
        <v>10020</v>
      </c>
      <c r="G6986" t="s">
        <v>10102</v>
      </c>
      <c r="H6986" s="6">
        <v>45070</v>
      </c>
      <c r="I6986">
        <f t="shared" si="218"/>
        <v>0</v>
      </c>
      <c r="J6986" t="str">
        <f t="shared" si="219"/>
        <v>Complete</v>
      </c>
      <c r="K6986">
        <f>COUNTIFS(RawData[Item], B6986,RawData[Quantity],C6986,RawData[Price Per Unit],D6986,RawData[Total Spent],E6986,RawData[Payment Method],F6986,RawData[Location],G6986,RawData[Transaction Date],H6986)</f>
        <v>1</v>
      </c>
      <c r="L6986"/>
    </row>
    <row r="6987" spans="1:12" x14ac:dyDescent="0.3">
      <c r="A6987" t="s">
        <v>6993</v>
      </c>
      <c r="B6987" t="s">
        <v>10017</v>
      </c>
      <c r="C6987">
        <v>2</v>
      </c>
      <c r="D6987">
        <v>1.5</v>
      </c>
      <c r="E6987">
        <v>3</v>
      </c>
      <c r="F6987" t="s">
        <v>10020</v>
      </c>
      <c r="G6987" t="s">
        <v>10069</v>
      </c>
      <c r="H6987" s="6">
        <v>45117</v>
      </c>
      <c r="I6987">
        <f t="shared" si="218"/>
        <v>0</v>
      </c>
      <c r="J6987" t="str">
        <f t="shared" si="219"/>
        <v>Complete</v>
      </c>
      <c r="K6987">
        <f>COUNTIFS(RawData[Item], B6987,RawData[Quantity],C6987,RawData[Price Per Unit],D6987,RawData[Total Spent],E6987,RawData[Payment Method],F6987,RawData[Location],G6987,RawData[Transaction Date],H6987)</f>
        <v>1</v>
      </c>
      <c r="L6987"/>
    </row>
    <row r="6988" spans="1:12" x14ac:dyDescent="0.3">
      <c r="A6988" t="s">
        <v>6994</v>
      </c>
      <c r="B6988" t="s">
        <v>10008</v>
      </c>
      <c r="C6988">
        <v>4</v>
      </c>
      <c r="D6988">
        <v>2</v>
      </c>
      <c r="E6988">
        <v>8</v>
      </c>
      <c r="F6988" t="s">
        <v>10019</v>
      </c>
      <c r="G6988" t="s">
        <v>10102</v>
      </c>
      <c r="H6988" s="6">
        <v>45112</v>
      </c>
      <c r="I6988">
        <f t="shared" si="218"/>
        <v>0</v>
      </c>
      <c r="J6988" t="str">
        <f t="shared" si="219"/>
        <v>Complete</v>
      </c>
      <c r="K6988">
        <f>COUNTIFS(RawData[Item], B6988,RawData[Quantity],C6988,RawData[Price Per Unit],D6988,RawData[Total Spent],E6988,RawData[Payment Method],F6988,RawData[Location],G6988,RawData[Transaction Date],H6988)</f>
        <v>1</v>
      </c>
      <c r="L6988"/>
    </row>
    <row r="6989" spans="1:12" x14ac:dyDescent="0.3">
      <c r="A6989" t="s">
        <v>6995</v>
      </c>
      <c r="B6989" t="s">
        <v>10017</v>
      </c>
      <c r="C6989">
        <v>3</v>
      </c>
      <c r="D6989">
        <v>1.5</v>
      </c>
      <c r="E6989">
        <v>4.5</v>
      </c>
      <c r="F6989" t="s">
        <v>10069</v>
      </c>
      <c r="G6989" t="s">
        <v>10021</v>
      </c>
      <c r="H6989" s="6">
        <v>45134</v>
      </c>
      <c r="I6989">
        <f t="shared" si="218"/>
        <v>0</v>
      </c>
      <c r="J6989" t="str">
        <f t="shared" si="219"/>
        <v>Complete</v>
      </c>
      <c r="K6989">
        <f>COUNTIFS(RawData[Item], B6989,RawData[Quantity],C6989,RawData[Price Per Unit],D6989,RawData[Total Spent],E6989,RawData[Payment Method],F6989,RawData[Location],G6989,RawData[Transaction Date],H6989)</f>
        <v>1</v>
      </c>
      <c r="L6989"/>
    </row>
    <row r="6990" spans="1:12" x14ac:dyDescent="0.3">
      <c r="A6990" t="s">
        <v>6996</v>
      </c>
      <c r="B6990" t="s">
        <v>10015</v>
      </c>
      <c r="C6990">
        <v>3</v>
      </c>
      <c r="D6990">
        <v>3</v>
      </c>
      <c r="E6990">
        <v>9</v>
      </c>
      <c r="F6990" t="s">
        <v>10069</v>
      </c>
      <c r="G6990" t="s">
        <v>10069</v>
      </c>
      <c r="H6990" s="6">
        <v>45253</v>
      </c>
      <c r="I6990">
        <f t="shared" si="218"/>
        <v>1</v>
      </c>
      <c r="J6990" t="str">
        <f t="shared" si="219"/>
        <v>Complete</v>
      </c>
      <c r="K6990">
        <f>COUNTIFS(RawData[Item], B6990,RawData[Quantity],C6990,RawData[Price Per Unit],D6990,RawData[Total Spent],E6990,RawData[Payment Method],F6990,RawData[Location],G6990,RawData[Transaction Date],H6990)</f>
        <v>1</v>
      </c>
      <c r="L6990"/>
    </row>
    <row r="6991" spans="1:12" x14ac:dyDescent="0.3">
      <c r="A6991" t="s">
        <v>6997</v>
      </c>
      <c r="B6991" t="s">
        <v>10009</v>
      </c>
      <c r="C6991">
        <v>3</v>
      </c>
      <c r="D6991">
        <v>3</v>
      </c>
      <c r="E6991">
        <v>9</v>
      </c>
      <c r="F6991" t="s">
        <v>10103</v>
      </c>
      <c r="G6991" t="s">
        <v>10102</v>
      </c>
      <c r="H6991" s="6">
        <v>45002</v>
      </c>
      <c r="I6991">
        <f t="shared" si="218"/>
        <v>1</v>
      </c>
      <c r="J6991" t="str">
        <f t="shared" si="219"/>
        <v>Complete</v>
      </c>
      <c r="K6991">
        <f>COUNTIFS(RawData[Item], B6991,RawData[Quantity],C6991,RawData[Price Per Unit],D6991,RawData[Total Spent],E6991,RawData[Payment Method],F6991,RawData[Location],G6991,RawData[Transaction Date],H6991)</f>
        <v>1</v>
      </c>
      <c r="L6991"/>
    </row>
    <row r="6992" spans="1:12" x14ac:dyDescent="0.3">
      <c r="A6992" t="s">
        <v>6998</v>
      </c>
      <c r="B6992" t="s">
        <v>10014</v>
      </c>
      <c r="C6992">
        <v>1</v>
      </c>
      <c r="D6992">
        <v>4</v>
      </c>
      <c r="E6992">
        <v>4</v>
      </c>
      <c r="F6992" t="s">
        <v>10020</v>
      </c>
      <c r="G6992" t="s">
        <v>10102</v>
      </c>
      <c r="H6992" s="6">
        <v>45032</v>
      </c>
      <c r="I6992">
        <f t="shared" si="218"/>
        <v>0</v>
      </c>
      <c r="J6992" t="str">
        <f t="shared" si="219"/>
        <v>Complete</v>
      </c>
      <c r="K6992">
        <f>COUNTIFS(RawData[Item], B6992,RawData[Quantity],C6992,RawData[Price Per Unit],D6992,RawData[Total Spent],E6992,RawData[Payment Method],F6992,RawData[Location],G6992,RawData[Transaction Date],H6992)</f>
        <v>1</v>
      </c>
      <c r="L6992"/>
    </row>
    <row r="6993" spans="1:12" x14ac:dyDescent="0.3">
      <c r="A6993" t="s">
        <v>6999</v>
      </c>
      <c r="B6993" t="s">
        <v>10008</v>
      </c>
      <c r="C6993">
        <v>1</v>
      </c>
      <c r="D6993">
        <v>2</v>
      </c>
      <c r="E6993">
        <v>2</v>
      </c>
      <c r="F6993" t="s">
        <v>10069</v>
      </c>
      <c r="G6993" t="s">
        <v>10102</v>
      </c>
      <c r="H6993" s="6">
        <v>45093</v>
      </c>
      <c r="I6993">
        <f t="shared" si="218"/>
        <v>0</v>
      </c>
      <c r="J6993" t="str">
        <f t="shared" si="219"/>
        <v>Complete</v>
      </c>
      <c r="K6993">
        <f>COUNTIFS(RawData[Item], B6993,RawData[Quantity],C6993,RawData[Price Per Unit],D6993,RawData[Total Spent],E6993,RawData[Payment Method],F6993,RawData[Location],G6993,RawData[Transaction Date],H6993)</f>
        <v>1</v>
      </c>
      <c r="L6993"/>
    </row>
    <row r="6994" spans="1:12" x14ac:dyDescent="0.3">
      <c r="A6994" t="s">
        <v>7000</v>
      </c>
      <c r="B6994" t="s">
        <v>10017</v>
      </c>
      <c r="C6994">
        <v>3</v>
      </c>
      <c r="D6994">
        <v>0</v>
      </c>
      <c r="E6994">
        <v>4.5</v>
      </c>
      <c r="F6994" t="s">
        <v>10069</v>
      </c>
      <c r="G6994" t="s">
        <v>10021</v>
      </c>
      <c r="H6994" s="6">
        <v>45216</v>
      </c>
      <c r="I6994">
        <f t="shared" si="218"/>
        <v>0</v>
      </c>
      <c r="J6994" t="str">
        <f t="shared" si="219"/>
        <v>Complete</v>
      </c>
      <c r="K6994">
        <f>COUNTIFS(RawData[Item], B6994,RawData[Quantity],C6994,RawData[Price Per Unit],D6994,RawData[Total Spent],E6994,RawData[Payment Method],F6994,RawData[Location],G6994,RawData[Transaction Date],H6994)</f>
        <v>1</v>
      </c>
      <c r="L6994"/>
    </row>
    <row r="6995" spans="1:12" x14ac:dyDescent="0.3">
      <c r="A6995" t="s">
        <v>7001</v>
      </c>
      <c r="B6995" t="s">
        <v>10016</v>
      </c>
      <c r="C6995">
        <v>2</v>
      </c>
      <c r="D6995">
        <v>3</v>
      </c>
      <c r="E6995">
        <v>6</v>
      </c>
      <c r="F6995" t="s">
        <v>10018</v>
      </c>
      <c r="G6995" t="s">
        <v>10069</v>
      </c>
      <c r="H6995" s="6">
        <v>45084</v>
      </c>
      <c r="I6995">
        <f t="shared" si="218"/>
        <v>0</v>
      </c>
      <c r="J6995" t="str">
        <f t="shared" si="219"/>
        <v>Complete</v>
      </c>
      <c r="K6995">
        <f>COUNTIFS(RawData[Item], B6995,RawData[Quantity],C6995,RawData[Price Per Unit],D6995,RawData[Total Spent],E6995,RawData[Payment Method],F6995,RawData[Location],G6995,RawData[Transaction Date],H6995)</f>
        <v>1</v>
      </c>
      <c r="L6995"/>
    </row>
    <row r="6996" spans="1:12" x14ac:dyDescent="0.3">
      <c r="A6996" t="s">
        <v>7002</v>
      </c>
      <c r="B6996" t="s">
        <v>10009</v>
      </c>
      <c r="C6996">
        <v>1</v>
      </c>
      <c r="D6996">
        <v>3</v>
      </c>
      <c r="E6996">
        <v>3</v>
      </c>
      <c r="F6996" t="s">
        <v>10020</v>
      </c>
      <c r="G6996" t="s">
        <v>10102</v>
      </c>
      <c r="H6996" s="6">
        <v>45205</v>
      </c>
      <c r="I6996">
        <f t="shared" si="218"/>
        <v>0</v>
      </c>
      <c r="J6996" t="str">
        <f t="shared" si="219"/>
        <v>Complete</v>
      </c>
      <c r="K6996">
        <f>COUNTIFS(RawData[Item], B6996,RawData[Quantity],C6996,RawData[Price Per Unit],D6996,RawData[Total Spent],E6996,RawData[Payment Method],F6996,RawData[Location],G6996,RawData[Transaction Date],H6996)</f>
        <v>1</v>
      </c>
      <c r="L6996"/>
    </row>
    <row r="6997" spans="1:12" x14ac:dyDescent="0.3">
      <c r="A6997" t="s">
        <v>7003</v>
      </c>
      <c r="B6997" t="s">
        <v>10010</v>
      </c>
      <c r="C6997">
        <v>4</v>
      </c>
      <c r="D6997">
        <v>1</v>
      </c>
      <c r="E6997">
        <v>4</v>
      </c>
      <c r="F6997" t="s">
        <v>10069</v>
      </c>
      <c r="G6997" t="s">
        <v>10102</v>
      </c>
      <c r="H6997" s="6">
        <v>45126</v>
      </c>
      <c r="I6997">
        <f t="shared" si="218"/>
        <v>0</v>
      </c>
      <c r="J6997" t="str">
        <f t="shared" si="219"/>
        <v>Complete</v>
      </c>
      <c r="K6997">
        <f>COUNTIFS(RawData[Item], B6997,RawData[Quantity],C6997,RawData[Price Per Unit],D6997,RawData[Total Spent],E6997,RawData[Payment Method],F6997,RawData[Location],G6997,RawData[Transaction Date],H6997)</f>
        <v>1</v>
      </c>
      <c r="L6997"/>
    </row>
    <row r="6998" spans="1:12" x14ac:dyDescent="0.3">
      <c r="A6998" t="s">
        <v>7004</v>
      </c>
      <c r="B6998" t="s">
        <v>10008</v>
      </c>
      <c r="C6998">
        <v>1</v>
      </c>
      <c r="D6998">
        <v>2</v>
      </c>
      <c r="E6998">
        <v>2</v>
      </c>
      <c r="F6998" t="s">
        <v>10019</v>
      </c>
      <c r="G6998" t="s">
        <v>10021</v>
      </c>
      <c r="H6998" s="6">
        <v>44995</v>
      </c>
      <c r="I6998">
        <f t="shared" si="218"/>
        <v>0</v>
      </c>
      <c r="J6998" t="str">
        <f t="shared" si="219"/>
        <v>Complete</v>
      </c>
      <c r="K6998">
        <f>COUNTIFS(RawData[Item], B6998,RawData[Quantity],C6998,RawData[Price Per Unit],D6998,RawData[Total Spent],E6998,RawData[Payment Method],F6998,RawData[Location],G6998,RawData[Transaction Date],H6998)</f>
        <v>1</v>
      </c>
      <c r="L6998"/>
    </row>
    <row r="6999" spans="1:12" x14ac:dyDescent="0.3">
      <c r="A6999" t="s">
        <v>7005</v>
      </c>
      <c r="B6999" t="s">
        <v>10016</v>
      </c>
      <c r="C6999">
        <v>1</v>
      </c>
      <c r="D6999">
        <v>3</v>
      </c>
      <c r="E6999">
        <v>3</v>
      </c>
      <c r="F6999" t="s">
        <v>10069</v>
      </c>
      <c r="G6999" t="s">
        <v>10021</v>
      </c>
      <c r="H6999" s="6">
        <v>45159</v>
      </c>
      <c r="I6999">
        <f t="shared" si="218"/>
        <v>0</v>
      </c>
      <c r="J6999" t="str">
        <f t="shared" si="219"/>
        <v>Complete</v>
      </c>
      <c r="K6999">
        <f>COUNTIFS(RawData[Item], B6999,RawData[Quantity],C6999,RawData[Price Per Unit],D6999,RawData[Total Spent],E6999,RawData[Payment Method],F6999,RawData[Location],G6999,RawData[Transaction Date],H6999)</f>
        <v>1</v>
      </c>
      <c r="L6999"/>
    </row>
    <row r="7000" spans="1:12" x14ac:dyDescent="0.3">
      <c r="A7000" t="s">
        <v>7006</v>
      </c>
      <c r="B7000" t="s">
        <v>10016</v>
      </c>
      <c r="C7000">
        <v>3</v>
      </c>
      <c r="D7000">
        <v>3</v>
      </c>
      <c r="E7000">
        <v>9</v>
      </c>
      <c r="F7000" t="s">
        <v>10019</v>
      </c>
      <c r="G7000" t="s">
        <v>10102</v>
      </c>
      <c r="H7000" s="6" t="s">
        <v>10112</v>
      </c>
      <c r="I7000">
        <f t="shared" si="218"/>
        <v>1</v>
      </c>
      <c r="J7000" t="str">
        <f t="shared" si="219"/>
        <v>Incomplete</v>
      </c>
      <c r="K7000">
        <f>COUNTIFS(RawData[Item], B7000,RawData[Quantity],C7000,RawData[Price Per Unit],D7000,RawData[Total Spent],E7000,RawData[Payment Method],F7000,RawData[Location],G7000,RawData[Transaction Date],H7000)</f>
        <v>2</v>
      </c>
      <c r="L7000"/>
    </row>
    <row r="7001" spans="1:12" x14ac:dyDescent="0.3">
      <c r="A7001" t="s">
        <v>7007</v>
      </c>
      <c r="B7001" t="s">
        <v>10011</v>
      </c>
      <c r="C7001">
        <v>3</v>
      </c>
      <c r="D7001">
        <v>5</v>
      </c>
      <c r="E7001">
        <v>15</v>
      </c>
      <c r="F7001" t="s">
        <v>10019</v>
      </c>
      <c r="G7001" t="s">
        <v>10069</v>
      </c>
      <c r="H7001" s="6">
        <v>45222</v>
      </c>
      <c r="I7001">
        <f t="shared" si="218"/>
        <v>0</v>
      </c>
      <c r="J7001" t="str">
        <f t="shared" si="219"/>
        <v>Complete</v>
      </c>
      <c r="K7001">
        <f>COUNTIFS(RawData[Item], B7001,RawData[Quantity],C7001,RawData[Price Per Unit],D7001,RawData[Total Spent],E7001,RawData[Payment Method],F7001,RawData[Location],G7001,RawData[Transaction Date],H7001)</f>
        <v>1</v>
      </c>
      <c r="L7001"/>
    </row>
    <row r="7002" spans="1:12" x14ac:dyDescent="0.3">
      <c r="A7002" t="s">
        <v>7008</v>
      </c>
      <c r="B7002" t="s">
        <v>10008</v>
      </c>
      <c r="C7002">
        <v>3</v>
      </c>
      <c r="D7002">
        <v>2</v>
      </c>
      <c r="E7002">
        <v>0</v>
      </c>
      <c r="F7002" t="s">
        <v>10019</v>
      </c>
      <c r="G7002" t="s">
        <v>10102</v>
      </c>
      <c r="H7002" s="6">
        <v>45224</v>
      </c>
      <c r="I7002">
        <f t="shared" si="218"/>
        <v>0</v>
      </c>
      <c r="J7002" t="str">
        <f t="shared" si="219"/>
        <v>Complete</v>
      </c>
      <c r="K7002">
        <f>COUNTIFS(RawData[Item], B7002,RawData[Quantity],C7002,RawData[Price Per Unit],D7002,RawData[Total Spent],E7002,RawData[Payment Method],F7002,RawData[Location],G7002,RawData[Transaction Date],H7002)</f>
        <v>1</v>
      </c>
      <c r="L7002"/>
    </row>
    <row r="7003" spans="1:12" x14ac:dyDescent="0.3">
      <c r="A7003" t="s">
        <v>7009</v>
      </c>
      <c r="B7003" t="s">
        <v>10016</v>
      </c>
      <c r="C7003">
        <v>4</v>
      </c>
      <c r="D7003">
        <v>3</v>
      </c>
      <c r="E7003">
        <v>12</v>
      </c>
      <c r="F7003" t="s">
        <v>10020</v>
      </c>
      <c r="G7003" t="s">
        <v>10021</v>
      </c>
      <c r="H7003" s="6">
        <v>45068</v>
      </c>
      <c r="I7003">
        <f t="shared" si="218"/>
        <v>0</v>
      </c>
      <c r="J7003" t="str">
        <f t="shared" si="219"/>
        <v>Complete</v>
      </c>
      <c r="K7003">
        <f>COUNTIFS(RawData[Item], B7003,RawData[Quantity],C7003,RawData[Price Per Unit],D7003,RawData[Total Spent],E7003,RawData[Payment Method],F7003,RawData[Location],G7003,RawData[Transaction Date],H7003)</f>
        <v>1</v>
      </c>
      <c r="L7003"/>
    </row>
    <row r="7004" spans="1:12" x14ac:dyDescent="0.3">
      <c r="A7004" t="s">
        <v>7010</v>
      </c>
      <c r="B7004" t="s">
        <v>10011</v>
      </c>
      <c r="C7004">
        <v>2</v>
      </c>
      <c r="D7004">
        <v>5</v>
      </c>
      <c r="E7004">
        <v>10</v>
      </c>
      <c r="F7004" t="s">
        <v>10019</v>
      </c>
      <c r="G7004" t="s">
        <v>10021</v>
      </c>
      <c r="H7004" s="6">
        <v>44992</v>
      </c>
      <c r="I7004">
        <f t="shared" si="218"/>
        <v>0</v>
      </c>
      <c r="J7004" t="str">
        <f t="shared" si="219"/>
        <v>Complete</v>
      </c>
      <c r="K7004">
        <f>COUNTIFS(RawData[Item], B7004,RawData[Quantity],C7004,RawData[Price Per Unit],D7004,RawData[Total Spent],E7004,RawData[Payment Method],F7004,RawData[Location],G7004,RawData[Transaction Date],H7004)</f>
        <v>1</v>
      </c>
      <c r="L7004"/>
    </row>
    <row r="7005" spans="1:12" x14ac:dyDescent="0.3">
      <c r="A7005" t="s">
        <v>7011</v>
      </c>
      <c r="B7005" t="s">
        <v>10009</v>
      </c>
      <c r="C7005">
        <v>5</v>
      </c>
      <c r="D7005">
        <v>3</v>
      </c>
      <c r="E7005">
        <v>15</v>
      </c>
      <c r="F7005" t="s">
        <v>10018</v>
      </c>
      <c r="G7005" t="s">
        <v>10021</v>
      </c>
      <c r="H7005" s="6">
        <v>45096</v>
      </c>
      <c r="I7005">
        <f t="shared" si="218"/>
        <v>0</v>
      </c>
      <c r="J7005" t="str">
        <f t="shared" si="219"/>
        <v>Complete</v>
      </c>
      <c r="K7005">
        <f>COUNTIFS(RawData[Item], B7005,RawData[Quantity],C7005,RawData[Price Per Unit],D7005,RawData[Total Spent],E7005,RawData[Payment Method],F7005,RawData[Location],G7005,RawData[Transaction Date],H7005)</f>
        <v>1</v>
      </c>
      <c r="L7005"/>
    </row>
    <row r="7006" spans="1:12" x14ac:dyDescent="0.3">
      <c r="A7006" t="s">
        <v>7012</v>
      </c>
      <c r="B7006" t="s">
        <v>10069</v>
      </c>
      <c r="C7006">
        <v>3</v>
      </c>
      <c r="D7006">
        <v>4</v>
      </c>
      <c r="E7006">
        <v>12</v>
      </c>
      <c r="F7006" t="s">
        <v>10020</v>
      </c>
      <c r="G7006" t="s">
        <v>10021</v>
      </c>
      <c r="H7006" s="6">
        <v>45166</v>
      </c>
      <c r="I7006">
        <f t="shared" si="218"/>
        <v>0</v>
      </c>
      <c r="J7006" t="str">
        <f t="shared" si="219"/>
        <v>Complete</v>
      </c>
      <c r="K7006">
        <f>COUNTIFS(RawData[Item], B7006,RawData[Quantity],C7006,RawData[Price Per Unit],D7006,RawData[Total Spent],E7006,RawData[Payment Method],F7006,RawData[Location],G7006,RawData[Transaction Date],H7006)</f>
        <v>1</v>
      </c>
      <c r="L7006"/>
    </row>
    <row r="7007" spans="1:12" x14ac:dyDescent="0.3">
      <c r="A7007" t="s">
        <v>7013</v>
      </c>
      <c r="B7007" t="s">
        <v>10010</v>
      </c>
      <c r="C7007">
        <v>2</v>
      </c>
      <c r="D7007">
        <v>1</v>
      </c>
      <c r="E7007">
        <v>2</v>
      </c>
      <c r="F7007" t="s">
        <v>10018</v>
      </c>
      <c r="G7007" t="s">
        <v>10021</v>
      </c>
      <c r="H7007" s="6">
        <v>45276</v>
      </c>
      <c r="I7007">
        <f t="shared" si="218"/>
        <v>0</v>
      </c>
      <c r="J7007" t="str">
        <f t="shared" si="219"/>
        <v>Complete</v>
      </c>
      <c r="K7007">
        <f>COUNTIFS(RawData[Item], B7007,RawData[Quantity],C7007,RawData[Price Per Unit],D7007,RawData[Total Spent],E7007,RawData[Payment Method],F7007,RawData[Location],G7007,RawData[Transaction Date],H7007)</f>
        <v>1</v>
      </c>
      <c r="L7007"/>
    </row>
    <row r="7008" spans="1:12" x14ac:dyDescent="0.3">
      <c r="A7008" t="s">
        <v>7014</v>
      </c>
      <c r="B7008" t="s">
        <v>10016</v>
      </c>
      <c r="C7008">
        <v>3</v>
      </c>
      <c r="D7008">
        <v>3</v>
      </c>
      <c r="E7008">
        <v>9</v>
      </c>
      <c r="F7008" t="s">
        <v>10020</v>
      </c>
      <c r="G7008" t="s">
        <v>10069</v>
      </c>
      <c r="H7008" s="6">
        <v>45196</v>
      </c>
      <c r="I7008">
        <f t="shared" si="218"/>
        <v>0</v>
      </c>
      <c r="J7008" t="str">
        <f t="shared" si="219"/>
        <v>Complete</v>
      </c>
      <c r="K7008">
        <f>COUNTIFS(RawData[Item], B7008,RawData[Quantity],C7008,RawData[Price Per Unit],D7008,RawData[Total Spent],E7008,RawData[Payment Method],F7008,RawData[Location],G7008,RawData[Transaction Date],H7008)</f>
        <v>1</v>
      </c>
      <c r="L7008"/>
    </row>
    <row r="7009" spans="1:12" x14ac:dyDescent="0.3">
      <c r="A7009" t="s">
        <v>7015</v>
      </c>
      <c r="B7009" t="s">
        <v>10010</v>
      </c>
      <c r="C7009">
        <v>1</v>
      </c>
      <c r="D7009">
        <v>1</v>
      </c>
      <c r="E7009">
        <v>1</v>
      </c>
      <c r="F7009" t="s">
        <v>10020</v>
      </c>
      <c r="G7009" t="s">
        <v>10021</v>
      </c>
      <c r="H7009" s="6">
        <v>44989</v>
      </c>
      <c r="I7009">
        <f t="shared" si="218"/>
        <v>0</v>
      </c>
      <c r="J7009" t="str">
        <f t="shared" si="219"/>
        <v>Complete</v>
      </c>
      <c r="K7009">
        <f>COUNTIFS(RawData[Item], B7009,RawData[Quantity],C7009,RawData[Price Per Unit],D7009,RawData[Total Spent],E7009,RawData[Payment Method],F7009,RawData[Location],G7009,RawData[Transaction Date],H7009)</f>
        <v>1</v>
      </c>
      <c r="L7009"/>
    </row>
    <row r="7010" spans="1:12" x14ac:dyDescent="0.3">
      <c r="A7010" t="s">
        <v>7016</v>
      </c>
      <c r="B7010" t="s">
        <v>10008</v>
      </c>
      <c r="C7010">
        <v>2</v>
      </c>
      <c r="D7010">
        <v>2</v>
      </c>
      <c r="E7010">
        <v>4</v>
      </c>
      <c r="F7010" t="s">
        <v>10019</v>
      </c>
      <c r="G7010" t="s">
        <v>10021</v>
      </c>
      <c r="H7010" s="6">
        <v>45145</v>
      </c>
      <c r="I7010">
        <f t="shared" si="218"/>
        <v>0</v>
      </c>
      <c r="J7010" t="str">
        <f t="shared" si="219"/>
        <v>Complete</v>
      </c>
      <c r="K7010">
        <f>COUNTIFS(RawData[Item], B7010,RawData[Quantity],C7010,RawData[Price Per Unit],D7010,RawData[Total Spent],E7010,RawData[Payment Method],F7010,RawData[Location],G7010,RawData[Transaction Date],H7010)</f>
        <v>1</v>
      </c>
      <c r="L7010"/>
    </row>
    <row r="7011" spans="1:12" x14ac:dyDescent="0.3">
      <c r="A7011" t="s">
        <v>7017</v>
      </c>
      <c r="B7011" t="s">
        <v>10013</v>
      </c>
      <c r="C7011">
        <v>3</v>
      </c>
      <c r="D7011">
        <v>5</v>
      </c>
      <c r="E7011">
        <v>15</v>
      </c>
      <c r="F7011" t="s">
        <v>10018</v>
      </c>
      <c r="G7011" t="s">
        <v>10102</v>
      </c>
      <c r="H7011" s="6" t="s">
        <v>10112</v>
      </c>
      <c r="I7011">
        <f t="shared" si="218"/>
        <v>2</v>
      </c>
      <c r="J7011" t="str">
        <f t="shared" si="219"/>
        <v>Incomplete</v>
      </c>
      <c r="K7011">
        <f>COUNTIFS(RawData[Item], B7011,RawData[Quantity],C7011,RawData[Price Per Unit],D7011,RawData[Total Spent],E7011,RawData[Payment Method],F7011,RawData[Location],G7011,RawData[Transaction Date],H7011)</f>
        <v>1</v>
      </c>
      <c r="L7011"/>
    </row>
    <row r="7012" spans="1:12" x14ac:dyDescent="0.3">
      <c r="A7012" t="s">
        <v>7018</v>
      </c>
      <c r="B7012" t="s">
        <v>10016</v>
      </c>
      <c r="C7012">
        <v>5</v>
      </c>
      <c r="D7012" t="s">
        <v>10013</v>
      </c>
      <c r="E7012">
        <v>15</v>
      </c>
      <c r="F7012" t="s">
        <v>10019</v>
      </c>
      <c r="G7012" t="s">
        <v>10102</v>
      </c>
      <c r="H7012" s="6">
        <v>45016</v>
      </c>
      <c r="I7012">
        <f t="shared" si="218"/>
        <v>1</v>
      </c>
      <c r="J7012" t="str">
        <f t="shared" si="219"/>
        <v>Complete</v>
      </c>
      <c r="K7012">
        <f>COUNTIFS(RawData[Item], B7012,RawData[Quantity],C7012,RawData[Price Per Unit],D7012,RawData[Total Spent],E7012,RawData[Payment Method],F7012,RawData[Location],G7012,RawData[Transaction Date],H7012)</f>
        <v>1</v>
      </c>
      <c r="L7012"/>
    </row>
    <row r="7013" spans="1:12" x14ac:dyDescent="0.3">
      <c r="A7013" t="s">
        <v>7019</v>
      </c>
      <c r="B7013" t="s">
        <v>10014</v>
      </c>
      <c r="C7013">
        <v>3</v>
      </c>
      <c r="D7013">
        <v>4</v>
      </c>
      <c r="E7013">
        <v>12</v>
      </c>
      <c r="F7013" t="s">
        <v>10018</v>
      </c>
      <c r="G7013" t="s">
        <v>10021</v>
      </c>
      <c r="H7013" s="6">
        <v>44936</v>
      </c>
      <c r="I7013">
        <f t="shared" si="218"/>
        <v>0</v>
      </c>
      <c r="J7013" t="str">
        <f t="shared" si="219"/>
        <v>Complete</v>
      </c>
      <c r="K7013">
        <f>COUNTIFS(RawData[Item], B7013,RawData[Quantity],C7013,RawData[Price Per Unit],D7013,RawData[Total Spent],E7013,RawData[Payment Method],F7013,RawData[Location],G7013,RawData[Transaction Date],H7013)</f>
        <v>1</v>
      </c>
      <c r="L7013"/>
    </row>
    <row r="7014" spans="1:12" x14ac:dyDescent="0.3">
      <c r="A7014" t="s">
        <v>7020</v>
      </c>
      <c r="B7014" t="s">
        <v>10009</v>
      </c>
      <c r="C7014">
        <v>3</v>
      </c>
      <c r="D7014">
        <v>3</v>
      </c>
      <c r="E7014">
        <v>9</v>
      </c>
      <c r="F7014" t="s">
        <v>10020</v>
      </c>
      <c r="G7014" t="s">
        <v>10021</v>
      </c>
      <c r="H7014" s="6">
        <v>44945</v>
      </c>
      <c r="I7014">
        <f t="shared" si="218"/>
        <v>0</v>
      </c>
      <c r="J7014" t="str">
        <f t="shared" si="219"/>
        <v>Complete</v>
      </c>
      <c r="K7014">
        <f>COUNTIFS(RawData[Item], B7014,RawData[Quantity],C7014,RawData[Price Per Unit],D7014,RawData[Total Spent],E7014,RawData[Payment Method],F7014,RawData[Location],G7014,RawData[Transaction Date],H7014)</f>
        <v>1</v>
      </c>
      <c r="L7014"/>
    </row>
    <row r="7015" spans="1:12" x14ac:dyDescent="0.3">
      <c r="A7015" t="s">
        <v>7021</v>
      </c>
      <c r="B7015" t="s">
        <v>10017</v>
      </c>
      <c r="C7015">
        <v>2</v>
      </c>
      <c r="D7015">
        <v>1.5</v>
      </c>
      <c r="E7015">
        <v>3</v>
      </c>
      <c r="F7015" t="s">
        <v>10104</v>
      </c>
      <c r="G7015" t="s">
        <v>10102</v>
      </c>
      <c r="H7015" s="6">
        <v>45105</v>
      </c>
      <c r="I7015">
        <f t="shared" si="218"/>
        <v>1</v>
      </c>
      <c r="J7015" t="str">
        <f t="shared" si="219"/>
        <v>Complete</v>
      </c>
      <c r="K7015">
        <f>COUNTIFS(RawData[Item], B7015,RawData[Quantity],C7015,RawData[Price Per Unit],D7015,RawData[Total Spent],E7015,RawData[Payment Method],F7015,RawData[Location],G7015,RawData[Transaction Date],H7015)</f>
        <v>1</v>
      </c>
      <c r="L7015"/>
    </row>
    <row r="7016" spans="1:12" x14ac:dyDescent="0.3">
      <c r="A7016" t="s">
        <v>7022</v>
      </c>
      <c r="B7016" t="s">
        <v>10009</v>
      </c>
      <c r="C7016">
        <v>2</v>
      </c>
      <c r="D7016">
        <v>3</v>
      </c>
      <c r="E7016">
        <v>6</v>
      </c>
      <c r="F7016" t="s">
        <v>10020</v>
      </c>
      <c r="G7016" t="s">
        <v>10069</v>
      </c>
      <c r="H7016" s="6">
        <v>44995</v>
      </c>
      <c r="I7016">
        <f t="shared" si="218"/>
        <v>0</v>
      </c>
      <c r="J7016" t="str">
        <f t="shared" si="219"/>
        <v>Complete</v>
      </c>
      <c r="K7016">
        <f>COUNTIFS(RawData[Item], B7016,RawData[Quantity],C7016,RawData[Price Per Unit],D7016,RawData[Total Spent],E7016,RawData[Payment Method],F7016,RawData[Location],G7016,RawData[Transaction Date],H7016)</f>
        <v>1</v>
      </c>
      <c r="L7016"/>
    </row>
    <row r="7017" spans="1:12" x14ac:dyDescent="0.3">
      <c r="A7017" t="s">
        <v>7023</v>
      </c>
      <c r="B7017" t="s">
        <v>10010</v>
      </c>
      <c r="C7017">
        <v>1</v>
      </c>
      <c r="D7017">
        <v>1</v>
      </c>
      <c r="E7017">
        <v>1</v>
      </c>
      <c r="F7017" t="s">
        <v>10018</v>
      </c>
      <c r="G7017" t="s">
        <v>10102</v>
      </c>
      <c r="H7017" s="6">
        <v>45186</v>
      </c>
      <c r="I7017">
        <f t="shared" si="218"/>
        <v>0</v>
      </c>
      <c r="J7017" t="str">
        <f t="shared" si="219"/>
        <v>Complete</v>
      </c>
      <c r="K7017">
        <f>COUNTIFS(RawData[Item], B7017,RawData[Quantity],C7017,RawData[Price Per Unit],D7017,RawData[Total Spent],E7017,RawData[Payment Method],F7017,RawData[Location],G7017,RawData[Transaction Date],H7017)</f>
        <v>1</v>
      </c>
      <c r="L7017"/>
    </row>
    <row r="7018" spans="1:12" x14ac:dyDescent="0.3">
      <c r="A7018" t="s">
        <v>7024</v>
      </c>
      <c r="B7018" t="s">
        <v>10010</v>
      </c>
      <c r="C7018">
        <v>2</v>
      </c>
      <c r="D7018">
        <v>1</v>
      </c>
      <c r="E7018">
        <v>2</v>
      </c>
      <c r="F7018" t="s">
        <v>10018</v>
      </c>
      <c r="G7018" t="s">
        <v>10102</v>
      </c>
      <c r="H7018" s="6">
        <v>45138</v>
      </c>
      <c r="I7018">
        <f t="shared" si="218"/>
        <v>0</v>
      </c>
      <c r="J7018" t="str">
        <f t="shared" si="219"/>
        <v>Complete</v>
      </c>
      <c r="K7018">
        <f>COUNTIFS(RawData[Item], B7018,RawData[Quantity],C7018,RawData[Price Per Unit],D7018,RawData[Total Spent],E7018,RawData[Payment Method],F7018,RawData[Location],G7018,RawData[Transaction Date],H7018)</f>
        <v>1</v>
      </c>
      <c r="L7018"/>
    </row>
    <row r="7019" spans="1:12" x14ac:dyDescent="0.3">
      <c r="A7019" t="s">
        <v>7025</v>
      </c>
      <c r="B7019" t="s">
        <v>10016</v>
      </c>
      <c r="C7019">
        <v>3</v>
      </c>
      <c r="D7019">
        <v>3</v>
      </c>
      <c r="E7019">
        <v>9</v>
      </c>
      <c r="F7019" t="s">
        <v>10020</v>
      </c>
      <c r="G7019" t="s">
        <v>10021</v>
      </c>
      <c r="H7019" s="6">
        <v>45123</v>
      </c>
      <c r="I7019">
        <f t="shared" si="218"/>
        <v>0</v>
      </c>
      <c r="J7019" t="str">
        <f t="shared" si="219"/>
        <v>Complete</v>
      </c>
      <c r="K7019">
        <f>COUNTIFS(RawData[Item], B7019,RawData[Quantity],C7019,RawData[Price Per Unit],D7019,RawData[Total Spent],E7019,RawData[Payment Method],F7019,RawData[Location],G7019,RawData[Transaction Date],H7019)</f>
        <v>1</v>
      </c>
      <c r="L7019"/>
    </row>
    <row r="7020" spans="1:12" x14ac:dyDescent="0.3">
      <c r="A7020" t="s">
        <v>7026</v>
      </c>
      <c r="B7020" t="s">
        <v>10010</v>
      </c>
      <c r="C7020">
        <v>1</v>
      </c>
      <c r="D7020">
        <v>1</v>
      </c>
      <c r="E7020">
        <v>1</v>
      </c>
      <c r="F7020" t="s">
        <v>10019</v>
      </c>
      <c r="G7020" t="s">
        <v>10069</v>
      </c>
      <c r="H7020" s="6">
        <v>45269</v>
      </c>
      <c r="I7020">
        <f t="shared" si="218"/>
        <v>0</v>
      </c>
      <c r="J7020" t="str">
        <f t="shared" si="219"/>
        <v>Complete</v>
      </c>
      <c r="K7020">
        <f>COUNTIFS(RawData[Item], B7020,RawData[Quantity],C7020,RawData[Price Per Unit],D7020,RawData[Total Spent],E7020,RawData[Payment Method],F7020,RawData[Location],G7020,RawData[Transaction Date],H7020)</f>
        <v>1</v>
      </c>
      <c r="L7020"/>
    </row>
    <row r="7021" spans="1:12" x14ac:dyDescent="0.3">
      <c r="A7021" t="s">
        <v>7027</v>
      </c>
      <c r="B7021" t="s">
        <v>10014</v>
      </c>
      <c r="C7021">
        <v>3</v>
      </c>
      <c r="D7021">
        <v>4</v>
      </c>
      <c r="E7021">
        <v>12</v>
      </c>
      <c r="F7021" t="s">
        <v>10020</v>
      </c>
      <c r="G7021" t="s">
        <v>10021</v>
      </c>
      <c r="H7021" s="6">
        <v>45167</v>
      </c>
      <c r="I7021">
        <f t="shared" si="218"/>
        <v>0</v>
      </c>
      <c r="J7021" t="str">
        <f t="shared" si="219"/>
        <v>Complete</v>
      </c>
      <c r="K7021">
        <f>COUNTIFS(RawData[Item], B7021,RawData[Quantity],C7021,RawData[Price Per Unit],D7021,RawData[Total Spent],E7021,RawData[Payment Method],F7021,RawData[Location],G7021,RawData[Transaction Date],H7021)</f>
        <v>1</v>
      </c>
      <c r="L7021"/>
    </row>
    <row r="7022" spans="1:12" x14ac:dyDescent="0.3">
      <c r="A7022" t="s">
        <v>7028</v>
      </c>
      <c r="B7022" t="s">
        <v>10012</v>
      </c>
      <c r="C7022">
        <v>5</v>
      </c>
      <c r="D7022" t="s">
        <v>10013</v>
      </c>
      <c r="E7022">
        <v>20</v>
      </c>
      <c r="F7022" t="s">
        <v>10069</v>
      </c>
      <c r="G7022" t="s">
        <v>10102</v>
      </c>
      <c r="H7022" s="6">
        <v>45255</v>
      </c>
      <c r="I7022">
        <f t="shared" si="218"/>
        <v>1</v>
      </c>
      <c r="J7022" t="str">
        <f t="shared" si="219"/>
        <v>Complete</v>
      </c>
      <c r="K7022">
        <f>COUNTIFS(RawData[Item], B7022,RawData[Quantity],C7022,RawData[Price Per Unit],D7022,RawData[Total Spent],E7022,RawData[Payment Method],F7022,RawData[Location],G7022,RawData[Transaction Date],H7022)</f>
        <v>1</v>
      </c>
      <c r="L7022"/>
    </row>
    <row r="7023" spans="1:12" x14ac:dyDescent="0.3">
      <c r="A7023" t="s">
        <v>7029</v>
      </c>
      <c r="B7023" t="s">
        <v>10014</v>
      </c>
      <c r="C7023">
        <v>1</v>
      </c>
      <c r="D7023">
        <v>4</v>
      </c>
      <c r="E7023">
        <v>4</v>
      </c>
      <c r="F7023" t="s">
        <v>10069</v>
      </c>
      <c r="G7023" t="s">
        <v>10021</v>
      </c>
      <c r="H7023" s="6">
        <v>45194</v>
      </c>
      <c r="I7023">
        <f t="shared" si="218"/>
        <v>0</v>
      </c>
      <c r="J7023" t="str">
        <f t="shared" si="219"/>
        <v>Complete</v>
      </c>
      <c r="K7023">
        <f>COUNTIFS(RawData[Item], B7023,RawData[Quantity],C7023,RawData[Price Per Unit],D7023,RawData[Total Spent],E7023,RawData[Payment Method],F7023,RawData[Location],G7023,RawData[Transaction Date],H7023)</f>
        <v>1</v>
      </c>
      <c r="L7023"/>
    </row>
    <row r="7024" spans="1:12" x14ac:dyDescent="0.3">
      <c r="A7024" t="s">
        <v>7030</v>
      </c>
      <c r="B7024" t="s">
        <v>10016</v>
      </c>
      <c r="C7024">
        <v>3</v>
      </c>
      <c r="D7024">
        <v>0</v>
      </c>
      <c r="E7024">
        <v>9</v>
      </c>
      <c r="F7024" t="s">
        <v>10018</v>
      </c>
      <c r="G7024" t="s">
        <v>10102</v>
      </c>
      <c r="H7024" s="6">
        <v>45289</v>
      </c>
      <c r="I7024">
        <f t="shared" si="218"/>
        <v>0</v>
      </c>
      <c r="J7024" t="str">
        <f t="shared" si="219"/>
        <v>Complete</v>
      </c>
      <c r="K7024">
        <f>COUNTIFS(RawData[Item], B7024,RawData[Quantity],C7024,RawData[Price Per Unit],D7024,RawData[Total Spent],E7024,RawData[Payment Method],F7024,RawData[Location],G7024,RawData[Transaction Date],H7024)</f>
        <v>1</v>
      </c>
      <c r="L7024"/>
    </row>
    <row r="7025" spans="1:12" x14ac:dyDescent="0.3">
      <c r="A7025" t="s">
        <v>7031</v>
      </c>
      <c r="B7025" t="s">
        <v>10012</v>
      </c>
      <c r="C7025">
        <v>4</v>
      </c>
      <c r="D7025">
        <v>4</v>
      </c>
      <c r="E7025">
        <v>16</v>
      </c>
      <c r="F7025" t="s">
        <v>10069</v>
      </c>
      <c r="G7025" t="s">
        <v>10102</v>
      </c>
      <c r="H7025" s="6">
        <v>45256</v>
      </c>
      <c r="I7025">
        <f t="shared" si="218"/>
        <v>0</v>
      </c>
      <c r="J7025" t="str">
        <f t="shared" si="219"/>
        <v>Complete</v>
      </c>
      <c r="K7025">
        <f>COUNTIFS(RawData[Item], B7025,RawData[Quantity],C7025,RawData[Price Per Unit],D7025,RawData[Total Spent],E7025,RawData[Payment Method],F7025,RawData[Location],G7025,RawData[Transaction Date],H7025)</f>
        <v>1</v>
      </c>
      <c r="L7025"/>
    </row>
    <row r="7026" spans="1:12" x14ac:dyDescent="0.3">
      <c r="A7026" t="s">
        <v>7032</v>
      </c>
      <c r="B7026" t="s">
        <v>10014</v>
      </c>
      <c r="C7026">
        <v>4</v>
      </c>
      <c r="D7026">
        <v>4</v>
      </c>
      <c r="E7026">
        <v>16</v>
      </c>
      <c r="F7026" t="s">
        <v>10019</v>
      </c>
      <c r="G7026" t="s">
        <v>10021</v>
      </c>
      <c r="H7026" s="6">
        <v>45237</v>
      </c>
      <c r="I7026">
        <f t="shared" si="218"/>
        <v>0</v>
      </c>
      <c r="J7026" t="str">
        <f t="shared" si="219"/>
        <v>Complete</v>
      </c>
      <c r="K7026">
        <f>COUNTIFS(RawData[Item], B7026,RawData[Quantity],C7026,RawData[Price Per Unit],D7026,RawData[Total Spent],E7026,RawData[Payment Method],F7026,RawData[Location],G7026,RawData[Transaction Date],H7026)</f>
        <v>1</v>
      </c>
      <c r="L7026"/>
    </row>
    <row r="7027" spans="1:12" x14ac:dyDescent="0.3">
      <c r="A7027" t="s">
        <v>7033</v>
      </c>
      <c r="B7027" t="s">
        <v>10012</v>
      </c>
      <c r="C7027">
        <v>2</v>
      </c>
      <c r="D7027">
        <v>4</v>
      </c>
      <c r="E7027">
        <v>8</v>
      </c>
      <c r="F7027" t="s">
        <v>10069</v>
      </c>
      <c r="G7027" t="s">
        <v>10102</v>
      </c>
      <c r="H7027" s="6">
        <v>45233</v>
      </c>
      <c r="I7027">
        <f t="shared" si="218"/>
        <v>0</v>
      </c>
      <c r="J7027" t="str">
        <f t="shared" si="219"/>
        <v>Complete</v>
      </c>
      <c r="K7027">
        <f>COUNTIFS(RawData[Item], B7027,RawData[Quantity],C7027,RawData[Price Per Unit],D7027,RawData[Total Spent],E7027,RawData[Payment Method],F7027,RawData[Location],G7027,RawData[Transaction Date],H7027)</f>
        <v>1</v>
      </c>
      <c r="L7027"/>
    </row>
    <row r="7028" spans="1:12" x14ac:dyDescent="0.3">
      <c r="A7028" t="s">
        <v>7034</v>
      </c>
      <c r="B7028" t="s">
        <v>10012</v>
      </c>
      <c r="C7028">
        <v>4</v>
      </c>
      <c r="D7028">
        <v>4</v>
      </c>
      <c r="E7028">
        <v>16</v>
      </c>
      <c r="F7028" t="s">
        <v>10019</v>
      </c>
      <c r="G7028" t="s">
        <v>10021</v>
      </c>
      <c r="H7028" s="6">
        <v>45050</v>
      </c>
      <c r="I7028">
        <f t="shared" si="218"/>
        <v>0</v>
      </c>
      <c r="J7028" t="str">
        <f t="shared" si="219"/>
        <v>Complete</v>
      </c>
      <c r="K7028">
        <f>COUNTIFS(RawData[Item], B7028,RawData[Quantity],C7028,RawData[Price Per Unit],D7028,RawData[Total Spent],E7028,RawData[Payment Method],F7028,RawData[Location],G7028,RawData[Transaction Date],H7028)</f>
        <v>1</v>
      </c>
      <c r="L7028"/>
    </row>
    <row r="7029" spans="1:12" x14ac:dyDescent="0.3">
      <c r="A7029" t="s">
        <v>7035</v>
      </c>
      <c r="B7029" t="s">
        <v>10014</v>
      </c>
      <c r="C7029">
        <v>1</v>
      </c>
      <c r="D7029">
        <v>4</v>
      </c>
      <c r="E7029">
        <v>4</v>
      </c>
      <c r="F7029" t="s">
        <v>10018</v>
      </c>
      <c r="G7029" t="s">
        <v>10069</v>
      </c>
      <c r="H7029" s="6">
        <v>44942</v>
      </c>
      <c r="I7029">
        <f t="shared" si="218"/>
        <v>0</v>
      </c>
      <c r="J7029" t="str">
        <f t="shared" si="219"/>
        <v>Complete</v>
      </c>
      <c r="K7029">
        <f>COUNTIFS(RawData[Item], B7029,RawData[Quantity],C7029,RawData[Price Per Unit],D7029,RawData[Total Spent],E7029,RawData[Payment Method],F7029,RawData[Location],G7029,RawData[Transaction Date],H7029)</f>
        <v>1</v>
      </c>
      <c r="L7029"/>
    </row>
    <row r="7030" spans="1:12" x14ac:dyDescent="0.3">
      <c r="A7030" t="s">
        <v>7036</v>
      </c>
      <c r="B7030" t="s">
        <v>10013</v>
      </c>
      <c r="C7030">
        <v>5</v>
      </c>
      <c r="D7030">
        <v>4</v>
      </c>
      <c r="E7030">
        <v>20</v>
      </c>
      <c r="F7030" t="s">
        <v>10018</v>
      </c>
      <c r="G7030" t="s">
        <v>10102</v>
      </c>
      <c r="H7030" s="6">
        <v>45030</v>
      </c>
      <c r="I7030">
        <f t="shared" si="218"/>
        <v>1</v>
      </c>
      <c r="J7030" t="str">
        <f t="shared" si="219"/>
        <v>Complete</v>
      </c>
      <c r="K7030">
        <f>COUNTIFS(RawData[Item], B7030,RawData[Quantity],C7030,RawData[Price Per Unit],D7030,RawData[Total Spent],E7030,RawData[Payment Method],F7030,RawData[Location],G7030,RawData[Transaction Date],H7030)</f>
        <v>1</v>
      </c>
      <c r="L7030"/>
    </row>
    <row r="7031" spans="1:12" x14ac:dyDescent="0.3">
      <c r="A7031" t="s">
        <v>7037</v>
      </c>
      <c r="B7031" t="s">
        <v>10008</v>
      </c>
      <c r="C7031">
        <v>0</v>
      </c>
      <c r="D7031">
        <v>2</v>
      </c>
      <c r="E7031" t="s">
        <v>10015</v>
      </c>
      <c r="F7031" t="s">
        <v>10019</v>
      </c>
      <c r="G7031" t="s">
        <v>10069</v>
      </c>
      <c r="H7031" s="6">
        <v>45285</v>
      </c>
      <c r="I7031">
        <f t="shared" si="218"/>
        <v>1</v>
      </c>
      <c r="J7031" t="str">
        <f t="shared" si="219"/>
        <v>Complete</v>
      </c>
      <c r="K7031">
        <f>COUNTIFS(RawData[Item], B7031,RawData[Quantity],C7031,RawData[Price Per Unit],D7031,RawData[Total Spent],E7031,RawData[Payment Method],F7031,RawData[Location],G7031,RawData[Transaction Date],H7031)</f>
        <v>1</v>
      </c>
      <c r="L7031"/>
    </row>
    <row r="7032" spans="1:12" x14ac:dyDescent="0.3">
      <c r="A7032" t="s">
        <v>7038</v>
      </c>
      <c r="B7032" t="s">
        <v>10008</v>
      </c>
      <c r="C7032" t="s">
        <v>10015</v>
      </c>
      <c r="D7032">
        <v>2</v>
      </c>
      <c r="E7032">
        <v>10</v>
      </c>
      <c r="F7032" t="s">
        <v>10018</v>
      </c>
      <c r="G7032" t="s">
        <v>10069</v>
      </c>
      <c r="H7032" s="6">
        <v>44936</v>
      </c>
      <c r="I7032">
        <f t="shared" si="218"/>
        <v>1</v>
      </c>
      <c r="J7032" t="str">
        <f t="shared" si="219"/>
        <v>Complete</v>
      </c>
      <c r="K7032">
        <f>COUNTIFS(RawData[Item], B7032,RawData[Quantity],C7032,RawData[Price Per Unit],D7032,RawData[Total Spent],E7032,RawData[Payment Method],F7032,RawData[Location],G7032,RawData[Transaction Date],H7032)</f>
        <v>1</v>
      </c>
      <c r="L7032"/>
    </row>
    <row r="7033" spans="1:12" x14ac:dyDescent="0.3">
      <c r="A7033" t="s">
        <v>7039</v>
      </c>
      <c r="B7033" t="s">
        <v>10016</v>
      </c>
      <c r="C7033">
        <v>5</v>
      </c>
      <c r="D7033">
        <v>3</v>
      </c>
      <c r="E7033">
        <v>15</v>
      </c>
      <c r="F7033" t="s">
        <v>10104</v>
      </c>
      <c r="G7033" t="s">
        <v>10069</v>
      </c>
      <c r="H7033" s="6">
        <v>45015</v>
      </c>
      <c r="I7033">
        <f t="shared" si="218"/>
        <v>1</v>
      </c>
      <c r="J7033" t="str">
        <f t="shared" si="219"/>
        <v>Complete</v>
      </c>
      <c r="K7033">
        <f>COUNTIFS(RawData[Item], B7033,RawData[Quantity],C7033,RawData[Price Per Unit],D7033,RawData[Total Spent],E7033,RawData[Payment Method],F7033,RawData[Location],G7033,RawData[Transaction Date],H7033)</f>
        <v>1</v>
      </c>
      <c r="L7033"/>
    </row>
    <row r="7034" spans="1:12" x14ac:dyDescent="0.3">
      <c r="A7034" t="s">
        <v>7040</v>
      </c>
      <c r="B7034" t="s">
        <v>10010</v>
      </c>
      <c r="C7034">
        <v>2</v>
      </c>
      <c r="D7034">
        <v>1</v>
      </c>
      <c r="E7034">
        <v>2</v>
      </c>
      <c r="F7034" t="s">
        <v>10020</v>
      </c>
      <c r="G7034" t="s">
        <v>10103</v>
      </c>
      <c r="H7034" s="6">
        <v>45009</v>
      </c>
      <c r="I7034">
        <f t="shared" si="218"/>
        <v>1</v>
      </c>
      <c r="J7034" t="str">
        <f t="shared" si="219"/>
        <v>Complete</v>
      </c>
      <c r="K7034">
        <f>COUNTIFS(RawData[Item], B7034,RawData[Quantity],C7034,RawData[Price Per Unit],D7034,RawData[Total Spent],E7034,RawData[Payment Method],F7034,RawData[Location],G7034,RawData[Transaction Date],H7034)</f>
        <v>1</v>
      </c>
      <c r="L7034"/>
    </row>
    <row r="7035" spans="1:12" x14ac:dyDescent="0.3">
      <c r="A7035" t="s">
        <v>7041</v>
      </c>
      <c r="B7035" t="s">
        <v>10017</v>
      </c>
      <c r="C7035">
        <v>1</v>
      </c>
      <c r="D7035">
        <v>1.5</v>
      </c>
      <c r="E7035">
        <v>1.5</v>
      </c>
      <c r="F7035" t="s">
        <v>10019</v>
      </c>
      <c r="G7035" t="s">
        <v>10069</v>
      </c>
      <c r="H7035" s="6">
        <v>45034</v>
      </c>
      <c r="I7035">
        <f t="shared" si="218"/>
        <v>0</v>
      </c>
      <c r="J7035" t="str">
        <f t="shared" si="219"/>
        <v>Complete</v>
      </c>
      <c r="K7035">
        <f>COUNTIFS(RawData[Item], B7035,RawData[Quantity],C7035,RawData[Price Per Unit],D7035,RawData[Total Spent],E7035,RawData[Payment Method],F7035,RawData[Location],G7035,RawData[Transaction Date],H7035)</f>
        <v>1</v>
      </c>
      <c r="L7035"/>
    </row>
    <row r="7036" spans="1:12" x14ac:dyDescent="0.3">
      <c r="A7036" t="s">
        <v>7042</v>
      </c>
      <c r="B7036" t="s">
        <v>10017</v>
      </c>
      <c r="C7036">
        <v>4</v>
      </c>
      <c r="D7036">
        <v>1.5</v>
      </c>
      <c r="E7036">
        <v>6</v>
      </c>
      <c r="F7036" t="s">
        <v>10019</v>
      </c>
      <c r="G7036" t="s">
        <v>10103</v>
      </c>
      <c r="H7036" s="6">
        <v>45179</v>
      </c>
      <c r="I7036">
        <f t="shared" si="218"/>
        <v>1</v>
      </c>
      <c r="J7036" t="str">
        <f t="shared" si="219"/>
        <v>Complete</v>
      </c>
      <c r="K7036">
        <f>COUNTIFS(RawData[Item], B7036,RawData[Quantity],C7036,RawData[Price Per Unit],D7036,RawData[Total Spent],E7036,RawData[Payment Method],F7036,RawData[Location],G7036,RawData[Transaction Date],H7036)</f>
        <v>1</v>
      </c>
      <c r="L7036"/>
    </row>
    <row r="7037" spans="1:12" x14ac:dyDescent="0.3">
      <c r="A7037" t="s">
        <v>7043</v>
      </c>
      <c r="B7037" t="s">
        <v>10011</v>
      </c>
      <c r="C7037">
        <v>5</v>
      </c>
      <c r="D7037">
        <v>0</v>
      </c>
      <c r="E7037" t="s">
        <v>10013</v>
      </c>
      <c r="F7037" t="s">
        <v>10018</v>
      </c>
      <c r="G7037" t="s">
        <v>10102</v>
      </c>
      <c r="H7037" s="6">
        <v>45161</v>
      </c>
      <c r="I7037">
        <f t="shared" si="218"/>
        <v>1</v>
      </c>
      <c r="J7037" t="str">
        <f t="shared" si="219"/>
        <v>Complete</v>
      </c>
      <c r="K7037">
        <f>COUNTIFS(RawData[Item], B7037,RawData[Quantity],C7037,RawData[Price Per Unit],D7037,RawData[Total Spent],E7037,RawData[Payment Method],F7037,RawData[Location],G7037,RawData[Transaction Date],H7037)</f>
        <v>1</v>
      </c>
      <c r="L7037"/>
    </row>
    <row r="7038" spans="1:12" x14ac:dyDescent="0.3">
      <c r="A7038" t="s">
        <v>7044</v>
      </c>
      <c r="B7038" t="s">
        <v>10008</v>
      </c>
      <c r="C7038">
        <v>4</v>
      </c>
      <c r="D7038">
        <v>2</v>
      </c>
      <c r="E7038">
        <v>8</v>
      </c>
      <c r="F7038" t="s">
        <v>10019</v>
      </c>
      <c r="G7038" t="s">
        <v>10069</v>
      </c>
      <c r="H7038" s="6">
        <v>44932</v>
      </c>
      <c r="I7038">
        <f t="shared" si="218"/>
        <v>0</v>
      </c>
      <c r="J7038" t="str">
        <f t="shared" si="219"/>
        <v>Complete</v>
      </c>
      <c r="K7038">
        <f>COUNTIFS(RawData[Item], B7038,RawData[Quantity],C7038,RawData[Price Per Unit],D7038,RawData[Total Spent],E7038,RawData[Payment Method],F7038,RawData[Location],G7038,RawData[Transaction Date],H7038)</f>
        <v>1</v>
      </c>
      <c r="L7038"/>
    </row>
    <row r="7039" spans="1:12" x14ac:dyDescent="0.3">
      <c r="A7039" t="s">
        <v>7045</v>
      </c>
      <c r="B7039" t="s">
        <v>10016</v>
      </c>
      <c r="C7039">
        <v>2</v>
      </c>
      <c r="D7039">
        <v>3</v>
      </c>
      <c r="E7039">
        <v>6</v>
      </c>
      <c r="F7039" t="s">
        <v>10020</v>
      </c>
      <c r="G7039" t="s">
        <v>10021</v>
      </c>
      <c r="H7039" s="6">
        <v>45053</v>
      </c>
      <c r="I7039">
        <f t="shared" si="218"/>
        <v>0</v>
      </c>
      <c r="J7039" t="str">
        <f t="shared" si="219"/>
        <v>Complete</v>
      </c>
      <c r="K7039">
        <f>COUNTIFS(RawData[Item], B7039,RawData[Quantity],C7039,RawData[Price Per Unit],D7039,RawData[Total Spent],E7039,RawData[Payment Method],F7039,RawData[Location],G7039,RawData[Transaction Date],H7039)</f>
        <v>1</v>
      </c>
      <c r="L7039"/>
    </row>
    <row r="7040" spans="1:12" x14ac:dyDescent="0.3">
      <c r="A7040" t="s">
        <v>7046</v>
      </c>
      <c r="B7040" t="s">
        <v>10014</v>
      </c>
      <c r="C7040">
        <v>5</v>
      </c>
      <c r="D7040" t="s">
        <v>10015</v>
      </c>
      <c r="E7040">
        <v>20</v>
      </c>
      <c r="F7040" t="s">
        <v>10019</v>
      </c>
      <c r="G7040" t="s">
        <v>10102</v>
      </c>
      <c r="H7040" s="6">
        <v>45013</v>
      </c>
      <c r="I7040">
        <f t="shared" si="218"/>
        <v>1</v>
      </c>
      <c r="J7040" t="str">
        <f t="shared" si="219"/>
        <v>Complete</v>
      </c>
      <c r="K7040">
        <f>COUNTIFS(RawData[Item], B7040,RawData[Quantity],C7040,RawData[Price Per Unit],D7040,RawData[Total Spent],E7040,RawData[Payment Method],F7040,RawData[Location],G7040,RawData[Transaction Date],H7040)</f>
        <v>1</v>
      </c>
      <c r="L7040"/>
    </row>
    <row r="7041" spans="1:12" x14ac:dyDescent="0.3">
      <c r="A7041" t="s">
        <v>7047</v>
      </c>
      <c r="B7041" t="s">
        <v>10010</v>
      </c>
      <c r="C7041">
        <v>5</v>
      </c>
      <c r="D7041">
        <v>1</v>
      </c>
      <c r="E7041">
        <v>5</v>
      </c>
      <c r="F7041" t="s">
        <v>10069</v>
      </c>
      <c r="G7041" t="s">
        <v>10069</v>
      </c>
      <c r="H7041" s="6">
        <v>45272</v>
      </c>
      <c r="I7041">
        <f t="shared" si="218"/>
        <v>0</v>
      </c>
      <c r="J7041" t="str">
        <f t="shared" si="219"/>
        <v>Complete</v>
      </c>
      <c r="K7041">
        <f>COUNTIFS(RawData[Item], B7041,RawData[Quantity],C7041,RawData[Price Per Unit],D7041,RawData[Total Spent],E7041,RawData[Payment Method],F7041,RawData[Location],G7041,RawData[Transaction Date],H7041)</f>
        <v>1</v>
      </c>
      <c r="L7041"/>
    </row>
    <row r="7042" spans="1:12" x14ac:dyDescent="0.3">
      <c r="A7042" t="s">
        <v>7048</v>
      </c>
      <c r="B7042" t="s">
        <v>10012</v>
      </c>
      <c r="C7042">
        <v>5</v>
      </c>
      <c r="D7042">
        <v>4</v>
      </c>
      <c r="E7042">
        <v>20</v>
      </c>
      <c r="F7042" t="s">
        <v>10020</v>
      </c>
      <c r="G7042" t="s">
        <v>10102</v>
      </c>
      <c r="H7042" s="6">
        <v>45025</v>
      </c>
      <c r="I7042">
        <f t="shared" ref="I7042:I7105" si="220">(B7042="Unknown")+(B7042="Error")+(C7042="Unknown")+(C7042="Error")+(D7042="Unknown")+(D7042="Error")+(E7042="Unknown")+(E7042="Error")+(F7042="Unknown")+(F7042="Error")+(G7042="Unknown")+(G7042="Error")+(H7042="No Date")</f>
        <v>0</v>
      </c>
      <c r="J7042" t="str">
        <f t="shared" ref="J7042:J7105" si="221">IF((H7042="No Date"),"Incomplete","Complete")</f>
        <v>Complete</v>
      </c>
      <c r="K7042">
        <f>COUNTIFS(RawData[Item], B7042,RawData[Quantity],C7042,RawData[Price Per Unit],D7042,RawData[Total Spent],E7042,RawData[Payment Method],F7042,RawData[Location],G7042,RawData[Transaction Date],H7042)</f>
        <v>1</v>
      </c>
      <c r="L7042"/>
    </row>
    <row r="7043" spans="1:12" x14ac:dyDescent="0.3">
      <c r="A7043" t="s">
        <v>7049</v>
      </c>
      <c r="B7043" t="s">
        <v>10017</v>
      </c>
      <c r="C7043">
        <v>3</v>
      </c>
      <c r="D7043">
        <v>1.5</v>
      </c>
      <c r="E7043">
        <v>4.5</v>
      </c>
      <c r="F7043" t="s">
        <v>10018</v>
      </c>
      <c r="G7043" t="s">
        <v>10102</v>
      </c>
      <c r="H7043" s="6">
        <v>45145</v>
      </c>
      <c r="I7043">
        <f t="shared" si="220"/>
        <v>0</v>
      </c>
      <c r="J7043" t="str">
        <f t="shared" si="221"/>
        <v>Complete</v>
      </c>
      <c r="K7043">
        <f>COUNTIFS(RawData[Item], B7043,RawData[Quantity],C7043,RawData[Price Per Unit],D7043,RawData[Total Spent],E7043,RawData[Payment Method],F7043,RawData[Location],G7043,RawData[Transaction Date],H7043)</f>
        <v>1</v>
      </c>
      <c r="L7043"/>
    </row>
    <row r="7044" spans="1:12" x14ac:dyDescent="0.3">
      <c r="A7044" t="s">
        <v>7050</v>
      </c>
      <c r="B7044" t="s">
        <v>10014</v>
      </c>
      <c r="C7044">
        <v>2</v>
      </c>
      <c r="D7044">
        <v>4</v>
      </c>
      <c r="E7044">
        <v>8</v>
      </c>
      <c r="F7044" t="s">
        <v>10069</v>
      </c>
      <c r="G7044" t="s">
        <v>10102</v>
      </c>
      <c r="H7044" s="6">
        <v>45022</v>
      </c>
      <c r="I7044">
        <f t="shared" si="220"/>
        <v>0</v>
      </c>
      <c r="J7044" t="str">
        <f t="shared" si="221"/>
        <v>Complete</v>
      </c>
      <c r="K7044">
        <f>COUNTIFS(RawData[Item], B7044,RawData[Quantity],C7044,RawData[Price Per Unit],D7044,RawData[Total Spent],E7044,RawData[Payment Method],F7044,RawData[Location],G7044,RawData[Transaction Date],H7044)</f>
        <v>1</v>
      </c>
      <c r="L7044"/>
    </row>
    <row r="7045" spans="1:12" x14ac:dyDescent="0.3">
      <c r="A7045" t="s">
        <v>7051</v>
      </c>
      <c r="B7045" t="s">
        <v>10010</v>
      </c>
      <c r="C7045">
        <v>4</v>
      </c>
      <c r="D7045">
        <v>1</v>
      </c>
      <c r="E7045">
        <v>4</v>
      </c>
      <c r="F7045" t="s">
        <v>10020</v>
      </c>
      <c r="G7045" t="s">
        <v>10069</v>
      </c>
      <c r="H7045" s="6">
        <v>44993</v>
      </c>
      <c r="I7045">
        <f t="shared" si="220"/>
        <v>0</v>
      </c>
      <c r="J7045" t="str">
        <f t="shared" si="221"/>
        <v>Complete</v>
      </c>
      <c r="K7045">
        <f>COUNTIFS(RawData[Item], B7045,RawData[Quantity],C7045,RawData[Price Per Unit],D7045,RawData[Total Spent],E7045,RawData[Payment Method],F7045,RawData[Location],G7045,RawData[Transaction Date],H7045)</f>
        <v>1</v>
      </c>
      <c r="L7045"/>
    </row>
    <row r="7046" spans="1:12" x14ac:dyDescent="0.3">
      <c r="A7046" t="s">
        <v>7052</v>
      </c>
      <c r="B7046" t="s">
        <v>10011</v>
      </c>
      <c r="C7046">
        <v>4</v>
      </c>
      <c r="D7046">
        <v>5</v>
      </c>
      <c r="E7046">
        <v>20</v>
      </c>
      <c r="F7046" t="s">
        <v>10019</v>
      </c>
      <c r="G7046" t="s">
        <v>10069</v>
      </c>
      <c r="H7046" s="6">
        <v>45171</v>
      </c>
      <c r="I7046">
        <f t="shared" si="220"/>
        <v>0</v>
      </c>
      <c r="J7046" t="str">
        <f t="shared" si="221"/>
        <v>Complete</v>
      </c>
      <c r="K7046">
        <f>COUNTIFS(RawData[Item], B7046,RawData[Quantity],C7046,RawData[Price Per Unit],D7046,RawData[Total Spent],E7046,RawData[Payment Method],F7046,RawData[Location],G7046,RawData[Transaction Date],H7046)</f>
        <v>1</v>
      </c>
      <c r="L7046"/>
    </row>
    <row r="7047" spans="1:12" x14ac:dyDescent="0.3">
      <c r="A7047" t="s">
        <v>7053</v>
      </c>
      <c r="B7047" t="s">
        <v>10008</v>
      </c>
      <c r="C7047">
        <v>5</v>
      </c>
      <c r="D7047">
        <v>2</v>
      </c>
      <c r="E7047">
        <v>10</v>
      </c>
      <c r="F7047" t="s">
        <v>10019</v>
      </c>
      <c r="G7047" t="s">
        <v>10102</v>
      </c>
      <c r="H7047" s="6">
        <v>45145</v>
      </c>
      <c r="I7047">
        <f t="shared" si="220"/>
        <v>0</v>
      </c>
      <c r="J7047" t="str">
        <f t="shared" si="221"/>
        <v>Complete</v>
      </c>
      <c r="K7047">
        <f>COUNTIFS(RawData[Item], B7047,RawData[Quantity],C7047,RawData[Price Per Unit],D7047,RawData[Total Spent],E7047,RawData[Payment Method],F7047,RawData[Location],G7047,RawData[Transaction Date],H7047)</f>
        <v>1</v>
      </c>
      <c r="L7047"/>
    </row>
    <row r="7048" spans="1:12" x14ac:dyDescent="0.3">
      <c r="A7048" t="s">
        <v>7054</v>
      </c>
      <c r="B7048" t="s">
        <v>10011</v>
      </c>
      <c r="C7048">
        <v>3</v>
      </c>
      <c r="D7048">
        <v>5</v>
      </c>
      <c r="E7048">
        <v>15</v>
      </c>
      <c r="F7048" t="s">
        <v>10018</v>
      </c>
      <c r="G7048" t="s">
        <v>10102</v>
      </c>
      <c r="H7048" s="6">
        <v>45129</v>
      </c>
      <c r="I7048">
        <f t="shared" si="220"/>
        <v>0</v>
      </c>
      <c r="J7048" t="str">
        <f t="shared" si="221"/>
        <v>Complete</v>
      </c>
      <c r="K7048">
        <f>COUNTIFS(RawData[Item], B7048,RawData[Quantity],C7048,RawData[Price Per Unit],D7048,RawData[Total Spent],E7048,RawData[Payment Method],F7048,RawData[Location],G7048,RawData[Transaction Date],H7048)</f>
        <v>1</v>
      </c>
      <c r="L7048"/>
    </row>
    <row r="7049" spans="1:12" x14ac:dyDescent="0.3">
      <c r="A7049" t="s">
        <v>7055</v>
      </c>
      <c r="B7049" t="s">
        <v>10009</v>
      </c>
      <c r="C7049">
        <v>3</v>
      </c>
      <c r="D7049">
        <v>3</v>
      </c>
      <c r="E7049">
        <v>9</v>
      </c>
      <c r="F7049" t="s">
        <v>10018</v>
      </c>
      <c r="G7049" t="s">
        <v>10021</v>
      </c>
      <c r="H7049" s="6" t="s">
        <v>10112</v>
      </c>
      <c r="I7049">
        <f t="shared" si="220"/>
        <v>1</v>
      </c>
      <c r="J7049" t="str">
        <f t="shared" si="221"/>
        <v>Incomplete</v>
      </c>
      <c r="K7049">
        <f>COUNTIFS(RawData[Item], B7049,RawData[Quantity],C7049,RawData[Price Per Unit],D7049,RawData[Total Spent],E7049,RawData[Payment Method],F7049,RawData[Location],G7049,RawData[Transaction Date],H7049)</f>
        <v>1</v>
      </c>
      <c r="L7049"/>
    </row>
    <row r="7050" spans="1:12" x14ac:dyDescent="0.3">
      <c r="A7050" t="s">
        <v>7056</v>
      </c>
      <c r="B7050" t="s">
        <v>10013</v>
      </c>
      <c r="C7050">
        <v>0</v>
      </c>
      <c r="D7050">
        <v>1</v>
      </c>
      <c r="E7050">
        <v>5</v>
      </c>
      <c r="F7050" t="s">
        <v>10019</v>
      </c>
      <c r="G7050" t="s">
        <v>10069</v>
      </c>
      <c r="H7050" s="6">
        <v>45205</v>
      </c>
      <c r="I7050">
        <f t="shared" si="220"/>
        <v>1</v>
      </c>
      <c r="J7050" t="str">
        <f t="shared" si="221"/>
        <v>Complete</v>
      </c>
      <c r="K7050">
        <f>COUNTIFS(RawData[Item], B7050,RawData[Quantity],C7050,RawData[Price Per Unit],D7050,RawData[Total Spent],E7050,RawData[Payment Method],F7050,RawData[Location],G7050,RawData[Transaction Date],H7050)</f>
        <v>1</v>
      </c>
      <c r="L7050"/>
    </row>
    <row r="7051" spans="1:12" x14ac:dyDescent="0.3">
      <c r="A7051" t="s">
        <v>7057</v>
      </c>
      <c r="B7051" t="s">
        <v>10011</v>
      </c>
      <c r="C7051">
        <v>1</v>
      </c>
      <c r="D7051">
        <v>5</v>
      </c>
      <c r="E7051">
        <v>5</v>
      </c>
      <c r="F7051" t="s">
        <v>10020</v>
      </c>
      <c r="G7051" t="s">
        <v>10069</v>
      </c>
      <c r="H7051" s="6">
        <v>45089</v>
      </c>
      <c r="I7051">
        <f t="shared" si="220"/>
        <v>0</v>
      </c>
      <c r="J7051" t="str">
        <f t="shared" si="221"/>
        <v>Complete</v>
      </c>
      <c r="K7051">
        <f>COUNTIFS(RawData[Item], B7051,RawData[Quantity],C7051,RawData[Price Per Unit],D7051,RawData[Total Spent],E7051,RawData[Payment Method],F7051,RawData[Location],G7051,RawData[Transaction Date],H7051)</f>
        <v>1</v>
      </c>
      <c r="L7051"/>
    </row>
    <row r="7052" spans="1:12" x14ac:dyDescent="0.3">
      <c r="A7052" t="s">
        <v>7058</v>
      </c>
      <c r="B7052" t="s">
        <v>10016</v>
      </c>
      <c r="C7052">
        <v>2</v>
      </c>
      <c r="D7052">
        <v>3</v>
      </c>
      <c r="E7052">
        <v>6</v>
      </c>
      <c r="F7052" t="s">
        <v>10018</v>
      </c>
      <c r="G7052" t="s">
        <v>10102</v>
      </c>
      <c r="H7052" s="6">
        <v>45259</v>
      </c>
      <c r="I7052">
        <f t="shared" si="220"/>
        <v>0</v>
      </c>
      <c r="J7052" t="str">
        <f t="shared" si="221"/>
        <v>Complete</v>
      </c>
      <c r="K7052">
        <f>COUNTIFS(RawData[Item], B7052,RawData[Quantity],C7052,RawData[Price Per Unit],D7052,RawData[Total Spent],E7052,RawData[Payment Method],F7052,RawData[Location],G7052,RawData[Transaction Date],H7052)</f>
        <v>1</v>
      </c>
      <c r="L7052"/>
    </row>
    <row r="7053" spans="1:12" x14ac:dyDescent="0.3">
      <c r="A7053" t="s">
        <v>7059</v>
      </c>
      <c r="B7053" t="s">
        <v>10011</v>
      </c>
      <c r="C7053">
        <v>2</v>
      </c>
      <c r="D7053">
        <v>5</v>
      </c>
      <c r="E7053">
        <v>10</v>
      </c>
      <c r="F7053" t="s">
        <v>10069</v>
      </c>
      <c r="G7053" t="s">
        <v>10102</v>
      </c>
      <c r="H7053" s="6">
        <v>45249</v>
      </c>
      <c r="I7053">
        <f t="shared" si="220"/>
        <v>0</v>
      </c>
      <c r="J7053" t="str">
        <f t="shared" si="221"/>
        <v>Complete</v>
      </c>
      <c r="K7053">
        <f>COUNTIFS(RawData[Item], B7053,RawData[Quantity],C7053,RawData[Price Per Unit],D7053,RawData[Total Spent],E7053,RawData[Payment Method],F7053,RawData[Location],G7053,RawData[Transaction Date],H7053)</f>
        <v>1</v>
      </c>
      <c r="L7053"/>
    </row>
    <row r="7054" spans="1:12" x14ac:dyDescent="0.3">
      <c r="A7054" t="s">
        <v>7060</v>
      </c>
      <c r="B7054" t="s">
        <v>10011</v>
      </c>
      <c r="C7054">
        <v>5</v>
      </c>
      <c r="D7054">
        <v>5</v>
      </c>
      <c r="E7054">
        <v>25</v>
      </c>
      <c r="F7054" t="s">
        <v>10019</v>
      </c>
      <c r="G7054" t="s">
        <v>10102</v>
      </c>
      <c r="H7054" s="6">
        <v>45257</v>
      </c>
      <c r="I7054">
        <f t="shared" si="220"/>
        <v>0</v>
      </c>
      <c r="J7054" t="str">
        <f t="shared" si="221"/>
        <v>Complete</v>
      </c>
      <c r="K7054">
        <f>COUNTIFS(RawData[Item], B7054,RawData[Quantity],C7054,RawData[Price Per Unit],D7054,RawData[Total Spent],E7054,RawData[Payment Method],F7054,RawData[Location],G7054,RawData[Transaction Date],H7054)</f>
        <v>1</v>
      </c>
      <c r="L7054"/>
    </row>
    <row r="7055" spans="1:12" x14ac:dyDescent="0.3">
      <c r="A7055" t="s">
        <v>7061</v>
      </c>
      <c r="B7055" t="s">
        <v>10008</v>
      </c>
      <c r="C7055">
        <v>3</v>
      </c>
      <c r="D7055">
        <v>2</v>
      </c>
      <c r="E7055">
        <v>6</v>
      </c>
      <c r="F7055" t="s">
        <v>10018</v>
      </c>
      <c r="G7055" t="s">
        <v>10069</v>
      </c>
      <c r="H7055" s="6">
        <v>45184</v>
      </c>
      <c r="I7055">
        <f t="shared" si="220"/>
        <v>0</v>
      </c>
      <c r="J7055" t="str">
        <f t="shared" si="221"/>
        <v>Complete</v>
      </c>
      <c r="K7055">
        <f>COUNTIFS(RawData[Item], B7055,RawData[Quantity],C7055,RawData[Price Per Unit],D7055,RawData[Total Spent],E7055,RawData[Payment Method],F7055,RawData[Location],G7055,RawData[Transaction Date],H7055)</f>
        <v>2</v>
      </c>
      <c r="L7055"/>
    </row>
    <row r="7056" spans="1:12" x14ac:dyDescent="0.3">
      <c r="A7056" t="s">
        <v>7062</v>
      </c>
      <c r="B7056" t="s">
        <v>10008</v>
      </c>
      <c r="C7056">
        <v>1</v>
      </c>
      <c r="D7056">
        <v>2</v>
      </c>
      <c r="E7056">
        <v>2</v>
      </c>
      <c r="F7056" t="s">
        <v>10018</v>
      </c>
      <c r="G7056" t="s">
        <v>10103</v>
      </c>
      <c r="H7056" s="6">
        <v>45179</v>
      </c>
      <c r="I7056">
        <f t="shared" si="220"/>
        <v>1</v>
      </c>
      <c r="J7056" t="str">
        <f t="shared" si="221"/>
        <v>Complete</v>
      </c>
      <c r="K7056">
        <f>COUNTIFS(RawData[Item], B7056,RawData[Quantity],C7056,RawData[Price Per Unit],D7056,RawData[Total Spent],E7056,RawData[Payment Method],F7056,RawData[Location],G7056,RawData[Transaction Date],H7056)</f>
        <v>1</v>
      </c>
      <c r="L7056"/>
    </row>
    <row r="7057" spans="1:12" x14ac:dyDescent="0.3">
      <c r="A7057" t="s">
        <v>7063</v>
      </c>
      <c r="B7057" t="s">
        <v>10010</v>
      </c>
      <c r="C7057">
        <v>4</v>
      </c>
      <c r="D7057">
        <v>1</v>
      </c>
      <c r="E7057">
        <v>4</v>
      </c>
      <c r="F7057" t="s">
        <v>10019</v>
      </c>
      <c r="G7057" t="s">
        <v>10021</v>
      </c>
      <c r="H7057" s="6">
        <v>44998</v>
      </c>
      <c r="I7057">
        <f t="shared" si="220"/>
        <v>0</v>
      </c>
      <c r="J7057" t="str">
        <f t="shared" si="221"/>
        <v>Complete</v>
      </c>
      <c r="K7057">
        <f>COUNTIFS(RawData[Item], B7057,RawData[Quantity],C7057,RawData[Price Per Unit],D7057,RawData[Total Spent],E7057,RawData[Payment Method],F7057,RawData[Location],G7057,RawData[Transaction Date],H7057)</f>
        <v>1</v>
      </c>
      <c r="L7057"/>
    </row>
    <row r="7058" spans="1:12" x14ac:dyDescent="0.3">
      <c r="A7058" t="s">
        <v>7064</v>
      </c>
      <c r="B7058" t="s">
        <v>10012</v>
      </c>
      <c r="C7058">
        <v>1</v>
      </c>
      <c r="D7058">
        <v>4</v>
      </c>
      <c r="E7058">
        <v>4</v>
      </c>
      <c r="F7058" t="s">
        <v>10018</v>
      </c>
      <c r="G7058" t="s">
        <v>10069</v>
      </c>
      <c r="H7058" s="6">
        <v>45020</v>
      </c>
      <c r="I7058">
        <f t="shared" si="220"/>
        <v>0</v>
      </c>
      <c r="J7058" t="str">
        <f t="shared" si="221"/>
        <v>Complete</v>
      </c>
      <c r="K7058">
        <f>COUNTIFS(RawData[Item], B7058,RawData[Quantity],C7058,RawData[Price Per Unit],D7058,RawData[Total Spent],E7058,RawData[Payment Method],F7058,RawData[Location],G7058,RawData[Transaction Date],H7058)</f>
        <v>1</v>
      </c>
      <c r="L7058"/>
    </row>
    <row r="7059" spans="1:12" x14ac:dyDescent="0.3">
      <c r="A7059" t="s">
        <v>7065</v>
      </c>
      <c r="B7059" t="s">
        <v>10015</v>
      </c>
      <c r="C7059">
        <v>2</v>
      </c>
      <c r="D7059">
        <v>1.5</v>
      </c>
      <c r="E7059">
        <v>3</v>
      </c>
      <c r="F7059" t="s">
        <v>10069</v>
      </c>
      <c r="G7059" t="s">
        <v>10102</v>
      </c>
      <c r="H7059" s="6">
        <v>44958</v>
      </c>
      <c r="I7059">
        <f t="shared" si="220"/>
        <v>1</v>
      </c>
      <c r="J7059" t="str">
        <f t="shared" si="221"/>
        <v>Complete</v>
      </c>
      <c r="K7059">
        <f>COUNTIFS(RawData[Item], B7059,RawData[Quantity],C7059,RawData[Price Per Unit],D7059,RawData[Total Spent],E7059,RawData[Payment Method],F7059,RawData[Location],G7059,RawData[Transaction Date],H7059)</f>
        <v>1</v>
      </c>
      <c r="L7059"/>
    </row>
    <row r="7060" spans="1:12" x14ac:dyDescent="0.3">
      <c r="A7060" t="s">
        <v>7066</v>
      </c>
      <c r="B7060" t="s">
        <v>10012</v>
      </c>
      <c r="C7060">
        <v>4</v>
      </c>
      <c r="D7060">
        <v>4</v>
      </c>
      <c r="E7060">
        <v>16</v>
      </c>
      <c r="F7060" t="s">
        <v>10020</v>
      </c>
      <c r="G7060" t="s">
        <v>10069</v>
      </c>
      <c r="H7060" s="6">
        <v>45091</v>
      </c>
      <c r="I7060">
        <f t="shared" si="220"/>
        <v>0</v>
      </c>
      <c r="J7060" t="str">
        <f t="shared" si="221"/>
        <v>Complete</v>
      </c>
      <c r="K7060">
        <f>COUNTIFS(RawData[Item], B7060,RawData[Quantity],C7060,RawData[Price Per Unit],D7060,RawData[Total Spent],E7060,RawData[Payment Method],F7060,RawData[Location],G7060,RawData[Transaction Date],H7060)</f>
        <v>1</v>
      </c>
      <c r="L7060"/>
    </row>
    <row r="7061" spans="1:12" x14ac:dyDescent="0.3">
      <c r="A7061" t="s">
        <v>7067</v>
      </c>
      <c r="B7061" t="s">
        <v>10012</v>
      </c>
      <c r="C7061">
        <v>4</v>
      </c>
      <c r="D7061">
        <v>4</v>
      </c>
      <c r="E7061">
        <v>16</v>
      </c>
      <c r="F7061" t="s">
        <v>10018</v>
      </c>
      <c r="G7061" t="s">
        <v>10069</v>
      </c>
      <c r="H7061" s="6">
        <v>45105</v>
      </c>
      <c r="I7061">
        <f t="shared" si="220"/>
        <v>0</v>
      </c>
      <c r="J7061" t="str">
        <f t="shared" si="221"/>
        <v>Complete</v>
      </c>
      <c r="K7061">
        <f>COUNTIFS(RawData[Item], B7061,RawData[Quantity],C7061,RawData[Price Per Unit],D7061,RawData[Total Spent],E7061,RawData[Payment Method],F7061,RawData[Location],G7061,RawData[Transaction Date],H7061)</f>
        <v>1</v>
      </c>
      <c r="L7061"/>
    </row>
    <row r="7062" spans="1:12" x14ac:dyDescent="0.3">
      <c r="A7062" t="s">
        <v>7068</v>
      </c>
      <c r="B7062" t="s">
        <v>10011</v>
      </c>
      <c r="C7062">
        <v>1</v>
      </c>
      <c r="D7062">
        <v>5</v>
      </c>
      <c r="E7062">
        <v>5</v>
      </c>
      <c r="F7062" t="s">
        <v>10018</v>
      </c>
      <c r="G7062" t="s">
        <v>10021</v>
      </c>
      <c r="H7062" s="6">
        <v>45131</v>
      </c>
      <c r="I7062">
        <f t="shared" si="220"/>
        <v>0</v>
      </c>
      <c r="J7062" t="str">
        <f t="shared" si="221"/>
        <v>Complete</v>
      </c>
      <c r="K7062">
        <f>COUNTIFS(RawData[Item], B7062,RawData[Quantity],C7062,RawData[Price Per Unit],D7062,RawData[Total Spent],E7062,RawData[Payment Method],F7062,RawData[Location],G7062,RawData[Transaction Date],H7062)</f>
        <v>1</v>
      </c>
      <c r="L7062"/>
    </row>
    <row r="7063" spans="1:12" x14ac:dyDescent="0.3">
      <c r="A7063" t="s">
        <v>7069</v>
      </c>
      <c r="B7063" t="s">
        <v>10017</v>
      </c>
      <c r="C7063">
        <v>4</v>
      </c>
      <c r="D7063">
        <v>1.5</v>
      </c>
      <c r="E7063">
        <v>6</v>
      </c>
      <c r="F7063" t="s">
        <v>10019</v>
      </c>
      <c r="G7063" t="s">
        <v>10021</v>
      </c>
      <c r="H7063" s="6">
        <v>45160</v>
      </c>
      <c r="I7063">
        <f t="shared" si="220"/>
        <v>0</v>
      </c>
      <c r="J7063" t="str">
        <f t="shared" si="221"/>
        <v>Complete</v>
      </c>
      <c r="K7063">
        <f>COUNTIFS(RawData[Item], B7063,RawData[Quantity],C7063,RawData[Price Per Unit],D7063,RawData[Total Spent],E7063,RawData[Payment Method],F7063,RawData[Location],G7063,RawData[Transaction Date],H7063)</f>
        <v>1</v>
      </c>
      <c r="L7063"/>
    </row>
    <row r="7064" spans="1:12" x14ac:dyDescent="0.3">
      <c r="A7064" t="s">
        <v>7070</v>
      </c>
      <c r="B7064" t="s">
        <v>10010</v>
      </c>
      <c r="C7064">
        <v>3</v>
      </c>
      <c r="D7064">
        <v>1</v>
      </c>
      <c r="E7064">
        <v>3</v>
      </c>
      <c r="F7064" t="s">
        <v>10018</v>
      </c>
      <c r="G7064" t="s">
        <v>10069</v>
      </c>
      <c r="H7064" s="6">
        <v>45253</v>
      </c>
      <c r="I7064">
        <f t="shared" si="220"/>
        <v>0</v>
      </c>
      <c r="J7064" t="str">
        <f t="shared" si="221"/>
        <v>Complete</v>
      </c>
      <c r="K7064">
        <f>COUNTIFS(RawData[Item], B7064,RawData[Quantity],C7064,RawData[Price Per Unit],D7064,RawData[Total Spent],E7064,RawData[Payment Method],F7064,RawData[Location],G7064,RawData[Transaction Date],H7064)</f>
        <v>1</v>
      </c>
      <c r="L7064"/>
    </row>
    <row r="7065" spans="1:12" x14ac:dyDescent="0.3">
      <c r="A7065" t="s">
        <v>7071</v>
      </c>
      <c r="B7065" t="s">
        <v>10011</v>
      </c>
      <c r="C7065">
        <v>4</v>
      </c>
      <c r="D7065">
        <v>5</v>
      </c>
      <c r="E7065">
        <v>20</v>
      </c>
      <c r="F7065" t="s">
        <v>10020</v>
      </c>
      <c r="G7065" t="s">
        <v>10102</v>
      </c>
      <c r="H7065" s="6">
        <v>45015</v>
      </c>
      <c r="I7065">
        <f t="shared" si="220"/>
        <v>0</v>
      </c>
      <c r="J7065" t="str">
        <f t="shared" si="221"/>
        <v>Complete</v>
      </c>
      <c r="K7065">
        <f>COUNTIFS(RawData[Item], B7065,RawData[Quantity],C7065,RawData[Price Per Unit],D7065,RawData[Total Spent],E7065,RawData[Payment Method],F7065,RawData[Location],G7065,RawData[Transaction Date],H7065)</f>
        <v>1</v>
      </c>
      <c r="L7065"/>
    </row>
    <row r="7066" spans="1:12" x14ac:dyDescent="0.3">
      <c r="A7066" t="s">
        <v>7072</v>
      </c>
      <c r="B7066" t="s">
        <v>10010</v>
      </c>
      <c r="C7066">
        <v>5</v>
      </c>
      <c r="D7066">
        <v>1</v>
      </c>
      <c r="E7066">
        <v>5</v>
      </c>
      <c r="F7066" t="s">
        <v>10019</v>
      </c>
      <c r="G7066" t="s">
        <v>10102</v>
      </c>
      <c r="H7066" s="6">
        <v>45019</v>
      </c>
      <c r="I7066">
        <f t="shared" si="220"/>
        <v>0</v>
      </c>
      <c r="J7066" t="str">
        <f t="shared" si="221"/>
        <v>Complete</v>
      </c>
      <c r="K7066">
        <f>COUNTIFS(RawData[Item], B7066,RawData[Quantity],C7066,RawData[Price Per Unit],D7066,RawData[Total Spent],E7066,RawData[Payment Method],F7066,RawData[Location],G7066,RawData[Transaction Date],H7066)</f>
        <v>1</v>
      </c>
      <c r="L7066"/>
    </row>
    <row r="7067" spans="1:12" x14ac:dyDescent="0.3">
      <c r="A7067" t="s">
        <v>7073</v>
      </c>
      <c r="B7067" t="s">
        <v>10009</v>
      </c>
      <c r="C7067">
        <v>5</v>
      </c>
      <c r="D7067">
        <v>3</v>
      </c>
      <c r="E7067">
        <v>15</v>
      </c>
      <c r="F7067" t="s">
        <v>10020</v>
      </c>
      <c r="G7067" t="s">
        <v>10069</v>
      </c>
      <c r="H7067" s="6">
        <v>45262</v>
      </c>
      <c r="I7067">
        <f t="shared" si="220"/>
        <v>0</v>
      </c>
      <c r="J7067" t="str">
        <f t="shared" si="221"/>
        <v>Complete</v>
      </c>
      <c r="K7067">
        <f>COUNTIFS(RawData[Item], B7067,RawData[Quantity],C7067,RawData[Price Per Unit],D7067,RawData[Total Spent],E7067,RawData[Payment Method],F7067,RawData[Location],G7067,RawData[Transaction Date],H7067)</f>
        <v>1</v>
      </c>
      <c r="L7067"/>
    </row>
    <row r="7068" spans="1:12" x14ac:dyDescent="0.3">
      <c r="A7068" t="s">
        <v>7074</v>
      </c>
      <c r="B7068" t="s">
        <v>10009</v>
      </c>
      <c r="C7068">
        <v>3</v>
      </c>
      <c r="D7068">
        <v>3</v>
      </c>
      <c r="E7068">
        <v>9</v>
      </c>
      <c r="F7068" t="s">
        <v>10019</v>
      </c>
      <c r="G7068" t="s">
        <v>10102</v>
      </c>
      <c r="H7068" s="6">
        <v>45152</v>
      </c>
      <c r="I7068">
        <f t="shared" si="220"/>
        <v>0</v>
      </c>
      <c r="J7068" t="str">
        <f t="shared" si="221"/>
        <v>Complete</v>
      </c>
      <c r="K7068">
        <f>COUNTIFS(RawData[Item], B7068,RawData[Quantity],C7068,RawData[Price Per Unit],D7068,RawData[Total Spent],E7068,RawData[Payment Method],F7068,RawData[Location],G7068,RawData[Transaction Date],H7068)</f>
        <v>2</v>
      </c>
      <c r="L7068"/>
    </row>
    <row r="7069" spans="1:12" x14ac:dyDescent="0.3">
      <c r="A7069" t="s">
        <v>7075</v>
      </c>
      <c r="B7069" t="s">
        <v>10069</v>
      </c>
      <c r="C7069">
        <v>5</v>
      </c>
      <c r="D7069">
        <v>3</v>
      </c>
      <c r="E7069">
        <v>15</v>
      </c>
      <c r="F7069" t="s">
        <v>10020</v>
      </c>
      <c r="G7069" t="s">
        <v>10102</v>
      </c>
      <c r="H7069" s="6" t="s">
        <v>10112</v>
      </c>
      <c r="I7069">
        <f t="shared" si="220"/>
        <v>1</v>
      </c>
      <c r="J7069" t="str">
        <f t="shared" si="221"/>
        <v>Incomplete</v>
      </c>
      <c r="K7069">
        <f>COUNTIFS(RawData[Item], B7069,RawData[Quantity],C7069,RawData[Price Per Unit],D7069,RawData[Total Spent],E7069,RawData[Payment Method],F7069,RawData[Location],G7069,RawData[Transaction Date],H7069)</f>
        <v>1</v>
      </c>
      <c r="L7069"/>
    </row>
    <row r="7070" spans="1:12" x14ac:dyDescent="0.3">
      <c r="A7070" t="s">
        <v>7076</v>
      </c>
      <c r="B7070" t="s">
        <v>10016</v>
      </c>
      <c r="C7070">
        <v>2</v>
      </c>
      <c r="D7070">
        <v>3</v>
      </c>
      <c r="E7070">
        <v>6</v>
      </c>
      <c r="F7070" t="s">
        <v>10020</v>
      </c>
      <c r="G7070" t="s">
        <v>10069</v>
      </c>
      <c r="H7070" s="6">
        <v>45046</v>
      </c>
      <c r="I7070">
        <f t="shared" si="220"/>
        <v>0</v>
      </c>
      <c r="J7070" t="str">
        <f t="shared" si="221"/>
        <v>Complete</v>
      </c>
      <c r="K7070">
        <f>COUNTIFS(RawData[Item], B7070,RawData[Quantity],C7070,RawData[Price Per Unit],D7070,RawData[Total Spent],E7070,RawData[Payment Method],F7070,RawData[Location],G7070,RawData[Transaction Date],H7070)</f>
        <v>1</v>
      </c>
      <c r="L7070"/>
    </row>
    <row r="7071" spans="1:12" x14ac:dyDescent="0.3">
      <c r="A7071" t="s">
        <v>7077</v>
      </c>
      <c r="B7071" t="s">
        <v>10009</v>
      </c>
      <c r="C7071">
        <v>1</v>
      </c>
      <c r="D7071">
        <v>3</v>
      </c>
      <c r="E7071">
        <v>3</v>
      </c>
      <c r="F7071" t="s">
        <v>10069</v>
      </c>
      <c r="G7071" t="s">
        <v>10021</v>
      </c>
      <c r="H7071" s="6">
        <v>45173</v>
      </c>
      <c r="I7071">
        <f t="shared" si="220"/>
        <v>0</v>
      </c>
      <c r="J7071" t="str">
        <f t="shared" si="221"/>
        <v>Complete</v>
      </c>
      <c r="K7071">
        <f>COUNTIFS(RawData[Item], B7071,RawData[Quantity],C7071,RawData[Price Per Unit],D7071,RawData[Total Spent],E7071,RawData[Payment Method],F7071,RawData[Location],G7071,RawData[Transaction Date],H7071)</f>
        <v>1</v>
      </c>
      <c r="L7071"/>
    </row>
    <row r="7072" spans="1:12" x14ac:dyDescent="0.3">
      <c r="A7072" t="s">
        <v>7078</v>
      </c>
      <c r="B7072" t="s">
        <v>10012</v>
      </c>
      <c r="C7072">
        <v>4</v>
      </c>
      <c r="D7072">
        <v>4</v>
      </c>
      <c r="E7072">
        <v>16</v>
      </c>
      <c r="F7072" t="s">
        <v>10020</v>
      </c>
      <c r="G7072" t="s">
        <v>10102</v>
      </c>
      <c r="H7072" s="6">
        <v>45099</v>
      </c>
      <c r="I7072">
        <f t="shared" si="220"/>
        <v>0</v>
      </c>
      <c r="J7072" t="str">
        <f t="shared" si="221"/>
        <v>Complete</v>
      </c>
      <c r="K7072">
        <f>COUNTIFS(RawData[Item], B7072,RawData[Quantity],C7072,RawData[Price Per Unit],D7072,RawData[Total Spent],E7072,RawData[Payment Method],F7072,RawData[Location],G7072,RawData[Transaction Date],H7072)</f>
        <v>1</v>
      </c>
      <c r="L7072"/>
    </row>
    <row r="7073" spans="1:12" x14ac:dyDescent="0.3">
      <c r="A7073" t="s">
        <v>7079</v>
      </c>
      <c r="B7073" t="s">
        <v>10008</v>
      </c>
      <c r="C7073">
        <v>3</v>
      </c>
      <c r="D7073">
        <v>2</v>
      </c>
      <c r="E7073">
        <v>6</v>
      </c>
      <c r="F7073" t="s">
        <v>10069</v>
      </c>
      <c r="G7073" t="s">
        <v>10102</v>
      </c>
      <c r="H7073" s="6">
        <v>45229</v>
      </c>
      <c r="I7073">
        <f t="shared" si="220"/>
        <v>0</v>
      </c>
      <c r="J7073" t="str">
        <f t="shared" si="221"/>
        <v>Complete</v>
      </c>
      <c r="K7073">
        <f>COUNTIFS(RawData[Item], B7073,RawData[Quantity],C7073,RawData[Price Per Unit],D7073,RawData[Total Spent],E7073,RawData[Payment Method],F7073,RawData[Location],G7073,RawData[Transaction Date],H7073)</f>
        <v>1</v>
      </c>
      <c r="L7073"/>
    </row>
    <row r="7074" spans="1:12" x14ac:dyDescent="0.3">
      <c r="A7074" t="s">
        <v>7080</v>
      </c>
      <c r="B7074" t="s">
        <v>10010</v>
      </c>
      <c r="C7074">
        <v>1</v>
      </c>
      <c r="D7074" t="s">
        <v>10015</v>
      </c>
      <c r="E7074">
        <v>1</v>
      </c>
      <c r="F7074" t="s">
        <v>10069</v>
      </c>
      <c r="G7074" t="s">
        <v>10021</v>
      </c>
      <c r="H7074" s="6">
        <v>45261</v>
      </c>
      <c r="I7074">
        <f t="shared" si="220"/>
        <v>1</v>
      </c>
      <c r="J7074" t="str">
        <f t="shared" si="221"/>
        <v>Complete</v>
      </c>
      <c r="K7074">
        <f>COUNTIFS(RawData[Item], B7074,RawData[Quantity],C7074,RawData[Price Per Unit],D7074,RawData[Total Spent],E7074,RawData[Payment Method],F7074,RawData[Location],G7074,RawData[Transaction Date],H7074)</f>
        <v>1</v>
      </c>
      <c r="L7074"/>
    </row>
    <row r="7075" spans="1:12" x14ac:dyDescent="0.3">
      <c r="A7075" t="s">
        <v>7081</v>
      </c>
      <c r="B7075" t="s">
        <v>10008</v>
      </c>
      <c r="C7075">
        <v>5</v>
      </c>
      <c r="D7075">
        <v>2</v>
      </c>
      <c r="E7075">
        <v>0</v>
      </c>
      <c r="F7075" t="s">
        <v>10069</v>
      </c>
      <c r="G7075" t="s">
        <v>10069</v>
      </c>
      <c r="H7075" s="6">
        <v>45123</v>
      </c>
      <c r="I7075">
        <f t="shared" si="220"/>
        <v>0</v>
      </c>
      <c r="J7075" t="str">
        <f t="shared" si="221"/>
        <v>Complete</v>
      </c>
      <c r="K7075">
        <f>COUNTIFS(RawData[Item], B7075,RawData[Quantity],C7075,RawData[Price Per Unit],D7075,RawData[Total Spent],E7075,RawData[Payment Method],F7075,RawData[Location],G7075,RawData[Transaction Date],H7075)</f>
        <v>1</v>
      </c>
      <c r="L7075"/>
    </row>
    <row r="7076" spans="1:12" x14ac:dyDescent="0.3">
      <c r="A7076" t="s">
        <v>7082</v>
      </c>
      <c r="B7076" t="s">
        <v>10014</v>
      </c>
      <c r="C7076">
        <v>2</v>
      </c>
      <c r="D7076">
        <v>4</v>
      </c>
      <c r="E7076">
        <v>8</v>
      </c>
      <c r="F7076" t="s">
        <v>10019</v>
      </c>
      <c r="G7076" t="s">
        <v>10069</v>
      </c>
      <c r="H7076" s="6">
        <v>45157</v>
      </c>
      <c r="I7076">
        <f t="shared" si="220"/>
        <v>0</v>
      </c>
      <c r="J7076" t="str">
        <f t="shared" si="221"/>
        <v>Complete</v>
      </c>
      <c r="K7076">
        <f>COUNTIFS(RawData[Item], B7076,RawData[Quantity],C7076,RawData[Price Per Unit],D7076,RawData[Total Spent],E7076,RawData[Payment Method],F7076,RawData[Location],G7076,RawData[Transaction Date],H7076)</f>
        <v>1</v>
      </c>
      <c r="L7076"/>
    </row>
    <row r="7077" spans="1:12" x14ac:dyDescent="0.3">
      <c r="A7077" t="s">
        <v>7083</v>
      </c>
      <c r="B7077" t="s">
        <v>10069</v>
      </c>
      <c r="C7077">
        <v>3</v>
      </c>
      <c r="D7077">
        <v>5</v>
      </c>
      <c r="E7077">
        <v>15</v>
      </c>
      <c r="F7077" t="s">
        <v>10069</v>
      </c>
      <c r="G7077" t="s">
        <v>10102</v>
      </c>
      <c r="H7077" s="6">
        <v>44964</v>
      </c>
      <c r="I7077">
        <f t="shared" si="220"/>
        <v>0</v>
      </c>
      <c r="J7077" t="str">
        <f t="shared" si="221"/>
        <v>Complete</v>
      </c>
      <c r="K7077">
        <f>COUNTIFS(RawData[Item], B7077,RawData[Quantity],C7077,RawData[Price Per Unit],D7077,RawData[Total Spent],E7077,RawData[Payment Method],F7077,RawData[Location],G7077,RawData[Transaction Date],H7077)</f>
        <v>1</v>
      </c>
      <c r="L7077"/>
    </row>
    <row r="7078" spans="1:12" x14ac:dyDescent="0.3">
      <c r="A7078" t="s">
        <v>7084</v>
      </c>
      <c r="B7078" t="s">
        <v>10010</v>
      </c>
      <c r="C7078">
        <v>1</v>
      </c>
      <c r="D7078">
        <v>1</v>
      </c>
      <c r="E7078">
        <v>1</v>
      </c>
      <c r="F7078" t="s">
        <v>10018</v>
      </c>
      <c r="G7078" t="s">
        <v>10102</v>
      </c>
      <c r="H7078" s="6">
        <v>45204</v>
      </c>
      <c r="I7078">
        <f t="shared" si="220"/>
        <v>0</v>
      </c>
      <c r="J7078" t="str">
        <f t="shared" si="221"/>
        <v>Complete</v>
      </c>
      <c r="K7078">
        <f>COUNTIFS(RawData[Item], B7078,RawData[Quantity],C7078,RawData[Price Per Unit],D7078,RawData[Total Spent],E7078,RawData[Payment Method],F7078,RawData[Location],G7078,RawData[Transaction Date],H7078)</f>
        <v>1</v>
      </c>
      <c r="L7078"/>
    </row>
    <row r="7079" spans="1:12" x14ac:dyDescent="0.3">
      <c r="A7079" t="s">
        <v>7085</v>
      </c>
      <c r="B7079" t="s">
        <v>10017</v>
      </c>
      <c r="C7079">
        <v>4</v>
      </c>
      <c r="D7079">
        <v>1.5</v>
      </c>
      <c r="E7079" t="s">
        <v>10015</v>
      </c>
      <c r="F7079" t="s">
        <v>10069</v>
      </c>
      <c r="G7079" t="s">
        <v>10069</v>
      </c>
      <c r="H7079" s="6">
        <v>44941</v>
      </c>
      <c r="I7079">
        <f t="shared" si="220"/>
        <v>1</v>
      </c>
      <c r="J7079" t="str">
        <f t="shared" si="221"/>
        <v>Complete</v>
      </c>
      <c r="K7079">
        <f>COUNTIFS(RawData[Item], B7079,RawData[Quantity],C7079,RawData[Price Per Unit],D7079,RawData[Total Spent],E7079,RawData[Payment Method],F7079,RawData[Location],G7079,RawData[Transaction Date],H7079)</f>
        <v>1</v>
      </c>
      <c r="L7079"/>
    </row>
    <row r="7080" spans="1:12" x14ac:dyDescent="0.3">
      <c r="A7080" t="s">
        <v>7086</v>
      </c>
      <c r="B7080" t="s">
        <v>10008</v>
      </c>
      <c r="C7080">
        <v>3</v>
      </c>
      <c r="D7080">
        <v>2</v>
      </c>
      <c r="E7080">
        <v>6</v>
      </c>
      <c r="F7080" t="s">
        <v>10104</v>
      </c>
      <c r="G7080" t="s">
        <v>10021</v>
      </c>
      <c r="H7080" s="6">
        <v>44987</v>
      </c>
      <c r="I7080">
        <f t="shared" si="220"/>
        <v>1</v>
      </c>
      <c r="J7080" t="str">
        <f t="shared" si="221"/>
        <v>Complete</v>
      </c>
      <c r="K7080">
        <f>COUNTIFS(RawData[Item], B7080,RawData[Quantity],C7080,RawData[Price Per Unit],D7080,RawData[Total Spent],E7080,RawData[Payment Method],F7080,RawData[Location],G7080,RawData[Transaction Date],H7080)</f>
        <v>1</v>
      </c>
      <c r="L7080"/>
    </row>
    <row r="7081" spans="1:12" x14ac:dyDescent="0.3">
      <c r="A7081" t="s">
        <v>7087</v>
      </c>
      <c r="B7081" t="s">
        <v>10011</v>
      </c>
      <c r="C7081">
        <v>1</v>
      </c>
      <c r="D7081">
        <v>5</v>
      </c>
      <c r="E7081">
        <v>5</v>
      </c>
      <c r="F7081" t="s">
        <v>10069</v>
      </c>
      <c r="G7081" t="s">
        <v>10102</v>
      </c>
      <c r="H7081" s="6">
        <v>45133</v>
      </c>
      <c r="I7081">
        <f t="shared" si="220"/>
        <v>0</v>
      </c>
      <c r="J7081" t="str">
        <f t="shared" si="221"/>
        <v>Complete</v>
      </c>
      <c r="K7081">
        <f>COUNTIFS(RawData[Item], B7081,RawData[Quantity],C7081,RawData[Price Per Unit],D7081,RawData[Total Spent],E7081,RawData[Payment Method],F7081,RawData[Location],G7081,RawData[Transaction Date],H7081)</f>
        <v>2</v>
      </c>
      <c r="L7081"/>
    </row>
    <row r="7082" spans="1:12" x14ac:dyDescent="0.3">
      <c r="A7082" t="s">
        <v>7088</v>
      </c>
      <c r="B7082" t="s">
        <v>10017</v>
      </c>
      <c r="C7082">
        <v>2</v>
      </c>
      <c r="D7082">
        <v>0</v>
      </c>
      <c r="E7082">
        <v>3</v>
      </c>
      <c r="F7082" t="s">
        <v>10018</v>
      </c>
      <c r="G7082" t="s">
        <v>10021</v>
      </c>
      <c r="H7082" s="6">
        <v>44931</v>
      </c>
      <c r="I7082">
        <f t="shared" si="220"/>
        <v>0</v>
      </c>
      <c r="J7082" t="str">
        <f t="shared" si="221"/>
        <v>Complete</v>
      </c>
      <c r="K7082">
        <f>COUNTIFS(RawData[Item], B7082,RawData[Quantity],C7082,RawData[Price Per Unit],D7082,RawData[Total Spent],E7082,RawData[Payment Method],F7082,RawData[Location],G7082,RawData[Transaction Date],H7082)</f>
        <v>1</v>
      </c>
      <c r="L7082"/>
    </row>
    <row r="7083" spans="1:12" x14ac:dyDescent="0.3">
      <c r="A7083" t="s">
        <v>7089</v>
      </c>
      <c r="B7083" t="s">
        <v>10014</v>
      </c>
      <c r="C7083">
        <v>5</v>
      </c>
      <c r="D7083">
        <v>4</v>
      </c>
      <c r="E7083">
        <v>20</v>
      </c>
      <c r="F7083" t="s">
        <v>10019</v>
      </c>
      <c r="G7083" t="s">
        <v>10069</v>
      </c>
      <c r="H7083" s="6">
        <v>45200</v>
      </c>
      <c r="I7083">
        <f t="shared" si="220"/>
        <v>0</v>
      </c>
      <c r="J7083" t="str">
        <f t="shared" si="221"/>
        <v>Complete</v>
      </c>
      <c r="K7083">
        <f>COUNTIFS(RawData[Item], B7083,RawData[Quantity],C7083,RawData[Price Per Unit],D7083,RawData[Total Spent],E7083,RawData[Payment Method],F7083,RawData[Location],G7083,RawData[Transaction Date],H7083)</f>
        <v>2</v>
      </c>
      <c r="L7083"/>
    </row>
    <row r="7084" spans="1:12" x14ac:dyDescent="0.3">
      <c r="A7084" t="s">
        <v>7090</v>
      </c>
      <c r="B7084" t="s">
        <v>10016</v>
      </c>
      <c r="C7084">
        <v>3</v>
      </c>
      <c r="D7084">
        <v>3</v>
      </c>
      <c r="E7084">
        <v>9</v>
      </c>
      <c r="F7084" t="s">
        <v>10019</v>
      </c>
      <c r="G7084" t="s">
        <v>10021</v>
      </c>
      <c r="H7084" s="6">
        <v>45101</v>
      </c>
      <c r="I7084">
        <f t="shared" si="220"/>
        <v>0</v>
      </c>
      <c r="J7084" t="str">
        <f t="shared" si="221"/>
        <v>Complete</v>
      </c>
      <c r="K7084">
        <f>COUNTIFS(RawData[Item], B7084,RawData[Quantity],C7084,RawData[Price Per Unit],D7084,RawData[Total Spent],E7084,RawData[Payment Method],F7084,RawData[Location],G7084,RawData[Transaction Date],H7084)</f>
        <v>1</v>
      </c>
      <c r="L7084"/>
    </row>
    <row r="7085" spans="1:12" x14ac:dyDescent="0.3">
      <c r="A7085" t="s">
        <v>7091</v>
      </c>
      <c r="B7085" t="s">
        <v>10016</v>
      </c>
      <c r="C7085">
        <v>5</v>
      </c>
      <c r="D7085">
        <v>3</v>
      </c>
      <c r="E7085">
        <v>15</v>
      </c>
      <c r="F7085" t="s">
        <v>10104</v>
      </c>
      <c r="G7085" t="s">
        <v>10102</v>
      </c>
      <c r="H7085" s="6">
        <v>45220</v>
      </c>
      <c r="I7085">
        <f t="shared" si="220"/>
        <v>1</v>
      </c>
      <c r="J7085" t="str">
        <f t="shared" si="221"/>
        <v>Complete</v>
      </c>
      <c r="K7085">
        <f>COUNTIFS(RawData[Item], B7085,RawData[Quantity],C7085,RawData[Price Per Unit],D7085,RawData[Total Spent],E7085,RawData[Payment Method],F7085,RawData[Location],G7085,RawData[Transaction Date],H7085)</f>
        <v>1</v>
      </c>
      <c r="L7085"/>
    </row>
    <row r="7086" spans="1:12" x14ac:dyDescent="0.3">
      <c r="A7086" t="s">
        <v>7092</v>
      </c>
      <c r="B7086" t="s">
        <v>10008</v>
      </c>
      <c r="C7086">
        <v>1</v>
      </c>
      <c r="D7086">
        <v>2</v>
      </c>
      <c r="E7086">
        <v>2</v>
      </c>
      <c r="F7086" t="s">
        <v>10019</v>
      </c>
      <c r="G7086" t="s">
        <v>10069</v>
      </c>
      <c r="H7086" s="6">
        <v>45204</v>
      </c>
      <c r="I7086">
        <f t="shared" si="220"/>
        <v>0</v>
      </c>
      <c r="J7086" t="str">
        <f t="shared" si="221"/>
        <v>Complete</v>
      </c>
      <c r="K7086">
        <f>COUNTIFS(RawData[Item], B7086,RawData[Quantity],C7086,RawData[Price Per Unit],D7086,RawData[Total Spent],E7086,RawData[Payment Method],F7086,RawData[Location],G7086,RawData[Transaction Date],H7086)</f>
        <v>1</v>
      </c>
      <c r="L7086"/>
    </row>
    <row r="7087" spans="1:12" x14ac:dyDescent="0.3">
      <c r="A7087" t="s">
        <v>7093</v>
      </c>
      <c r="B7087" t="s">
        <v>10009</v>
      </c>
      <c r="C7087">
        <v>4</v>
      </c>
      <c r="D7087">
        <v>3</v>
      </c>
      <c r="E7087">
        <v>12</v>
      </c>
      <c r="F7087" t="s">
        <v>10018</v>
      </c>
      <c r="G7087" t="s">
        <v>10021</v>
      </c>
      <c r="H7087" s="6">
        <v>45216</v>
      </c>
      <c r="I7087">
        <f t="shared" si="220"/>
        <v>0</v>
      </c>
      <c r="J7087" t="str">
        <f t="shared" si="221"/>
        <v>Complete</v>
      </c>
      <c r="K7087">
        <f>COUNTIFS(RawData[Item], B7087,RawData[Quantity],C7087,RawData[Price Per Unit],D7087,RawData[Total Spent],E7087,RawData[Payment Method],F7087,RawData[Location],G7087,RawData[Transaction Date],H7087)</f>
        <v>1</v>
      </c>
      <c r="L7087"/>
    </row>
    <row r="7088" spans="1:12" x14ac:dyDescent="0.3">
      <c r="A7088" t="s">
        <v>7094</v>
      </c>
      <c r="B7088" t="s">
        <v>10008</v>
      </c>
      <c r="C7088" t="s">
        <v>10015</v>
      </c>
      <c r="D7088">
        <v>2</v>
      </c>
      <c r="E7088">
        <v>6</v>
      </c>
      <c r="F7088" t="s">
        <v>10069</v>
      </c>
      <c r="G7088" t="s">
        <v>10102</v>
      </c>
      <c r="H7088" s="6">
        <v>45003</v>
      </c>
      <c r="I7088">
        <f t="shared" si="220"/>
        <v>1</v>
      </c>
      <c r="J7088" t="str">
        <f t="shared" si="221"/>
        <v>Complete</v>
      </c>
      <c r="K7088">
        <f>COUNTIFS(RawData[Item], B7088,RawData[Quantity],C7088,RawData[Price Per Unit],D7088,RawData[Total Spent],E7088,RawData[Payment Method],F7088,RawData[Location],G7088,RawData[Transaction Date],H7088)</f>
        <v>1</v>
      </c>
      <c r="L7088"/>
    </row>
    <row r="7089" spans="1:12" x14ac:dyDescent="0.3">
      <c r="A7089" t="s">
        <v>7095</v>
      </c>
      <c r="B7089" t="s">
        <v>10017</v>
      </c>
      <c r="C7089">
        <v>5</v>
      </c>
      <c r="D7089">
        <v>1.5</v>
      </c>
      <c r="E7089">
        <v>7.5</v>
      </c>
      <c r="F7089" t="s">
        <v>10018</v>
      </c>
      <c r="G7089" t="s">
        <v>10102</v>
      </c>
      <c r="H7089" s="6">
        <v>45128</v>
      </c>
      <c r="I7089">
        <f t="shared" si="220"/>
        <v>0</v>
      </c>
      <c r="J7089" t="str">
        <f t="shared" si="221"/>
        <v>Complete</v>
      </c>
      <c r="K7089">
        <f>COUNTIFS(RawData[Item], B7089,RawData[Quantity],C7089,RawData[Price Per Unit],D7089,RawData[Total Spent],E7089,RawData[Payment Method],F7089,RawData[Location],G7089,RawData[Transaction Date],H7089)</f>
        <v>1</v>
      </c>
      <c r="L7089"/>
    </row>
    <row r="7090" spans="1:12" x14ac:dyDescent="0.3">
      <c r="A7090" t="s">
        <v>7096</v>
      </c>
      <c r="B7090" t="s">
        <v>10008</v>
      </c>
      <c r="C7090">
        <v>2</v>
      </c>
      <c r="D7090">
        <v>2</v>
      </c>
      <c r="E7090">
        <v>4</v>
      </c>
      <c r="F7090" t="s">
        <v>10020</v>
      </c>
      <c r="G7090" t="s">
        <v>10102</v>
      </c>
      <c r="H7090" s="6">
        <v>45079</v>
      </c>
      <c r="I7090">
        <f t="shared" si="220"/>
        <v>0</v>
      </c>
      <c r="J7090" t="str">
        <f t="shared" si="221"/>
        <v>Complete</v>
      </c>
      <c r="K7090">
        <f>COUNTIFS(RawData[Item], B7090,RawData[Quantity],C7090,RawData[Price Per Unit],D7090,RawData[Total Spent],E7090,RawData[Payment Method],F7090,RawData[Location],G7090,RawData[Transaction Date],H7090)</f>
        <v>1</v>
      </c>
      <c r="L7090"/>
    </row>
    <row r="7091" spans="1:12" x14ac:dyDescent="0.3">
      <c r="A7091" t="s">
        <v>7097</v>
      </c>
      <c r="B7091" t="s">
        <v>10017</v>
      </c>
      <c r="C7091">
        <v>2</v>
      </c>
      <c r="D7091">
        <v>1.5</v>
      </c>
      <c r="E7091">
        <v>3</v>
      </c>
      <c r="F7091" t="s">
        <v>10069</v>
      </c>
      <c r="G7091" t="s">
        <v>10021</v>
      </c>
      <c r="H7091" s="6">
        <v>45084</v>
      </c>
      <c r="I7091">
        <f t="shared" si="220"/>
        <v>0</v>
      </c>
      <c r="J7091" t="str">
        <f t="shared" si="221"/>
        <v>Complete</v>
      </c>
      <c r="K7091">
        <f>COUNTIFS(RawData[Item], B7091,RawData[Quantity],C7091,RawData[Price Per Unit],D7091,RawData[Total Spent],E7091,RawData[Payment Method],F7091,RawData[Location],G7091,RawData[Transaction Date],H7091)</f>
        <v>1</v>
      </c>
      <c r="L7091"/>
    </row>
    <row r="7092" spans="1:12" x14ac:dyDescent="0.3">
      <c r="A7092" t="s">
        <v>7098</v>
      </c>
      <c r="B7092" t="s">
        <v>10010</v>
      </c>
      <c r="C7092">
        <v>2</v>
      </c>
      <c r="D7092">
        <v>1</v>
      </c>
      <c r="E7092">
        <v>2</v>
      </c>
      <c r="F7092" t="s">
        <v>10069</v>
      </c>
      <c r="G7092" t="s">
        <v>10103</v>
      </c>
      <c r="H7092" s="6">
        <v>45043</v>
      </c>
      <c r="I7092">
        <f t="shared" si="220"/>
        <v>1</v>
      </c>
      <c r="J7092" t="str">
        <f t="shared" si="221"/>
        <v>Complete</v>
      </c>
      <c r="K7092">
        <f>COUNTIFS(RawData[Item], B7092,RawData[Quantity],C7092,RawData[Price Per Unit],D7092,RawData[Total Spent],E7092,RawData[Payment Method],F7092,RawData[Location],G7092,RawData[Transaction Date],H7092)</f>
        <v>1</v>
      </c>
      <c r="L7092"/>
    </row>
    <row r="7093" spans="1:12" x14ac:dyDescent="0.3">
      <c r="A7093" t="s">
        <v>7099</v>
      </c>
      <c r="B7093" t="s">
        <v>10069</v>
      </c>
      <c r="C7093">
        <v>3</v>
      </c>
      <c r="D7093">
        <v>3</v>
      </c>
      <c r="E7093">
        <v>9</v>
      </c>
      <c r="F7093" t="s">
        <v>10020</v>
      </c>
      <c r="G7093" t="s">
        <v>10021</v>
      </c>
      <c r="H7093" s="6">
        <v>45114</v>
      </c>
      <c r="I7093">
        <f t="shared" si="220"/>
        <v>0</v>
      </c>
      <c r="J7093" t="str">
        <f t="shared" si="221"/>
        <v>Complete</v>
      </c>
      <c r="K7093">
        <f>COUNTIFS(RawData[Item], B7093,RawData[Quantity],C7093,RawData[Price Per Unit],D7093,RawData[Total Spent],E7093,RawData[Payment Method],F7093,RawData[Location],G7093,RawData[Transaction Date],H7093)</f>
        <v>1</v>
      </c>
      <c r="L7093"/>
    </row>
    <row r="7094" spans="1:12" x14ac:dyDescent="0.3">
      <c r="A7094" t="s">
        <v>7100</v>
      </c>
      <c r="B7094" t="s">
        <v>10009</v>
      </c>
      <c r="C7094">
        <v>5</v>
      </c>
      <c r="D7094">
        <v>3</v>
      </c>
      <c r="E7094">
        <v>15</v>
      </c>
      <c r="F7094" t="s">
        <v>10020</v>
      </c>
      <c r="G7094" t="s">
        <v>10021</v>
      </c>
      <c r="H7094" s="6">
        <v>45109</v>
      </c>
      <c r="I7094">
        <f t="shared" si="220"/>
        <v>0</v>
      </c>
      <c r="J7094" t="str">
        <f t="shared" si="221"/>
        <v>Complete</v>
      </c>
      <c r="K7094">
        <f>COUNTIFS(RawData[Item], B7094,RawData[Quantity],C7094,RawData[Price Per Unit],D7094,RawData[Total Spent],E7094,RawData[Payment Method],F7094,RawData[Location],G7094,RawData[Transaction Date],H7094)</f>
        <v>1</v>
      </c>
      <c r="L7094"/>
    </row>
    <row r="7095" spans="1:12" x14ac:dyDescent="0.3">
      <c r="A7095" t="s">
        <v>7101</v>
      </c>
      <c r="B7095" t="s">
        <v>10013</v>
      </c>
      <c r="C7095">
        <v>3</v>
      </c>
      <c r="D7095">
        <v>3</v>
      </c>
      <c r="E7095">
        <v>9</v>
      </c>
      <c r="F7095" t="s">
        <v>10069</v>
      </c>
      <c r="G7095" t="s">
        <v>10021</v>
      </c>
      <c r="H7095" s="6">
        <v>45070</v>
      </c>
      <c r="I7095">
        <f t="shared" si="220"/>
        <v>1</v>
      </c>
      <c r="J7095" t="str">
        <f t="shared" si="221"/>
        <v>Complete</v>
      </c>
      <c r="K7095">
        <f>COUNTIFS(RawData[Item], B7095,RawData[Quantity],C7095,RawData[Price Per Unit],D7095,RawData[Total Spent],E7095,RawData[Payment Method],F7095,RawData[Location],G7095,RawData[Transaction Date],H7095)</f>
        <v>1</v>
      </c>
      <c r="L7095"/>
    </row>
    <row r="7096" spans="1:12" x14ac:dyDescent="0.3">
      <c r="A7096" t="s">
        <v>7102</v>
      </c>
      <c r="B7096" t="s">
        <v>10011</v>
      </c>
      <c r="C7096">
        <v>5</v>
      </c>
      <c r="D7096">
        <v>5</v>
      </c>
      <c r="E7096">
        <v>25</v>
      </c>
      <c r="F7096" t="s">
        <v>10019</v>
      </c>
      <c r="G7096" t="s">
        <v>10069</v>
      </c>
      <c r="H7096" s="6">
        <v>45136</v>
      </c>
      <c r="I7096">
        <f t="shared" si="220"/>
        <v>0</v>
      </c>
      <c r="J7096" t="str">
        <f t="shared" si="221"/>
        <v>Complete</v>
      </c>
      <c r="K7096">
        <f>COUNTIFS(RawData[Item], B7096,RawData[Quantity],C7096,RawData[Price Per Unit],D7096,RawData[Total Spent],E7096,RawData[Payment Method],F7096,RawData[Location],G7096,RawData[Transaction Date],H7096)</f>
        <v>1</v>
      </c>
      <c r="L7096"/>
    </row>
    <row r="7097" spans="1:12" x14ac:dyDescent="0.3">
      <c r="A7097" t="s">
        <v>7103</v>
      </c>
      <c r="B7097" t="s">
        <v>10012</v>
      </c>
      <c r="C7097">
        <v>5</v>
      </c>
      <c r="D7097">
        <v>4</v>
      </c>
      <c r="E7097">
        <v>20</v>
      </c>
      <c r="F7097" t="s">
        <v>10069</v>
      </c>
      <c r="G7097" t="s">
        <v>10069</v>
      </c>
      <c r="H7097" s="6">
        <v>45130</v>
      </c>
      <c r="I7097">
        <f t="shared" si="220"/>
        <v>0</v>
      </c>
      <c r="J7097" t="str">
        <f t="shared" si="221"/>
        <v>Complete</v>
      </c>
      <c r="K7097">
        <f>COUNTIFS(RawData[Item], B7097,RawData[Quantity],C7097,RawData[Price Per Unit],D7097,RawData[Total Spent],E7097,RawData[Payment Method],F7097,RawData[Location],G7097,RawData[Transaction Date],H7097)</f>
        <v>1</v>
      </c>
      <c r="L7097"/>
    </row>
    <row r="7098" spans="1:12" x14ac:dyDescent="0.3">
      <c r="A7098" t="s">
        <v>7104</v>
      </c>
      <c r="B7098" t="s">
        <v>10008</v>
      </c>
      <c r="C7098">
        <v>5</v>
      </c>
      <c r="D7098">
        <v>2</v>
      </c>
      <c r="E7098">
        <v>10</v>
      </c>
      <c r="F7098" t="s">
        <v>10020</v>
      </c>
      <c r="G7098" t="s">
        <v>10021</v>
      </c>
      <c r="H7098" s="6">
        <v>45051</v>
      </c>
      <c r="I7098">
        <f t="shared" si="220"/>
        <v>0</v>
      </c>
      <c r="J7098" t="str">
        <f t="shared" si="221"/>
        <v>Complete</v>
      </c>
      <c r="K7098">
        <f>COUNTIFS(RawData[Item], B7098,RawData[Quantity],C7098,RawData[Price Per Unit],D7098,RawData[Total Spent],E7098,RawData[Payment Method],F7098,RawData[Location],G7098,RawData[Transaction Date],H7098)</f>
        <v>1</v>
      </c>
      <c r="L7098"/>
    </row>
    <row r="7099" spans="1:12" x14ac:dyDescent="0.3">
      <c r="A7099" t="s">
        <v>7105</v>
      </c>
      <c r="B7099" t="s">
        <v>10017</v>
      </c>
      <c r="C7099" t="s">
        <v>10015</v>
      </c>
      <c r="D7099">
        <v>1.5</v>
      </c>
      <c r="E7099">
        <v>7.5</v>
      </c>
      <c r="F7099" t="s">
        <v>10018</v>
      </c>
      <c r="G7099" t="s">
        <v>10102</v>
      </c>
      <c r="H7099" s="6">
        <v>45175</v>
      </c>
      <c r="I7099">
        <f t="shared" si="220"/>
        <v>1</v>
      </c>
      <c r="J7099" t="str">
        <f t="shared" si="221"/>
        <v>Complete</v>
      </c>
      <c r="K7099">
        <f>COUNTIFS(RawData[Item], B7099,RawData[Quantity],C7099,RawData[Price Per Unit],D7099,RawData[Total Spent],E7099,RawData[Payment Method],F7099,RawData[Location],G7099,RawData[Transaction Date],H7099)</f>
        <v>1</v>
      </c>
      <c r="L7099"/>
    </row>
    <row r="7100" spans="1:12" x14ac:dyDescent="0.3">
      <c r="A7100" t="s">
        <v>7106</v>
      </c>
      <c r="B7100" t="s">
        <v>10009</v>
      </c>
      <c r="C7100">
        <v>2</v>
      </c>
      <c r="D7100">
        <v>3</v>
      </c>
      <c r="E7100">
        <v>6</v>
      </c>
      <c r="F7100" t="s">
        <v>10069</v>
      </c>
      <c r="G7100" t="s">
        <v>10021</v>
      </c>
      <c r="H7100" s="6">
        <v>45062</v>
      </c>
      <c r="I7100">
        <f t="shared" si="220"/>
        <v>0</v>
      </c>
      <c r="J7100" t="str">
        <f t="shared" si="221"/>
        <v>Complete</v>
      </c>
      <c r="K7100">
        <f>COUNTIFS(RawData[Item], B7100,RawData[Quantity],C7100,RawData[Price Per Unit],D7100,RawData[Total Spent],E7100,RawData[Payment Method],F7100,RawData[Location],G7100,RawData[Transaction Date],H7100)</f>
        <v>1</v>
      </c>
      <c r="L7100"/>
    </row>
    <row r="7101" spans="1:12" x14ac:dyDescent="0.3">
      <c r="A7101" t="s">
        <v>7107</v>
      </c>
      <c r="B7101" t="s">
        <v>10017</v>
      </c>
      <c r="C7101">
        <v>2</v>
      </c>
      <c r="D7101">
        <v>1.5</v>
      </c>
      <c r="E7101">
        <v>3</v>
      </c>
      <c r="F7101" t="s">
        <v>10019</v>
      </c>
      <c r="G7101" t="s">
        <v>10021</v>
      </c>
      <c r="H7101" s="6" t="s">
        <v>10112</v>
      </c>
      <c r="I7101">
        <f t="shared" si="220"/>
        <v>1</v>
      </c>
      <c r="J7101" t="str">
        <f t="shared" si="221"/>
        <v>Incomplete</v>
      </c>
      <c r="K7101">
        <f>COUNTIFS(RawData[Item], B7101,RawData[Quantity],C7101,RawData[Price Per Unit],D7101,RawData[Total Spent],E7101,RawData[Payment Method],F7101,RawData[Location],G7101,RawData[Transaction Date],H7101)</f>
        <v>3</v>
      </c>
      <c r="L7101"/>
    </row>
    <row r="7102" spans="1:12" x14ac:dyDescent="0.3">
      <c r="A7102" t="s">
        <v>7108</v>
      </c>
      <c r="B7102" t="s">
        <v>10011</v>
      </c>
      <c r="C7102">
        <v>4</v>
      </c>
      <c r="D7102">
        <v>5</v>
      </c>
      <c r="E7102">
        <v>20</v>
      </c>
      <c r="F7102" t="s">
        <v>10018</v>
      </c>
      <c r="G7102" t="s">
        <v>10102</v>
      </c>
      <c r="H7102" s="6" t="s">
        <v>10112</v>
      </c>
      <c r="I7102">
        <f t="shared" si="220"/>
        <v>1</v>
      </c>
      <c r="J7102" t="str">
        <f t="shared" si="221"/>
        <v>Incomplete</v>
      </c>
      <c r="K7102">
        <f>COUNTIFS(RawData[Item], B7102,RawData[Quantity],C7102,RawData[Price Per Unit],D7102,RawData[Total Spent],E7102,RawData[Payment Method],F7102,RawData[Location],G7102,RawData[Transaction Date],H7102)</f>
        <v>1</v>
      </c>
      <c r="L7102"/>
    </row>
    <row r="7103" spans="1:12" x14ac:dyDescent="0.3">
      <c r="A7103" t="s">
        <v>7109</v>
      </c>
      <c r="B7103" t="s">
        <v>10017</v>
      </c>
      <c r="C7103">
        <v>2</v>
      </c>
      <c r="D7103">
        <v>1.5</v>
      </c>
      <c r="E7103">
        <v>3</v>
      </c>
      <c r="F7103" t="s">
        <v>10018</v>
      </c>
      <c r="G7103" t="s">
        <v>10069</v>
      </c>
      <c r="H7103" s="6">
        <v>45190</v>
      </c>
      <c r="I7103">
        <f t="shared" si="220"/>
        <v>0</v>
      </c>
      <c r="J7103" t="str">
        <f t="shared" si="221"/>
        <v>Complete</v>
      </c>
      <c r="K7103">
        <f>COUNTIFS(RawData[Item], B7103,RawData[Quantity],C7103,RawData[Price Per Unit],D7103,RawData[Total Spent],E7103,RawData[Payment Method],F7103,RawData[Location],G7103,RawData[Transaction Date],H7103)</f>
        <v>1</v>
      </c>
      <c r="L7103"/>
    </row>
    <row r="7104" spans="1:12" x14ac:dyDescent="0.3">
      <c r="A7104" t="s">
        <v>7110</v>
      </c>
      <c r="B7104" t="s">
        <v>10014</v>
      </c>
      <c r="C7104">
        <v>1</v>
      </c>
      <c r="D7104">
        <v>4</v>
      </c>
      <c r="E7104">
        <v>4</v>
      </c>
      <c r="F7104" t="s">
        <v>10069</v>
      </c>
      <c r="G7104" t="s">
        <v>10102</v>
      </c>
      <c r="H7104" s="6">
        <v>45003</v>
      </c>
      <c r="I7104">
        <f t="shared" si="220"/>
        <v>0</v>
      </c>
      <c r="J7104" t="str">
        <f t="shared" si="221"/>
        <v>Complete</v>
      </c>
      <c r="K7104">
        <f>COUNTIFS(RawData[Item], B7104,RawData[Quantity],C7104,RawData[Price Per Unit],D7104,RawData[Total Spent],E7104,RawData[Payment Method],F7104,RawData[Location],G7104,RawData[Transaction Date],H7104)</f>
        <v>1</v>
      </c>
      <c r="L7104"/>
    </row>
    <row r="7105" spans="1:12" x14ac:dyDescent="0.3">
      <c r="A7105" t="s">
        <v>7111</v>
      </c>
      <c r="B7105" t="s">
        <v>10016</v>
      </c>
      <c r="C7105">
        <v>5</v>
      </c>
      <c r="D7105">
        <v>3</v>
      </c>
      <c r="E7105">
        <v>15</v>
      </c>
      <c r="F7105" t="s">
        <v>10020</v>
      </c>
      <c r="G7105" t="s">
        <v>10069</v>
      </c>
      <c r="H7105" s="6">
        <v>45190</v>
      </c>
      <c r="I7105">
        <f t="shared" si="220"/>
        <v>0</v>
      </c>
      <c r="J7105" t="str">
        <f t="shared" si="221"/>
        <v>Complete</v>
      </c>
      <c r="K7105">
        <f>COUNTIFS(RawData[Item], B7105,RawData[Quantity],C7105,RawData[Price Per Unit],D7105,RawData[Total Spent],E7105,RawData[Payment Method],F7105,RawData[Location],G7105,RawData[Transaction Date],H7105)</f>
        <v>2</v>
      </c>
      <c r="L7105"/>
    </row>
    <row r="7106" spans="1:12" x14ac:dyDescent="0.3">
      <c r="A7106" t="s">
        <v>7112</v>
      </c>
      <c r="B7106" t="s">
        <v>10014</v>
      </c>
      <c r="C7106" t="s">
        <v>10013</v>
      </c>
      <c r="D7106">
        <v>4</v>
      </c>
      <c r="E7106">
        <v>8</v>
      </c>
      <c r="F7106" t="s">
        <v>10020</v>
      </c>
      <c r="G7106" t="s">
        <v>10021</v>
      </c>
      <c r="H7106" s="6">
        <v>45049</v>
      </c>
      <c r="I7106">
        <f t="shared" ref="I7106:I7169" si="222">(B7106="Unknown")+(B7106="Error")+(C7106="Unknown")+(C7106="Error")+(D7106="Unknown")+(D7106="Error")+(E7106="Unknown")+(E7106="Error")+(F7106="Unknown")+(F7106="Error")+(G7106="Unknown")+(G7106="Error")+(H7106="No Date")</f>
        <v>1</v>
      </c>
      <c r="J7106" t="str">
        <f t="shared" ref="J7106:J7169" si="223">IF((H7106="No Date"),"Incomplete","Complete")</f>
        <v>Complete</v>
      </c>
      <c r="K7106">
        <f>COUNTIFS(RawData[Item], B7106,RawData[Quantity],C7106,RawData[Price Per Unit],D7106,RawData[Total Spent],E7106,RawData[Payment Method],F7106,RawData[Location],G7106,RawData[Transaction Date],H7106)</f>
        <v>1</v>
      </c>
      <c r="L7106"/>
    </row>
    <row r="7107" spans="1:12" x14ac:dyDescent="0.3">
      <c r="A7107" t="s">
        <v>7113</v>
      </c>
      <c r="B7107" t="s">
        <v>10017</v>
      </c>
      <c r="C7107">
        <v>5</v>
      </c>
      <c r="D7107">
        <v>1.5</v>
      </c>
      <c r="E7107">
        <v>7.5</v>
      </c>
      <c r="F7107" t="s">
        <v>10069</v>
      </c>
      <c r="G7107" t="s">
        <v>10102</v>
      </c>
      <c r="H7107" s="6">
        <v>45256</v>
      </c>
      <c r="I7107">
        <f t="shared" si="222"/>
        <v>0</v>
      </c>
      <c r="J7107" t="str">
        <f t="shared" si="223"/>
        <v>Complete</v>
      </c>
      <c r="K7107">
        <f>COUNTIFS(RawData[Item], B7107,RawData[Quantity],C7107,RawData[Price Per Unit],D7107,RawData[Total Spent],E7107,RawData[Payment Method],F7107,RawData[Location],G7107,RawData[Transaction Date],H7107)</f>
        <v>1</v>
      </c>
      <c r="L7107"/>
    </row>
    <row r="7108" spans="1:12" x14ac:dyDescent="0.3">
      <c r="A7108" t="s">
        <v>7114</v>
      </c>
      <c r="B7108" t="s">
        <v>10014</v>
      </c>
      <c r="C7108">
        <v>1</v>
      </c>
      <c r="D7108">
        <v>4</v>
      </c>
      <c r="E7108">
        <v>4</v>
      </c>
      <c r="F7108" t="s">
        <v>10020</v>
      </c>
      <c r="G7108" t="s">
        <v>10069</v>
      </c>
      <c r="H7108" s="6">
        <v>45234</v>
      </c>
      <c r="I7108">
        <f t="shared" si="222"/>
        <v>0</v>
      </c>
      <c r="J7108" t="str">
        <f t="shared" si="223"/>
        <v>Complete</v>
      </c>
      <c r="K7108">
        <f>COUNTIFS(RawData[Item], B7108,RawData[Quantity],C7108,RawData[Price Per Unit],D7108,RawData[Total Spent],E7108,RawData[Payment Method],F7108,RawData[Location],G7108,RawData[Transaction Date],H7108)</f>
        <v>1</v>
      </c>
      <c r="L7108"/>
    </row>
    <row r="7109" spans="1:12" x14ac:dyDescent="0.3">
      <c r="A7109" t="s">
        <v>7115</v>
      </c>
      <c r="B7109" t="s">
        <v>10009</v>
      </c>
      <c r="C7109">
        <v>1</v>
      </c>
      <c r="D7109">
        <v>3</v>
      </c>
      <c r="E7109">
        <v>3</v>
      </c>
      <c r="F7109" t="s">
        <v>10018</v>
      </c>
      <c r="G7109" t="s">
        <v>10021</v>
      </c>
      <c r="H7109" s="6">
        <v>45098</v>
      </c>
      <c r="I7109">
        <f t="shared" si="222"/>
        <v>0</v>
      </c>
      <c r="J7109" t="str">
        <f t="shared" si="223"/>
        <v>Complete</v>
      </c>
      <c r="K7109">
        <f>COUNTIFS(RawData[Item], B7109,RawData[Quantity],C7109,RawData[Price Per Unit],D7109,RawData[Total Spent],E7109,RawData[Payment Method],F7109,RawData[Location],G7109,RawData[Transaction Date],H7109)</f>
        <v>1</v>
      </c>
      <c r="L7109"/>
    </row>
    <row r="7110" spans="1:12" x14ac:dyDescent="0.3">
      <c r="A7110" t="s">
        <v>7116</v>
      </c>
      <c r="B7110" t="s">
        <v>10011</v>
      </c>
      <c r="C7110">
        <v>1</v>
      </c>
      <c r="D7110">
        <v>5</v>
      </c>
      <c r="E7110">
        <v>5</v>
      </c>
      <c r="F7110" t="s">
        <v>10069</v>
      </c>
      <c r="G7110" t="s">
        <v>10069</v>
      </c>
      <c r="H7110" s="6">
        <v>45158</v>
      </c>
      <c r="I7110">
        <f t="shared" si="222"/>
        <v>0</v>
      </c>
      <c r="J7110" t="str">
        <f t="shared" si="223"/>
        <v>Complete</v>
      </c>
      <c r="K7110">
        <f>COUNTIFS(RawData[Item], B7110,RawData[Quantity],C7110,RawData[Price Per Unit],D7110,RawData[Total Spent],E7110,RawData[Payment Method],F7110,RawData[Location],G7110,RawData[Transaction Date],H7110)</f>
        <v>1</v>
      </c>
      <c r="L7110"/>
    </row>
    <row r="7111" spans="1:12" x14ac:dyDescent="0.3">
      <c r="A7111" t="s">
        <v>7117</v>
      </c>
      <c r="B7111" t="s">
        <v>10016</v>
      </c>
      <c r="C7111">
        <v>5</v>
      </c>
      <c r="D7111">
        <v>3</v>
      </c>
      <c r="E7111">
        <v>15</v>
      </c>
      <c r="F7111" t="s">
        <v>10069</v>
      </c>
      <c r="G7111" t="s">
        <v>10102</v>
      </c>
      <c r="H7111" s="6">
        <v>44975</v>
      </c>
      <c r="I7111">
        <f t="shared" si="222"/>
        <v>0</v>
      </c>
      <c r="J7111" t="str">
        <f t="shared" si="223"/>
        <v>Complete</v>
      </c>
      <c r="K7111">
        <f>COUNTIFS(RawData[Item], B7111,RawData[Quantity],C7111,RawData[Price Per Unit],D7111,RawData[Total Spent],E7111,RawData[Payment Method],F7111,RawData[Location],G7111,RawData[Transaction Date],H7111)</f>
        <v>1</v>
      </c>
      <c r="L7111"/>
    </row>
    <row r="7112" spans="1:12" x14ac:dyDescent="0.3">
      <c r="A7112" t="s">
        <v>7118</v>
      </c>
      <c r="B7112" t="s">
        <v>10009</v>
      </c>
      <c r="C7112">
        <v>1</v>
      </c>
      <c r="D7112">
        <v>3</v>
      </c>
      <c r="E7112">
        <v>3</v>
      </c>
      <c r="F7112" t="s">
        <v>10069</v>
      </c>
      <c r="G7112" t="s">
        <v>10021</v>
      </c>
      <c r="H7112" s="6">
        <v>45247</v>
      </c>
      <c r="I7112">
        <f t="shared" si="222"/>
        <v>0</v>
      </c>
      <c r="J7112" t="str">
        <f t="shared" si="223"/>
        <v>Complete</v>
      </c>
      <c r="K7112">
        <f>COUNTIFS(RawData[Item], B7112,RawData[Quantity],C7112,RawData[Price Per Unit],D7112,RawData[Total Spent],E7112,RawData[Payment Method],F7112,RawData[Location],G7112,RawData[Transaction Date],H7112)</f>
        <v>1</v>
      </c>
      <c r="L7112"/>
    </row>
    <row r="7113" spans="1:12" x14ac:dyDescent="0.3">
      <c r="A7113" t="s">
        <v>7119</v>
      </c>
      <c r="B7113" t="s">
        <v>10010</v>
      </c>
      <c r="C7113">
        <v>4</v>
      </c>
      <c r="D7113">
        <v>1</v>
      </c>
      <c r="E7113">
        <v>4</v>
      </c>
      <c r="F7113" t="s">
        <v>10019</v>
      </c>
      <c r="G7113" t="s">
        <v>10021</v>
      </c>
      <c r="H7113" s="6">
        <v>45013</v>
      </c>
      <c r="I7113">
        <f t="shared" si="222"/>
        <v>0</v>
      </c>
      <c r="J7113" t="str">
        <f t="shared" si="223"/>
        <v>Complete</v>
      </c>
      <c r="K7113">
        <f>COUNTIFS(RawData[Item], B7113,RawData[Quantity],C7113,RawData[Price Per Unit],D7113,RawData[Total Spent],E7113,RawData[Payment Method],F7113,RawData[Location],G7113,RawData[Transaction Date],H7113)</f>
        <v>1</v>
      </c>
      <c r="L7113"/>
    </row>
    <row r="7114" spans="1:12" x14ac:dyDescent="0.3">
      <c r="A7114" t="s">
        <v>7120</v>
      </c>
      <c r="B7114" t="s">
        <v>10016</v>
      </c>
      <c r="C7114">
        <v>1</v>
      </c>
      <c r="D7114">
        <v>3</v>
      </c>
      <c r="E7114">
        <v>3</v>
      </c>
      <c r="F7114" t="s">
        <v>10104</v>
      </c>
      <c r="G7114" t="s">
        <v>10102</v>
      </c>
      <c r="H7114" s="6">
        <v>45106</v>
      </c>
      <c r="I7114">
        <f t="shared" si="222"/>
        <v>1</v>
      </c>
      <c r="J7114" t="str">
        <f t="shared" si="223"/>
        <v>Complete</v>
      </c>
      <c r="K7114">
        <f>COUNTIFS(RawData[Item], B7114,RawData[Quantity],C7114,RawData[Price Per Unit],D7114,RawData[Total Spent],E7114,RawData[Payment Method],F7114,RawData[Location],G7114,RawData[Transaction Date],H7114)</f>
        <v>1</v>
      </c>
      <c r="L7114"/>
    </row>
    <row r="7115" spans="1:12" x14ac:dyDescent="0.3">
      <c r="A7115" t="s">
        <v>7121</v>
      </c>
      <c r="B7115" t="s">
        <v>10010</v>
      </c>
      <c r="C7115">
        <v>5</v>
      </c>
      <c r="D7115">
        <v>1</v>
      </c>
      <c r="E7115">
        <v>5</v>
      </c>
      <c r="F7115" t="s">
        <v>10019</v>
      </c>
      <c r="G7115" t="s">
        <v>10069</v>
      </c>
      <c r="H7115" s="6">
        <v>45239</v>
      </c>
      <c r="I7115">
        <f t="shared" si="222"/>
        <v>0</v>
      </c>
      <c r="J7115" t="str">
        <f t="shared" si="223"/>
        <v>Complete</v>
      </c>
      <c r="K7115">
        <f>COUNTIFS(RawData[Item], B7115,RawData[Quantity],C7115,RawData[Price Per Unit],D7115,RawData[Total Spent],E7115,RawData[Payment Method],F7115,RawData[Location],G7115,RawData[Transaction Date],H7115)</f>
        <v>1</v>
      </c>
      <c r="L7115"/>
    </row>
    <row r="7116" spans="1:12" x14ac:dyDescent="0.3">
      <c r="A7116" t="s">
        <v>7122</v>
      </c>
      <c r="B7116" t="s">
        <v>10016</v>
      </c>
      <c r="C7116">
        <v>3</v>
      </c>
      <c r="D7116">
        <v>3</v>
      </c>
      <c r="E7116">
        <v>9</v>
      </c>
      <c r="F7116" t="s">
        <v>10020</v>
      </c>
      <c r="G7116" t="s">
        <v>10021</v>
      </c>
      <c r="H7116" s="6">
        <v>45202</v>
      </c>
      <c r="I7116">
        <f t="shared" si="222"/>
        <v>0</v>
      </c>
      <c r="J7116" t="str">
        <f t="shared" si="223"/>
        <v>Complete</v>
      </c>
      <c r="K7116">
        <f>COUNTIFS(RawData[Item], B7116,RawData[Quantity],C7116,RawData[Price Per Unit],D7116,RawData[Total Spent],E7116,RawData[Payment Method],F7116,RawData[Location],G7116,RawData[Transaction Date],H7116)</f>
        <v>1</v>
      </c>
      <c r="L7116"/>
    </row>
    <row r="7117" spans="1:12" x14ac:dyDescent="0.3">
      <c r="A7117" t="s">
        <v>7123</v>
      </c>
      <c r="B7117" t="s">
        <v>10008</v>
      </c>
      <c r="C7117">
        <v>4</v>
      </c>
      <c r="D7117" t="s">
        <v>10015</v>
      </c>
      <c r="E7117">
        <v>8</v>
      </c>
      <c r="F7117" t="s">
        <v>10019</v>
      </c>
      <c r="G7117" t="s">
        <v>10069</v>
      </c>
      <c r="H7117" s="6">
        <v>44994</v>
      </c>
      <c r="I7117">
        <f t="shared" si="222"/>
        <v>1</v>
      </c>
      <c r="J7117" t="str">
        <f t="shared" si="223"/>
        <v>Complete</v>
      </c>
      <c r="K7117">
        <f>COUNTIFS(RawData[Item], B7117,RawData[Quantity],C7117,RawData[Price Per Unit],D7117,RawData[Total Spent],E7117,RawData[Payment Method],F7117,RawData[Location],G7117,RawData[Transaction Date],H7117)</f>
        <v>1</v>
      </c>
      <c r="L7117"/>
    </row>
    <row r="7118" spans="1:12" x14ac:dyDescent="0.3">
      <c r="A7118" t="s">
        <v>7124</v>
      </c>
      <c r="B7118" t="s">
        <v>10008</v>
      </c>
      <c r="C7118">
        <v>5</v>
      </c>
      <c r="D7118">
        <v>2</v>
      </c>
      <c r="E7118">
        <v>10</v>
      </c>
      <c r="F7118" t="s">
        <v>10019</v>
      </c>
      <c r="G7118" t="s">
        <v>10021</v>
      </c>
      <c r="H7118" s="6">
        <v>45078</v>
      </c>
      <c r="I7118">
        <f t="shared" si="222"/>
        <v>0</v>
      </c>
      <c r="J7118" t="str">
        <f t="shared" si="223"/>
        <v>Complete</v>
      </c>
      <c r="K7118">
        <f>COUNTIFS(RawData[Item], B7118,RawData[Quantity],C7118,RawData[Price Per Unit],D7118,RawData[Total Spent],E7118,RawData[Payment Method],F7118,RawData[Location],G7118,RawData[Transaction Date],H7118)</f>
        <v>1</v>
      </c>
      <c r="L7118"/>
    </row>
    <row r="7119" spans="1:12" x14ac:dyDescent="0.3">
      <c r="A7119" t="s">
        <v>7125</v>
      </c>
      <c r="B7119" t="s">
        <v>10016</v>
      </c>
      <c r="C7119">
        <v>1</v>
      </c>
      <c r="D7119">
        <v>3</v>
      </c>
      <c r="E7119">
        <v>3</v>
      </c>
      <c r="F7119" t="s">
        <v>10019</v>
      </c>
      <c r="G7119" t="s">
        <v>10104</v>
      </c>
      <c r="H7119" s="6">
        <v>45047</v>
      </c>
      <c r="I7119">
        <f t="shared" si="222"/>
        <v>1</v>
      </c>
      <c r="J7119" t="str">
        <f t="shared" si="223"/>
        <v>Complete</v>
      </c>
      <c r="K7119">
        <f>COUNTIFS(RawData[Item], B7119,RawData[Quantity],C7119,RawData[Price Per Unit],D7119,RawData[Total Spent],E7119,RawData[Payment Method],F7119,RawData[Location],G7119,RawData[Transaction Date],H7119)</f>
        <v>1</v>
      </c>
      <c r="L7119"/>
    </row>
    <row r="7120" spans="1:12" x14ac:dyDescent="0.3">
      <c r="A7120" t="s">
        <v>7126</v>
      </c>
      <c r="B7120" t="s">
        <v>10016</v>
      </c>
      <c r="C7120">
        <v>2</v>
      </c>
      <c r="D7120">
        <v>3</v>
      </c>
      <c r="E7120">
        <v>6</v>
      </c>
      <c r="F7120" t="s">
        <v>10069</v>
      </c>
      <c r="G7120" t="s">
        <v>10069</v>
      </c>
      <c r="H7120" s="6">
        <v>45276</v>
      </c>
      <c r="I7120">
        <f t="shared" si="222"/>
        <v>0</v>
      </c>
      <c r="J7120" t="str">
        <f t="shared" si="223"/>
        <v>Complete</v>
      </c>
      <c r="K7120">
        <f>COUNTIFS(RawData[Item], B7120,RawData[Quantity],C7120,RawData[Price Per Unit],D7120,RawData[Total Spent],E7120,RawData[Payment Method],F7120,RawData[Location],G7120,RawData[Transaction Date],H7120)</f>
        <v>1</v>
      </c>
      <c r="L7120"/>
    </row>
    <row r="7121" spans="1:12" x14ac:dyDescent="0.3">
      <c r="A7121" t="s">
        <v>7127</v>
      </c>
      <c r="B7121" t="s">
        <v>10010</v>
      </c>
      <c r="C7121">
        <v>4</v>
      </c>
      <c r="D7121">
        <v>1</v>
      </c>
      <c r="E7121" t="s">
        <v>10013</v>
      </c>
      <c r="F7121" t="s">
        <v>10020</v>
      </c>
      <c r="G7121" t="s">
        <v>10069</v>
      </c>
      <c r="H7121" s="6">
        <v>45010</v>
      </c>
      <c r="I7121">
        <f t="shared" si="222"/>
        <v>1</v>
      </c>
      <c r="J7121" t="str">
        <f t="shared" si="223"/>
        <v>Complete</v>
      </c>
      <c r="K7121">
        <f>COUNTIFS(RawData[Item], B7121,RawData[Quantity],C7121,RawData[Price Per Unit],D7121,RawData[Total Spent],E7121,RawData[Payment Method],F7121,RawData[Location],G7121,RawData[Transaction Date],H7121)</f>
        <v>1</v>
      </c>
      <c r="L7121"/>
    </row>
    <row r="7122" spans="1:12" x14ac:dyDescent="0.3">
      <c r="A7122" t="s">
        <v>7128</v>
      </c>
      <c r="B7122" t="s">
        <v>10011</v>
      </c>
      <c r="C7122">
        <v>5</v>
      </c>
      <c r="D7122">
        <v>5</v>
      </c>
      <c r="E7122">
        <v>25</v>
      </c>
      <c r="F7122" t="s">
        <v>10018</v>
      </c>
      <c r="G7122" t="s">
        <v>10102</v>
      </c>
      <c r="H7122" s="6">
        <v>45144</v>
      </c>
      <c r="I7122">
        <f t="shared" si="222"/>
        <v>0</v>
      </c>
      <c r="J7122" t="str">
        <f t="shared" si="223"/>
        <v>Complete</v>
      </c>
      <c r="K7122">
        <f>COUNTIFS(RawData[Item], B7122,RawData[Quantity],C7122,RawData[Price Per Unit],D7122,RawData[Total Spent],E7122,RawData[Payment Method],F7122,RawData[Location],G7122,RawData[Transaction Date],H7122)</f>
        <v>2</v>
      </c>
      <c r="L7122"/>
    </row>
    <row r="7123" spans="1:12" x14ac:dyDescent="0.3">
      <c r="A7123" t="s">
        <v>7129</v>
      </c>
      <c r="B7123" t="s">
        <v>10011</v>
      </c>
      <c r="C7123">
        <v>1</v>
      </c>
      <c r="D7123">
        <v>5</v>
      </c>
      <c r="E7123">
        <v>5</v>
      </c>
      <c r="F7123" t="s">
        <v>10019</v>
      </c>
      <c r="G7123" t="s">
        <v>10069</v>
      </c>
      <c r="H7123" s="6">
        <v>45042</v>
      </c>
      <c r="I7123">
        <f t="shared" si="222"/>
        <v>0</v>
      </c>
      <c r="J7123" t="str">
        <f t="shared" si="223"/>
        <v>Complete</v>
      </c>
      <c r="K7123">
        <f>COUNTIFS(RawData[Item], B7123,RawData[Quantity],C7123,RawData[Price Per Unit],D7123,RawData[Total Spent],E7123,RawData[Payment Method],F7123,RawData[Location],G7123,RawData[Transaction Date],H7123)</f>
        <v>1</v>
      </c>
      <c r="L7123"/>
    </row>
    <row r="7124" spans="1:12" x14ac:dyDescent="0.3">
      <c r="A7124" t="s">
        <v>7130</v>
      </c>
      <c r="B7124" t="s">
        <v>10016</v>
      </c>
      <c r="C7124">
        <v>4</v>
      </c>
      <c r="D7124">
        <v>3</v>
      </c>
      <c r="E7124">
        <v>12</v>
      </c>
      <c r="F7124" t="s">
        <v>10018</v>
      </c>
      <c r="G7124" t="s">
        <v>10069</v>
      </c>
      <c r="H7124" s="6">
        <v>45242</v>
      </c>
      <c r="I7124">
        <f t="shared" si="222"/>
        <v>0</v>
      </c>
      <c r="J7124" t="str">
        <f t="shared" si="223"/>
        <v>Complete</v>
      </c>
      <c r="K7124">
        <f>COUNTIFS(RawData[Item], B7124,RawData[Quantity],C7124,RawData[Price Per Unit],D7124,RawData[Total Spent],E7124,RawData[Payment Method],F7124,RawData[Location],G7124,RawData[Transaction Date],H7124)</f>
        <v>1</v>
      </c>
      <c r="L7124"/>
    </row>
    <row r="7125" spans="1:12" x14ac:dyDescent="0.3">
      <c r="A7125" t="s">
        <v>7131</v>
      </c>
      <c r="B7125" t="s">
        <v>10010</v>
      </c>
      <c r="C7125">
        <v>4</v>
      </c>
      <c r="D7125">
        <v>1</v>
      </c>
      <c r="E7125">
        <v>4</v>
      </c>
      <c r="F7125" t="s">
        <v>10019</v>
      </c>
      <c r="G7125" t="s">
        <v>10069</v>
      </c>
      <c r="H7125" s="6" t="s">
        <v>10112</v>
      </c>
      <c r="I7125">
        <f t="shared" si="222"/>
        <v>1</v>
      </c>
      <c r="J7125" t="str">
        <f t="shared" si="223"/>
        <v>Incomplete</v>
      </c>
      <c r="K7125">
        <f>COUNTIFS(RawData[Item], B7125,RawData[Quantity],C7125,RawData[Price Per Unit],D7125,RawData[Total Spent],E7125,RawData[Payment Method],F7125,RawData[Location],G7125,RawData[Transaction Date],H7125)</f>
        <v>2</v>
      </c>
      <c r="L7125"/>
    </row>
    <row r="7126" spans="1:12" x14ac:dyDescent="0.3">
      <c r="A7126" t="s">
        <v>7132</v>
      </c>
      <c r="B7126" t="s">
        <v>10010</v>
      </c>
      <c r="C7126">
        <v>4</v>
      </c>
      <c r="D7126">
        <v>1</v>
      </c>
      <c r="E7126">
        <v>4</v>
      </c>
      <c r="F7126" t="s">
        <v>10018</v>
      </c>
      <c r="G7126" t="s">
        <v>10069</v>
      </c>
      <c r="H7126" s="6">
        <v>45239</v>
      </c>
      <c r="I7126">
        <f t="shared" si="222"/>
        <v>0</v>
      </c>
      <c r="J7126" t="str">
        <f t="shared" si="223"/>
        <v>Complete</v>
      </c>
      <c r="K7126">
        <f>COUNTIFS(RawData[Item], B7126,RawData[Quantity],C7126,RawData[Price Per Unit],D7126,RawData[Total Spent],E7126,RawData[Payment Method],F7126,RawData[Location],G7126,RawData[Transaction Date],H7126)</f>
        <v>1</v>
      </c>
      <c r="L7126"/>
    </row>
    <row r="7127" spans="1:12" x14ac:dyDescent="0.3">
      <c r="A7127" t="s">
        <v>7133</v>
      </c>
      <c r="B7127" t="s">
        <v>10014</v>
      </c>
      <c r="C7127">
        <v>1</v>
      </c>
      <c r="D7127">
        <v>4</v>
      </c>
      <c r="E7127">
        <v>4</v>
      </c>
      <c r="F7127" t="s">
        <v>10069</v>
      </c>
      <c r="G7127" t="s">
        <v>10069</v>
      </c>
      <c r="H7127" s="6">
        <v>45046</v>
      </c>
      <c r="I7127">
        <f t="shared" si="222"/>
        <v>0</v>
      </c>
      <c r="J7127" t="str">
        <f t="shared" si="223"/>
        <v>Complete</v>
      </c>
      <c r="K7127">
        <f>COUNTIFS(RawData[Item], B7127,RawData[Quantity],C7127,RawData[Price Per Unit],D7127,RawData[Total Spent],E7127,RawData[Payment Method],F7127,RawData[Location],G7127,RawData[Transaction Date],H7127)</f>
        <v>1</v>
      </c>
      <c r="L7127"/>
    </row>
    <row r="7128" spans="1:12" x14ac:dyDescent="0.3">
      <c r="A7128" t="s">
        <v>7134</v>
      </c>
      <c r="B7128" t="s">
        <v>10011</v>
      </c>
      <c r="C7128">
        <v>3</v>
      </c>
      <c r="D7128">
        <v>5</v>
      </c>
      <c r="E7128">
        <v>15</v>
      </c>
      <c r="F7128" t="s">
        <v>10019</v>
      </c>
      <c r="G7128" t="s">
        <v>10102</v>
      </c>
      <c r="H7128" s="6">
        <v>45077</v>
      </c>
      <c r="I7128">
        <f t="shared" si="222"/>
        <v>0</v>
      </c>
      <c r="J7128" t="str">
        <f t="shared" si="223"/>
        <v>Complete</v>
      </c>
      <c r="K7128">
        <f>COUNTIFS(RawData[Item], B7128,RawData[Quantity],C7128,RawData[Price Per Unit],D7128,RawData[Total Spent],E7128,RawData[Payment Method],F7128,RawData[Location],G7128,RawData[Transaction Date],H7128)</f>
        <v>1</v>
      </c>
      <c r="L7128"/>
    </row>
    <row r="7129" spans="1:12" x14ac:dyDescent="0.3">
      <c r="A7129" t="s">
        <v>7135</v>
      </c>
      <c r="B7129" t="s">
        <v>10012</v>
      </c>
      <c r="C7129">
        <v>2</v>
      </c>
      <c r="D7129">
        <v>4</v>
      </c>
      <c r="E7129">
        <v>8</v>
      </c>
      <c r="F7129" t="s">
        <v>10020</v>
      </c>
      <c r="G7129" t="s">
        <v>10021</v>
      </c>
      <c r="H7129" s="6">
        <v>45011</v>
      </c>
      <c r="I7129">
        <f t="shared" si="222"/>
        <v>0</v>
      </c>
      <c r="J7129" t="str">
        <f t="shared" si="223"/>
        <v>Complete</v>
      </c>
      <c r="K7129">
        <f>COUNTIFS(RawData[Item], B7129,RawData[Quantity],C7129,RawData[Price Per Unit],D7129,RawData[Total Spent],E7129,RawData[Payment Method],F7129,RawData[Location],G7129,RawData[Transaction Date],H7129)</f>
        <v>1</v>
      </c>
      <c r="L7129"/>
    </row>
    <row r="7130" spans="1:12" x14ac:dyDescent="0.3">
      <c r="A7130" t="s">
        <v>7136</v>
      </c>
      <c r="B7130" t="s">
        <v>10009</v>
      </c>
      <c r="C7130">
        <v>4</v>
      </c>
      <c r="D7130">
        <v>3</v>
      </c>
      <c r="E7130">
        <v>12</v>
      </c>
      <c r="F7130" t="s">
        <v>10018</v>
      </c>
      <c r="G7130" t="s">
        <v>10021</v>
      </c>
      <c r="H7130" s="6">
        <v>44951</v>
      </c>
      <c r="I7130">
        <f t="shared" si="222"/>
        <v>0</v>
      </c>
      <c r="J7130" t="str">
        <f t="shared" si="223"/>
        <v>Complete</v>
      </c>
      <c r="K7130">
        <f>COUNTIFS(RawData[Item], B7130,RawData[Quantity],C7130,RawData[Price Per Unit],D7130,RawData[Total Spent],E7130,RawData[Payment Method],F7130,RawData[Location],G7130,RawData[Transaction Date],H7130)</f>
        <v>1</v>
      </c>
      <c r="L7130"/>
    </row>
    <row r="7131" spans="1:12" x14ac:dyDescent="0.3">
      <c r="A7131" t="s">
        <v>7137</v>
      </c>
      <c r="B7131" t="s">
        <v>10017</v>
      </c>
      <c r="C7131">
        <v>1</v>
      </c>
      <c r="D7131">
        <v>1.5</v>
      </c>
      <c r="E7131">
        <v>1.5</v>
      </c>
      <c r="F7131" t="s">
        <v>10020</v>
      </c>
      <c r="G7131" t="s">
        <v>10069</v>
      </c>
      <c r="H7131" s="6">
        <v>45142</v>
      </c>
      <c r="I7131">
        <f t="shared" si="222"/>
        <v>0</v>
      </c>
      <c r="J7131" t="str">
        <f t="shared" si="223"/>
        <v>Complete</v>
      </c>
      <c r="K7131">
        <f>COUNTIFS(RawData[Item], B7131,RawData[Quantity],C7131,RawData[Price Per Unit],D7131,RawData[Total Spent],E7131,RawData[Payment Method],F7131,RawData[Location],G7131,RawData[Transaction Date],H7131)</f>
        <v>1</v>
      </c>
      <c r="L7131"/>
    </row>
    <row r="7132" spans="1:12" x14ac:dyDescent="0.3">
      <c r="A7132" t="s">
        <v>7138</v>
      </c>
      <c r="B7132" t="s">
        <v>10010</v>
      </c>
      <c r="C7132">
        <v>3</v>
      </c>
      <c r="D7132">
        <v>1</v>
      </c>
      <c r="E7132">
        <v>3</v>
      </c>
      <c r="F7132" t="s">
        <v>10019</v>
      </c>
      <c r="G7132" t="s">
        <v>10069</v>
      </c>
      <c r="H7132" s="6">
        <v>45286</v>
      </c>
      <c r="I7132">
        <f t="shared" si="222"/>
        <v>0</v>
      </c>
      <c r="J7132" t="str">
        <f t="shared" si="223"/>
        <v>Complete</v>
      </c>
      <c r="K7132">
        <f>COUNTIFS(RawData[Item], B7132,RawData[Quantity],C7132,RawData[Price Per Unit],D7132,RawData[Total Spent],E7132,RawData[Payment Method],F7132,RawData[Location],G7132,RawData[Transaction Date],H7132)</f>
        <v>1</v>
      </c>
      <c r="L7132"/>
    </row>
    <row r="7133" spans="1:12" x14ac:dyDescent="0.3">
      <c r="A7133" t="s">
        <v>7139</v>
      </c>
      <c r="B7133" t="s">
        <v>10017</v>
      </c>
      <c r="C7133">
        <v>2</v>
      </c>
      <c r="D7133">
        <v>1.5</v>
      </c>
      <c r="E7133">
        <v>0</v>
      </c>
      <c r="F7133" t="s">
        <v>10020</v>
      </c>
      <c r="G7133" t="s">
        <v>10102</v>
      </c>
      <c r="H7133" s="6">
        <v>45215</v>
      </c>
      <c r="I7133">
        <f t="shared" si="222"/>
        <v>0</v>
      </c>
      <c r="J7133" t="str">
        <f t="shared" si="223"/>
        <v>Complete</v>
      </c>
      <c r="K7133">
        <f>COUNTIFS(RawData[Item], B7133,RawData[Quantity],C7133,RawData[Price Per Unit],D7133,RawData[Total Spent],E7133,RawData[Payment Method],F7133,RawData[Location],G7133,RawData[Transaction Date],H7133)</f>
        <v>1</v>
      </c>
      <c r="L7133"/>
    </row>
    <row r="7134" spans="1:12" x14ac:dyDescent="0.3">
      <c r="A7134" t="s">
        <v>7140</v>
      </c>
      <c r="B7134" t="s">
        <v>10016</v>
      </c>
      <c r="C7134" t="s">
        <v>10015</v>
      </c>
      <c r="D7134">
        <v>3</v>
      </c>
      <c r="E7134">
        <v>9</v>
      </c>
      <c r="F7134" t="s">
        <v>10069</v>
      </c>
      <c r="G7134" t="s">
        <v>10021</v>
      </c>
      <c r="H7134" s="6">
        <v>45230</v>
      </c>
      <c r="I7134">
        <f t="shared" si="222"/>
        <v>1</v>
      </c>
      <c r="J7134" t="str">
        <f t="shared" si="223"/>
        <v>Complete</v>
      </c>
      <c r="K7134">
        <f>COUNTIFS(RawData[Item], B7134,RawData[Quantity],C7134,RawData[Price Per Unit],D7134,RawData[Total Spent],E7134,RawData[Payment Method],F7134,RawData[Location],G7134,RawData[Transaction Date],H7134)</f>
        <v>1</v>
      </c>
      <c r="L7134"/>
    </row>
    <row r="7135" spans="1:12" x14ac:dyDescent="0.3">
      <c r="A7135" t="s">
        <v>7141</v>
      </c>
      <c r="B7135" t="s">
        <v>10009</v>
      </c>
      <c r="C7135">
        <v>5</v>
      </c>
      <c r="D7135">
        <v>3</v>
      </c>
      <c r="E7135">
        <v>15</v>
      </c>
      <c r="F7135" t="s">
        <v>10018</v>
      </c>
      <c r="G7135" t="s">
        <v>10102</v>
      </c>
      <c r="H7135" s="6" t="s">
        <v>10112</v>
      </c>
      <c r="I7135">
        <f t="shared" si="222"/>
        <v>1</v>
      </c>
      <c r="J7135" t="str">
        <f t="shared" si="223"/>
        <v>Incomplete</v>
      </c>
      <c r="K7135">
        <f>COUNTIFS(RawData[Item], B7135,RawData[Quantity],C7135,RawData[Price Per Unit],D7135,RawData[Total Spent],E7135,RawData[Payment Method],F7135,RawData[Location],G7135,RawData[Transaction Date],H7135)</f>
        <v>1</v>
      </c>
      <c r="L7135"/>
    </row>
    <row r="7136" spans="1:12" x14ac:dyDescent="0.3">
      <c r="A7136" t="s">
        <v>7142</v>
      </c>
      <c r="B7136" t="s">
        <v>10017</v>
      </c>
      <c r="C7136">
        <v>4</v>
      </c>
      <c r="D7136">
        <v>1.5</v>
      </c>
      <c r="E7136">
        <v>6</v>
      </c>
      <c r="F7136" t="s">
        <v>10069</v>
      </c>
      <c r="G7136" t="s">
        <v>10021</v>
      </c>
      <c r="H7136" s="6">
        <v>45042</v>
      </c>
      <c r="I7136">
        <f t="shared" si="222"/>
        <v>0</v>
      </c>
      <c r="J7136" t="str">
        <f t="shared" si="223"/>
        <v>Complete</v>
      </c>
      <c r="K7136">
        <f>COUNTIFS(RawData[Item], B7136,RawData[Quantity],C7136,RawData[Price Per Unit],D7136,RawData[Total Spent],E7136,RawData[Payment Method],F7136,RawData[Location],G7136,RawData[Transaction Date],H7136)</f>
        <v>1</v>
      </c>
      <c r="L7136"/>
    </row>
    <row r="7137" spans="1:12" x14ac:dyDescent="0.3">
      <c r="A7137" t="s">
        <v>7143</v>
      </c>
      <c r="B7137" t="s">
        <v>10069</v>
      </c>
      <c r="C7137">
        <v>4</v>
      </c>
      <c r="D7137">
        <v>3</v>
      </c>
      <c r="E7137">
        <v>12</v>
      </c>
      <c r="F7137" t="s">
        <v>10069</v>
      </c>
      <c r="G7137" t="s">
        <v>10102</v>
      </c>
      <c r="H7137" s="6">
        <v>45161</v>
      </c>
      <c r="I7137">
        <f t="shared" si="222"/>
        <v>0</v>
      </c>
      <c r="J7137" t="str">
        <f t="shared" si="223"/>
        <v>Complete</v>
      </c>
      <c r="K7137">
        <f>COUNTIFS(RawData[Item], B7137,RawData[Quantity],C7137,RawData[Price Per Unit],D7137,RawData[Total Spent],E7137,RawData[Payment Method],F7137,RawData[Location],G7137,RawData[Transaction Date],H7137)</f>
        <v>1</v>
      </c>
      <c r="L7137"/>
    </row>
    <row r="7138" spans="1:12" x14ac:dyDescent="0.3">
      <c r="A7138" t="s">
        <v>7144</v>
      </c>
      <c r="B7138" t="s">
        <v>10069</v>
      </c>
      <c r="C7138">
        <v>1</v>
      </c>
      <c r="D7138">
        <v>5</v>
      </c>
      <c r="E7138">
        <v>5</v>
      </c>
      <c r="F7138" t="s">
        <v>10018</v>
      </c>
      <c r="G7138" t="s">
        <v>10069</v>
      </c>
      <c r="H7138" s="6">
        <v>45089</v>
      </c>
      <c r="I7138">
        <f t="shared" si="222"/>
        <v>0</v>
      </c>
      <c r="J7138" t="str">
        <f t="shared" si="223"/>
        <v>Complete</v>
      </c>
      <c r="K7138">
        <f>COUNTIFS(RawData[Item], B7138,RawData[Quantity],C7138,RawData[Price Per Unit],D7138,RawData[Total Spent],E7138,RawData[Payment Method],F7138,RawData[Location],G7138,RawData[Transaction Date],H7138)</f>
        <v>1</v>
      </c>
      <c r="L7138"/>
    </row>
    <row r="7139" spans="1:12" x14ac:dyDescent="0.3">
      <c r="A7139" t="s">
        <v>7145</v>
      </c>
      <c r="B7139" t="s">
        <v>10009</v>
      </c>
      <c r="C7139">
        <v>1</v>
      </c>
      <c r="D7139">
        <v>3</v>
      </c>
      <c r="E7139">
        <v>3</v>
      </c>
      <c r="F7139" t="s">
        <v>10069</v>
      </c>
      <c r="G7139" t="s">
        <v>10069</v>
      </c>
      <c r="H7139" s="6">
        <v>45027</v>
      </c>
      <c r="I7139">
        <f t="shared" si="222"/>
        <v>0</v>
      </c>
      <c r="J7139" t="str">
        <f t="shared" si="223"/>
        <v>Complete</v>
      </c>
      <c r="K7139">
        <f>COUNTIFS(RawData[Item], B7139,RawData[Quantity],C7139,RawData[Price Per Unit],D7139,RawData[Total Spent],E7139,RawData[Payment Method],F7139,RawData[Location],G7139,RawData[Transaction Date],H7139)</f>
        <v>1</v>
      </c>
      <c r="L7139"/>
    </row>
    <row r="7140" spans="1:12" x14ac:dyDescent="0.3">
      <c r="A7140" t="s">
        <v>7146</v>
      </c>
      <c r="B7140" t="s">
        <v>10009</v>
      </c>
      <c r="C7140">
        <v>1</v>
      </c>
      <c r="D7140">
        <v>3</v>
      </c>
      <c r="E7140">
        <v>3</v>
      </c>
      <c r="F7140" t="s">
        <v>10069</v>
      </c>
      <c r="G7140" t="s">
        <v>10102</v>
      </c>
      <c r="H7140" s="6">
        <v>45236</v>
      </c>
      <c r="I7140">
        <f t="shared" si="222"/>
        <v>0</v>
      </c>
      <c r="J7140" t="str">
        <f t="shared" si="223"/>
        <v>Complete</v>
      </c>
      <c r="K7140">
        <f>COUNTIFS(RawData[Item], B7140,RawData[Quantity],C7140,RawData[Price Per Unit],D7140,RawData[Total Spent],E7140,RawData[Payment Method],F7140,RawData[Location],G7140,RawData[Transaction Date],H7140)</f>
        <v>1</v>
      </c>
      <c r="L7140"/>
    </row>
    <row r="7141" spans="1:12" x14ac:dyDescent="0.3">
      <c r="A7141" t="s">
        <v>7147</v>
      </c>
      <c r="B7141" t="s">
        <v>10012</v>
      </c>
      <c r="C7141">
        <v>3</v>
      </c>
      <c r="D7141">
        <v>4</v>
      </c>
      <c r="E7141" t="s">
        <v>10013</v>
      </c>
      <c r="F7141" t="s">
        <v>10020</v>
      </c>
      <c r="G7141" t="s">
        <v>10102</v>
      </c>
      <c r="H7141" s="6">
        <v>45063</v>
      </c>
      <c r="I7141">
        <f t="shared" si="222"/>
        <v>1</v>
      </c>
      <c r="J7141" t="str">
        <f t="shared" si="223"/>
        <v>Complete</v>
      </c>
      <c r="K7141">
        <f>COUNTIFS(RawData[Item], B7141,RawData[Quantity],C7141,RawData[Price Per Unit],D7141,RawData[Total Spent],E7141,RawData[Payment Method],F7141,RawData[Location],G7141,RawData[Transaction Date],H7141)</f>
        <v>1</v>
      </c>
      <c r="L7141"/>
    </row>
    <row r="7142" spans="1:12" x14ac:dyDescent="0.3">
      <c r="A7142" t="s">
        <v>7148</v>
      </c>
      <c r="B7142" t="s">
        <v>10017</v>
      </c>
      <c r="C7142">
        <v>3</v>
      </c>
      <c r="D7142">
        <v>1.5</v>
      </c>
      <c r="E7142">
        <v>4.5</v>
      </c>
      <c r="F7142" t="s">
        <v>10020</v>
      </c>
      <c r="G7142" t="s">
        <v>10021</v>
      </c>
      <c r="H7142" s="6">
        <v>45113</v>
      </c>
      <c r="I7142">
        <f t="shared" si="222"/>
        <v>0</v>
      </c>
      <c r="J7142" t="str">
        <f t="shared" si="223"/>
        <v>Complete</v>
      </c>
      <c r="K7142">
        <f>COUNTIFS(RawData[Item], B7142,RawData[Quantity],C7142,RawData[Price Per Unit],D7142,RawData[Total Spent],E7142,RawData[Payment Method],F7142,RawData[Location],G7142,RawData[Transaction Date],H7142)</f>
        <v>1</v>
      </c>
      <c r="L7142"/>
    </row>
    <row r="7143" spans="1:12" x14ac:dyDescent="0.3">
      <c r="A7143" t="s">
        <v>7149</v>
      </c>
      <c r="B7143" t="s">
        <v>10012</v>
      </c>
      <c r="C7143">
        <v>1</v>
      </c>
      <c r="D7143">
        <v>4</v>
      </c>
      <c r="E7143">
        <v>4</v>
      </c>
      <c r="F7143" t="s">
        <v>10018</v>
      </c>
      <c r="G7143" t="s">
        <v>10021</v>
      </c>
      <c r="H7143" s="6">
        <v>45174</v>
      </c>
      <c r="I7143">
        <f t="shared" si="222"/>
        <v>0</v>
      </c>
      <c r="J7143" t="str">
        <f t="shared" si="223"/>
        <v>Complete</v>
      </c>
      <c r="K7143">
        <f>COUNTIFS(RawData[Item], B7143,RawData[Quantity],C7143,RawData[Price Per Unit],D7143,RawData[Total Spent],E7143,RawData[Payment Method],F7143,RawData[Location],G7143,RawData[Transaction Date],H7143)</f>
        <v>1</v>
      </c>
      <c r="L7143"/>
    </row>
    <row r="7144" spans="1:12" x14ac:dyDescent="0.3">
      <c r="A7144" t="s">
        <v>7150</v>
      </c>
      <c r="B7144" t="s">
        <v>10011</v>
      </c>
      <c r="C7144">
        <v>1</v>
      </c>
      <c r="D7144">
        <v>5</v>
      </c>
      <c r="E7144">
        <v>5</v>
      </c>
      <c r="F7144" t="s">
        <v>10019</v>
      </c>
      <c r="G7144" t="s">
        <v>10069</v>
      </c>
      <c r="H7144" s="6">
        <v>45205</v>
      </c>
      <c r="I7144">
        <f t="shared" si="222"/>
        <v>0</v>
      </c>
      <c r="J7144" t="str">
        <f t="shared" si="223"/>
        <v>Complete</v>
      </c>
      <c r="K7144">
        <f>COUNTIFS(RawData[Item], B7144,RawData[Quantity],C7144,RawData[Price Per Unit],D7144,RawData[Total Spent],E7144,RawData[Payment Method],F7144,RawData[Location],G7144,RawData[Transaction Date],H7144)</f>
        <v>1</v>
      </c>
      <c r="L7144"/>
    </row>
    <row r="7145" spans="1:12" x14ac:dyDescent="0.3">
      <c r="A7145" t="s">
        <v>7151</v>
      </c>
      <c r="B7145" t="s">
        <v>10011</v>
      </c>
      <c r="C7145">
        <v>0</v>
      </c>
      <c r="D7145">
        <v>5</v>
      </c>
      <c r="E7145">
        <v>15</v>
      </c>
      <c r="F7145" t="s">
        <v>10069</v>
      </c>
      <c r="G7145" t="s">
        <v>10021</v>
      </c>
      <c r="H7145" s="6">
        <v>45263</v>
      </c>
      <c r="I7145">
        <f t="shared" si="222"/>
        <v>0</v>
      </c>
      <c r="J7145" t="str">
        <f t="shared" si="223"/>
        <v>Complete</v>
      </c>
      <c r="K7145">
        <f>COUNTIFS(RawData[Item], B7145,RawData[Quantity],C7145,RawData[Price Per Unit],D7145,RawData[Total Spent],E7145,RawData[Payment Method],F7145,RawData[Location],G7145,RawData[Transaction Date],H7145)</f>
        <v>1</v>
      </c>
      <c r="L7145"/>
    </row>
    <row r="7146" spans="1:12" x14ac:dyDescent="0.3">
      <c r="A7146" t="s">
        <v>7152</v>
      </c>
      <c r="B7146" t="s">
        <v>10009</v>
      </c>
      <c r="C7146">
        <v>3</v>
      </c>
      <c r="D7146">
        <v>3</v>
      </c>
      <c r="E7146">
        <v>9</v>
      </c>
      <c r="F7146" t="s">
        <v>10020</v>
      </c>
      <c r="G7146" t="s">
        <v>10102</v>
      </c>
      <c r="H7146" s="6">
        <v>45131</v>
      </c>
      <c r="I7146">
        <f t="shared" si="222"/>
        <v>0</v>
      </c>
      <c r="J7146" t="str">
        <f t="shared" si="223"/>
        <v>Complete</v>
      </c>
      <c r="K7146">
        <f>COUNTIFS(RawData[Item], B7146,RawData[Quantity],C7146,RawData[Price Per Unit],D7146,RawData[Total Spent],E7146,RawData[Payment Method],F7146,RawData[Location],G7146,RawData[Transaction Date],H7146)</f>
        <v>1</v>
      </c>
      <c r="L7146"/>
    </row>
    <row r="7147" spans="1:12" x14ac:dyDescent="0.3">
      <c r="A7147" t="s">
        <v>7153</v>
      </c>
      <c r="B7147" t="s">
        <v>10012</v>
      </c>
      <c r="C7147">
        <v>5</v>
      </c>
      <c r="D7147">
        <v>4</v>
      </c>
      <c r="E7147">
        <v>20</v>
      </c>
      <c r="F7147" t="s">
        <v>10018</v>
      </c>
      <c r="G7147" t="s">
        <v>10021</v>
      </c>
      <c r="H7147" s="6">
        <v>45054</v>
      </c>
      <c r="I7147">
        <f t="shared" si="222"/>
        <v>0</v>
      </c>
      <c r="J7147" t="str">
        <f t="shared" si="223"/>
        <v>Complete</v>
      </c>
      <c r="K7147">
        <f>COUNTIFS(RawData[Item], B7147,RawData[Quantity],C7147,RawData[Price Per Unit],D7147,RawData[Total Spent],E7147,RawData[Payment Method],F7147,RawData[Location],G7147,RawData[Transaction Date],H7147)</f>
        <v>1</v>
      </c>
      <c r="L7147"/>
    </row>
    <row r="7148" spans="1:12" x14ac:dyDescent="0.3">
      <c r="A7148" t="s">
        <v>7154</v>
      </c>
      <c r="B7148" t="s">
        <v>10016</v>
      </c>
      <c r="C7148">
        <v>5</v>
      </c>
      <c r="D7148">
        <v>3</v>
      </c>
      <c r="E7148">
        <v>15</v>
      </c>
      <c r="F7148" t="s">
        <v>10019</v>
      </c>
      <c r="G7148" t="s">
        <v>10102</v>
      </c>
      <c r="H7148" s="6">
        <v>45046</v>
      </c>
      <c r="I7148">
        <f t="shared" si="222"/>
        <v>0</v>
      </c>
      <c r="J7148" t="str">
        <f t="shared" si="223"/>
        <v>Complete</v>
      </c>
      <c r="K7148">
        <f>COUNTIFS(RawData[Item], B7148,RawData[Quantity],C7148,RawData[Price Per Unit],D7148,RawData[Total Spent],E7148,RawData[Payment Method],F7148,RawData[Location],G7148,RawData[Transaction Date],H7148)</f>
        <v>1</v>
      </c>
      <c r="L7148"/>
    </row>
    <row r="7149" spans="1:12" x14ac:dyDescent="0.3">
      <c r="A7149" t="s">
        <v>7155</v>
      </c>
      <c r="B7149" t="s">
        <v>10012</v>
      </c>
      <c r="C7149">
        <v>5</v>
      </c>
      <c r="D7149">
        <v>4</v>
      </c>
      <c r="E7149">
        <v>0</v>
      </c>
      <c r="F7149" t="s">
        <v>10019</v>
      </c>
      <c r="G7149" t="s">
        <v>10069</v>
      </c>
      <c r="H7149" s="6">
        <v>45190</v>
      </c>
      <c r="I7149">
        <f t="shared" si="222"/>
        <v>0</v>
      </c>
      <c r="J7149" t="str">
        <f t="shared" si="223"/>
        <v>Complete</v>
      </c>
      <c r="K7149">
        <f>COUNTIFS(RawData[Item], B7149,RawData[Quantity],C7149,RawData[Price Per Unit],D7149,RawData[Total Spent],E7149,RawData[Payment Method],F7149,RawData[Location],G7149,RawData[Transaction Date],H7149)</f>
        <v>1</v>
      </c>
      <c r="L7149"/>
    </row>
    <row r="7150" spans="1:12" x14ac:dyDescent="0.3">
      <c r="A7150" t="s">
        <v>7156</v>
      </c>
      <c r="B7150" t="s">
        <v>10008</v>
      </c>
      <c r="C7150">
        <v>4</v>
      </c>
      <c r="D7150">
        <v>2</v>
      </c>
      <c r="E7150">
        <v>8</v>
      </c>
      <c r="F7150" t="s">
        <v>10019</v>
      </c>
      <c r="G7150" t="s">
        <v>10021</v>
      </c>
      <c r="H7150" s="6">
        <v>45214</v>
      </c>
      <c r="I7150">
        <f t="shared" si="222"/>
        <v>0</v>
      </c>
      <c r="J7150" t="str">
        <f t="shared" si="223"/>
        <v>Complete</v>
      </c>
      <c r="K7150">
        <f>COUNTIFS(RawData[Item], B7150,RawData[Quantity],C7150,RawData[Price Per Unit],D7150,RawData[Total Spent],E7150,RawData[Payment Method],F7150,RawData[Location],G7150,RawData[Transaction Date],H7150)</f>
        <v>1</v>
      </c>
      <c r="L7150"/>
    </row>
    <row r="7151" spans="1:12" x14ac:dyDescent="0.3">
      <c r="A7151" t="s">
        <v>7157</v>
      </c>
      <c r="B7151" t="s">
        <v>10011</v>
      </c>
      <c r="C7151">
        <v>2</v>
      </c>
      <c r="D7151">
        <v>5</v>
      </c>
      <c r="E7151">
        <v>10</v>
      </c>
      <c r="F7151" t="s">
        <v>10019</v>
      </c>
      <c r="G7151" t="s">
        <v>10069</v>
      </c>
      <c r="H7151" s="6">
        <v>45037</v>
      </c>
      <c r="I7151">
        <f t="shared" si="222"/>
        <v>0</v>
      </c>
      <c r="J7151" t="str">
        <f t="shared" si="223"/>
        <v>Complete</v>
      </c>
      <c r="K7151">
        <f>COUNTIFS(RawData[Item], B7151,RawData[Quantity],C7151,RawData[Price Per Unit],D7151,RawData[Total Spent],E7151,RawData[Payment Method],F7151,RawData[Location],G7151,RawData[Transaction Date],H7151)</f>
        <v>1</v>
      </c>
      <c r="L7151"/>
    </row>
    <row r="7152" spans="1:12" x14ac:dyDescent="0.3">
      <c r="A7152" t="s">
        <v>7158</v>
      </c>
      <c r="B7152" t="s">
        <v>10012</v>
      </c>
      <c r="C7152">
        <v>4</v>
      </c>
      <c r="D7152">
        <v>4</v>
      </c>
      <c r="E7152">
        <v>16</v>
      </c>
      <c r="F7152" t="s">
        <v>10018</v>
      </c>
      <c r="G7152" t="s">
        <v>10069</v>
      </c>
      <c r="H7152" s="6">
        <v>45113</v>
      </c>
      <c r="I7152">
        <f t="shared" si="222"/>
        <v>0</v>
      </c>
      <c r="J7152" t="str">
        <f t="shared" si="223"/>
        <v>Complete</v>
      </c>
      <c r="K7152">
        <f>COUNTIFS(RawData[Item], B7152,RawData[Quantity],C7152,RawData[Price Per Unit],D7152,RawData[Total Spent],E7152,RawData[Payment Method],F7152,RawData[Location],G7152,RawData[Transaction Date],H7152)</f>
        <v>1</v>
      </c>
      <c r="L7152"/>
    </row>
    <row r="7153" spans="1:12" x14ac:dyDescent="0.3">
      <c r="A7153" t="s">
        <v>7159</v>
      </c>
      <c r="B7153" t="s">
        <v>10008</v>
      </c>
      <c r="C7153">
        <v>3</v>
      </c>
      <c r="D7153">
        <v>2</v>
      </c>
      <c r="E7153">
        <v>6</v>
      </c>
      <c r="F7153" t="s">
        <v>10020</v>
      </c>
      <c r="G7153" t="s">
        <v>10069</v>
      </c>
      <c r="H7153" s="6">
        <v>45133</v>
      </c>
      <c r="I7153">
        <f t="shared" si="222"/>
        <v>0</v>
      </c>
      <c r="J7153" t="str">
        <f t="shared" si="223"/>
        <v>Complete</v>
      </c>
      <c r="K7153">
        <f>COUNTIFS(RawData[Item], B7153,RawData[Quantity],C7153,RawData[Price Per Unit],D7153,RawData[Total Spent],E7153,RawData[Payment Method],F7153,RawData[Location],G7153,RawData[Transaction Date],H7153)</f>
        <v>1</v>
      </c>
      <c r="L7153"/>
    </row>
    <row r="7154" spans="1:12" x14ac:dyDescent="0.3">
      <c r="A7154" t="s">
        <v>7160</v>
      </c>
      <c r="B7154" t="s">
        <v>10008</v>
      </c>
      <c r="C7154" t="s">
        <v>10015</v>
      </c>
      <c r="D7154">
        <v>2</v>
      </c>
      <c r="E7154">
        <v>2</v>
      </c>
      <c r="F7154" t="s">
        <v>10018</v>
      </c>
      <c r="G7154" t="s">
        <v>10069</v>
      </c>
      <c r="H7154" s="6">
        <v>44927</v>
      </c>
      <c r="I7154">
        <f t="shared" si="222"/>
        <v>1</v>
      </c>
      <c r="J7154" t="str">
        <f t="shared" si="223"/>
        <v>Complete</v>
      </c>
      <c r="K7154">
        <f>COUNTIFS(RawData[Item], B7154,RawData[Quantity],C7154,RawData[Price Per Unit],D7154,RawData[Total Spent],E7154,RawData[Payment Method],F7154,RawData[Location],G7154,RawData[Transaction Date],H7154)</f>
        <v>1</v>
      </c>
      <c r="L7154"/>
    </row>
    <row r="7155" spans="1:12" x14ac:dyDescent="0.3">
      <c r="A7155" t="s">
        <v>7161</v>
      </c>
      <c r="B7155" t="s">
        <v>10010</v>
      </c>
      <c r="C7155">
        <v>4</v>
      </c>
      <c r="D7155">
        <v>1</v>
      </c>
      <c r="E7155">
        <v>4</v>
      </c>
      <c r="F7155" t="s">
        <v>10019</v>
      </c>
      <c r="G7155" t="s">
        <v>10021</v>
      </c>
      <c r="H7155" s="6">
        <v>45215</v>
      </c>
      <c r="I7155">
        <f t="shared" si="222"/>
        <v>0</v>
      </c>
      <c r="J7155" t="str">
        <f t="shared" si="223"/>
        <v>Complete</v>
      </c>
      <c r="K7155">
        <f>COUNTIFS(RawData[Item], B7155,RawData[Quantity],C7155,RawData[Price Per Unit],D7155,RawData[Total Spent],E7155,RawData[Payment Method],F7155,RawData[Location],G7155,RawData[Transaction Date],H7155)</f>
        <v>1</v>
      </c>
      <c r="L7155"/>
    </row>
    <row r="7156" spans="1:12" x14ac:dyDescent="0.3">
      <c r="A7156" t="s">
        <v>7162</v>
      </c>
      <c r="B7156" t="s">
        <v>10012</v>
      </c>
      <c r="C7156">
        <v>4</v>
      </c>
      <c r="D7156">
        <v>4</v>
      </c>
      <c r="E7156">
        <v>16</v>
      </c>
      <c r="F7156" t="s">
        <v>10020</v>
      </c>
      <c r="G7156" t="s">
        <v>10102</v>
      </c>
      <c r="H7156" s="6">
        <v>45174</v>
      </c>
      <c r="I7156">
        <f t="shared" si="222"/>
        <v>0</v>
      </c>
      <c r="J7156" t="str">
        <f t="shared" si="223"/>
        <v>Complete</v>
      </c>
      <c r="K7156">
        <f>COUNTIFS(RawData[Item], B7156,RawData[Quantity],C7156,RawData[Price Per Unit],D7156,RawData[Total Spent],E7156,RawData[Payment Method],F7156,RawData[Location],G7156,RawData[Transaction Date],H7156)</f>
        <v>1</v>
      </c>
      <c r="L7156"/>
    </row>
    <row r="7157" spans="1:12" x14ac:dyDescent="0.3">
      <c r="A7157" t="s">
        <v>7163</v>
      </c>
      <c r="B7157" t="s">
        <v>10014</v>
      </c>
      <c r="C7157">
        <v>4</v>
      </c>
      <c r="D7157">
        <v>4</v>
      </c>
      <c r="E7157">
        <v>16</v>
      </c>
      <c r="F7157" t="s">
        <v>10018</v>
      </c>
      <c r="G7157" t="s">
        <v>10069</v>
      </c>
      <c r="H7157" s="6">
        <v>45057</v>
      </c>
      <c r="I7157">
        <f t="shared" si="222"/>
        <v>0</v>
      </c>
      <c r="J7157" t="str">
        <f t="shared" si="223"/>
        <v>Complete</v>
      </c>
      <c r="K7157">
        <f>COUNTIFS(RawData[Item], B7157,RawData[Quantity],C7157,RawData[Price Per Unit],D7157,RawData[Total Spent],E7157,RawData[Payment Method],F7157,RawData[Location],G7157,RawData[Transaction Date],H7157)</f>
        <v>1</v>
      </c>
      <c r="L7157"/>
    </row>
    <row r="7158" spans="1:12" x14ac:dyDescent="0.3">
      <c r="A7158" t="s">
        <v>7164</v>
      </c>
      <c r="B7158" t="s">
        <v>10014</v>
      </c>
      <c r="C7158">
        <v>2</v>
      </c>
      <c r="D7158">
        <v>4</v>
      </c>
      <c r="E7158">
        <v>8</v>
      </c>
      <c r="F7158" t="s">
        <v>10018</v>
      </c>
      <c r="G7158" t="s">
        <v>10103</v>
      </c>
      <c r="H7158" s="6">
        <v>45033</v>
      </c>
      <c r="I7158">
        <f t="shared" si="222"/>
        <v>1</v>
      </c>
      <c r="J7158" t="str">
        <f t="shared" si="223"/>
        <v>Complete</v>
      </c>
      <c r="K7158">
        <f>COUNTIFS(RawData[Item], B7158,RawData[Quantity],C7158,RawData[Price Per Unit],D7158,RawData[Total Spent],E7158,RawData[Payment Method],F7158,RawData[Location],G7158,RawData[Transaction Date],H7158)</f>
        <v>1</v>
      </c>
      <c r="L7158"/>
    </row>
    <row r="7159" spans="1:12" x14ac:dyDescent="0.3">
      <c r="A7159" t="s">
        <v>7165</v>
      </c>
      <c r="B7159" t="s">
        <v>10017</v>
      </c>
      <c r="C7159">
        <v>2</v>
      </c>
      <c r="D7159">
        <v>1.5</v>
      </c>
      <c r="E7159">
        <v>3</v>
      </c>
      <c r="F7159" t="s">
        <v>10019</v>
      </c>
      <c r="G7159" t="s">
        <v>10104</v>
      </c>
      <c r="H7159" s="6">
        <v>45164</v>
      </c>
      <c r="I7159">
        <f t="shared" si="222"/>
        <v>1</v>
      </c>
      <c r="J7159" t="str">
        <f t="shared" si="223"/>
        <v>Complete</v>
      </c>
      <c r="K7159">
        <f>COUNTIFS(RawData[Item], B7159,RawData[Quantity],C7159,RawData[Price Per Unit],D7159,RawData[Total Spent],E7159,RawData[Payment Method],F7159,RawData[Location],G7159,RawData[Transaction Date],H7159)</f>
        <v>1</v>
      </c>
      <c r="L7159"/>
    </row>
    <row r="7160" spans="1:12" x14ac:dyDescent="0.3">
      <c r="A7160" t="s">
        <v>7166</v>
      </c>
      <c r="B7160" t="s">
        <v>10013</v>
      </c>
      <c r="C7160">
        <v>2</v>
      </c>
      <c r="D7160">
        <v>1.5</v>
      </c>
      <c r="E7160">
        <v>3</v>
      </c>
      <c r="F7160" t="s">
        <v>10069</v>
      </c>
      <c r="G7160" t="s">
        <v>10021</v>
      </c>
      <c r="H7160" s="6">
        <v>44991</v>
      </c>
      <c r="I7160">
        <f t="shared" si="222"/>
        <v>1</v>
      </c>
      <c r="J7160" t="str">
        <f t="shared" si="223"/>
        <v>Complete</v>
      </c>
      <c r="K7160">
        <f>COUNTIFS(RawData[Item], B7160,RawData[Quantity],C7160,RawData[Price Per Unit],D7160,RawData[Total Spent],E7160,RawData[Payment Method],F7160,RawData[Location],G7160,RawData[Transaction Date],H7160)</f>
        <v>1</v>
      </c>
      <c r="L7160"/>
    </row>
    <row r="7161" spans="1:12" x14ac:dyDescent="0.3">
      <c r="A7161" t="s">
        <v>7167</v>
      </c>
      <c r="B7161" t="s">
        <v>10015</v>
      </c>
      <c r="C7161">
        <v>5</v>
      </c>
      <c r="D7161">
        <v>5</v>
      </c>
      <c r="E7161">
        <v>25</v>
      </c>
      <c r="F7161" t="s">
        <v>10019</v>
      </c>
      <c r="G7161" t="s">
        <v>10069</v>
      </c>
      <c r="H7161" s="6">
        <v>45119</v>
      </c>
      <c r="I7161">
        <f t="shared" si="222"/>
        <v>1</v>
      </c>
      <c r="J7161" t="str">
        <f t="shared" si="223"/>
        <v>Complete</v>
      </c>
      <c r="K7161">
        <f>COUNTIFS(RawData[Item], B7161,RawData[Quantity],C7161,RawData[Price Per Unit],D7161,RawData[Total Spent],E7161,RawData[Payment Method],F7161,RawData[Location],G7161,RawData[Transaction Date],H7161)</f>
        <v>1</v>
      </c>
      <c r="L7161"/>
    </row>
    <row r="7162" spans="1:12" x14ac:dyDescent="0.3">
      <c r="A7162" t="s">
        <v>7168</v>
      </c>
      <c r="B7162" t="s">
        <v>10016</v>
      </c>
      <c r="C7162">
        <v>3</v>
      </c>
      <c r="D7162">
        <v>3</v>
      </c>
      <c r="E7162">
        <v>9</v>
      </c>
      <c r="F7162" t="s">
        <v>10018</v>
      </c>
      <c r="G7162" t="s">
        <v>10021</v>
      </c>
      <c r="H7162" s="6">
        <v>45025</v>
      </c>
      <c r="I7162">
        <f t="shared" si="222"/>
        <v>0</v>
      </c>
      <c r="J7162" t="str">
        <f t="shared" si="223"/>
        <v>Complete</v>
      </c>
      <c r="K7162">
        <f>COUNTIFS(RawData[Item], B7162,RawData[Quantity],C7162,RawData[Price Per Unit],D7162,RawData[Total Spent],E7162,RawData[Payment Method],F7162,RawData[Location],G7162,RawData[Transaction Date],H7162)</f>
        <v>1</v>
      </c>
      <c r="L7162"/>
    </row>
    <row r="7163" spans="1:12" x14ac:dyDescent="0.3">
      <c r="A7163" t="s">
        <v>7169</v>
      </c>
      <c r="B7163" t="s">
        <v>10012</v>
      </c>
      <c r="C7163">
        <v>2</v>
      </c>
      <c r="D7163">
        <v>4</v>
      </c>
      <c r="E7163">
        <v>8</v>
      </c>
      <c r="F7163" t="s">
        <v>10020</v>
      </c>
      <c r="G7163" t="s">
        <v>10021</v>
      </c>
      <c r="H7163" s="6">
        <v>45034</v>
      </c>
      <c r="I7163">
        <f t="shared" si="222"/>
        <v>0</v>
      </c>
      <c r="J7163" t="str">
        <f t="shared" si="223"/>
        <v>Complete</v>
      </c>
      <c r="K7163">
        <f>COUNTIFS(RawData[Item], B7163,RawData[Quantity],C7163,RawData[Price Per Unit],D7163,RawData[Total Spent],E7163,RawData[Payment Method],F7163,RawData[Location],G7163,RawData[Transaction Date],H7163)</f>
        <v>1</v>
      </c>
      <c r="L7163"/>
    </row>
    <row r="7164" spans="1:12" x14ac:dyDescent="0.3">
      <c r="A7164" t="s">
        <v>7170</v>
      </c>
      <c r="B7164" t="s">
        <v>10010</v>
      </c>
      <c r="C7164">
        <v>4</v>
      </c>
      <c r="D7164">
        <v>1</v>
      </c>
      <c r="E7164">
        <v>4</v>
      </c>
      <c r="F7164" t="s">
        <v>10019</v>
      </c>
      <c r="G7164" t="s">
        <v>10102</v>
      </c>
      <c r="H7164" s="6">
        <v>45058</v>
      </c>
      <c r="I7164">
        <f t="shared" si="222"/>
        <v>0</v>
      </c>
      <c r="J7164" t="str">
        <f t="shared" si="223"/>
        <v>Complete</v>
      </c>
      <c r="K7164">
        <f>COUNTIFS(RawData[Item], B7164,RawData[Quantity],C7164,RawData[Price Per Unit],D7164,RawData[Total Spent],E7164,RawData[Payment Method],F7164,RawData[Location],G7164,RawData[Transaction Date],H7164)</f>
        <v>1</v>
      </c>
      <c r="L7164"/>
    </row>
    <row r="7165" spans="1:12" x14ac:dyDescent="0.3">
      <c r="A7165" t="s">
        <v>7171</v>
      </c>
      <c r="B7165" t="s">
        <v>10008</v>
      </c>
      <c r="C7165">
        <v>3</v>
      </c>
      <c r="D7165">
        <v>2</v>
      </c>
      <c r="E7165">
        <v>6</v>
      </c>
      <c r="F7165" t="s">
        <v>10020</v>
      </c>
      <c r="G7165" t="s">
        <v>10069</v>
      </c>
      <c r="H7165" s="6">
        <v>45210</v>
      </c>
      <c r="I7165">
        <f t="shared" si="222"/>
        <v>0</v>
      </c>
      <c r="J7165" t="str">
        <f t="shared" si="223"/>
        <v>Complete</v>
      </c>
      <c r="K7165">
        <f>COUNTIFS(RawData[Item], B7165,RawData[Quantity],C7165,RawData[Price Per Unit],D7165,RawData[Total Spent],E7165,RawData[Payment Method],F7165,RawData[Location],G7165,RawData[Transaction Date],H7165)</f>
        <v>1</v>
      </c>
      <c r="L7165"/>
    </row>
    <row r="7166" spans="1:12" x14ac:dyDescent="0.3">
      <c r="A7166" t="s">
        <v>7172</v>
      </c>
      <c r="B7166" t="s">
        <v>10008</v>
      </c>
      <c r="C7166">
        <v>2</v>
      </c>
      <c r="D7166">
        <v>2</v>
      </c>
      <c r="E7166">
        <v>4</v>
      </c>
      <c r="F7166" t="s">
        <v>10020</v>
      </c>
      <c r="G7166" t="s">
        <v>10102</v>
      </c>
      <c r="H7166" s="6">
        <v>45127</v>
      </c>
      <c r="I7166">
        <f t="shared" si="222"/>
        <v>0</v>
      </c>
      <c r="J7166" t="str">
        <f t="shared" si="223"/>
        <v>Complete</v>
      </c>
      <c r="K7166">
        <f>COUNTIFS(RawData[Item], B7166,RawData[Quantity],C7166,RawData[Price Per Unit],D7166,RawData[Total Spent],E7166,RawData[Payment Method],F7166,RawData[Location],G7166,RawData[Transaction Date],H7166)</f>
        <v>1</v>
      </c>
      <c r="L7166"/>
    </row>
    <row r="7167" spans="1:12" x14ac:dyDescent="0.3">
      <c r="A7167" t="s">
        <v>7173</v>
      </c>
      <c r="B7167" t="s">
        <v>10009</v>
      </c>
      <c r="C7167">
        <v>2</v>
      </c>
      <c r="D7167">
        <v>3</v>
      </c>
      <c r="E7167">
        <v>6</v>
      </c>
      <c r="F7167" t="s">
        <v>10019</v>
      </c>
      <c r="G7167" t="s">
        <v>10102</v>
      </c>
      <c r="H7167" s="6">
        <v>44958</v>
      </c>
      <c r="I7167">
        <f t="shared" si="222"/>
        <v>0</v>
      </c>
      <c r="J7167" t="str">
        <f t="shared" si="223"/>
        <v>Complete</v>
      </c>
      <c r="K7167">
        <f>COUNTIFS(RawData[Item], B7167,RawData[Quantity],C7167,RawData[Price Per Unit],D7167,RawData[Total Spent],E7167,RawData[Payment Method],F7167,RawData[Location],G7167,RawData[Transaction Date],H7167)</f>
        <v>1</v>
      </c>
      <c r="L7167"/>
    </row>
    <row r="7168" spans="1:12" x14ac:dyDescent="0.3">
      <c r="A7168" t="s">
        <v>7174</v>
      </c>
      <c r="B7168" t="s">
        <v>10009</v>
      </c>
      <c r="C7168">
        <v>1</v>
      </c>
      <c r="D7168">
        <v>3</v>
      </c>
      <c r="E7168">
        <v>3</v>
      </c>
      <c r="F7168" t="s">
        <v>10020</v>
      </c>
      <c r="G7168" t="s">
        <v>10021</v>
      </c>
      <c r="H7168" s="6">
        <v>45027</v>
      </c>
      <c r="I7168">
        <f t="shared" si="222"/>
        <v>0</v>
      </c>
      <c r="J7168" t="str">
        <f t="shared" si="223"/>
        <v>Complete</v>
      </c>
      <c r="K7168">
        <f>COUNTIFS(RawData[Item], B7168,RawData[Quantity],C7168,RawData[Price Per Unit],D7168,RawData[Total Spent],E7168,RawData[Payment Method],F7168,RawData[Location],G7168,RawData[Transaction Date],H7168)</f>
        <v>1</v>
      </c>
      <c r="L7168"/>
    </row>
    <row r="7169" spans="1:12" x14ac:dyDescent="0.3">
      <c r="A7169" t="s">
        <v>7175</v>
      </c>
      <c r="B7169" t="s">
        <v>10017</v>
      </c>
      <c r="C7169">
        <v>5</v>
      </c>
      <c r="D7169">
        <v>0</v>
      </c>
      <c r="E7169">
        <v>7.5</v>
      </c>
      <c r="F7169" t="s">
        <v>10020</v>
      </c>
      <c r="G7169" t="s">
        <v>10021</v>
      </c>
      <c r="H7169" s="6">
        <v>45163</v>
      </c>
      <c r="I7169">
        <f t="shared" si="222"/>
        <v>0</v>
      </c>
      <c r="J7169" t="str">
        <f t="shared" si="223"/>
        <v>Complete</v>
      </c>
      <c r="K7169">
        <f>COUNTIFS(RawData[Item], B7169,RawData[Quantity],C7169,RawData[Price Per Unit],D7169,RawData[Total Spent],E7169,RawData[Payment Method],F7169,RawData[Location],G7169,RawData[Transaction Date],H7169)</f>
        <v>1</v>
      </c>
      <c r="L7169"/>
    </row>
    <row r="7170" spans="1:12" x14ac:dyDescent="0.3">
      <c r="A7170" t="s">
        <v>7176</v>
      </c>
      <c r="B7170" t="s">
        <v>10013</v>
      </c>
      <c r="C7170">
        <v>3</v>
      </c>
      <c r="D7170">
        <v>5</v>
      </c>
      <c r="E7170">
        <v>15</v>
      </c>
      <c r="F7170" t="s">
        <v>10020</v>
      </c>
      <c r="G7170" t="s">
        <v>10104</v>
      </c>
      <c r="H7170" s="6">
        <v>44938</v>
      </c>
      <c r="I7170">
        <f t="shared" ref="I7170:I7233" si="224">(B7170="Unknown")+(B7170="Error")+(C7170="Unknown")+(C7170="Error")+(D7170="Unknown")+(D7170="Error")+(E7170="Unknown")+(E7170="Error")+(F7170="Unknown")+(F7170="Error")+(G7170="Unknown")+(G7170="Error")+(H7170="No Date")</f>
        <v>2</v>
      </c>
      <c r="J7170" t="str">
        <f t="shared" ref="J7170:J7233" si="225">IF((H7170="No Date"),"Incomplete","Complete")</f>
        <v>Complete</v>
      </c>
      <c r="K7170">
        <f>COUNTIFS(RawData[Item], B7170,RawData[Quantity],C7170,RawData[Price Per Unit],D7170,RawData[Total Spent],E7170,RawData[Payment Method],F7170,RawData[Location],G7170,RawData[Transaction Date],H7170)</f>
        <v>1</v>
      </c>
      <c r="L7170"/>
    </row>
    <row r="7171" spans="1:12" x14ac:dyDescent="0.3">
      <c r="A7171" t="s">
        <v>7177</v>
      </c>
      <c r="B7171" t="s">
        <v>10016</v>
      </c>
      <c r="C7171">
        <v>2</v>
      </c>
      <c r="D7171">
        <v>3</v>
      </c>
      <c r="E7171">
        <v>6</v>
      </c>
      <c r="F7171" t="s">
        <v>10020</v>
      </c>
      <c r="G7171" t="s">
        <v>10102</v>
      </c>
      <c r="H7171" s="6">
        <v>45215</v>
      </c>
      <c r="I7171">
        <f t="shared" si="224"/>
        <v>0</v>
      </c>
      <c r="J7171" t="str">
        <f t="shared" si="225"/>
        <v>Complete</v>
      </c>
      <c r="K7171">
        <f>COUNTIFS(RawData[Item], B7171,RawData[Quantity],C7171,RawData[Price Per Unit],D7171,RawData[Total Spent],E7171,RawData[Payment Method],F7171,RawData[Location],G7171,RawData[Transaction Date],H7171)</f>
        <v>1</v>
      </c>
      <c r="L7171"/>
    </row>
    <row r="7172" spans="1:12" x14ac:dyDescent="0.3">
      <c r="A7172" t="s">
        <v>7178</v>
      </c>
      <c r="B7172" t="s">
        <v>10011</v>
      </c>
      <c r="C7172">
        <v>5</v>
      </c>
      <c r="D7172">
        <v>5</v>
      </c>
      <c r="E7172">
        <v>25</v>
      </c>
      <c r="F7172" t="s">
        <v>10019</v>
      </c>
      <c r="G7172" t="s">
        <v>10021</v>
      </c>
      <c r="H7172" s="6">
        <v>44955</v>
      </c>
      <c r="I7172">
        <f t="shared" si="224"/>
        <v>0</v>
      </c>
      <c r="J7172" t="str">
        <f t="shared" si="225"/>
        <v>Complete</v>
      </c>
      <c r="K7172">
        <f>COUNTIFS(RawData[Item], B7172,RawData[Quantity],C7172,RawData[Price Per Unit],D7172,RawData[Total Spent],E7172,RawData[Payment Method],F7172,RawData[Location],G7172,RawData[Transaction Date],H7172)</f>
        <v>2</v>
      </c>
      <c r="L7172"/>
    </row>
    <row r="7173" spans="1:12" x14ac:dyDescent="0.3">
      <c r="A7173" t="s">
        <v>7179</v>
      </c>
      <c r="B7173" t="s">
        <v>10011</v>
      </c>
      <c r="C7173">
        <v>4</v>
      </c>
      <c r="D7173">
        <v>5</v>
      </c>
      <c r="E7173">
        <v>20</v>
      </c>
      <c r="F7173" t="s">
        <v>10018</v>
      </c>
      <c r="G7173" t="s">
        <v>10069</v>
      </c>
      <c r="H7173" s="6">
        <v>45011</v>
      </c>
      <c r="I7173">
        <f t="shared" si="224"/>
        <v>0</v>
      </c>
      <c r="J7173" t="str">
        <f t="shared" si="225"/>
        <v>Complete</v>
      </c>
      <c r="K7173">
        <f>COUNTIFS(RawData[Item], B7173,RawData[Quantity],C7173,RawData[Price Per Unit],D7173,RawData[Total Spent],E7173,RawData[Payment Method],F7173,RawData[Location],G7173,RawData[Transaction Date],H7173)</f>
        <v>1</v>
      </c>
      <c r="L7173"/>
    </row>
    <row r="7174" spans="1:12" x14ac:dyDescent="0.3">
      <c r="A7174" t="s">
        <v>7180</v>
      </c>
      <c r="B7174" t="s">
        <v>10016</v>
      </c>
      <c r="C7174">
        <v>4</v>
      </c>
      <c r="D7174">
        <v>3</v>
      </c>
      <c r="E7174">
        <v>12</v>
      </c>
      <c r="F7174" t="s">
        <v>10020</v>
      </c>
      <c r="G7174" t="s">
        <v>10102</v>
      </c>
      <c r="H7174" s="6">
        <v>44951</v>
      </c>
      <c r="I7174">
        <f t="shared" si="224"/>
        <v>0</v>
      </c>
      <c r="J7174" t="str">
        <f t="shared" si="225"/>
        <v>Complete</v>
      </c>
      <c r="K7174">
        <f>COUNTIFS(RawData[Item], B7174,RawData[Quantity],C7174,RawData[Price Per Unit],D7174,RawData[Total Spent],E7174,RawData[Payment Method],F7174,RawData[Location],G7174,RawData[Transaction Date],H7174)</f>
        <v>1</v>
      </c>
      <c r="L7174"/>
    </row>
    <row r="7175" spans="1:12" x14ac:dyDescent="0.3">
      <c r="A7175" t="s">
        <v>7181</v>
      </c>
      <c r="B7175" t="s">
        <v>10011</v>
      </c>
      <c r="C7175">
        <v>1</v>
      </c>
      <c r="D7175">
        <v>5</v>
      </c>
      <c r="E7175">
        <v>5</v>
      </c>
      <c r="F7175" t="s">
        <v>10019</v>
      </c>
      <c r="G7175" t="s">
        <v>10102</v>
      </c>
      <c r="H7175" s="6" t="s">
        <v>10112</v>
      </c>
      <c r="I7175">
        <f t="shared" si="224"/>
        <v>1</v>
      </c>
      <c r="J7175" t="str">
        <f t="shared" si="225"/>
        <v>Incomplete</v>
      </c>
      <c r="K7175">
        <f>COUNTIFS(RawData[Item], B7175,RawData[Quantity],C7175,RawData[Price Per Unit],D7175,RawData[Total Spent],E7175,RawData[Payment Method],F7175,RawData[Location],G7175,RawData[Transaction Date],H7175)</f>
        <v>2</v>
      </c>
      <c r="L7175"/>
    </row>
    <row r="7176" spans="1:12" x14ac:dyDescent="0.3">
      <c r="A7176" t="s">
        <v>7182</v>
      </c>
      <c r="B7176" t="s">
        <v>10017</v>
      </c>
      <c r="C7176">
        <v>2</v>
      </c>
      <c r="D7176">
        <v>1.5</v>
      </c>
      <c r="E7176">
        <v>3</v>
      </c>
      <c r="F7176" t="s">
        <v>10069</v>
      </c>
      <c r="G7176" t="s">
        <v>10069</v>
      </c>
      <c r="H7176" s="6">
        <v>45052</v>
      </c>
      <c r="I7176">
        <f t="shared" si="224"/>
        <v>0</v>
      </c>
      <c r="J7176" t="str">
        <f t="shared" si="225"/>
        <v>Complete</v>
      </c>
      <c r="K7176">
        <f>COUNTIFS(RawData[Item], B7176,RawData[Quantity],C7176,RawData[Price Per Unit],D7176,RawData[Total Spent],E7176,RawData[Payment Method],F7176,RawData[Location],G7176,RawData[Transaction Date],H7176)</f>
        <v>1</v>
      </c>
      <c r="L7176"/>
    </row>
    <row r="7177" spans="1:12" x14ac:dyDescent="0.3">
      <c r="A7177" t="s">
        <v>7183</v>
      </c>
      <c r="B7177" t="s">
        <v>10009</v>
      </c>
      <c r="C7177">
        <v>4</v>
      </c>
      <c r="D7177">
        <v>3</v>
      </c>
      <c r="E7177">
        <v>12</v>
      </c>
      <c r="F7177" t="s">
        <v>10019</v>
      </c>
      <c r="G7177" t="s">
        <v>10069</v>
      </c>
      <c r="H7177" s="6">
        <v>45099</v>
      </c>
      <c r="I7177">
        <f t="shared" si="224"/>
        <v>0</v>
      </c>
      <c r="J7177" t="str">
        <f t="shared" si="225"/>
        <v>Complete</v>
      </c>
      <c r="K7177">
        <f>COUNTIFS(RawData[Item], B7177,RawData[Quantity],C7177,RawData[Price Per Unit],D7177,RawData[Total Spent],E7177,RawData[Payment Method],F7177,RawData[Location],G7177,RawData[Transaction Date],H7177)</f>
        <v>1</v>
      </c>
      <c r="L7177"/>
    </row>
    <row r="7178" spans="1:12" x14ac:dyDescent="0.3">
      <c r="A7178" t="s">
        <v>7184</v>
      </c>
      <c r="B7178" t="s">
        <v>10012</v>
      </c>
      <c r="C7178">
        <v>5</v>
      </c>
      <c r="D7178">
        <v>4</v>
      </c>
      <c r="E7178">
        <v>20</v>
      </c>
      <c r="F7178" t="s">
        <v>10069</v>
      </c>
      <c r="G7178" t="s">
        <v>10102</v>
      </c>
      <c r="H7178" s="6">
        <v>45184</v>
      </c>
      <c r="I7178">
        <f t="shared" si="224"/>
        <v>0</v>
      </c>
      <c r="J7178" t="str">
        <f t="shared" si="225"/>
        <v>Complete</v>
      </c>
      <c r="K7178">
        <f>COUNTIFS(RawData[Item], B7178,RawData[Quantity],C7178,RawData[Price Per Unit],D7178,RawData[Total Spent],E7178,RawData[Payment Method],F7178,RawData[Location],G7178,RawData[Transaction Date],H7178)</f>
        <v>1</v>
      </c>
      <c r="L7178"/>
    </row>
    <row r="7179" spans="1:12" x14ac:dyDescent="0.3">
      <c r="A7179" t="s">
        <v>7185</v>
      </c>
      <c r="B7179" t="s">
        <v>10009</v>
      </c>
      <c r="C7179">
        <v>1</v>
      </c>
      <c r="D7179">
        <v>3</v>
      </c>
      <c r="E7179">
        <v>3</v>
      </c>
      <c r="F7179" t="s">
        <v>10018</v>
      </c>
      <c r="G7179" t="s">
        <v>10102</v>
      </c>
      <c r="H7179" s="6">
        <v>45070</v>
      </c>
      <c r="I7179">
        <f t="shared" si="224"/>
        <v>0</v>
      </c>
      <c r="J7179" t="str">
        <f t="shared" si="225"/>
        <v>Complete</v>
      </c>
      <c r="K7179">
        <f>COUNTIFS(RawData[Item], B7179,RawData[Quantity],C7179,RawData[Price Per Unit],D7179,RawData[Total Spent],E7179,RawData[Payment Method],F7179,RawData[Location],G7179,RawData[Transaction Date],H7179)</f>
        <v>1</v>
      </c>
      <c r="L7179"/>
    </row>
    <row r="7180" spans="1:12" x14ac:dyDescent="0.3">
      <c r="A7180" t="s">
        <v>7186</v>
      </c>
      <c r="B7180" t="s">
        <v>10017</v>
      </c>
      <c r="C7180">
        <v>3</v>
      </c>
      <c r="D7180">
        <v>1.5</v>
      </c>
      <c r="E7180">
        <v>4.5</v>
      </c>
      <c r="F7180" t="s">
        <v>10018</v>
      </c>
      <c r="G7180" t="s">
        <v>10021</v>
      </c>
      <c r="H7180" s="6">
        <v>45017</v>
      </c>
      <c r="I7180">
        <f t="shared" si="224"/>
        <v>0</v>
      </c>
      <c r="J7180" t="str">
        <f t="shared" si="225"/>
        <v>Complete</v>
      </c>
      <c r="K7180">
        <f>COUNTIFS(RawData[Item], B7180,RawData[Quantity],C7180,RawData[Price Per Unit],D7180,RawData[Total Spent],E7180,RawData[Payment Method],F7180,RawData[Location],G7180,RawData[Transaction Date],H7180)</f>
        <v>1</v>
      </c>
      <c r="L7180"/>
    </row>
    <row r="7181" spans="1:12" x14ac:dyDescent="0.3">
      <c r="A7181" t="s">
        <v>7187</v>
      </c>
      <c r="B7181" t="s">
        <v>10011</v>
      </c>
      <c r="C7181">
        <v>4</v>
      </c>
      <c r="D7181">
        <v>5</v>
      </c>
      <c r="E7181">
        <v>20</v>
      </c>
      <c r="F7181" t="s">
        <v>10020</v>
      </c>
      <c r="G7181" t="s">
        <v>10102</v>
      </c>
      <c r="H7181" s="6">
        <v>45131</v>
      </c>
      <c r="I7181">
        <f t="shared" si="224"/>
        <v>0</v>
      </c>
      <c r="J7181" t="str">
        <f t="shared" si="225"/>
        <v>Complete</v>
      </c>
      <c r="K7181">
        <f>COUNTIFS(RawData[Item], B7181,RawData[Quantity],C7181,RawData[Price Per Unit],D7181,RawData[Total Spent],E7181,RawData[Payment Method],F7181,RawData[Location],G7181,RawData[Transaction Date],H7181)</f>
        <v>1</v>
      </c>
      <c r="L7181"/>
    </row>
    <row r="7182" spans="1:12" x14ac:dyDescent="0.3">
      <c r="A7182" t="s">
        <v>7188</v>
      </c>
      <c r="B7182" t="s">
        <v>10012</v>
      </c>
      <c r="C7182">
        <v>5</v>
      </c>
      <c r="D7182">
        <v>4</v>
      </c>
      <c r="E7182">
        <v>20</v>
      </c>
      <c r="F7182" t="s">
        <v>10069</v>
      </c>
      <c r="G7182" t="s">
        <v>10069</v>
      </c>
      <c r="H7182" s="6">
        <v>45192</v>
      </c>
      <c r="I7182">
        <f t="shared" si="224"/>
        <v>0</v>
      </c>
      <c r="J7182" t="str">
        <f t="shared" si="225"/>
        <v>Complete</v>
      </c>
      <c r="K7182">
        <f>COUNTIFS(RawData[Item], B7182,RawData[Quantity],C7182,RawData[Price Per Unit],D7182,RawData[Total Spent],E7182,RawData[Payment Method],F7182,RawData[Location],G7182,RawData[Transaction Date],H7182)</f>
        <v>1</v>
      </c>
      <c r="L7182"/>
    </row>
    <row r="7183" spans="1:12" x14ac:dyDescent="0.3">
      <c r="A7183" t="s">
        <v>7189</v>
      </c>
      <c r="B7183" t="s">
        <v>10009</v>
      </c>
      <c r="C7183">
        <v>5</v>
      </c>
      <c r="D7183">
        <v>3</v>
      </c>
      <c r="E7183">
        <v>15</v>
      </c>
      <c r="F7183" t="s">
        <v>10019</v>
      </c>
      <c r="G7183" t="s">
        <v>10069</v>
      </c>
      <c r="H7183" s="6">
        <v>45226</v>
      </c>
      <c r="I7183">
        <f t="shared" si="224"/>
        <v>0</v>
      </c>
      <c r="J7183" t="str">
        <f t="shared" si="225"/>
        <v>Complete</v>
      </c>
      <c r="K7183">
        <f>COUNTIFS(RawData[Item], B7183,RawData[Quantity],C7183,RawData[Price Per Unit],D7183,RawData[Total Spent],E7183,RawData[Payment Method],F7183,RawData[Location],G7183,RawData[Transaction Date],H7183)</f>
        <v>1</v>
      </c>
      <c r="L7183"/>
    </row>
    <row r="7184" spans="1:12" x14ac:dyDescent="0.3">
      <c r="A7184" t="s">
        <v>7190</v>
      </c>
      <c r="B7184" t="s">
        <v>10016</v>
      </c>
      <c r="C7184">
        <v>3</v>
      </c>
      <c r="D7184">
        <v>3</v>
      </c>
      <c r="E7184">
        <v>9</v>
      </c>
      <c r="F7184" t="s">
        <v>10020</v>
      </c>
      <c r="G7184" t="s">
        <v>10069</v>
      </c>
      <c r="H7184" s="6">
        <v>45013</v>
      </c>
      <c r="I7184">
        <f t="shared" si="224"/>
        <v>0</v>
      </c>
      <c r="J7184" t="str">
        <f t="shared" si="225"/>
        <v>Complete</v>
      </c>
      <c r="K7184">
        <f>COUNTIFS(RawData[Item], B7184,RawData[Quantity],C7184,RawData[Price Per Unit],D7184,RawData[Total Spent],E7184,RawData[Payment Method],F7184,RawData[Location],G7184,RawData[Transaction Date],H7184)</f>
        <v>1</v>
      </c>
      <c r="L7184"/>
    </row>
    <row r="7185" spans="1:12" x14ac:dyDescent="0.3">
      <c r="A7185" t="s">
        <v>7191</v>
      </c>
      <c r="B7185" t="s">
        <v>10012</v>
      </c>
      <c r="C7185">
        <v>4</v>
      </c>
      <c r="D7185">
        <v>4</v>
      </c>
      <c r="E7185" t="s">
        <v>10015</v>
      </c>
      <c r="F7185" t="s">
        <v>10019</v>
      </c>
      <c r="G7185" t="s">
        <v>10021</v>
      </c>
      <c r="H7185" s="6">
        <v>45074</v>
      </c>
      <c r="I7185">
        <f t="shared" si="224"/>
        <v>1</v>
      </c>
      <c r="J7185" t="str">
        <f t="shared" si="225"/>
        <v>Complete</v>
      </c>
      <c r="K7185">
        <f>COUNTIFS(RawData[Item], B7185,RawData[Quantity],C7185,RawData[Price Per Unit],D7185,RawData[Total Spent],E7185,RawData[Payment Method],F7185,RawData[Location],G7185,RawData[Transaction Date],H7185)</f>
        <v>1</v>
      </c>
      <c r="L7185"/>
    </row>
    <row r="7186" spans="1:12" x14ac:dyDescent="0.3">
      <c r="A7186" t="s">
        <v>7192</v>
      </c>
      <c r="B7186" t="s">
        <v>10014</v>
      </c>
      <c r="C7186">
        <v>4</v>
      </c>
      <c r="D7186">
        <v>4</v>
      </c>
      <c r="E7186">
        <v>16</v>
      </c>
      <c r="F7186" t="s">
        <v>10020</v>
      </c>
      <c r="G7186" t="s">
        <v>10102</v>
      </c>
      <c r="H7186" s="6">
        <v>44997</v>
      </c>
      <c r="I7186">
        <f t="shared" si="224"/>
        <v>0</v>
      </c>
      <c r="J7186" t="str">
        <f t="shared" si="225"/>
        <v>Complete</v>
      </c>
      <c r="K7186">
        <f>COUNTIFS(RawData[Item], B7186,RawData[Quantity],C7186,RawData[Price Per Unit],D7186,RawData[Total Spent],E7186,RawData[Payment Method],F7186,RawData[Location],G7186,RawData[Transaction Date],H7186)</f>
        <v>1</v>
      </c>
      <c r="L7186"/>
    </row>
    <row r="7187" spans="1:12" x14ac:dyDescent="0.3">
      <c r="A7187" t="s">
        <v>7193</v>
      </c>
      <c r="B7187" t="s">
        <v>10014</v>
      </c>
      <c r="C7187">
        <v>4</v>
      </c>
      <c r="D7187">
        <v>4</v>
      </c>
      <c r="E7187">
        <v>16</v>
      </c>
      <c r="F7187" t="s">
        <v>10069</v>
      </c>
      <c r="G7187" t="s">
        <v>10021</v>
      </c>
      <c r="H7187" s="6">
        <v>45214</v>
      </c>
      <c r="I7187">
        <f t="shared" si="224"/>
        <v>0</v>
      </c>
      <c r="J7187" t="str">
        <f t="shared" si="225"/>
        <v>Complete</v>
      </c>
      <c r="K7187">
        <f>COUNTIFS(RawData[Item], B7187,RawData[Quantity],C7187,RawData[Price Per Unit],D7187,RawData[Total Spent],E7187,RawData[Payment Method],F7187,RawData[Location],G7187,RawData[Transaction Date],H7187)</f>
        <v>1</v>
      </c>
      <c r="L7187"/>
    </row>
    <row r="7188" spans="1:12" x14ac:dyDescent="0.3">
      <c r="A7188" t="s">
        <v>7194</v>
      </c>
      <c r="B7188" t="s">
        <v>10010</v>
      </c>
      <c r="C7188">
        <v>4</v>
      </c>
      <c r="D7188">
        <v>1</v>
      </c>
      <c r="E7188">
        <v>4</v>
      </c>
      <c r="F7188" t="s">
        <v>10104</v>
      </c>
      <c r="G7188" t="s">
        <v>10021</v>
      </c>
      <c r="H7188" s="6">
        <v>45237</v>
      </c>
      <c r="I7188">
        <f t="shared" si="224"/>
        <v>1</v>
      </c>
      <c r="J7188" t="str">
        <f t="shared" si="225"/>
        <v>Complete</v>
      </c>
      <c r="K7188">
        <f>COUNTIFS(RawData[Item], B7188,RawData[Quantity],C7188,RawData[Price Per Unit],D7188,RawData[Total Spent],E7188,RawData[Payment Method],F7188,RawData[Location],G7188,RawData[Transaction Date],H7188)</f>
        <v>1</v>
      </c>
      <c r="L7188"/>
    </row>
    <row r="7189" spans="1:12" x14ac:dyDescent="0.3">
      <c r="A7189" t="s">
        <v>7195</v>
      </c>
      <c r="B7189" t="s">
        <v>10015</v>
      </c>
      <c r="C7189">
        <v>3</v>
      </c>
      <c r="D7189">
        <v>3</v>
      </c>
      <c r="E7189">
        <v>9</v>
      </c>
      <c r="F7189" t="s">
        <v>10104</v>
      </c>
      <c r="G7189" t="s">
        <v>10104</v>
      </c>
      <c r="H7189" s="6">
        <v>45182</v>
      </c>
      <c r="I7189">
        <f t="shared" si="224"/>
        <v>3</v>
      </c>
      <c r="J7189" t="str">
        <f t="shared" si="225"/>
        <v>Complete</v>
      </c>
      <c r="K7189">
        <f>COUNTIFS(RawData[Item], B7189,RawData[Quantity],C7189,RawData[Price Per Unit],D7189,RawData[Total Spent],E7189,RawData[Payment Method],F7189,RawData[Location],G7189,RawData[Transaction Date],H7189)</f>
        <v>1</v>
      </c>
      <c r="L7189"/>
    </row>
    <row r="7190" spans="1:12" x14ac:dyDescent="0.3">
      <c r="A7190" t="s">
        <v>7196</v>
      </c>
      <c r="B7190" t="s">
        <v>10015</v>
      </c>
      <c r="C7190">
        <v>5</v>
      </c>
      <c r="D7190">
        <v>4</v>
      </c>
      <c r="E7190">
        <v>20</v>
      </c>
      <c r="F7190" t="s">
        <v>10018</v>
      </c>
      <c r="G7190" t="s">
        <v>10102</v>
      </c>
      <c r="H7190" s="6">
        <v>44967</v>
      </c>
      <c r="I7190">
        <f t="shared" si="224"/>
        <v>1</v>
      </c>
      <c r="J7190" t="str">
        <f t="shared" si="225"/>
        <v>Complete</v>
      </c>
      <c r="K7190">
        <f>COUNTIFS(RawData[Item], B7190,RawData[Quantity],C7190,RawData[Price Per Unit],D7190,RawData[Total Spent],E7190,RawData[Payment Method],F7190,RawData[Location],G7190,RawData[Transaction Date],H7190)</f>
        <v>1</v>
      </c>
      <c r="L7190"/>
    </row>
    <row r="7191" spans="1:12" x14ac:dyDescent="0.3">
      <c r="A7191" t="s">
        <v>7197</v>
      </c>
      <c r="B7191" t="s">
        <v>10008</v>
      </c>
      <c r="C7191">
        <v>4</v>
      </c>
      <c r="D7191">
        <v>2</v>
      </c>
      <c r="E7191">
        <v>8</v>
      </c>
      <c r="F7191" t="s">
        <v>10020</v>
      </c>
      <c r="G7191" t="s">
        <v>10102</v>
      </c>
      <c r="H7191" s="6">
        <v>45275</v>
      </c>
      <c r="I7191">
        <f t="shared" si="224"/>
        <v>0</v>
      </c>
      <c r="J7191" t="str">
        <f t="shared" si="225"/>
        <v>Complete</v>
      </c>
      <c r="K7191">
        <f>COUNTIFS(RawData[Item], B7191,RawData[Quantity],C7191,RawData[Price Per Unit],D7191,RawData[Total Spent],E7191,RawData[Payment Method],F7191,RawData[Location],G7191,RawData[Transaction Date],H7191)</f>
        <v>1</v>
      </c>
      <c r="L7191"/>
    </row>
    <row r="7192" spans="1:12" x14ac:dyDescent="0.3">
      <c r="A7192" t="s">
        <v>7198</v>
      </c>
      <c r="B7192" t="s">
        <v>10009</v>
      </c>
      <c r="C7192">
        <v>2</v>
      </c>
      <c r="D7192">
        <v>3</v>
      </c>
      <c r="E7192">
        <v>6</v>
      </c>
      <c r="F7192" t="s">
        <v>10069</v>
      </c>
      <c r="G7192" t="s">
        <v>10104</v>
      </c>
      <c r="H7192" s="6">
        <v>45066</v>
      </c>
      <c r="I7192">
        <f t="shared" si="224"/>
        <v>1</v>
      </c>
      <c r="J7192" t="str">
        <f t="shared" si="225"/>
        <v>Complete</v>
      </c>
      <c r="K7192">
        <f>COUNTIFS(RawData[Item], B7192,RawData[Quantity],C7192,RawData[Price Per Unit],D7192,RawData[Total Spent],E7192,RawData[Payment Method],F7192,RawData[Location],G7192,RawData[Transaction Date],H7192)</f>
        <v>1</v>
      </c>
      <c r="L7192"/>
    </row>
    <row r="7193" spans="1:12" x14ac:dyDescent="0.3">
      <c r="A7193" t="s">
        <v>7199</v>
      </c>
      <c r="B7193" t="s">
        <v>10016</v>
      </c>
      <c r="C7193">
        <v>2</v>
      </c>
      <c r="D7193">
        <v>3</v>
      </c>
      <c r="E7193">
        <v>6</v>
      </c>
      <c r="F7193" t="s">
        <v>10020</v>
      </c>
      <c r="G7193" t="s">
        <v>10021</v>
      </c>
      <c r="H7193" s="6">
        <v>45242</v>
      </c>
      <c r="I7193">
        <f t="shared" si="224"/>
        <v>0</v>
      </c>
      <c r="J7193" t="str">
        <f t="shared" si="225"/>
        <v>Complete</v>
      </c>
      <c r="K7193">
        <f>COUNTIFS(RawData[Item], B7193,RawData[Quantity],C7193,RawData[Price Per Unit],D7193,RawData[Total Spent],E7193,RawData[Payment Method],F7193,RawData[Location],G7193,RawData[Transaction Date],H7193)</f>
        <v>1</v>
      </c>
      <c r="L7193"/>
    </row>
    <row r="7194" spans="1:12" x14ac:dyDescent="0.3">
      <c r="A7194" t="s">
        <v>7200</v>
      </c>
      <c r="B7194" t="s">
        <v>10016</v>
      </c>
      <c r="C7194">
        <v>3</v>
      </c>
      <c r="D7194">
        <v>3</v>
      </c>
      <c r="E7194">
        <v>9</v>
      </c>
      <c r="F7194" t="s">
        <v>10069</v>
      </c>
      <c r="G7194" t="s">
        <v>10069</v>
      </c>
      <c r="H7194" s="6">
        <v>45085</v>
      </c>
      <c r="I7194">
        <f t="shared" si="224"/>
        <v>0</v>
      </c>
      <c r="J7194" t="str">
        <f t="shared" si="225"/>
        <v>Complete</v>
      </c>
      <c r="K7194">
        <f>COUNTIFS(RawData[Item], B7194,RawData[Quantity],C7194,RawData[Price Per Unit],D7194,RawData[Total Spent],E7194,RawData[Payment Method],F7194,RawData[Location],G7194,RawData[Transaction Date],H7194)</f>
        <v>1</v>
      </c>
      <c r="L7194"/>
    </row>
    <row r="7195" spans="1:12" x14ac:dyDescent="0.3">
      <c r="A7195" t="s">
        <v>7201</v>
      </c>
      <c r="B7195" t="s">
        <v>10016</v>
      </c>
      <c r="C7195">
        <v>3</v>
      </c>
      <c r="D7195">
        <v>3</v>
      </c>
      <c r="E7195">
        <v>9</v>
      </c>
      <c r="F7195" t="s">
        <v>10104</v>
      </c>
      <c r="G7195" t="s">
        <v>10069</v>
      </c>
      <c r="H7195" s="6">
        <v>45011</v>
      </c>
      <c r="I7195">
        <f t="shared" si="224"/>
        <v>1</v>
      </c>
      <c r="J7195" t="str">
        <f t="shared" si="225"/>
        <v>Complete</v>
      </c>
      <c r="K7195">
        <f>COUNTIFS(RawData[Item], B7195,RawData[Quantity],C7195,RawData[Price Per Unit],D7195,RawData[Total Spent],E7195,RawData[Payment Method],F7195,RawData[Location],G7195,RawData[Transaction Date],H7195)</f>
        <v>1</v>
      </c>
      <c r="L7195"/>
    </row>
    <row r="7196" spans="1:12" x14ac:dyDescent="0.3">
      <c r="A7196" t="s">
        <v>7202</v>
      </c>
      <c r="B7196" t="s">
        <v>10009</v>
      </c>
      <c r="C7196">
        <v>1</v>
      </c>
      <c r="D7196">
        <v>3</v>
      </c>
      <c r="E7196" t="s">
        <v>10013</v>
      </c>
      <c r="F7196" t="s">
        <v>10069</v>
      </c>
      <c r="G7196" t="s">
        <v>10102</v>
      </c>
      <c r="H7196" s="6">
        <v>44930</v>
      </c>
      <c r="I7196">
        <f t="shared" si="224"/>
        <v>1</v>
      </c>
      <c r="J7196" t="str">
        <f t="shared" si="225"/>
        <v>Complete</v>
      </c>
      <c r="K7196">
        <f>COUNTIFS(RawData[Item], B7196,RawData[Quantity],C7196,RawData[Price Per Unit],D7196,RawData[Total Spent],E7196,RawData[Payment Method],F7196,RawData[Location],G7196,RawData[Transaction Date],H7196)</f>
        <v>1</v>
      </c>
      <c r="L7196"/>
    </row>
    <row r="7197" spans="1:12" x14ac:dyDescent="0.3">
      <c r="A7197" t="s">
        <v>7203</v>
      </c>
      <c r="B7197" t="s">
        <v>10012</v>
      </c>
      <c r="C7197">
        <v>3</v>
      </c>
      <c r="D7197">
        <v>4</v>
      </c>
      <c r="E7197">
        <v>12</v>
      </c>
      <c r="F7197" t="s">
        <v>10069</v>
      </c>
      <c r="G7197" t="s">
        <v>10069</v>
      </c>
      <c r="H7197" s="6">
        <v>44972</v>
      </c>
      <c r="I7197">
        <f t="shared" si="224"/>
        <v>0</v>
      </c>
      <c r="J7197" t="str">
        <f t="shared" si="225"/>
        <v>Complete</v>
      </c>
      <c r="K7197">
        <f>COUNTIFS(RawData[Item], B7197,RawData[Quantity],C7197,RawData[Price Per Unit],D7197,RawData[Total Spent],E7197,RawData[Payment Method],F7197,RawData[Location],G7197,RawData[Transaction Date],H7197)</f>
        <v>1</v>
      </c>
      <c r="L7197"/>
    </row>
    <row r="7198" spans="1:12" x14ac:dyDescent="0.3">
      <c r="A7198" t="s">
        <v>7204</v>
      </c>
      <c r="B7198" t="s">
        <v>10016</v>
      </c>
      <c r="C7198">
        <v>3</v>
      </c>
      <c r="D7198">
        <v>3</v>
      </c>
      <c r="E7198">
        <v>9</v>
      </c>
      <c r="F7198" t="s">
        <v>10069</v>
      </c>
      <c r="G7198" t="s">
        <v>10021</v>
      </c>
      <c r="H7198" s="6">
        <v>45049</v>
      </c>
      <c r="I7198">
        <f t="shared" si="224"/>
        <v>0</v>
      </c>
      <c r="J7198" t="str">
        <f t="shared" si="225"/>
        <v>Complete</v>
      </c>
      <c r="K7198">
        <f>COUNTIFS(RawData[Item], B7198,RawData[Quantity],C7198,RawData[Price Per Unit],D7198,RawData[Total Spent],E7198,RawData[Payment Method],F7198,RawData[Location],G7198,RawData[Transaction Date],H7198)</f>
        <v>1</v>
      </c>
      <c r="L7198"/>
    </row>
    <row r="7199" spans="1:12" x14ac:dyDescent="0.3">
      <c r="A7199" t="s">
        <v>7205</v>
      </c>
      <c r="B7199" t="s">
        <v>10016</v>
      </c>
      <c r="C7199">
        <v>5</v>
      </c>
      <c r="D7199">
        <v>3</v>
      </c>
      <c r="E7199" t="s">
        <v>10013</v>
      </c>
      <c r="F7199" t="s">
        <v>10020</v>
      </c>
      <c r="G7199" t="s">
        <v>10103</v>
      </c>
      <c r="H7199" s="6">
        <v>45212</v>
      </c>
      <c r="I7199">
        <f t="shared" si="224"/>
        <v>2</v>
      </c>
      <c r="J7199" t="str">
        <f t="shared" si="225"/>
        <v>Complete</v>
      </c>
      <c r="K7199">
        <f>COUNTIFS(RawData[Item], B7199,RawData[Quantity],C7199,RawData[Price Per Unit],D7199,RawData[Total Spent],E7199,RawData[Payment Method],F7199,RawData[Location],G7199,RawData[Transaction Date],H7199)</f>
        <v>1</v>
      </c>
      <c r="L7199"/>
    </row>
    <row r="7200" spans="1:12" x14ac:dyDescent="0.3">
      <c r="A7200" t="s">
        <v>7206</v>
      </c>
      <c r="B7200" t="s">
        <v>10017</v>
      </c>
      <c r="C7200">
        <v>4</v>
      </c>
      <c r="D7200">
        <v>1.5</v>
      </c>
      <c r="E7200">
        <v>6</v>
      </c>
      <c r="F7200" t="s">
        <v>10018</v>
      </c>
      <c r="G7200" t="s">
        <v>10102</v>
      </c>
      <c r="H7200" s="6">
        <v>44964</v>
      </c>
      <c r="I7200">
        <f t="shared" si="224"/>
        <v>0</v>
      </c>
      <c r="J7200" t="str">
        <f t="shared" si="225"/>
        <v>Complete</v>
      </c>
      <c r="K7200">
        <f>COUNTIFS(RawData[Item], B7200,RawData[Quantity],C7200,RawData[Price Per Unit],D7200,RawData[Total Spent],E7200,RawData[Payment Method],F7200,RawData[Location],G7200,RawData[Transaction Date],H7200)</f>
        <v>1</v>
      </c>
      <c r="L7200"/>
    </row>
    <row r="7201" spans="1:12" x14ac:dyDescent="0.3">
      <c r="A7201" t="s">
        <v>7207</v>
      </c>
      <c r="B7201" t="s">
        <v>10010</v>
      </c>
      <c r="C7201">
        <v>1</v>
      </c>
      <c r="D7201" t="s">
        <v>10013</v>
      </c>
      <c r="E7201">
        <v>1</v>
      </c>
      <c r="F7201" t="s">
        <v>10069</v>
      </c>
      <c r="G7201" t="s">
        <v>10021</v>
      </c>
      <c r="H7201" s="6">
        <v>45089</v>
      </c>
      <c r="I7201">
        <f t="shared" si="224"/>
        <v>1</v>
      </c>
      <c r="J7201" t="str">
        <f t="shared" si="225"/>
        <v>Complete</v>
      </c>
      <c r="K7201">
        <f>COUNTIFS(RawData[Item], B7201,RawData[Quantity],C7201,RawData[Price Per Unit],D7201,RawData[Total Spent],E7201,RawData[Payment Method],F7201,RawData[Location],G7201,RawData[Transaction Date],H7201)</f>
        <v>1</v>
      </c>
      <c r="L7201"/>
    </row>
    <row r="7202" spans="1:12" x14ac:dyDescent="0.3">
      <c r="A7202" t="s">
        <v>7208</v>
      </c>
      <c r="B7202" t="s">
        <v>10010</v>
      </c>
      <c r="C7202">
        <v>2</v>
      </c>
      <c r="D7202">
        <v>1</v>
      </c>
      <c r="E7202">
        <v>2</v>
      </c>
      <c r="F7202" t="s">
        <v>10069</v>
      </c>
      <c r="G7202" t="s">
        <v>10102</v>
      </c>
      <c r="H7202" s="6">
        <v>45215</v>
      </c>
      <c r="I7202">
        <f t="shared" si="224"/>
        <v>0</v>
      </c>
      <c r="J7202" t="str">
        <f t="shared" si="225"/>
        <v>Complete</v>
      </c>
      <c r="K7202">
        <f>COUNTIFS(RawData[Item], B7202,RawData[Quantity],C7202,RawData[Price Per Unit],D7202,RawData[Total Spent],E7202,RawData[Payment Method],F7202,RawData[Location],G7202,RawData[Transaction Date],H7202)</f>
        <v>1</v>
      </c>
      <c r="L7202"/>
    </row>
    <row r="7203" spans="1:12" x14ac:dyDescent="0.3">
      <c r="A7203" t="s">
        <v>7209</v>
      </c>
      <c r="B7203" t="s">
        <v>10016</v>
      </c>
      <c r="C7203">
        <v>5</v>
      </c>
      <c r="D7203">
        <v>3</v>
      </c>
      <c r="E7203">
        <v>15</v>
      </c>
      <c r="F7203" t="s">
        <v>10069</v>
      </c>
      <c r="G7203" t="s">
        <v>10102</v>
      </c>
      <c r="H7203" s="6" t="s">
        <v>10112</v>
      </c>
      <c r="I7203">
        <f t="shared" si="224"/>
        <v>1</v>
      </c>
      <c r="J7203" t="str">
        <f t="shared" si="225"/>
        <v>Incomplete</v>
      </c>
      <c r="K7203">
        <f>COUNTIFS(RawData[Item], B7203,RawData[Quantity],C7203,RawData[Price Per Unit],D7203,RawData[Total Spent],E7203,RawData[Payment Method],F7203,RawData[Location],G7203,RawData[Transaction Date],H7203)</f>
        <v>2</v>
      </c>
      <c r="L7203"/>
    </row>
    <row r="7204" spans="1:12" x14ac:dyDescent="0.3">
      <c r="A7204" t="s">
        <v>7210</v>
      </c>
      <c r="B7204" t="s">
        <v>10011</v>
      </c>
      <c r="C7204">
        <v>5</v>
      </c>
      <c r="D7204">
        <v>5</v>
      </c>
      <c r="E7204">
        <v>25</v>
      </c>
      <c r="F7204" t="s">
        <v>10019</v>
      </c>
      <c r="G7204" t="s">
        <v>10102</v>
      </c>
      <c r="H7204" s="6">
        <v>44931</v>
      </c>
      <c r="I7204">
        <f t="shared" si="224"/>
        <v>0</v>
      </c>
      <c r="J7204" t="str">
        <f t="shared" si="225"/>
        <v>Complete</v>
      </c>
      <c r="K7204">
        <f>COUNTIFS(RawData[Item], B7204,RawData[Quantity],C7204,RawData[Price Per Unit],D7204,RawData[Total Spent],E7204,RawData[Payment Method],F7204,RawData[Location],G7204,RawData[Transaction Date],H7204)</f>
        <v>1</v>
      </c>
      <c r="L7204"/>
    </row>
    <row r="7205" spans="1:12" x14ac:dyDescent="0.3">
      <c r="A7205" t="s">
        <v>7211</v>
      </c>
      <c r="B7205" t="s">
        <v>10014</v>
      </c>
      <c r="C7205">
        <v>2</v>
      </c>
      <c r="D7205">
        <v>4</v>
      </c>
      <c r="E7205">
        <v>8</v>
      </c>
      <c r="F7205" t="s">
        <v>10103</v>
      </c>
      <c r="G7205" t="s">
        <v>10069</v>
      </c>
      <c r="H7205" s="6">
        <v>45085</v>
      </c>
      <c r="I7205">
        <f t="shared" si="224"/>
        <v>1</v>
      </c>
      <c r="J7205" t="str">
        <f t="shared" si="225"/>
        <v>Complete</v>
      </c>
      <c r="K7205">
        <f>COUNTIFS(RawData[Item], B7205,RawData[Quantity],C7205,RawData[Price Per Unit],D7205,RawData[Total Spent],E7205,RawData[Payment Method],F7205,RawData[Location],G7205,RawData[Transaction Date],H7205)</f>
        <v>1</v>
      </c>
      <c r="L7205"/>
    </row>
    <row r="7206" spans="1:12" x14ac:dyDescent="0.3">
      <c r="A7206" t="s">
        <v>7212</v>
      </c>
      <c r="B7206" t="s">
        <v>10017</v>
      </c>
      <c r="C7206">
        <v>4</v>
      </c>
      <c r="D7206">
        <v>1.5</v>
      </c>
      <c r="E7206">
        <v>6</v>
      </c>
      <c r="F7206" t="s">
        <v>10020</v>
      </c>
      <c r="G7206" t="s">
        <v>10069</v>
      </c>
      <c r="H7206" s="6">
        <v>44937</v>
      </c>
      <c r="I7206">
        <f t="shared" si="224"/>
        <v>0</v>
      </c>
      <c r="J7206" t="str">
        <f t="shared" si="225"/>
        <v>Complete</v>
      </c>
      <c r="K7206">
        <f>COUNTIFS(RawData[Item], B7206,RawData[Quantity],C7206,RawData[Price Per Unit],D7206,RawData[Total Spent],E7206,RawData[Payment Method],F7206,RawData[Location],G7206,RawData[Transaction Date],H7206)</f>
        <v>1</v>
      </c>
      <c r="L7206"/>
    </row>
    <row r="7207" spans="1:12" x14ac:dyDescent="0.3">
      <c r="A7207" t="s">
        <v>7213</v>
      </c>
      <c r="B7207" t="s">
        <v>10014</v>
      </c>
      <c r="C7207">
        <v>5</v>
      </c>
      <c r="D7207">
        <v>4</v>
      </c>
      <c r="E7207">
        <v>20</v>
      </c>
      <c r="F7207" t="s">
        <v>10020</v>
      </c>
      <c r="G7207" t="s">
        <v>10102</v>
      </c>
      <c r="H7207" s="6">
        <v>45127</v>
      </c>
      <c r="I7207">
        <f t="shared" si="224"/>
        <v>0</v>
      </c>
      <c r="J7207" t="str">
        <f t="shared" si="225"/>
        <v>Complete</v>
      </c>
      <c r="K7207">
        <f>COUNTIFS(RawData[Item], B7207,RawData[Quantity],C7207,RawData[Price Per Unit],D7207,RawData[Total Spent],E7207,RawData[Payment Method],F7207,RawData[Location],G7207,RawData[Transaction Date],H7207)</f>
        <v>1</v>
      </c>
      <c r="L7207"/>
    </row>
    <row r="7208" spans="1:12" x14ac:dyDescent="0.3">
      <c r="A7208" t="s">
        <v>7214</v>
      </c>
      <c r="B7208" t="s">
        <v>10012</v>
      </c>
      <c r="C7208">
        <v>2</v>
      </c>
      <c r="D7208">
        <v>4</v>
      </c>
      <c r="E7208">
        <v>8</v>
      </c>
      <c r="F7208" t="s">
        <v>10104</v>
      </c>
      <c r="G7208" t="s">
        <v>10069</v>
      </c>
      <c r="H7208" s="6">
        <v>44968</v>
      </c>
      <c r="I7208">
        <f t="shared" si="224"/>
        <v>1</v>
      </c>
      <c r="J7208" t="str">
        <f t="shared" si="225"/>
        <v>Complete</v>
      </c>
      <c r="K7208">
        <f>COUNTIFS(RawData[Item], B7208,RawData[Quantity],C7208,RawData[Price Per Unit],D7208,RawData[Total Spent],E7208,RawData[Payment Method],F7208,RawData[Location],G7208,RawData[Transaction Date],H7208)</f>
        <v>1</v>
      </c>
      <c r="L7208"/>
    </row>
    <row r="7209" spans="1:12" x14ac:dyDescent="0.3">
      <c r="A7209" t="s">
        <v>7215</v>
      </c>
      <c r="B7209" t="s">
        <v>10011</v>
      </c>
      <c r="C7209">
        <v>5</v>
      </c>
      <c r="D7209">
        <v>5</v>
      </c>
      <c r="E7209">
        <v>25</v>
      </c>
      <c r="F7209" t="s">
        <v>10020</v>
      </c>
      <c r="G7209" t="s">
        <v>10069</v>
      </c>
      <c r="H7209" s="6">
        <v>45262</v>
      </c>
      <c r="I7209">
        <f t="shared" si="224"/>
        <v>0</v>
      </c>
      <c r="J7209" t="str">
        <f t="shared" si="225"/>
        <v>Complete</v>
      </c>
      <c r="K7209">
        <f>COUNTIFS(RawData[Item], B7209,RawData[Quantity],C7209,RawData[Price Per Unit],D7209,RawData[Total Spent],E7209,RawData[Payment Method],F7209,RawData[Location],G7209,RawData[Transaction Date],H7209)</f>
        <v>1</v>
      </c>
      <c r="L7209"/>
    </row>
    <row r="7210" spans="1:12" x14ac:dyDescent="0.3">
      <c r="A7210" t="s">
        <v>7216</v>
      </c>
      <c r="B7210" t="s">
        <v>10016</v>
      </c>
      <c r="C7210">
        <v>2</v>
      </c>
      <c r="D7210">
        <v>3</v>
      </c>
      <c r="E7210">
        <v>6</v>
      </c>
      <c r="F7210" t="s">
        <v>10019</v>
      </c>
      <c r="G7210" t="s">
        <v>10102</v>
      </c>
      <c r="H7210" s="6">
        <v>45033</v>
      </c>
      <c r="I7210">
        <f t="shared" si="224"/>
        <v>0</v>
      </c>
      <c r="J7210" t="str">
        <f t="shared" si="225"/>
        <v>Complete</v>
      </c>
      <c r="K7210">
        <f>COUNTIFS(RawData[Item], B7210,RawData[Quantity],C7210,RawData[Price Per Unit],D7210,RawData[Total Spent],E7210,RawData[Payment Method],F7210,RawData[Location],G7210,RawData[Transaction Date],H7210)</f>
        <v>1</v>
      </c>
      <c r="L7210"/>
    </row>
    <row r="7211" spans="1:12" x14ac:dyDescent="0.3">
      <c r="A7211" t="s">
        <v>7217</v>
      </c>
      <c r="B7211" t="s">
        <v>10008</v>
      </c>
      <c r="C7211">
        <v>4</v>
      </c>
      <c r="D7211">
        <v>2</v>
      </c>
      <c r="E7211" t="s">
        <v>10013</v>
      </c>
      <c r="F7211" t="s">
        <v>10020</v>
      </c>
      <c r="G7211" t="s">
        <v>10102</v>
      </c>
      <c r="H7211" s="6">
        <v>44977</v>
      </c>
      <c r="I7211">
        <f t="shared" si="224"/>
        <v>1</v>
      </c>
      <c r="J7211" t="str">
        <f t="shared" si="225"/>
        <v>Complete</v>
      </c>
      <c r="K7211">
        <f>COUNTIFS(RawData[Item], B7211,RawData[Quantity],C7211,RawData[Price Per Unit],D7211,RawData[Total Spent],E7211,RawData[Payment Method],F7211,RawData[Location],G7211,RawData[Transaction Date],H7211)</f>
        <v>1</v>
      </c>
      <c r="L7211"/>
    </row>
    <row r="7212" spans="1:12" x14ac:dyDescent="0.3">
      <c r="A7212" t="s">
        <v>7218</v>
      </c>
      <c r="B7212" t="s">
        <v>10012</v>
      </c>
      <c r="C7212">
        <v>2</v>
      </c>
      <c r="D7212">
        <v>4</v>
      </c>
      <c r="E7212">
        <v>8</v>
      </c>
      <c r="F7212" t="s">
        <v>10069</v>
      </c>
      <c r="G7212" t="s">
        <v>10102</v>
      </c>
      <c r="H7212" s="6">
        <v>45067</v>
      </c>
      <c r="I7212">
        <f t="shared" si="224"/>
        <v>0</v>
      </c>
      <c r="J7212" t="str">
        <f t="shared" si="225"/>
        <v>Complete</v>
      </c>
      <c r="K7212">
        <f>COUNTIFS(RawData[Item], B7212,RawData[Quantity],C7212,RawData[Price Per Unit],D7212,RawData[Total Spent],E7212,RawData[Payment Method],F7212,RawData[Location],G7212,RawData[Transaction Date],H7212)</f>
        <v>1</v>
      </c>
      <c r="L7212"/>
    </row>
    <row r="7213" spans="1:12" x14ac:dyDescent="0.3">
      <c r="A7213" t="s">
        <v>7219</v>
      </c>
      <c r="B7213" t="s">
        <v>10016</v>
      </c>
      <c r="C7213">
        <v>5</v>
      </c>
      <c r="D7213">
        <v>3</v>
      </c>
      <c r="E7213">
        <v>15</v>
      </c>
      <c r="F7213" t="s">
        <v>10020</v>
      </c>
      <c r="G7213" t="s">
        <v>10021</v>
      </c>
      <c r="H7213" s="6">
        <v>45151</v>
      </c>
      <c r="I7213">
        <f t="shared" si="224"/>
        <v>0</v>
      </c>
      <c r="J7213" t="str">
        <f t="shared" si="225"/>
        <v>Complete</v>
      </c>
      <c r="K7213">
        <f>COUNTIFS(RawData[Item], B7213,RawData[Quantity],C7213,RawData[Price Per Unit],D7213,RawData[Total Spent],E7213,RawData[Payment Method],F7213,RawData[Location],G7213,RawData[Transaction Date],H7213)</f>
        <v>1</v>
      </c>
      <c r="L7213"/>
    </row>
    <row r="7214" spans="1:12" x14ac:dyDescent="0.3">
      <c r="A7214" t="s">
        <v>7220</v>
      </c>
      <c r="B7214" t="s">
        <v>10014</v>
      </c>
      <c r="C7214">
        <v>3</v>
      </c>
      <c r="D7214">
        <v>4</v>
      </c>
      <c r="E7214">
        <v>12</v>
      </c>
      <c r="F7214" t="s">
        <v>10018</v>
      </c>
      <c r="G7214" t="s">
        <v>10102</v>
      </c>
      <c r="H7214" s="6">
        <v>45275</v>
      </c>
      <c r="I7214">
        <f t="shared" si="224"/>
        <v>0</v>
      </c>
      <c r="J7214" t="str">
        <f t="shared" si="225"/>
        <v>Complete</v>
      </c>
      <c r="K7214">
        <f>COUNTIFS(RawData[Item], B7214,RawData[Quantity],C7214,RawData[Price Per Unit],D7214,RawData[Total Spent],E7214,RawData[Payment Method],F7214,RawData[Location],G7214,RawData[Transaction Date],H7214)</f>
        <v>1</v>
      </c>
      <c r="L7214"/>
    </row>
    <row r="7215" spans="1:12" x14ac:dyDescent="0.3">
      <c r="A7215" t="s">
        <v>7221</v>
      </c>
      <c r="B7215" t="s">
        <v>10016</v>
      </c>
      <c r="C7215">
        <v>2</v>
      </c>
      <c r="D7215">
        <v>3</v>
      </c>
      <c r="E7215">
        <v>6</v>
      </c>
      <c r="F7215" t="s">
        <v>10019</v>
      </c>
      <c r="G7215" t="s">
        <v>10069</v>
      </c>
      <c r="H7215" s="6">
        <v>45158</v>
      </c>
      <c r="I7215">
        <f t="shared" si="224"/>
        <v>0</v>
      </c>
      <c r="J7215" t="str">
        <f t="shared" si="225"/>
        <v>Complete</v>
      </c>
      <c r="K7215">
        <f>COUNTIFS(RawData[Item], B7215,RawData[Quantity],C7215,RawData[Price Per Unit],D7215,RawData[Total Spent],E7215,RawData[Payment Method],F7215,RawData[Location],G7215,RawData[Transaction Date],H7215)</f>
        <v>1</v>
      </c>
      <c r="L7215"/>
    </row>
    <row r="7216" spans="1:12" x14ac:dyDescent="0.3">
      <c r="A7216" t="s">
        <v>7222</v>
      </c>
      <c r="B7216" t="s">
        <v>10010</v>
      </c>
      <c r="C7216">
        <v>4</v>
      </c>
      <c r="D7216">
        <v>1</v>
      </c>
      <c r="E7216">
        <v>4</v>
      </c>
      <c r="F7216" t="s">
        <v>10019</v>
      </c>
      <c r="G7216" t="s">
        <v>10102</v>
      </c>
      <c r="H7216" s="6">
        <v>45090</v>
      </c>
      <c r="I7216">
        <f t="shared" si="224"/>
        <v>0</v>
      </c>
      <c r="J7216" t="str">
        <f t="shared" si="225"/>
        <v>Complete</v>
      </c>
      <c r="K7216">
        <f>COUNTIFS(RawData[Item], B7216,RawData[Quantity],C7216,RawData[Price Per Unit],D7216,RawData[Total Spent],E7216,RawData[Payment Method],F7216,RawData[Location],G7216,RawData[Transaction Date],H7216)</f>
        <v>1</v>
      </c>
      <c r="L7216"/>
    </row>
    <row r="7217" spans="1:12" x14ac:dyDescent="0.3">
      <c r="A7217" t="s">
        <v>7223</v>
      </c>
      <c r="B7217" t="s">
        <v>10010</v>
      </c>
      <c r="C7217">
        <v>3</v>
      </c>
      <c r="D7217">
        <v>1</v>
      </c>
      <c r="E7217">
        <v>3</v>
      </c>
      <c r="F7217" t="s">
        <v>10020</v>
      </c>
      <c r="G7217" t="s">
        <v>10102</v>
      </c>
      <c r="H7217" s="6">
        <v>45235</v>
      </c>
      <c r="I7217">
        <f t="shared" si="224"/>
        <v>0</v>
      </c>
      <c r="J7217" t="str">
        <f t="shared" si="225"/>
        <v>Complete</v>
      </c>
      <c r="K7217">
        <f>COUNTIFS(RawData[Item], B7217,RawData[Quantity],C7217,RawData[Price Per Unit],D7217,RawData[Total Spent],E7217,RawData[Payment Method],F7217,RawData[Location],G7217,RawData[Transaction Date],H7217)</f>
        <v>1</v>
      </c>
      <c r="L7217"/>
    </row>
    <row r="7218" spans="1:12" x14ac:dyDescent="0.3">
      <c r="A7218" t="s">
        <v>7224</v>
      </c>
      <c r="B7218" t="s">
        <v>10016</v>
      </c>
      <c r="C7218">
        <v>4</v>
      </c>
      <c r="D7218">
        <v>3</v>
      </c>
      <c r="E7218">
        <v>12</v>
      </c>
      <c r="F7218" t="s">
        <v>10019</v>
      </c>
      <c r="G7218" t="s">
        <v>10069</v>
      </c>
      <c r="H7218" s="6">
        <v>45245</v>
      </c>
      <c r="I7218">
        <f t="shared" si="224"/>
        <v>0</v>
      </c>
      <c r="J7218" t="str">
        <f t="shared" si="225"/>
        <v>Complete</v>
      </c>
      <c r="K7218">
        <f>COUNTIFS(RawData[Item], B7218,RawData[Quantity],C7218,RawData[Price Per Unit],D7218,RawData[Total Spent],E7218,RawData[Payment Method],F7218,RawData[Location],G7218,RawData[Transaction Date],H7218)</f>
        <v>1</v>
      </c>
      <c r="L7218"/>
    </row>
    <row r="7219" spans="1:12" x14ac:dyDescent="0.3">
      <c r="A7219" t="s">
        <v>7225</v>
      </c>
      <c r="B7219" t="s">
        <v>10014</v>
      </c>
      <c r="C7219">
        <v>1</v>
      </c>
      <c r="D7219">
        <v>4</v>
      </c>
      <c r="E7219">
        <v>4</v>
      </c>
      <c r="F7219" t="s">
        <v>10019</v>
      </c>
      <c r="G7219" t="s">
        <v>10069</v>
      </c>
      <c r="H7219" s="6">
        <v>45037</v>
      </c>
      <c r="I7219">
        <f t="shared" si="224"/>
        <v>0</v>
      </c>
      <c r="J7219" t="str">
        <f t="shared" si="225"/>
        <v>Complete</v>
      </c>
      <c r="K7219">
        <f>COUNTIFS(RawData[Item], B7219,RawData[Quantity],C7219,RawData[Price Per Unit],D7219,RawData[Total Spent],E7219,RawData[Payment Method],F7219,RawData[Location],G7219,RawData[Transaction Date],H7219)</f>
        <v>1</v>
      </c>
      <c r="L7219"/>
    </row>
    <row r="7220" spans="1:12" x14ac:dyDescent="0.3">
      <c r="A7220" t="s">
        <v>7226</v>
      </c>
      <c r="B7220" t="s">
        <v>10016</v>
      </c>
      <c r="C7220">
        <v>1</v>
      </c>
      <c r="D7220">
        <v>3</v>
      </c>
      <c r="E7220">
        <v>3</v>
      </c>
      <c r="F7220" t="s">
        <v>10020</v>
      </c>
      <c r="G7220" t="s">
        <v>10102</v>
      </c>
      <c r="H7220" s="6">
        <v>45054</v>
      </c>
      <c r="I7220">
        <f t="shared" si="224"/>
        <v>0</v>
      </c>
      <c r="J7220" t="str">
        <f t="shared" si="225"/>
        <v>Complete</v>
      </c>
      <c r="K7220">
        <f>COUNTIFS(RawData[Item], B7220,RawData[Quantity],C7220,RawData[Price Per Unit],D7220,RawData[Total Spent],E7220,RawData[Payment Method],F7220,RawData[Location],G7220,RawData[Transaction Date],H7220)</f>
        <v>1</v>
      </c>
      <c r="L7220"/>
    </row>
    <row r="7221" spans="1:12" x14ac:dyDescent="0.3">
      <c r="A7221" t="s">
        <v>7227</v>
      </c>
      <c r="B7221" t="s">
        <v>10014</v>
      </c>
      <c r="C7221">
        <v>0</v>
      </c>
      <c r="D7221">
        <v>4</v>
      </c>
      <c r="E7221">
        <v>12</v>
      </c>
      <c r="F7221" t="s">
        <v>10019</v>
      </c>
      <c r="G7221" t="s">
        <v>10021</v>
      </c>
      <c r="H7221" s="6">
        <v>45047</v>
      </c>
      <c r="I7221">
        <f t="shared" si="224"/>
        <v>0</v>
      </c>
      <c r="J7221" t="str">
        <f t="shared" si="225"/>
        <v>Complete</v>
      </c>
      <c r="K7221">
        <f>COUNTIFS(RawData[Item], B7221,RawData[Quantity],C7221,RawData[Price Per Unit],D7221,RawData[Total Spent],E7221,RawData[Payment Method],F7221,RawData[Location],G7221,RawData[Transaction Date],H7221)</f>
        <v>1</v>
      </c>
      <c r="L7221"/>
    </row>
    <row r="7222" spans="1:12" x14ac:dyDescent="0.3">
      <c r="A7222" t="s">
        <v>7228</v>
      </c>
      <c r="B7222" t="s">
        <v>10008</v>
      </c>
      <c r="C7222">
        <v>2</v>
      </c>
      <c r="D7222">
        <v>2</v>
      </c>
      <c r="E7222">
        <v>4</v>
      </c>
      <c r="F7222" t="s">
        <v>10020</v>
      </c>
      <c r="G7222" t="s">
        <v>10021</v>
      </c>
      <c r="H7222" s="6">
        <v>45128</v>
      </c>
      <c r="I7222">
        <f t="shared" si="224"/>
        <v>0</v>
      </c>
      <c r="J7222" t="str">
        <f t="shared" si="225"/>
        <v>Complete</v>
      </c>
      <c r="K7222">
        <f>COUNTIFS(RawData[Item], B7222,RawData[Quantity],C7222,RawData[Price Per Unit],D7222,RawData[Total Spent],E7222,RawData[Payment Method],F7222,RawData[Location],G7222,RawData[Transaction Date],H7222)</f>
        <v>1</v>
      </c>
      <c r="L7222"/>
    </row>
    <row r="7223" spans="1:12" x14ac:dyDescent="0.3">
      <c r="A7223" t="s">
        <v>7229</v>
      </c>
      <c r="B7223" t="s">
        <v>10008</v>
      </c>
      <c r="C7223">
        <v>4</v>
      </c>
      <c r="D7223">
        <v>2</v>
      </c>
      <c r="E7223">
        <v>8</v>
      </c>
      <c r="F7223" t="s">
        <v>10018</v>
      </c>
      <c r="G7223" t="s">
        <v>10021</v>
      </c>
      <c r="H7223" s="6">
        <v>45228</v>
      </c>
      <c r="I7223">
        <f t="shared" si="224"/>
        <v>0</v>
      </c>
      <c r="J7223" t="str">
        <f t="shared" si="225"/>
        <v>Complete</v>
      </c>
      <c r="K7223">
        <f>COUNTIFS(RawData[Item], B7223,RawData[Quantity],C7223,RawData[Price Per Unit],D7223,RawData[Total Spent],E7223,RawData[Payment Method],F7223,RawData[Location],G7223,RawData[Transaction Date],H7223)</f>
        <v>1</v>
      </c>
      <c r="L7223"/>
    </row>
    <row r="7224" spans="1:12" x14ac:dyDescent="0.3">
      <c r="A7224" t="s">
        <v>7230</v>
      </c>
      <c r="B7224" t="s">
        <v>10016</v>
      </c>
      <c r="C7224">
        <v>4</v>
      </c>
      <c r="D7224">
        <v>3</v>
      </c>
      <c r="E7224">
        <v>12</v>
      </c>
      <c r="F7224" t="s">
        <v>10018</v>
      </c>
      <c r="G7224" t="s">
        <v>10102</v>
      </c>
      <c r="H7224" s="6">
        <v>45105</v>
      </c>
      <c r="I7224">
        <f t="shared" si="224"/>
        <v>0</v>
      </c>
      <c r="J7224" t="str">
        <f t="shared" si="225"/>
        <v>Complete</v>
      </c>
      <c r="K7224">
        <f>COUNTIFS(RawData[Item], B7224,RawData[Quantity],C7224,RawData[Price Per Unit],D7224,RawData[Total Spent],E7224,RawData[Payment Method],F7224,RawData[Location],G7224,RawData[Transaction Date],H7224)</f>
        <v>1</v>
      </c>
      <c r="L7224"/>
    </row>
    <row r="7225" spans="1:12" x14ac:dyDescent="0.3">
      <c r="A7225" t="s">
        <v>7231</v>
      </c>
      <c r="B7225" t="s">
        <v>10011</v>
      </c>
      <c r="C7225" t="s">
        <v>10015</v>
      </c>
      <c r="D7225">
        <v>5</v>
      </c>
      <c r="E7225">
        <v>25</v>
      </c>
      <c r="F7225" t="s">
        <v>10019</v>
      </c>
      <c r="G7225" t="s">
        <v>10069</v>
      </c>
      <c r="H7225" s="6">
        <v>45106</v>
      </c>
      <c r="I7225">
        <f t="shared" si="224"/>
        <v>1</v>
      </c>
      <c r="J7225" t="str">
        <f t="shared" si="225"/>
        <v>Complete</v>
      </c>
      <c r="K7225">
        <f>COUNTIFS(RawData[Item], B7225,RawData[Quantity],C7225,RawData[Price Per Unit],D7225,RawData[Total Spent],E7225,RawData[Payment Method],F7225,RawData[Location],G7225,RawData[Transaction Date],H7225)</f>
        <v>1</v>
      </c>
      <c r="L7225"/>
    </row>
    <row r="7226" spans="1:12" x14ac:dyDescent="0.3">
      <c r="A7226" t="s">
        <v>7232</v>
      </c>
      <c r="B7226" t="s">
        <v>10017</v>
      </c>
      <c r="C7226">
        <v>3</v>
      </c>
      <c r="D7226">
        <v>1.5</v>
      </c>
      <c r="E7226">
        <v>4.5</v>
      </c>
      <c r="F7226" t="s">
        <v>10019</v>
      </c>
      <c r="G7226" t="s">
        <v>10104</v>
      </c>
      <c r="H7226" s="6">
        <v>45093</v>
      </c>
      <c r="I7226">
        <f t="shared" si="224"/>
        <v>1</v>
      </c>
      <c r="J7226" t="str">
        <f t="shared" si="225"/>
        <v>Complete</v>
      </c>
      <c r="K7226">
        <f>COUNTIFS(RawData[Item], B7226,RawData[Quantity],C7226,RawData[Price Per Unit],D7226,RawData[Total Spent],E7226,RawData[Payment Method],F7226,RawData[Location],G7226,RawData[Transaction Date],H7226)</f>
        <v>1</v>
      </c>
      <c r="L7226"/>
    </row>
    <row r="7227" spans="1:12" x14ac:dyDescent="0.3">
      <c r="A7227" t="s">
        <v>7233</v>
      </c>
      <c r="B7227" t="s">
        <v>10017</v>
      </c>
      <c r="C7227">
        <v>2</v>
      </c>
      <c r="D7227">
        <v>1.5</v>
      </c>
      <c r="E7227">
        <v>3</v>
      </c>
      <c r="F7227" t="s">
        <v>10069</v>
      </c>
      <c r="G7227" t="s">
        <v>10069</v>
      </c>
      <c r="H7227" s="6">
        <v>45109</v>
      </c>
      <c r="I7227">
        <f t="shared" si="224"/>
        <v>0</v>
      </c>
      <c r="J7227" t="str">
        <f t="shared" si="225"/>
        <v>Complete</v>
      </c>
      <c r="K7227">
        <f>COUNTIFS(RawData[Item], B7227,RawData[Quantity],C7227,RawData[Price Per Unit],D7227,RawData[Total Spent],E7227,RawData[Payment Method],F7227,RawData[Location],G7227,RawData[Transaction Date],H7227)</f>
        <v>2</v>
      </c>
      <c r="L7227"/>
    </row>
    <row r="7228" spans="1:12" x14ac:dyDescent="0.3">
      <c r="A7228" t="s">
        <v>7234</v>
      </c>
      <c r="B7228" t="s">
        <v>10015</v>
      </c>
      <c r="C7228">
        <v>3</v>
      </c>
      <c r="D7228">
        <v>4</v>
      </c>
      <c r="E7228">
        <v>12</v>
      </c>
      <c r="F7228" t="s">
        <v>10020</v>
      </c>
      <c r="G7228" t="s">
        <v>10069</v>
      </c>
      <c r="H7228" s="6">
        <v>45195</v>
      </c>
      <c r="I7228">
        <f t="shared" si="224"/>
        <v>1</v>
      </c>
      <c r="J7228" t="str">
        <f t="shared" si="225"/>
        <v>Complete</v>
      </c>
      <c r="K7228">
        <f>COUNTIFS(RawData[Item], B7228,RawData[Quantity],C7228,RawData[Price Per Unit],D7228,RawData[Total Spent],E7228,RawData[Payment Method],F7228,RawData[Location],G7228,RawData[Transaction Date],H7228)</f>
        <v>1</v>
      </c>
      <c r="L7228"/>
    </row>
    <row r="7229" spans="1:12" x14ac:dyDescent="0.3">
      <c r="A7229" t="s">
        <v>7235</v>
      </c>
      <c r="B7229" t="s">
        <v>10013</v>
      </c>
      <c r="C7229">
        <v>2</v>
      </c>
      <c r="D7229">
        <v>4</v>
      </c>
      <c r="E7229">
        <v>8</v>
      </c>
      <c r="F7229" t="s">
        <v>10104</v>
      </c>
      <c r="G7229" t="s">
        <v>10069</v>
      </c>
      <c r="H7229" s="6">
        <v>45220</v>
      </c>
      <c r="I7229">
        <f t="shared" si="224"/>
        <v>2</v>
      </c>
      <c r="J7229" t="str">
        <f t="shared" si="225"/>
        <v>Complete</v>
      </c>
      <c r="K7229">
        <f>COUNTIFS(RawData[Item], B7229,RawData[Quantity],C7229,RawData[Price Per Unit],D7229,RawData[Total Spent],E7229,RawData[Payment Method],F7229,RawData[Location],G7229,RawData[Transaction Date],H7229)</f>
        <v>1</v>
      </c>
      <c r="L7229"/>
    </row>
    <row r="7230" spans="1:12" x14ac:dyDescent="0.3">
      <c r="A7230" t="s">
        <v>7236</v>
      </c>
      <c r="B7230" t="s">
        <v>10009</v>
      </c>
      <c r="C7230">
        <v>3</v>
      </c>
      <c r="D7230">
        <v>3</v>
      </c>
      <c r="E7230">
        <v>9</v>
      </c>
      <c r="F7230" t="s">
        <v>10069</v>
      </c>
      <c r="G7230" t="s">
        <v>10102</v>
      </c>
      <c r="H7230" s="6">
        <v>45128</v>
      </c>
      <c r="I7230">
        <f t="shared" si="224"/>
        <v>0</v>
      </c>
      <c r="J7230" t="str">
        <f t="shared" si="225"/>
        <v>Complete</v>
      </c>
      <c r="K7230">
        <f>COUNTIFS(RawData[Item], B7230,RawData[Quantity],C7230,RawData[Price Per Unit],D7230,RawData[Total Spent],E7230,RawData[Payment Method],F7230,RawData[Location],G7230,RawData[Transaction Date],H7230)</f>
        <v>1</v>
      </c>
      <c r="L7230"/>
    </row>
    <row r="7231" spans="1:12" x14ac:dyDescent="0.3">
      <c r="A7231" t="s">
        <v>7237</v>
      </c>
      <c r="B7231" t="s">
        <v>10016</v>
      </c>
      <c r="C7231">
        <v>5</v>
      </c>
      <c r="D7231">
        <v>3</v>
      </c>
      <c r="E7231">
        <v>15</v>
      </c>
      <c r="F7231" t="s">
        <v>10019</v>
      </c>
      <c r="G7231" t="s">
        <v>10069</v>
      </c>
      <c r="H7231" s="6">
        <v>45183</v>
      </c>
      <c r="I7231">
        <f t="shared" si="224"/>
        <v>0</v>
      </c>
      <c r="J7231" t="str">
        <f t="shared" si="225"/>
        <v>Complete</v>
      </c>
      <c r="K7231">
        <f>COUNTIFS(RawData[Item], B7231,RawData[Quantity],C7231,RawData[Price Per Unit],D7231,RawData[Total Spent],E7231,RawData[Payment Method],F7231,RawData[Location],G7231,RawData[Transaction Date],H7231)</f>
        <v>1</v>
      </c>
      <c r="L7231"/>
    </row>
    <row r="7232" spans="1:12" x14ac:dyDescent="0.3">
      <c r="A7232" t="s">
        <v>7238</v>
      </c>
      <c r="B7232" t="s">
        <v>10010</v>
      </c>
      <c r="C7232">
        <v>2</v>
      </c>
      <c r="D7232" t="s">
        <v>10015</v>
      </c>
      <c r="E7232" t="s">
        <v>10015</v>
      </c>
      <c r="F7232" t="s">
        <v>10019</v>
      </c>
      <c r="G7232" t="s">
        <v>10021</v>
      </c>
      <c r="H7232" s="6">
        <v>45039</v>
      </c>
      <c r="I7232">
        <f t="shared" si="224"/>
        <v>2</v>
      </c>
      <c r="J7232" t="str">
        <f t="shared" si="225"/>
        <v>Complete</v>
      </c>
      <c r="K7232">
        <f>COUNTIFS(RawData[Item], B7232,RawData[Quantity],C7232,RawData[Price Per Unit],D7232,RawData[Total Spent],E7232,RawData[Payment Method],F7232,RawData[Location],G7232,RawData[Transaction Date],H7232)</f>
        <v>1</v>
      </c>
      <c r="L7232"/>
    </row>
    <row r="7233" spans="1:12" x14ac:dyDescent="0.3">
      <c r="A7233" t="s">
        <v>7239</v>
      </c>
      <c r="B7233" t="s">
        <v>10015</v>
      </c>
      <c r="C7233">
        <v>1</v>
      </c>
      <c r="D7233">
        <v>5</v>
      </c>
      <c r="E7233">
        <v>5</v>
      </c>
      <c r="F7233" t="s">
        <v>10019</v>
      </c>
      <c r="G7233" t="s">
        <v>10102</v>
      </c>
      <c r="H7233" s="6">
        <v>45167</v>
      </c>
      <c r="I7233">
        <f t="shared" si="224"/>
        <v>1</v>
      </c>
      <c r="J7233" t="str">
        <f t="shared" si="225"/>
        <v>Complete</v>
      </c>
      <c r="K7233">
        <f>COUNTIFS(RawData[Item], B7233,RawData[Quantity],C7233,RawData[Price Per Unit],D7233,RawData[Total Spent],E7233,RawData[Payment Method],F7233,RawData[Location],G7233,RawData[Transaction Date],H7233)</f>
        <v>1</v>
      </c>
      <c r="L7233"/>
    </row>
    <row r="7234" spans="1:12" x14ac:dyDescent="0.3">
      <c r="A7234" t="s">
        <v>7240</v>
      </c>
      <c r="B7234" t="s">
        <v>10011</v>
      </c>
      <c r="C7234">
        <v>5</v>
      </c>
      <c r="D7234">
        <v>5</v>
      </c>
      <c r="E7234">
        <v>25</v>
      </c>
      <c r="F7234" t="s">
        <v>10069</v>
      </c>
      <c r="G7234" t="s">
        <v>10102</v>
      </c>
      <c r="H7234" s="6">
        <v>45250</v>
      </c>
      <c r="I7234">
        <f t="shared" ref="I7234:I7297" si="226">(B7234="Unknown")+(B7234="Error")+(C7234="Unknown")+(C7234="Error")+(D7234="Unknown")+(D7234="Error")+(E7234="Unknown")+(E7234="Error")+(F7234="Unknown")+(F7234="Error")+(G7234="Unknown")+(G7234="Error")+(H7234="No Date")</f>
        <v>0</v>
      </c>
      <c r="J7234" t="str">
        <f t="shared" ref="J7234:J7297" si="227">IF((H7234="No Date"),"Incomplete","Complete")</f>
        <v>Complete</v>
      </c>
      <c r="K7234">
        <f>COUNTIFS(RawData[Item], B7234,RawData[Quantity],C7234,RawData[Price Per Unit],D7234,RawData[Total Spent],E7234,RawData[Payment Method],F7234,RawData[Location],G7234,RawData[Transaction Date],H7234)</f>
        <v>1</v>
      </c>
      <c r="L7234"/>
    </row>
    <row r="7235" spans="1:12" x14ac:dyDescent="0.3">
      <c r="A7235" t="s">
        <v>7241</v>
      </c>
      <c r="B7235" t="s">
        <v>10069</v>
      </c>
      <c r="C7235">
        <v>1</v>
      </c>
      <c r="D7235">
        <v>2</v>
      </c>
      <c r="E7235">
        <v>2</v>
      </c>
      <c r="F7235" t="s">
        <v>10018</v>
      </c>
      <c r="G7235" t="s">
        <v>10069</v>
      </c>
      <c r="H7235" s="6">
        <v>45262</v>
      </c>
      <c r="I7235">
        <f t="shared" si="226"/>
        <v>0</v>
      </c>
      <c r="J7235" t="str">
        <f t="shared" si="227"/>
        <v>Complete</v>
      </c>
      <c r="K7235">
        <f>COUNTIFS(RawData[Item], B7235,RawData[Quantity],C7235,RawData[Price Per Unit],D7235,RawData[Total Spent],E7235,RawData[Payment Method],F7235,RawData[Location],G7235,RawData[Transaction Date],H7235)</f>
        <v>1</v>
      </c>
      <c r="L7235"/>
    </row>
    <row r="7236" spans="1:12" x14ac:dyDescent="0.3">
      <c r="A7236" t="s">
        <v>7242</v>
      </c>
      <c r="B7236" t="s">
        <v>10012</v>
      </c>
      <c r="C7236">
        <v>5</v>
      </c>
      <c r="D7236">
        <v>4</v>
      </c>
      <c r="E7236">
        <v>20</v>
      </c>
      <c r="F7236" t="s">
        <v>10020</v>
      </c>
      <c r="G7236" t="s">
        <v>10021</v>
      </c>
      <c r="H7236" s="6">
        <v>45005</v>
      </c>
      <c r="I7236">
        <f t="shared" si="226"/>
        <v>0</v>
      </c>
      <c r="J7236" t="str">
        <f t="shared" si="227"/>
        <v>Complete</v>
      </c>
      <c r="K7236">
        <f>COUNTIFS(RawData[Item], B7236,RawData[Quantity],C7236,RawData[Price Per Unit],D7236,RawData[Total Spent],E7236,RawData[Payment Method],F7236,RawData[Location],G7236,RawData[Transaction Date],H7236)</f>
        <v>1</v>
      </c>
      <c r="L7236"/>
    </row>
    <row r="7237" spans="1:12" x14ac:dyDescent="0.3">
      <c r="A7237" t="s">
        <v>7243</v>
      </c>
      <c r="B7237" t="s">
        <v>10012</v>
      </c>
      <c r="C7237">
        <v>4</v>
      </c>
      <c r="D7237">
        <v>4</v>
      </c>
      <c r="E7237">
        <v>16</v>
      </c>
      <c r="F7237" t="s">
        <v>10019</v>
      </c>
      <c r="G7237" t="s">
        <v>10069</v>
      </c>
      <c r="H7237" s="6">
        <v>45175</v>
      </c>
      <c r="I7237">
        <f t="shared" si="226"/>
        <v>0</v>
      </c>
      <c r="J7237" t="str">
        <f t="shared" si="227"/>
        <v>Complete</v>
      </c>
      <c r="K7237">
        <f>COUNTIFS(RawData[Item], B7237,RawData[Quantity],C7237,RawData[Price Per Unit],D7237,RawData[Total Spent],E7237,RawData[Payment Method],F7237,RawData[Location],G7237,RawData[Transaction Date],H7237)</f>
        <v>1</v>
      </c>
      <c r="L7237"/>
    </row>
    <row r="7238" spans="1:12" x14ac:dyDescent="0.3">
      <c r="A7238" t="s">
        <v>7244</v>
      </c>
      <c r="B7238" t="s">
        <v>10016</v>
      </c>
      <c r="C7238">
        <v>4</v>
      </c>
      <c r="D7238">
        <v>3</v>
      </c>
      <c r="E7238">
        <v>12</v>
      </c>
      <c r="F7238" t="s">
        <v>10020</v>
      </c>
      <c r="G7238" t="s">
        <v>10102</v>
      </c>
      <c r="H7238" s="6">
        <v>45194</v>
      </c>
      <c r="I7238">
        <f t="shared" si="226"/>
        <v>0</v>
      </c>
      <c r="J7238" t="str">
        <f t="shared" si="227"/>
        <v>Complete</v>
      </c>
      <c r="K7238">
        <f>COUNTIFS(RawData[Item], B7238,RawData[Quantity],C7238,RawData[Price Per Unit],D7238,RawData[Total Spent],E7238,RawData[Payment Method],F7238,RawData[Location],G7238,RawData[Transaction Date],H7238)</f>
        <v>1</v>
      </c>
      <c r="L7238"/>
    </row>
    <row r="7239" spans="1:12" x14ac:dyDescent="0.3">
      <c r="A7239" t="s">
        <v>7245</v>
      </c>
      <c r="B7239" t="s">
        <v>10011</v>
      </c>
      <c r="C7239">
        <v>3</v>
      </c>
      <c r="D7239">
        <v>5</v>
      </c>
      <c r="E7239">
        <v>15</v>
      </c>
      <c r="F7239" t="s">
        <v>10020</v>
      </c>
      <c r="G7239" t="s">
        <v>10102</v>
      </c>
      <c r="H7239" s="6">
        <v>45218</v>
      </c>
      <c r="I7239">
        <f t="shared" si="226"/>
        <v>0</v>
      </c>
      <c r="J7239" t="str">
        <f t="shared" si="227"/>
        <v>Complete</v>
      </c>
      <c r="K7239">
        <f>COUNTIFS(RawData[Item], B7239,RawData[Quantity],C7239,RawData[Price Per Unit],D7239,RawData[Total Spent],E7239,RawData[Payment Method],F7239,RawData[Location],G7239,RawData[Transaction Date],H7239)</f>
        <v>1</v>
      </c>
      <c r="L7239"/>
    </row>
    <row r="7240" spans="1:12" x14ac:dyDescent="0.3">
      <c r="A7240" t="s">
        <v>7246</v>
      </c>
      <c r="B7240" t="s">
        <v>10011</v>
      </c>
      <c r="C7240">
        <v>5</v>
      </c>
      <c r="D7240">
        <v>5</v>
      </c>
      <c r="E7240">
        <v>25</v>
      </c>
      <c r="F7240" t="s">
        <v>10018</v>
      </c>
      <c r="G7240" t="s">
        <v>10021</v>
      </c>
      <c r="H7240" s="6">
        <v>45004</v>
      </c>
      <c r="I7240">
        <f t="shared" si="226"/>
        <v>0</v>
      </c>
      <c r="J7240" t="str">
        <f t="shared" si="227"/>
        <v>Complete</v>
      </c>
      <c r="K7240">
        <f>COUNTIFS(RawData[Item], B7240,RawData[Quantity],C7240,RawData[Price Per Unit],D7240,RawData[Total Spent],E7240,RawData[Payment Method],F7240,RawData[Location],G7240,RawData[Transaction Date],H7240)</f>
        <v>2</v>
      </c>
      <c r="L7240"/>
    </row>
    <row r="7241" spans="1:12" x14ac:dyDescent="0.3">
      <c r="A7241" t="s">
        <v>7247</v>
      </c>
      <c r="B7241" t="s">
        <v>10014</v>
      </c>
      <c r="C7241">
        <v>2</v>
      </c>
      <c r="D7241">
        <v>4</v>
      </c>
      <c r="E7241">
        <v>8</v>
      </c>
      <c r="F7241" t="s">
        <v>10020</v>
      </c>
      <c r="G7241" t="s">
        <v>10102</v>
      </c>
      <c r="H7241" s="6">
        <v>45175</v>
      </c>
      <c r="I7241">
        <f t="shared" si="226"/>
        <v>0</v>
      </c>
      <c r="J7241" t="str">
        <f t="shared" si="227"/>
        <v>Complete</v>
      </c>
      <c r="K7241">
        <f>COUNTIFS(RawData[Item], B7241,RawData[Quantity],C7241,RawData[Price Per Unit],D7241,RawData[Total Spent],E7241,RawData[Payment Method],F7241,RawData[Location],G7241,RawData[Transaction Date],H7241)</f>
        <v>1</v>
      </c>
      <c r="L7241"/>
    </row>
    <row r="7242" spans="1:12" x14ac:dyDescent="0.3">
      <c r="A7242" t="s">
        <v>7248</v>
      </c>
      <c r="B7242" t="s">
        <v>10017</v>
      </c>
      <c r="C7242">
        <v>1</v>
      </c>
      <c r="D7242">
        <v>1.5</v>
      </c>
      <c r="E7242">
        <v>1.5</v>
      </c>
      <c r="F7242" t="s">
        <v>10018</v>
      </c>
      <c r="G7242" t="s">
        <v>10069</v>
      </c>
      <c r="H7242" s="6">
        <v>45080</v>
      </c>
      <c r="I7242">
        <f t="shared" si="226"/>
        <v>0</v>
      </c>
      <c r="J7242" t="str">
        <f t="shared" si="227"/>
        <v>Complete</v>
      </c>
      <c r="K7242">
        <f>COUNTIFS(RawData[Item], B7242,RawData[Quantity],C7242,RawData[Price Per Unit],D7242,RawData[Total Spent],E7242,RawData[Payment Method],F7242,RawData[Location],G7242,RawData[Transaction Date],H7242)</f>
        <v>1</v>
      </c>
      <c r="L7242"/>
    </row>
    <row r="7243" spans="1:12" x14ac:dyDescent="0.3">
      <c r="A7243" t="s">
        <v>7249</v>
      </c>
      <c r="B7243" t="s">
        <v>10014</v>
      </c>
      <c r="C7243">
        <v>1</v>
      </c>
      <c r="D7243">
        <v>4</v>
      </c>
      <c r="E7243">
        <v>4</v>
      </c>
      <c r="F7243" t="s">
        <v>10020</v>
      </c>
      <c r="G7243" t="s">
        <v>10021</v>
      </c>
      <c r="H7243" s="6">
        <v>45124</v>
      </c>
      <c r="I7243">
        <f t="shared" si="226"/>
        <v>0</v>
      </c>
      <c r="J7243" t="str">
        <f t="shared" si="227"/>
        <v>Complete</v>
      </c>
      <c r="K7243">
        <f>COUNTIFS(RawData[Item], B7243,RawData[Quantity],C7243,RawData[Price Per Unit],D7243,RawData[Total Spent],E7243,RawData[Payment Method],F7243,RawData[Location],G7243,RawData[Transaction Date],H7243)</f>
        <v>1</v>
      </c>
      <c r="L7243"/>
    </row>
    <row r="7244" spans="1:12" x14ac:dyDescent="0.3">
      <c r="A7244" t="s">
        <v>7250</v>
      </c>
      <c r="B7244" t="s">
        <v>10012</v>
      </c>
      <c r="C7244">
        <v>2</v>
      </c>
      <c r="D7244">
        <v>4</v>
      </c>
      <c r="E7244">
        <v>8</v>
      </c>
      <c r="F7244" t="s">
        <v>10018</v>
      </c>
      <c r="G7244" t="s">
        <v>10021</v>
      </c>
      <c r="H7244" s="6">
        <v>45114</v>
      </c>
      <c r="I7244">
        <f t="shared" si="226"/>
        <v>0</v>
      </c>
      <c r="J7244" t="str">
        <f t="shared" si="227"/>
        <v>Complete</v>
      </c>
      <c r="K7244">
        <f>COUNTIFS(RawData[Item], B7244,RawData[Quantity],C7244,RawData[Price Per Unit],D7244,RawData[Total Spent],E7244,RawData[Payment Method],F7244,RawData[Location],G7244,RawData[Transaction Date],H7244)</f>
        <v>1</v>
      </c>
      <c r="L7244"/>
    </row>
    <row r="7245" spans="1:12" x14ac:dyDescent="0.3">
      <c r="A7245" t="s">
        <v>7251</v>
      </c>
      <c r="B7245" t="s">
        <v>10014</v>
      </c>
      <c r="C7245">
        <v>1</v>
      </c>
      <c r="D7245">
        <v>4</v>
      </c>
      <c r="E7245">
        <v>4</v>
      </c>
      <c r="F7245" t="s">
        <v>10019</v>
      </c>
      <c r="G7245" t="s">
        <v>10102</v>
      </c>
      <c r="H7245" s="6">
        <v>45071</v>
      </c>
      <c r="I7245">
        <f t="shared" si="226"/>
        <v>0</v>
      </c>
      <c r="J7245" t="str">
        <f t="shared" si="227"/>
        <v>Complete</v>
      </c>
      <c r="K7245">
        <f>COUNTIFS(RawData[Item], B7245,RawData[Quantity],C7245,RawData[Price Per Unit],D7245,RawData[Total Spent],E7245,RawData[Payment Method],F7245,RawData[Location],G7245,RawData[Transaction Date],H7245)</f>
        <v>1</v>
      </c>
      <c r="L7245"/>
    </row>
    <row r="7246" spans="1:12" x14ac:dyDescent="0.3">
      <c r="A7246" t="s">
        <v>7252</v>
      </c>
      <c r="B7246" t="s">
        <v>10014</v>
      </c>
      <c r="C7246">
        <v>5</v>
      </c>
      <c r="D7246" t="s">
        <v>10015</v>
      </c>
      <c r="E7246" t="s">
        <v>10015</v>
      </c>
      <c r="F7246" t="s">
        <v>10020</v>
      </c>
      <c r="G7246" t="s">
        <v>10021</v>
      </c>
      <c r="H7246" s="6">
        <v>45199</v>
      </c>
      <c r="I7246">
        <f t="shared" si="226"/>
        <v>2</v>
      </c>
      <c r="J7246" t="str">
        <f t="shared" si="227"/>
        <v>Complete</v>
      </c>
      <c r="K7246">
        <f>COUNTIFS(RawData[Item], B7246,RawData[Quantity],C7246,RawData[Price Per Unit],D7246,RawData[Total Spent],E7246,RawData[Payment Method],F7246,RawData[Location],G7246,RawData[Transaction Date],H7246)</f>
        <v>1</v>
      </c>
      <c r="L7246"/>
    </row>
    <row r="7247" spans="1:12" x14ac:dyDescent="0.3">
      <c r="A7247" t="s">
        <v>7253</v>
      </c>
      <c r="B7247" t="s">
        <v>10016</v>
      </c>
      <c r="C7247">
        <v>1</v>
      </c>
      <c r="D7247">
        <v>3</v>
      </c>
      <c r="E7247">
        <v>3</v>
      </c>
      <c r="F7247" t="s">
        <v>10018</v>
      </c>
      <c r="G7247" t="s">
        <v>10102</v>
      </c>
      <c r="H7247" s="6">
        <v>45219</v>
      </c>
      <c r="I7247">
        <f t="shared" si="226"/>
        <v>0</v>
      </c>
      <c r="J7247" t="str">
        <f t="shared" si="227"/>
        <v>Complete</v>
      </c>
      <c r="K7247">
        <f>COUNTIFS(RawData[Item], B7247,RawData[Quantity],C7247,RawData[Price Per Unit],D7247,RawData[Total Spent],E7247,RawData[Payment Method],F7247,RawData[Location],G7247,RawData[Transaction Date],H7247)</f>
        <v>1</v>
      </c>
      <c r="L7247"/>
    </row>
    <row r="7248" spans="1:12" x14ac:dyDescent="0.3">
      <c r="A7248" t="s">
        <v>7254</v>
      </c>
      <c r="B7248" t="s">
        <v>10009</v>
      </c>
      <c r="C7248">
        <v>5</v>
      </c>
      <c r="D7248">
        <v>3</v>
      </c>
      <c r="E7248">
        <v>15</v>
      </c>
      <c r="F7248" t="s">
        <v>10069</v>
      </c>
      <c r="G7248" t="s">
        <v>10102</v>
      </c>
      <c r="H7248" s="6">
        <v>45002</v>
      </c>
      <c r="I7248">
        <f t="shared" si="226"/>
        <v>0</v>
      </c>
      <c r="J7248" t="str">
        <f t="shared" si="227"/>
        <v>Complete</v>
      </c>
      <c r="K7248">
        <f>COUNTIFS(RawData[Item], B7248,RawData[Quantity],C7248,RawData[Price Per Unit],D7248,RawData[Total Spent],E7248,RawData[Payment Method],F7248,RawData[Location],G7248,RawData[Transaction Date],H7248)</f>
        <v>1</v>
      </c>
      <c r="L7248"/>
    </row>
    <row r="7249" spans="1:12" x14ac:dyDescent="0.3">
      <c r="A7249" t="s">
        <v>7255</v>
      </c>
      <c r="B7249" t="s">
        <v>10014</v>
      </c>
      <c r="C7249">
        <v>5</v>
      </c>
      <c r="D7249">
        <v>4</v>
      </c>
      <c r="E7249">
        <v>20</v>
      </c>
      <c r="F7249" t="s">
        <v>10069</v>
      </c>
      <c r="G7249" t="s">
        <v>10069</v>
      </c>
      <c r="H7249" s="6">
        <v>45028</v>
      </c>
      <c r="I7249">
        <f t="shared" si="226"/>
        <v>0</v>
      </c>
      <c r="J7249" t="str">
        <f t="shared" si="227"/>
        <v>Complete</v>
      </c>
      <c r="K7249">
        <f>COUNTIFS(RawData[Item], B7249,RawData[Quantity],C7249,RawData[Price Per Unit],D7249,RawData[Total Spent],E7249,RawData[Payment Method],F7249,RawData[Location],G7249,RawData[Transaction Date],H7249)</f>
        <v>1</v>
      </c>
      <c r="L7249"/>
    </row>
    <row r="7250" spans="1:12" x14ac:dyDescent="0.3">
      <c r="A7250" t="s">
        <v>7256</v>
      </c>
      <c r="B7250" t="s">
        <v>10010</v>
      </c>
      <c r="C7250">
        <v>1</v>
      </c>
      <c r="D7250">
        <v>1</v>
      </c>
      <c r="E7250">
        <v>1</v>
      </c>
      <c r="F7250" t="s">
        <v>10019</v>
      </c>
      <c r="G7250" t="s">
        <v>10103</v>
      </c>
      <c r="H7250" s="6">
        <v>44969</v>
      </c>
      <c r="I7250">
        <f t="shared" si="226"/>
        <v>1</v>
      </c>
      <c r="J7250" t="str">
        <f t="shared" si="227"/>
        <v>Complete</v>
      </c>
      <c r="K7250">
        <f>COUNTIFS(RawData[Item], B7250,RawData[Quantity],C7250,RawData[Price Per Unit],D7250,RawData[Total Spent],E7250,RawData[Payment Method],F7250,RawData[Location],G7250,RawData[Transaction Date],H7250)</f>
        <v>1</v>
      </c>
      <c r="L7250"/>
    </row>
    <row r="7251" spans="1:12" x14ac:dyDescent="0.3">
      <c r="A7251" t="s">
        <v>7257</v>
      </c>
      <c r="B7251" t="s">
        <v>10009</v>
      </c>
      <c r="C7251">
        <v>2</v>
      </c>
      <c r="D7251">
        <v>3</v>
      </c>
      <c r="E7251">
        <v>6</v>
      </c>
      <c r="F7251" t="s">
        <v>10069</v>
      </c>
      <c r="G7251" t="s">
        <v>10104</v>
      </c>
      <c r="H7251" s="6">
        <v>45149</v>
      </c>
      <c r="I7251">
        <f t="shared" si="226"/>
        <v>1</v>
      </c>
      <c r="J7251" t="str">
        <f t="shared" si="227"/>
        <v>Complete</v>
      </c>
      <c r="K7251">
        <f>COUNTIFS(RawData[Item], B7251,RawData[Quantity],C7251,RawData[Price Per Unit],D7251,RawData[Total Spent],E7251,RawData[Payment Method],F7251,RawData[Location],G7251,RawData[Transaction Date],H7251)</f>
        <v>1</v>
      </c>
      <c r="L7251"/>
    </row>
    <row r="7252" spans="1:12" x14ac:dyDescent="0.3">
      <c r="A7252" t="s">
        <v>7258</v>
      </c>
      <c r="B7252" t="s">
        <v>10009</v>
      </c>
      <c r="C7252">
        <v>1</v>
      </c>
      <c r="D7252">
        <v>3</v>
      </c>
      <c r="E7252">
        <v>3</v>
      </c>
      <c r="F7252" t="s">
        <v>10019</v>
      </c>
      <c r="G7252" t="s">
        <v>10069</v>
      </c>
      <c r="H7252" s="6">
        <v>45004</v>
      </c>
      <c r="I7252">
        <f t="shared" si="226"/>
        <v>0</v>
      </c>
      <c r="J7252" t="str">
        <f t="shared" si="227"/>
        <v>Complete</v>
      </c>
      <c r="K7252">
        <f>COUNTIFS(RawData[Item], B7252,RawData[Quantity],C7252,RawData[Price Per Unit],D7252,RawData[Total Spent],E7252,RawData[Payment Method],F7252,RawData[Location],G7252,RawData[Transaction Date],H7252)</f>
        <v>2</v>
      </c>
      <c r="L7252"/>
    </row>
    <row r="7253" spans="1:12" x14ac:dyDescent="0.3">
      <c r="A7253" t="s">
        <v>7259</v>
      </c>
      <c r="B7253" t="s">
        <v>10015</v>
      </c>
      <c r="C7253">
        <v>2</v>
      </c>
      <c r="D7253">
        <v>5</v>
      </c>
      <c r="E7253">
        <v>10</v>
      </c>
      <c r="F7253" t="s">
        <v>10069</v>
      </c>
      <c r="G7253" t="s">
        <v>10021</v>
      </c>
      <c r="H7253" s="6">
        <v>44994</v>
      </c>
      <c r="I7253">
        <f t="shared" si="226"/>
        <v>1</v>
      </c>
      <c r="J7253" t="str">
        <f t="shared" si="227"/>
        <v>Complete</v>
      </c>
      <c r="K7253">
        <f>COUNTIFS(RawData[Item], B7253,RawData[Quantity],C7253,RawData[Price Per Unit],D7253,RawData[Total Spent],E7253,RawData[Payment Method],F7253,RawData[Location],G7253,RawData[Transaction Date],H7253)</f>
        <v>1</v>
      </c>
      <c r="L7253"/>
    </row>
    <row r="7254" spans="1:12" x14ac:dyDescent="0.3">
      <c r="A7254" t="s">
        <v>7260</v>
      </c>
      <c r="B7254" t="s">
        <v>10008</v>
      </c>
      <c r="C7254">
        <v>5</v>
      </c>
      <c r="D7254">
        <v>2</v>
      </c>
      <c r="E7254">
        <v>10</v>
      </c>
      <c r="F7254" t="s">
        <v>10020</v>
      </c>
      <c r="G7254" t="s">
        <v>10103</v>
      </c>
      <c r="H7254" s="6">
        <v>45061</v>
      </c>
      <c r="I7254">
        <f t="shared" si="226"/>
        <v>1</v>
      </c>
      <c r="J7254" t="str">
        <f t="shared" si="227"/>
        <v>Complete</v>
      </c>
      <c r="K7254">
        <f>COUNTIFS(RawData[Item], B7254,RawData[Quantity],C7254,RawData[Price Per Unit],D7254,RawData[Total Spent],E7254,RawData[Payment Method],F7254,RawData[Location],G7254,RawData[Transaction Date],H7254)</f>
        <v>1</v>
      </c>
      <c r="L7254"/>
    </row>
    <row r="7255" spans="1:12" x14ac:dyDescent="0.3">
      <c r="A7255" t="s">
        <v>7261</v>
      </c>
      <c r="B7255" t="s">
        <v>10016</v>
      </c>
      <c r="C7255">
        <v>4</v>
      </c>
      <c r="D7255">
        <v>3</v>
      </c>
      <c r="E7255">
        <v>12</v>
      </c>
      <c r="F7255" t="s">
        <v>10018</v>
      </c>
      <c r="G7255" t="s">
        <v>10021</v>
      </c>
      <c r="H7255" s="6">
        <v>44990</v>
      </c>
      <c r="I7255">
        <f t="shared" si="226"/>
        <v>0</v>
      </c>
      <c r="J7255" t="str">
        <f t="shared" si="227"/>
        <v>Complete</v>
      </c>
      <c r="K7255">
        <f>COUNTIFS(RawData[Item], B7255,RawData[Quantity],C7255,RawData[Price Per Unit],D7255,RawData[Total Spent],E7255,RawData[Payment Method],F7255,RawData[Location],G7255,RawData[Transaction Date],H7255)</f>
        <v>1</v>
      </c>
      <c r="L7255"/>
    </row>
    <row r="7256" spans="1:12" x14ac:dyDescent="0.3">
      <c r="A7256" t="s">
        <v>7262</v>
      </c>
      <c r="B7256" t="s">
        <v>10008</v>
      </c>
      <c r="C7256">
        <v>4</v>
      </c>
      <c r="D7256">
        <v>2</v>
      </c>
      <c r="E7256">
        <v>8</v>
      </c>
      <c r="F7256" t="s">
        <v>10018</v>
      </c>
      <c r="G7256" t="s">
        <v>10069</v>
      </c>
      <c r="H7256" s="6">
        <v>45161</v>
      </c>
      <c r="I7256">
        <f t="shared" si="226"/>
        <v>0</v>
      </c>
      <c r="J7256" t="str">
        <f t="shared" si="227"/>
        <v>Complete</v>
      </c>
      <c r="K7256">
        <f>COUNTIFS(RawData[Item], B7256,RawData[Quantity],C7256,RawData[Price Per Unit],D7256,RawData[Total Spent],E7256,RawData[Payment Method],F7256,RawData[Location],G7256,RawData[Transaction Date],H7256)</f>
        <v>1</v>
      </c>
      <c r="L7256"/>
    </row>
    <row r="7257" spans="1:12" x14ac:dyDescent="0.3">
      <c r="A7257" t="s">
        <v>7263</v>
      </c>
      <c r="B7257" t="s">
        <v>10016</v>
      </c>
      <c r="C7257">
        <v>4</v>
      </c>
      <c r="D7257">
        <v>3</v>
      </c>
      <c r="E7257">
        <v>12</v>
      </c>
      <c r="F7257" t="s">
        <v>10069</v>
      </c>
      <c r="G7257" t="s">
        <v>10069</v>
      </c>
      <c r="H7257" s="6">
        <v>45117</v>
      </c>
      <c r="I7257">
        <f t="shared" si="226"/>
        <v>0</v>
      </c>
      <c r="J7257" t="str">
        <f t="shared" si="227"/>
        <v>Complete</v>
      </c>
      <c r="K7257">
        <f>COUNTIFS(RawData[Item], B7257,RawData[Quantity],C7257,RawData[Price Per Unit],D7257,RawData[Total Spent],E7257,RawData[Payment Method],F7257,RawData[Location],G7257,RawData[Transaction Date],H7257)</f>
        <v>1</v>
      </c>
      <c r="L7257"/>
    </row>
    <row r="7258" spans="1:12" x14ac:dyDescent="0.3">
      <c r="A7258" t="s">
        <v>7264</v>
      </c>
      <c r="B7258" t="s">
        <v>10012</v>
      </c>
      <c r="C7258">
        <v>5</v>
      </c>
      <c r="D7258">
        <v>0</v>
      </c>
      <c r="E7258">
        <v>20</v>
      </c>
      <c r="F7258" t="s">
        <v>10018</v>
      </c>
      <c r="G7258" t="s">
        <v>10069</v>
      </c>
      <c r="H7258" s="6">
        <v>45181</v>
      </c>
      <c r="I7258">
        <f t="shared" si="226"/>
        <v>0</v>
      </c>
      <c r="J7258" t="str">
        <f t="shared" si="227"/>
        <v>Complete</v>
      </c>
      <c r="K7258">
        <f>COUNTIFS(RawData[Item], B7258,RawData[Quantity],C7258,RawData[Price Per Unit],D7258,RawData[Total Spent],E7258,RawData[Payment Method],F7258,RawData[Location],G7258,RawData[Transaction Date],H7258)</f>
        <v>1</v>
      </c>
      <c r="L7258"/>
    </row>
    <row r="7259" spans="1:12" x14ac:dyDescent="0.3">
      <c r="A7259" t="s">
        <v>7265</v>
      </c>
      <c r="B7259" t="s">
        <v>10014</v>
      </c>
      <c r="C7259">
        <v>5</v>
      </c>
      <c r="D7259">
        <v>4</v>
      </c>
      <c r="E7259">
        <v>20</v>
      </c>
      <c r="F7259" t="s">
        <v>10018</v>
      </c>
      <c r="G7259" t="s">
        <v>10102</v>
      </c>
      <c r="H7259" s="6">
        <v>45129</v>
      </c>
      <c r="I7259">
        <f t="shared" si="226"/>
        <v>0</v>
      </c>
      <c r="J7259" t="str">
        <f t="shared" si="227"/>
        <v>Complete</v>
      </c>
      <c r="K7259">
        <f>COUNTIFS(RawData[Item], B7259,RawData[Quantity],C7259,RawData[Price Per Unit],D7259,RawData[Total Spent],E7259,RawData[Payment Method],F7259,RawData[Location],G7259,RawData[Transaction Date],H7259)</f>
        <v>1</v>
      </c>
      <c r="L7259"/>
    </row>
    <row r="7260" spans="1:12" x14ac:dyDescent="0.3">
      <c r="A7260" t="s">
        <v>7266</v>
      </c>
      <c r="B7260" t="s">
        <v>10010</v>
      </c>
      <c r="C7260">
        <v>0</v>
      </c>
      <c r="D7260">
        <v>1</v>
      </c>
      <c r="E7260">
        <v>5</v>
      </c>
      <c r="F7260" t="s">
        <v>10069</v>
      </c>
      <c r="G7260" t="s">
        <v>10102</v>
      </c>
      <c r="H7260" s="6">
        <v>44952</v>
      </c>
      <c r="I7260">
        <f t="shared" si="226"/>
        <v>0</v>
      </c>
      <c r="J7260" t="str">
        <f t="shared" si="227"/>
        <v>Complete</v>
      </c>
      <c r="K7260">
        <f>COUNTIFS(RawData[Item], B7260,RawData[Quantity],C7260,RawData[Price Per Unit],D7260,RawData[Total Spent],E7260,RawData[Payment Method],F7260,RawData[Location],G7260,RawData[Transaction Date],H7260)</f>
        <v>1</v>
      </c>
      <c r="L7260"/>
    </row>
    <row r="7261" spans="1:12" x14ac:dyDescent="0.3">
      <c r="A7261" t="s">
        <v>7267</v>
      </c>
      <c r="B7261" t="s">
        <v>10009</v>
      </c>
      <c r="C7261">
        <v>1</v>
      </c>
      <c r="D7261">
        <v>3</v>
      </c>
      <c r="E7261">
        <v>3</v>
      </c>
      <c r="F7261" t="s">
        <v>10018</v>
      </c>
      <c r="G7261" t="s">
        <v>10102</v>
      </c>
      <c r="H7261" s="6">
        <v>45201</v>
      </c>
      <c r="I7261">
        <f t="shared" si="226"/>
        <v>0</v>
      </c>
      <c r="J7261" t="str">
        <f t="shared" si="227"/>
        <v>Complete</v>
      </c>
      <c r="K7261">
        <f>COUNTIFS(RawData[Item], B7261,RawData[Quantity],C7261,RawData[Price Per Unit],D7261,RawData[Total Spent],E7261,RawData[Payment Method],F7261,RawData[Location],G7261,RawData[Transaction Date],H7261)</f>
        <v>1</v>
      </c>
      <c r="L7261"/>
    </row>
    <row r="7262" spans="1:12" x14ac:dyDescent="0.3">
      <c r="A7262" t="s">
        <v>7268</v>
      </c>
      <c r="B7262" t="s">
        <v>10017</v>
      </c>
      <c r="C7262">
        <v>1</v>
      </c>
      <c r="D7262">
        <v>1.5</v>
      </c>
      <c r="E7262">
        <v>1.5</v>
      </c>
      <c r="F7262" t="s">
        <v>10104</v>
      </c>
      <c r="G7262" t="s">
        <v>10021</v>
      </c>
      <c r="H7262" s="6">
        <v>44979</v>
      </c>
      <c r="I7262">
        <f t="shared" si="226"/>
        <v>1</v>
      </c>
      <c r="J7262" t="str">
        <f t="shared" si="227"/>
        <v>Complete</v>
      </c>
      <c r="K7262">
        <f>COUNTIFS(RawData[Item], B7262,RawData[Quantity],C7262,RawData[Price Per Unit],D7262,RawData[Total Spent],E7262,RawData[Payment Method],F7262,RawData[Location],G7262,RawData[Transaction Date],H7262)</f>
        <v>1</v>
      </c>
      <c r="L7262"/>
    </row>
    <row r="7263" spans="1:12" x14ac:dyDescent="0.3">
      <c r="A7263" t="s">
        <v>7269</v>
      </c>
      <c r="B7263" t="s">
        <v>10017</v>
      </c>
      <c r="C7263">
        <v>3</v>
      </c>
      <c r="D7263">
        <v>1.5</v>
      </c>
      <c r="E7263">
        <v>4.5</v>
      </c>
      <c r="F7263" t="s">
        <v>10020</v>
      </c>
      <c r="G7263" t="s">
        <v>10021</v>
      </c>
      <c r="H7263" s="6">
        <v>45105</v>
      </c>
      <c r="I7263">
        <f t="shared" si="226"/>
        <v>0</v>
      </c>
      <c r="J7263" t="str">
        <f t="shared" si="227"/>
        <v>Complete</v>
      </c>
      <c r="K7263">
        <f>COUNTIFS(RawData[Item], B7263,RawData[Quantity],C7263,RawData[Price Per Unit],D7263,RawData[Total Spent],E7263,RawData[Payment Method],F7263,RawData[Location],G7263,RawData[Transaction Date],H7263)</f>
        <v>1</v>
      </c>
      <c r="L7263"/>
    </row>
    <row r="7264" spans="1:12" x14ac:dyDescent="0.3">
      <c r="A7264" t="s">
        <v>7270</v>
      </c>
      <c r="B7264" t="s">
        <v>10011</v>
      </c>
      <c r="C7264">
        <v>3</v>
      </c>
      <c r="D7264">
        <v>5</v>
      </c>
      <c r="E7264">
        <v>15</v>
      </c>
      <c r="F7264" t="s">
        <v>10069</v>
      </c>
      <c r="G7264" t="s">
        <v>10021</v>
      </c>
      <c r="H7264" s="6">
        <v>45154</v>
      </c>
      <c r="I7264">
        <f t="shared" si="226"/>
        <v>0</v>
      </c>
      <c r="J7264" t="str">
        <f t="shared" si="227"/>
        <v>Complete</v>
      </c>
      <c r="K7264">
        <f>COUNTIFS(RawData[Item], B7264,RawData[Quantity],C7264,RawData[Price Per Unit],D7264,RawData[Total Spent],E7264,RawData[Payment Method],F7264,RawData[Location],G7264,RawData[Transaction Date],H7264)</f>
        <v>1</v>
      </c>
      <c r="L7264"/>
    </row>
    <row r="7265" spans="1:12" x14ac:dyDescent="0.3">
      <c r="A7265" t="s">
        <v>7271</v>
      </c>
      <c r="B7265" t="s">
        <v>10017</v>
      </c>
      <c r="C7265">
        <v>3</v>
      </c>
      <c r="D7265">
        <v>1.5</v>
      </c>
      <c r="E7265">
        <v>4.5</v>
      </c>
      <c r="F7265" t="s">
        <v>10020</v>
      </c>
      <c r="G7265" t="s">
        <v>10102</v>
      </c>
      <c r="H7265" s="6">
        <v>45049</v>
      </c>
      <c r="I7265">
        <f t="shared" si="226"/>
        <v>0</v>
      </c>
      <c r="J7265" t="str">
        <f t="shared" si="227"/>
        <v>Complete</v>
      </c>
      <c r="K7265">
        <f>COUNTIFS(RawData[Item], B7265,RawData[Quantity],C7265,RawData[Price Per Unit],D7265,RawData[Total Spent],E7265,RawData[Payment Method],F7265,RawData[Location],G7265,RawData[Transaction Date],H7265)</f>
        <v>1</v>
      </c>
      <c r="L7265"/>
    </row>
    <row r="7266" spans="1:12" x14ac:dyDescent="0.3">
      <c r="A7266" t="s">
        <v>7272</v>
      </c>
      <c r="B7266" t="s">
        <v>10014</v>
      </c>
      <c r="C7266">
        <v>5</v>
      </c>
      <c r="D7266" t="s">
        <v>10015</v>
      </c>
      <c r="E7266">
        <v>20</v>
      </c>
      <c r="F7266" t="s">
        <v>10020</v>
      </c>
      <c r="G7266" t="s">
        <v>10102</v>
      </c>
      <c r="H7266" s="6">
        <v>45281</v>
      </c>
      <c r="I7266">
        <f t="shared" si="226"/>
        <v>1</v>
      </c>
      <c r="J7266" t="str">
        <f t="shared" si="227"/>
        <v>Complete</v>
      </c>
      <c r="K7266">
        <f>COUNTIFS(RawData[Item], B7266,RawData[Quantity],C7266,RawData[Price Per Unit],D7266,RawData[Total Spent],E7266,RawData[Payment Method],F7266,RawData[Location],G7266,RawData[Transaction Date],H7266)</f>
        <v>1</v>
      </c>
      <c r="L7266"/>
    </row>
    <row r="7267" spans="1:12" x14ac:dyDescent="0.3">
      <c r="A7267" t="s">
        <v>7273</v>
      </c>
      <c r="B7267" t="s">
        <v>10017</v>
      </c>
      <c r="C7267" t="s">
        <v>10015</v>
      </c>
      <c r="D7267">
        <v>1.5</v>
      </c>
      <c r="E7267">
        <v>6</v>
      </c>
      <c r="F7267" t="s">
        <v>10020</v>
      </c>
      <c r="G7267" t="s">
        <v>10069</v>
      </c>
      <c r="H7267" s="6" t="s">
        <v>10112</v>
      </c>
      <c r="I7267">
        <f t="shared" si="226"/>
        <v>2</v>
      </c>
      <c r="J7267" t="str">
        <f t="shared" si="227"/>
        <v>Incomplete</v>
      </c>
      <c r="K7267">
        <f>COUNTIFS(RawData[Item], B7267,RawData[Quantity],C7267,RawData[Price Per Unit],D7267,RawData[Total Spent],E7267,RawData[Payment Method],F7267,RawData[Location],G7267,RawData[Transaction Date],H7267)</f>
        <v>1</v>
      </c>
      <c r="L7267"/>
    </row>
    <row r="7268" spans="1:12" x14ac:dyDescent="0.3">
      <c r="A7268" t="s">
        <v>7274</v>
      </c>
      <c r="B7268" t="s">
        <v>10009</v>
      </c>
      <c r="C7268">
        <v>2</v>
      </c>
      <c r="D7268">
        <v>3</v>
      </c>
      <c r="E7268">
        <v>6</v>
      </c>
      <c r="F7268" t="s">
        <v>10019</v>
      </c>
      <c r="G7268" t="s">
        <v>10102</v>
      </c>
      <c r="H7268" s="6">
        <v>45131</v>
      </c>
      <c r="I7268">
        <f t="shared" si="226"/>
        <v>0</v>
      </c>
      <c r="J7268" t="str">
        <f t="shared" si="227"/>
        <v>Complete</v>
      </c>
      <c r="K7268">
        <f>COUNTIFS(RawData[Item], B7268,RawData[Quantity],C7268,RawData[Price Per Unit],D7268,RawData[Total Spent],E7268,RawData[Payment Method],F7268,RawData[Location],G7268,RawData[Transaction Date],H7268)</f>
        <v>1</v>
      </c>
      <c r="L7268"/>
    </row>
    <row r="7269" spans="1:12" x14ac:dyDescent="0.3">
      <c r="A7269" t="s">
        <v>7275</v>
      </c>
      <c r="B7269" t="s">
        <v>10015</v>
      </c>
      <c r="C7269">
        <v>5</v>
      </c>
      <c r="D7269">
        <v>1.5</v>
      </c>
      <c r="E7269" t="s">
        <v>10013</v>
      </c>
      <c r="F7269" t="s">
        <v>10020</v>
      </c>
      <c r="G7269" t="s">
        <v>10102</v>
      </c>
      <c r="H7269" s="6">
        <v>44947</v>
      </c>
      <c r="I7269">
        <f t="shared" si="226"/>
        <v>2</v>
      </c>
      <c r="J7269" t="str">
        <f t="shared" si="227"/>
        <v>Complete</v>
      </c>
      <c r="K7269">
        <f>COUNTIFS(RawData[Item], B7269,RawData[Quantity],C7269,RawData[Price Per Unit],D7269,RawData[Total Spent],E7269,RawData[Payment Method],F7269,RawData[Location],G7269,RawData[Transaction Date],H7269)</f>
        <v>1</v>
      </c>
      <c r="L7269"/>
    </row>
    <row r="7270" spans="1:12" x14ac:dyDescent="0.3">
      <c r="A7270" t="s">
        <v>7276</v>
      </c>
      <c r="B7270" t="s">
        <v>10011</v>
      </c>
      <c r="C7270">
        <v>5</v>
      </c>
      <c r="D7270">
        <v>5</v>
      </c>
      <c r="E7270">
        <v>25</v>
      </c>
      <c r="F7270" t="s">
        <v>10019</v>
      </c>
      <c r="G7270" t="s">
        <v>10021</v>
      </c>
      <c r="H7270" s="6">
        <v>44955</v>
      </c>
      <c r="I7270">
        <f t="shared" si="226"/>
        <v>0</v>
      </c>
      <c r="J7270" t="str">
        <f t="shared" si="227"/>
        <v>Complete</v>
      </c>
      <c r="K7270">
        <f>COUNTIFS(RawData[Item], B7270,RawData[Quantity],C7270,RawData[Price Per Unit],D7270,RawData[Total Spent],E7270,RawData[Payment Method],F7270,RawData[Location],G7270,RawData[Transaction Date],H7270)</f>
        <v>2</v>
      </c>
      <c r="L7270"/>
    </row>
    <row r="7271" spans="1:12" x14ac:dyDescent="0.3">
      <c r="A7271" t="s">
        <v>7277</v>
      </c>
      <c r="B7271" t="s">
        <v>10017</v>
      </c>
      <c r="C7271">
        <v>3</v>
      </c>
      <c r="D7271">
        <v>1.5</v>
      </c>
      <c r="E7271">
        <v>4.5</v>
      </c>
      <c r="F7271" t="s">
        <v>10019</v>
      </c>
      <c r="G7271" t="s">
        <v>10102</v>
      </c>
      <c r="H7271" s="6">
        <v>45100</v>
      </c>
      <c r="I7271">
        <f t="shared" si="226"/>
        <v>0</v>
      </c>
      <c r="J7271" t="str">
        <f t="shared" si="227"/>
        <v>Complete</v>
      </c>
      <c r="K7271">
        <f>COUNTIFS(RawData[Item], B7271,RawData[Quantity],C7271,RawData[Price Per Unit],D7271,RawData[Total Spent],E7271,RawData[Payment Method],F7271,RawData[Location],G7271,RawData[Transaction Date],H7271)</f>
        <v>1</v>
      </c>
      <c r="L7271"/>
    </row>
    <row r="7272" spans="1:12" x14ac:dyDescent="0.3">
      <c r="A7272" t="s">
        <v>7278</v>
      </c>
      <c r="B7272" t="s">
        <v>10008</v>
      </c>
      <c r="C7272">
        <v>2</v>
      </c>
      <c r="D7272">
        <v>2</v>
      </c>
      <c r="E7272">
        <v>4</v>
      </c>
      <c r="F7272" t="s">
        <v>10069</v>
      </c>
      <c r="G7272" t="s">
        <v>10069</v>
      </c>
      <c r="H7272" s="6">
        <v>45223</v>
      </c>
      <c r="I7272">
        <f t="shared" si="226"/>
        <v>0</v>
      </c>
      <c r="J7272" t="str">
        <f t="shared" si="227"/>
        <v>Complete</v>
      </c>
      <c r="K7272">
        <f>COUNTIFS(RawData[Item], B7272,RawData[Quantity],C7272,RawData[Price Per Unit],D7272,RawData[Total Spent],E7272,RawData[Payment Method],F7272,RawData[Location],G7272,RawData[Transaction Date],H7272)</f>
        <v>1</v>
      </c>
      <c r="L7272"/>
    </row>
    <row r="7273" spans="1:12" x14ac:dyDescent="0.3">
      <c r="A7273" t="s">
        <v>7279</v>
      </c>
      <c r="B7273" t="s">
        <v>10011</v>
      </c>
      <c r="C7273">
        <v>5</v>
      </c>
      <c r="D7273">
        <v>5</v>
      </c>
      <c r="E7273">
        <v>25</v>
      </c>
      <c r="F7273" t="s">
        <v>10018</v>
      </c>
      <c r="G7273" t="s">
        <v>10102</v>
      </c>
      <c r="H7273" s="6">
        <v>44934</v>
      </c>
      <c r="I7273">
        <f t="shared" si="226"/>
        <v>0</v>
      </c>
      <c r="J7273" t="str">
        <f t="shared" si="227"/>
        <v>Complete</v>
      </c>
      <c r="K7273">
        <f>COUNTIFS(RawData[Item], B7273,RawData[Quantity],C7273,RawData[Price Per Unit],D7273,RawData[Total Spent],E7273,RawData[Payment Method],F7273,RawData[Location],G7273,RawData[Transaction Date],H7273)</f>
        <v>1</v>
      </c>
      <c r="L7273"/>
    </row>
    <row r="7274" spans="1:12" x14ac:dyDescent="0.3">
      <c r="A7274" t="s">
        <v>7280</v>
      </c>
      <c r="B7274" t="s">
        <v>10011</v>
      </c>
      <c r="C7274">
        <v>5</v>
      </c>
      <c r="D7274">
        <v>5</v>
      </c>
      <c r="E7274">
        <v>25</v>
      </c>
      <c r="F7274" t="s">
        <v>10069</v>
      </c>
      <c r="G7274" t="s">
        <v>10021</v>
      </c>
      <c r="H7274" s="6">
        <v>45261</v>
      </c>
      <c r="I7274">
        <f t="shared" si="226"/>
        <v>0</v>
      </c>
      <c r="J7274" t="str">
        <f t="shared" si="227"/>
        <v>Complete</v>
      </c>
      <c r="K7274">
        <f>COUNTIFS(RawData[Item], B7274,RawData[Quantity],C7274,RawData[Price Per Unit],D7274,RawData[Total Spent],E7274,RawData[Payment Method],F7274,RawData[Location],G7274,RawData[Transaction Date],H7274)</f>
        <v>1</v>
      </c>
      <c r="L7274"/>
    </row>
    <row r="7275" spans="1:12" x14ac:dyDescent="0.3">
      <c r="A7275" t="s">
        <v>7281</v>
      </c>
      <c r="B7275" t="s">
        <v>10010</v>
      </c>
      <c r="C7275">
        <v>5</v>
      </c>
      <c r="D7275">
        <v>1</v>
      </c>
      <c r="E7275" t="s">
        <v>10013</v>
      </c>
      <c r="F7275" t="s">
        <v>10069</v>
      </c>
      <c r="G7275" t="s">
        <v>10102</v>
      </c>
      <c r="H7275" s="6">
        <v>45261</v>
      </c>
      <c r="I7275">
        <f t="shared" si="226"/>
        <v>1</v>
      </c>
      <c r="J7275" t="str">
        <f t="shared" si="227"/>
        <v>Complete</v>
      </c>
      <c r="K7275">
        <f>COUNTIFS(RawData[Item], B7275,RawData[Quantity],C7275,RawData[Price Per Unit],D7275,RawData[Total Spent],E7275,RawData[Payment Method],F7275,RawData[Location],G7275,RawData[Transaction Date],H7275)</f>
        <v>1</v>
      </c>
      <c r="L7275"/>
    </row>
    <row r="7276" spans="1:12" x14ac:dyDescent="0.3">
      <c r="A7276" t="s">
        <v>7282</v>
      </c>
      <c r="B7276" t="s">
        <v>10014</v>
      </c>
      <c r="C7276">
        <v>1</v>
      </c>
      <c r="D7276">
        <v>4</v>
      </c>
      <c r="E7276">
        <v>4</v>
      </c>
      <c r="F7276" t="s">
        <v>10069</v>
      </c>
      <c r="G7276" t="s">
        <v>10069</v>
      </c>
      <c r="H7276" s="6">
        <v>45065</v>
      </c>
      <c r="I7276">
        <f t="shared" si="226"/>
        <v>0</v>
      </c>
      <c r="J7276" t="str">
        <f t="shared" si="227"/>
        <v>Complete</v>
      </c>
      <c r="K7276">
        <f>COUNTIFS(RawData[Item], B7276,RawData[Quantity],C7276,RawData[Price Per Unit],D7276,RawData[Total Spent],E7276,RawData[Payment Method],F7276,RawData[Location],G7276,RawData[Transaction Date],H7276)</f>
        <v>1</v>
      </c>
      <c r="L7276"/>
    </row>
    <row r="7277" spans="1:12" x14ac:dyDescent="0.3">
      <c r="A7277" t="s">
        <v>7283</v>
      </c>
      <c r="B7277" t="s">
        <v>10069</v>
      </c>
      <c r="C7277">
        <v>3</v>
      </c>
      <c r="D7277">
        <v>5</v>
      </c>
      <c r="E7277">
        <v>15</v>
      </c>
      <c r="F7277" t="s">
        <v>10069</v>
      </c>
      <c r="G7277" t="s">
        <v>10102</v>
      </c>
      <c r="H7277" s="6">
        <v>45147</v>
      </c>
      <c r="I7277">
        <f t="shared" si="226"/>
        <v>0</v>
      </c>
      <c r="J7277" t="str">
        <f t="shared" si="227"/>
        <v>Complete</v>
      </c>
      <c r="K7277">
        <f>COUNTIFS(RawData[Item], B7277,RawData[Quantity],C7277,RawData[Price Per Unit],D7277,RawData[Total Spent],E7277,RawData[Payment Method],F7277,RawData[Location],G7277,RawData[Transaction Date],H7277)</f>
        <v>1</v>
      </c>
      <c r="L7277"/>
    </row>
    <row r="7278" spans="1:12" x14ac:dyDescent="0.3">
      <c r="A7278" t="s">
        <v>7284</v>
      </c>
      <c r="B7278" t="s">
        <v>10008</v>
      </c>
      <c r="C7278">
        <v>5</v>
      </c>
      <c r="D7278">
        <v>2</v>
      </c>
      <c r="E7278">
        <v>10</v>
      </c>
      <c r="F7278" t="s">
        <v>10069</v>
      </c>
      <c r="G7278" t="s">
        <v>10104</v>
      </c>
      <c r="H7278" s="6">
        <v>44960</v>
      </c>
      <c r="I7278">
        <f t="shared" si="226"/>
        <v>1</v>
      </c>
      <c r="J7278" t="str">
        <f t="shared" si="227"/>
        <v>Complete</v>
      </c>
      <c r="K7278">
        <f>COUNTIFS(RawData[Item], B7278,RawData[Quantity],C7278,RawData[Price Per Unit],D7278,RawData[Total Spent],E7278,RawData[Payment Method],F7278,RawData[Location],G7278,RawData[Transaction Date],H7278)</f>
        <v>1</v>
      </c>
      <c r="L7278"/>
    </row>
    <row r="7279" spans="1:12" x14ac:dyDescent="0.3">
      <c r="A7279" t="s">
        <v>7285</v>
      </c>
      <c r="B7279" t="s">
        <v>10008</v>
      </c>
      <c r="C7279">
        <v>0</v>
      </c>
      <c r="D7279">
        <v>2</v>
      </c>
      <c r="E7279">
        <v>6</v>
      </c>
      <c r="F7279" t="s">
        <v>10020</v>
      </c>
      <c r="G7279" t="s">
        <v>10021</v>
      </c>
      <c r="H7279" s="6">
        <v>45249</v>
      </c>
      <c r="I7279">
        <f t="shared" si="226"/>
        <v>0</v>
      </c>
      <c r="J7279" t="str">
        <f t="shared" si="227"/>
        <v>Complete</v>
      </c>
      <c r="K7279">
        <f>COUNTIFS(RawData[Item], B7279,RawData[Quantity],C7279,RawData[Price Per Unit],D7279,RawData[Total Spent],E7279,RawData[Payment Method],F7279,RawData[Location],G7279,RawData[Transaction Date],H7279)</f>
        <v>1</v>
      </c>
      <c r="L7279"/>
    </row>
    <row r="7280" spans="1:12" x14ac:dyDescent="0.3">
      <c r="A7280" t="s">
        <v>7286</v>
      </c>
      <c r="B7280" t="s">
        <v>10011</v>
      </c>
      <c r="C7280">
        <v>5</v>
      </c>
      <c r="D7280">
        <v>5</v>
      </c>
      <c r="E7280">
        <v>25</v>
      </c>
      <c r="F7280" t="s">
        <v>10069</v>
      </c>
      <c r="G7280" t="s">
        <v>10021</v>
      </c>
      <c r="H7280" s="6">
        <v>45206</v>
      </c>
      <c r="I7280">
        <f t="shared" si="226"/>
        <v>0</v>
      </c>
      <c r="J7280" t="str">
        <f t="shared" si="227"/>
        <v>Complete</v>
      </c>
      <c r="K7280">
        <f>COUNTIFS(RawData[Item], B7280,RawData[Quantity],C7280,RawData[Price Per Unit],D7280,RawData[Total Spent],E7280,RawData[Payment Method],F7280,RawData[Location],G7280,RawData[Transaction Date],H7280)</f>
        <v>1</v>
      </c>
      <c r="L7280"/>
    </row>
    <row r="7281" spans="1:12" x14ac:dyDescent="0.3">
      <c r="A7281" t="s">
        <v>7287</v>
      </c>
      <c r="B7281" t="s">
        <v>10008</v>
      </c>
      <c r="C7281">
        <v>2</v>
      </c>
      <c r="D7281">
        <v>2</v>
      </c>
      <c r="E7281">
        <v>4</v>
      </c>
      <c r="F7281" t="s">
        <v>10020</v>
      </c>
      <c r="G7281" t="s">
        <v>10069</v>
      </c>
      <c r="H7281" s="6">
        <v>45080</v>
      </c>
      <c r="I7281">
        <f t="shared" si="226"/>
        <v>0</v>
      </c>
      <c r="J7281" t="str">
        <f t="shared" si="227"/>
        <v>Complete</v>
      </c>
      <c r="K7281">
        <f>COUNTIFS(RawData[Item], B7281,RawData[Quantity],C7281,RawData[Price Per Unit],D7281,RawData[Total Spent],E7281,RawData[Payment Method],F7281,RawData[Location],G7281,RawData[Transaction Date],H7281)</f>
        <v>1</v>
      </c>
      <c r="L7281"/>
    </row>
    <row r="7282" spans="1:12" x14ac:dyDescent="0.3">
      <c r="A7282" t="s">
        <v>7288</v>
      </c>
      <c r="B7282" t="s">
        <v>10010</v>
      </c>
      <c r="C7282">
        <v>1</v>
      </c>
      <c r="D7282">
        <v>1</v>
      </c>
      <c r="E7282">
        <v>1</v>
      </c>
      <c r="F7282" t="s">
        <v>10018</v>
      </c>
      <c r="G7282" t="s">
        <v>10102</v>
      </c>
      <c r="H7282" s="6">
        <v>44990</v>
      </c>
      <c r="I7282">
        <f t="shared" si="226"/>
        <v>0</v>
      </c>
      <c r="J7282" t="str">
        <f t="shared" si="227"/>
        <v>Complete</v>
      </c>
      <c r="K7282">
        <f>COUNTIFS(RawData[Item], B7282,RawData[Quantity],C7282,RawData[Price Per Unit],D7282,RawData[Total Spent],E7282,RawData[Payment Method],F7282,RawData[Location],G7282,RawData[Transaction Date],H7282)</f>
        <v>1</v>
      </c>
      <c r="L7282"/>
    </row>
    <row r="7283" spans="1:12" x14ac:dyDescent="0.3">
      <c r="A7283" t="s">
        <v>7289</v>
      </c>
      <c r="B7283" t="s">
        <v>10010</v>
      </c>
      <c r="C7283">
        <v>1</v>
      </c>
      <c r="D7283">
        <v>1</v>
      </c>
      <c r="E7283">
        <v>1</v>
      </c>
      <c r="F7283" t="s">
        <v>10069</v>
      </c>
      <c r="G7283" t="s">
        <v>10069</v>
      </c>
      <c r="H7283" s="6">
        <v>45193</v>
      </c>
      <c r="I7283">
        <f t="shared" si="226"/>
        <v>0</v>
      </c>
      <c r="J7283" t="str">
        <f t="shared" si="227"/>
        <v>Complete</v>
      </c>
      <c r="K7283">
        <f>COUNTIFS(RawData[Item], B7283,RawData[Quantity],C7283,RawData[Price Per Unit],D7283,RawData[Total Spent],E7283,RawData[Payment Method],F7283,RawData[Location],G7283,RawData[Transaction Date],H7283)</f>
        <v>1</v>
      </c>
      <c r="L7283"/>
    </row>
    <row r="7284" spans="1:12" x14ac:dyDescent="0.3">
      <c r="A7284" t="s">
        <v>7290</v>
      </c>
      <c r="B7284" t="s">
        <v>10015</v>
      </c>
      <c r="C7284">
        <v>2</v>
      </c>
      <c r="D7284">
        <v>3</v>
      </c>
      <c r="E7284">
        <v>6</v>
      </c>
      <c r="F7284" t="s">
        <v>10020</v>
      </c>
      <c r="G7284" t="s">
        <v>10069</v>
      </c>
      <c r="H7284" s="6">
        <v>45092</v>
      </c>
      <c r="I7284">
        <f t="shared" si="226"/>
        <v>1</v>
      </c>
      <c r="J7284" t="str">
        <f t="shared" si="227"/>
        <v>Complete</v>
      </c>
      <c r="K7284">
        <f>COUNTIFS(RawData[Item], B7284,RawData[Quantity],C7284,RawData[Price Per Unit],D7284,RawData[Total Spent],E7284,RawData[Payment Method],F7284,RawData[Location],G7284,RawData[Transaction Date],H7284)</f>
        <v>1</v>
      </c>
      <c r="L7284"/>
    </row>
    <row r="7285" spans="1:12" x14ac:dyDescent="0.3">
      <c r="A7285" t="s">
        <v>7291</v>
      </c>
      <c r="B7285" t="s">
        <v>10010</v>
      </c>
      <c r="C7285">
        <v>0</v>
      </c>
      <c r="D7285">
        <v>1</v>
      </c>
      <c r="E7285">
        <v>5</v>
      </c>
      <c r="F7285" t="s">
        <v>10069</v>
      </c>
      <c r="G7285" t="s">
        <v>10021</v>
      </c>
      <c r="H7285" s="6">
        <v>45214</v>
      </c>
      <c r="I7285">
        <f t="shared" si="226"/>
        <v>0</v>
      </c>
      <c r="J7285" t="str">
        <f t="shared" si="227"/>
        <v>Complete</v>
      </c>
      <c r="K7285">
        <f>COUNTIFS(RawData[Item], B7285,RawData[Quantity],C7285,RawData[Price Per Unit],D7285,RawData[Total Spent],E7285,RawData[Payment Method],F7285,RawData[Location],G7285,RawData[Transaction Date],H7285)</f>
        <v>1</v>
      </c>
      <c r="L7285"/>
    </row>
    <row r="7286" spans="1:12" x14ac:dyDescent="0.3">
      <c r="A7286" t="s">
        <v>7292</v>
      </c>
      <c r="B7286" t="s">
        <v>10011</v>
      </c>
      <c r="C7286">
        <v>5</v>
      </c>
      <c r="D7286">
        <v>5</v>
      </c>
      <c r="E7286">
        <v>25</v>
      </c>
      <c r="F7286" t="s">
        <v>10019</v>
      </c>
      <c r="G7286" t="s">
        <v>10069</v>
      </c>
      <c r="H7286" s="6">
        <v>44996</v>
      </c>
      <c r="I7286">
        <f t="shared" si="226"/>
        <v>0</v>
      </c>
      <c r="J7286" t="str">
        <f t="shared" si="227"/>
        <v>Complete</v>
      </c>
      <c r="K7286">
        <f>COUNTIFS(RawData[Item], B7286,RawData[Quantity],C7286,RawData[Price Per Unit],D7286,RawData[Total Spent],E7286,RawData[Payment Method],F7286,RawData[Location],G7286,RawData[Transaction Date],H7286)</f>
        <v>1</v>
      </c>
      <c r="L7286"/>
    </row>
    <row r="7287" spans="1:12" x14ac:dyDescent="0.3">
      <c r="A7287" t="s">
        <v>7293</v>
      </c>
      <c r="B7287" t="s">
        <v>10008</v>
      </c>
      <c r="C7287">
        <v>2</v>
      </c>
      <c r="D7287">
        <v>2</v>
      </c>
      <c r="E7287">
        <v>4</v>
      </c>
      <c r="F7287" t="s">
        <v>10069</v>
      </c>
      <c r="G7287" t="s">
        <v>10069</v>
      </c>
      <c r="H7287" s="6">
        <v>44927</v>
      </c>
      <c r="I7287">
        <f t="shared" si="226"/>
        <v>0</v>
      </c>
      <c r="J7287" t="str">
        <f t="shared" si="227"/>
        <v>Complete</v>
      </c>
      <c r="K7287">
        <f>COUNTIFS(RawData[Item], B7287,RawData[Quantity],C7287,RawData[Price Per Unit],D7287,RawData[Total Spent],E7287,RawData[Payment Method],F7287,RawData[Location],G7287,RawData[Transaction Date],H7287)</f>
        <v>1</v>
      </c>
      <c r="L7287"/>
    </row>
    <row r="7288" spans="1:12" x14ac:dyDescent="0.3">
      <c r="A7288" t="s">
        <v>7294</v>
      </c>
      <c r="B7288" t="s">
        <v>10013</v>
      </c>
      <c r="C7288">
        <v>2</v>
      </c>
      <c r="D7288">
        <v>5</v>
      </c>
      <c r="E7288">
        <v>10</v>
      </c>
      <c r="F7288" t="s">
        <v>10018</v>
      </c>
      <c r="G7288" t="s">
        <v>10021</v>
      </c>
      <c r="H7288" s="6">
        <v>45040</v>
      </c>
      <c r="I7288">
        <f t="shared" si="226"/>
        <v>1</v>
      </c>
      <c r="J7288" t="str">
        <f t="shared" si="227"/>
        <v>Complete</v>
      </c>
      <c r="K7288">
        <f>COUNTIFS(RawData[Item], B7288,RawData[Quantity],C7288,RawData[Price Per Unit],D7288,RawData[Total Spent],E7288,RawData[Payment Method],F7288,RawData[Location],G7288,RawData[Transaction Date],H7288)</f>
        <v>1</v>
      </c>
      <c r="L7288"/>
    </row>
    <row r="7289" spans="1:12" x14ac:dyDescent="0.3">
      <c r="A7289" t="s">
        <v>7295</v>
      </c>
      <c r="B7289" t="s">
        <v>10010</v>
      </c>
      <c r="C7289">
        <v>3</v>
      </c>
      <c r="D7289">
        <v>1</v>
      </c>
      <c r="E7289">
        <v>3</v>
      </c>
      <c r="F7289" t="s">
        <v>10020</v>
      </c>
      <c r="G7289" t="s">
        <v>10021</v>
      </c>
      <c r="H7289" s="6">
        <v>45232</v>
      </c>
      <c r="I7289">
        <f t="shared" si="226"/>
        <v>0</v>
      </c>
      <c r="J7289" t="str">
        <f t="shared" si="227"/>
        <v>Complete</v>
      </c>
      <c r="K7289">
        <f>COUNTIFS(RawData[Item], B7289,RawData[Quantity],C7289,RawData[Price Per Unit],D7289,RawData[Total Spent],E7289,RawData[Payment Method],F7289,RawData[Location],G7289,RawData[Transaction Date],H7289)</f>
        <v>1</v>
      </c>
      <c r="L7289"/>
    </row>
    <row r="7290" spans="1:12" x14ac:dyDescent="0.3">
      <c r="A7290" t="s">
        <v>7296</v>
      </c>
      <c r="B7290" t="s">
        <v>10009</v>
      </c>
      <c r="C7290">
        <v>1</v>
      </c>
      <c r="D7290">
        <v>3</v>
      </c>
      <c r="E7290">
        <v>3</v>
      </c>
      <c r="F7290" t="s">
        <v>10069</v>
      </c>
      <c r="G7290" t="s">
        <v>10102</v>
      </c>
      <c r="H7290" s="6">
        <v>45078</v>
      </c>
      <c r="I7290">
        <f t="shared" si="226"/>
        <v>0</v>
      </c>
      <c r="J7290" t="str">
        <f t="shared" si="227"/>
        <v>Complete</v>
      </c>
      <c r="K7290">
        <f>COUNTIFS(RawData[Item], B7290,RawData[Quantity],C7290,RawData[Price Per Unit],D7290,RawData[Total Spent],E7290,RawData[Payment Method],F7290,RawData[Location],G7290,RawData[Transaction Date],H7290)</f>
        <v>1</v>
      </c>
      <c r="L7290"/>
    </row>
    <row r="7291" spans="1:12" x14ac:dyDescent="0.3">
      <c r="A7291" t="s">
        <v>7297</v>
      </c>
      <c r="B7291" t="s">
        <v>10017</v>
      </c>
      <c r="C7291">
        <v>1</v>
      </c>
      <c r="D7291">
        <v>1.5</v>
      </c>
      <c r="E7291">
        <v>1.5</v>
      </c>
      <c r="F7291" t="s">
        <v>10019</v>
      </c>
      <c r="G7291" t="s">
        <v>10102</v>
      </c>
      <c r="H7291" s="6">
        <v>45011</v>
      </c>
      <c r="I7291">
        <f t="shared" si="226"/>
        <v>0</v>
      </c>
      <c r="J7291" t="str">
        <f t="shared" si="227"/>
        <v>Complete</v>
      </c>
      <c r="K7291">
        <f>COUNTIFS(RawData[Item], B7291,RawData[Quantity],C7291,RawData[Price Per Unit],D7291,RawData[Total Spent],E7291,RawData[Payment Method],F7291,RawData[Location],G7291,RawData[Transaction Date],H7291)</f>
        <v>1</v>
      </c>
      <c r="L7291"/>
    </row>
    <row r="7292" spans="1:12" x14ac:dyDescent="0.3">
      <c r="A7292" t="s">
        <v>7298</v>
      </c>
      <c r="B7292" t="s">
        <v>10010</v>
      </c>
      <c r="C7292">
        <v>4</v>
      </c>
      <c r="D7292">
        <v>1</v>
      </c>
      <c r="E7292">
        <v>4</v>
      </c>
      <c r="F7292" t="s">
        <v>10069</v>
      </c>
      <c r="G7292" t="s">
        <v>10021</v>
      </c>
      <c r="H7292" s="6">
        <v>45133</v>
      </c>
      <c r="I7292">
        <f t="shared" si="226"/>
        <v>0</v>
      </c>
      <c r="J7292" t="str">
        <f t="shared" si="227"/>
        <v>Complete</v>
      </c>
      <c r="K7292">
        <f>COUNTIFS(RawData[Item], B7292,RawData[Quantity],C7292,RawData[Price Per Unit],D7292,RawData[Total Spent],E7292,RawData[Payment Method],F7292,RawData[Location],G7292,RawData[Transaction Date],H7292)</f>
        <v>1</v>
      </c>
      <c r="L7292"/>
    </row>
    <row r="7293" spans="1:12" x14ac:dyDescent="0.3">
      <c r="A7293" t="s">
        <v>7299</v>
      </c>
      <c r="B7293" t="s">
        <v>10009</v>
      </c>
      <c r="C7293">
        <v>2</v>
      </c>
      <c r="D7293">
        <v>3</v>
      </c>
      <c r="E7293">
        <v>6</v>
      </c>
      <c r="F7293" t="s">
        <v>10069</v>
      </c>
      <c r="G7293" t="s">
        <v>10021</v>
      </c>
      <c r="H7293" s="6">
        <v>44947</v>
      </c>
      <c r="I7293">
        <f t="shared" si="226"/>
        <v>0</v>
      </c>
      <c r="J7293" t="str">
        <f t="shared" si="227"/>
        <v>Complete</v>
      </c>
      <c r="K7293">
        <f>COUNTIFS(RawData[Item], B7293,RawData[Quantity],C7293,RawData[Price Per Unit],D7293,RawData[Total Spent],E7293,RawData[Payment Method],F7293,RawData[Location],G7293,RawData[Transaction Date],H7293)</f>
        <v>1</v>
      </c>
      <c r="L7293"/>
    </row>
    <row r="7294" spans="1:12" x14ac:dyDescent="0.3">
      <c r="A7294" t="s">
        <v>7300</v>
      </c>
      <c r="B7294" t="s">
        <v>10011</v>
      </c>
      <c r="C7294">
        <v>1</v>
      </c>
      <c r="D7294">
        <v>5</v>
      </c>
      <c r="E7294">
        <v>5</v>
      </c>
      <c r="F7294" t="s">
        <v>10069</v>
      </c>
      <c r="G7294" t="s">
        <v>10021</v>
      </c>
      <c r="H7294" s="6">
        <v>45153</v>
      </c>
      <c r="I7294">
        <f t="shared" si="226"/>
        <v>0</v>
      </c>
      <c r="J7294" t="str">
        <f t="shared" si="227"/>
        <v>Complete</v>
      </c>
      <c r="K7294">
        <f>COUNTIFS(RawData[Item], B7294,RawData[Quantity],C7294,RawData[Price Per Unit],D7294,RawData[Total Spent],E7294,RawData[Payment Method],F7294,RawData[Location],G7294,RawData[Transaction Date],H7294)</f>
        <v>1</v>
      </c>
      <c r="L7294"/>
    </row>
    <row r="7295" spans="1:12" x14ac:dyDescent="0.3">
      <c r="A7295" t="s">
        <v>7301</v>
      </c>
      <c r="B7295" t="s">
        <v>10017</v>
      </c>
      <c r="C7295">
        <v>1</v>
      </c>
      <c r="D7295">
        <v>1.5</v>
      </c>
      <c r="E7295">
        <v>1.5</v>
      </c>
      <c r="F7295" t="s">
        <v>10018</v>
      </c>
      <c r="G7295" t="s">
        <v>10021</v>
      </c>
      <c r="H7295" s="6">
        <v>45171</v>
      </c>
      <c r="I7295">
        <f t="shared" si="226"/>
        <v>0</v>
      </c>
      <c r="J7295" t="str">
        <f t="shared" si="227"/>
        <v>Complete</v>
      </c>
      <c r="K7295">
        <f>COUNTIFS(RawData[Item], B7295,RawData[Quantity],C7295,RawData[Price Per Unit],D7295,RawData[Total Spent],E7295,RawData[Payment Method],F7295,RawData[Location],G7295,RawData[Transaction Date],H7295)</f>
        <v>1</v>
      </c>
      <c r="L7295"/>
    </row>
    <row r="7296" spans="1:12" x14ac:dyDescent="0.3">
      <c r="A7296" t="s">
        <v>7302</v>
      </c>
      <c r="B7296" t="s">
        <v>10008</v>
      </c>
      <c r="C7296">
        <v>3</v>
      </c>
      <c r="D7296">
        <v>2</v>
      </c>
      <c r="E7296">
        <v>6</v>
      </c>
      <c r="F7296" t="s">
        <v>10020</v>
      </c>
      <c r="G7296" t="s">
        <v>10069</v>
      </c>
      <c r="H7296" s="6">
        <v>45223</v>
      </c>
      <c r="I7296">
        <f t="shared" si="226"/>
        <v>0</v>
      </c>
      <c r="J7296" t="str">
        <f t="shared" si="227"/>
        <v>Complete</v>
      </c>
      <c r="K7296">
        <f>COUNTIFS(RawData[Item], B7296,RawData[Quantity],C7296,RawData[Price Per Unit],D7296,RawData[Total Spent],E7296,RawData[Payment Method],F7296,RawData[Location],G7296,RawData[Transaction Date],H7296)</f>
        <v>1</v>
      </c>
      <c r="L7296"/>
    </row>
    <row r="7297" spans="1:12" x14ac:dyDescent="0.3">
      <c r="A7297" t="s">
        <v>7303</v>
      </c>
      <c r="B7297" t="s">
        <v>10009</v>
      </c>
      <c r="C7297">
        <v>2</v>
      </c>
      <c r="D7297">
        <v>3</v>
      </c>
      <c r="E7297">
        <v>6</v>
      </c>
      <c r="F7297" t="s">
        <v>10020</v>
      </c>
      <c r="G7297" t="s">
        <v>10069</v>
      </c>
      <c r="H7297" s="6" t="s">
        <v>10112</v>
      </c>
      <c r="I7297">
        <f t="shared" si="226"/>
        <v>1</v>
      </c>
      <c r="J7297" t="str">
        <f t="shared" si="227"/>
        <v>Incomplete</v>
      </c>
      <c r="K7297">
        <f>COUNTIFS(RawData[Item], B7297,RawData[Quantity],C7297,RawData[Price Per Unit],D7297,RawData[Total Spent],E7297,RawData[Payment Method],F7297,RawData[Location],G7297,RawData[Transaction Date],H7297)</f>
        <v>1</v>
      </c>
      <c r="L7297"/>
    </row>
    <row r="7298" spans="1:12" x14ac:dyDescent="0.3">
      <c r="A7298" t="s">
        <v>7304</v>
      </c>
      <c r="B7298" t="s">
        <v>10014</v>
      </c>
      <c r="C7298">
        <v>3</v>
      </c>
      <c r="D7298">
        <v>4</v>
      </c>
      <c r="E7298">
        <v>12</v>
      </c>
      <c r="F7298" t="s">
        <v>10020</v>
      </c>
      <c r="G7298" t="s">
        <v>10102</v>
      </c>
      <c r="H7298" s="6">
        <v>45172</v>
      </c>
      <c r="I7298">
        <f t="shared" ref="I7298:I7361" si="228">(B7298="Unknown")+(B7298="Error")+(C7298="Unknown")+(C7298="Error")+(D7298="Unknown")+(D7298="Error")+(E7298="Unknown")+(E7298="Error")+(F7298="Unknown")+(F7298="Error")+(G7298="Unknown")+(G7298="Error")+(H7298="No Date")</f>
        <v>0</v>
      </c>
      <c r="J7298" t="str">
        <f t="shared" ref="J7298:J7361" si="229">IF((H7298="No Date"),"Incomplete","Complete")</f>
        <v>Complete</v>
      </c>
      <c r="K7298">
        <f>COUNTIFS(RawData[Item], B7298,RawData[Quantity],C7298,RawData[Price Per Unit],D7298,RawData[Total Spent],E7298,RawData[Payment Method],F7298,RawData[Location],G7298,RawData[Transaction Date],H7298)</f>
        <v>1</v>
      </c>
      <c r="L7298"/>
    </row>
    <row r="7299" spans="1:12" x14ac:dyDescent="0.3">
      <c r="A7299" t="s">
        <v>7305</v>
      </c>
      <c r="B7299" t="s">
        <v>10012</v>
      </c>
      <c r="C7299" t="s">
        <v>10013</v>
      </c>
      <c r="D7299">
        <v>4</v>
      </c>
      <c r="E7299" t="s">
        <v>10015</v>
      </c>
      <c r="F7299" t="s">
        <v>10019</v>
      </c>
      <c r="G7299" t="s">
        <v>10102</v>
      </c>
      <c r="H7299" s="6">
        <v>44929</v>
      </c>
      <c r="I7299">
        <f t="shared" si="228"/>
        <v>2</v>
      </c>
      <c r="J7299" t="str">
        <f t="shared" si="229"/>
        <v>Complete</v>
      </c>
      <c r="K7299">
        <f>COUNTIFS(RawData[Item], B7299,RawData[Quantity],C7299,RawData[Price Per Unit],D7299,RawData[Total Spent],E7299,RawData[Payment Method],F7299,RawData[Location],G7299,RawData[Transaction Date],H7299)</f>
        <v>1</v>
      </c>
      <c r="L7299"/>
    </row>
    <row r="7300" spans="1:12" x14ac:dyDescent="0.3">
      <c r="A7300" t="s">
        <v>7306</v>
      </c>
      <c r="B7300" t="s">
        <v>10017</v>
      </c>
      <c r="C7300">
        <v>5</v>
      </c>
      <c r="D7300">
        <v>1.5</v>
      </c>
      <c r="E7300">
        <v>7.5</v>
      </c>
      <c r="F7300" t="s">
        <v>10069</v>
      </c>
      <c r="G7300" t="s">
        <v>10021</v>
      </c>
      <c r="H7300" s="6">
        <v>44940</v>
      </c>
      <c r="I7300">
        <f t="shared" si="228"/>
        <v>0</v>
      </c>
      <c r="J7300" t="str">
        <f t="shared" si="229"/>
        <v>Complete</v>
      </c>
      <c r="K7300">
        <f>COUNTIFS(RawData[Item], B7300,RawData[Quantity],C7300,RawData[Price Per Unit],D7300,RawData[Total Spent],E7300,RawData[Payment Method],F7300,RawData[Location],G7300,RawData[Transaction Date],H7300)</f>
        <v>1</v>
      </c>
      <c r="L7300"/>
    </row>
    <row r="7301" spans="1:12" x14ac:dyDescent="0.3">
      <c r="A7301" t="s">
        <v>7307</v>
      </c>
      <c r="B7301" t="s">
        <v>10016</v>
      </c>
      <c r="C7301">
        <v>5</v>
      </c>
      <c r="D7301">
        <v>3</v>
      </c>
      <c r="E7301">
        <v>15</v>
      </c>
      <c r="F7301" t="s">
        <v>10018</v>
      </c>
      <c r="G7301" t="s">
        <v>10102</v>
      </c>
      <c r="H7301" s="6">
        <v>45189</v>
      </c>
      <c r="I7301">
        <f t="shared" si="228"/>
        <v>0</v>
      </c>
      <c r="J7301" t="str">
        <f t="shared" si="229"/>
        <v>Complete</v>
      </c>
      <c r="K7301">
        <f>COUNTIFS(RawData[Item], B7301,RawData[Quantity],C7301,RawData[Price Per Unit],D7301,RawData[Total Spent],E7301,RawData[Payment Method],F7301,RawData[Location],G7301,RawData[Transaction Date],H7301)</f>
        <v>1</v>
      </c>
      <c r="L7301"/>
    </row>
    <row r="7302" spans="1:12" x14ac:dyDescent="0.3">
      <c r="A7302" t="s">
        <v>7308</v>
      </c>
      <c r="B7302" t="s">
        <v>10017</v>
      </c>
      <c r="C7302">
        <v>2</v>
      </c>
      <c r="D7302">
        <v>1.5</v>
      </c>
      <c r="E7302">
        <v>3</v>
      </c>
      <c r="F7302" t="s">
        <v>10019</v>
      </c>
      <c r="G7302" t="s">
        <v>10021</v>
      </c>
      <c r="H7302" s="6">
        <v>45055</v>
      </c>
      <c r="I7302">
        <f t="shared" si="228"/>
        <v>0</v>
      </c>
      <c r="J7302" t="str">
        <f t="shared" si="229"/>
        <v>Complete</v>
      </c>
      <c r="K7302">
        <f>COUNTIFS(RawData[Item], B7302,RawData[Quantity],C7302,RawData[Price Per Unit],D7302,RawData[Total Spent],E7302,RawData[Payment Method],F7302,RawData[Location],G7302,RawData[Transaction Date],H7302)</f>
        <v>1</v>
      </c>
      <c r="L7302"/>
    </row>
    <row r="7303" spans="1:12" x14ac:dyDescent="0.3">
      <c r="A7303" t="s">
        <v>7309</v>
      </c>
      <c r="B7303" t="s">
        <v>10011</v>
      </c>
      <c r="C7303">
        <v>5</v>
      </c>
      <c r="D7303">
        <v>5</v>
      </c>
      <c r="E7303">
        <v>25</v>
      </c>
      <c r="F7303" t="s">
        <v>10104</v>
      </c>
      <c r="G7303" t="s">
        <v>10021</v>
      </c>
      <c r="H7303" s="6">
        <v>45130</v>
      </c>
      <c r="I7303">
        <f t="shared" si="228"/>
        <v>1</v>
      </c>
      <c r="J7303" t="str">
        <f t="shared" si="229"/>
        <v>Complete</v>
      </c>
      <c r="K7303">
        <f>COUNTIFS(RawData[Item], B7303,RawData[Quantity],C7303,RawData[Price Per Unit],D7303,RawData[Total Spent],E7303,RawData[Payment Method],F7303,RawData[Location],G7303,RawData[Transaction Date],H7303)</f>
        <v>1</v>
      </c>
      <c r="L7303"/>
    </row>
    <row r="7304" spans="1:12" x14ac:dyDescent="0.3">
      <c r="A7304" t="s">
        <v>7310</v>
      </c>
      <c r="B7304" t="s">
        <v>10010</v>
      </c>
      <c r="C7304">
        <v>1</v>
      </c>
      <c r="D7304">
        <v>1</v>
      </c>
      <c r="E7304">
        <v>1</v>
      </c>
      <c r="F7304" t="s">
        <v>10019</v>
      </c>
      <c r="G7304" t="s">
        <v>10021</v>
      </c>
      <c r="H7304" s="6">
        <v>45261</v>
      </c>
      <c r="I7304">
        <f t="shared" si="228"/>
        <v>0</v>
      </c>
      <c r="J7304" t="str">
        <f t="shared" si="229"/>
        <v>Complete</v>
      </c>
      <c r="K7304">
        <f>COUNTIFS(RawData[Item], B7304,RawData[Quantity],C7304,RawData[Price Per Unit],D7304,RawData[Total Spent],E7304,RawData[Payment Method],F7304,RawData[Location],G7304,RawData[Transaction Date],H7304)</f>
        <v>1</v>
      </c>
      <c r="L7304"/>
    </row>
    <row r="7305" spans="1:12" x14ac:dyDescent="0.3">
      <c r="A7305" t="s">
        <v>7311</v>
      </c>
      <c r="B7305" t="s">
        <v>10014</v>
      </c>
      <c r="C7305">
        <v>1</v>
      </c>
      <c r="D7305">
        <v>4</v>
      </c>
      <c r="E7305">
        <v>4</v>
      </c>
      <c r="F7305" t="s">
        <v>10020</v>
      </c>
      <c r="G7305" t="s">
        <v>10021</v>
      </c>
      <c r="H7305" s="6">
        <v>44976</v>
      </c>
      <c r="I7305">
        <f t="shared" si="228"/>
        <v>0</v>
      </c>
      <c r="J7305" t="str">
        <f t="shared" si="229"/>
        <v>Complete</v>
      </c>
      <c r="K7305">
        <f>COUNTIFS(RawData[Item], B7305,RawData[Quantity],C7305,RawData[Price Per Unit],D7305,RawData[Total Spent],E7305,RawData[Payment Method],F7305,RawData[Location],G7305,RawData[Transaction Date],H7305)</f>
        <v>1</v>
      </c>
      <c r="L7305"/>
    </row>
    <row r="7306" spans="1:12" x14ac:dyDescent="0.3">
      <c r="A7306" t="s">
        <v>7312</v>
      </c>
      <c r="B7306" t="s">
        <v>10008</v>
      </c>
      <c r="C7306">
        <v>5</v>
      </c>
      <c r="D7306">
        <v>2</v>
      </c>
      <c r="E7306">
        <v>10</v>
      </c>
      <c r="F7306" t="s">
        <v>10103</v>
      </c>
      <c r="G7306" t="s">
        <v>10069</v>
      </c>
      <c r="H7306" s="6">
        <v>45146</v>
      </c>
      <c r="I7306">
        <f t="shared" si="228"/>
        <v>1</v>
      </c>
      <c r="J7306" t="str">
        <f t="shared" si="229"/>
        <v>Complete</v>
      </c>
      <c r="K7306">
        <f>COUNTIFS(RawData[Item], B7306,RawData[Quantity],C7306,RawData[Price Per Unit],D7306,RawData[Total Spent],E7306,RawData[Payment Method],F7306,RawData[Location],G7306,RawData[Transaction Date],H7306)</f>
        <v>1</v>
      </c>
      <c r="L7306"/>
    </row>
    <row r="7307" spans="1:12" x14ac:dyDescent="0.3">
      <c r="A7307" t="s">
        <v>7313</v>
      </c>
      <c r="B7307" t="s">
        <v>10009</v>
      </c>
      <c r="C7307">
        <v>1</v>
      </c>
      <c r="D7307">
        <v>3</v>
      </c>
      <c r="E7307">
        <v>3</v>
      </c>
      <c r="F7307" t="s">
        <v>10018</v>
      </c>
      <c r="G7307" t="s">
        <v>10069</v>
      </c>
      <c r="H7307" s="6">
        <v>45243</v>
      </c>
      <c r="I7307">
        <f t="shared" si="228"/>
        <v>0</v>
      </c>
      <c r="J7307" t="str">
        <f t="shared" si="229"/>
        <v>Complete</v>
      </c>
      <c r="K7307">
        <f>COUNTIFS(RawData[Item], B7307,RawData[Quantity],C7307,RawData[Price Per Unit],D7307,RawData[Total Spent],E7307,RawData[Payment Method],F7307,RawData[Location],G7307,RawData[Transaction Date],H7307)</f>
        <v>1</v>
      </c>
      <c r="L7307"/>
    </row>
    <row r="7308" spans="1:12" x14ac:dyDescent="0.3">
      <c r="A7308" t="s">
        <v>7314</v>
      </c>
      <c r="B7308" t="s">
        <v>10010</v>
      </c>
      <c r="C7308">
        <v>4</v>
      </c>
      <c r="D7308">
        <v>1</v>
      </c>
      <c r="E7308">
        <v>4</v>
      </c>
      <c r="F7308" t="s">
        <v>10018</v>
      </c>
      <c r="G7308" t="s">
        <v>10104</v>
      </c>
      <c r="H7308" s="6">
        <v>44927</v>
      </c>
      <c r="I7308">
        <f t="shared" si="228"/>
        <v>1</v>
      </c>
      <c r="J7308" t="str">
        <f t="shared" si="229"/>
        <v>Complete</v>
      </c>
      <c r="K7308">
        <f>COUNTIFS(RawData[Item], B7308,RawData[Quantity],C7308,RawData[Price Per Unit],D7308,RawData[Total Spent],E7308,RawData[Payment Method],F7308,RawData[Location],G7308,RawData[Transaction Date],H7308)</f>
        <v>1</v>
      </c>
      <c r="L7308"/>
    </row>
    <row r="7309" spans="1:12" x14ac:dyDescent="0.3">
      <c r="A7309" t="s">
        <v>7315</v>
      </c>
      <c r="B7309" t="s">
        <v>10013</v>
      </c>
      <c r="C7309">
        <v>5</v>
      </c>
      <c r="D7309">
        <v>4</v>
      </c>
      <c r="E7309">
        <v>20</v>
      </c>
      <c r="F7309" t="s">
        <v>10020</v>
      </c>
      <c r="G7309" t="s">
        <v>10021</v>
      </c>
      <c r="H7309" s="6">
        <v>45290</v>
      </c>
      <c r="I7309">
        <f t="shared" si="228"/>
        <v>1</v>
      </c>
      <c r="J7309" t="str">
        <f t="shared" si="229"/>
        <v>Complete</v>
      </c>
      <c r="K7309">
        <f>COUNTIFS(RawData[Item], B7309,RawData[Quantity],C7309,RawData[Price Per Unit],D7309,RawData[Total Spent],E7309,RawData[Payment Method],F7309,RawData[Location],G7309,RawData[Transaction Date],H7309)</f>
        <v>1</v>
      </c>
      <c r="L7309"/>
    </row>
    <row r="7310" spans="1:12" x14ac:dyDescent="0.3">
      <c r="A7310" t="s">
        <v>7316</v>
      </c>
      <c r="B7310" t="s">
        <v>10013</v>
      </c>
      <c r="C7310">
        <v>2</v>
      </c>
      <c r="D7310">
        <v>2</v>
      </c>
      <c r="E7310">
        <v>4</v>
      </c>
      <c r="F7310" t="s">
        <v>10018</v>
      </c>
      <c r="G7310" t="s">
        <v>10102</v>
      </c>
      <c r="H7310" s="6">
        <v>45050</v>
      </c>
      <c r="I7310">
        <f t="shared" si="228"/>
        <v>1</v>
      </c>
      <c r="J7310" t="str">
        <f t="shared" si="229"/>
        <v>Complete</v>
      </c>
      <c r="K7310">
        <f>COUNTIFS(RawData[Item], B7310,RawData[Quantity],C7310,RawData[Price Per Unit],D7310,RawData[Total Spent],E7310,RawData[Payment Method],F7310,RawData[Location],G7310,RawData[Transaction Date],H7310)</f>
        <v>1</v>
      </c>
      <c r="L7310"/>
    </row>
    <row r="7311" spans="1:12" x14ac:dyDescent="0.3">
      <c r="A7311" t="s">
        <v>7317</v>
      </c>
      <c r="B7311" t="s">
        <v>10017</v>
      </c>
      <c r="C7311">
        <v>5</v>
      </c>
      <c r="D7311">
        <v>1.5</v>
      </c>
      <c r="E7311">
        <v>0</v>
      </c>
      <c r="F7311" t="s">
        <v>10103</v>
      </c>
      <c r="G7311" t="s">
        <v>10021</v>
      </c>
      <c r="H7311" s="6">
        <v>44927</v>
      </c>
      <c r="I7311">
        <f t="shared" si="228"/>
        <v>1</v>
      </c>
      <c r="J7311" t="str">
        <f t="shared" si="229"/>
        <v>Complete</v>
      </c>
      <c r="K7311">
        <f>COUNTIFS(RawData[Item], B7311,RawData[Quantity],C7311,RawData[Price Per Unit],D7311,RawData[Total Spent],E7311,RawData[Payment Method],F7311,RawData[Location],G7311,RawData[Transaction Date],H7311)</f>
        <v>1</v>
      </c>
      <c r="L7311"/>
    </row>
    <row r="7312" spans="1:12" x14ac:dyDescent="0.3">
      <c r="A7312" t="s">
        <v>7318</v>
      </c>
      <c r="B7312" t="s">
        <v>10069</v>
      </c>
      <c r="C7312">
        <v>3</v>
      </c>
      <c r="D7312">
        <v>4</v>
      </c>
      <c r="E7312">
        <v>12</v>
      </c>
      <c r="F7312" t="s">
        <v>10020</v>
      </c>
      <c r="G7312" t="s">
        <v>10102</v>
      </c>
      <c r="H7312" s="6">
        <v>45076</v>
      </c>
      <c r="I7312">
        <f t="shared" si="228"/>
        <v>0</v>
      </c>
      <c r="J7312" t="str">
        <f t="shared" si="229"/>
        <v>Complete</v>
      </c>
      <c r="K7312">
        <f>COUNTIFS(RawData[Item], B7312,RawData[Quantity],C7312,RawData[Price Per Unit],D7312,RawData[Total Spent],E7312,RawData[Payment Method],F7312,RawData[Location],G7312,RawData[Transaction Date],H7312)</f>
        <v>1</v>
      </c>
      <c r="L7312"/>
    </row>
    <row r="7313" spans="1:12" x14ac:dyDescent="0.3">
      <c r="A7313" t="s">
        <v>7319</v>
      </c>
      <c r="B7313" t="s">
        <v>10012</v>
      </c>
      <c r="C7313">
        <v>4</v>
      </c>
      <c r="D7313">
        <v>4</v>
      </c>
      <c r="E7313">
        <v>16</v>
      </c>
      <c r="F7313" t="s">
        <v>10018</v>
      </c>
      <c r="G7313" t="s">
        <v>10102</v>
      </c>
      <c r="H7313" s="6">
        <v>44935</v>
      </c>
      <c r="I7313">
        <f t="shared" si="228"/>
        <v>0</v>
      </c>
      <c r="J7313" t="str">
        <f t="shared" si="229"/>
        <v>Complete</v>
      </c>
      <c r="K7313">
        <f>COUNTIFS(RawData[Item], B7313,RawData[Quantity],C7313,RawData[Price Per Unit],D7313,RawData[Total Spent],E7313,RawData[Payment Method],F7313,RawData[Location],G7313,RawData[Transaction Date],H7313)</f>
        <v>1</v>
      </c>
      <c r="L7313"/>
    </row>
    <row r="7314" spans="1:12" x14ac:dyDescent="0.3">
      <c r="A7314" t="s">
        <v>7320</v>
      </c>
      <c r="B7314" t="s">
        <v>10014</v>
      </c>
      <c r="C7314">
        <v>3</v>
      </c>
      <c r="D7314">
        <v>4</v>
      </c>
      <c r="E7314">
        <v>12</v>
      </c>
      <c r="F7314" t="s">
        <v>10020</v>
      </c>
      <c r="G7314" t="s">
        <v>10104</v>
      </c>
      <c r="H7314" s="6">
        <v>45180</v>
      </c>
      <c r="I7314">
        <f t="shared" si="228"/>
        <v>1</v>
      </c>
      <c r="J7314" t="str">
        <f t="shared" si="229"/>
        <v>Complete</v>
      </c>
      <c r="K7314">
        <f>COUNTIFS(RawData[Item], B7314,RawData[Quantity],C7314,RawData[Price Per Unit],D7314,RawData[Total Spent],E7314,RawData[Payment Method],F7314,RawData[Location],G7314,RawData[Transaction Date],H7314)</f>
        <v>1</v>
      </c>
      <c r="L7314"/>
    </row>
    <row r="7315" spans="1:12" x14ac:dyDescent="0.3">
      <c r="A7315" t="s">
        <v>7321</v>
      </c>
      <c r="B7315" t="s">
        <v>10011</v>
      </c>
      <c r="C7315">
        <v>4</v>
      </c>
      <c r="D7315">
        <v>5</v>
      </c>
      <c r="E7315">
        <v>20</v>
      </c>
      <c r="F7315" t="s">
        <v>10020</v>
      </c>
      <c r="G7315" t="s">
        <v>10102</v>
      </c>
      <c r="H7315" s="6">
        <v>45207</v>
      </c>
      <c r="I7315">
        <f t="shared" si="228"/>
        <v>0</v>
      </c>
      <c r="J7315" t="str">
        <f t="shared" si="229"/>
        <v>Complete</v>
      </c>
      <c r="K7315">
        <f>COUNTIFS(RawData[Item], B7315,RawData[Quantity],C7315,RawData[Price Per Unit],D7315,RawData[Total Spent],E7315,RawData[Payment Method],F7315,RawData[Location],G7315,RawData[Transaction Date],H7315)</f>
        <v>1</v>
      </c>
      <c r="L7315"/>
    </row>
    <row r="7316" spans="1:12" x14ac:dyDescent="0.3">
      <c r="A7316" t="s">
        <v>7322</v>
      </c>
      <c r="B7316" t="s">
        <v>10016</v>
      </c>
      <c r="C7316">
        <v>2</v>
      </c>
      <c r="D7316">
        <v>3</v>
      </c>
      <c r="E7316">
        <v>6</v>
      </c>
      <c r="F7316" t="s">
        <v>10020</v>
      </c>
      <c r="G7316" t="s">
        <v>10102</v>
      </c>
      <c r="H7316" s="6">
        <v>45162</v>
      </c>
      <c r="I7316">
        <f t="shared" si="228"/>
        <v>0</v>
      </c>
      <c r="J7316" t="str">
        <f t="shared" si="229"/>
        <v>Complete</v>
      </c>
      <c r="K7316">
        <f>COUNTIFS(RawData[Item], B7316,RawData[Quantity],C7316,RawData[Price Per Unit],D7316,RawData[Total Spent],E7316,RawData[Payment Method],F7316,RawData[Location],G7316,RawData[Transaction Date],H7316)</f>
        <v>2</v>
      </c>
      <c r="L7316"/>
    </row>
    <row r="7317" spans="1:12" x14ac:dyDescent="0.3">
      <c r="A7317" t="s">
        <v>7323</v>
      </c>
      <c r="B7317" t="s">
        <v>10017</v>
      </c>
      <c r="C7317">
        <v>3</v>
      </c>
      <c r="D7317">
        <v>1.5</v>
      </c>
      <c r="E7317">
        <v>4.5</v>
      </c>
      <c r="F7317" t="s">
        <v>10020</v>
      </c>
      <c r="G7317" t="s">
        <v>10102</v>
      </c>
      <c r="H7317" s="6">
        <v>45056</v>
      </c>
      <c r="I7317">
        <f t="shared" si="228"/>
        <v>0</v>
      </c>
      <c r="J7317" t="str">
        <f t="shared" si="229"/>
        <v>Complete</v>
      </c>
      <c r="K7317">
        <f>COUNTIFS(RawData[Item], B7317,RawData[Quantity],C7317,RawData[Price Per Unit],D7317,RawData[Total Spent],E7317,RawData[Payment Method],F7317,RawData[Location],G7317,RawData[Transaction Date],H7317)</f>
        <v>1</v>
      </c>
      <c r="L7317"/>
    </row>
    <row r="7318" spans="1:12" x14ac:dyDescent="0.3">
      <c r="A7318" t="s">
        <v>7324</v>
      </c>
      <c r="B7318" t="s">
        <v>10010</v>
      </c>
      <c r="C7318">
        <v>4</v>
      </c>
      <c r="D7318">
        <v>1</v>
      </c>
      <c r="E7318">
        <v>4</v>
      </c>
      <c r="F7318" t="s">
        <v>10018</v>
      </c>
      <c r="G7318" t="s">
        <v>10102</v>
      </c>
      <c r="H7318" s="6">
        <v>45289</v>
      </c>
      <c r="I7318">
        <f t="shared" si="228"/>
        <v>0</v>
      </c>
      <c r="J7318" t="str">
        <f t="shared" si="229"/>
        <v>Complete</v>
      </c>
      <c r="K7318">
        <f>COUNTIFS(RawData[Item], B7318,RawData[Quantity],C7318,RawData[Price Per Unit],D7318,RawData[Total Spent],E7318,RawData[Payment Method],F7318,RawData[Location],G7318,RawData[Transaction Date],H7318)</f>
        <v>1</v>
      </c>
      <c r="L7318"/>
    </row>
    <row r="7319" spans="1:12" x14ac:dyDescent="0.3">
      <c r="A7319" t="s">
        <v>7325</v>
      </c>
      <c r="B7319" t="s">
        <v>10011</v>
      </c>
      <c r="C7319">
        <v>1</v>
      </c>
      <c r="D7319" t="s">
        <v>10015</v>
      </c>
      <c r="E7319">
        <v>5</v>
      </c>
      <c r="F7319" t="s">
        <v>10069</v>
      </c>
      <c r="G7319" t="s">
        <v>10021</v>
      </c>
      <c r="H7319" s="6">
        <v>45153</v>
      </c>
      <c r="I7319">
        <f t="shared" si="228"/>
        <v>1</v>
      </c>
      <c r="J7319" t="str">
        <f t="shared" si="229"/>
        <v>Complete</v>
      </c>
      <c r="K7319">
        <f>COUNTIFS(RawData[Item], B7319,RawData[Quantity],C7319,RawData[Price Per Unit],D7319,RawData[Total Spent],E7319,RawData[Payment Method],F7319,RawData[Location],G7319,RawData[Transaction Date],H7319)</f>
        <v>1</v>
      </c>
      <c r="L7319"/>
    </row>
    <row r="7320" spans="1:12" x14ac:dyDescent="0.3">
      <c r="A7320" t="s">
        <v>7326</v>
      </c>
      <c r="B7320" t="s">
        <v>10016</v>
      </c>
      <c r="C7320">
        <v>3</v>
      </c>
      <c r="D7320">
        <v>3</v>
      </c>
      <c r="E7320" t="s">
        <v>10015</v>
      </c>
      <c r="F7320" t="s">
        <v>10103</v>
      </c>
      <c r="G7320" t="s">
        <v>10102</v>
      </c>
      <c r="H7320" s="6">
        <v>45126</v>
      </c>
      <c r="I7320">
        <f t="shared" si="228"/>
        <v>2</v>
      </c>
      <c r="J7320" t="str">
        <f t="shared" si="229"/>
        <v>Complete</v>
      </c>
      <c r="K7320">
        <f>COUNTIFS(RawData[Item], B7320,RawData[Quantity],C7320,RawData[Price Per Unit],D7320,RawData[Total Spent],E7320,RawData[Payment Method],F7320,RawData[Location],G7320,RawData[Transaction Date],H7320)</f>
        <v>1</v>
      </c>
      <c r="L7320"/>
    </row>
    <row r="7321" spans="1:12" x14ac:dyDescent="0.3">
      <c r="A7321" t="s">
        <v>7327</v>
      </c>
      <c r="B7321" t="s">
        <v>10012</v>
      </c>
      <c r="C7321">
        <v>5</v>
      </c>
      <c r="D7321" t="s">
        <v>10013</v>
      </c>
      <c r="E7321">
        <v>20</v>
      </c>
      <c r="F7321" t="s">
        <v>10019</v>
      </c>
      <c r="G7321" t="s">
        <v>10069</v>
      </c>
      <c r="H7321" s="6">
        <v>45220</v>
      </c>
      <c r="I7321">
        <f t="shared" si="228"/>
        <v>1</v>
      </c>
      <c r="J7321" t="str">
        <f t="shared" si="229"/>
        <v>Complete</v>
      </c>
      <c r="K7321">
        <f>COUNTIFS(RawData[Item], B7321,RawData[Quantity],C7321,RawData[Price Per Unit],D7321,RawData[Total Spent],E7321,RawData[Payment Method],F7321,RawData[Location],G7321,RawData[Transaction Date],H7321)</f>
        <v>1</v>
      </c>
      <c r="L7321"/>
    </row>
    <row r="7322" spans="1:12" x14ac:dyDescent="0.3">
      <c r="A7322" t="s">
        <v>7328</v>
      </c>
      <c r="B7322" t="s">
        <v>10010</v>
      </c>
      <c r="C7322">
        <v>5</v>
      </c>
      <c r="D7322">
        <v>1</v>
      </c>
      <c r="E7322">
        <v>5</v>
      </c>
      <c r="F7322" t="s">
        <v>10020</v>
      </c>
      <c r="G7322" t="s">
        <v>10069</v>
      </c>
      <c r="H7322" s="6">
        <v>45236</v>
      </c>
      <c r="I7322">
        <f t="shared" si="228"/>
        <v>0</v>
      </c>
      <c r="J7322" t="str">
        <f t="shared" si="229"/>
        <v>Complete</v>
      </c>
      <c r="K7322">
        <f>COUNTIFS(RawData[Item], B7322,RawData[Quantity],C7322,RawData[Price Per Unit],D7322,RawData[Total Spent],E7322,RawData[Payment Method],F7322,RawData[Location],G7322,RawData[Transaction Date],H7322)</f>
        <v>1</v>
      </c>
      <c r="L7322"/>
    </row>
    <row r="7323" spans="1:12" x14ac:dyDescent="0.3">
      <c r="A7323" t="s">
        <v>7329</v>
      </c>
      <c r="B7323" t="s">
        <v>10014</v>
      </c>
      <c r="C7323">
        <v>3</v>
      </c>
      <c r="D7323">
        <v>4</v>
      </c>
      <c r="E7323">
        <v>12</v>
      </c>
      <c r="F7323" t="s">
        <v>10020</v>
      </c>
      <c r="G7323" t="s">
        <v>10021</v>
      </c>
      <c r="H7323" s="6" t="s">
        <v>10112</v>
      </c>
      <c r="I7323">
        <f t="shared" si="228"/>
        <v>1</v>
      </c>
      <c r="J7323" t="str">
        <f t="shared" si="229"/>
        <v>Incomplete</v>
      </c>
      <c r="K7323">
        <f>COUNTIFS(RawData[Item], B7323,RawData[Quantity],C7323,RawData[Price Per Unit],D7323,RawData[Total Spent],E7323,RawData[Payment Method],F7323,RawData[Location],G7323,RawData[Transaction Date],H7323)</f>
        <v>1</v>
      </c>
      <c r="L7323"/>
    </row>
    <row r="7324" spans="1:12" x14ac:dyDescent="0.3">
      <c r="A7324" t="s">
        <v>7330</v>
      </c>
      <c r="B7324" t="s">
        <v>10016</v>
      </c>
      <c r="C7324">
        <v>1</v>
      </c>
      <c r="D7324">
        <v>3</v>
      </c>
      <c r="E7324">
        <v>3</v>
      </c>
      <c r="F7324" t="s">
        <v>10019</v>
      </c>
      <c r="G7324" t="s">
        <v>10102</v>
      </c>
      <c r="H7324" s="6">
        <v>45200</v>
      </c>
      <c r="I7324">
        <f t="shared" si="228"/>
        <v>0</v>
      </c>
      <c r="J7324" t="str">
        <f t="shared" si="229"/>
        <v>Complete</v>
      </c>
      <c r="K7324">
        <f>COUNTIFS(RawData[Item], B7324,RawData[Quantity],C7324,RawData[Price Per Unit],D7324,RawData[Total Spent],E7324,RawData[Payment Method],F7324,RawData[Location],G7324,RawData[Transaction Date],H7324)</f>
        <v>1</v>
      </c>
      <c r="L7324"/>
    </row>
    <row r="7325" spans="1:12" x14ac:dyDescent="0.3">
      <c r="A7325" t="s">
        <v>7331</v>
      </c>
      <c r="B7325" t="s">
        <v>10009</v>
      </c>
      <c r="C7325">
        <v>4</v>
      </c>
      <c r="D7325">
        <v>3</v>
      </c>
      <c r="E7325">
        <v>12</v>
      </c>
      <c r="F7325" t="s">
        <v>10069</v>
      </c>
      <c r="G7325" t="s">
        <v>10069</v>
      </c>
      <c r="H7325" s="6">
        <v>45240</v>
      </c>
      <c r="I7325">
        <f t="shared" si="228"/>
        <v>0</v>
      </c>
      <c r="J7325" t="str">
        <f t="shared" si="229"/>
        <v>Complete</v>
      </c>
      <c r="K7325">
        <f>COUNTIFS(RawData[Item], B7325,RawData[Quantity],C7325,RawData[Price Per Unit],D7325,RawData[Total Spent],E7325,RawData[Payment Method],F7325,RawData[Location],G7325,RawData[Transaction Date],H7325)</f>
        <v>1</v>
      </c>
      <c r="L7325"/>
    </row>
    <row r="7326" spans="1:12" x14ac:dyDescent="0.3">
      <c r="A7326" t="s">
        <v>7332</v>
      </c>
      <c r="B7326" t="s">
        <v>10014</v>
      </c>
      <c r="C7326">
        <v>3</v>
      </c>
      <c r="D7326">
        <v>4</v>
      </c>
      <c r="E7326">
        <v>12</v>
      </c>
      <c r="F7326" t="s">
        <v>10019</v>
      </c>
      <c r="G7326" t="s">
        <v>10102</v>
      </c>
      <c r="H7326" s="6">
        <v>44949</v>
      </c>
      <c r="I7326">
        <f t="shared" si="228"/>
        <v>0</v>
      </c>
      <c r="J7326" t="str">
        <f t="shared" si="229"/>
        <v>Complete</v>
      </c>
      <c r="K7326">
        <f>COUNTIFS(RawData[Item], B7326,RawData[Quantity],C7326,RawData[Price Per Unit],D7326,RawData[Total Spent],E7326,RawData[Payment Method],F7326,RawData[Location],G7326,RawData[Transaction Date],H7326)</f>
        <v>1</v>
      </c>
      <c r="L7326"/>
    </row>
    <row r="7327" spans="1:12" x14ac:dyDescent="0.3">
      <c r="A7327" t="s">
        <v>7333</v>
      </c>
      <c r="B7327" t="s">
        <v>10069</v>
      </c>
      <c r="C7327">
        <v>2</v>
      </c>
      <c r="D7327">
        <v>1</v>
      </c>
      <c r="E7327">
        <v>2</v>
      </c>
      <c r="F7327" t="s">
        <v>10018</v>
      </c>
      <c r="G7327" t="s">
        <v>10102</v>
      </c>
      <c r="H7327" s="6">
        <v>44946</v>
      </c>
      <c r="I7327">
        <f t="shared" si="228"/>
        <v>0</v>
      </c>
      <c r="J7327" t="str">
        <f t="shared" si="229"/>
        <v>Complete</v>
      </c>
      <c r="K7327">
        <f>COUNTIFS(RawData[Item], B7327,RawData[Quantity],C7327,RawData[Price Per Unit],D7327,RawData[Total Spent],E7327,RawData[Payment Method],F7327,RawData[Location],G7327,RawData[Transaction Date],H7327)</f>
        <v>1</v>
      </c>
      <c r="L7327"/>
    </row>
    <row r="7328" spans="1:12" x14ac:dyDescent="0.3">
      <c r="A7328" t="s">
        <v>7334</v>
      </c>
      <c r="B7328" t="s">
        <v>10017</v>
      </c>
      <c r="C7328">
        <v>3</v>
      </c>
      <c r="D7328">
        <v>1.5</v>
      </c>
      <c r="E7328">
        <v>4.5</v>
      </c>
      <c r="F7328" t="s">
        <v>10019</v>
      </c>
      <c r="G7328" t="s">
        <v>10102</v>
      </c>
      <c r="H7328" s="6">
        <v>45155</v>
      </c>
      <c r="I7328">
        <f t="shared" si="228"/>
        <v>0</v>
      </c>
      <c r="J7328" t="str">
        <f t="shared" si="229"/>
        <v>Complete</v>
      </c>
      <c r="K7328">
        <f>COUNTIFS(RawData[Item], B7328,RawData[Quantity],C7328,RawData[Price Per Unit],D7328,RawData[Total Spent],E7328,RawData[Payment Method],F7328,RawData[Location],G7328,RawData[Transaction Date],H7328)</f>
        <v>1</v>
      </c>
      <c r="L7328"/>
    </row>
    <row r="7329" spans="1:12" x14ac:dyDescent="0.3">
      <c r="A7329" t="s">
        <v>7335</v>
      </c>
      <c r="B7329" t="s">
        <v>10009</v>
      </c>
      <c r="C7329">
        <v>5</v>
      </c>
      <c r="D7329">
        <v>3</v>
      </c>
      <c r="E7329">
        <v>15</v>
      </c>
      <c r="F7329" t="s">
        <v>10020</v>
      </c>
      <c r="G7329" t="s">
        <v>10021</v>
      </c>
      <c r="H7329" s="6">
        <v>45269</v>
      </c>
      <c r="I7329">
        <f t="shared" si="228"/>
        <v>0</v>
      </c>
      <c r="J7329" t="str">
        <f t="shared" si="229"/>
        <v>Complete</v>
      </c>
      <c r="K7329">
        <f>COUNTIFS(RawData[Item], B7329,RawData[Quantity],C7329,RawData[Price Per Unit],D7329,RawData[Total Spent],E7329,RawData[Payment Method],F7329,RawData[Location],G7329,RawData[Transaction Date],H7329)</f>
        <v>1</v>
      </c>
      <c r="L7329"/>
    </row>
    <row r="7330" spans="1:12" x14ac:dyDescent="0.3">
      <c r="A7330" t="s">
        <v>7336</v>
      </c>
      <c r="B7330" t="s">
        <v>10014</v>
      </c>
      <c r="C7330">
        <v>5</v>
      </c>
      <c r="D7330">
        <v>4</v>
      </c>
      <c r="E7330">
        <v>20</v>
      </c>
      <c r="F7330" t="s">
        <v>10018</v>
      </c>
      <c r="G7330" t="s">
        <v>10104</v>
      </c>
      <c r="H7330" s="6">
        <v>45090</v>
      </c>
      <c r="I7330">
        <f t="shared" si="228"/>
        <v>1</v>
      </c>
      <c r="J7330" t="str">
        <f t="shared" si="229"/>
        <v>Complete</v>
      </c>
      <c r="K7330">
        <f>COUNTIFS(RawData[Item], B7330,RawData[Quantity],C7330,RawData[Price Per Unit],D7330,RawData[Total Spent],E7330,RawData[Payment Method],F7330,RawData[Location],G7330,RawData[Transaction Date],H7330)</f>
        <v>1</v>
      </c>
      <c r="L7330"/>
    </row>
    <row r="7331" spans="1:12" x14ac:dyDescent="0.3">
      <c r="A7331" t="s">
        <v>7337</v>
      </c>
      <c r="B7331" t="s">
        <v>10012</v>
      </c>
      <c r="C7331">
        <v>1</v>
      </c>
      <c r="D7331">
        <v>4</v>
      </c>
      <c r="E7331">
        <v>4</v>
      </c>
      <c r="F7331" t="s">
        <v>10018</v>
      </c>
      <c r="G7331" t="s">
        <v>10021</v>
      </c>
      <c r="H7331" s="6">
        <v>45171</v>
      </c>
      <c r="I7331">
        <f t="shared" si="228"/>
        <v>0</v>
      </c>
      <c r="J7331" t="str">
        <f t="shared" si="229"/>
        <v>Complete</v>
      </c>
      <c r="K7331">
        <f>COUNTIFS(RawData[Item], B7331,RawData[Quantity],C7331,RawData[Price Per Unit],D7331,RawData[Total Spent],E7331,RawData[Payment Method],F7331,RawData[Location],G7331,RawData[Transaction Date],H7331)</f>
        <v>1</v>
      </c>
      <c r="L7331"/>
    </row>
    <row r="7332" spans="1:12" x14ac:dyDescent="0.3">
      <c r="A7332" t="s">
        <v>7338</v>
      </c>
      <c r="B7332" t="s">
        <v>10011</v>
      </c>
      <c r="C7332">
        <v>2</v>
      </c>
      <c r="D7332">
        <v>5</v>
      </c>
      <c r="E7332">
        <v>10</v>
      </c>
      <c r="F7332" t="s">
        <v>10018</v>
      </c>
      <c r="G7332" t="s">
        <v>10069</v>
      </c>
      <c r="H7332" s="6">
        <v>44982</v>
      </c>
      <c r="I7332">
        <f t="shared" si="228"/>
        <v>0</v>
      </c>
      <c r="J7332" t="str">
        <f t="shared" si="229"/>
        <v>Complete</v>
      </c>
      <c r="K7332">
        <f>COUNTIFS(RawData[Item], B7332,RawData[Quantity],C7332,RawData[Price Per Unit],D7332,RawData[Total Spent],E7332,RawData[Payment Method],F7332,RawData[Location],G7332,RawData[Transaction Date],H7332)</f>
        <v>1</v>
      </c>
      <c r="L7332"/>
    </row>
    <row r="7333" spans="1:12" x14ac:dyDescent="0.3">
      <c r="A7333" t="s">
        <v>7339</v>
      </c>
      <c r="B7333" t="s">
        <v>10016</v>
      </c>
      <c r="C7333">
        <v>2</v>
      </c>
      <c r="D7333">
        <v>3</v>
      </c>
      <c r="E7333">
        <v>6</v>
      </c>
      <c r="F7333" t="s">
        <v>10104</v>
      </c>
      <c r="G7333" t="s">
        <v>10102</v>
      </c>
      <c r="H7333" s="6">
        <v>45143</v>
      </c>
      <c r="I7333">
        <f t="shared" si="228"/>
        <v>1</v>
      </c>
      <c r="J7333" t="str">
        <f t="shared" si="229"/>
        <v>Complete</v>
      </c>
      <c r="K7333">
        <f>COUNTIFS(RawData[Item], B7333,RawData[Quantity],C7333,RawData[Price Per Unit],D7333,RawData[Total Spent],E7333,RawData[Payment Method],F7333,RawData[Location],G7333,RawData[Transaction Date],H7333)</f>
        <v>1</v>
      </c>
      <c r="L7333"/>
    </row>
    <row r="7334" spans="1:12" x14ac:dyDescent="0.3">
      <c r="A7334" t="s">
        <v>7340</v>
      </c>
      <c r="B7334" t="s">
        <v>10009</v>
      </c>
      <c r="C7334">
        <v>4</v>
      </c>
      <c r="D7334">
        <v>3</v>
      </c>
      <c r="E7334">
        <v>12</v>
      </c>
      <c r="F7334" t="s">
        <v>10069</v>
      </c>
      <c r="G7334" t="s">
        <v>10069</v>
      </c>
      <c r="H7334" s="6">
        <v>45002</v>
      </c>
      <c r="I7334">
        <f t="shared" si="228"/>
        <v>0</v>
      </c>
      <c r="J7334" t="str">
        <f t="shared" si="229"/>
        <v>Complete</v>
      </c>
      <c r="K7334">
        <f>COUNTIFS(RawData[Item], B7334,RawData[Quantity],C7334,RawData[Price Per Unit],D7334,RawData[Total Spent],E7334,RawData[Payment Method],F7334,RawData[Location],G7334,RawData[Transaction Date],H7334)</f>
        <v>1</v>
      </c>
      <c r="L7334"/>
    </row>
    <row r="7335" spans="1:12" x14ac:dyDescent="0.3">
      <c r="A7335" t="s">
        <v>7341</v>
      </c>
      <c r="B7335" t="s">
        <v>10010</v>
      </c>
      <c r="C7335">
        <v>1</v>
      </c>
      <c r="D7335">
        <v>1</v>
      </c>
      <c r="E7335">
        <v>1</v>
      </c>
      <c r="F7335" t="s">
        <v>10069</v>
      </c>
      <c r="G7335" t="s">
        <v>10102</v>
      </c>
      <c r="H7335" s="6">
        <v>45142</v>
      </c>
      <c r="I7335">
        <f t="shared" si="228"/>
        <v>0</v>
      </c>
      <c r="J7335" t="str">
        <f t="shared" si="229"/>
        <v>Complete</v>
      </c>
      <c r="K7335">
        <f>COUNTIFS(RawData[Item], B7335,RawData[Quantity],C7335,RawData[Price Per Unit],D7335,RawData[Total Spent],E7335,RawData[Payment Method],F7335,RawData[Location],G7335,RawData[Transaction Date],H7335)</f>
        <v>1</v>
      </c>
      <c r="L7335"/>
    </row>
    <row r="7336" spans="1:12" x14ac:dyDescent="0.3">
      <c r="A7336" t="s">
        <v>7342</v>
      </c>
      <c r="B7336" t="s">
        <v>10017</v>
      </c>
      <c r="C7336">
        <v>1</v>
      </c>
      <c r="D7336">
        <v>1.5</v>
      </c>
      <c r="E7336">
        <v>1.5</v>
      </c>
      <c r="F7336" t="s">
        <v>10020</v>
      </c>
      <c r="G7336" t="s">
        <v>10102</v>
      </c>
      <c r="H7336" s="6">
        <v>44951</v>
      </c>
      <c r="I7336">
        <f t="shared" si="228"/>
        <v>0</v>
      </c>
      <c r="J7336" t="str">
        <f t="shared" si="229"/>
        <v>Complete</v>
      </c>
      <c r="K7336">
        <f>COUNTIFS(RawData[Item], B7336,RawData[Quantity],C7336,RawData[Price Per Unit],D7336,RawData[Total Spent],E7336,RawData[Payment Method],F7336,RawData[Location],G7336,RawData[Transaction Date],H7336)</f>
        <v>1</v>
      </c>
      <c r="L7336"/>
    </row>
    <row r="7337" spans="1:12" x14ac:dyDescent="0.3">
      <c r="A7337" t="s">
        <v>7343</v>
      </c>
      <c r="B7337" t="s">
        <v>10011</v>
      </c>
      <c r="C7337">
        <v>4</v>
      </c>
      <c r="D7337">
        <v>5</v>
      </c>
      <c r="E7337">
        <v>20</v>
      </c>
      <c r="F7337" t="s">
        <v>10019</v>
      </c>
      <c r="G7337" t="s">
        <v>10069</v>
      </c>
      <c r="H7337" s="6">
        <v>45048</v>
      </c>
      <c r="I7337">
        <f t="shared" si="228"/>
        <v>0</v>
      </c>
      <c r="J7337" t="str">
        <f t="shared" si="229"/>
        <v>Complete</v>
      </c>
      <c r="K7337">
        <f>COUNTIFS(RawData[Item], B7337,RawData[Quantity],C7337,RawData[Price Per Unit],D7337,RawData[Total Spent],E7337,RawData[Payment Method],F7337,RawData[Location],G7337,RawData[Transaction Date],H7337)</f>
        <v>1</v>
      </c>
      <c r="L7337"/>
    </row>
    <row r="7338" spans="1:12" x14ac:dyDescent="0.3">
      <c r="A7338" t="s">
        <v>7344</v>
      </c>
      <c r="B7338" t="s">
        <v>10008</v>
      </c>
      <c r="C7338">
        <v>3</v>
      </c>
      <c r="D7338">
        <v>2</v>
      </c>
      <c r="E7338">
        <v>6</v>
      </c>
      <c r="F7338" t="s">
        <v>10019</v>
      </c>
      <c r="G7338" t="s">
        <v>10021</v>
      </c>
      <c r="H7338" s="6">
        <v>44951</v>
      </c>
      <c r="I7338">
        <f t="shared" si="228"/>
        <v>0</v>
      </c>
      <c r="J7338" t="str">
        <f t="shared" si="229"/>
        <v>Complete</v>
      </c>
      <c r="K7338">
        <f>COUNTIFS(RawData[Item], B7338,RawData[Quantity],C7338,RawData[Price Per Unit],D7338,RawData[Total Spent],E7338,RawData[Payment Method],F7338,RawData[Location],G7338,RawData[Transaction Date],H7338)</f>
        <v>1</v>
      </c>
      <c r="L7338"/>
    </row>
    <row r="7339" spans="1:12" x14ac:dyDescent="0.3">
      <c r="A7339" t="s">
        <v>7345</v>
      </c>
      <c r="B7339" t="s">
        <v>10011</v>
      </c>
      <c r="C7339">
        <v>4</v>
      </c>
      <c r="D7339">
        <v>5</v>
      </c>
      <c r="E7339">
        <v>20</v>
      </c>
      <c r="F7339" t="s">
        <v>10020</v>
      </c>
      <c r="G7339" t="s">
        <v>10021</v>
      </c>
      <c r="H7339" s="6">
        <v>45196</v>
      </c>
      <c r="I7339">
        <f t="shared" si="228"/>
        <v>0</v>
      </c>
      <c r="J7339" t="str">
        <f t="shared" si="229"/>
        <v>Complete</v>
      </c>
      <c r="K7339">
        <f>COUNTIFS(RawData[Item], B7339,RawData[Quantity],C7339,RawData[Price Per Unit],D7339,RawData[Total Spent],E7339,RawData[Payment Method],F7339,RawData[Location],G7339,RawData[Transaction Date],H7339)</f>
        <v>1</v>
      </c>
      <c r="L7339"/>
    </row>
    <row r="7340" spans="1:12" x14ac:dyDescent="0.3">
      <c r="A7340" t="s">
        <v>7346</v>
      </c>
      <c r="B7340" t="s">
        <v>10016</v>
      </c>
      <c r="C7340">
        <v>5</v>
      </c>
      <c r="D7340">
        <v>3</v>
      </c>
      <c r="E7340">
        <v>15</v>
      </c>
      <c r="F7340" t="s">
        <v>10103</v>
      </c>
      <c r="G7340" t="s">
        <v>10069</v>
      </c>
      <c r="H7340" s="6">
        <v>45060</v>
      </c>
      <c r="I7340">
        <f t="shared" si="228"/>
        <v>1</v>
      </c>
      <c r="J7340" t="str">
        <f t="shared" si="229"/>
        <v>Complete</v>
      </c>
      <c r="K7340">
        <f>COUNTIFS(RawData[Item], B7340,RawData[Quantity],C7340,RawData[Price Per Unit],D7340,RawData[Total Spent],E7340,RawData[Payment Method],F7340,RawData[Location],G7340,RawData[Transaction Date],H7340)</f>
        <v>1</v>
      </c>
      <c r="L7340"/>
    </row>
    <row r="7341" spans="1:12" x14ac:dyDescent="0.3">
      <c r="A7341" t="s">
        <v>7347</v>
      </c>
      <c r="B7341" t="s">
        <v>10009</v>
      </c>
      <c r="C7341">
        <v>3</v>
      </c>
      <c r="D7341">
        <v>3</v>
      </c>
      <c r="E7341">
        <v>9</v>
      </c>
      <c r="F7341" t="s">
        <v>10019</v>
      </c>
      <c r="G7341" t="s">
        <v>10102</v>
      </c>
      <c r="H7341" s="6">
        <v>44993</v>
      </c>
      <c r="I7341">
        <f t="shared" si="228"/>
        <v>0</v>
      </c>
      <c r="J7341" t="str">
        <f t="shared" si="229"/>
        <v>Complete</v>
      </c>
      <c r="K7341">
        <f>COUNTIFS(RawData[Item], B7341,RawData[Quantity],C7341,RawData[Price Per Unit],D7341,RawData[Total Spent],E7341,RawData[Payment Method],F7341,RawData[Location],G7341,RawData[Transaction Date],H7341)</f>
        <v>1</v>
      </c>
      <c r="L7341"/>
    </row>
    <row r="7342" spans="1:12" x14ac:dyDescent="0.3">
      <c r="A7342" t="s">
        <v>7348</v>
      </c>
      <c r="B7342" t="s">
        <v>10013</v>
      </c>
      <c r="C7342">
        <v>2</v>
      </c>
      <c r="D7342">
        <v>3</v>
      </c>
      <c r="E7342">
        <v>6</v>
      </c>
      <c r="F7342" t="s">
        <v>10069</v>
      </c>
      <c r="G7342" t="s">
        <v>10069</v>
      </c>
      <c r="H7342" s="6">
        <v>45134</v>
      </c>
      <c r="I7342">
        <f t="shared" si="228"/>
        <v>1</v>
      </c>
      <c r="J7342" t="str">
        <f t="shared" si="229"/>
        <v>Complete</v>
      </c>
      <c r="K7342">
        <f>COUNTIFS(RawData[Item], B7342,RawData[Quantity],C7342,RawData[Price Per Unit],D7342,RawData[Total Spent],E7342,RawData[Payment Method],F7342,RawData[Location],G7342,RawData[Transaction Date],H7342)</f>
        <v>1</v>
      </c>
      <c r="L7342"/>
    </row>
    <row r="7343" spans="1:12" x14ac:dyDescent="0.3">
      <c r="A7343" t="s">
        <v>7349</v>
      </c>
      <c r="B7343" t="s">
        <v>10008</v>
      </c>
      <c r="C7343">
        <v>4</v>
      </c>
      <c r="D7343">
        <v>2</v>
      </c>
      <c r="E7343">
        <v>8</v>
      </c>
      <c r="F7343" t="s">
        <v>10020</v>
      </c>
      <c r="G7343" t="s">
        <v>10021</v>
      </c>
      <c r="H7343" s="6">
        <v>45276</v>
      </c>
      <c r="I7343">
        <f t="shared" si="228"/>
        <v>0</v>
      </c>
      <c r="J7343" t="str">
        <f t="shared" si="229"/>
        <v>Complete</v>
      </c>
      <c r="K7343">
        <f>COUNTIFS(RawData[Item], B7343,RawData[Quantity],C7343,RawData[Price Per Unit],D7343,RawData[Total Spent],E7343,RawData[Payment Method],F7343,RawData[Location],G7343,RawData[Transaction Date],H7343)</f>
        <v>1</v>
      </c>
      <c r="L7343"/>
    </row>
    <row r="7344" spans="1:12" x14ac:dyDescent="0.3">
      <c r="A7344" t="s">
        <v>7350</v>
      </c>
      <c r="B7344" t="s">
        <v>10009</v>
      </c>
      <c r="C7344">
        <v>5</v>
      </c>
      <c r="D7344">
        <v>3</v>
      </c>
      <c r="E7344">
        <v>15</v>
      </c>
      <c r="F7344" t="s">
        <v>10020</v>
      </c>
      <c r="G7344" t="s">
        <v>10069</v>
      </c>
      <c r="H7344" s="6">
        <v>45076</v>
      </c>
      <c r="I7344">
        <f t="shared" si="228"/>
        <v>0</v>
      </c>
      <c r="J7344" t="str">
        <f t="shared" si="229"/>
        <v>Complete</v>
      </c>
      <c r="K7344">
        <f>COUNTIFS(RawData[Item], B7344,RawData[Quantity],C7344,RawData[Price Per Unit],D7344,RawData[Total Spent],E7344,RawData[Payment Method],F7344,RawData[Location],G7344,RawData[Transaction Date],H7344)</f>
        <v>1</v>
      </c>
      <c r="L7344"/>
    </row>
    <row r="7345" spans="1:12" x14ac:dyDescent="0.3">
      <c r="A7345" t="s">
        <v>7351</v>
      </c>
      <c r="B7345" t="s">
        <v>10014</v>
      </c>
      <c r="C7345">
        <v>5</v>
      </c>
      <c r="D7345">
        <v>4</v>
      </c>
      <c r="E7345">
        <v>20</v>
      </c>
      <c r="F7345" t="s">
        <v>10019</v>
      </c>
      <c r="G7345" t="s">
        <v>10021</v>
      </c>
      <c r="H7345" s="6">
        <v>45234</v>
      </c>
      <c r="I7345">
        <f t="shared" si="228"/>
        <v>0</v>
      </c>
      <c r="J7345" t="str">
        <f t="shared" si="229"/>
        <v>Complete</v>
      </c>
      <c r="K7345">
        <f>COUNTIFS(RawData[Item], B7345,RawData[Quantity],C7345,RawData[Price Per Unit],D7345,RawData[Total Spent],E7345,RawData[Payment Method],F7345,RawData[Location],G7345,RawData[Transaction Date],H7345)</f>
        <v>1</v>
      </c>
      <c r="L7345"/>
    </row>
    <row r="7346" spans="1:12" x14ac:dyDescent="0.3">
      <c r="A7346" t="s">
        <v>7352</v>
      </c>
      <c r="B7346" t="s">
        <v>10014</v>
      </c>
      <c r="C7346">
        <v>5</v>
      </c>
      <c r="D7346">
        <v>4</v>
      </c>
      <c r="E7346">
        <v>20</v>
      </c>
      <c r="F7346" t="s">
        <v>10018</v>
      </c>
      <c r="G7346" t="s">
        <v>10069</v>
      </c>
      <c r="H7346" s="6">
        <v>44975</v>
      </c>
      <c r="I7346">
        <f t="shared" si="228"/>
        <v>0</v>
      </c>
      <c r="J7346" t="str">
        <f t="shared" si="229"/>
        <v>Complete</v>
      </c>
      <c r="K7346">
        <f>COUNTIFS(RawData[Item], B7346,RawData[Quantity],C7346,RawData[Price Per Unit],D7346,RawData[Total Spent],E7346,RawData[Payment Method],F7346,RawData[Location],G7346,RawData[Transaction Date],H7346)</f>
        <v>1</v>
      </c>
      <c r="L7346"/>
    </row>
    <row r="7347" spans="1:12" x14ac:dyDescent="0.3">
      <c r="A7347" t="s">
        <v>7353</v>
      </c>
      <c r="B7347" t="s">
        <v>10009</v>
      </c>
      <c r="C7347">
        <v>3</v>
      </c>
      <c r="D7347">
        <v>3</v>
      </c>
      <c r="E7347">
        <v>9</v>
      </c>
      <c r="F7347" t="s">
        <v>10018</v>
      </c>
      <c r="G7347" t="s">
        <v>10069</v>
      </c>
      <c r="H7347" s="6">
        <v>44956</v>
      </c>
      <c r="I7347">
        <f t="shared" si="228"/>
        <v>0</v>
      </c>
      <c r="J7347" t="str">
        <f t="shared" si="229"/>
        <v>Complete</v>
      </c>
      <c r="K7347">
        <f>COUNTIFS(RawData[Item], B7347,RawData[Quantity],C7347,RawData[Price Per Unit],D7347,RawData[Total Spent],E7347,RawData[Payment Method],F7347,RawData[Location],G7347,RawData[Transaction Date],H7347)</f>
        <v>1</v>
      </c>
      <c r="L7347"/>
    </row>
    <row r="7348" spans="1:12" x14ac:dyDescent="0.3">
      <c r="A7348" t="s">
        <v>7354</v>
      </c>
      <c r="B7348" t="s">
        <v>10017</v>
      </c>
      <c r="C7348" t="s">
        <v>10013</v>
      </c>
      <c r="D7348">
        <v>1.5</v>
      </c>
      <c r="E7348">
        <v>4.5</v>
      </c>
      <c r="F7348" t="s">
        <v>10018</v>
      </c>
      <c r="G7348" t="s">
        <v>10021</v>
      </c>
      <c r="H7348" s="6">
        <v>45120</v>
      </c>
      <c r="I7348">
        <f t="shared" si="228"/>
        <v>1</v>
      </c>
      <c r="J7348" t="str">
        <f t="shared" si="229"/>
        <v>Complete</v>
      </c>
      <c r="K7348">
        <f>COUNTIFS(RawData[Item], B7348,RawData[Quantity],C7348,RawData[Price Per Unit],D7348,RawData[Total Spent],E7348,RawData[Payment Method],F7348,RawData[Location],G7348,RawData[Transaction Date],H7348)</f>
        <v>1</v>
      </c>
      <c r="L7348"/>
    </row>
    <row r="7349" spans="1:12" x14ac:dyDescent="0.3">
      <c r="A7349" t="s">
        <v>7355</v>
      </c>
      <c r="B7349" t="s">
        <v>10016</v>
      </c>
      <c r="C7349">
        <v>3</v>
      </c>
      <c r="D7349">
        <v>3</v>
      </c>
      <c r="E7349">
        <v>9</v>
      </c>
      <c r="F7349" t="s">
        <v>10019</v>
      </c>
      <c r="G7349" t="s">
        <v>10102</v>
      </c>
      <c r="H7349" s="6">
        <v>44953</v>
      </c>
      <c r="I7349">
        <f t="shared" si="228"/>
        <v>0</v>
      </c>
      <c r="J7349" t="str">
        <f t="shared" si="229"/>
        <v>Complete</v>
      </c>
      <c r="K7349">
        <f>COUNTIFS(RawData[Item], B7349,RawData[Quantity],C7349,RawData[Price Per Unit],D7349,RawData[Total Spent],E7349,RawData[Payment Method],F7349,RawData[Location],G7349,RawData[Transaction Date],H7349)</f>
        <v>1</v>
      </c>
      <c r="L7349"/>
    </row>
    <row r="7350" spans="1:12" x14ac:dyDescent="0.3">
      <c r="A7350" t="s">
        <v>7356</v>
      </c>
      <c r="B7350" t="s">
        <v>10009</v>
      </c>
      <c r="C7350" t="s">
        <v>10015</v>
      </c>
      <c r="D7350">
        <v>3</v>
      </c>
      <c r="E7350">
        <v>15</v>
      </c>
      <c r="F7350" t="s">
        <v>10069</v>
      </c>
      <c r="G7350" t="s">
        <v>10102</v>
      </c>
      <c r="H7350" s="6">
        <v>45198</v>
      </c>
      <c r="I7350">
        <f t="shared" si="228"/>
        <v>1</v>
      </c>
      <c r="J7350" t="str">
        <f t="shared" si="229"/>
        <v>Complete</v>
      </c>
      <c r="K7350">
        <f>COUNTIFS(RawData[Item], B7350,RawData[Quantity],C7350,RawData[Price Per Unit],D7350,RawData[Total Spent],E7350,RawData[Payment Method],F7350,RawData[Location],G7350,RawData[Transaction Date],H7350)</f>
        <v>1</v>
      </c>
      <c r="L7350"/>
    </row>
    <row r="7351" spans="1:12" x14ac:dyDescent="0.3">
      <c r="A7351" t="s">
        <v>7357</v>
      </c>
      <c r="B7351" t="s">
        <v>10016</v>
      </c>
      <c r="C7351">
        <v>1</v>
      </c>
      <c r="D7351">
        <v>3</v>
      </c>
      <c r="E7351">
        <v>3</v>
      </c>
      <c r="F7351" t="s">
        <v>10018</v>
      </c>
      <c r="G7351" t="s">
        <v>10102</v>
      </c>
      <c r="H7351" s="6">
        <v>44972</v>
      </c>
      <c r="I7351">
        <f t="shared" si="228"/>
        <v>0</v>
      </c>
      <c r="J7351" t="str">
        <f t="shared" si="229"/>
        <v>Complete</v>
      </c>
      <c r="K7351">
        <f>COUNTIFS(RawData[Item], B7351,RawData[Quantity],C7351,RawData[Price Per Unit],D7351,RawData[Total Spent],E7351,RawData[Payment Method],F7351,RawData[Location],G7351,RawData[Transaction Date],H7351)</f>
        <v>1</v>
      </c>
      <c r="L7351"/>
    </row>
    <row r="7352" spans="1:12" x14ac:dyDescent="0.3">
      <c r="A7352" t="s">
        <v>7358</v>
      </c>
      <c r="B7352" t="s">
        <v>10010</v>
      </c>
      <c r="C7352">
        <v>1</v>
      </c>
      <c r="D7352">
        <v>1</v>
      </c>
      <c r="E7352">
        <v>1</v>
      </c>
      <c r="F7352" t="s">
        <v>10020</v>
      </c>
      <c r="G7352" t="s">
        <v>10069</v>
      </c>
      <c r="H7352" s="6">
        <v>45120</v>
      </c>
      <c r="I7352">
        <f t="shared" si="228"/>
        <v>0</v>
      </c>
      <c r="J7352" t="str">
        <f t="shared" si="229"/>
        <v>Complete</v>
      </c>
      <c r="K7352">
        <f>COUNTIFS(RawData[Item], B7352,RawData[Quantity],C7352,RawData[Price Per Unit],D7352,RawData[Total Spent],E7352,RawData[Payment Method],F7352,RawData[Location],G7352,RawData[Transaction Date],H7352)</f>
        <v>1</v>
      </c>
      <c r="L7352"/>
    </row>
    <row r="7353" spans="1:12" x14ac:dyDescent="0.3">
      <c r="A7353" t="s">
        <v>7359</v>
      </c>
      <c r="B7353" t="s">
        <v>10017</v>
      </c>
      <c r="C7353">
        <v>3</v>
      </c>
      <c r="D7353">
        <v>1.5</v>
      </c>
      <c r="E7353">
        <v>4.5</v>
      </c>
      <c r="F7353" t="s">
        <v>10069</v>
      </c>
      <c r="G7353" t="s">
        <v>10069</v>
      </c>
      <c r="H7353" s="6">
        <v>45256</v>
      </c>
      <c r="I7353">
        <f t="shared" si="228"/>
        <v>0</v>
      </c>
      <c r="J7353" t="str">
        <f t="shared" si="229"/>
        <v>Complete</v>
      </c>
      <c r="K7353">
        <f>COUNTIFS(RawData[Item], B7353,RawData[Quantity],C7353,RawData[Price Per Unit],D7353,RawData[Total Spent],E7353,RawData[Payment Method],F7353,RawData[Location],G7353,RawData[Transaction Date],H7353)</f>
        <v>1</v>
      </c>
      <c r="L7353"/>
    </row>
    <row r="7354" spans="1:12" x14ac:dyDescent="0.3">
      <c r="A7354" t="s">
        <v>7360</v>
      </c>
      <c r="B7354" t="s">
        <v>10016</v>
      </c>
      <c r="C7354">
        <v>4</v>
      </c>
      <c r="D7354">
        <v>3</v>
      </c>
      <c r="E7354">
        <v>12</v>
      </c>
      <c r="F7354" t="s">
        <v>10020</v>
      </c>
      <c r="G7354" t="s">
        <v>10021</v>
      </c>
      <c r="H7354" s="6">
        <v>45066</v>
      </c>
      <c r="I7354">
        <f t="shared" si="228"/>
        <v>0</v>
      </c>
      <c r="J7354" t="str">
        <f t="shared" si="229"/>
        <v>Complete</v>
      </c>
      <c r="K7354">
        <f>COUNTIFS(RawData[Item], B7354,RawData[Quantity],C7354,RawData[Price Per Unit],D7354,RawData[Total Spent],E7354,RawData[Payment Method],F7354,RawData[Location],G7354,RawData[Transaction Date],H7354)</f>
        <v>1</v>
      </c>
      <c r="L7354"/>
    </row>
    <row r="7355" spans="1:12" x14ac:dyDescent="0.3">
      <c r="A7355" t="s">
        <v>7361</v>
      </c>
      <c r="B7355" t="s">
        <v>10014</v>
      </c>
      <c r="C7355">
        <v>5</v>
      </c>
      <c r="D7355">
        <v>4</v>
      </c>
      <c r="E7355">
        <v>20</v>
      </c>
      <c r="F7355" t="s">
        <v>10018</v>
      </c>
      <c r="G7355" t="s">
        <v>10069</v>
      </c>
      <c r="H7355" s="6">
        <v>45082</v>
      </c>
      <c r="I7355">
        <f t="shared" si="228"/>
        <v>0</v>
      </c>
      <c r="J7355" t="str">
        <f t="shared" si="229"/>
        <v>Complete</v>
      </c>
      <c r="K7355">
        <f>COUNTIFS(RawData[Item], B7355,RawData[Quantity],C7355,RawData[Price Per Unit],D7355,RawData[Total Spent],E7355,RawData[Payment Method],F7355,RawData[Location],G7355,RawData[Transaction Date],H7355)</f>
        <v>1</v>
      </c>
      <c r="L7355"/>
    </row>
    <row r="7356" spans="1:12" x14ac:dyDescent="0.3">
      <c r="A7356" t="s">
        <v>7362</v>
      </c>
      <c r="B7356" t="s">
        <v>10009</v>
      </c>
      <c r="C7356">
        <v>4</v>
      </c>
      <c r="D7356">
        <v>3</v>
      </c>
      <c r="E7356">
        <v>12</v>
      </c>
      <c r="F7356" t="s">
        <v>10018</v>
      </c>
      <c r="G7356" t="s">
        <v>10021</v>
      </c>
      <c r="H7356" s="6">
        <v>45201</v>
      </c>
      <c r="I7356">
        <f t="shared" si="228"/>
        <v>0</v>
      </c>
      <c r="J7356" t="str">
        <f t="shared" si="229"/>
        <v>Complete</v>
      </c>
      <c r="K7356">
        <f>COUNTIFS(RawData[Item], B7356,RawData[Quantity],C7356,RawData[Price Per Unit],D7356,RawData[Total Spent],E7356,RawData[Payment Method],F7356,RawData[Location],G7356,RawData[Transaction Date],H7356)</f>
        <v>1</v>
      </c>
      <c r="L7356"/>
    </row>
    <row r="7357" spans="1:12" x14ac:dyDescent="0.3">
      <c r="A7357" t="s">
        <v>7363</v>
      </c>
      <c r="B7357" t="s">
        <v>10008</v>
      </c>
      <c r="C7357">
        <v>1</v>
      </c>
      <c r="D7357">
        <v>2</v>
      </c>
      <c r="E7357">
        <v>2</v>
      </c>
      <c r="F7357" t="s">
        <v>10020</v>
      </c>
      <c r="G7357" t="s">
        <v>10102</v>
      </c>
      <c r="H7357" s="6">
        <v>45098</v>
      </c>
      <c r="I7357">
        <f t="shared" si="228"/>
        <v>0</v>
      </c>
      <c r="J7357" t="str">
        <f t="shared" si="229"/>
        <v>Complete</v>
      </c>
      <c r="K7357">
        <f>COUNTIFS(RawData[Item], B7357,RawData[Quantity],C7357,RawData[Price Per Unit],D7357,RawData[Total Spent],E7357,RawData[Payment Method],F7357,RawData[Location],G7357,RawData[Transaction Date],H7357)</f>
        <v>1</v>
      </c>
      <c r="L7357"/>
    </row>
    <row r="7358" spans="1:12" x14ac:dyDescent="0.3">
      <c r="A7358" t="s">
        <v>7364</v>
      </c>
      <c r="B7358" t="s">
        <v>10017</v>
      </c>
      <c r="C7358">
        <v>3</v>
      </c>
      <c r="D7358">
        <v>1.5</v>
      </c>
      <c r="E7358">
        <v>4.5</v>
      </c>
      <c r="F7358" t="s">
        <v>10019</v>
      </c>
      <c r="G7358" t="s">
        <v>10069</v>
      </c>
      <c r="H7358" s="6">
        <v>45217</v>
      </c>
      <c r="I7358">
        <f t="shared" si="228"/>
        <v>0</v>
      </c>
      <c r="J7358" t="str">
        <f t="shared" si="229"/>
        <v>Complete</v>
      </c>
      <c r="K7358">
        <f>COUNTIFS(RawData[Item], B7358,RawData[Quantity],C7358,RawData[Price Per Unit],D7358,RawData[Total Spent],E7358,RawData[Payment Method],F7358,RawData[Location],G7358,RawData[Transaction Date],H7358)</f>
        <v>1</v>
      </c>
      <c r="L7358"/>
    </row>
    <row r="7359" spans="1:12" x14ac:dyDescent="0.3">
      <c r="A7359" t="s">
        <v>7365</v>
      </c>
      <c r="B7359" t="s">
        <v>10015</v>
      </c>
      <c r="C7359">
        <v>3</v>
      </c>
      <c r="D7359">
        <v>1.5</v>
      </c>
      <c r="E7359">
        <v>4.5</v>
      </c>
      <c r="F7359" t="s">
        <v>10018</v>
      </c>
      <c r="G7359" t="s">
        <v>10102</v>
      </c>
      <c r="H7359" s="6">
        <v>45242</v>
      </c>
      <c r="I7359">
        <f t="shared" si="228"/>
        <v>1</v>
      </c>
      <c r="J7359" t="str">
        <f t="shared" si="229"/>
        <v>Complete</v>
      </c>
      <c r="K7359">
        <f>COUNTIFS(RawData[Item], B7359,RawData[Quantity],C7359,RawData[Price Per Unit],D7359,RawData[Total Spent],E7359,RawData[Payment Method],F7359,RawData[Location],G7359,RawData[Transaction Date],H7359)</f>
        <v>1</v>
      </c>
      <c r="L7359"/>
    </row>
    <row r="7360" spans="1:12" x14ac:dyDescent="0.3">
      <c r="A7360" t="s">
        <v>7366</v>
      </c>
      <c r="B7360" t="s">
        <v>10008</v>
      </c>
      <c r="C7360" t="s">
        <v>10013</v>
      </c>
      <c r="D7360">
        <v>2</v>
      </c>
      <c r="E7360">
        <v>2</v>
      </c>
      <c r="F7360" t="s">
        <v>10020</v>
      </c>
      <c r="G7360" t="s">
        <v>10069</v>
      </c>
      <c r="H7360" s="6">
        <v>45134</v>
      </c>
      <c r="I7360">
        <f t="shared" si="228"/>
        <v>1</v>
      </c>
      <c r="J7360" t="str">
        <f t="shared" si="229"/>
        <v>Complete</v>
      </c>
      <c r="K7360">
        <f>COUNTIFS(RawData[Item], B7360,RawData[Quantity],C7360,RawData[Price Per Unit],D7360,RawData[Total Spent],E7360,RawData[Payment Method],F7360,RawData[Location],G7360,RawData[Transaction Date],H7360)</f>
        <v>1</v>
      </c>
      <c r="L7360"/>
    </row>
    <row r="7361" spans="1:12" x14ac:dyDescent="0.3">
      <c r="A7361" t="s">
        <v>7367</v>
      </c>
      <c r="B7361" t="s">
        <v>10016</v>
      </c>
      <c r="C7361">
        <v>5</v>
      </c>
      <c r="D7361">
        <v>3</v>
      </c>
      <c r="E7361">
        <v>15</v>
      </c>
      <c r="F7361" t="s">
        <v>10069</v>
      </c>
      <c r="G7361" t="s">
        <v>10069</v>
      </c>
      <c r="H7361" s="6">
        <v>44957</v>
      </c>
      <c r="I7361">
        <f t="shared" si="228"/>
        <v>0</v>
      </c>
      <c r="J7361" t="str">
        <f t="shared" si="229"/>
        <v>Complete</v>
      </c>
      <c r="K7361">
        <f>COUNTIFS(RawData[Item], B7361,RawData[Quantity],C7361,RawData[Price Per Unit],D7361,RawData[Total Spent],E7361,RawData[Payment Method],F7361,RawData[Location],G7361,RawData[Transaction Date],H7361)</f>
        <v>1</v>
      </c>
      <c r="L7361"/>
    </row>
    <row r="7362" spans="1:12" x14ac:dyDescent="0.3">
      <c r="A7362" t="s">
        <v>7368</v>
      </c>
      <c r="B7362" t="s">
        <v>10009</v>
      </c>
      <c r="C7362">
        <v>1</v>
      </c>
      <c r="D7362">
        <v>3</v>
      </c>
      <c r="E7362">
        <v>3</v>
      </c>
      <c r="F7362" t="s">
        <v>10069</v>
      </c>
      <c r="G7362" t="s">
        <v>10103</v>
      </c>
      <c r="H7362" s="6">
        <v>45039</v>
      </c>
      <c r="I7362">
        <f t="shared" ref="I7362:I7425" si="230">(B7362="Unknown")+(B7362="Error")+(C7362="Unknown")+(C7362="Error")+(D7362="Unknown")+(D7362="Error")+(E7362="Unknown")+(E7362="Error")+(F7362="Unknown")+(F7362="Error")+(G7362="Unknown")+(G7362="Error")+(H7362="No Date")</f>
        <v>1</v>
      </c>
      <c r="J7362" t="str">
        <f t="shared" ref="J7362:J7425" si="231">IF((H7362="No Date"),"Incomplete","Complete")</f>
        <v>Complete</v>
      </c>
      <c r="K7362">
        <f>COUNTIFS(RawData[Item], B7362,RawData[Quantity],C7362,RawData[Price Per Unit],D7362,RawData[Total Spent],E7362,RawData[Payment Method],F7362,RawData[Location],G7362,RawData[Transaction Date],H7362)</f>
        <v>1</v>
      </c>
      <c r="L7362"/>
    </row>
    <row r="7363" spans="1:12" x14ac:dyDescent="0.3">
      <c r="A7363" t="s">
        <v>7369</v>
      </c>
      <c r="B7363" t="s">
        <v>10008</v>
      </c>
      <c r="C7363" t="s">
        <v>10013</v>
      </c>
      <c r="D7363">
        <v>2</v>
      </c>
      <c r="E7363">
        <v>4</v>
      </c>
      <c r="F7363" t="s">
        <v>10069</v>
      </c>
      <c r="G7363" t="s">
        <v>10102</v>
      </c>
      <c r="H7363" s="6" t="s">
        <v>10112</v>
      </c>
      <c r="I7363">
        <f t="shared" si="230"/>
        <v>2</v>
      </c>
      <c r="J7363" t="str">
        <f t="shared" si="231"/>
        <v>Incomplete</v>
      </c>
      <c r="K7363">
        <f>COUNTIFS(RawData[Item], B7363,RawData[Quantity],C7363,RawData[Price Per Unit],D7363,RawData[Total Spent],E7363,RawData[Payment Method],F7363,RawData[Location],G7363,RawData[Transaction Date],H7363)</f>
        <v>1</v>
      </c>
      <c r="L7363"/>
    </row>
    <row r="7364" spans="1:12" x14ac:dyDescent="0.3">
      <c r="A7364" t="s">
        <v>7370</v>
      </c>
      <c r="B7364" t="s">
        <v>10016</v>
      </c>
      <c r="C7364">
        <v>3</v>
      </c>
      <c r="D7364">
        <v>3</v>
      </c>
      <c r="E7364">
        <v>9</v>
      </c>
      <c r="F7364" t="s">
        <v>10069</v>
      </c>
      <c r="G7364" t="s">
        <v>10021</v>
      </c>
      <c r="H7364" s="6">
        <v>45269</v>
      </c>
      <c r="I7364">
        <f t="shared" si="230"/>
        <v>0</v>
      </c>
      <c r="J7364" t="str">
        <f t="shared" si="231"/>
        <v>Complete</v>
      </c>
      <c r="K7364">
        <f>COUNTIFS(RawData[Item], B7364,RawData[Quantity],C7364,RawData[Price Per Unit],D7364,RawData[Total Spent],E7364,RawData[Payment Method],F7364,RawData[Location],G7364,RawData[Transaction Date],H7364)</f>
        <v>1</v>
      </c>
      <c r="L7364"/>
    </row>
    <row r="7365" spans="1:12" x14ac:dyDescent="0.3">
      <c r="A7365" t="s">
        <v>7371</v>
      </c>
      <c r="B7365" t="s">
        <v>10012</v>
      </c>
      <c r="C7365">
        <v>4</v>
      </c>
      <c r="D7365">
        <v>4</v>
      </c>
      <c r="E7365">
        <v>16</v>
      </c>
      <c r="F7365" t="s">
        <v>10019</v>
      </c>
      <c r="G7365" t="s">
        <v>10069</v>
      </c>
      <c r="H7365" s="6">
        <v>45040</v>
      </c>
      <c r="I7365">
        <f t="shared" si="230"/>
        <v>0</v>
      </c>
      <c r="J7365" t="str">
        <f t="shared" si="231"/>
        <v>Complete</v>
      </c>
      <c r="K7365">
        <f>COUNTIFS(RawData[Item], B7365,RawData[Quantity],C7365,RawData[Price Per Unit],D7365,RawData[Total Spent],E7365,RawData[Payment Method],F7365,RawData[Location],G7365,RawData[Transaction Date],H7365)</f>
        <v>1</v>
      </c>
      <c r="L7365"/>
    </row>
    <row r="7366" spans="1:12" x14ac:dyDescent="0.3">
      <c r="A7366" t="s">
        <v>7372</v>
      </c>
      <c r="B7366" t="s">
        <v>10010</v>
      </c>
      <c r="C7366">
        <v>4</v>
      </c>
      <c r="D7366" t="s">
        <v>10015</v>
      </c>
      <c r="E7366">
        <v>4</v>
      </c>
      <c r="F7366" t="s">
        <v>10020</v>
      </c>
      <c r="G7366" t="s">
        <v>10103</v>
      </c>
      <c r="H7366" s="6">
        <v>45165</v>
      </c>
      <c r="I7366">
        <f t="shared" si="230"/>
        <v>2</v>
      </c>
      <c r="J7366" t="str">
        <f t="shared" si="231"/>
        <v>Complete</v>
      </c>
      <c r="K7366">
        <f>COUNTIFS(RawData[Item], B7366,RawData[Quantity],C7366,RawData[Price Per Unit],D7366,RawData[Total Spent],E7366,RawData[Payment Method],F7366,RawData[Location],G7366,RawData[Transaction Date],H7366)</f>
        <v>1</v>
      </c>
      <c r="L7366"/>
    </row>
    <row r="7367" spans="1:12" x14ac:dyDescent="0.3">
      <c r="A7367" t="s">
        <v>7373</v>
      </c>
      <c r="B7367" t="s">
        <v>10010</v>
      </c>
      <c r="C7367">
        <v>2</v>
      </c>
      <c r="D7367">
        <v>1</v>
      </c>
      <c r="E7367">
        <v>2</v>
      </c>
      <c r="F7367" t="s">
        <v>10018</v>
      </c>
      <c r="G7367" t="s">
        <v>10021</v>
      </c>
      <c r="H7367" s="6">
        <v>44938</v>
      </c>
      <c r="I7367">
        <f t="shared" si="230"/>
        <v>0</v>
      </c>
      <c r="J7367" t="str">
        <f t="shared" si="231"/>
        <v>Complete</v>
      </c>
      <c r="K7367">
        <f>COUNTIFS(RawData[Item], B7367,RawData[Quantity],C7367,RawData[Price Per Unit],D7367,RawData[Total Spent],E7367,RawData[Payment Method],F7367,RawData[Location],G7367,RawData[Transaction Date],H7367)</f>
        <v>1</v>
      </c>
      <c r="L7367"/>
    </row>
    <row r="7368" spans="1:12" x14ac:dyDescent="0.3">
      <c r="A7368" t="s">
        <v>7374</v>
      </c>
      <c r="B7368" t="s">
        <v>10009</v>
      </c>
      <c r="C7368">
        <v>4</v>
      </c>
      <c r="D7368">
        <v>3</v>
      </c>
      <c r="E7368">
        <v>12</v>
      </c>
      <c r="F7368" t="s">
        <v>10018</v>
      </c>
      <c r="G7368" t="s">
        <v>10021</v>
      </c>
      <c r="H7368" s="6">
        <v>44956</v>
      </c>
      <c r="I7368">
        <f t="shared" si="230"/>
        <v>0</v>
      </c>
      <c r="J7368" t="str">
        <f t="shared" si="231"/>
        <v>Complete</v>
      </c>
      <c r="K7368">
        <f>COUNTIFS(RawData[Item], B7368,RawData[Quantity],C7368,RawData[Price Per Unit],D7368,RawData[Total Spent],E7368,RawData[Payment Method],F7368,RawData[Location],G7368,RawData[Transaction Date],H7368)</f>
        <v>1</v>
      </c>
      <c r="L7368"/>
    </row>
    <row r="7369" spans="1:12" x14ac:dyDescent="0.3">
      <c r="A7369" t="s">
        <v>7375</v>
      </c>
      <c r="B7369" t="s">
        <v>10011</v>
      </c>
      <c r="C7369">
        <v>3</v>
      </c>
      <c r="D7369">
        <v>5</v>
      </c>
      <c r="E7369">
        <v>15</v>
      </c>
      <c r="F7369" t="s">
        <v>10018</v>
      </c>
      <c r="G7369" t="s">
        <v>10069</v>
      </c>
      <c r="H7369" s="6">
        <v>45268</v>
      </c>
      <c r="I7369">
        <f t="shared" si="230"/>
        <v>0</v>
      </c>
      <c r="J7369" t="str">
        <f t="shared" si="231"/>
        <v>Complete</v>
      </c>
      <c r="K7369">
        <f>COUNTIFS(RawData[Item], B7369,RawData[Quantity],C7369,RawData[Price Per Unit],D7369,RawData[Total Spent],E7369,RawData[Payment Method],F7369,RawData[Location],G7369,RawData[Transaction Date],H7369)</f>
        <v>1</v>
      </c>
      <c r="L7369"/>
    </row>
    <row r="7370" spans="1:12" x14ac:dyDescent="0.3">
      <c r="A7370" t="s">
        <v>7376</v>
      </c>
      <c r="B7370" t="s">
        <v>10009</v>
      </c>
      <c r="C7370">
        <v>2</v>
      </c>
      <c r="D7370">
        <v>3</v>
      </c>
      <c r="E7370">
        <v>6</v>
      </c>
      <c r="F7370" t="s">
        <v>10104</v>
      </c>
      <c r="G7370" t="s">
        <v>10102</v>
      </c>
      <c r="H7370" s="6">
        <v>45035</v>
      </c>
      <c r="I7370">
        <f t="shared" si="230"/>
        <v>1</v>
      </c>
      <c r="J7370" t="str">
        <f t="shared" si="231"/>
        <v>Complete</v>
      </c>
      <c r="K7370">
        <f>COUNTIFS(RawData[Item], B7370,RawData[Quantity],C7370,RawData[Price Per Unit],D7370,RawData[Total Spent],E7370,RawData[Payment Method],F7370,RawData[Location],G7370,RawData[Transaction Date],H7370)</f>
        <v>1</v>
      </c>
      <c r="L7370"/>
    </row>
    <row r="7371" spans="1:12" x14ac:dyDescent="0.3">
      <c r="A7371" t="s">
        <v>7377</v>
      </c>
      <c r="B7371" t="s">
        <v>10017</v>
      </c>
      <c r="C7371">
        <v>3</v>
      </c>
      <c r="D7371">
        <v>1.5</v>
      </c>
      <c r="E7371">
        <v>4.5</v>
      </c>
      <c r="F7371" t="s">
        <v>10069</v>
      </c>
      <c r="G7371" t="s">
        <v>10069</v>
      </c>
      <c r="H7371" s="6">
        <v>45185</v>
      </c>
      <c r="I7371">
        <f t="shared" si="230"/>
        <v>0</v>
      </c>
      <c r="J7371" t="str">
        <f t="shared" si="231"/>
        <v>Complete</v>
      </c>
      <c r="K7371">
        <f>COUNTIFS(RawData[Item], B7371,RawData[Quantity],C7371,RawData[Price Per Unit],D7371,RawData[Total Spent],E7371,RawData[Payment Method],F7371,RawData[Location],G7371,RawData[Transaction Date],H7371)</f>
        <v>1</v>
      </c>
      <c r="L7371"/>
    </row>
    <row r="7372" spans="1:12" x14ac:dyDescent="0.3">
      <c r="A7372" t="s">
        <v>7378</v>
      </c>
      <c r="B7372" t="s">
        <v>10010</v>
      </c>
      <c r="C7372">
        <v>4</v>
      </c>
      <c r="D7372">
        <v>1</v>
      </c>
      <c r="E7372">
        <v>4</v>
      </c>
      <c r="F7372" t="s">
        <v>10069</v>
      </c>
      <c r="G7372" t="s">
        <v>10102</v>
      </c>
      <c r="H7372" s="6">
        <v>45265</v>
      </c>
      <c r="I7372">
        <f t="shared" si="230"/>
        <v>0</v>
      </c>
      <c r="J7372" t="str">
        <f t="shared" si="231"/>
        <v>Complete</v>
      </c>
      <c r="K7372">
        <f>COUNTIFS(RawData[Item], B7372,RawData[Quantity],C7372,RawData[Price Per Unit],D7372,RawData[Total Spent],E7372,RawData[Payment Method],F7372,RawData[Location],G7372,RawData[Transaction Date],H7372)</f>
        <v>1</v>
      </c>
      <c r="L7372"/>
    </row>
    <row r="7373" spans="1:12" x14ac:dyDescent="0.3">
      <c r="A7373" t="s">
        <v>7379</v>
      </c>
      <c r="B7373" t="s">
        <v>10009</v>
      </c>
      <c r="C7373">
        <v>1</v>
      </c>
      <c r="D7373">
        <v>3</v>
      </c>
      <c r="E7373">
        <v>3</v>
      </c>
      <c r="F7373" t="s">
        <v>10020</v>
      </c>
      <c r="G7373" t="s">
        <v>10102</v>
      </c>
      <c r="H7373" s="6">
        <v>45192</v>
      </c>
      <c r="I7373">
        <f t="shared" si="230"/>
        <v>0</v>
      </c>
      <c r="J7373" t="str">
        <f t="shared" si="231"/>
        <v>Complete</v>
      </c>
      <c r="K7373">
        <f>COUNTIFS(RawData[Item], B7373,RawData[Quantity],C7373,RawData[Price Per Unit],D7373,RawData[Total Spent],E7373,RawData[Payment Method],F7373,RawData[Location],G7373,RawData[Transaction Date],H7373)</f>
        <v>1</v>
      </c>
      <c r="L7373"/>
    </row>
    <row r="7374" spans="1:12" x14ac:dyDescent="0.3">
      <c r="A7374" t="s">
        <v>7380</v>
      </c>
      <c r="B7374" t="s">
        <v>10008</v>
      </c>
      <c r="C7374">
        <v>5</v>
      </c>
      <c r="D7374">
        <v>2</v>
      </c>
      <c r="E7374">
        <v>10</v>
      </c>
      <c r="F7374" t="s">
        <v>10019</v>
      </c>
      <c r="G7374" t="s">
        <v>10102</v>
      </c>
      <c r="H7374" s="6">
        <v>44971</v>
      </c>
      <c r="I7374">
        <f t="shared" si="230"/>
        <v>0</v>
      </c>
      <c r="J7374" t="str">
        <f t="shared" si="231"/>
        <v>Complete</v>
      </c>
      <c r="K7374">
        <f>COUNTIFS(RawData[Item], B7374,RawData[Quantity],C7374,RawData[Price Per Unit],D7374,RawData[Total Spent],E7374,RawData[Payment Method],F7374,RawData[Location],G7374,RawData[Transaction Date],H7374)</f>
        <v>1</v>
      </c>
      <c r="L7374"/>
    </row>
    <row r="7375" spans="1:12" x14ac:dyDescent="0.3">
      <c r="A7375" t="s">
        <v>7381</v>
      </c>
      <c r="B7375" t="s">
        <v>10013</v>
      </c>
      <c r="C7375">
        <v>2</v>
      </c>
      <c r="D7375">
        <v>4</v>
      </c>
      <c r="E7375">
        <v>8</v>
      </c>
      <c r="F7375" t="s">
        <v>10020</v>
      </c>
      <c r="G7375" t="s">
        <v>10102</v>
      </c>
      <c r="H7375" s="6">
        <v>45116</v>
      </c>
      <c r="I7375">
        <f t="shared" si="230"/>
        <v>1</v>
      </c>
      <c r="J7375" t="str">
        <f t="shared" si="231"/>
        <v>Complete</v>
      </c>
      <c r="K7375">
        <f>COUNTIFS(RawData[Item], B7375,RawData[Quantity],C7375,RawData[Price Per Unit],D7375,RawData[Total Spent],E7375,RawData[Payment Method],F7375,RawData[Location],G7375,RawData[Transaction Date],H7375)</f>
        <v>1</v>
      </c>
      <c r="L7375"/>
    </row>
    <row r="7376" spans="1:12" x14ac:dyDescent="0.3">
      <c r="A7376" t="s">
        <v>7382</v>
      </c>
      <c r="B7376" t="s">
        <v>10011</v>
      </c>
      <c r="C7376">
        <v>2</v>
      </c>
      <c r="D7376">
        <v>5</v>
      </c>
      <c r="E7376">
        <v>10</v>
      </c>
      <c r="F7376" t="s">
        <v>10018</v>
      </c>
      <c r="G7376" t="s">
        <v>10103</v>
      </c>
      <c r="H7376" s="6">
        <v>45047</v>
      </c>
      <c r="I7376">
        <f t="shared" si="230"/>
        <v>1</v>
      </c>
      <c r="J7376" t="str">
        <f t="shared" si="231"/>
        <v>Complete</v>
      </c>
      <c r="K7376">
        <f>COUNTIFS(RawData[Item], B7376,RawData[Quantity],C7376,RawData[Price Per Unit],D7376,RawData[Total Spent],E7376,RawData[Payment Method],F7376,RawData[Location],G7376,RawData[Transaction Date],H7376)</f>
        <v>1</v>
      </c>
      <c r="L7376"/>
    </row>
    <row r="7377" spans="1:12" x14ac:dyDescent="0.3">
      <c r="A7377" t="s">
        <v>7383</v>
      </c>
      <c r="B7377" t="s">
        <v>10014</v>
      </c>
      <c r="C7377">
        <v>3</v>
      </c>
      <c r="D7377">
        <v>4</v>
      </c>
      <c r="E7377">
        <v>0</v>
      </c>
      <c r="F7377" t="s">
        <v>10019</v>
      </c>
      <c r="G7377" t="s">
        <v>10069</v>
      </c>
      <c r="H7377" s="6">
        <v>44997</v>
      </c>
      <c r="I7377">
        <f t="shared" si="230"/>
        <v>0</v>
      </c>
      <c r="J7377" t="str">
        <f t="shared" si="231"/>
        <v>Complete</v>
      </c>
      <c r="K7377">
        <f>COUNTIFS(RawData[Item], B7377,RawData[Quantity],C7377,RawData[Price Per Unit],D7377,RawData[Total Spent],E7377,RawData[Payment Method],F7377,RawData[Location],G7377,RawData[Transaction Date],H7377)</f>
        <v>1</v>
      </c>
      <c r="L7377"/>
    </row>
    <row r="7378" spans="1:12" x14ac:dyDescent="0.3">
      <c r="A7378" t="s">
        <v>7384</v>
      </c>
      <c r="B7378" t="s">
        <v>10011</v>
      </c>
      <c r="C7378">
        <v>5</v>
      </c>
      <c r="D7378">
        <v>5</v>
      </c>
      <c r="E7378">
        <v>25</v>
      </c>
      <c r="F7378" t="s">
        <v>10020</v>
      </c>
      <c r="G7378" t="s">
        <v>10069</v>
      </c>
      <c r="H7378" s="6">
        <v>45114</v>
      </c>
      <c r="I7378">
        <f t="shared" si="230"/>
        <v>0</v>
      </c>
      <c r="J7378" t="str">
        <f t="shared" si="231"/>
        <v>Complete</v>
      </c>
      <c r="K7378">
        <f>COUNTIFS(RawData[Item], B7378,RawData[Quantity],C7378,RawData[Price Per Unit],D7378,RawData[Total Spent],E7378,RawData[Payment Method],F7378,RawData[Location],G7378,RawData[Transaction Date],H7378)</f>
        <v>1</v>
      </c>
      <c r="L7378"/>
    </row>
    <row r="7379" spans="1:12" x14ac:dyDescent="0.3">
      <c r="A7379" t="s">
        <v>7385</v>
      </c>
      <c r="B7379" t="s">
        <v>10069</v>
      </c>
      <c r="C7379">
        <v>3</v>
      </c>
      <c r="D7379">
        <v>3</v>
      </c>
      <c r="E7379">
        <v>9</v>
      </c>
      <c r="F7379" t="s">
        <v>10018</v>
      </c>
      <c r="G7379" t="s">
        <v>10102</v>
      </c>
      <c r="H7379" s="6">
        <v>45056</v>
      </c>
      <c r="I7379">
        <f t="shared" si="230"/>
        <v>0</v>
      </c>
      <c r="J7379" t="str">
        <f t="shared" si="231"/>
        <v>Complete</v>
      </c>
      <c r="K7379">
        <f>COUNTIFS(RawData[Item], B7379,RawData[Quantity],C7379,RawData[Price Per Unit],D7379,RawData[Total Spent],E7379,RawData[Payment Method],F7379,RawData[Location],G7379,RawData[Transaction Date],H7379)</f>
        <v>1</v>
      </c>
      <c r="L7379"/>
    </row>
    <row r="7380" spans="1:12" x14ac:dyDescent="0.3">
      <c r="A7380" t="s">
        <v>7386</v>
      </c>
      <c r="B7380" t="s">
        <v>10008</v>
      </c>
      <c r="C7380">
        <v>2</v>
      </c>
      <c r="D7380">
        <v>2</v>
      </c>
      <c r="E7380">
        <v>4</v>
      </c>
      <c r="F7380" t="s">
        <v>10069</v>
      </c>
      <c r="G7380" t="s">
        <v>10102</v>
      </c>
      <c r="H7380" s="6">
        <v>44954</v>
      </c>
      <c r="I7380">
        <f t="shared" si="230"/>
        <v>0</v>
      </c>
      <c r="J7380" t="str">
        <f t="shared" si="231"/>
        <v>Complete</v>
      </c>
      <c r="K7380">
        <f>COUNTIFS(RawData[Item], B7380,RawData[Quantity],C7380,RawData[Price Per Unit],D7380,RawData[Total Spent],E7380,RawData[Payment Method],F7380,RawData[Location],G7380,RawData[Transaction Date],H7380)</f>
        <v>1</v>
      </c>
      <c r="L7380"/>
    </row>
    <row r="7381" spans="1:12" x14ac:dyDescent="0.3">
      <c r="A7381" t="s">
        <v>7387</v>
      </c>
      <c r="B7381" t="s">
        <v>10016</v>
      </c>
      <c r="C7381">
        <v>4</v>
      </c>
      <c r="D7381">
        <v>3</v>
      </c>
      <c r="E7381">
        <v>12</v>
      </c>
      <c r="F7381" t="s">
        <v>10020</v>
      </c>
      <c r="G7381" t="s">
        <v>10021</v>
      </c>
      <c r="H7381" s="6">
        <v>45275</v>
      </c>
      <c r="I7381">
        <f t="shared" si="230"/>
        <v>0</v>
      </c>
      <c r="J7381" t="str">
        <f t="shared" si="231"/>
        <v>Complete</v>
      </c>
      <c r="K7381">
        <f>COUNTIFS(RawData[Item], B7381,RawData[Quantity],C7381,RawData[Price Per Unit],D7381,RawData[Total Spent],E7381,RawData[Payment Method],F7381,RawData[Location],G7381,RawData[Transaction Date],H7381)</f>
        <v>1</v>
      </c>
      <c r="L7381"/>
    </row>
    <row r="7382" spans="1:12" x14ac:dyDescent="0.3">
      <c r="A7382" t="s">
        <v>7388</v>
      </c>
      <c r="B7382" t="s">
        <v>10016</v>
      </c>
      <c r="C7382">
        <v>4</v>
      </c>
      <c r="D7382">
        <v>3</v>
      </c>
      <c r="E7382">
        <v>12</v>
      </c>
      <c r="F7382" t="s">
        <v>10018</v>
      </c>
      <c r="G7382" t="s">
        <v>10021</v>
      </c>
      <c r="H7382" s="6">
        <v>45059</v>
      </c>
      <c r="I7382">
        <f t="shared" si="230"/>
        <v>0</v>
      </c>
      <c r="J7382" t="str">
        <f t="shared" si="231"/>
        <v>Complete</v>
      </c>
      <c r="K7382">
        <f>COUNTIFS(RawData[Item], B7382,RawData[Quantity],C7382,RawData[Price Per Unit],D7382,RawData[Total Spent],E7382,RawData[Payment Method],F7382,RawData[Location],G7382,RawData[Transaction Date],H7382)</f>
        <v>1</v>
      </c>
      <c r="L7382"/>
    </row>
    <row r="7383" spans="1:12" x14ac:dyDescent="0.3">
      <c r="A7383" t="s">
        <v>7389</v>
      </c>
      <c r="B7383" t="s">
        <v>10014</v>
      </c>
      <c r="C7383">
        <v>4</v>
      </c>
      <c r="D7383">
        <v>0</v>
      </c>
      <c r="E7383">
        <v>16</v>
      </c>
      <c r="F7383" t="s">
        <v>10020</v>
      </c>
      <c r="G7383" t="s">
        <v>10103</v>
      </c>
      <c r="H7383" s="6">
        <v>45024</v>
      </c>
      <c r="I7383">
        <f t="shared" si="230"/>
        <v>1</v>
      </c>
      <c r="J7383" t="str">
        <f t="shared" si="231"/>
        <v>Complete</v>
      </c>
      <c r="K7383">
        <f>COUNTIFS(RawData[Item], B7383,RawData[Quantity],C7383,RawData[Price Per Unit],D7383,RawData[Total Spent],E7383,RawData[Payment Method],F7383,RawData[Location],G7383,RawData[Transaction Date],H7383)</f>
        <v>1</v>
      </c>
      <c r="L7383"/>
    </row>
    <row r="7384" spans="1:12" x14ac:dyDescent="0.3">
      <c r="A7384" t="s">
        <v>7390</v>
      </c>
      <c r="B7384" t="s">
        <v>10017</v>
      </c>
      <c r="C7384">
        <v>4</v>
      </c>
      <c r="D7384">
        <v>1.5</v>
      </c>
      <c r="E7384">
        <v>6</v>
      </c>
      <c r="F7384" t="s">
        <v>10019</v>
      </c>
      <c r="G7384" t="s">
        <v>10021</v>
      </c>
      <c r="H7384" s="6">
        <v>45131</v>
      </c>
      <c r="I7384">
        <f t="shared" si="230"/>
        <v>0</v>
      </c>
      <c r="J7384" t="str">
        <f t="shared" si="231"/>
        <v>Complete</v>
      </c>
      <c r="K7384">
        <f>COUNTIFS(RawData[Item], B7384,RawData[Quantity],C7384,RawData[Price Per Unit],D7384,RawData[Total Spent],E7384,RawData[Payment Method],F7384,RawData[Location],G7384,RawData[Transaction Date],H7384)</f>
        <v>1</v>
      </c>
      <c r="L7384"/>
    </row>
    <row r="7385" spans="1:12" x14ac:dyDescent="0.3">
      <c r="A7385" t="s">
        <v>7391</v>
      </c>
      <c r="B7385" t="s">
        <v>10014</v>
      </c>
      <c r="C7385">
        <v>4</v>
      </c>
      <c r="D7385">
        <v>4</v>
      </c>
      <c r="E7385" t="s">
        <v>10013</v>
      </c>
      <c r="F7385" t="s">
        <v>10069</v>
      </c>
      <c r="G7385" t="s">
        <v>10069</v>
      </c>
      <c r="H7385" s="6">
        <v>44941</v>
      </c>
      <c r="I7385">
        <f t="shared" si="230"/>
        <v>1</v>
      </c>
      <c r="J7385" t="str">
        <f t="shared" si="231"/>
        <v>Complete</v>
      </c>
      <c r="K7385">
        <f>COUNTIFS(RawData[Item], B7385,RawData[Quantity],C7385,RawData[Price Per Unit],D7385,RawData[Total Spent],E7385,RawData[Payment Method],F7385,RawData[Location],G7385,RawData[Transaction Date],H7385)</f>
        <v>1</v>
      </c>
      <c r="L7385"/>
    </row>
    <row r="7386" spans="1:12" x14ac:dyDescent="0.3">
      <c r="A7386" t="s">
        <v>7392</v>
      </c>
      <c r="B7386" t="s">
        <v>10012</v>
      </c>
      <c r="C7386">
        <v>3</v>
      </c>
      <c r="D7386">
        <v>4</v>
      </c>
      <c r="E7386">
        <v>12</v>
      </c>
      <c r="F7386" t="s">
        <v>10019</v>
      </c>
      <c r="G7386" t="s">
        <v>10069</v>
      </c>
      <c r="H7386" s="6">
        <v>45262</v>
      </c>
      <c r="I7386">
        <f t="shared" si="230"/>
        <v>0</v>
      </c>
      <c r="J7386" t="str">
        <f t="shared" si="231"/>
        <v>Complete</v>
      </c>
      <c r="K7386">
        <f>COUNTIFS(RawData[Item], B7386,RawData[Quantity],C7386,RawData[Price Per Unit],D7386,RawData[Total Spent],E7386,RawData[Payment Method],F7386,RawData[Location],G7386,RawData[Transaction Date],H7386)</f>
        <v>1</v>
      </c>
      <c r="L7386"/>
    </row>
    <row r="7387" spans="1:12" x14ac:dyDescent="0.3">
      <c r="A7387" t="s">
        <v>7393</v>
      </c>
      <c r="B7387" t="s">
        <v>10008</v>
      </c>
      <c r="C7387">
        <v>2</v>
      </c>
      <c r="D7387">
        <v>2</v>
      </c>
      <c r="E7387">
        <v>4</v>
      </c>
      <c r="F7387" t="s">
        <v>10020</v>
      </c>
      <c r="G7387" t="s">
        <v>10021</v>
      </c>
      <c r="H7387" s="6">
        <v>45280</v>
      </c>
      <c r="I7387">
        <f t="shared" si="230"/>
        <v>0</v>
      </c>
      <c r="J7387" t="str">
        <f t="shared" si="231"/>
        <v>Complete</v>
      </c>
      <c r="K7387">
        <f>COUNTIFS(RawData[Item], B7387,RawData[Quantity],C7387,RawData[Price Per Unit],D7387,RawData[Total Spent],E7387,RawData[Payment Method],F7387,RawData[Location],G7387,RawData[Transaction Date],H7387)</f>
        <v>1</v>
      </c>
      <c r="L7387"/>
    </row>
    <row r="7388" spans="1:12" x14ac:dyDescent="0.3">
      <c r="A7388" t="s">
        <v>7394</v>
      </c>
      <c r="B7388" t="s">
        <v>10010</v>
      </c>
      <c r="C7388">
        <v>5</v>
      </c>
      <c r="D7388">
        <v>1</v>
      </c>
      <c r="E7388">
        <v>5</v>
      </c>
      <c r="F7388" t="s">
        <v>10018</v>
      </c>
      <c r="G7388" t="s">
        <v>10102</v>
      </c>
      <c r="H7388" s="6">
        <v>44971</v>
      </c>
      <c r="I7388">
        <f t="shared" si="230"/>
        <v>0</v>
      </c>
      <c r="J7388" t="str">
        <f t="shared" si="231"/>
        <v>Complete</v>
      </c>
      <c r="K7388">
        <f>COUNTIFS(RawData[Item], B7388,RawData[Quantity],C7388,RawData[Price Per Unit],D7388,RawData[Total Spent],E7388,RawData[Payment Method],F7388,RawData[Location],G7388,RawData[Transaction Date],H7388)</f>
        <v>2</v>
      </c>
      <c r="L7388"/>
    </row>
    <row r="7389" spans="1:12" x14ac:dyDescent="0.3">
      <c r="A7389" t="s">
        <v>7395</v>
      </c>
      <c r="B7389" t="s">
        <v>10014</v>
      </c>
      <c r="C7389">
        <v>1</v>
      </c>
      <c r="D7389">
        <v>4</v>
      </c>
      <c r="E7389">
        <v>4</v>
      </c>
      <c r="F7389" t="s">
        <v>10020</v>
      </c>
      <c r="G7389" t="s">
        <v>10069</v>
      </c>
      <c r="H7389" s="6">
        <v>45095</v>
      </c>
      <c r="I7389">
        <f t="shared" si="230"/>
        <v>0</v>
      </c>
      <c r="J7389" t="str">
        <f t="shared" si="231"/>
        <v>Complete</v>
      </c>
      <c r="K7389">
        <f>COUNTIFS(RawData[Item], B7389,RawData[Quantity],C7389,RawData[Price Per Unit],D7389,RawData[Total Spent],E7389,RawData[Payment Method],F7389,RawData[Location],G7389,RawData[Transaction Date],H7389)</f>
        <v>1</v>
      </c>
      <c r="L7389"/>
    </row>
    <row r="7390" spans="1:12" x14ac:dyDescent="0.3">
      <c r="A7390" t="s">
        <v>7396</v>
      </c>
      <c r="B7390" t="s">
        <v>10013</v>
      </c>
      <c r="C7390">
        <v>4</v>
      </c>
      <c r="D7390">
        <v>3</v>
      </c>
      <c r="E7390">
        <v>12</v>
      </c>
      <c r="F7390" t="s">
        <v>10069</v>
      </c>
      <c r="G7390" t="s">
        <v>10021</v>
      </c>
      <c r="H7390" s="6">
        <v>45145</v>
      </c>
      <c r="I7390">
        <f t="shared" si="230"/>
        <v>1</v>
      </c>
      <c r="J7390" t="str">
        <f t="shared" si="231"/>
        <v>Complete</v>
      </c>
      <c r="K7390">
        <f>COUNTIFS(RawData[Item], B7390,RawData[Quantity],C7390,RawData[Price Per Unit],D7390,RawData[Total Spent],E7390,RawData[Payment Method],F7390,RawData[Location],G7390,RawData[Transaction Date],H7390)</f>
        <v>1</v>
      </c>
      <c r="L7390"/>
    </row>
    <row r="7391" spans="1:12" x14ac:dyDescent="0.3">
      <c r="A7391" t="s">
        <v>7397</v>
      </c>
      <c r="B7391" t="s">
        <v>10008</v>
      </c>
      <c r="C7391">
        <v>5</v>
      </c>
      <c r="D7391">
        <v>2</v>
      </c>
      <c r="E7391">
        <v>10</v>
      </c>
      <c r="F7391" t="s">
        <v>10019</v>
      </c>
      <c r="G7391" t="s">
        <v>10069</v>
      </c>
      <c r="H7391" s="6">
        <v>45005</v>
      </c>
      <c r="I7391">
        <f t="shared" si="230"/>
        <v>0</v>
      </c>
      <c r="J7391" t="str">
        <f t="shared" si="231"/>
        <v>Complete</v>
      </c>
      <c r="K7391">
        <f>COUNTIFS(RawData[Item], B7391,RawData[Quantity],C7391,RawData[Price Per Unit],D7391,RawData[Total Spent],E7391,RawData[Payment Method],F7391,RawData[Location],G7391,RawData[Transaction Date],H7391)</f>
        <v>1</v>
      </c>
      <c r="L7391"/>
    </row>
    <row r="7392" spans="1:12" x14ac:dyDescent="0.3">
      <c r="A7392" t="s">
        <v>7398</v>
      </c>
      <c r="B7392" t="s">
        <v>10014</v>
      </c>
      <c r="C7392">
        <v>2</v>
      </c>
      <c r="D7392">
        <v>4</v>
      </c>
      <c r="E7392">
        <v>8</v>
      </c>
      <c r="F7392" t="s">
        <v>10020</v>
      </c>
      <c r="G7392" t="s">
        <v>10102</v>
      </c>
      <c r="H7392" s="6">
        <v>45101</v>
      </c>
      <c r="I7392">
        <f t="shared" si="230"/>
        <v>0</v>
      </c>
      <c r="J7392" t="str">
        <f t="shared" si="231"/>
        <v>Complete</v>
      </c>
      <c r="K7392">
        <f>COUNTIFS(RawData[Item], B7392,RawData[Quantity],C7392,RawData[Price Per Unit],D7392,RawData[Total Spent],E7392,RawData[Payment Method],F7392,RawData[Location],G7392,RawData[Transaction Date],H7392)</f>
        <v>1</v>
      </c>
      <c r="L7392"/>
    </row>
    <row r="7393" spans="1:12" x14ac:dyDescent="0.3">
      <c r="A7393" t="s">
        <v>7399</v>
      </c>
      <c r="B7393" t="s">
        <v>10009</v>
      </c>
      <c r="C7393">
        <v>2</v>
      </c>
      <c r="D7393">
        <v>3</v>
      </c>
      <c r="E7393">
        <v>6</v>
      </c>
      <c r="F7393" t="s">
        <v>10019</v>
      </c>
      <c r="G7393" t="s">
        <v>10069</v>
      </c>
      <c r="H7393" s="6">
        <v>45050</v>
      </c>
      <c r="I7393">
        <f t="shared" si="230"/>
        <v>0</v>
      </c>
      <c r="J7393" t="str">
        <f t="shared" si="231"/>
        <v>Complete</v>
      </c>
      <c r="K7393">
        <f>COUNTIFS(RawData[Item], B7393,RawData[Quantity],C7393,RawData[Price Per Unit],D7393,RawData[Total Spent],E7393,RawData[Payment Method],F7393,RawData[Location],G7393,RawData[Transaction Date],H7393)</f>
        <v>1</v>
      </c>
      <c r="L7393"/>
    </row>
    <row r="7394" spans="1:12" x14ac:dyDescent="0.3">
      <c r="A7394" t="s">
        <v>7400</v>
      </c>
      <c r="B7394" t="s">
        <v>10017</v>
      </c>
      <c r="C7394">
        <v>2</v>
      </c>
      <c r="D7394">
        <v>1.5</v>
      </c>
      <c r="E7394">
        <v>3</v>
      </c>
      <c r="F7394" t="s">
        <v>10019</v>
      </c>
      <c r="G7394" t="s">
        <v>10102</v>
      </c>
      <c r="H7394" s="6">
        <v>44957</v>
      </c>
      <c r="I7394">
        <f t="shared" si="230"/>
        <v>0</v>
      </c>
      <c r="J7394" t="str">
        <f t="shared" si="231"/>
        <v>Complete</v>
      </c>
      <c r="K7394">
        <f>COUNTIFS(RawData[Item], B7394,RawData[Quantity],C7394,RawData[Price Per Unit],D7394,RawData[Total Spent],E7394,RawData[Payment Method],F7394,RawData[Location],G7394,RawData[Transaction Date],H7394)</f>
        <v>1</v>
      </c>
      <c r="L7394"/>
    </row>
    <row r="7395" spans="1:12" x14ac:dyDescent="0.3">
      <c r="A7395" t="s">
        <v>7401</v>
      </c>
      <c r="B7395" t="s">
        <v>10011</v>
      </c>
      <c r="C7395">
        <v>4</v>
      </c>
      <c r="D7395">
        <v>5</v>
      </c>
      <c r="E7395">
        <v>20</v>
      </c>
      <c r="F7395" t="s">
        <v>10018</v>
      </c>
      <c r="G7395" t="s">
        <v>10069</v>
      </c>
      <c r="H7395" s="6">
        <v>45265</v>
      </c>
      <c r="I7395">
        <f t="shared" si="230"/>
        <v>0</v>
      </c>
      <c r="J7395" t="str">
        <f t="shared" si="231"/>
        <v>Complete</v>
      </c>
      <c r="K7395">
        <f>COUNTIFS(RawData[Item], B7395,RawData[Quantity],C7395,RawData[Price Per Unit],D7395,RawData[Total Spent],E7395,RawData[Payment Method],F7395,RawData[Location],G7395,RawData[Transaction Date],H7395)</f>
        <v>1</v>
      </c>
      <c r="L7395"/>
    </row>
    <row r="7396" spans="1:12" x14ac:dyDescent="0.3">
      <c r="A7396" t="s">
        <v>7402</v>
      </c>
      <c r="B7396" t="s">
        <v>10016</v>
      </c>
      <c r="C7396">
        <v>1</v>
      </c>
      <c r="D7396">
        <v>3</v>
      </c>
      <c r="E7396">
        <v>3</v>
      </c>
      <c r="F7396" t="s">
        <v>10103</v>
      </c>
      <c r="G7396" t="s">
        <v>10021</v>
      </c>
      <c r="H7396" s="6">
        <v>45165</v>
      </c>
      <c r="I7396">
        <f t="shared" si="230"/>
        <v>1</v>
      </c>
      <c r="J7396" t="str">
        <f t="shared" si="231"/>
        <v>Complete</v>
      </c>
      <c r="K7396">
        <f>COUNTIFS(RawData[Item], B7396,RawData[Quantity],C7396,RawData[Price Per Unit],D7396,RawData[Total Spent],E7396,RawData[Payment Method],F7396,RawData[Location],G7396,RawData[Transaction Date],H7396)</f>
        <v>1</v>
      </c>
      <c r="L7396"/>
    </row>
    <row r="7397" spans="1:12" x14ac:dyDescent="0.3">
      <c r="A7397" t="s">
        <v>7403</v>
      </c>
      <c r="B7397" t="s">
        <v>10017</v>
      </c>
      <c r="C7397">
        <v>5</v>
      </c>
      <c r="D7397">
        <v>1.5</v>
      </c>
      <c r="E7397">
        <v>7.5</v>
      </c>
      <c r="F7397" t="s">
        <v>10069</v>
      </c>
      <c r="G7397" t="s">
        <v>10069</v>
      </c>
      <c r="H7397" s="6">
        <v>45106</v>
      </c>
      <c r="I7397">
        <f t="shared" si="230"/>
        <v>0</v>
      </c>
      <c r="J7397" t="str">
        <f t="shared" si="231"/>
        <v>Complete</v>
      </c>
      <c r="K7397">
        <f>COUNTIFS(RawData[Item], B7397,RawData[Quantity],C7397,RawData[Price Per Unit],D7397,RawData[Total Spent],E7397,RawData[Payment Method],F7397,RawData[Location],G7397,RawData[Transaction Date],H7397)</f>
        <v>1</v>
      </c>
      <c r="L7397"/>
    </row>
    <row r="7398" spans="1:12" x14ac:dyDescent="0.3">
      <c r="A7398" t="s">
        <v>7404</v>
      </c>
      <c r="B7398" t="s">
        <v>10010</v>
      </c>
      <c r="C7398">
        <v>3</v>
      </c>
      <c r="D7398">
        <v>1</v>
      </c>
      <c r="E7398">
        <v>3</v>
      </c>
      <c r="F7398" t="s">
        <v>10020</v>
      </c>
      <c r="G7398" t="s">
        <v>10021</v>
      </c>
      <c r="H7398" s="6">
        <v>45238</v>
      </c>
      <c r="I7398">
        <f t="shared" si="230"/>
        <v>0</v>
      </c>
      <c r="J7398" t="str">
        <f t="shared" si="231"/>
        <v>Complete</v>
      </c>
      <c r="K7398">
        <f>COUNTIFS(RawData[Item], B7398,RawData[Quantity],C7398,RawData[Price Per Unit],D7398,RawData[Total Spent],E7398,RawData[Payment Method],F7398,RawData[Location],G7398,RawData[Transaction Date],H7398)</f>
        <v>1</v>
      </c>
      <c r="L7398"/>
    </row>
    <row r="7399" spans="1:12" x14ac:dyDescent="0.3">
      <c r="A7399" t="s">
        <v>7405</v>
      </c>
      <c r="B7399" t="s">
        <v>10008</v>
      </c>
      <c r="C7399">
        <v>1</v>
      </c>
      <c r="D7399">
        <v>2</v>
      </c>
      <c r="E7399">
        <v>2</v>
      </c>
      <c r="F7399" t="s">
        <v>10018</v>
      </c>
      <c r="G7399" t="s">
        <v>10069</v>
      </c>
      <c r="H7399" s="6">
        <v>44961</v>
      </c>
      <c r="I7399">
        <f t="shared" si="230"/>
        <v>0</v>
      </c>
      <c r="J7399" t="str">
        <f t="shared" si="231"/>
        <v>Complete</v>
      </c>
      <c r="K7399">
        <f>COUNTIFS(RawData[Item], B7399,RawData[Quantity],C7399,RawData[Price Per Unit],D7399,RawData[Total Spent],E7399,RawData[Payment Method],F7399,RawData[Location],G7399,RawData[Transaction Date],H7399)</f>
        <v>1</v>
      </c>
      <c r="L7399"/>
    </row>
    <row r="7400" spans="1:12" x14ac:dyDescent="0.3">
      <c r="A7400" t="s">
        <v>7406</v>
      </c>
      <c r="B7400" t="s">
        <v>10014</v>
      </c>
      <c r="C7400">
        <v>2</v>
      </c>
      <c r="D7400">
        <v>4</v>
      </c>
      <c r="E7400">
        <v>8</v>
      </c>
      <c r="F7400" t="s">
        <v>10020</v>
      </c>
      <c r="G7400" t="s">
        <v>10102</v>
      </c>
      <c r="H7400" s="6">
        <v>45078</v>
      </c>
      <c r="I7400">
        <f t="shared" si="230"/>
        <v>0</v>
      </c>
      <c r="J7400" t="str">
        <f t="shared" si="231"/>
        <v>Complete</v>
      </c>
      <c r="K7400">
        <f>COUNTIFS(RawData[Item], B7400,RawData[Quantity],C7400,RawData[Price Per Unit],D7400,RawData[Total Spent],E7400,RawData[Payment Method],F7400,RawData[Location],G7400,RawData[Transaction Date],H7400)</f>
        <v>1</v>
      </c>
      <c r="L7400"/>
    </row>
    <row r="7401" spans="1:12" x14ac:dyDescent="0.3">
      <c r="A7401" t="s">
        <v>7407</v>
      </c>
      <c r="B7401" t="s">
        <v>10017</v>
      </c>
      <c r="C7401">
        <v>2</v>
      </c>
      <c r="D7401">
        <v>1.5</v>
      </c>
      <c r="E7401">
        <v>3</v>
      </c>
      <c r="F7401" t="s">
        <v>10018</v>
      </c>
      <c r="G7401" t="s">
        <v>10021</v>
      </c>
      <c r="H7401" s="6">
        <v>45025</v>
      </c>
      <c r="I7401">
        <f t="shared" si="230"/>
        <v>0</v>
      </c>
      <c r="J7401" t="str">
        <f t="shared" si="231"/>
        <v>Complete</v>
      </c>
      <c r="K7401">
        <f>COUNTIFS(RawData[Item], B7401,RawData[Quantity],C7401,RawData[Price Per Unit],D7401,RawData[Total Spent],E7401,RawData[Payment Method],F7401,RawData[Location],G7401,RawData[Transaction Date],H7401)</f>
        <v>1</v>
      </c>
      <c r="L7401"/>
    </row>
    <row r="7402" spans="1:12" x14ac:dyDescent="0.3">
      <c r="A7402" t="s">
        <v>7408</v>
      </c>
      <c r="B7402" t="s">
        <v>10009</v>
      </c>
      <c r="C7402">
        <v>4</v>
      </c>
      <c r="D7402">
        <v>3</v>
      </c>
      <c r="E7402">
        <v>12</v>
      </c>
      <c r="F7402" t="s">
        <v>10020</v>
      </c>
      <c r="G7402" t="s">
        <v>10102</v>
      </c>
      <c r="H7402" s="6">
        <v>45190</v>
      </c>
      <c r="I7402">
        <f t="shared" si="230"/>
        <v>0</v>
      </c>
      <c r="J7402" t="str">
        <f t="shared" si="231"/>
        <v>Complete</v>
      </c>
      <c r="K7402">
        <f>COUNTIFS(RawData[Item], B7402,RawData[Quantity],C7402,RawData[Price Per Unit],D7402,RawData[Total Spent],E7402,RawData[Payment Method],F7402,RawData[Location],G7402,RawData[Transaction Date],H7402)</f>
        <v>1</v>
      </c>
      <c r="L7402"/>
    </row>
    <row r="7403" spans="1:12" x14ac:dyDescent="0.3">
      <c r="A7403" t="s">
        <v>7409</v>
      </c>
      <c r="B7403" t="s">
        <v>10017</v>
      </c>
      <c r="C7403">
        <v>1</v>
      </c>
      <c r="D7403">
        <v>1.5</v>
      </c>
      <c r="E7403">
        <v>1.5</v>
      </c>
      <c r="F7403" t="s">
        <v>10020</v>
      </c>
      <c r="G7403" t="s">
        <v>10069</v>
      </c>
      <c r="H7403" s="6">
        <v>45115</v>
      </c>
      <c r="I7403">
        <f t="shared" si="230"/>
        <v>0</v>
      </c>
      <c r="J7403" t="str">
        <f t="shared" si="231"/>
        <v>Complete</v>
      </c>
      <c r="K7403">
        <f>COUNTIFS(RawData[Item], B7403,RawData[Quantity],C7403,RawData[Price Per Unit],D7403,RawData[Total Spent],E7403,RawData[Payment Method],F7403,RawData[Location],G7403,RawData[Transaction Date],H7403)</f>
        <v>2</v>
      </c>
      <c r="L7403"/>
    </row>
    <row r="7404" spans="1:12" x14ac:dyDescent="0.3">
      <c r="A7404" t="s">
        <v>7410</v>
      </c>
      <c r="B7404" t="s">
        <v>10014</v>
      </c>
      <c r="C7404">
        <v>1</v>
      </c>
      <c r="D7404">
        <v>4</v>
      </c>
      <c r="E7404">
        <v>4</v>
      </c>
      <c r="F7404" t="s">
        <v>10018</v>
      </c>
      <c r="G7404" t="s">
        <v>10102</v>
      </c>
      <c r="H7404" s="6">
        <v>45045</v>
      </c>
      <c r="I7404">
        <f t="shared" si="230"/>
        <v>0</v>
      </c>
      <c r="J7404" t="str">
        <f t="shared" si="231"/>
        <v>Complete</v>
      </c>
      <c r="K7404">
        <f>COUNTIFS(RawData[Item], B7404,RawData[Quantity],C7404,RawData[Price Per Unit],D7404,RawData[Total Spent],E7404,RawData[Payment Method],F7404,RawData[Location],G7404,RawData[Transaction Date],H7404)</f>
        <v>1</v>
      </c>
      <c r="L7404"/>
    </row>
    <row r="7405" spans="1:12" x14ac:dyDescent="0.3">
      <c r="A7405" t="s">
        <v>7411</v>
      </c>
      <c r="B7405" t="s">
        <v>10015</v>
      </c>
      <c r="C7405">
        <v>5</v>
      </c>
      <c r="D7405">
        <v>3</v>
      </c>
      <c r="E7405">
        <v>15</v>
      </c>
      <c r="F7405" t="s">
        <v>10019</v>
      </c>
      <c r="G7405" t="s">
        <v>10102</v>
      </c>
      <c r="H7405" s="6">
        <v>45097</v>
      </c>
      <c r="I7405">
        <f t="shared" si="230"/>
        <v>1</v>
      </c>
      <c r="J7405" t="str">
        <f t="shared" si="231"/>
        <v>Complete</v>
      </c>
      <c r="K7405">
        <f>COUNTIFS(RawData[Item], B7405,RawData[Quantity],C7405,RawData[Price Per Unit],D7405,RawData[Total Spent],E7405,RawData[Payment Method],F7405,RawData[Location],G7405,RawData[Transaction Date],H7405)</f>
        <v>1</v>
      </c>
      <c r="L7405"/>
    </row>
    <row r="7406" spans="1:12" x14ac:dyDescent="0.3">
      <c r="A7406" t="s">
        <v>7412</v>
      </c>
      <c r="B7406" t="s">
        <v>10009</v>
      </c>
      <c r="C7406">
        <v>1</v>
      </c>
      <c r="D7406">
        <v>3</v>
      </c>
      <c r="E7406">
        <v>3</v>
      </c>
      <c r="F7406" t="s">
        <v>10069</v>
      </c>
      <c r="G7406" t="s">
        <v>10102</v>
      </c>
      <c r="H7406" s="6">
        <v>44991</v>
      </c>
      <c r="I7406">
        <f t="shared" si="230"/>
        <v>0</v>
      </c>
      <c r="J7406" t="str">
        <f t="shared" si="231"/>
        <v>Complete</v>
      </c>
      <c r="K7406">
        <f>COUNTIFS(RawData[Item], B7406,RawData[Quantity],C7406,RawData[Price Per Unit],D7406,RawData[Total Spent],E7406,RawData[Payment Method],F7406,RawData[Location],G7406,RawData[Transaction Date],H7406)</f>
        <v>1</v>
      </c>
      <c r="L7406"/>
    </row>
    <row r="7407" spans="1:12" x14ac:dyDescent="0.3">
      <c r="A7407" t="s">
        <v>7413</v>
      </c>
      <c r="B7407" t="s">
        <v>10014</v>
      </c>
      <c r="C7407">
        <v>3</v>
      </c>
      <c r="D7407">
        <v>4</v>
      </c>
      <c r="E7407">
        <v>12</v>
      </c>
      <c r="F7407" t="s">
        <v>10018</v>
      </c>
      <c r="G7407" t="s">
        <v>10069</v>
      </c>
      <c r="H7407" s="6">
        <v>45122</v>
      </c>
      <c r="I7407">
        <f t="shared" si="230"/>
        <v>0</v>
      </c>
      <c r="J7407" t="str">
        <f t="shared" si="231"/>
        <v>Complete</v>
      </c>
      <c r="K7407">
        <f>COUNTIFS(RawData[Item], B7407,RawData[Quantity],C7407,RawData[Price Per Unit],D7407,RawData[Total Spent],E7407,RawData[Payment Method],F7407,RawData[Location],G7407,RawData[Transaction Date],H7407)</f>
        <v>1</v>
      </c>
      <c r="L7407"/>
    </row>
    <row r="7408" spans="1:12" x14ac:dyDescent="0.3">
      <c r="A7408" t="s">
        <v>7414</v>
      </c>
      <c r="B7408" t="s">
        <v>10013</v>
      </c>
      <c r="C7408">
        <v>1</v>
      </c>
      <c r="D7408">
        <v>5</v>
      </c>
      <c r="E7408">
        <v>5</v>
      </c>
      <c r="F7408" t="s">
        <v>10069</v>
      </c>
      <c r="G7408" t="s">
        <v>10021</v>
      </c>
      <c r="H7408" s="6">
        <v>45069</v>
      </c>
      <c r="I7408">
        <f t="shared" si="230"/>
        <v>1</v>
      </c>
      <c r="J7408" t="str">
        <f t="shared" si="231"/>
        <v>Complete</v>
      </c>
      <c r="K7408">
        <f>COUNTIFS(RawData[Item], B7408,RawData[Quantity],C7408,RawData[Price Per Unit],D7408,RawData[Total Spent],E7408,RawData[Payment Method],F7408,RawData[Location],G7408,RawData[Transaction Date],H7408)</f>
        <v>1</v>
      </c>
      <c r="L7408"/>
    </row>
    <row r="7409" spans="1:12" x14ac:dyDescent="0.3">
      <c r="A7409" t="s">
        <v>7415</v>
      </c>
      <c r="B7409" t="s">
        <v>10009</v>
      </c>
      <c r="C7409">
        <v>2</v>
      </c>
      <c r="D7409">
        <v>3</v>
      </c>
      <c r="E7409">
        <v>6</v>
      </c>
      <c r="F7409" t="s">
        <v>10020</v>
      </c>
      <c r="G7409" t="s">
        <v>10103</v>
      </c>
      <c r="H7409" s="6">
        <v>45176</v>
      </c>
      <c r="I7409">
        <f t="shared" si="230"/>
        <v>1</v>
      </c>
      <c r="J7409" t="str">
        <f t="shared" si="231"/>
        <v>Complete</v>
      </c>
      <c r="K7409">
        <f>COUNTIFS(RawData[Item], B7409,RawData[Quantity],C7409,RawData[Price Per Unit],D7409,RawData[Total Spent],E7409,RawData[Payment Method],F7409,RawData[Location],G7409,RawData[Transaction Date],H7409)</f>
        <v>1</v>
      </c>
      <c r="L7409"/>
    </row>
    <row r="7410" spans="1:12" x14ac:dyDescent="0.3">
      <c r="A7410" t="s">
        <v>7416</v>
      </c>
      <c r="B7410" t="s">
        <v>10016</v>
      </c>
      <c r="C7410">
        <v>3</v>
      </c>
      <c r="D7410">
        <v>3</v>
      </c>
      <c r="E7410">
        <v>9</v>
      </c>
      <c r="F7410" t="s">
        <v>10018</v>
      </c>
      <c r="G7410" t="s">
        <v>10069</v>
      </c>
      <c r="H7410" s="6">
        <v>45054</v>
      </c>
      <c r="I7410">
        <f t="shared" si="230"/>
        <v>0</v>
      </c>
      <c r="J7410" t="str">
        <f t="shared" si="231"/>
        <v>Complete</v>
      </c>
      <c r="K7410">
        <f>COUNTIFS(RawData[Item], B7410,RawData[Quantity],C7410,RawData[Price Per Unit],D7410,RawData[Total Spent],E7410,RawData[Payment Method],F7410,RawData[Location],G7410,RawData[Transaction Date],H7410)</f>
        <v>1</v>
      </c>
      <c r="L7410"/>
    </row>
    <row r="7411" spans="1:12" x14ac:dyDescent="0.3">
      <c r="A7411" t="s">
        <v>7417</v>
      </c>
      <c r="B7411" t="s">
        <v>10010</v>
      </c>
      <c r="C7411">
        <v>5</v>
      </c>
      <c r="D7411">
        <v>1</v>
      </c>
      <c r="E7411">
        <v>5</v>
      </c>
      <c r="F7411" t="s">
        <v>10069</v>
      </c>
      <c r="G7411" t="s">
        <v>10021</v>
      </c>
      <c r="H7411" s="6">
        <v>45269</v>
      </c>
      <c r="I7411">
        <f t="shared" si="230"/>
        <v>0</v>
      </c>
      <c r="J7411" t="str">
        <f t="shared" si="231"/>
        <v>Complete</v>
      </c>
      <c r="K7411">
        <f>COUNTIFS(RawData[Item], B7411,RawData[Quantity],C7411,RawData[Price Per Unit],D7411,RawData[Total Spent],E7411,RawData[Payment Method],F7411,RawData[Location],G7411,RawData[Transaction Date],H7411)</f>
        <v>1</v>
      </c>
      <c r="L7411"/>
    </row>
    <row r="7412" spans="1:12" x14ac:dyDescent="0.3">
      <c r="A7412" t="s">
        <v>7418</v>
      </c>
      <c r="B7412" t="s">
        <v>10015</v>
      </c>
      <c r="C7412">
        <v>2</v>
      </c>
      <c r="D7412">
        <v>3</v>
      </c>
      <c r="E7412">
        <v>6</v>
      </c>
      <c r="F7412" t="s">
        <v>10019</v>
      </c>
      <c r="G7412" t="s">
        <v>10021</v>
      </c>
      <c r="H7412" s="6">
        <v>45226</v>
      </c>
      <c r="I7412">
        <f t="shared" si="230"/>
        <v>1</v>
      </c>
      <c r="J7412" t="str">
        <f t="shared" si="231"/>
        <v>Complete</v>
      </c>
      <c r="K7412">
        <f>COUNTIFS(RawData[Item], B7412,RawData[Quantity],C7412,RawData[Price Per Unit],D7412,RawData[Total Spent],E7412,RawData[Payment Method],F7412,RawData[Location],G7412,RawData[Transaction Date],H7412)</f>
        <v>1</v>
      </c>
      <c r="L7412"/>
    </row>
    <row r="7413" spans="1:12" x14ac:dyDescent="0.3">
      <c r="A7413" t="s">
        <v>7419</v>
      </c>
      <c r="B7413" t="s">
        <v>10016</v>
      </c>
      <c r="C7413">
        <v>2</v>
      </c>
      <c r="D7413">
        <v>3</v>
      </c>
      <c r="E7413">
        <v>6</v>
      </c>
      <c r="F7413" t="s">
        <v>10019</v>
      </c>
      <c r="G7413" t="s">
        <v>10021</v>
      </c>
      <c r="H7413" s="6">
        <v>45278</v>
      </c>
      <c r="I7413">
        <f t="shared" si="230"/>
        <v>0</v>
      </c>
      <c r="J7413" t="str">
        <f t="shared" si="231"/>
        <v>Complete</v>
      </c>
      <c r="K7413">
        <f>COUNTIFS(RawData[Item], B7413,RawData[Quantity],C7413,RawData[Price Per Unit],D7413,RawData[Total Spent],E7413,RawData[Payment Method],F7413,RawData[Location],G7413,RawData[Transaction Date],H7413)</f>
        <v>1</v>
      </c>
      <c r="L7413"/>
    </row>
    <row r="7414" spans="1:12" x14ac:dyDescent="0.3">
      <c r="A7414" t="s">
        <v>7420</v>
      </c>
      <c r="B7414" t="s">
        <v>10014</v>
      </c>
      <c r="C7414">
        <v>4</v>
      </c>
      <c r="D7414">
        <v>4</v>
      </c>
      <c r="E7414">
        <v>16</v>
      </c>
      <c r="F7414" t="s">
        <v>10069</v>
      </c>
      <c r="G7414" t="s">
        <v>10102</v>
      </c>
      <c r="H7414" s="6">
        <v>45009</v>
      </c>
      <c r="I7414">
        <f t="shared" si="230"/>
        <v>0</v>
      </c>
      <c r="J7414" t="str">
        <f t="shared" si="231"/>
        <v>Complete</v>
      </c>
      <c r="K7414">
        <f>COUNTIFS(RawData[Item], B7414,RawData[Quantity],C7414,RawData[Price Per Unit],D7414,RawData[Total Spent],E7414,RawData[Payment Method],F7414,RawData[Location],G7414,RawData[Transaction Date],H7414)</f>
        <v>1</v>
      </c>
      <c r="L7414"/>
    </row>
    <row r="7415" spans="1:12" x14ac:dyDescent="0.3">
      <c r="A7415" t="s">
        <v>7421</v>
      </c>
      <c r="B7415" t="s">
        <v>10008</v>
      </c>
      <c r="C7415">
        <v>5</v>
      </c>
      <c r="D7415">
        <v>2</v>
      </c>
      <c r="E7415">
        <v>10</v>
      </c>
      <c r="F7415" t="s">
        <v>10018</v>
      </c>
      <c r="G7415" t="s">
        <v>10102</v>
      </c>
      <c r="H7415" s="6">
        <v>45253</v>
      </c>
      <c r="I7415">
        <f t="shared" si="230"/>
        <v>0</v>
      </c>
      <c r="J7415" t="str">
        <f t="shared" si="231"/>
        <v>Complete</v>
      </c>
      <c r="K7415">
        <f>COUNTIFS(RawData[Item], B7415,RawData[Quantity],C7415,RawData[Price Per Unit],D7415,RawData[Total Spent],E7415,RawData[Payment Method],F7415,RawData[Location],G7415,RawData[Transaction Date],H7415)</f>
        <v>1</v>
      </c>
      <c r="L7415"/>
    </row>
    <row r="7416" spans="1:12" x14ac:dyDescent="0.3">
      <c r="A7416" t="s">
        <v>7422</v>
      </c>
      <c r="B7416" t="s">
        <v>10016</v>
      </c>
      <c r="C7416">
        <v>4</v>
      </c>
      <c r="D7416">
        <v>3</v>
      </c>
      <c r="E7416">
        <v>12</v>
      </c>
      <c r="F7416" t="s">
        <v>10020</v>
      </c>
      <c r="G7416" t="s">
        <v>10021</v>
      </c>
      <c r="H7416" s="6">
        <v>45032</v>
      </c>
      <c r="I7416">
        <f t="shared" si="230"/>
        <v>0</v>
      </c>
      <c r="J7416" t="str">
        <f t="shared" si="231"/>
        <v>Complete</v>
      </c>
      <c r="K7416">
        <f>COUNTIFS(RawData[Item], B7416,RawData[Quantity],C7416,RawData[Price Per Unit],D7416,RawData[Total Spent],E7416,RawData[Payment Method],F7416,RawData[Location],G7416,RawData[Transaction Date],H7416)</f>
        <v>1</v>
      </c>
      <c r="L7416"/>
    </row>
    <row r="7417" spans="1:12" x14ac:dyDescent="0.3">
      <c r="A7417" t="s">
        <v>7423</v>
      </c>
      <c r="B7417" t="s">
        <v>10017</v>
      </c>
      <c r="C7417">
        <v>3</v>
      </c>
      <c r="D7417">
        <v>1.5</v>
      </c>
      <c r="E7417">
        <v>4.5</v>
      </c>
      <c r="F7417" t="s">
        <v>10019</v>
      </c>
      <c r="G7417" t="s">
        <v>10102</v>
      </c>
      <c r="H7417" s="6">
        <v>45048</v>
      </c>
      <c r="I7417">
        <f t="shared" si="230"/>
        <v>0</v>
      </c>
      <c r="J7417" t="str">
        <f t="shared" si="231"/>
        <v>Complete</v>
      </c>
      <c r="K7417">
        <f>COUNTIFS(RawData[Item], B7417,RawData[Quantity],C7417,RawData[Price Per Unit],D7417,RawData[Total Spent],E7417,RawData[Payment Method],F7417,RawData[Location],G7417,RawData[Transaction Date],H7417)</f>
        <v>1</v>
      </c>
      <c r="L7417"/>
    </row>
    <row r="7418" spans="1:12" x14ac:dyDescent="0.3">
      <c r="A7418" t="s">
        <v>7424</v>
      </c>
      <c r="B7418" t="s">
        <v>10012</v>
      </c>
      <c r="C7418">
        <v>5</v>
      </c>
      <c r="D7418">
        <v>4</v>
      </c>
      <c r="E7418">
        <v>20</v>
      </c>
      <c r="F7418" t="s">
        <v>10019</v>
      </c>
      <c r="G7418" t="s">
        <v>10021</v>
      </c>
      <c r="H7418" s="6">
        <v>45175</v>
      </c>
      <c r="I7418">
        <f t="shared" si="230"/>
        <v>0</v>
      </c>
      <c r="J7418" t="str">
        <f t="shared" si="231"/>
        <v>Complete</v>
      </c>
      <c r="K7418">
        <f>COUNTIFS(RawData[Item], B7418,RawData[Quantity],C7418,RawData[Price Per Unit],D7418,RawData[Total Spent],E7418,RawData[Payment Method],F7418,RawData[Location],G7418,RawData[Transaction Date],H7418)</f>
        <v>1</v>
      </c>
      <c r="L7418"/>
    </row>
    <row r="7419" spans="1:12" x14ac:dyDescent="0.3">
      <c r="A7419" t="s">
        <v>7425</v>
      </c>
      <c r="B7419" t="s">
        <v>10017</v>
      </c>
      <c r="C7419">
        <v>2</v>
      </c>
      <c r="D7419">
        <v>1.5</v>
      </c>
      <c r="E7419">
        <v>3</v>
      </c>
      <c r="F7419" t="s">
        <v>10069</v>
      </c>
      <c r="G7419" t="s">
        <v>10102</v>
      </c>
      <c r="H7419" s="6">
        <v>45046</v>
      </c>
      <c r="I7419">
        <f t="shared" si="230"/>
        <v>0</v>
      </c>
      <c r="J7419" t="str">
        <f t="shared" si="231"/>
        <v>Complete</v>
      </c>
      <c r="K7419">
        <f>COUNTIFS(RawData[Item], B7419,RawData[Quantity],C7419,RawData[Price Per Unit],D7419,RawData[Total Spent],E7419,RawData[Payment Method],F7419,RawData[Location],G7419,RawData[Transaction Date],H7419)</f>
        <v>1</v>
      </c>
      <c r="L7419"/>
    </row>
    <row r="7420" spans="1:12" x14ac:dyDescent="0.3">
      <c r="A7420" t="s">
        <v>7426</v>
      </c>
      <c r="B7420" t="s">
        <v>10013</v>
      </c>
      <c r="C7420">
        <v>2</v>
      </c>
      <c r="D7420">
        <v>3</v>
      </c>
      <c r="E7420">
        <v>6</v>
      </c>
      <c r="F7420" t="s">
        <v>10019</v>
      </c>
      <c r="G7420" t="s">
        <v>10102</v>
      </c>
      <c r="H7420" s="6">
        <v>45165</v>
      </c>
      <c r="I7420">
        <f t="shared" si="230"/>
        <v>1</v>
      </c>
      <c r="J7420" t="str">
        <f t="shared" si="231"/>
        <v>Complete</v>
      </c>
      <c r="K7420">
        <f>COUNTIFS(RawData[Item], B7420,RawData[Quantity],C7420,RawData[Price Per Unit],D7420,RawData[Total Spent],E7420,RawData[Payment Method],F7420,RawData[Location],G7420,RawData[Transaction Date],H7420)</f>
        <v>1</v>
      </c>
      <c r="L7420"/>
    </row>
    <row r="7421" spans="1:12" x14ac:dyDescent="0.3">
      <c r="A7421" t="s">
        <v>7427</v>
      </c>
      <c r="B7421" t="s">
        <v>10016</v>
      </c>
      <c r="C7421">
        <v>5</v>
      </c>
      <c r="D7421">
        <v>3</v>
      </c>
      <c r="E7421">
        <v>15</v>
      </c>
      <c r="F7421" t="s">
        <v>10018</v>
      </c>
      <c r="G7421" t="s">
        <v>10069</v>
      </c>
      <c r="H7421" s="6">
        <v>44968</v>
      </c>
      <c r="I7421">
        <f t="shared" si="230"/>
        <v>0</v>
      </c>
      <c r="J7421" t="str">
        <f t="shared" si="231"/>
        <v>Complete</v>
      </c>
      <c r="K7421">
        <f>COUNTIFS(RawData[Item], B7421,RawData[Quantity],C7421,RawData[Price Per Unit],D7421,RawData[Total Spent],E7421,RawData[Payment Method],F7421,RawData[Location],G7421,RawData[Transaction Date],H7421)</f>
        <v>1</v>
      </c>
      <c r="L7421"/>
    </row>
    <row r="7422" spans="1:12" x14ac:dyDescent="0.3">
      <c r="A7422" t="s">
        <v>7428</v>
      </c>
      <c r="B7422" t="s">
        <v>10016</v>
      </c>
      <c r="C7422">
        <v>5</v>
      </c>
      <c r="D7422">
        <v>3</v>
      </c>
      <c r="E7422">
        <v>15</v>
      </c>
      <c r="F7422" t="s">
        <v>10103</v>
      </c>
      <c r="G7422" t="s">
        <v>10021</v>
      </c>
      <c r="H7422" s="6">
        <v>45228</v>
      </c>
      <c r="I7422">
        <f t="shared" si="230"/>
        <v>1</v>
      </c>
      <c r="J7422" t="str">
        <f t="shared" si="231"/>
        <v>Complete</v>
      </c>
      <c r="K7422">
        <f>COUNTIFS(RawData[Item], B7422,RawData[Quantity],C7422,RawData[Price Per Unit],D7422,RawData[Total Spent],E7422,RawData[Payment Method],F7422,RawData[Location],G7422,RawData[Transaction Date],H7422)</f>
        <v>1</v>
      </c>
      <c r="L7422"/>
    </row>
    <row r="7423" spans="1:12" x14ac:dyDescent="0.3">
      <c r="A7423" t="s">
        <v>7429</v>
      </c>
      <c r="B7423" t="s">
        <v>10014</v>
      </c>
      <c r="C7423">
        <v>2</v>
      </c>
      <c r="D7423">
        <v>4</v>
      </c>
      <c r="E7423">
        <v>8</v>
      </c>
      <c r="F7423" t="s">
        <v>10018</v>
      </c>
      <c r="G7423" t="s">
        <v>10021</v>
      </c>
      <c r="H7423" s="6">
        <v>45185</v>
      </c>
      <c r="I7423">
        <f t="shared" si="230"/>
        <v>0</v>
      </c>
      <c r="J7423" t="str">
        <f t="shared" si="231"/>
        <v>Complete</v>
      </c>
      <c r="K7423">
        <f>COUNTIFS(RawData[Item], B7423,RawData[Quantity],C7423,RawData[Price Per Unit],D7423,RawData[Total Spent],E7423,RawData[Payment Method],F7423,RawData[Location],G7423,RawData[Transaction Date],H7423)</f>
        <v>1</v>
      </c>
      <c r="L7423"/>
    </row>
    <row r="7424" spans="1:12" x14ac:dyDescent="0.3">
      <c r="A7424" t="s">
        <v>7430</v>
      </c>
      <c r="B7424" t="s">
        <v>10008</v>
      </c>
      <c r="C7424">
        <v>5</v>
      </c>
      <c r="D7424">
        <v>2</v>
      </c>
      <c r="E7424">
        <v>10</v>
      </c>
      <c r="F7424" t="s">
        <v>10104</v>
      </c>
      <c r="G7424" t="s">
        <v>10069</v>
      </c>
      <c r="H7424" s="6">
        <v>45002</v>
      </c>
      <c r="I7424">
        <f t="shared" si="230"/>
        <v>1</v>
      </c>
      <c r="J7424" t="str">
        <f t="shared" si="231"/>
        <v>Complete</v>
      </c>
      <c r="K7424">
        <f>COUNTIFS(RawData[Item], B7424,RawData[Quantity],C7424,RawData[Price Per Unit],D7424,RawData[Total Spent],E7424,RawData[Payment Method],F7424,RawData[Location],G7424,RawData[Transaction Date],H7424)</f>
        <v>1</v>
      </c>
      <c r="L7424"/>
    </row>
    <row r="7425" spans="1:12" x14ac:dyDescent="0.3">
      <c r="A7425" t="s">
        <v>7431</v>
      </c>
      <c r="B7425" t="s">
        <v>10009</v>
      </c>
      <c r="C7425">
        <v>2</v>
      </c>
      <c r="D7425">
        <v>3</v>
      </c>
      <c r="E7425">
        <v>6</v>
      </c>
      <c r="F7425" t="s">
        <v>10020</v>
      </c>
      <c r="G7425" t="s">
        <v>10021</v>
      </c>
      <c r="H7425" s="6">
        <v>45236</v>
      </c>
      <c r="I7425">
        <f t="shared" si="230"/>
        <v>0</v>
      </c>
      <c r="J7425" t="str">
        <f t="shared" si="231"/>
        <v>Complete</v>
      </c>
      <c r="K7425">
        <f>COUNTIFS(RawData[Item], B7425,RawData[Quantity],C7425,RawData[Price Per Unit],D7425,RawData[Total Spent],E7425,RawData[Payment Method],F7425,RawData[Location],G7425,RawData[Transaction Date],H7425)</f>
        <v>1</v>
      </c>
      <c r="L7425"/>
    </row>
    <row r="7426" spans="1:12" x14ac:dyDescent="0.3">
      <c r="A7426" t="s">
        <v>7432</v>
      </c>
      <c r="B7426" t="s">
        <v>10012</v>
      </c>
      <c r="C7426">
        <v>3</v>
      </c>
      <c r="D7426">
        <v>4</v>
      </c>
      <c r="E7426">
        <v>12</v>
      </c>
      <c r="F7426" t="s">
        <v>10020</v>
      </c>
      <c r="G7426" t="s">
        <v>10069</v>
      </c>
      <c r="H7426" s="6">
        <v>45235</v>
      </c>
      <c r="I7426">
        <f t="shared" ref="I7426:I7489" si="232">(B7426="Unknown")+(B7426="Error")+(C7426="Unknown")+(C7426="Error")+(D7426="Unknown")+(D7426="Error")+(E7426="Unknown")+(E7426="Error")+(F7426="Unknown")+(F7426="Error")+(G7426="Unknown")+(G7426="Error")+(H7426="No Date")</f>
        <v>0</v>
      </c>
      <c r="J7426" t="str">
        <f t="shared" ref="J7426:J7489" si="233">IF((H7426="No Date"),"Incomplete","Complete")</f>
        <v>Complete</v>
      </c>
      <c r="K7426">
        <f>COUNTIFS(RawData[Item], B7426,RawData[Quantity],C7426,RawData[Price Per Unit],D7426,RawData[Total Spent],E7426,RawData[Payment Method],F7426,RawData[Location],G7426,RawData[Transaction Date],H7426)</f>
        <v>1</v>
      </c>
      <c r="L7426"/>
    </row>
    <row r="7427" spans="1:12" x14ac:dyDescent="0.3">
      <c r="A7427" t="s">
        <v>7433</v>
      </c>
      <c r="B7427" t="s">
        <v>10015</v>
      </c>
      <c r="C7427">
        <v>5</v>
      </c>
      <c r="D7427">
        <v>1.5</v>
      </c>
      <c r="E7427">
        <v>7.5</v>
      </c>
      <c r="F7427" t="s">
        <v>10019</v>
      </c>
      <c r="G7427" t="s">
        <v>10021</v>
      </c>
      <c r="H7427" s="6">
        <v>45062</v>
      </c>
      <c r="I7427">
        <f t="shared" si="232"/>
        <v>1</v>
      </c>
      <c r="J7427" t="str">
        <f t="shared" si="233"/>
        <v>Complete</v>
      </c>
      <c r="K7427">
        <f>COUNTIFS(RawData[Item], B7427,RawData[Quantity],C7427,RawData[Price Per Unit],D7427,RawData[Total Spent],E7427,RawData[Payment Method],F7427,RawData[Location],G7427,RawData[Transaction Date],H7427)</f>
        <v>1</v>
      </c>
      <c r="L7427"/>
    </row>
    <row r="7428" spans="1:12" x14ac:dyDescent="0.3">
      <c r="A7428" t="s">
        <v>7434</v>
      </c>
      <c r="B7428" t="s">
        <v>10011</v>
      </c>
      <c r="C7428">
        <v>4</v>
      </c>
      <c r="D7428">
        <v>5</v>
      </c>
      <c r="E7428">
        <v>20</v>
      </c>
      <c r="F7428" t="s">
        <v>10069</v>
      </c>
      <c r="G7428" t="s">
        <v>10069</v>
      </c>
      <c r="H7428" s="6">
        <v>44958</v>
      </c>
      <c r="I7428">
        <f t="shared" si="232"/>
        <v>0</v>
      </c>
      <c r="J7428" t="str">
        <f t="shared" si="233"/>
        <v>Complete</v>
      </c>
      <c r="K7428">
        <f>COUNTIFS(RawData[Item], B7428,RawData[Quantity],C7428,RawData[Price Per Unit],D7428,RawData[Total Spent],E7428,RawData[Payment Method],F7428,RawData[Location],G7428,RawData[Transaction Date],H7428)</f>
        <v>1</v>
      </c>
      <c r="L7428"/>
    </row>
    <row r="7429" spans="1:12" x14ac:dyDescent="0.3">
      <c r="A7429" t="s">
        <v>7435</v>
      </c>
      <c r="B7429" t="s">
        <v>10010</v>
      </c>
      <c r="C7429">
        <v>2</v>
      </c>
      <c r="D7429">
        <v>1</v>
      </c>
      <c r="E7429">
        <v>2</v>
      </c>
      <c r="F7429" t="s">
        <v>10104</v>
      </c>
      <c r="G7429" t="s">
        <v>10069</v>
      </c>
      <c r="H7429" s="6">
        <v>45132</v>
      </c>
      <c r="I7429">
        <f t="shared" si="232"/>
        <v>1</v>
      </c>
      <c r="J7429" t="str">
        <f t="shared" si="233"/>
        <v>Complete</v>
      </c>
      <c r="K7429">
        <f>COUNTIFS(RawData[Item], B7429,RawData[Quantity],C7429,RawData[Price Per Unit],D7429,RawData[Total Spent],E7429,RawData[Payment Method],F7429,RawData[Location],G7429,RawData[Transaction Date],H7429)</f>
        <v>1</v>
      </c>
      <c r="L7429"/>
    </row>
    <row r="7430" spans="1:12" x14ac:dyDescent="0.3">
      <c r="A7430" t="s">
        <v>7436</v>
      </c>
      <c r="B7430" t="s">
        <v>10014</v>
      </c>
      <c r="C7430">
        <v>4</v>
      </c>
      <c r="D7430">
        <v>4</v>
      </c>
      <c r="E7430">
        <v>0</v>
      </c>
      <c r="F7430" t="s">
        <v>10069</v>
      </c>
      <c r="G7430" t="s">
        <v>10102</v>
      </c>
      <c r="H7430" s="6">
        <v>45028</v>
      </c>
      <c r="I7430">
        <f t="shared" si="232"/>
        <v>0</v>
      </c>
      <c r="J7430" t="str">
        <f t="shared" si="233"/>
        <v>Complete</v>
      </c>
      <c r="K7430">
        <f>COUNTIFS(RawData[Item], B7430,RawData[Quantity],C7430,RawData[Price Per Unit],D7430,RawData[Total Spent],E7430,RawData[Payment Method],F7430,RawData[Location],G7430,RawData[Transaction Date],H7430)</f>
        <v>1</v>
      </c>
      <c r="L7430"/>
    </row>
    <row r="7431" spans="1:12" x14ac:dyDescent="0.3">
      <c r="A7431" t="s">
        <v>7437</v>
      </c>
      <c r="B7431" t="s">
        <v>10017</v>
      </c>
      <c r="C7431">
        <v>4</v>
      </c>
      <c r="D7431">
        <v>1.5</v>
      </c>
      <c r="E7431">
        <v>6</v>
      </c>
      <c r="F7431" t="s">
        <v>10104</v>
      </c>
      <c r="G7431" t="s">
        <v>10069</v>
      </c>
      <c r="H7431" s="6">
        <v>45282</v>
      </c>
      <c r="I7431">
        <f t="shared" si="232"/>
        <v>1</v>
      </c>
      <c r="J7431" t="str">
        <f t="shared" si="233"/>
        <v>Complete</v>
      </c>
      <c r="K7431">
        <f>COUNTIFS(RawData[Item], B7431,RawData[Quantity],C7431,RawData[Price Per Unit],D7431,RawData[Total Spent],E7431,RawData[Payment Method],F7431,RawData[Location],G7431,RawData[Transaction Date],H7431)</f>
        <v>1</v>
      </c>
      <c r="L7431"/>
    </row>
    <row r="7432" spans="1:12" x14ac:dyDescent="0.3">
      <c r="A7432" t="s">
        <v>7438</v>
      </c>
      <c r="B7432" t="s">
        <v>10014</v>
      </c>
      <c r="C7432" t="s">
        <v>10013</v>
      </c>
      <c r="D7432">
        <v>4</v>
      </c>
      <c r="E7432">
        <v>8</v>
      </c>
      <c r="F7432" t="s">
        <v>10020</v>
      </c>
      <c r="G7432" t="s">
        <v>10069</v>
      </c>
      <c r="H7432" s="6">
        <v>45290</v>
      </c>
      <c r="I7432">
        <f t="shared" si="232"/>
        <v>1</v>
      </c>
      <c r="J7432" t="str">
        <f t="shared" si="233"/>
        <v>Complete</v>
      </c>
      <c r="K7432">
        <f>COUNTIFS(RawData[Item], B7432,RawData[Quantity],C7432,RawData[Price Per Unit],D7432,RawData[Total Spent],E7432,RawData[Payment Method],F7432,RawData[Location],G7432,RawData[Transaction Date],H7432)</f>
        <v>1</v>
      </c>
      <c r="L7432"/>
    </row>
    <row r="7433" spans="1:12" x14ac:dyDescent="0.3">
      <c r="A7433" t="s">
        <v>7439</v>
      </c>
      <c r="B7433" t="s">
        <v>10014</v>
      </c>
      <c r="C7433">
        <v>3</v>
      </c>
      <c r="D7433">
        <v>4</v>
      </c>
      <c r="E7433">
        <v>12</v>
      </c>
      <c r="F7433" t="s">
        <v>10069</v>
      </c>
      <c r="G7433" t="s">
        <v>10102</v>
      </c>
      <c r="H7433" s="6">
        <v>45099</v>
      </c>
      <c r="I7433">
        <f t="shared" si="232"/>
        <v>0</v>
      </c>
      <c r="J7433" t="str">
        <f t="shared" si="233"/>
        <v>Complete</v>
      </c>
      <c r="K7433">
        <f>COUNTIFS(RawData[Item], B7433,RawData[Quantity],C7433,RawData[Price Per Unit],D7433,RawData[Total Spent],E7433,RawData[Payment Method],F7433,RawData[Location],G7433,RawData[Transaction Date],H7433)</f>
        <v>1</v>
      </c>
      <c r="L7433"/>
    </row>
    <row r="7434" spans="1:12" x14ac:dyDescent="0.3">
      <c r="A7434" t="s">
        <v>7440</v>
      </c>
      <c r="B7434" t="s">
        <v>10010</v>
      </c>
      <c r="C7434">
        <v>1</v>
      </c>
      <c r="D7434">
        <v>1</v>
      </c>
      <c r="E7434" t="s">
        <v>10013</v>
      </c>
      <c r="F7434" t="s">
        <v>10019</v>
      </c>
      <c r="G7434" t="s">
        <v>10069</v>
      </c>
      <c r="H7434" s="6">
        <v>44984</v>
      </c>
      <c r="I7434">
        <f t="shared" si="232"/>
        <v>1</v>
      </c>
      <c r="J7434" t="str">
        <f t="shared" si="233"/>
        <v>Complete</v>
      </c>
      <c r="K7434">
        <f>COUNTIFS(RawData[Item], B7434,RawData[Quantity],C7434,RawData[Price Per Unit],D7434,RawData[Total Spent],E7434,RawData[Payment Method],F7434,RawData[Location],G7434,RawData[Transaction Date],H7434)</f>
        <v>1</v>
      </c>
      <c r="L7434"/>
    </row>
    <row r="7435" spans="1:12" x14ac:dyDescent="0.3">
      <c r="A7435" t="s">
        <v>7441</v>
      </c>
      <c r="B7435" t="s">
        <v>10008</v>
      </c>
      <c r="C7435">
        <v>3</v>
      </c>
      <c r="D7435">
        <v>0</v>
      </c>
      <c r="E7435">
        <v>6</v>
      </c>
      <c r="F7435" t="s">
        <v>10019</v>
      </c>
      <c r="G7435" t="s">
        <v>10021</v>
      </c>
      <c r="H7435" s="6">
        <v>45050</v>
      </c>
      <c r="I7435">
        <f t="shared" si="232"/>
        <v>0</v>
      </c>
      <c r="J7435" t="str">
        <f t="shared" si="233"/>
        <v>Complete</v>
      </c>
      <c r="K7435">
        <f>COUNTIFS(RawData[Item], B7435,RawData[Quantity],C7435,RawData[Price Per Unit],D7435,RawData[Total Spent],E7435,RawData[Payment Method],F7435,RawData[Location],G7435,RawData[Transaction Date],H7435)</f>
        <v>1</v>
      </c>
      <c r="L7435"/>
    </row>
    <row r="7436" spans="1:12" x14ac:dyDescent="0.3">
      <c r="A7436" t="s">
        <v>7442</v>
      </c>
      <c r="B7436" t="s">
        <v>10017</v>
      </c>
      <c r="C7436">
        <v>3</v>
      </c>
      <c r="D7436">
        <v>1.5</v>
      </c>
      <c r="E7436">
        <v>4.5</v>
      </c>
      <c r="F7436" t="s">
        <v>10069</v>
      </c>
      <c r="G7436" t="s">
        <v>10069</v>
      </c>
      <c r="H7436" s="6">
        <v>45225</v>
      </c>
      <c r="I7436">
        <f t="shared" si="232"/>
        <v>0</v>
      </c>
      <c r="J7436" t="str">
        <f t="shared" si="233"/>
        <v>Complete</v>
      </c>
      <c r="K7436">
        <f>COUNTIFS(RawData[Item], B7436,RawData[Quantity],C7436,RawData[Price Per Unit],D7436,RawData[Total Spent],E7436,RawData[Payment Method],F7436,RawData[Location],G7436,RawData[Transaction Date],H7436)</f>
        <v>1</v>
      </c>
      <c r="L7436"/>
    </row>
    <row r="7437" spans="1:12" x14ac:dyDescent="0.3">
      <c r="A7437" t="s">
        <v>7443</v>
      </c>
      <c r="B7437" t="s">
        <v>10069</v>
      </c>
      <c r="C7437">
        <v>1</v>
      </c>
      <c r="D7437">
        <v>1</v>
      </c>
      <c r="E7437">
        <v>1</v>
      </c>
      <c r="F7437" t="s">
        <v>10069</v>
      </c>
      <c r="G7437" t="s">
        <v>10021</v>
      </c>
      <c r="H7437" s="6">
        <v>44946</v>
      </c>
      <c r="I7437">
        <f t="shared" si="232"/>
        <v>0</v>
      </c>
      <c r="J7437" t="str">
        <f t="shared" si="233"/>
        <v>Complete</v>
      </c>
      <c r="K7437">
        <f>COUNTIFS(RawData[Item], B7437,RawData[Quantity],C7437,RawData[Price Per Unit],D7437,RawData[Total Spent],E7437,RawData[Payment Method],F7437,RawData[Location],G7437,RawData[Transaction Date],H7437)</f>
        <v>1</v>
      </c>
      <c r="L7437"/>
    </row>
    <row r="7438" spans="1:12" x14ac:dyDescent="0.3">
      <c r="A7438" t="s">
        <v>7444</v>
      </c>
      <c r="B7438" t="s">
        <v>10011</v>
      </c>
      <c r="C7438">
        <v>5</v>
      </c>
      <c r="D7438">
        <v>5</v>
      </c>
      <c r="E7438">
        <v>25</v>
      </c>
      <c r="F7438" t="s">
        <v>10018</v>
      </c>
      <c r="G7438" t="s">
        <v>10069</v>
      </c>
      <c r="H7438" s="6">
        <v>45107</v>
      </c>
      <c r="I7438">
        <f t="shared" si="232"/>
        <v>0</v>
      </c>
      <c r="J7438" t="str">
        <f t="shared" si="233"/>
        <v>Complete</v>
      </c>
      <c r="K7438">
        <f>COUNTIFS(RawData[Item], B7438,RawData[Quantity],C7438,RawData[Price Per Unit],D7438,RawData[Total Spent],E7438,RawData[Payment Method],F7438,RawData[Location],G7438,RawData[Transaction Date],H7438)</f>
        <v>1</v>
      </c>
      <c r="L7438"/>
    </row>
    <row r="7439" spans="1:12" x14ac:dyDescent="0.3">
      <c r="A7439" t="s">
        <v>7445</v>
      </c>
      <c r="B7439" t="s">
        <v>10016</v>
      </c>
      <c r="C7439">
        <v>2</v>
      </c>
      <c r="D7439">
        <v>3</v>
      </c>
      <c r="E7439">
        <v>6</v>
      </c>
      <c r="F7439" t="s">
        <v>10020</v>
      </c>
      <c r="G7439" t="s">
        <v>10021</v>
      </c>
      <c r="H7439" s="6">
        <v>45211</v>
      </c>
      <c r="I7439">
        <f t="shared" si="232"/>
        <v>0</v>
      </c>
      <c r="J7439" t="str">
        <f t="shared" si="233"/>
        <v>Complete</v>
      </c>
      <c r="K7439">
        <f>COUNTIFS(RawData[Item], B7439,RawData[Quantity],C7439,RawData[Price Per Unit],D7439,RawData[Total Spent],E7439,RawData[Payment Method],F7439,RawData[Location],G7439,RawData[Transaction Date],H7439)</f>
        <v>1</v>
      </c>
      <c r="L7439"/>
    </row>
    <row r="7440" spans="1:12" x14ac:dyDescent="0.3">
      <c r="A7440" t="s">
        <v>7446</v>
      </c>
      <c r="B7440" t="s">
        <v>10016</v>
      </c>
      <c r="C7440">
        <v>1</v>
      </c>
      <c r="D7440">
        <v>3</v>
      </c>
      <c r="E7440">
        <v>3</v>
      </c>
      <c r="F7440" t="s">
        <v>10020</v>
      </c>
      <c r="G7440" t="s">
        <v>10069</v>
      </c>
      <c r="H7440" s="6">
        <v>45054</v>
      </c>
      <c r="I7440">
        <f t="shared" si="232"/>
        <v>0</v>
      </c>
      <c r="J7440" t="str">
        <f t="shared" si="233"/>
        <v>Complete</v>
      </c>
      <c r="K7440">
        <f>COUNTIFS(RawData[Item], B7440,RawData[Quantity],C7440,RawData[Price Per Unit],D7440,RawData[Total Spent],E7440,RawData[Payment Method],F7440,RawData[Location],G7440,RawData[Transaction Date],H7440)</f>
        <v>1</v>
      </c>
      <c r="L7440"/>
    </row>
    <row r="7441" spans="1:12" x14ac:dyDescent="0.3">
      <c r="A7441" t="s">
        <v>7447</v>
      </c>
      <c r="B7441" t="s">
        <v>10009</v>
      </c>
      <c r="C7441">
        <v>5</v>
      </c>
      <c r="D7441">
        <v>3</v>
      </c>
      <c r="E7441">
        <v>15</v>
      </c>
      <c r="F7441" t="s">
        <v>10018</v>
      </c>
      <c r="G7441" t="s">
        <v>10102</v>
      </c>
      <c r="H7441" s="6">
        <v>45240</v>
      </c>
      <c r="I7441">
        <f t="shared" si="232"/>
        <v>0</v>
      </c>
      <c r="J7441" t="str">
        <f t="shared" si="233"/>
        <v>Complete</v>
      </c>
      <c r="K7441">
        <f>COUNTIFS(RawData[Item], B7441,RawData[Quantity],C7441,RawData[Price Per Unit],D7441,RawData[Total Spent],E7441,RawData[Payment Method],F7441,RawData[Location],G7441,RawData[Transaction Date],H7441)</f>
        <v>1</v>
      </c>
      <c r="L7441"/>
    </row>
    <row r="7442" spans="1:12" x14ac:dyDescent="0.3">
      <c r="A7442" t="s">
        <v>7448</v>
      </c>
      <c r="B7442" t="s">
        <v>10017</v>
      </c>
      <c r="C7442">
        <v>2</v>
      </c>
      <c r="D7442">
        <v>1.5</v>
      </c>
      <c r="E7442">
        <v>3</v>
      </c>
      <c r="F7442" t="s">
        <v>10018</v>
      </c>
      <c r="G7442" t="s">
        <v>10102</v>
      </c>
      <c r="H7442" s="6">
        <v>45125</v>
      </c>
      <c r="I7442">
        <f t="shared" si="232"/>
        <v>0</v>
      </c>
      <c r="J7442" t="str">
        <f t="shared" si="233"/>
        <v>Complete</v>
      </c>
      <c r="K7442">
        <f>COUNTIFS(RawData[Item], B7442,RawData[Quantity],C7442,RawData[Price Per Unit],D7442,RawData[Total Spent],E7442,RawData[Payment Method],F7442,RawData[Location],G7442,RawData[Transaction Date],H7442)</f>
        <v>1</v>
      </c>
      <c r="L7442"/>
    </row>
    <row r="7443" spans="1:12" x14ac:dyDescent="0.3">
      <c r="A7443" t="s">
        <v>7449</v>
      </c>
      <c r="B7443" t="s">
        <v>10014</v>
      </c>
      <c r="C7443">
        <v>2</v>
      </c>
      <c r="D7443">
        <v>4</v>
      </c>
      <c r="E7443">
        <v>8</v>
      </c>
      <c r="F7443" t="s">
        <v>10019</v>
      </c>
      <c r="G7443" t="s">
        <v>10021</v>
      </c>
      <c r="H7443" s="6">
        <v>45291</v>
      </c>
      <c r="I7443">
        <f t="shared" si="232"/>
        <v>0</v>
      </c>
      <c r="J7443" t="str">
        <f t="shared" si="233"/>
        <v>Complete</v>
      </c>
      <c r="K7443">
        <f>COUNTIFS(RawData[Item], B7443,RawData[Quantity],C7443,RawData[Price Per Unit],D7443,RawData[Total Spent],E7443,RawData[Payment Method],F7443,RawData[Location],G7443,RawData[Transaction Date],H7443)</f>
        <v>1</v>
      </c>
      <c r="L7443"/>
    </row>
    <row r="7444" spans="1:12" x14ac:dyDescent="0.3">
      <c r="A7444" t="s">
        <v>7450</v>
      </c>
      <c r="B7444" t="s">
        <v>10012</v>
      </c>
      <c r="C7444">
        <v>1</v>
      </c>
      <c r="D7444">
        <v>4</v>
      </c>
      <c r="E7444">
        <v>4</v>
      </c>
      <c r="F7444" t="s">
        <v>10019</v>
      </c>
      <c r="G7444" t="s">
        <v>10102</v>
      </c>
      <c r="H7444" s="6">
        <v>45039</v>
      </c>
      <c r="I7444">
        <f t="shared" si="232"/>
        <v>0</v>
      </c>
      <c r="J7444" t="str">
        <f t="shared" si="233"/>
        <v>Complete</v>
      </c>
      <c r="K7444">
        <f>COUNTIFS(RawData[Item], B7444,RawData[Quantity],C7444,RawData[Price Per Unit],D7444,RawData[Total Spent],E7444,RawData[Payment Method],F7444,RawData[Location],G7444,RawData[Transaction Date],H7444)</f>
        <v>1</v>
      </c>
      <c r="L7444"/>
    </row>
    <row r="7445" spans="1:12" x14ac:dyDescent="0.3">
      <c r="A7445" t="s">
        <v>7451</v>
      </c>
      <c r="B7445" t="s">
        <v>10011</v>
      </c>
      <c r="C7445">
        <v>2</v>
      </c>
      <c r="D7445" t="s">
        <v>10013</v>
      </c>
      <c r="E7445">
        <v>10</v>
      </c>
      <c r="F7445" t="s">
        <v>10019</v>
      </c>
      <c r="G7445" t="s">
        <v>10069</v>
      </c>
      <c r="H7445" s="6">
        <v>45198</v>
      </c>
      <c r="I7445">
        <f t="shared" si="232"/>
        <v>1</v>
      </c>
      <c r="J7445" t="str">
        <f t="shared" si="233"/>
        <v>Complete</v>
      </c>
      <c r="K7445">
        <f>COUNTIFS(RawData[Item], B7445,RawData[Quantity],C7445,RawData[Price Per Unit],D7445,RawData[Total Spent],E7445,RawData[Payment Method],F7445,RawData[Location],G7445,RawData[Transaction Date],H7445)</f>
        <v>1</v>
      </c>
      <c r="L7445"/>
    </row>
    <row r="7446" spans="1:12" x14ac:dyDescent="0.3">
      <c r="A7446" t="s">
        <v>7452</v>
      </c>
      <c r="B7446" t="s">
        <v>10008</v>
      </c>
      <c r="C7446">
        <v>2</v>
      </c>
      <c r="D7446">
        <v>2</v>
      </c>
      <c r="E7446">
        <v>4</v>
      </c>
      <c r="F7446" t="s">
        <v>10018</v>
      </c>
      <c r="G7446" t="s">
        <v>10102</v>
      </c>
      <c r="H7446" s="6">
        <v>45095</v>
      </c>
      <c r="I7446">
        <f t="shared" si="232"/>
        <v>0</v>
      </c>
      <c r="J7446" t="str">
        <f t="shared" si="233"/>
        <v>Complete</v>
      </c>
      <c r="K7446">
        <f>COUNTIFS(RawData[Item], B7446,RawData[Quantity],C7446,RawData[Price Per Unit],D7446,RawData[Total Spent],E7446,RawData[Payment Method],F7446,RawData[Location],G7446,RawData[Transaction Date],H7446)</f>
        <v>1</v>
      </c>
      <c r="L7446"/>
    </row>
    <row r="7447" spans="1:12" x14ac:dyDescent="0.3">
      <c r="A7447" t="s">
        <v>7453</v>
      </c>
      <c r="B7447" t="s">
        <v>10014</v>
      </c>
      <c r="C7447">
        <v>5</v>
      </c>
      <c r="D7447">
        <v>4</v>
      </c>
      <c r="E7447">
        <v>20</v>
      </c>
      <c r="F7447" t="s">
        <v>10018</v>
      </c>
      <c r="G7447" t="s">
        <v>10021</v>
      </c>
      <c r="H7447" s="6">
        <v>44968</v>
      </c>
      <c r="I7447">
        <f t="shared" si="232"/>
        <v>0</v>
      </c>
      <c r="J7447" t="str">
        <f t="shared" si="233"/>
        <v>Complete</v>
      </c>
      <c r="K7447">
        <f>COUNTIFS(RawData[Item], B7447,RawData[Quantity],C7447,RawData[Price Per Unit],D7447,RawData[Total Spent],E7447,RawData[Payment Method],F7447,RawData[Location],G7447,RawData[Transaction Date],H7447)</f>
        <v>1</v>
      </c>
      <c r="L7447"/>
    </row>
    <row r="7448" spans="1:12" x14ac:dyDescent="0.3">
      <c r="A7448" t="s">
        <v>7454</v>
      </c>
      <c r="B7448" t="s">
        <v>10012</v>
      </c>
      <c r="C7448">
        <v>5</v>
      </c>
      <c r="D7448">
        <v>4</v>
      </c>
      <c r="E7448">
        <v>20</v>
      </c>
      <c r="F7448" t="s">
        <v>10069</v>
      </c>
      <c r="G7448" t="s">
        <v>10069</v>
      </c>
      <c r="H7448" s="6">
        <v>45048</v>
      </c>
      <c r="I7448">
        <f t="shared" si="232"/>
        <v>0</v>
      </c>
      <c r="J7448" t="str">
        <f t="shared" si="233"/>
        <v>Complete</v>
      </c>
      <c r="K7448">
        <f>COUNTIFS(RawData[Item], B7448,RawData[Quantity],C7448,RawData[Price Per Unit],D7448,RawData[Total Spent],E7448,RawData[Payment Method],F7448,RawData[Location],G7448,RawData[Transaction Date],H7448)</f>
        <v>1</v>
      </c>
      <c r="L7448"/>
    </row>
    <row r="7449" spans="1:12" x14ac:dyDescent="0.3">
      <c r="A7449" t="s">
        <v>7455</v>
      </c>
      <c r="B7449" t="s">
        <v>10016</v>
      </c>
      <c r="C7449">
        <v>4</v>
      </c>
      <c r="D7449">
        <v>3</v>
      </c>
      <c r="E7449">
        <v>12</v>
      </c>
      <c r="F7449" t="s">
        <v>10069</v>
      </c>
      <c r="G7449" t="s">
        <v>10102</v>
      </c>
      <c r="H7449" s="6">
        <v>45281</v>
      </c>
      <c r="I7449">
        <f t="shared" si="232"/>
        <v>0</v>
      </c>
      <c r="J7449" t="str">
        <f t="shared" si="233"/>
        <v>Complete</v>
      </c>
      <c r="K7449">
        <f>COUNTIFS(RawData[Item], B7449,RawData[Quantity],C7449,RawData[Price Per Unit],D7449,RawData[Total Spent],E7449,RawData[Payment Method],F7449,RawData[Location],G7449,RawData[Transaction Date],H7449)</f>
        <v>1</v>
      </c>
      <c r="L7449"/>
    </row>
    <row r="7450" spans="1:12" x14ac:dyDescent="0.3">
      <c r="A7450" t="s">
        <v>7456</v>
      </c>
      <c r="B7450" t="s">
        <v>10017</v>
      </c>
      <c r="C7450">
        <v>2</v>
      </c>
      <c r="D7450">
        <v>1.5</v>
      </c>
      <c r="E7450">
        <v>3</v>
      </c>
      <c r="F7450" t="s">
        <v>10069</v>
      </c>
      <c r="G7450" t="s">
        <v>10103</v>
      </c>
      <c r="H7450" s="6">
        <v>45026</v>
      </c>
      <c r="I7450">
        <f t="shared" si="232"/>
        <v>1</v>
      </c>
      <c r="J7450" t="str">
        <f t="shared" si="233"/>
        <v>Complete</v>
      </c>
      <c r="K7450">
        <f>COUNTIFS(RawData[Item], B7450,RawData[Quantity],C7450,RawData[Price Per Unit],D7450,RawData[Total Spent],E7450,RawData[Payment Method],F7450,RawData[Location],G7450,RawData[Transaction Date],H7450)</f>
        <v>1</v>
      </c>
      <c r="L7450"/>
    </row>
    <row r="7451" spans="1:12" x14ac:dyDescent="0.3">
      <c r="A7451" t="s">
        <v>7457</v>
      </c>
      <c r="B7451" t="s">
        <v>10010</v>
      </c>
      <c r="C7451">
        <v>4</v>
      </c>
      <c r="D7451">
        <v>1</v>
      </c>
      <c r="E7451">
        <v>4</v>
      </c>
      <c r="F7451" t="s">
        <v>10020</v>
      </c>
      <c r="G7451" t="s">
        <v>10021</v>
      </c>
      <c r="H7451" s="6">
        <v>45109</v>
      </c>
      <c r="I7451">
        <f t="shared" si="232"/>
        <v>0</v>
      </c>
      <c r="J7451" t="str">
        <f t="shared" si="233"/>
        <v>Complete</v>
      </c>
      <c r="K7451">
        <f>COUNTIFS(RawData[Item], B7451,RawData[Quantity],C7451,RawData[Price Per Unit],D7451,RawData[Total Spent],E7451,RawData[Payment Method],F7451,RawData[Location],G7451,RawData[Transaction Date],H7451)</f>
        <v>1</v>
      </c>
      <c r="L7451"/>
    </row>
    <row r="7452" spans="1:12" x14ac:dyDescent="0.3">
      <c r="A7452" t="s">
        <v>7458</v>
      </c>
      <c r="B7452" t="s">
        <v>10011</v>
      </c>
      <c r="C7452">
        <v>1</v>
      </c>
      <c r="D7452">
        <v>5</v>
      </c>
      <c r="E7452">
        <v>5</v>
      </c>
      <c r="F7452" t="s">
        <v>10103</v>
      </c>
      <c r="G7452" t="s">
        <v>10021</v>
      </c>
      <c r="H7452" s="6">
        <v>45208</v>
      </c>
      <c r="I7452">
        <f t="shared" si="232"/>
        <v>1</v>
      </c>
      <c r="J7452" t="str">
        <f t="shared" si="233"/>
        <v>Complete</v>
      </c>
      <c r="K7452">
        <f>COUNTIFS(RawData[Item], B7452,RawData[Quantity],C7452,RawData[Price Per Unit],D7452,RawData[Total Spent],E7452,RawData[Payment Method],F7452,RawData[Location],G7452,RawData[Transaction Date],H7452)</f>
        <v>1</v>
      </c>
      <c r="L7452"/>
    </row>
    <row r="7453" spans="1:12" x14ac:dyDescent="0.3">
      <c r="A7453" t="s">
        <v>7459</v>
      </c>
      <c r="B7453" t="s">
        <v>10012</v>
      </c>
      <c r="C7453">
        <v>3</v>
      </c>
      <c r="D7453">
        <v>4</v>
      </c>
      <c r="E7453">
        <v>12</v>
      </c>
      <c r="F7453" t="s">
        <v>10020</v>
      </c>
      <c r="G7453" t="s">
        <v>10021</v>
      </c>
      <c r="H7453" s="6">
        <v>45226</v>
      </c>
      <c r="I7453">
        <f t="shared" si="232"/>
        <v>0</v>
      </c>
      <c r="J7453" t="str">
        <f t="shared" si="233"/>
        <v>Complete</v>
      </c>
      <c r="K7453">
        <f>COUNTIFS(RawData[Item], B7453,RawData[Quantity],C7453,RawData[Price Per Unit],D7453,RawData[Total Spent],E7453,RawData[Payment Method],F7453,RawData[Location],G7453,RawData[Transaction Date],H7453)</f>
        <v>2</v>
      </c>
      <c r="L7453"/>
    </row>
    <row r="7454" spans="1:12" x14ac:dyDescent="0.3">
      <c r="A7454" t="s">
        <v>7460</v>
      </c>
      <c r="B7454" t="s">
        <v>10069</v>
      </c>
      <c r="C7454">
        <v>4</v>
      </c>
      <c r="D7454">
        <v>3</v>
      </c>
      <c r="E7454">
        <v>12</v>
      </c>
      <c r="F7454" t="s">
        <v>10018</v>
      </c>
      <c r="G7454" t="s">
        <v>10102</v>
      </c>
      <c r="H7454" s="6">
        <v>45097</v>
      </c>
      <c r="I7454">
        <f t="shared" si="232"/>
        <v>0</v>
      </c>
      <c r="J7454" t="str">
        <f t="shared" si="233"/>
        <v>Complete</v>
      </c>
      <c r="K7454">
        <f>COUNTIFS(RawData[Item], B7454,RawData[Quantity],C7454,RawData[Price Per Unit],D7454,RawData[Total Spent],E7454,RawData[Payment Method],F7454,RawData[Location],G7454,RawData[Transaction Date],H7454)</f>
        <v>1</v>
      </c>
      <c r="L7454"/>
    </row>
    <row r="7455" spans="1:12" x14ac:dyDescent="0.3">
      <c r="A7455" t="s">
        <v>7461</v>
      </c>
      <c r="B7455" t="s">
        <v>10010</v>
      </c>
      <c r="C7455">
        <v>2</v>
      </c>
      <c r="D7455">
        <v>1</v>
      </c>
      <c r="E7455">
        <v>2</v>
      </c>
      <c r="F7455" t="s">
        <v>10103</v>
      </c>
      <c r="G7455" t="s">
        <v>10069</v>
      </c>
      <c r="H7455" s="6">
        <v>45233</v>
      </c>
      <c r="I7455">
        <f t="shared" si="232"/>
        <v>1</v>
      </c>
      <c r="J7455" t="str">
        <f t="shared" si="233"/>
        <v>Complete</v>
      </c>
      <c r="K7455">
        <f>COUNTIFS(RawData[Item], B7455,RawData[Quantity],C7455,RawData[Price Per Unit],D7455,RawData[Total Spent],E7455,RawData[Payment Method],F7455,RawData[Location],G7455,RawData[Transaction Date],H7455)</f>
        <v>1</v>
      </c>
      <c r="L7455"/>
    </row>
    <row r="7456" spans="1:12" x14ac:dyDescent="0.3">
      <c r="A7456" t="s">
        <v>7462</v>
      </c>
      <c r="B7456" t="s">
        <v>10009</v>
      </c>
      <c r="C7456">
        <v>1</v>
      </c>
      <c r="D7456">
        <v>3</v>
      </c>
      <c r="E7456">
        <v>3</v>
      </c>
      <c r="F7456" t="s">
        <v>10069</v>
      </c>
      <c r="G7456" t="s">
        <v>10021</v>
      </c>
      <c r="H7456" s="6">
        <v>45015</v>
      </c>
      <c r="I7456">
        <f t="shared" si="232"/>
        <v>0</v>
      </c>
      <c r="J7456" t="str">
        <f t="shared" si="233"/>
        <v>Complete</v>
      </c>
      <c r="K7456">
        <f>COUNTIFS(RawData[Item], B7456,RawData[Quantity],C7456,RawData[Price Per Unit],D7456,RawData[Total Spent],E7456,RawData[Payment Method],F7456,RawData[Location],G7456,RawData[Transaction Date],H7456)</f>
        <v>2</v>
      </c>
      <c r="L7456"/>
    </row>
    <row r="7457" spans="1:12" x14ac:dyDescent="0.3">
      <c r="A7457" t="s">
        <v>7463</v>
      </c>
      <c r="B7457" t="s">
        <v>10010</v>
      </c>
      <c r="C7457">
        <v>4</v>
      </c>
      <c r="D7457">
        <v>1</v>
      </c>
      <c r="E7457">
        <v>4</v>
      </c>
      <c r="F7457" t="s">
        <v>10020</v>
      </c>
      <c r="G7457" t="s">
        <v>10069</v>
      </c>
      <c r="H7457" s="6">
        <v>44983</v>
      </c>
      <c r="I7457">
        <f t="shared" si="232"/>
        <v>0</v>
      </c>
      <c r="J7457" t="str">
        <f t="shared" si="233"/>
        <v>Complete</v>
      </c>
      <c r="K7457">
        <f>COUNTIFS(RawData[Item], B7457,RawData[Quantity],C7457,RawData[Price Per Unit],D7457,RawData[Total Spent],E7457,RawData[Payment Method],F7457,RawData[Location],G7457,RawData[Transaction Date],H7457)</f>
        <v>1</v>
      </c>
      <c r="L7457"/>
    </row>
    <row r="7458" spans="1:12" x14ac:dyDescent="0.3">
      <c r="A7458" t="s">
        <v>7464</v>
      </c>
      <c r="B7458" t="s">
        <v>10014</v>
      </c>
      <c r="C7458" t="s">
        <v>10013</v>
      </c>
      <c r="D7458">
        <v>4</v>
      </c>
      <c r="E7458">
        <v>12</v>
      </c>
      <c r="F7458" t="s">
        <v>10018</v>
      </c>
      <c r="G7458" t="s">
        <v>10021</v>
      </c>
      <c r="H7458" s="6">
        <v>45242</v>
      </c>
      <c r="I7458">
        <f t="shared" si="232"/>
        <v>1</v>
      </c>
      <c r="J7458" t="str">
        <f t="shared" si="233"/>
        <v>Complete</v>
      </c>
      <c r="K7458">
        <f>COUNTIFS(RawData[Item], B7458,RawData[Quantity],C7458,RawData[Price Per Unit],D7458,RawData[Total Spent],E7458,RawData[Payment Method],F7458,RawData[Location],G7458,RawData[Transaction Date],H7458)</f>
        <v>1</v>
      </c>
      <c r="L7458"/>
    </row>
    <row r="7459" spans="1:12" x14ac:dyDescent="0.3">
      <c r="A7459" t="s">
        <v>7465</v>
      </c>
      <c r="B7459" t="s">
        <v>10015</v>
      </c>
      <c r="C7459">
        <v>4</v>
      </c>
      <c r="D7459">
        <v>5</v>
      </c>
      <c r="E7459">
        <v>20</v>
      </c>
      <c r="F7459" t="s">
        <v>10020</v>
      </c>
      <c r="G7459" t="s">
        <v>10102</v>
      </c>
      <c r="H7459" s="6">
        <v>45270</v>
      </c>
      <c r="I7459">
        <f t="shared" si="232"/>
        <v>1</v>
      </c>
      <c r="J7459" t="str">
        <f t="shared" si="233"/>
        <v>Complete</v>
      </c>
      <c r="K7459">
        <f>COUNTIFS(RawData[Item], B7459,RawData[Quantity],C7459,RawData[Price Per Unit],D7459,RawData[Total Spent],E7459,RawData[Payment Method],F7459,RawData[Location],G7459,RawData[Transaction Date],H7459)</f>
        <v>1</v>
      </c>
      <c r="L7459"/>
    </row>
    <row r="7460" spans="1:12" x14ac:dyDescent="0.3">
      <c r="A7460" t="s">
        <v>7466</v>
      </c>
      <c r="B7460" t="s">
        <v>10017</v>
      </c>
      <c r="C7460" t="s">
        <v>10013</v>
      </c>
      <c r="D7460">
        <v>1.5</v>
      </c>
      <c r="E7460">
        <v>6</v>
      </c>
      <c r="F7460" t="s">
        <v>10069</v>
      </c>
      <c r="G7460" t="s">
        <v>10021</v>
      </c>
      <c r="H7460" s="6">
        <v>45045</v>
      </c>
      <c r="I7460">
        <f t="shared" si="232"/>
        <v>1</v>
      </c>
      <c r="J7460" t="str">
        <f t="shared" si="233"/>
        <v>Complete</v>
      </c>
      <c r="K7460">
        <f>COUNTIFS(RawData[Item], B7460,RawData[Quantity],C7460,RawData[Price Per Unit],D7460,RawData[Total Spent],E7460,RawData[Payment Method],F7460,RawData[Location],G7460,RawData[Transaction Date],H7460)</f>
        <v>1</v>
      </c>
      <c r="L7460"/>
    </row>
    <row r="7461" spans="1:12" x14ac:dyDescent="0.3">
      <c r="A7461" t="s">
        <v>7467</v>
      </c>
      <c r="B7461" t="s">
        <v>10014</v>
      </c>
      <c r="C7461">
        <v>3</v>
      </c>
      <c r="D7461">
        <v>4</v>
      </c>
      <c r="E7461">
        <v>12</v>
      </c>
      <c r="F7461" t="s">
        <v>10020</v>
      </c>
      <c r="G7461" t="s">
        <v>10021</v>
      </c>
      <c r="H7461" s="6">
        <v>44952</v>
      </c>
      <c r="I7461">
        <f t="shared" si="232"/>
        <v>0</v>
      </c>
      <c r="J7461" t="str">
        <f t="shared" si="233"/>
        <v>Complete</v>
      </c>
      <c r="K7461">
        <f>COUNTIFS(RawData[Item], B7461,RawData[Quantity],C7461,RawData[Price Per Unit],D7461,RawData[Total Spent],E7461,RawData[Payment Method],F7461,RawData[Location],G7461,RawData[Transaction Date],H7461)</f>
        <v>1</v>
      </c>
      <c r="L7461"/>
    </row>
    <row r="7462" spans="1:12" x14ac:dyDescent="0.3">
      <c r="A7462" t="s">
        <v>7468</v>
      </c>
      <c r="B7462" t="s">
        <v>10014</v>
      </c>
      <c r="C7462">
        <v>4</v>
      </c>
      <c r="D7462">
        <v>4</v>
      </c>
      <c r="E7462">
        <v>16</v>
      </c>
      <c r="F7462" t="s">
        <v>10020</v>
      </c>
      <c r="G7462" t="s">
        <v>10102</v>
      </c>
      <c r="H7462" s="6">
        <v>45197</v>
      </c>
      <c r="I7462">
        <f t="shared" si="232"/>
        <v>0</v>
      </c>
      <c r="J7462" t="str">
        <f t="shared" si="233"/>
        <v>Complete</v>
      </c>
      <c r="K7462">
        <f>COUNTIFS(RawData[Item], B7462,RawData[Quantity],C7462,RawData[Price Per Unit],D7462,RawData[Total Spent],E7462,RawData[Payment Method],F7462,RawData[Location],G7462,RawData[Transaction Date],H7462)</f>
        <v>1</v>
      </c>
      <c r="L7462"/>
    </row>
    <row r="7463" spans="1:12" x14ac:dyDescent="0.3">
      <c r="A7463" t="s">
        <v>7469</v>
      </c>
      <c r="B7463" t="s">
        <v>10009</v>
      </c>
      <c r="C7463">
        <v>3</v>
      </c>
      <c r="D7463">
        <v>3</v>
      </c>
      <c r="E7463">
        <v>9</v>
      </c>
      <c r="F7463" t="s">
        <v>10069</v>
      </c>
      <c r="G7463" t="s">
        <v>10102</v>
      </c>
      <c r="H7463" s="6">
        <v>45060</v>
      </c>
      <c r="I7463">
        <f t="shared" si="232"/>
        <v>0</v>
      </c>
      <c r="J7463" t="str">
        <f t="shared" si="233"/>
        <v>Complete</v>
      </c>
      <c r="K7463">
        <f>COUNTIFS(RawData[Item], B7463,RawData[Quantity],C7463,RawData[Price Per Unit],D7463,RawData[Total Spent],E7463,RawData[Payment Method],F7463,RawData[Location],G7463,RawData[Transaction Date],H7463)</f>
        <v>1</v>
      </c>
      <c r="L7463"/>
    </row>
    <row r="7464" spans="1:12" x14ac:dyDescent="0.3">
      <c r="A7464" t="s">
        <v>7470</v>
      </c>
      <c r="B7464" t="s">
        <v>10014</v>
      </c>
      <c r="C7464">
        <v>1</v>
      </c>
      <c r="D7464">
        <v>4</v>
      </c>
      <c r="E7464">
        <v>4</v>
      </c>
      <c r="F7464" t="s">
        <v>10018</v>
      </c>
      <c r="G7464" t="s">
        <v>10069</v>
      </c>
      <c r="H7464" s="6">
        <v>44955</v>
      </c>
      <c r="I7464">
        <f t="shared" si="232"/>
        <v>0</v>
      </c>
      <c r="J7464" t="str">
        <f t="shared" si="233"/>
        <v>Complete</v>
      </c>
      <c r="K7464">
        <f>COUNTIFS(RawData[Item], B7464,RawData[Quantity],C7464,RawData[Price Per Unit],D7464,RawData[Total Spent],E7464,RawData[Payment Method],F7464,RawData[Location],G7464,RawData[Transaction Date],H7464)</f>
        <v>1</v>
      </c>
      <c r="L7464"/>
    </row>
    <row r="7465" spans="1:12" x14ac:dyDescent="0.3">
      <c r="A7465" t="s">
        <v>7471</v>
      </c>
      <c r="B7465" t="s">
        <v>10013</v>
      </c>
      <c r="C7465" t="s">
        <v>10013</v>
      </c>
      <c r="D7465">
        <v>4</v>
      </c>
      <c r="E7465">
        <v>16</v>
      </c>
      <c r="F7465" t="s">
        <v>10018</v>
      </c>
      <c r="G7465" t="s">
        <v>10021</v>
      </c>
      <c r="H7465" s="6">
        <v>45247</v>
      </c>
      <c r="I7465">
        <f t="shared" si="232"/>
        <v>2</v>
      </c>
      <c r="J7465" t="str">
        <f t="shared" si="233"/>
        <v>Complete</v>
      </c>
      <c r="K7465">
        <f>COUNTIFS(RawData[Item], B7465,RawData[Quantity],C7465,RawData[Price Per Unit],D7465,RawData[Total Spent],E7465,RawData[Payment Method],F7465,RawData[Location],G7465,RawData[Transaction Date],H7465)</f>
        <v>1</v>
      </c>
      <c r="L7465"/>
    </row>
    <row r="7466" spans="1:12" x14ac:dyDescent="0.3">
      <c r="A7466" t="s">
        <v>7472</v>
      </c>
      <c r="B7466" t="s">
        <v>10015</v>
      </c>
      <c r="C7466">
        <v>1</v>
      </c>
      <c r="D7466">
        <v>2</v>
      </c>
      <c r="E7466">
        <v>2</v>
      </c>
      <c r="F7466" t="s">
        <v>10069</v>
      </c>
      <c r="G7466" t="s">
        <v>10069</v>
      </c>
      <c r="H7466" s="6">
        <v>45279</v>
      </c>
      <c r="I7466">
        <f t="shared" si="232"/>
        <v>1</v>
      </c>
      <c r="J7466" t="str">
        <f t="shared" si="233"/>
        <v>Complete</v>
      </c>
      <c r="K7466">
        <f>COUNTIFS(RawData[Item], B7466,RawData[Quantity],C7466,RawData[Price Per Unit],D7466,RawData[Total Spent],E7466,RawData[Payment Method],F7466,RawData[Location],G7466,RawData[Transaction Date],H7466)</f>
        <v>1</v>
      </c>
      <c r="L7466"/>
    </row>
    <row r="7467" spans="1:12" x14ac:dyDescent="0.3">
      <c r="A7467" t="s">
        <v>7473</v>
      </c>
      <c r="B7467" t="s">
        <v>10008</v>
      </c>
      <c r="C7467">
        <v>3</v>
      </c>
      <c r="D7467">
        <v>2</v>
      </c>
      <c r="E7467">
        <v>6</v>
      </c>
      <c r="F7467" t="s">
        <v>10019</v>
      </c>
      <c r="G7467" t="s">
        <v>10069</v>
      </c>
      <c r="H7467" s="6">
        <v>45179</v>
      </c>
      <c r="I7467">
        <f t="shared" si="232"/>
        <v>0</v>
      </c>
      <c r="J7467" t="str">
        <f t="shared" si="233"/>
        <v>Complete</v>
      </c>
      <c r="K7467">
        <f>COUNTIFS(RawData[Item], B7467,RawData[Quantity],C7467,RawData[Price Per Unit],D7467,RawData[Total Spent],E7467,RawData[Payment Method],F7467,RawData[Location],G7467,RawData[Transaction Date],H7467)</f>
        <v>1</v>
      </c>
      <c r="L7467"/>
    </row>
    <row r="7468" spans="1:12" x14ac:dyDescent="0.3">
      <c r="A7468" t="s">
        <v>7474</v>
      </c>
      <c r="B7468" t="s">
        <v>10017</v>
      </c>
      <c r="C7468">
        <v>5</v>
      </c>
      <c r="D7468">
        <v>1.5</v>
      </c>
      <c r="E7468">
        <v>7.5</v>
      </c>
      <c r="F7468" t="s">
        <v>10069</v>
      </c>
      <c r="G7468" t="s">
        <v>10021</v>
      </c>
      <c r="H7468" s="6">
        <v>45108</v>
      </c>
      <c r="I7468">
        <f t="shared" si="232"/>
        <v>0</v>
      </c>
      <c r="J7468" t="str">
        <f t="shared" si="233"/>
        <v>Complete</v>
      </c>
      <c r="K7468">
        <f>COUNTIFS(RawData[Item], B7468,RawData[Quantity],C7468,RawData[Price Per Unit],D7468,RawData[Total Spent],E7468,RawData[Payment Method],F7468,RawData[Location],G7468,RawData[Transaction Date],H7468)</f>
        <v>1</v>
      </c>
      <c r="L7468"/>
    </row>
    <row r="7469" spans="1:12" x14ac:dyDescent="0.3">
      <c r="A7469" t="s">
        <v>7475</v>
      </c>
      <c r="B7469" t="s">
        <v>10016</v>
      </c>
      <c r="C7469">
        <v>5</v>
      </c>
      <c r="D7469" t="s">
        <v>10013</v>
      </c>
      <c r="E7469">
        <v>15</v>
      </c>
      <c r="F7469" t="s">
        <v>10020</v>
      </c>
      <c r="G7469" t="s">
        <v>10069</v>
      </c>
      <c r="H7469" s="6">
        <v>45243</v>
      </c>
      <c r="I7469">
        <f t="shared" si="232"/>
        <v>1</v>
      </c>
      <c r="J7469" t="str">
        <f t="shared" si="233"/>
        <v>Complete</v>
      </c>
      <c r="K7469">
        <f>COUNTIFS(RawData[Item], B7469,RawData[Quantity],C7469,RawData[Price Per Unit],D7469,RawData[Total Spent],E7469,RawData[Payment Method],F7469,RawData[Location],G7469,RawData[Transaction Date],H7469)</f>
        <v>1</v>
      </c>
      <c r="L7469"/>
    </row>
    <row r="7470" spans="1:12" x14ac:dyDescent="0.3">
      <c r="A7470" t="s">
        <v>7476</v>
      </c>
      <c r="B7470" t="s">
        <v>10009</v>
      </c>
      <c r="C7470">
        <v>3</v>
      </c>
      <c r="D7470">
        <v>3</v>
      </c>
      <c r="E7470">
        <v>9</v>
      </c>
      <c r="F7470" t="s">
        <v>10018</v>
      </c>
      <c r="G7470" t="s">
        <v>10069</v>
      </c>
      <c r="H7470" s="6">
        <v>44978</v>
      </c>
      <c r="I7470">
        <f t="shared" si="232"/>
        <v>0</v>
      </c>
      <c r="J7470" t="str">
        <f t="shared" si="233"/>
        <v>Complete</v>
      </c>
      <c r="K7470">
        <f>COUNTIFS(RawData[Item], B7470,RawData[Quantity],C7470,RawData[Price Per Unit],D7470,RawData[Total Spent],E7470,RawData[Payment Method],F7470,RawData[Location],G7470,RawData[Transaction Date],H7470)</f>
        <v>1</v>
      </c>
      <c r="L7470"/>
    </row>
    <row r="7471" spans="1:12" x14ac:dyDescent="0.3">
      <c r="A7471" t="s">
        <v>7477</v>
      </c>
      <c r="B7471" t="s">
        <v>10011</v>
      </c>
      <c r="C7471">
        <v>2</v>
      </c>
      <c r="D7471">
        <v>5</v>
      </c>
      <c r="E7471">
        <v>10</v>
      </c>
      <c r="F7471" t="s">
        <v>10069</v>
      </c>
      <c r="G7471" t="s">
        <v>10069</v>
      </c>
      <c r="H7471" s="6">
        <v>45255</v>
      </c>
      <c r="I7471">
        <f t="shared" si="232"/>
        <v>0</v>
      </c>
      <c r="J7471" t="str">
        <f t="shared" si="233"/>
        <v>Complete</v>
      </c>
      <c r="K7471">
        <f>COUNTIFS(RawData[Item], B7471,RawData[Quantity],C7471,RawData[Price Per Unit],D7471,RawData[Total Spent],E7471,RawData[Payment Method],F7471,RawData[Location],G7471,RawData[Transaction Date],H7471)</f>
        <v>1</v>
      </c>
      <c r="L7471"/>
    </row>
    <row r="7472" spans="1:12" x14ac:dyDescent="0.3">
      <c r="A7472" t="s">
        <v>7478</v>
      </c>
      <c r="B7472" t="s">
        <v>10014</v>
      </c>
      <c r="C7472">
        <v>5</v>
      </c>
      <c r="D7472">
        <v>4</v>
      </c>
      <c r="E7472">
        <v>20</v>
      </c>
      <c r="F7472" t="s">
        <v>10019</v>
      </c>
      <c r="G7472" t="s">
        <v>10021</v>
      </c>
      <c r="H7472" s="6">
        <v>45110</v>
      </c>
      <c r="I7472">
        <f t="shared" si="232"/>
        <v>0</v>
      </c>
      <c r="J7472" t="str">
        <f t="shared" si="233"/>
        <v>Complete</v>
      </c>
      <c r="K7472">
        <f>COUNTIFS(RawData[Item], B7472,RawData[Quantity],C7472,RawData[Price Per Unit],D7472,RawData[Total Spent],E7472,RawData[Payment Method],F7472,RawData[Location],G7472,RawData[Transaction Date],H7472)</f>
        <v>1</v>
      </c>
      <c r="L7472"/>
    </row>
    <row r="7473" spans="1:12" x14ac:dyDescent="0.3">
      <c r="A7473" t="s">
        <v>7479</v>
      </c>
      <c r="B7473" t="s">
        <v>10012</v>
      </c>
      <c r="C7473">
        <v>5</v>
      </c>
      <c r="D7473">
        <v>0</v>
      </c>
      <c r="E7473">
        <v>20</v>
      </c>
      <c r="F7473" t="s">
        <v>10069</v>
      </c>
      <c r="G7473" t="s">
        <v>10102</v>
      </c>
      <c r="H7473" s="6">
        <v>45135</v>
      </c>
      <c r="I7473">
        <f t="shared" si="232"/>
        <v>0</v>
      </c>
      <c r="J7473" t="str">
        <f t="shared" si="233"/>
        <v>Complete</v>
      </c>
      <c r="K7473">
        <f>COUNTIFS(RawData[Item], B7473,RawData[Quantity],C7473,RawData[Price Per Unit],D7473,RawData[Total Spent],E7473,RawData[Payment Method],F7473,RawData[Location],G7473,RawData[Transaction Date],H7473)</f>
        <v>1</v>
      </c>
      <c r="L7473"/>
    </row>
    <row r="7474" spans="1:12" x14ac:dyDescent="0.3">
      <c r="A7474" t="s">
        <v>7480</v>
      </c>
      <c r="B7474" t="s">
        <v>10008</v>
      </c>
      <c r="C7474">
        <v>2</v>
      </c>
      <c r="D7474">
        <v>2</v>
      </c>
      <c r="E7474">
        <v>4</v>
      </c>
      <c r="F7474" t="s">
        <v>10019</v>
      </c>
      <c r="G7474" t="s">
        <v>10069</v>
      </c>
      <c r="H7474" s="6">
        <v>45223</v>
      </c>
      <c r="I7474">
        <f t="shared" si="232"/>
        <v>0</v>
      </c>
      <c r="J7474" t="str">
        <f t="shared" si="233"/>
        <v>Complete</v>
      </c>
      <c r="K7474">
        <f>COUNTIFS(RawData[Item], B7474,RawData[Quantity],C7474,RawData[Price Per Unit],D7474,RawData[Total Spent],E7474,RawData[Payment Method],F7474,RawData[Location],G7474,RawData[Transaction Date],H7474)</f>
        <v>1</v>
      </c>
      <c r="L7474"/>
    </row>
    <row r="7475" spans="1:12" x14ac:dyDescent="0.3">
      <c r="A7475" t="s">
        <v>7481</v>
      </c>
      <c r="B7475" t="s">
        <v>10011</v>
      </c>
      <c r="C7475">
        <v>5</v>
      </c>
      <c r="D7475">
        <v>5</v>
      </c>
      <c r="E7475">
        <v>25</v>
      </c>
      <c r="F7475" t="s">
        <v>10018</v>
      </c>
      <c r="G7475" t="s">
        <v>10069</v>
      </c>
      <c r="H7475" s="6">
        <v>45224</v>
      </c>
      <c r="I7475">
        <f t="shared" si="232"/>
        <v>0</v>
      </c>
      <c r="J7475" t="str">
        <f t="shared" si="233"/>
        <v>Complete</v>
      </c>
      <c r="K7475">
        <f>COUNTIFS(RawData[Item], B7475,RawData[Quantity],C7475,RawData[Price Per Unit],D7475,RawData[Total Spent],E7475,RawData[Payment Method],F7475,RawData[Location],G7475,RawData[Transaction Date],H7475)</f>
        <v>1</v>
      </c>
      <c r="L7475"/>
    </row>
    <row r="7476" spans="1:12" x14ac:dyDescent="0.3">
      <c r="A7476" t="s">
        <v>7482</v>
      </c>
      <c r="B7476" t="s">
        <v>10011</v>
      </c>
      <c r="C7476">
        <v>4</v>
      </c>
      <c r="D7476">
        <v>5</v>
      </c>
      <c r="E7476">
        <v>20</v>
      </c>
      <c r="F7476" t="s">
        <v>10069</v>
      </c>
      <c r="G7476" t="s">
        <v>10102</v>
      </c>
      <c r="H7476" s="6" t="s">
        <v>10112</v>
      </c>
      <c r="I7476">
        <f t="shared" si="232"/>
        <v>1</v>
      </c>
      <c r="J7476" t="str">
        <f t="shared" si="233"/>
        <v>Incomplete</v>
      </c>
      <c r="K7476">
        <f>COUNTIFS(RawData[Item], B7476,RawData[Quantity],C7476,RawData[Price Per Unit],D7476,RawData[Total Spent],E7476,RawData[Payment Method],F7476,RawData[Location],G7476,RawData[Transaction Date],H7476)</f>
        <v>2</v>
      </c>
      <c r="L7476"/>
    </row>
    <row r="7477" spans="1:12" x14ac:dyDescent="0.3">
      <c r="A7477" t="s">
        <v>7483</v>
      </c>
      <c r="B7477" t="s">
        <v>10016</v>
      </c>
      <c r="C7477">
        <v>2</v>
      </c>
      <c r="D7477">
        <v>3</v>
      </c>
      <c r="E7477">
        <v>6</v>
      </c>
      <c r="F7477" t="s">
        <v>10020</v>
      </c>
      <c r="G7477" t="s">
        <v>10069</v>
      </c>
      <c r="H7477" s="6">
        <v>45221</v>
      </c>
      <c r="I7477">
        <f t="shared" si="232"/>
        <v>0</v>
      </c>
      <c r="J7477" t="str">
        <f t="shared" si="233"/>
        <v>Complete</v>
      </c>
      <c r="K7477">
        <f>COUNTIFS(RawData[Item], B7477,RawData[Quantity],C7477,RawData[Price Per Unit],D7477,RawData[Total Spent],E7477,RawData[Payment Method],F7477,RawData[Location],G7477,RawData[Transaction Date],H7477)</f>
        <v>1</v>
      </c>
      <c r="L7477"/>
    </row>
    <row r="7478" spans="1:12" x14ac:dyDescent="0.3">
      <c r="A7478" t="s">
        <v>7484</v>
      </c>
      <c r="B7478" t="s">
        <v>10009</v>
      </c>
      <c r="C7478">
        <v>3</v>
      </c>
      <c r="D7478">
        <v>3</v>
      </c>
      <c r="E7478">
        <v>9</v>
      </c>
      <c r="F7478" t="s">
        <v>10018</v>
      </c>
      <c r="G7478" t="s">
        <v>10021</v>
      </c>
      <c r="H7478" s="6">
        <v>44954</v>
      </c>
      <c r="I7478">
        <f t="shared" si="232"/>
        <v>0</v>
      </c>
      <c r="J7478" t="str">
        <f t="shared" si="233"/>
        <v>Complete</v>
      </c>
      <c r="K7478">
        <f>COUNTIFS(RawData[Item], B7478,RawData[Quantity],C7478,RawData[Price Per Unit],D7478,RawData[Total Spent],E7478,RawData[Payment Method],F7478,RawData[Location],G7478,RawData[Transaction Date],H7478)</f>
        <v>1</v>
      </c>
      <c r="L7478"/>
    </row>
    <row r="7479" spans="1:12" x14ac:dyDescent="0.3">
      <c r="A7479" t="s">
        <v>7485</v>
      </c>
      <c r="B7479" t="s">
        <v>10008</v>
      </c>
      <c r="C7479">
        <v>2</v>
      </c>
      <c r="D7479">
        <v>2</v>
      </c>
      <c r="E7479" t="s">
        <v>10013</v>
      </c>
      <c r="F7479" t="s">
        <v>10019</v>
      </c>
      <c r="G7479" t="s">
        <v>10021</v>
      </c>
      <c r="H7479" s="6">
        <v>45023</v>
      </c>
      <c r="I7479">
        <f t="shared" si="232"/>
        <v>1</v>
      </c>
      <c r="J7479" t="str">
        <f t="shared" si="233"/>
        <v>Complete</v>
      </c>
      <c r="K7479">
        <f>COUNTIFS(RawData[Item], B7479,RawData[Quantity],C7479,RawData[Price Per Unit],D7479,RawData[Total Spent],E7479,RawData[Payment Method],F7479,RawData[Location],G7479,RawData[Transaction Date],H7479)</f>
        <v>1</v>
      </c>
      <c r="L7479"/>
    </row>
    <row r="7480" spans="1:12" x14ac:dyDescent="0.3">
      <c r="A7480" t="s">
        <v>7486</v>
      </c>
      <c r="B7480" t="s">
        <v>10013</v>
      </c>
      <c r="C7480">
        <v>4</v>
      </c>
      <c r="D7480">
        <v>0</v>
      </c>
      <c r="E7480">
        <v>16</v>
      </c>
      <c r="F7480" t="s">
        <v>10069</v>
      </c>
      <c r="G7480" t="s">
        <v>10069</v>
      </c>
      <c r="H7480" s="6">
        <v>44988</v>
      </c>
      <c r="I7480">
        <f t="shared" si="232"/>
        <v>1</v>
      </c>
      <c r="J7480" t="str">
        <f t="shared" si="233"/>
        <v>Complete</v>
      </c>
      <c r="K7480">
        <f>COUNTIFS(RawData[Item], B7480,RawData[Quantity],C7480,RawData[Price Per Unit],D7480,RawData[Total Spent],E7480,RawData[Payment Method],F7480,RawData[Location],G7480,RawData[Transaction Date],H7480)</f>
        <v>1</v>
      </c>
      <c r="L7480"/>
    </row>
    <row r="7481" spans="1:12" x14ac:dyDescent="0.3">
      <c r="A7481" t="s">
        <v>7487</v>
      </c>
      <c r="B7481" t="s">
        <v>10012</v>
      </c>
      <c r="C7481">
        <v>2</v>
      </c>
      <c r="D7481">
        <v>4</v>
      </c>
      <c r="E7481">
        <v>8</v>
      </c>
      <c r="F7481" t="s">
        <v>10019</v>
      </c>
      <c r="G7481" t="s">
        <v>10069</v>
      </c>
      <c r="H7481" s="6">
        <v>44991</v>
      </c>
      <c r="I7481">
        <f t="shared" si="232"/>
        <v>0</v>
      </c>
      <c r="J7481" t="str">
        <f t="shared" si="233"/>
        <v>Complete</v>
      </c>
      <c r="K7481">
        <f>COUNTIFS(RawData[Item], B7481,RawData[Quantity],C7481,RawData[Price Per Unit],D7481,RawData[Total Spent],E7481,RawData[Payment Method],F7481,RawData[Location],G7481,RawData[Transaction Date],H7481)</f>
        <v>1</v>
      </c>
      <c r="L7481"/>
    </row>
    <row r="7482" spans="1:12" x14ac:dyDescent="0.3">
      <c r="A7482" t="s">
        <v>7488</v>
      </c>
      <c r="B7482" t="s">
        <v>10010</v>
      </c>
      <c r="C7482">
        <v>1</v>
      </c>
      <c r="D7482">
        <v>1</v>
      </c>
      <c r="E7482">
        <v>1</v>
      </c>
      <c r="F7482" t="s">
        <v>10019</v>
      </c>
      <c r="G7482" t="s">
        <v>10102</v>
      </c>
      <c r="H7482" s="6">
        <v>44936</v>
      </c>
      <c r="I7482">
        <f t="shared" si="232"/>
        <v>0</v>
      </c>
      <c r="J7482" t="str">
        <f t="shared" si="233"/>
        <v>Complete</v>
      </c>
      <c r="K7482">
        <f>COUNTIFS(RawData[Item], B7482,RawData[Quantity],C7482,RawData[Price Per Unit],D7482,RawData[Total Spent],E7482,RawData[Payment Method],F7482,RawData[Location],G7482,RawData[Transaction Date],H7482)</f>
        <v>1</v>
      </c>
      <c r="L7482"/>
    </row>
    <row r="7483" spans="1:12" x14ac:dyDescent="0.3">
      <c r="A7483" t="s">
        <v>7489</v>
      </c>
      <c r="B7483" t="s">
        <v>10017</v>
      </c>
      <c r="C7483">
        <v>1</v>
      </c>
      <c r="D7483">
        <v>1.5</v>
      </c>
      <c r="E7483">
        <v>1.5</v>
      </c>
      <c r="F7483" t="s">
        <v>10020</v>
      </c>
      <c r="G7483" t="s">
        <v>10021</v>
      </c>
      <c r="H7483" s="6">
        <v>44995</v>
      </c>
      <c r="I7483">
        <f t="shared" si="232"/>
        <v>0</v>
      </c>
      <c r="J7483" t="str">
        <f t="shared" si="233"/>
        <v>Complete</v>
      </c>
      <c r="K7483">
        <f>COUNTIFS(RawData[Item], B7483,RawData[Quantity],C7483,RawData[Price Per Unit],D7483,RawData[Total Spent],E7483,RawData[Payment Method],F7483,RawData[Location],G7483,RawData[Transaction Date],H7483)</f>
        <v>1</v>
      </c>
      <c r="L7483"/>
    </row>
    <row r="7484" spans="1:12" x14ac:dyDescent="0.3">
      <c r="A7484" t="s">
        <v>7490</v>
      </c>
      <c r="B7484" t="s">
        <v>10012</v>
      </c>
      <c r="C7484">
        <v>2</v>
      </c>
      <c r="D7484">
        <v>4</v>
      </c>
      <c r="E7484">
        <v>0</v>
      </c>
      <c r="F7484" t="s">
        <v>10069</v>
      </c>
      <c r="G7484" t="s">
        <v>10104</v>
      </c>
      <c r="H7484" s="6">
        <v>45183</v>
      </c>
      <c r="I7484">
        <f t="shared" si="232"/>
        <v>1</v>
      </c>
      <c r="J7484" t="str">
        <f t="shared" si="233"/>
        <v>Complete</v>
      </c>
      <c r="K7484">
        <f>COUNTIFS(RawData[Item], B7484,RawData[Quantity],C7484,RawData[Price Per Unit],D7484,RawData[Total Spent],E7484,RawData[Payment Method],F7484,RawData[Location],G7484,RawData[Transaction Date],H7484)</f>
        <v>1</v>
      </c>
      <c r="L7484"/>
    </row>
    <row r="7485" spans="1:12" x14ac:dyDescent="0.3">
      <c r="A7485" t="s">
        <v>7491</v>
      </c>
      <c r="B7485" t="s">
        <v>10009</v>
      </c>
      <c r="C7485">
        <v>2</v>
      </c>
      <c r="D7485">
        <v>3</v>
      </c>
      <c r="E7485">
        <v>6</v>
      </c>
      <c r="F7485" t="s">
        <v>10069</v>
      </c>
      <c r="G7485" t="s">
        <v>10069</v>
      </c>
      <c r="H7485" s="6">
        <v>45160</v>
      </c>
      <c r="I7485">
        <f t="shared" si="232"/>
        <v>0</v>
      </c>
      <c r="J7485" t="str">
        <f t="shared" si="233"/>
        <v>Complete</v>
      </c>
      <c r="K7485">
        <f>COUNTIFS(RawData[Item], B7485,RawData[Quantity],C7485,RawData[Price Per Unit],D7485,RawData[Total Spent],E7485,RawData[Payment Method],F7485,RawData[Location],G7485,RawData[Transaction Date],H7485)</f>
        <v>1</v>
      </c>
      <c r="L7485"/>
    </row>
    <row r="7486" spans="1:12" x14ac:dyDescent="0.3">
      <c r="A7486" t="s">
        <v>7492</v>
      </c>
      <c r="B7486" t="s">
        <v>10008</v>
      </c>
      <c r="C7486">
        <v>5</v>
      </c>
      <c r="D7486">
        <v>2</v>
      </c>
      <c r="E7486">
        <v>10</v>
      </c>
      <c r="F7486" t="s">
        <v>10020</v>
      </c>
      <c r="G7486" t="s">
        <v>10021</v>
      </c>
      <c r="H7486" s="6">
        <v>45264</v>
      </c>
      <c r="I7486">
        <f t="shared" si="232"/>
        <v>0</v>
      </c>
      <c r="J7486" t="str">
        <f t="shared" si="233"/>
        <v>Complete</v>
      </c>
      <c r="K7486">
        <f>COUNTIFS(RawData[Item], B7486,RawData[Quantity],C7486,RawData[Price Per Unit],D7486,RawData[Total Spent],E7486,RawData[Payment Method],F7486,RawData[Location],G7486,RawData[Transaction Date],H7486)</f>
        <v>1</v>
      </c>
      <c r="L7486"/>
    </row>
    <row r="7487" spans="1:12" x14ac:dyDescent="0.3">
      <c r="A7487" t="s">
        <v>7493</v>
      </c>
      <c r="B7487" t="s">
        <v>10009</v>
      </c>
      <c r="C7487">
        <v>5</v>
      </c>
      <c r="D7487">
        <v>3</v>
      </c>
      <c r="E7487">
        <v>15</v>
      </c>
      <c r="F7487" t="s">
        <v>10019</v>
      </c>
      <c r="G7487" t="s">
        <v>10102</v>
      </c>
      <c r="H7487" s="6">
        <v>44946</v>
      </c>
      <c r="I7487">
        <f t="shared" si="232"/>
        <v>0</v>
      </c>
      <c r="J7487" t="str">
        <f t="shared" si="233"/>
        <v>Complete</v>
      </c>
      <c r="K7487">
        <f>COUNTIFS(RawData[Item], B7487,RawData[Quantity],C7487,RawData[Price Per Unit],D7487,RawData[Total Spent],E7487,RawData[Payment Method],F7487,RawData[Location],G7487,RawData[Transaction Date],H7487)</f>
        <v>1</v>
      </c>
      <c r="L7487"/>
    </row>
    <row r="7488" spans="1:12" x14ac:dyDescent="0.3">
      <c r="A7488" t="s">
        <v>7494</v>
      </c>
      <c r="B7488" t="s">
        <v>10017</v>
      </c>
      <c r="C7488">
        <v>1</v>
      </c>
      <c r="D7488">
        <v>1.5</v>
      </c>
      <c r="E7488">
        <v>1.5</v>
      </c>
      <c r="F7488" t="s">
        <v>10069</v>
      </c>
      <c r="G7488" t="s">
        <v>10104</v>
      </c>
      <c r="H7488" s="6">
        <v>44942</v>
      </c>
      <c r="I7488">
        <f t="shared" si="232"/>
        <v>1</v>
      </c>
      <c r="J7488" t="str">
        <f t="shared" si="233"/>
        <v>Complete</v>
      </c>
      <c r="K7488">
        <f>COUNTIFS(RawData[Item], B7488,RawData[Quantity],C7488,RawData[Price Per Unit],D7488,RawData[Total Spent],E7488,RawData[Payment Method],F7488,RawData[Location],G7488,RawData[Transaction Date],H7488)</f>
        <v>1</v>
      </c>
      <c r="L7488"/>
    </row>
    <row r="7489" spans="1:12" x14ac:dyDescent="0.3">
      <c r="A7489" t="s">
        <v>7495</v>
      </c>
      <c r="B7489" t="s">
        <v>10012</v>
      </c>
      <c r="C7489" t="s">
        <v>10013</v>
      </c>
      <c r="D7489">
        <v>4</v>
      </c>
      <c r="E7489">
        <v>4</v>
      </c>
      <c r="F7489" t="s">
        <v>10069</v>
      </c>
      <c r="G7489" t="s">
        <v>10021</v>
      </c>
      <c r="H7489" s="6">
        <v>44976</v>
      </c>
      <c r="I7489">
        <f t="shared" si="232"/>
        <v>1</v>
      </c>
      <c r="J7489" t="str">
        <f t="shared" si="233"/>
        <v>Complete</v>
      </c>
      <c r="K7489">
        <f>COUNTIFS(RawData[Item], B7489,RawData[Quantity],C7489,RawData[Price Per Unit],D7489,RawData[Total Spent],E7489,RawData[Payment Method],F7489,RawData[Location],G7489,RawData[Transaction Date],H7489)</f>
        <v>1</v>
      </c>
      <c r="L7489"/>
    </row>
    <row r="7490" spans="1:12" x14ac:dyDescent="0.3">
      <c r="A7490" t="s">
        <v>7496</v>
      </c>
      <c r="B7490" t="s">
        <v>10011</v>
      </c>
      <c r="C7490">
        <v>1</v>
      </c>
      <c r="D7490">
        <v>5</v>
      </c>
      <c r="E7490">
        <v>5</v>
      </c>
      <c r="F7490" t="s">
        <v>10019</v>
      </c>
      <c r="G7490" t="s">
        <v>10069</v>
      </c>
      <c r="H7490" s="6">
        <v>44931</v>
      </c>
      <c r="I7490">
        <f t="shared" ref="I7490:I7553" si="234">(B7490="Unknown")+(B7490="Error")+(C7490="Unknown")+(C7490="Error")+(D7490="Unknown")+(D7490="Error")+(E7490="Unknown")+(E7490="Error")+(F7490="Unknown")+(F7490="Error")+(G7490="Unknown")+(G7490="Error")+(H7490="No Date")</f>
        <v>0</v>
      </c>
      <c r="J7490" t="str">
        <f t="shared" ref="J7490:J7553" si="235">IF((H7490="No Date"),"Incomplete","Complete")</f>
        <v>Complete</v>
      </c>
      <c r="K7490">
        <f>COUNTIFS(RawData[Item], B7490,RawData[Quantity],C7490,RawData[Price Per Unit],D7490,RawData[Total Spent],E7490,RawData[Payment Method],F7490,RawData[Location],G7490,RawData[Transaction Date],H7490)</f>
        <v>1</v>
      </c>
      <c r="L7490"/>
    </row>
    <row r="7491" spans="1:12" x14ac:dyDescent="0.3">
      <c r="A7491" t="s">
        <v>7497</v>
      </c>
      <c r="B7491" t="s">
        <v>10014</v>
      </c>
      <c r="C7491">
        <v>1</v>
      </c>
      <c r="D7491">
        <v>4</v>
      </c>
      <c r="E7491">
        <v>4</v>
      </c>
      <c r="F7491" t="s">
        <v>10019</v>
      </c>
      <c r="G7491" t="s">
        <v>10021</v>
      </c>
      <c r="H7491" s="6">
        <v>45140</v>
      </c>
      <c r="I7491">
        <f t="shared" si="234"/>
        <v>0</v>
      </c>
      <c r="J7491" t="str">
        <f t="shared" si="235"/>
        <v>Complete</v>
      </c>
      <c r="K7491">
        <f>COUNTIFS(RawData[Item], B7491,RawData[Quantity],C7491,RawData[Price Per Unit],D7491,RawData[Total Spent],E7491,RawData[Payment Method],F7491,RawData[Location],G7491,RawData[Transaction Date],H7491)</f>
        <v>1</v>
      </c>
      <c r="L7491"/>
    </row>
    <row r="7492" spans="1:12" x14ac:dyDescent="0.3">
      <c r="A7492" t="s">
        <v>7498</v>
      </c>
      <c r="B7492" t="s">
        <v>10011</v>
      </c>
      <c r="C7492">
        <v>5</v>
      </c>
      <c r="D7492">
        <v>5</v>
      </c>
      <c r="E7492">
        <v>25</v>
      </c>
      <c r="F7492" t="s">
        <v>10019</v>
      </c>
      <c r="G7492" t="s">
        <v>10021</v>
      </c>
      <c r="H7492" s="6">
        <v>45005</v>
      </c>
      <c r="I7492">
        <f t="shared" si="234"/>
        <v>0</v>
      </c>
      <c r="J7492" t="str">
        <f t="shared" si="235"/>
        <v>Complete</v>
      </c>
      <c r="K7492">
        <f>COUNTIFS(RawData[Item], B7492,RawData[Quantity],C7492,RawData[Price Per Unit],D7492,RawData[Total Spent],E7492,RawData[Payment Method],F7492,RawData[Location],G7492,RawData[Transaction Date],H7492)</f>
        <v>1</v>
      </c>
      <c r="L7492"/>
    </row>
    <row r="7493" spans="1:12" x14ac:dyDescent="0.3">
      <c r="A7493" t="s">
        <v>7499</v>
      </c>
      <c r="B7493" t="s">
        <v>10008</v>
      </c>
      <c r="C7493">
        <v>5</v>
      </c>
      <c r="D7493">
        <v>2</v>
      </c>
      <c r="E7493">
        <v>10</v>
      </c>
      <c r="F7493" t="s">
        <v>10018</v>
      </c>
      <c r="G7493" t="s">
        <v>10069</v>
      </c>
      <c r="H7493" s="6">
        <v>45025</v>
      </c>
      <c r="I7493">
        <f t="shared" si="234"/>
        <v>0</v>
      </c>
      <c r="J7493" t="str">
        <f t="shared" si="235"/>
        <v>Complete</v>
      </c>
      <c r="K7493">
        <f>COUNTIFS(RawData[Item], B7493,RawData[Quantity],C7493,RawData[Price Per Unit],D7493,RawData[Total Spent],E7493,RawData[Payment Method],F7493,RawData[Location],G7493,RawData[Transaction Date],H7493)</f>
        <v>1</v>
      </c>
      <c r="L7493"/>
    </row>
    <row r="7494" spans="1:12" x14ac:dyDescent="0.3">
      <c r="A7494" t="s">
        <v>7500</v>
      </c>
      <c r="B7494" t="s">
        <v>10015</v>
      </c>
      <c r="C7494">
        <v>2</v>
      </c>
      <c r="D7494">
        <v>2</v>
      </c>
      <c r="E7494">
        <v>4</v>
      </c>
      <c r="F7494" t="s">
        <v>10020</v>
      </c>
      <c r="G7494" t="s">
        <v>10021</v>
      </c>
      <c r="H7494" s="6">
        <v>44984</v>
      </c>
      <c r="I7494">
        <f t="shared" si="234"/>
        <v>1</v>
      </c>
      <c r="J7494" t="str">
        <f t="shared" si="235"/>
        <v>Complete</v>
      </c>
      <c r="K7494">
        <f>COUNTIFS(RawData[Item], B7494,RawData[Quantity],C7494,RawData[Price Per Unit],D7494,RawData[Total Spent],E7494,RawData[Payment Method],F7494,RawData[Location],G7494,RawData[Transaction Date],H7494)</f>
        <v>1</v>
      </c>
      <c r="L7494"/>
    </row>
    <row r="7495" spans="1:12" x14ac:dyDescent="0.3">
      <c r="A7495" t="s">
        <v>7501</v>
      </c>
      <c r="B7495" t="s">
        <v>10011</v>
      </c>
      <c r="C7495">
        <v>5</v>
      </c>
      <c r="D7495">
        <v>5</v>
      </c>
      <c r="E7495">
        <v>25</v>
      </c>
      <c r="F7495" t="s">
        <v>10069</v>
      </c>
      <c r="G7495" t="s">
        <v>10102</v>
      </c>
      <c r="H7495" s="6">
        <v>44960</v>
      </c>
      <c r="I7495">
        <f t="shared" si="234"/>
        <v>0</v>
      </c>
      <c r="J7495" t="str">
        <f t="shared" si="235"/>
        <v>Complete</v>
      </c>
      <c r="K7495">
        <f>COUNTIFS(RawData[Item], B7495,RawData[Quantity],C7495,RawData[Price Per Unit],D7495,RawData[Total Spent],E7495,RawData[Payment Method],F7495,RawData[Location],G7495,RawData[Transaction Date],H7495)</f>
        <v>1</v>
      </c>
      <c r="L7495"/>
    </row>
    <row r="7496" spans="1:12" x14ac:dyDescent="0.3">
      <c r="A7496" t="s">
        <v>7502</v>
      </c>
      <c r="B7496" t="s">
        <v>10016</v>
      </c>
      <c r="C7496">
        <v>3</v>
      </c>
      <c r="D7496">
        <v>3</v>
      </c>
      <c r="E7496" t="s">
        <v>10013</v>
      </c>
      <c r="F7496" t="s">
        <v>10103</v>
      </c>
      <c r="G7496" t="s">
        <v>10069</v>
      </c>
      <c r="H7496" s="6">
        <v>45147</v>
      </c>
      <c r="I7496">
        <f t="shared" si="234"/>
        <v>2</v>
      </c>
      <c r="J7496" t="str">
        <f t="shared" si="235"/>
        <v>Complete</v>
      </c>
      <c r="K7496">
        <f>COUNTIFS(RawData[Item], B7496,RawData[Quantity],C7496,RawData[Price Per Unit],D7496,RawData[Total Spent],E7496,RawData[Payment Method],F7496,RawData[Location],G7496,RawData[Transaction Date],H7496)</f>
        <v>1</v>
      </c>
      <c r="L7496"/>
    </row>
    <row r="7497" spans="1:12" x14ac:dyDescent="0.3">
      <c r="A7497" t="s">
        <v>7503</v>
      </c>
      <c r="B7497" t="s">
        <v>10017</v>
      </c>
      <c r="C7497">
        <v>1</v>
      </c>
      <c r="D7497">
        <v>1.5</v>
      </c>
      <c r="E7497">
        <v>1.5</v>
      </c>
      <c r="F7497" t="s">
        <v>10019</v>
      </c>
      <c r="G7497" t="s">
        <v>10069</v>
      </c>
      <c r="H7497" s="6">
        <v>44977</v>
      </c>
      <c r="I7497">
        <f t="shared" si="234"/>
        <v>0</v>
      </c>
      <c r="J7497" t="str">
        <f t="shared" si="235"/>
        <v>Complete</v>
      </c>
      <c r="K7497">
        <f>COUNTIFS(RawData[Item], B7497,RawData[Quantity],C7497,RawData[Price Per Unit],D7497,RawData[Total Spent],E7497,RawData[Payment Method],F7497,RawData[Location],G7497,RawData[Transaction Date],H7497)</f>
        <v>1</v>
      </c>
      <c r="L7497"/>
    </row>
    <row r="7498" spans="1:12" x14ac:dyDescent="0.3">
      <c r="A7498" t="s">
        <v>7504</v>
      </c>
      <c r="B7498" t="s">
        <v>10009</v>
      </c>
      <c r="C7498">
        <v>1</v>
      </c>
      <c r="D7498">
        <v>3</v>
      </c>
      <c r="E7498">
        <v>3</v>
      </c>
      <c r="F7498" t="s">
        <v>10020</v>
      </c>
      <c r="G7498" t="s">
        <v>10021</v>
      </c>
      <c r="H7498" s="6">
        <v>44941</v>
      </c>
      <c r="I7498">
        <f t="shared" si="234"/>
        <v>0</v>
      </c>
      <c r="J7498" t="str">
        <f t="shared" si="235"/>
        <v>Complete</v>
      </c>
      <c r="K7498">
        <f>COUNTIFS(RawData[Item], B7498,RawData[Quantity],C7498,RawData[Price Per Unit],D7498,RawData[Total Spent],E7498,RawData[Payment Method],F7498,RawData[Location],G7498,RawData[Transaction Date],H7498)</f>
        <v>1</v>
      </c>
      <c r="L7498"/>
    </row>
    <row r="7499" spans="1:12" x14ac:dyDescent="0.3">
      <c r="A7499" t="s">
        <v>7505</v>
      </c>
      <c r="B7499" t="s">
        <v>10009</v>
      </c>
      <c r="C7499">
        <v>5</v>
      </c>
      <c r="D7499">
        <v>3</v>
      </c>
      <c r="E7499">
        <v>15</v>
      </c>
      <c r="F7499" t="s">
        <v>10020</v>
      </c>
      <c r="G7499" t="s">
        <v>10069</v>
      </c>
      <c r="H7499" s="6">
        <v>45086</v>
      </c>
      <c r="I7499">
        <f t="shared" si="234"/>
        <v>0</v>
      </c>
      <c r="J7499" t="str">
        <f t="shared" si="235"/>
        <v>Complete</v>
      </c>
      <c r="K7499">
        <f>COUNTIFS(RawData[Item], B7499,RawData[Quantity],C7499,RawData[Price Per Unit],D7499,RawData[Total Spent],E7499,RawData[Payment Method],F7499,RawData[Location],G7499,RawData[Transaction Date],H7499)</f>
        <v>1</v>
      </c>
      <c r="L7499"/>
    </row>
    <row r="7500" spans="1:12" x14ac:dyDescent="0.3">
      <c r="A7500" t="s">
        <v>7506</v>
      </c>
      <c r="B7500" t="s">
        <v>10012</v>
      </c>
      <c r="C7500">
        <v>3</v>
      </c>
      <c r="D7500">
        <v>4</v>
      </c>
      <c r="E7500">
        <v>12</v>
      </c>
      <c r="F7500" t="s">
        <v>10020</v>
      </c>
      <c r="G7500" t="s">
        <v>10102</v>
      </c>
      <c r="H7500" s="6">
        <v>44985</v>
      </c>
      <c r="I7500">
        <f t="shared" si="234"/>
        <v>0</v>
      </c>
      <c r="J7500" t="str">
        <f t="shared" si="235"/>
        <v>Complete</v>
      </c>
      <c r="K7500">
        <f>COUNTIFS(RawData[Item], B7500,RawData[Quantity],C7500,RawData[Price Per Unit],D7500,RawData[Total Spent],E7500,RawData[Payment Method],F7500,RawData[Location],G7500,RawData[Transaction Date],H7500)</f>
        <v>1</v>
      </c>
      <c r="L7500"/>
    </row>
    <row r="7501" spans="1:12" x14ac:dyDescent="0.3">
      <c r="A7501" t="s">
        <v>7507</v>
      </c>
      <c r="B7501" t="s">
        <v>10017</v>
      </c>
      <c r="C7501">
        <v>4</v>
      </c>
      <c r="D7501">
        <v>1.5</v>
      </c>
      <c r="E7501">
        <v>6</v>
      </c>
      <c r="F7501" t="s">
        <v>10018</v>
      </c>
      <c r="G7501" t="s">
        <v>10102</v>
      </c>
      <c r="H7501" s="6">
        <v>45049</v>
      </c>
      <c r="I7501">
        <f t="shared" si="234"/>
        <v>0</v>
      </c>
      <c r="J7501" t="str">
        <f t="shared" si="235"/>
        <v>Complete</v>
      </c>
      <c r="K7501">
        <f>COUNTIFS(RawData[Item], B7501,RawData[Quantity],C7501,RawData[Price Per Unit],D7501,RawData[Total Spent],E7501,RawData[Payment Method],F7501,RawData[Location],G7501,RawData[Transaction Date],H7501)</f>
        <v>2</v>
      </c>
      <c r="L7501"/>
    </row>
    <row r="7502" spans="1:12" x14ac:dyDescent="0.3">
      <c r="A7502" t="s">
        <v>7508</v>
      </c>
      <c r="B7502" t="s">
        <v>10014</v>
      </c>
      <c r="C7502">
        <v>2</v>
      </c>
      <c r="D7502">
        <v>4</v>
      </c>
      <c r="E7502">
        <v>8</v>
      </c>
      <c r="F7502" t="s">
        <v>10018</v>
      </c>
      <c r="G7502" t="s">
        <v>10021</v>
      </c>
      <c r="H7502" s="6" t="s">
        <v>10112</v>
      </c>
      <c r="I7502">
        <f t="shared" si="234"/>
        <v>1</v>
      </c>
      <c r="J7502" t="str">
        <f t="shared" si="235"/>
        <v>Incomplete</v>
      </c>
      <c r="K7502">
        <f>COUNTIFS(RawData[Item], B7502,RawData[Quantity],C7502,RawData[Price Per Unit],D7502,RawData[Total Spent],E7502,RawData[Payment Method],F7502,RawData[Location],G7502,RawData[Transaction Date],H7502)</f>
        <v>2</v>
      </c>
      <c r="L7502"/>
    </row>
    <row r="7503" spans="1:12" x14ac:dyDescent="0.3">
      <c r="A7503" t="s">
        <v>7509</v>
      </c>
      <c r="B7503" t="s">
        <v>10014</v>
      </c>
      <c r="C7503">
        <v>5</v>
      </c>
      <c r="D7503">
        <v>4</v>
      </c>
      <c r="E7503">
        <v>20</v>
      </c>
      <c r="F7503" t="s">
        <v>10019</v>
      </c>
      <c r="G7503" t="s">
        <v>10102</v>
      </c>
      <c r="H7503" s="6">
        <v>45067</v>
      </c>
      <c r="I7503">
        <f t="shared" si="234"/>
        <v>0</v>
      </c>
      <c r="J7503" t="str">
        <f t="shared" si="235"/>
        <v>Complete</v>
      </c>
      <c r="K7503">
        <f>COUNTIFS(RawData[Item], B7503,RawData[Quantity],C7503,RawData[Price Per Unit],D7503,RawData[Total Spent],E7503,RawData[Payment Method],F7503,RawData[Location],G7503,RawData[Transaction Date],H7503)</f>
        <v>1</v>
      </c>
      <c r="L7503"/>
    </row>
    <row r="7504" spans="1:12" x14ac:dyDescent="0.3">
      <c r="A7504" t="s">
        <v>7510</v>
      </c>
      <c r="B7504" t="s">
        <v>10011</v>
      </c>
      <c r="C7504">
        <v>1</v>
      </c>
      <c r="D7504">
        <v>5</v>
      </c>
      <c r="E7504">
        <v>5</v>
      </c>
      <c r="F7504" t="s">
        <v>10019</v>
      </c>
      <c r="G7504" t="s">
        <v>10069</v>
      </c>
      <c r="H7504" s="6">
        <v>45051</v>
      </c>
      <c r="I7504">
        <f t="shared" si="234"/>
        <v>0</v>
      </c>
      <c r="J7504" t="str">
        <f t="shared" si="235"/>
        <v>Complete</v>
      </c>
      <c r="K7504">
        <f>COUNTIFS(RawData[Item], B7504,RawData[Quantity],C7504,RawData[Price Per Unit],D7504,RawData[Total Spent],E7504,RawData[Payment Method],F7504,RawData[Location],G7504,RawData[Transaction Date],H7504)</f>
        <v>1</v>
      </c>
      <c r="L7504"/>
    </row>
    <row r="7505" spans="1:12" x14ac:dyDescent="0.3">
      <c r="A7505" t="s">
        <v>7511</v>
      </c>
      <c r="B7505" t="s">
        <v>10012</v>
      </c>
      <c r="C7505">
        <v>3</v>
      </c>
      <c r="D7505">
        <v>4</v>
      </c>
      <c r="E7505">
        <v>12</v>
      </c>
      <c r="F7505" t="s">
        <v>10020</v>
      </c>
      <c r="G7505" t="s">
        <v>10021</v>
      </c>
      <c r="H7505" s="6">
        <v>45193</v>
      </c>
      <c r="I7505">
        <f t="shared" si="234"/>
        <v>0</v>
      </c>
      <c r="J7505" t="str">
        <f t="shared" si="235"/>
        <v>Complete</v>
      </c>
      <c r="K7505">
        <f>COUNTIFS(RawData[Item], B7505,RawData[Quantity],C7505,RawData[Price Per Unit],D7505,RawData[Total Spent],E7505,RawData[Payment Method],F7505,RawData[Location],G7505,RawData[Transaction Date],H7505)</f>
        <v>1</v>
      </c>
      <c r="L7505"/>
    </row>
    <row r="7506" spans="1:12" x14ac:dyDescent="0.3">
      <c r="A7506" t="s">
        <v>7512</v>
      </c>
      <c r="B7506" t="s">
        <v>10016</v>
      </c>
      <c r="C7506">
        <v>5</v>
      </c>
      <c r="D7506">
        <v>3</v>
      </c>
      <c r="E7506">
        <v>15</v>
      </c>
      <c r="F7506" t="s">
        <v>10018</v>
      </c>
      <c r="G7506" t="s">
        <v>10069</v>
      </c>
      <c r="H7506" s="6" t="s">
        <v>10112</v>
      </c>
      <c r="I7506">
        <f t="shared" si="234"/>
        <v>1</v>
      </c>
      <c r="J7506" t="str">
        <f t="shared" si="235"/>
        <v>Incomplete</v>
      </c>
      <c r="K7506">
        <f>COUNTIFS(RawData[Item], B7506,RawData[Quantity],C7506,RawData[Price Per Unit],D7506,RawData[Total Spent],E7506,RawData[Payment Method],F7506,RawData[Location],G7506,RawData[Transaction Date],H7506)</f>
        <v>3</v>
      </c>
      <c r="L7506"/>
    </row>
    <row r="7507" spans="1:12" x14ac:dyDescent="0.3">
      <c r="A7507" t="s">
        <v>7513</v>
      </c>
      <c r="B7507" t="s">
        <v>10011</v>
      </c>
      <c r="C7507">
        <v>2</v>
      </c>
      <c r="D7507">
        <v>5</v>
      </c>
      <c r="E7507">
        <v>10</v>
      </c>
      <c r="F7507" t="s">
        <v>10020</v>
      </c>
      <c r="G7507" t="s">
        <v>10021</v>
      </c>
      <c r="H7507" s="6">
        <v>45117</v>
      </c>
      <c r="I7507">
        <f t="shared" si="234"/>
        <v>0</v>
      </c>
      <c r="J7507" t="str">
        <f t="shared" si="235"/>
        <v>Complete</v>
      </c>
      <c r="K7507">
        <f>COUNTIFS(RawData[Item], B7507,RawData[Quantity],C7507,RawData[Price Per Unit],D7507,RawData[Total Spent],E7507,RawData[Payment Method],F7507,RawData[Location],G7507,RawData[Transaction Date],H7507)</f>
        <v>1</v>
      </c>
      <c r="L7507"/>
    </row>
    <row r="7508" spans="1:12" x14ac:dyDescent="0.3">
      <c r="A7508" t="s">
        <v>7514</v>
      </c>
      <c r="B7508" t="s">
        <v>10008</v>
      </c>
      <c r="C7508">
        <v>2</v>
      </c>
      <c r="D7508">
        <v>2</v>
      </c>
      <c r="E7508">
        <v>4</v>
      </c>
      <c r="F7508" t="s">
        <v>10020</v>
      </c>
      <c r="G7508" t="s">
        <v>10103</v>
      </c>
      <c r="H7508" s="6">
        <v>45021</v>
      </c>
      <c r="I7508">
        <f t="shared" si="234"/>
        <v>1</v>
      </c>
      <c r="J7508" t="str">
        <f t="shared" si="235"/>
        <v>Complete</v>
      </c>
      <c r="K7508">
        <f>COUNTIFS(RawData[Item], B7508,RawData[Quantity],C7508,RawData[Price Per Unit],D7508,RawData[Total Spent],E7508,RawData[Payment Method],F7508,RawData[Location],G7508,RawData[Transaction Date],H7508)</f>
        <v>1</v>
      </c>
      <c r="L7508"/>
    </row>
    <row r="7509" spans="1:12" x14ac:dyDescent="0.3">
      <c r="A7509" t="s">
        <v>7515</v>
      </c>
      <c r="B7509" t="s">
        <v>10011</v>
      </c>
      <c r="C7509">
        <v>4</v>
      </c>
      <c r="D7509">
        <v>5</v>
      </c>
      <c r="E7509">
        <v>20</v>
      </c>
      <c r="F7509" t="s">
        <v>10019</v>
      </c>
      <c r="G7509" t="s">
        <v>10069</v>
      </c>
      <c r="H7509" s="6">
        <v>45286</v>
      </c>
      <c r="I7509">
        <f t="shared" si="234"/>
        <v>0</v>
      </c>
      <c r="J7509" t="str">
        <f t="shared" si="235"/>
        <v>Complete</v>
      </c>
      <c r="K7509">
        <f>COUNTIFS(RawData[Item], B7509,RawData[Quantity],C7509,RawData[Price Per Unit],D7509,RawData[Total Spent],E7509,RawData[Payment Method],F7509,RawData[Location],G7509,RawData[Transaction Date],H7509)</f>
        <v>1</v>
      </c>
      <c r="L7509"/>
    </row>
    <row r="7510" spans="1:12" x14ac:dyDescent="0.3">
      <c r="A7510" t="s">
        <v>7516</v>
      </c>
      <c r="B7510" t="s">
        <v>10012</v>
      </c>
      <c r="C7510">
        <v>2</v>
      </c>
      <c r="D7510">
        <v>4</v>
      </c>
      <c r="E7510">
        <v>8</v>
      </c>
      <c r="F7510" t="s">
        <v>10018</v>
      </c>
      <c r="G7510" t="s">
        <v>10069</v>
      </c>
      <c r="H7510" s="6">
        <v>45263</v>
      </c>
      <c r="I7510">
        <f t="shared" si="234"/>
        <v>0</v>
      </c>
      <c r="J7510" t="str">
        <f t="shared" si="235"/>
        <v>Complete</v>
      </c>
      <c r="K7510">
        <f>COUNTIFS(RawData[Item], B7510,RawData[Quantity],C7510,RawData[Price Per Unit],D7510,RawData[Total Spent],E7510,RawData[Payment Method],F7510,RawData[Location],G7510,RawData[Transaction Date],H7510)</f>
        <v>1</v>
      </c>
      <c r="L7510"/>
    </row>
    <row r="7511" spans="1:12" x14ac:dyDescent="0.3">
      <c r="A7511" t="s">
        <v>7517</v>
      </c>
      <c r="B7511" t="s">
        <v>10017</v>
      </c>
      <c r="C7511">
        <v>5</v>
      </c>
      <c r="D7511">
        <v>1.5</v>
      </c>
      <c r="E7511">
        <v>7.5</v>
      </c>
      <c r="F7511" t="s">
        <v>10018</v>
      </c>
      <c r="G7511" t="s">
        <v>10102</v>
      </c>
      <c r="H7511" s="6">
        <v>44969</v>
      </c>
      <c r="I7511">
        <f t="shared" si="234"/>
        <v>0</v>
      </c>
      <c r="J7511" t="str">
        <f t="shared" si="235"/>
        <v>Complete</v>
      </c>
      <c r="K7511">
        <f>COUNTIFS(RawData[Item], B7511,RawData[Quantity],C7511,RawData[Price Per Unit],D7511,RawData[Total Spent],E7511,RawData[Payment Method],F7511,RawData[Location],G7511,RawData[Transaction Date],H7511)</f>
        <v>1</v>
      </c>
      <c r="L7511"/>
    </row>
    <row r="7512" spans="1:12" x14ac:dyDescent="0.3">
      <c r="A7512" t="s">
        <v>7518</v>
      </c>
      <c r="B7512" t="s">
        <v>10011</v>
      </c>
      <c r="C7512">
        <v>3</v>
      </c>
      <c r="D7512">
        <v>5</v>
      </c>
      <c r="E7512">
        <v>15</v>
      </c>
      <c r="F7512" t="s">
        <v>10020</v>
      </c>
      <c r="G7512" t="s">
        <v>10021</v>
      </c>
      <c r="H7512" s="6">
        <v>45266</v>
      </c>
      <c r="I7512">
        <f t="shared" si="234"/>
        <v>0</v>
      </c>
      <c r="J7512" t="str">
        <f t="shared" si="235"/>
        <v>Complete</v>
      </c>
      <c r="K7512">
        <f>COUNTIFS(RawData[Item], B7512,RawData[Quantity],C7512,RawData[Price Per Unit],D7512,RawData[Total Spent],E7512,RawData[Payment Method],F7512,RawData[Location],G7512,RawData[Transaction Date],H7512)</f>
        <v>1</v>
      </c>
      <c r="L7512"/>
    </row>
    <row r="7513" spans="1:12" x14ac:dyDescent="0.3">
      <c r="A7513" t="s">
        <v>7519</v>
      </c>
      <c r="B7513" t="s">
        <v>10011</v>
      </c>
      <c r="C7513">
        <v>1</v>
      </c>
      <c r="D7513">
        <v>5</v>
      </c>
      <c r="E7513">
        <v>5</v>
      </c>
      <c r="F7513" t="s">
        <v>10018</v>
      </c>
      <c r="G7513" t="s">
        <v>10103</v>
      </c>
      <c r="H7513" s="6">
        <v>44944</v>
      </c>
      <c r="I7513">
        <f t="shared" si="234"/>
        <v>1</v>
      </c>
      <c r="J7513" t="str">
        <f t="shared" si="235"/>
        <v>Complete</v>
      </c>
      <c r="K7513">
        <f>COUNTIFS(RawData[Item], B7513,RawData[Quantity],C7513,RawData[Price Per Unit],D7513,RawData[Total Spent],E7513,RawData[Payment Method],F7513,RawData[Location],G7513,RawData[Transaction Date],H7513)</f>
        <v>1</v>
      </c>
      <c r="L7513"/>
    </row>
    <row r="7514" spans="1:12" x14ac:dyDescent="0.3">
      <c r="A7514" t="s">
        <v>7520</v>
      </c>
      <c r="B7514" t="s">
        <v>10016</v>
      </c>
      <c r="C7514">
        <v>4</v>
      </c>
      <c r="D7514">
        <v>3</v>
      </c>
      <c r="E7514">
        <v>12</v>
      </c>
      <c r="F7514" t="s">
        <v>10018</v>
      </c>
      <c r="G7514" t="s">
        <v>10102</v>
      </c>
      <c r="H7514" s="6">
        <v>45281</v>
      </c>
      <c r="I7514">
        <f t="shared" si="234"/>
        <v>0</v>
      </c>
      <c r="J7514" t="str">
        <f t="shared" si="235"/>
        <v>Complete</v>
      </c>
      <c r="K7514">
        <f>COUNTIFS(RawData[Item], B7514,RawData[Quantity],C7514,RawData[Price Per Unit],D7514,RawData[Total Spent],E7514,RawData[Payment Method],F7514,RawData[Location],G7514,RawData[Transaction Date],H7514)</f>
        <v>1</v>
      </c>
      <c r="L7514"/>
    </row>
    <row r="7515" spans="1:12" x14ac:dyDescent="0.3">
      <c r="A7515" t="s">
        <v>7521</v>
      </c>
      <c r="B7515" t="s">
        <v>10011</v>
      </c>
      <c r="C7515">
        <v>2</v>
      </c>
      <c r="D7515">
        <v>5</v>
      </c>
      <c r="E7515">
        <v>10</v>
      </c>
      <c r="F7515" t="s">
        <v>10019</v>
      </c>
      <c r="G7515" t="s">
        <v>10102</v>
      </c>
      <c r="H7515" s="6">
        <v>44931</v>
      </c>
      <c r="I7515">
        <f t="shared" si="234"/>
        <v>0</v>
      </c>
      <c r="J7515" t="str">
        <f t="shared" si="235"/>
        <v>Complete</v>
      </c>
      <c r="K7515">
        <f>COUNTIFS(RawData[Item], B7515,RawData[Quantity],C7515,RawData[Price Per Unit],D7515,RawData[Total Spent],E7515,RawData[Payment Method],F7515,RawData[Location],G7515,RawData[Transaction Date],H7515)</f>
        <v>1</v>
      </c>
      <c r="L7515"/>
    </row>
    <row r="7516" spans="1:12" x14ac:dyDescent="0.3">
      <c r="A7516" t="s">
        <v>7522</v>
      </c>
      <c r="B7516" t="s">
        <v>10014</v>
      </c>
      <c r="C7516">
        <v>4</v>
      </c>
      <c r="D7516">
        <v>4</v>
      </c>
      <c r="E7516">
        <v>16</v>
      </c>
      <c r="F7516" t="s">
        <v>10019</v>
      </c>
      <c r="G7516" t="s">
        <v>10102</v>
      </c>
      <c r="H7516" s="6">
        <v>45014</v>
      </c>
      <c r="I7516">
        <f t="shared" si="234"/>
        <v>0</v>
      </c>
      <c r="J7516" t="str">
        <f t="shared" si="235"/>
        <v>Complete</v>
      </c>
      <c r="K7516">
        <f>COUNTIFS(RawData[Item], B7516,RawData[Quantity],C7516,RawData[Price Per Unit],D7516,RawData[Total Spent],E7516,RawData[Payment Method],F7516,RawData[Location],G7516,RawData[Transaction Date],H7516)</f>
        <v>1</v>
      </c>
      <c r="L7516"/>
    </row>
    <row r="7517" spans="1:12" x14ac:dyDescent="0.3">
      <c r="A7517" t="s">
        <v>7523</v>
      </c>
      <c r="B7517" t="s">
        <v>10016</v>
      </c>
      <c r="C7517">
        <v>5</v>
      </c>
      <c r="D7517">
        <v>3</v>
      </c>
      <c r="E7517" t="s">
        <v>10013</v>
      </c>
      <c r="F7517" t="s">
        <v>10069</v>
      </c>
      <c r="G7517" t="s">
        <v>10102</v>
      </c>
      <c r="H7517" s="6" t="s">
        <v>10112</v>
      </c>
      <c r="I7517">
        <f t="shared" si="234"/>
        <v>2</v>
      </c>
      <c r="J7517" t="str">
        <f t="shared" si="235"/>
        <v>Incomplete</v>
      </c>
      <c r="K7517">
        <f>COUNTIFS(RawData[Item], B7517,RawData[Quantity],C7517,RawData[Price Per Unit],D7517,RawData[Total Spent],E7517,RawData[Payment Method],F7517,RawData[Location],G7517,RawData[Transaction Date],H7517)</f>
        <v>1</v>
      </c>
      <c r="L7517"/>
    </row>
    <row r="7518" spans="1:12" x14ac:dyDescent="0.3">
      <c r="A7518" t="s">
        <v>7524</v>
      </c>
      <c r="B7518" t="s">
        <v>10014</v>
      </c>
      <c r="C7518">
        <v>2</v>
      </c>
      <c r="D7518">
        <v>4</v>
      </c>
      <c r="E7518">
        <v>8</v>
      </c>
      <c r="F7518" t="s">
        <v>10018</v>
      </c>
      <c r="G7518" t="s">
        <v>10102</v>
      </c>
      <c r="H7518" s="6">
        <v>45156</v>
      </c>
      <c r="I7518">
        <f t="shared" si="234"/>
        <v>0</v>
      </c>
      <c r="J7518" t="str">
        <f t="shared" si="235"/>
        <v>Complete</v>
      </c>
      <c r="K7518">
        <f>COUNTIFS(RawData[Item], B7518,RawData[Quantity],C7518,RawData[Price Per Unit],D7518,RawData[Total Spent],E7518,RawData[Payment Method],F7518,RawData[Location],G7518,RawData[Transaction Date],H7518)</f>
        <v>1</v>
      </c>
      <c r="L7518"/>
    </row>
    <row r="7519" spans="1:12" x14ac:dyDescent="0.3">
      <c r="A7519" t="s">
        <v>7525</v>
      </c>
      <c r="B7519" t="s">
        <v>10012</v>
      </c>
      <c r="C7519">
        <v>2</v>
      </c>
      <c r="D7519">
        <v>4</v>
      </c>
      <c r="E7519" t="s">
        <v>10013</v>
      </c>
      <c r="F7519" t="s">
        <v>10020</v>
      </c>
      <c r="G7519" t="s">
        <v>10102</v>
      </c>
      <c r="H7519" s="6">
        <v>45214</v>
      </c>
      <c r="I7519">
        <f t="shared" si="234"/>
        <v>1</v>
      </c>
      <c r="J7519" t="str">
        <f t="shared" si="235"/>
        <v>Complete</v>
      </c>
      <c r="K7519">
        <f>COUNTIFS(RawData[Item], B7519,RawData[Quantity],C7519,RawData[Price Per Unit],D7519,RawData[Total Spent],E7519,RawData[Payment Method],F7519,RawData[Location],G7519,RawData[Transaction Date],H7519)</f>
        <v>1</v>
      </c>
      <c r="L7519"/>
    </row>
    <row r="7520" spans="1:12" x14ac:dyDescent="0.3">
      <c r="A7520" t="s">
        <v>7526</v>
      </c>
      <c r="B7520" t="s">
        <v>10014</v>
      </c>
      <c r="C7520" t="s">
        <v>10013</v>
      </c>
      <c r="D7520">
        <v>4</v>
      </c>
      <c r="E7520">
        <v>20</v>
      </c>
      <c r="F7520" t="s">
        <v>10069</v>
      </c>
      <c r="G7520" t="s">
        <v>10102</v>
      </c>
      <c r="H7520" s="6">
        <v>45062</v>
      </c>
      <c r="I7520">
        <f t="shared" si="234"/>
        <v>1</v>
      </c>
      <c r="J7520" t="str">
        <f t="shared" si="235"/>
        <v>Complete</v>
      </c>
      <c r="K7520">
        <f>COUNTIFS(RawData[Item], B7520,RawData[Quantity],C7520,RawData[Price Per Unit],D7520,RawData[Total Spent],E7520,RawData[Payment Method],F7520,RawData[Location],G7520,RawData[Transaction Date],H7520)</f>
        <v>1</v>
      </c>
      <c r="L7520"/>
    </row>
    <row r="7521" spans="1:12" x14ac:dyDescent="0.3">
      <c r="A7521" t="s">
        <v>7527</v>
      </c>
      <c r="B7521" t="s">
        <v>10010</v>
      </c>
      <c r="C7521">
        <v>2</v>
      </c>
      <c r="D7521">
        <v>1</v>
      </c>
      <c r="E7521">
        <v>2</v>
      </c>
      <c r="F7521" t="s">
        <v>10019</v>
      </c>
      <c r="G7521" t="s">
        <v>10021</v>
      </c>
      <c r="H7521" s="6">
        <v>44996</v>
      </c>
      <c r="I7521">
        <f t="shared" si="234"/>
        <v>0</v>
      </c>
      <c r="J7521" t="str">
        <f t="shared" si="235"/>
        <v>Complete</v>
      </c>
      <c r="K7521">
        <f>COUNTIFS(RawData[Item], B7521,RawData[Quantity],C7521,RawData[Price Per Unit],D7521,RawData[Total Spent],E7521,RawData[Payment Method],F7521,RawData[Location],G7521,RawData[Transaction Date],H7521)</f>
        <v>2</v>
      </c>
      <c r="L7521"/>
    </row>
    <row r="7522" spans="1:12" x14ac:dyDescent="0.3">
      <c r="A7522" t="s">
        <v>7528</v>
      </c>
      <c r="B7522" t="s">
        <v>10012</v>
      </c>
      <c r="C7522">
        <v>2</v>
      </c>
      <c r="D7522">
        <v>4</v>
      </c>
      <c r="E7522">
        <v>8</v>
      </c>
      <c r="F7522" t="s">
        <v>10020</v>
      </c>
      <c r="G7522" t="s">
        <v>10021</v>
      </c>
      <c r="H7522" s="6">
        <v>45156</v>
      </c>
      <c r="I7522">
        <f t="shared" si="234"/>
        <v>0</v>
      </c>
      <c r="J7522" t="str">
        <f t="shared" si="235"/>
        <v>Complete</v>
      </c>
      <c r="K7522">
        <f>COUNTIFS(RawData[Item], B7522,RawData[Quantity],C7522,RawData[Price Per Unit],D7522,RawData[Total Spent],E7522,RawData[Payment Method],F7522,RawData[Location],G7522,RawData[Transaction Date],H7522)</f>
        <v>1</v>
      </c>
      <c r="L7522"/>
    </row>
    <row r="7523" spans="1:12" x14ac:dyDescent="0.3">
      <c r="A7523" t="s">
        <v>7529</v>
      </c>
      <c r="B7523" t="s">
        <v>10010</v>
      </c>
      <c r="C7523">
        <v>4</v>
      </c>
      <c r="D7523">
        <v>1</v>
      </c>
      <c r="E7523">
        <v>4</v>
      </c>
      <c r="F7523" t="s">
        <v>10104</v>
      </c>
      <c r="G7523" t="s">
        <v>10102</v>
      </c>
      <c r="H7523" s="6">
        <v>44965</v>
      </c>
      <c r="I7523">
        <f t="shared" si="234"/>
        <v>1</v>
      </c>
      <c r="J7523" t="str">
        <f t="shared" si="235"/>
        <v>Complete</v>
      </c>
      <c r="K7523">
        <f>COUNTIFS(RawData[Item], B7523,RawData[Quantity],C7523,RawData[Price Per Unit],D7523,RawData[Total Spent],E7523,RawData[Payment Method],F7523,RawData[Location],G7523,RawData[Transaction Date],H7523)</f>
        <v>1</v>
      </c>
      <c r="L7523"/>
    </row>
    <row r="7524" spans="1:12" x14ac:dyDescent="0.3">
      <c r="A7524" t="s">
        <v>7530</v>
      </c>
      <c r="B7524" t="s">
        <v>10014</v>
      </c>
      <c r="C7524">
        <v>4</v>
      </c>
      <c r="D7524">
        <v>4</v>
      </c>
      <c r="E7524">
        <v>16</v>
      </c>
      <c r="F7524" t="s">
        <v>10019</v>
      </c>
      <c r="G7524" t="s">
        <v>10069</v>
      </c>
      <c r="H7524" s="6">
        <v>45250</v>
      </c>
      <c r="I7524">
        <f t="shared" si="234"/>
        <v>0</v>
      </c>
      <c r="J7524" t="str">
        <f t="shared" si="235"/>
        <v>Complete</v>
      </c>
      <c r="K7524">
        <f>COUNTIFS(RawData[Item], B7524,RawData[Quantity],C7524,RawData[Price Per Unit],D7524,RawData[Total Spent],E7524,RawData[Payment Method],F7524,RawData[Location],G7524,RawData[Transaction Date],H7524)</f>
        <v>1</v>
      </c>
      <c r="L7524"/>
    </row>
    <row r="7525" spans="1:12" x14ac:dyDescent="0.3">
      <c r="A7525" t="s">
        <v>7531</v>
      </c>
      <c r="B7525" t="s">
        <v>10014</v>
      </c>
      <c r="C7525">
        <v>4</v>
      </c>
      <c r="D7525">
        <v>4</v>
      </c>
      <c r="E7525">
        <v>16</v>
      </c>
      <c r="F7525" t="s">
        <v>10069</v>
      </c>
      <c r="G7525" t="s">
        <v>10104</v>
      </c>
      <c r="H7525" s="6">
        <v>45144</v>
      </c>
      <c r="I7525">
        <f t="shared" si="234"/>
        <v>1</v>
      </c>
      <c r="J7525" t="str">
        <f t="shared" si="235"/>
        <v>Complete</v>
      </c>
      <c r="K7525">
        <f>COUNTIFS(RawData[Item], B7525,RawData[Quantity],C7525,RawData[Price Per Unit],D7525,RawData[Total Spent],E7525,RawData[Payment Method],F7525,RawData[Location],G7525,RawData[Transaction Date],H7525)</f>
        <v>1</v>
      </c>
      <c r="L7525"/>
    </row>
    <row r="7526" spans="1:12" x14ac:dyDescent="0.3">
      <c r="A7526" t="s">
        <v>7532</v>
      </c>
      <c r="B7526" t="s">
        <v>10009</v>
      </c>
      <c r="C7526">
        <v>4</v>
      </c>
      <c r="D7526">
        <v>3</v>
      </c>
      <c r="E7526">
        <v>12</v>
      </c>
      <c r="F7526" t="s">
        <v>10069</v>
      </c>
      <c r="G7526" t="s">
        <v>10104</v>
      </c>
      <c r="H7526" s="6">
        <v>44975</v>
      </c>
      <c r="I7526">
        <f t="shared" si="234"/>
        <v>1</v>
      </c>
      <c r="J7526" t="str">
        <f t="shared" si="235"/>
        <v>Complete</v>
      </c>
      <c r="K7526">
        <f>COUNTIFS(RawData[Item], B7526,RawData[Quantity],C7526,RawData[Price Per Unit],D7526,RawData[Total Spent],E7526,RawData[Payment Method],F7526,RawData[Location],G7526,RawData[Transaction Date],H7526)</f>
        <v>1</v>
      </c>
      <c r="L7526"/>
    </row>
    <row r="7527" spans="1:12" x14ac:dyDescent="0.3">
      <c r="A7527" t="s">
        <v>7533</v>
      </c>
      <c r="B7527" t="s">
        <v>10010</v>
      </c>
      <c r="C7527">
        <v>5</v>
      </c>
      <c r="D7527">
        <v>1</v>
      </c>
      <c r="E7527">
        <v>5</v>
      </c>
      <c r="F7527" t="s">
        <v>10018</v>
      </c>
      <c r="G7527" t="s">
        <v>10021</v>
      </c>
      <c r="H7527" s="6">
        <v>45245</v>
      </c>
      <c r="I7527">
        <f t="shared" si="234"/>
        <v>0</v>
      </c>
      <c r="J7527" t="str">
        <f t="shared" si="235"/>
        <v>Complete</v>
      </c>
      <c r="K7527">
        <f>COUNTIFS(RawData[Item], B7527,RawData[Quantity],C7527,RawData[Price Per Unit],D7527,RawData[Total Spent],E7527,RawData[Payment Method],F7527,RawData[Location],G7527,RawData[Transaction Date],H7527)</f>
        <v>1</v>
      </c>
      <c r="L7527"/>
    </row>
    <row r="7528" spans="1:12" x14ac:dyDescent="0.3">
      <c r="A7528" t="s">
        <v>7534</v>
      </c>
      <c r="B7528" t="s">
        <v>10012</v>
      </c>
      <c r="C7528">
        <v>5</v>
      </c>
      <c r="D7528">
        <v>4</v>
      </c>
      <c r="E7528">
        <v>20</v>
      </c>
      <c r="F7528" t="s">
        <v>10018</v>
      </c>
      <c r="G7528" t="s">
        <v>10102</v>
      </c>
      <c r="H7528" s="6">
        <v>44930</v>
      </c>
      <c r="I7528">
        <f t="shared" si="234"/>
        <v>0</v>
      </c>
      <c r="J7528" t="str">
        <f t="shared" si="235"/>
        <v>Complete</v>
      </c>
      <c r="K7528">
        <f>COUNTIFS(RawData[Item], B7528,RawData[Quantity],C7528,RawData[Price Per Unit],D7528,RawData[Total Spent],E7528,RawData[Payment Method],F7528,RawData[Location],G7528,RawData[Transaction Date],H7528)</f>
        <v>1</v>
      </c>
      <c r="L7528"/>
    </row>
    <row r="7529" spans="1:12" x14ac:dyDescent="0.3">
      <c r="A7529" t="s">
        <v>7535</v>
      </c>
      <c r="B7529" t="s">
        <v>10012</v>
      </c>
      <c r="C7529">
        <v>4</v>
      </c>
      <c r="D7529">
        <v>4</v>
      </c>
      <c r="E7529">
        <v>16</v>
      </c>
      <c r="F7529" t="s">
        <v>10018</v>
      </c>
      <c r="G7529" t="s">
        <v>10021</v>
      </c>
      <c r="H7529" s="6">
        <v>45155</v>
      </c>
      <c r="I7529">
        <f t="shared" si="234"/>
        <v>0</v>
      </c>
      <c r="J7529" t="str">
        <f t="shared" si="235"/>
        <v>Complete</v>
      </c>
      <c r="K7529">
        <f>COUNTIFS(RawData[Item], B7529,RawData[Quantity],C7529,RawData[Price Per Unit],D7529,RawData[Total Spent],E7529,RawData[Payment Method],F7529,RawData[Location],G7529,RawData[Transaction Date],H7529)</f>
        <v>1</v>
      </c>
      <c r="L7529"/>
    </row>
    <row r="7530" spans="1:12" x14ac:dyDescent="0.3">
      <c r="A7530" t="s">
        <v>7536</v>
      </c>
      <c r="B7530" t="s">
        <v>10010</v>
      </c>
      <c r="C7530">
        <v>3</v>
      </c>
      <c r="D7530">
        <v>1</v>
      </c>
      <c r="E7530">
        <v>3</v>
      </c>
      <c r="F7530" t="s">
        <v>10020</v>
      </c>
      <c r="G7530" t="s">
        <v>10102</v>
      </c>
      <c r="H7530" s="6">
        <v>45214</v>
      </c>
      <c r="I7530">
        <f t="shared" si="234"/>
        <v>0</v>
      </c>
      <c r="J7530" t="str">
        <f t="shared" si="235"/>
        <v>Complete</v>
      </c>
      <c r="K7530">
        <f>COUNTIFS(RawData[Item], B7530,RawData[Quantity],C7530,RawData[Price Per Unit],D7530,RawData[Total Spent],E7530,RawData[Payment Method],F7530,RawData[Location],G7530,RawData[Transaction Date],H7530)</f>
        <v>1</v>
      </c>
      <c r="L7530"/>
    </row>
    <row r="7531" spans="1:12" x14ac:dyDescent="0.3">
      <c r="A7531" t="s">
        <v>7537</v>
      </c>
      <c r="B7531" t="s">
        <v>10011</v>
      </c>
      <c r="C7531">
        <v>1</v>
      </c>
      <c r="D7531">
        <v>5</v>
      </c>
      <c r="E7531">
        <v>5</v>
      </c>
      <c r="F7531" t="s">
        <v>10018</v>
      </c>
      <c r="G7531" t="s">
        <v>10069</v>
      </c>
      <c r="H7531" s="6">
        <v>45135</v>
      </c>
      <c r="I7531">
        <f t="shared" si="234"/>
        <v>0</v>
      </c>
      <c r="J7531" t="str">
        <f t="shared" si="235"/>
        <v>Complete</v>
      </c>
      <c r="K7531">
        <f>COUNTIFS(RawData[Item], B7531,RawData[Quantity],C7531,RawData[Price Per Unit],D7531,RawData[Total Spent],E7531,RawData[Payment Method],F7531,RawData[Location],G7531,RawData[Transaction Date],H7531)</f>
        <v>1</v>
      </c>
      <c r="L7531"/>
    </row>
    <row r="7532" spans="1:12" x14ac:dyDescent="0.3">
      <c r="A7532" t="s">
        <v>7538</v>
      </c>
      <c r="B7532" t="s">
        <v>10010</v>
      </c>
      <c r="C7532">
        <v>4</v>
      </c>
      <c r="D7532">
        <v>1</v>
      </c>
      <c r="E7532">
        <v>4</v>
      </c>
      <c r="F7532" t="s">
        <v>10103</v>
      </c>
      <c r="G7532" t="s">
        <v>10069</v>
      </c>
      <c r="H7532" s="6">
        <v>45192</v>
      </c>
      <c r="I7532">
        <f t="shared" si="234"/>
        <v>1</v>
      </c>
      <c r="J7532" t="str">
        <f t="shared" si="235"/>
        <v>Complete</v>
      </c>
      <c r="K7532">
        <f>COUNTIFS(RawData[Item], B7532,RawData[Quantity],C7532,RawData[Price Per Unit],D7532,RawData[Total Spent],E7532,RawData[Payment Method],F7532,RawData[Location],G7532,RawData[Transaction Date],H7532)</f>
        <v>1</v>
      </c>
      <c r="L7532"/>
    </row>
    <row r="7533" spans="1:12" x14ac:dyDescent="0.3">
      <c r="A7533" t="s">
        <v>7539</v>
      </c>
      <c r="B7533" t="s">
        <v>10012</v>
      </c>
      <c r="C7533">
        <v>4</v>
      </c>
      <c r="D7533">
        <v>4</v>
      </c>
      <c r="E7533">
        <v>16</v>
      </c>
      <c r="F7533" t="s">
        <v>10069</v>
      </c>
      <c r="G7533" t="s">
        <v>10021</v>
      </c>
      <c r="H7533" s="6">
        <v>45033</v>
      </c>
      <c r="I7533">
        <f t="shared" si="234"/>
        <v>0</v>
      </c>
      <c r="J7533" t="str">
        <f t="shared" si="235"/>
        <v>Complete</v>
      </c>
      <c r="K7533">
        <f>COUNTIFS(RawData[Item], B7533,RawData[Quantity],C7533,RawData[Price Per Unit],D7533,RawData[Total Spent],E7533,RawData[Payment Method],F7533,RawData[Location],G7533,RawData[Transaction Date],H7533)</f>
        <v>1</v>
      </c>
      <c r="L7533"/>
    </row>
    <row r="7534" spans="1:12" x14ac:dyDescent="0.3">
      <c r="A7534" t="s">
        <v>7540</v>
      </c>
      <c r="B7534" t="s">
        <v>10012</v>
      </c>
      <c r="C7534">
        <v>3</v>
      </c>
      <c r="D7534">
        <v>4</v>
      </c>
      <c r="E7534">
        <v>12</v>
      </c>
      <c r="F7534" t="s">
        <v>10103</v>
      </c>
      <c r="G7534" t="s">
        <v>10069</v>
      </c>
      <c r="H7534" s="6">
        <v>44943</v>
      </c>
      <c r="I7534">
        <f t="shared" si="234"/>
        <v>1</v>
      </c>
      <c r="J7534" t="str">
        <f t="shared" si="235"/>
        <v>Complete</v>
      </c>
      <c r="K7534">
        <f>COUNTIFS(RawData[Item], B7534,RawData[Quantity],C7534,RawData[Price Per Unit],D7534,RawData[Total Spent],E7534,RawData[Payment Method],F7534,RawData[Location],G7534,RawData[Transaction Date],H7534)</f>
        <v>1</v>
      </c>
      <c r="L7534"/>
    </row>
    <row r="7535" spans="1:12" x14ac:dyDescent="0.3">
      <c r="A7535" t="s">
        <v>7541</v>
      </c>
      <c r="B7535" t="s">
        <v>10011</v>
      </c>
      <c r="C7535">
        <v>5</v>
      </c>
      <c r="D7535">
        <v>5</v>
      </c>
      <c r="E7535">
        <v>25</v>
      </c>
      <c r="F7535" t="s">
        <v>10018</v>
      </c>
      <c r="G7535" t="s">
        <v>10021</v>
      </c>
      <c r="H7535" s="6">
        <v>44964</v>
      </c>
      <c r="I7535">
        <f t="shared" si="234"/>
        <v>0</v>
      </c>
      <c r="J7535" t="str">
        <f t="shared" si="235"/>
        <v>Complete</v>
      </c>
      <c r="K7535">
        <f>COUNTIFS(RawData[Item], B7535,RawData[Quantity],C7535,RawData[Price Per Unit],D7535,RawData[Total Spent],E7535,RawData[Payment Method],F7535,RawData[Location],G7535,RawData[Transaction Date],H7535)</f>
        <v>1</v>
      </c>
      <c r="L7535"/>
    </row>
    <row r="7536" spans="1:12" x14ac:dyDescent="0.3">
      <c r="A7536" t="s">
        <v>7542</v>
      </c>
      <c r="B7536" t="s">
        <v>10012</v>
      </c>
      <c r="C7536">
        <v>5</v>
      </c>
      <c r="D7536">
        <v>0</v>
      </c>
      <c r="E7536">
        <v>20</v>
      </c>
      <c r="F7536" t="s">
        <v>10020</v>
      </c>
      <c r="G7536" t="s">
        <v>10104</v>
      </c>
      <c r="H7536" s="6">
        <v>45269</v>
      </c>
      <c r="I7536">
        <f t="shared" si="234"/>
        <v>1</v>
      </c>
      <c r="J7536" t="str">
        <f t="shared" si="235"/>
        <v>Complete</v>
      </c>
      <c r="K7536">
        <f>COUNTIFS(RawData[Item], B7536,RawData[Quantity],C7536,RawData[Price Per Unit],D7536,RawData[Total Spent],E7536,RawData[Payment Method],F7536,RawData[Location],G7536,RawData[Transaction Date],H7536)</f>
        <v>1</v>
      </c>
      <c r="L7536"/>
    </row>
    <row r="7537" spans="1:12" x14ac:dyDescent="0.3">
      <c r="A7537" t="s">
        <v>7543</v>
      </c>
      <c r="B7537" t="s">
        <v>10014</v>
      </c>
      <c r="C7537">
        <v>1</v>
      </c>
      <c r="D7537">
        <v>4</v>
      </c>
      <c r="E7537">
        <v>4</v>
      </c>
      <c r="F7537" t="s">
        <v>10018</v>
      </c>
      <c r="G7537" t="s">
        <v>10102</v>
      </c>
      <c r="H7537" s="6">
        <v>45136</v>
      </c>
      <c r="I7537">
        <f t="shared" si="234"/>
        <v>0</v>
      </c>
      <c r="J7537" t="str">
        <f t="shared" si="235"/>
        <v>Complete</v>
      </c>
      <c r="K7537">
        <f>COUNTIFS(RawData[Item], B7537,RawData[Quantity],C7537,RawData[Price Per Unit],D7537,RawData[Total Spent],E7537,RawData[Payment Method],F7537,RawData[Location],G7537,RawData[Transaction Date],H7537)</f>
        <v>1</v>
      </c>
      <c r="L7537"/>
    </row>
    <row r="7538" spans="1:12" x14ac:dyDescent="0.3">
      <c r="A7538" t="s">
        <v>7544</v>
      </c>
      <c r="B7538" t="s">
        <v>10009</v>
      </c>
      <c r="C7538">
        <v>5</v>
      </c>
      <c r="D7538">
        <v>3</v>
      </c>
      <c r="E7538">
        <v>15</v>
      </c>
      <c r="F7538" t="s">
        <v>10104</v>
      </c>
      <c r="G7538" t="s">
        <v>10102</v>
      </c>
      <c r="H7538" s="6">
        <v>45031</v>
      </c>
      <c r="I7538">
        <f t="shared" si="234"/>
        <v>1</v>
      </c>
      <c r="J7538" t="str">
        <f t="shared" si="235"/>
        <v>Complete</v>
      </c>
      <c r="K7538">
        <f>COUNTIFS(RawData[Item], B7538,RawData[Quantity],C7538,RawData[Price Per Unit],D7538,RawData[Total Spent],E7538,RawData[Payment Method],F7538,RawData[Location],G7538,RawData[Transaction Date],H7538)</f>
        <v>1</v>
      </c>
      <c r="L7538"/>
    </row>
    <row r="7539" spans="1:12" x14ac:dyDescent="0.3">
      <c r="A7539" t="s">
        <v>7545</v>
      </c>
      <c r="B7539" t="s">
        <v>10016</v>
      </c>
      <c r="C7539">
        <v>1</v>
      </c>
      <c r="D7539">
        <v>3</v>
      </c>
      <c r="E7539">
        <v>3</v>
      </c>
      <c r="F7539" t="s">
        <v>10020</v>
      </c>
      <c r="G7539" t="s">
        <v>10069</v>
      </c>
      <c r="H7539" s="6">
        <v>44931</v>
      </c>
      <c r="I7539">
        <f t="shared" si="234"/>
        <v>0</v>
      </c>
      <c r="J7539" t="str">
        <f t="shared" si="235"/>
        <v>Complete</v>
      </c>
      <c r="K7539">
        <f>COUNTIFS(RawData[Item], B7539,RawData[Quantity],C7539,RawData[Price Per Unit],D7539,RawData[Total Spent],E7539,RawData[Payment Method],F7539,RawData[Location],G7539,RawData[Transaction Date],H7539)</f>
        <v>1</v>
      </c>
      <c r="L7539"/>
    </row>
    <row r="7540" spans="1:12" x14ac:dyDescent="0.3">
      <c r="A7540" t="s">
        <v>7546</v>
      </c>
      <c r="B7540" t="s">
        <v>10016</v>
      </c>
      <c r="C7540">
        <v>1</v>
      </c>
      <c r="D7540">
        <v>3</v>
      </c>
      <c r="E7540">
        <v>3</v>
      </c>
      <c r="F7540" t="s">
        <v>10019</v>
      </c>
      <c r="G7540" t="s">
        <v>10102</v>
      </c>
      <c r="H7540" s="6">
        <v>44962</v>
      </c>
      <c r="I7540">
        <f t="shared" si="234"/>
        <v>0</v>
      </c>
      <c r="J7540" t="str">
        <f t="shared" si="235"/>
        <v>Complete</v>
      </c>
      <c r="K7540">
        <f>COUNTIFS(RawData[Item], B7540,RawData[Quantity],C7540,RawData[Price Per Unit],D7540,RawData[Total Spent],E7540,RawData[Payment Method],F7540,RawData[Location],G7540,RawData[Transaction Date],H7540)</f>
        <v>1</v>
      </c>
      <c r="L7540"/>
    </row>
    <row r="7541" spans="1:12" x14ac:dyDescent="0.3">
      <c r="A7541" t="s">
        <v>7547</v>
      </c>
      <c r="B7541" t="s">
        <v>10016</v>
      </c>
      <c r="C7541">
        <v>4</v>
      </c>
      <c r="D7541">
        <v>3</v>
      </c>
      <c r="E7541">
        <v>12</v>
      </c>
      <c r="F7541" t="s">
        <v>10018</v>
      </c>
      <c r="G7541" t="s">
        <v>10069</v>
      </c>
      <c r="H7541" s="6">
        <v>45058</v>
      </c>
      <c r="I7541">
        <f t="shared" si="234"/>
        <v>0</v>
      </c>
      <c r="J7541" t="str">
        <f t="shared" si="235"/>
        <v>Complete</v>
      </c>
      <c r="K7541">
        <f>COUNTIFS(RawData[Item], B7541,RawData[Quantity],C7541,RawData[Price Per Unit],D7541,RawData[Total Spent],E7541,RawData[Payment Method],F7541,RawData[Location],G7541,RawData[Transaction Date],H7541)</f>
        <v>1</v>
      </c>
      <c r="L7541"/>
    </row>
    <row r="7542" spans="1:12" x14ac:dyDescent="0.3">
      <c r="A7542" t="s">
        <v>7548</v>
      </c>
      <c r="B7542" t="s">
        <v>10016</v>
      </c>
      <c r="C7542">
        <v>3</v>
      </c>
      <c r="D7542">
        <v>3</v>
      </c>
      <c r="E7542">
        <v>9</v>
      </c>
      <c r="F7542" t="s">
        <v>10020</v>
      </c>
      <c r="G7542" t="s">
        <v>10069</v>
      </c>
      <c r="H7542" s="6">
        <v>45228</v>
      </c>
      <c r="I7542">
        <f t="shared" si="234"/>
        <v>0</v>
      </c>
      <c r="J7542" t="str">
        <f t="shared" si="235"/>
        <v>Complete</v>
      </c>
      <c r="K7542">
        <f>COUNTIFS(RawData[Item], B7542,RawData[Quantity],C7542,RawData[Price Per Unit],D7542,RawData[Total Spent],E7542,RawData[Payment Method],F7542,RawData[Location],G7542,RawData[Transaction Date],H7542)</f>
        <v>1</v>
      </c>
      <c r="L7542"/>
    </row>
    <row r="7543" spans="1:12" x14ac:dyDescent="0.3">
      <c r="A7543" t="s">
        <v>7549</v>
      </c>
      <c r="B7543" t="s">
        <v>10011</v>
      </c>
      <c r="C7543">
        <v>3</v>
      </c>
      <c r="D7543">
        <v>5</v>
      </c>
      <c r="E7543">
        <v>15</v>
      </c>
      <c r="F7543" t="s">
        <v>10020</v>
      </c>
      <c r="G7543" t="s">
        <v>10102</v>
      </c>
      <c r="H7543" s="6">
        <v>45278</v>
      </c>
      <c r="I7543">
        <f t="shared" si="234"/>
        <v>0</v>
      </c>
      <c r="J7543" t="str">
        <f t="shared" si="235"/>
        <v>Complete</v>
      </c>
      <c r="K7543">
        <f>COUNTIFS(RawData[Item], B7543,RawData[Quantity],C7543,RawData[Price Per Unit],D7543,RawData[Total Spent],E7543,RawData[Payment Method],F7543,RawData[Location],G7543,RawData[Transaction Date],H7543)</f>
        <v>1</v>
      </c>
      <c r="L7543"/>
    </row>
    <row r="7544" spans="1:12" x14ac:dyDescent="0.3">
      <c r="A7544" t="s">
        <v>7550</v>
      </c>
      <c r="B7544" t="s">
        <v>10014</v>
      </c>
      <c r="C7544">
        <v>3</v>
      </c>
      <c r="D7544">
        <v>4</v>
      </c>
      <c r="E7544">
        <v>12</v>
      </c>
      <c r="F7544" t="s">
        <v>10069</v>
      </c>
      <c r="G7544" t="s">
        <v>10069</v>
      </c>
      <c r="H7544" s="6">
        <v>44939</v>
      </c>
      <c r="I7544">
        <f t="shared" si="234"/>
        <v>0</v>
      </c>
      <c r="J7544" t="str">
        <f t="shared" si="235"/>
        <v>Complete</v>
      </c>
      <c r="K7544">
        <f>COUNTIFS(RawData[Item], B7544,RawData[Quantity],C7544,RawData[Price Per Unit],D7544,RawData[Total Spent],E7544,RawData[Payment Method],F7544,RawData[Location],G7544,RawData[Transaction Date],H7544)</f>
        <v>1</v>
      </c>
      <c r="L7544"/>
    </row>
    <row r="7545" spans="1:12" x14ac:dyDescent="0.3">
      <c r="A7545" t="s">
        <v>7551</v>
      </c>
      <c r="B7545" t="s">
        <v>10017</v>
      </c>
      <c r="C7545">
        <v>1</v>
      </c>
      <c r="D7545">
        <v>1.5</v>
      </c>
      <c r="E7545">
        <v>0</v>
      </c>
      <c r="F7545" t="s">
        <v>10019</v>
      </c>
      <c r="G7545" t="s">
        <v>10069</v>
      </c>
      <c r="H7545" s="6">
        <v>45209</v>
      </c>
      <c r="I7545">
        <f t="shared" si="234"/>
        <v>0</v>
      </c>
      <c r="J7545" t="str">
        <f t="shared" si="235"/>
        <v>Complete</v>
      </c>
      <c r="K7545">
        <f>COUNTIFS(RawData[Item], B7545,RawData[Quantity],C7545,RawData[Price Per Unit],D7545,RawData[Total Spent],E7545,RawData[Payment Method],F7545,RawData[Location],G7545,RawData[Transaction Date],H7545)</f>
        <v>1</v>
      </c>
      <c r="L7545"/>
    </row>
    <row r="7546" spans="1:12" x14ac:dyDescent="0.3">
      <c r="A7546" t="s">
        <v>7552</v>
      </c>
      <c r="B7546" t="s">
        <v>10012</v>
      </c>
      <c r="C7546">
        <v>5</v>
      </c>
      <c r="D7546">
        <v>4</v>
      </c>
      <c r="E7546">
        <v>20</v>
      </c>
      <c r="F7546" t="s">
        <v>10069</v>
      </c>
      <c r="G7546" t="s">
        <v>10102</v>
      </c>
      <c r="H7546" s="6">
        <v>44993</v>
      </c>
      <c r="I7546">
        <f t="shared" si="234"/>
        <v>0</v>
      </c>
      <c r="J7546" t="str">
        <f t="shared" si="235"/>
        <v>Complete</v>
      </c>
      <c r="K7546">
        <f>COUNTIFS(RawData[Item], B7546,RawData[Quantity],C7546,RawData[Price Per Unit],D7546,RawData[Total Spent],E7546,RawData[Payment Method],F7546,RawData[Location],G7546,RawData[Transaction Date],H7546)</f>
        <v>1</v>
      </c>
      <c r="L7546"/>
    </row>
    <row r="7547" spans="1:12" x14ac:dyDescent="0.3">
      <c r="A7547" t="s">
        <v>7553</v>
      </c>
      <c r="B7547" t="s">
        <v>10009</v>
      </c>
      <c r="C7547">
        <v>5</v>
      </c>
      <c r="D7547">
        <v>3</v>
      </c>
      <c r="E7547">
        <v>15</v>
      </c>
      <c r="F7547" t="s">
        <v>10019</v>
      </c>
      <c r="G7547" t="s">
        <v>10021</v>
      </c>
      <c r="H7547" s="6" t="s">
        <v>10112</v>
      </c>
      <c r="I7547">
        <f t="shared" si="234"/>
        <v>1</v>
      </c>
      <c r="J7547" t="str">
        <f t="shared" si="235"/>
        <v>Incomplete</v>
      </c>
      <c r="K7547">
        <f>COUNTIFS(RawData[Item], B7547,RawData[Quantity],C7547,RawData[Price Per Unit],D7547,RawData[Total Spent],E7547,RawData[Payment Method],F7547,RawData[Location],G7547,RawData[Transaction Date],H7547)</f>
        <v>1</v>
      </c>
      <c r="L7547"/>
    </row>
    <row r="7548" spans="1:12" x14ac:dyDescent="0.3">
      <c r="A7548" t="s">
        <v>7554</v>
      </c>
      <c r="B7548" t="s">
        <v>10008</v>
      </c>
      <c r="C7548">
        <v>1</v>
      </c>
      <c r="D7548">
        <v>2</v>
      </c>
      <c r="E7548">
        <v>2</v>
      </c>
      <c r="F7548" t="s">
        <v>10069</v>
      </c>
      <c r="G7548" t="s">
        <v>10021</v>
      </c>
      <c r="H7548" s="6">
        <v>44990</v>
      </c>
      <c r="I7548">
        <f t="shared" si="234"/>
        <v>0</v>
      </c>
      <c r="J7548" t="str">
        <f t="shared" si="235"/>
        <v>Complete</v>
      </c>
      <c r="K7548">
        <f>COUNTIFS(RawData[Item], B7548,RawData[Quantity],C7548,RawData[Price Per Unit],D7548,RawData[Total Spent],E7548,RawData[Payment Method],F7548,RawData[Location],G7548,RawData[Transaction Date],H7548)</f>
        <v>1</v>
      </c>
      <c r="L7548"/>
    </row>
    <row r="7549" spans="1:12" x14ac:dyDescent="0.3">
      <c r="A7549" t="s">
        <v>7555</v>
      </c>
      <c r="B7549" t="s">
        <v>10014</v>
      </c>
      <c r="C7549">
        <v>5</v>
      </c>
      <c r="D7549">
        <v>4</v>
      </c>
      <c r="E7549" t="s">
        <v>10013</v>
      </c>
      <c r="F7549" t="s">
        <v>10020</v>
      </c>
      <c r="G7549" t="s">
        <v>10069</v>
      </c>
      <c r="H7549" s="6">
        <v>44985</v>
      </c>
      <c r="I7549">
        <f t="shared" si="234"/>
        <v>1</v>
      </c>
      <c r="J7549" t="str">
        <f t="shared" si="235"/>
        <v>Complete</v>
      </c>
      <c r="K7549">
        <f>COUNTIFS(RawData[Item], B7549,RawData[Quantity],C7549,RawData[Price Per Unit],D7549,RawData[Total Spent],E7549,RawData[Payment Method],F7549,RawData[Location],G7549,RawData[Transaction Date],H7549)</f>
        <v>1</v>
      </c>
      <c r="L7549"/>
    </row>
    <row r="7550" spans="1:12" x14ac:dyDescent="0.3">
      <c r="A7550" t="s">
        <v>7556</v>
      </c>
      <c r="B7550" t="s">
        <v>10017</v>
      </c>
      <c r="C7550">
        <v>5</v>
      </c>
      <c r="D7550">
        <v>1.5</v>
      </c>
      <c r="E7550">
        <v>7.5</v>
      </c>
      <c r="F7550" t="s">
        <v>10019</v>
      </c>
      <c r="G7550" t="s">
        <v>10069</v>
      </c>
      <c r="H7550" s="6">
        <v>45195</v>
      </c>
      <c r="I7550">
        <f t="shared" si="234"/>
        <v>0</v>
      </c>
      <c r="J7550" t="str">
        <f t="shared" si="235"/>
        <v>Complete</v>
      </c>
      <c r="K7550">
        <f>COUNTIFS(RawData[Item], B7550,RawData[Quantity],C7550,RawData[Price Per Unit],D7550,RawData[Total Spent],E7550,RawData[Payment Method],F7550,RawData[Location],G7550,RawData[Transaction Date],H7550)</f>
        <v>1</v>
      </c>
      <c r="L7550"/>
    </row>
    <row r="7551" spans="1:12" x14ac:dyDescent="0.3">
      <c r="A7551" t="s">
        <v>7557</v>
      </c>
      <c r="B7551" t="s">
        <v>10012</v>
      </c>
      <c r="C7551">
        <v>2</v>
      </c>
      <c r="D7551">
        <v>4</v>
      </c>
      <c r="E7551">
        <v>8</v>
      </c>
      <c r="F7551" t="s">
        <v>10020</v>
      </c>
      <c r="G7551" t="s">
        <v>10102</v>
      </c>
      <c r="H7551" s="6">
        <v>44954</v>
      </c>
      <c r="I7551">
        <f t="shared" si="234"/>
        <v>0</v>
      </c>
      <c r="J7551" t="str">
        <f t="shared" si="235"/>
        <v>Complete</v>
      </c>
      <c r="K7551">
        <f>COUNTIFS(RawData[Item], B7551,RawData[Quantity],C7551,RawData[Price Per Unit],D7551,RawData[Total Spent],E7551,RawData[Payment Method],F7551,RawData[Location],G7551,RawData[Transaction Date],H7551)</f>
        <v>1</v>
      </c>
      <c r="L7551"/>
    </row>
    <row r="7552" spans="1:12" x14ac:dyDescent="0.3">
      <c r="A7552" t="s">
        <v>7558</v>
      </c>
      <c r="B7552" t="s">
        <v>10016</v>
      </c>
      <c r="C7552">
        <v>3</v>
      </c>
      <c r="D7552">
        <v>3</v>
      </c>
      <c r="E7552">
        <v>9</v>
      </c>
      <c r="F7552" t="s">
        <v>10018</v>
      </c>
      <c r="G7552" t="s">
        <v>10069</v>
      </c>
      <c r="H7552" s="6">
        <v>45106</v>
      </c>
      <c r="I7552">
        <f t="shared" si="234"/>
        <v>0</v>
      </c>
      <c r="J7552" t="str">
        <f t="shared" si="235"/>
        <v>Complete</v>
      </c>
      <c r="K7552">
        <f>COUNTIFS(RawData[Item], B7552,RawData[Quantity],C7552,RawData[Price Per Unit],D7552,RawData[Total Spent],E7552,RawData[Payment Method],F7552,RawData[Location],G7552,RawData[Transaction Date],H7552)</f>
        <v>1</v>
      </c>
      <c r="L7552"/>
    </row>
    <row r="7553" spans="1:12" x14ac:dyDescent="0.3">
      <c r="A7553" t="s">
        <v>7559</v>
      </c>
      <c r="B7553" t="s">
        <v>10069</v>
      </c>
      <c r="C7553">
        <v>5</v>
      </c>
      <c r="D7553">
        <v>4</v>
      </c>
      <c r="E7553">
        <v>20</v>
      </c>
      <c r="F7553" t="s">
        <v>10018</v>
      </c>
      <c r="G7553" t="s">
        <v>10069</v>
      </c>
      <c r="H7553" s="6">
        <v>45160</v>
      </c>
      <c r="I7553">
        <f t="shared" si="234"/>
        <v>0</v>
      </c>
      <c r="J7553" t="str">
        <f t="shared" si="235"/>
        <v>Complete</v>
      </c>
      <c r="K7553">
        <f>COUNTIFS(RawData[Item], B7553,RawData[Quantity],C7553,RawData[Price Per Unit],D7553,RawData[Total Spent],E7553,RawData[Payment Method],F7553,RawData[Location],G7553,RawData[Transaction Date],H7553)</f>
        <v>1</v>
      </c>
      <c r="L7553"/>
    </row>
    <row r="7554" spans="1:12" x14ac:dyDescent="0.3">
      <c r="A7554" t="s">
        <v>7560</v>
      </c>
      <c r="B7554" t="s">
        <v>10012</v>
      </c>
      <c r="C7554">
        <v>3</v>
      </c>
      <c r="D7554">
        <v>4</v>
      </c>
      <c r="E7554">
        <v>12</v>
      </c>
      <c r="F7554" t="s">
        <v>10018</v>
      </c>
      <c r="G7554" t="s">
        <v>10021</v>
      </c>
      <c r="H7554" s="6">
        <v>45117</v>
      </c>
      <c r="I7554">
        <f t="shared" ref="I7554:I7617" si="236">(B7554="Unknown")+(B7554="Error")+(C7554="Unknown")+(C7554="Error")+(D7554="Unknown")+(D7554="Error")+(E7554="Unknown")+(E7554="Error")+(F7554="Unknown")+(F7554="Error")+(G7554="Unknown")+(G7554="Error")+(H7554="No Date")</f>
        <v>0</v>
      </c>
      <c r="J7554" t="str">
        <f t="shared" ref="J7554:J7617" si="237">IF((H7554="No Date"),"Incomplete","Complete")</f>
        <v>Complete</v>
      </c>
      <c r="K7554">
        <f>COUNTIFS(RawData[Item], B7554,RawData[Quantity],C7554,RawData[Price Per Unit],D7554,RawData[Total Spent],E7554,RawData[Payment Method],F7554,RawData[Location],G7554,RawData[Transaction Date],H7554)</f>
        <v>1</v>
      </c>
      <c r="L7554"/>
    </row>
    <row r="7555" spans="1:12" x14ac:dyDescent="0.3">
      <c r="A7555" t="s">
        <v>7561</v>
      </c>
      <c r="B7555" t="s">
        <v>10008</v>
      </c>
      <c r="C7555">
        <v>5</v>
      </c>
      <c r="D7555">
        <v>2</v>
      </c>
      <c r="E7555">
        <v>10</v>
      </c>
      <c r="F7555" t="s">
        <v>10019</v>
      </c>
      <c r="G7555" t="s">
        <v>10069</v>
      </c>
      <c r="H7555" s="6">
        <v>45242</v>
      </c>
      <c r="I7555">
        <f t="shared" si="236"/>
        <v>0</v>
      </c>
      <c r="J7555" t="str">
        <f t="shared" si="237"/>
        <v>Complete</v>
      </c>
      <c r="K7555">
        <f>COUNTIFS(RawData[Item], B7555,RawData[Quantity],C7555,RawData[Price Per Unit],D7555,RawData[Total Spent],E7555,RawData[Payment Method],F7555,RawData[Location],G7555,RawData[Transaction Date],H7555)</f>
        <v>1</v>
      </c>
      <c r="L7555"/>
    </row>
    <row r="7556" spans="1:12" x14ac:dyDescent="0.3">
      <c r="A7556" t="s">
        <v>7562</v>
      </c>
      <c r="B7556" t="s">
        <v>10009</v>
      </c>
      <c r="C7556">
        <v>4</v>
      </c>
      <c r="D7556">
        <v>3</v>
      </c>
      <c r="E7556">
        <v>12</v>
      </c>
      <c r="F7556" t="s">
        <v>10069</v>
      </c>
      <c r="G7556" t="s">
        <v>10102</v>
      </c>
      <c r="H7556" s="6" t="s">
        <v>10112</v>
      </c>
      <c r="I7556">
        <f t="shared" si="236"/>
        <v>1</v>
      </c>
      <c r="J7556" t="str">
        <f t="shared" si="237"/>
        <v>Incomplete</v>
      </c>
      <c r="K7556">
        <f>COUNTIFS(RawData[Item], B7556,RawData[Quantity],C7556,RawData[Price Per Unit],D7556,RawData[Total Spent],E7556,RawData[Payment Method],F7556,RawData[Location],G7556,RawData[Transaction Date],H7556)</f>
        <v>1</v>
      </c>
      <c r="L7556"/>
    </row>
    <row r="7557" spans="1:12" x14ac:dyDescent="0.3">
      <c r="A7557" t="s">
        <v>7563</v>
      </c>
      <c r="B7557" t="s">
        <v>10012</v>
      </c>
      <c r="C7557">
        <v>5</v>
      </c>
      <c r="D7557">
        <v>4</v>
      </c>
      <c r="E7557">
        <v>20</v>
      </c>
      <c r="F7557" t="s">
        <v>10019</v>
      </c>
      <c r="G7557" t="s">
        <v>10102</v>
      </c>
      <c r="H7557" s="6">
        <v>45172</v>
      </c>
      <c r="I7557">
        <f t="shared" si="236"/>
        <v>0</v>
      </c>
      <c r="J7557" t="str">
        <f t="shared" si="237"/>
        <v>Complete</v>
      </c>
      <c r="K7557">
        <f>COUNTIFS(RawData[Item], B7557,RawData[Quantity],C7557,RawData[Price Per Unit],D7557,RawData[Total Spent],E7557,RawData[Payment Method],F7557,RawData[Location],G7557,RawData[Transaction Date],H7557)</f>
        <v>1</v>
      </c>
      <c r="L7557"/>
    </row>
    <row r="7558" spans="1:12" x14ac:dyDescent="0.3">
      <c r="A7558" t="s">
        <v>7564</v>
      </c>
      <c r="B7558" t="s">
        <v>10016</v>
      </c>
      <c r="C7558">
        <v>1</v>
      </c>
      <c r="D7558">
        <v>3</v>
      </c>
      <c r="E7558">
        <v>3</v>
      </c>
      <c r="F7558" t="s">
        <v>10020</v>
      </c>
      <c r="G7558" t="s">
        <v>10069</v>
      </c>
      <c r="H7558" s="6">
        <v>45234</v>
      </c>
      <c r="I7558">
        <f t="shared" si="236"/>
        <v>0</v>
      </c>
      <c r="J7558" t="str">
        <f t="shared" si="237"/>
        <v>Complete</v>
      </c>
      <c r="K7558">
        <f>COUNTIFS(RawData[Item], B7558,RawData[Quantity],C7558,RawData[Price Per Unit],D7558,RawData[Total Spent],E7558,RawData[Payment Method],F7558,RawData[Location],G7558,RawData[Transaction Date],H7558)</f>
        <v>1</v>
      </c>
      <c r="L7558"/>
    </row>
    <row r="7559" spans="1:12" x14ac:dyDescent="0.3">
      <c r="A7559" t="s">
        <v>7565</v>
      </c>
      <c r="B7559" t="s">
        <v>10014</v>
      </c>
      <c r="C7559">
        <v>1</v>
      </c>
      <c r="D7559">
        <v>4</v>
      </c>
      <c r="E7559">
        <v>4</v>
      </c>
      <c r="F7559" t="s">
        <v>10069</v>
      </c>
      <c r="G7559" t="s">
        <v>10069</v>
      </c>
      <c r="H7559" s="6">
        <v>45230</v>
      </c>
      <c r="I7559">
        <f t="shared" si="236"/>
        <v>0</v>
      </c>
      <c r="J7559" t="str">
        <f t="shared" si="237"/>
        <v>Complete</v>
      </c>
      <c r="K7559">
        <f>COUNTIFS(RawData[Item], B7559,RawData[Quantity],C7559,RawData[Price Per Unit],D7559,RawData[Total Spent],E7559,RawData[Payment Method],F7559,RawData[Location],G7559,RawData[Transaction Date],H7559)</f>
        <v>1</v>
      </c>
      <c r="L7559"/>
    </row>
    <row r="7560" spans="1:12" x14ac:dyDescent="0.3">
      <c r="A7560" t="s">
        <v>7566</v>
      </c>
      <c r="B7560" t="s">
        <v>10010</v>
      </c>
      <c r="C7560">
        <v>5</v>
      </c>
      <c r="D7560">
        <v>1</v>
      </c>
      <c r="E7560">
        <v>5</v>
      </c>
      <c r="F7560" t="s">
        <v>10020</v>
      </c>
      <c r="G7560" t="s">
        <v>10021</v>
      </c>
      <c r="H7560" s="6">
        <v>45153</v>
      </c>
      <c r="I7560">
        <f t="shared" si="236"/>
        <v>0</v>
      </c>
      <c r="J7560" t="str">
        <f t="shared" si="237"/>
        <v>Complete</v>
      </c>
      <c r="K7560">
        <f>COUNTIFS(RawData[Item], B7560,RawData[Quantity],C7560,RawData[Price Per Unit],D7560,RawData[Total Spent],E7560,RawData[Payment Method],F7560,RawData[Location],G7560,RawData[Transaction Date],H7560)</f>
        <v>1</v>
      </c>
      <c r="L7560"/>
    </row>
    <row r="7561" spans="1:12" x14ac:dyDescent="0.3">
      <c r="A7561" t="s">
        <v>7567</v>
      </c>
      <c r="B7561" t="s">
        <v>10014</v>
      </c>
      <c r="C7561">
        <v>4</v>
      </c>
      <c r="D7561">
        <v>4</v>
      </c>
      <c r="E7561">
        <v>16</v>
      </c>
      <c r="F7561" t="s">
        <v>10069</v>
      </c>
      <c r="G7561" t="s">
        <v>10069</v>
      </c>
      <c r="H7561" s="6">
        <v>45256</v>
      </c>
      <c r="I7561">
        <f t="shared" si="236"/>
        <v>0</v>
      </c>
      <c r="J7561" t="str">
        <f t="shared" si="237"/>
        <v>Complete</v>
      </c>
      <c r="K7561">
        <f>COUNTIFS(RawData[Item], B7561,RawData[Quantity],C7561,RawData[Price Per Unit],D7561,RawData[Total Spent],E7561,RawData[Payment Method],F7561,RawData[Location],G7561,RawData[Transaction Date],H7561)</f>
        <v>1</v>
      </c>
      <c r="L7561"/>
    </row>
    <row r="7562" spans="1:12" x14ac:dyDescent="0.3">
      <c r="A7562" t="s">
        <v>7568</v>
      </c>
      <c r="B7562" t="s">
        <v>10008</v>
      </c>
      <c r="C7562">
        <v>5</v>
      </c>
      <c r="D7562">
        <v>2</v>
      </c>
      <c r="E7562">
        <v>10</v>
      </c>
      <c r="F7562" t="s">
        <v>10069</v>
      </c>
      <c r="G7562" t="s">
        <v>10069</v>
      </c>
      <c r="H7562" s="6">
        <v>45080</v>
      </c>
      <c r="I7562">
        <f t="shared" si="236"/>
        <v>0</v>
      </c>
      <c r="J7562" t="str">
        <f t="shared" si="237"/>
        <v>Complete</v>
      </c>
      <c r="K7562">
        <f>COUNTIFS(RawData[Item], B7562,RawData[Quantity],C7562,RawData[Price Per Unit],D7562,RawData[Total Spent],E7562,RawData[Payment Method],F7562,RawData[Location],G7562,RawData[Transaction Date],H7562)</f>
        <v>1</v>
      </c>
      <c r="L7562"/>
    </row>
    <row r="7563" spans="1:12" x14ac:dyDescent="0.3">
      <c r="A7563" t="s">
        <v>7569</v>
      </c>
      <c r="B7563" t="s">
        <v>10017</v>
      </c>
      <c r="C7563">
        <v>1</v>
      </c>
      <c r="D7563">
        <v>1.5</v>
      </c>
      <c r="E7563">
        <v>1.5</v>
      </c>
      <c r="F7563" t="s">
        <v>10019</v>
      </c>
      <c r="G7563" t="s">
        <v>10102</v>
      </c>
      <c r="H7563" s="6">
        <v>45190</v>
      </c>
      <c r="I7563">
        <f t="shared" si="236"/>
        <v>0</v>
      </c>
      <c r="J7563" t="str">
        <f t="shared" si="237"/>
        <v>Complete</v>
      </c>
      <c r="K7563">
        <f>COUNTIFS(RawData[Item], B7563,RawData[Quantity],C7563,RawData[Price Per Unit],D7563,RawData[Total Spent],E7563,RawData[Payment Method],F7563,RawData[Location],G7563,RawData[Transaction Date],H7563)</f>
        <v>1</v>
      </c>
      <c r="L7563"/>
    </row>
    <row r="7564" spans="1:12" x14ac:dyDescent="0.3">
      <c r="A7564" t="s">
        <v>7570</v>
      </c>
      <c r="B7564" t="s">
        <v>10013</v>
      </c>
      <c r="C7564">
        <v>4</v>
      </c>
      <c r="D7564">
        <v>2</v>
      </c>
      <c r="E7564">
        <v>8</v>
      </c>
      <c r="F7564" t="s">
        <v>10069</v>
      </c>
      <c r="G7564" t="s">
        <v>10021</v>
      </c>
      <c r="H7564" s="6">
        <v>44950</v>
      </c>
      <c r="I7564">
        <f t="shared" si="236"/>
        <v>1</v>
      </c>
      <c r="J7564" t="str">
        <f t="shared" si="237"/>
        <v>Complete</v>
      </c>
      <c r="K7564">
        <f>COUNTIFS(RawData[Item], B7564,RawData[Quantity],C7564,RawData[Price Per Unit],D7564,RawData[Total Spent],E7564,RawData[Payment Method],F7564,RawData[Location],G7564,RawData[Transaction Date],H7564)</f>
        <v>1</v>
      </c>
      <c r="L7564"/>
    </row>
    <row r="7565" spans="1:12" x14ac:dyDescent="0.3">
      <c r="A7565" t="s">
        <v>7571</v>
      </c>
      <c r="B7565" t="s">
        <v>10008</v>
      </c>
      <c r="C7565">
        <v>2</v>
      </c>
      <c r="D7565">
        <v>2</v>
      </c>
      <c r="E7565">
        <v>4</v>
      </c>
      <c r="F7565" t="s">
        <v>10019</v>
      </c>
      <c r="G7565" t="s">
        <v>10069</v>
      </c>
      <c r="H7565" s="6">
        <v>45275</v>
      </c>
      <c r="I7565">
        <f t="shared" si="236"/>
        <v>0</v>
      </c>
      <c r="J7565" t="str">
        <f t="shared" si="237"/>
        <v>Complete</v>
      </c>
      <c r="K7565">
        <f>COUNTIFS(RawData[Item], B7565,RawData[Quantity],C7565,RawData[Price Per Unit],D7565,RawData[Total Spent],E7565,RawData[Payment Method],F7565,RawData[Location],G7565,RawData[Transaction Date],H7565)</f>
        <v>1</v>
      </c>
      <c r="L7565"/>
    </row>
    <row r="7566" spans="1:12" x14ac:dyDescent="0.3">
      <c r="A7566" t="s">
        <v>7572</v>
      </c>
      <c r="B7566" t="s">
        <v>10016</v>
      </c>
      <c r="C7566">
        <v>3</v>
      </c>
      <c r="D7566">
        <v>3</v>
      </c>
      <c r="E7566">
        <v>9</v>
      </c>
      <c r="F7566" t="s">
        <v>10069</v>
      </c>
      <c r="G7566" t="s">
        <v>10021</v>
      </c>
      <c r="H7566" s="6" t="s">
        <v>10112</v>
      </c>
      <c r="I7566">
        <f t="shared" si="236"/>
        <v>1</v>
      </c>
      <c r="J7566" t="str">
        <f t="shared" si="237"/>
        <v>Incomplete</v>
      </c>
      <c r="K7566">
        <f>COUNTIFS(RawData[Item], B7566,RawData[Quantity],C7566,RawData[Price Per Unit],D7566,RawData[Total Spent],E7566,RawData[Payment Method],F7566,RawData[Location],G7566,RawData[Transaction Date],H7566)</f>
        <v>1</v>
      </c>
      <c r="L7566"/>
    </row>
    <row r="7567" spans="1:12" x14ac:dyDescent="0.3">
      <c r="A7567" t="s">
        <v>7573</v>
      </c>
      <c r="B7567" t="s">
        <v>10010</v>
      </c>
      <c r="C7567">
        <v>2</v>
      </c>
      <c r="D7567">
        <v>1</v>
      </c>
      <c r="E7567">
        <v>2</v>
      </c>
      <c r="F7567" t="s">
        <v>10103</v>
      </c>
      <c r="G7567" t="s">
        <v>10021</v>
      </c>
      <c r="H7567" s="6">
        <v>45126</v>
      </c>
      <c r="I7567">
        <f t="shared" si="236"/>
        <v>1</v>
      </c>
      <c r="J7567" t="str">
        <f t="shared" si="237"/>
        <v>Complete</v>
      </c>
      <c r="K7567">
        <f>COUNTIFS(RawData[Item], B7567,RawData[Quantity],C7567,RawData[Price Per Unit],D7567,RawData[Total Spent],E7567,RawData[Payment Method],F7567,RawData[Location],G7567,RawData[Transaction Date],H7567)</f>
        <v>1</v>
      </c>
      <c r="L7567"/>
    </row>
    <row r="7568" spans="1:12" x14ac:dyDescent="0.3">
      <c r="A7568" t="s">
        <v>7574</v>
      </c>
      <c r="B7568" t="s">
        <v>10012</v>
      </c>
      <c r="C7568">
        <v>3</v>
      </c>
      <c r="D7568">
        <v>4</v>
      </c>
      <c r="E7568">
        <v>12</v>
      </c>
      <c r="F7568" t="s">
        <v>10019</v>
      </c>
      <c r="G7568" t="s">
        <v>10102</v>
      </c>
      <c r="H7568" s="6">
        <v>45118</v>
      </c>
      <c r="I7568">
        <f t="shared" si="236"/>
        <v>0</v>
      </c>
      <c r="J7568" t="str">
        <f t="shared" si="237"/>
        <v>Complete</v>
      </c>
      <c r="K7568">
        <f>COUNTIFS(RawData[Item], B7568,RawData[Quantity],C7568,RawData[Price Per Unit],D7568,RawData[Total Spent],E7568,RawData[Payment Method],F7568,RawData[Location],G7568,RawData[Transaction Date],H7568)</f>
        <v>1</v>
      </c>
      <c r="L7568"/>
    </row>
    <row r="7569" spans="1:12" x14ac:dyDescent="0.3">
      <c r="A7569" t="s">
        <v>7575</v>
      </c>
      <c r="B7569" t="s">
        <v>10012</v>
      </c>
      <c r="C7569">
        <v>2</v>
      </c>
      <c r="D7569">
        <v>4</v>
      </c>
      <c r="E7569" t="s">
        <v>10015</v>
      </c>
      <c r="F7569" t="s">
        <v>10020</v>
      </c>
      <c r="G7569" t="s">
        <v>10021</v>
      </c>
      <c r="H7569" s="6">
        <v>45083</v>
      </c>
      <c r="I7569">
        <f t="shared" si="236"/>
        <v>1</v>
      </c>
      <c r="J7569" t="str">
        <f t="shared" si="237"/>
        <v>Complete</v>
      </c>
      <c r="K7569">
        <f>COUNTIFS(RawData[Item], B7569,RawData[Quantity],C7569,RawData[Price Per Unit],D7569,RawData[Total Spent],E7569,RawData[Payment Method],F7569,RawData[Location],G7569,RawData[Transaction Date],H7569)</f>
        <v>1</v>
      </c>
      <c r="L7569"/>
    </row>
    <row r="7570" spans="1:12" x14ac:dyDescent="0.3">
      <c r="A7570" t="s">
        <v>7576</v>
      </c>
      <c r="B7570" t="s">
        <v>10010</v>
      </c>
      <c r="C7570">
        <v>5</v>
      </c>
      <c r="D7570" t="s">
        <v>10013</v>
      </c>
      <c r="E7570">
        <v>0</v>
      </c>
      <c r="F7570" t="s">
        <v>10019</v>
      </c>
      <c r="G7570" t="s">
        <v>10102</v>
      </c>
      <c r="H7570" s="6">
        <v>45182</v>
      </c>
      <c r="I7570">
        <f t="shared" si="236"/>
        <v>1</v>
      </c>
      <c r="J7570" t="str">
        <f t="shared" si="237"/>
        <v>Complete</v>
      </c>
      <c r="K7570">
        <f>COUNTIFS(RawData[Item], B7570,RawData[Quantity],C7570,RawData[Price Per Unit],D7570,RawData[Total Spent],E7570,RawData[Payment Method],F7570,RawData[Location],G7570,RawData[Transaction Date],H7570)</f>
        <v>1</v>
      </c>
      <c r="L7570"/>
    </row>
    <row r="7571" spans="1:12" x14ac:dyDescent="0.3">
      <c r="A7571" t="s">
        <v>7577</v>
      </c>
      <c r="B7571" t="s">
        <v>10011</v>
      </c>
      <c r="C7571">
        <v>1</v>
      </c>
      <c r="D7571">
        <v>5</v>
      </c>
      <c r="E7571">
        <v>5</v>
      </c>
      <c r="F7571" t="s">
        <v>10069</v>
      </c>
      <c r="G7571" t="s">
        <v>10021</v>
      </c>
      <c r="H7571" s="6">
        <v>45241</v>
      </c>
      <c r="I7571">
        <f t="shared" si="236"/>
        <v>0</v>
      </c>
      <c r="J7571" t="str">
        <f t="shared" si="237"/>
        <v>Complete</v>
      </c>
      <c r="K7571">
        <f>COUNTIFS(RawData[Item], B7571,RawData[Quantity],C7571,RawData[Price Per Unit],D7571,RawData[Total Spent],E7571,RawData[Payment Method],F7571,RawData[Location],G7571,RawData[Transaction Date],H7571)</f>
        <v>1</v>
      </c>
      <c r="L7571"/>
    </row>
    <row r="7572" spans="1:12" x14ac:dyDescent="0.3">
      <c r="A7572" t="s">
        <v>7578</v>
      </c>
      <c r="B7572" t="s">
        <v>10011</v>
      </c>
      <c r="C7572">
        <v>5</v>
      </c>
      <c r="D7572">
        <v>5</v>
      </c>
      <c r="E7572">
        <v>25</v>
      </c>
      <c r="F7572" t="s">
        <v>10069</v>
      </c>
      <c r="G7572" t="s">
        <v>10102</v>
      </c>
      <c r="H7572" s="6">
        <v>45189</v>
      </c>
      <c r="I7572">
        <f t="shared" si="236"/>
        <v>0</v>
      </c>
      <c r="J7572" t="str">
        <f t="shared" si="237"/>
        <v>Complete</v>
      </c>
      <c r="K7572">
        <f>COUNTIFS(RawData[Item], B7572,RawData[Quantity],C7572,RawData[Price Per Unit],D7572,RawData[Total Spent],E7572,RawData[Payment Method],F7572,RawData[Location],G7572,RawData[Transaction Date],H7572)</f>
        <v>1</v>
      </c>
      <c r="L7572"/>
    </row>
    <row r="7573" spans="1:12" x14ac:dyDescent="0.3">
      <c r="A7573" t="s">
        <v>7579</v>
      </c>
      <c r="B7573" t="s">
        <v>10016</v>
      </c>
      <c r="C7573">
        <v>2</v>
      </c>
      <c r="D7573">
        <v>3</v>
      </c>
      <c r="E7573">
        <v>6</v>
      </c>
      <c r="F7573" t="s">
        <v>10020</v>
      </c>
      <c r="G7573" t="s">
        <v>10021</v>
      </c>
      <c r="H7573" s="6">
        <v>45128</v>
      </c>
      <c r="I7573">
        <f t="shared" si="236"/>
        <v>0</v>
      </c>
      <c r="J7573" t="str">
        <f t="shared" si="237"/>
        <v>Complete</v>
      </c>
      <c r="K7573">
        <f>COUNTIFS(RawData[Item], B7573,RawData[Quantity],C7573,RawData[Price Per Unit],D7573,RawData[Total Spent],E7573,RawData[Payment Method],F7573,RawData[Location],G7573,RawData[Transaction Date],H7573)</f>
        <v>1</v>
      </c>
      <c r="L7573"/>
    </row>
    <row r="7574" spans="1:12" x14ac:dyDescent="0.3">
      <c r="A7574" t="s">
        <v>7580</v>
      </c>
      <c r="B7574" t="s">
        <v>10008</v>
      </c>
      <c r="C7574">
        <v>4</v>
      </c>
      <c r="D7574">
        <v>2</v>
      </c>
      <c r="E7574">
        <v>8</v>
      </c>
      <c r="F7574" t="s">
        <v>10020</v>
      </c>
      <c r="G7574" t="s">
        <v>10021</v>
      </c>
      <c r="H7574" s="6" t="s">
        <v>10112</v>
      </c>
      <c r="I7574">
        <f t="shared" si="236"/>
        <v>1</v>
      </c>
      <c r="J7574" t="str">
        <f t="shared" si="237"/>
        <v>Incomplete</v>
      </c>
      <c r="K7574">
        <f>COUNTIFS(RawData[Item], B7574,RawData[Quantity],C7574,RawData[Price Per Unit],D7574,RawData[Total Spent],E7574,RawData[Payment Method],F7574,RawData[Location],G7574,RawData[Transaction Date],H7574)</f>
        <v>1</v>
      </c>
      <c r="L7574"/>
    </row>
    <row r="7575" spans="1:12" x14ac:dyDescent="0.3">
      <c r="A7575" t="s">
        <v>7581</v>
      </c>
      <c r="B7575" t="s">
        <v>10009</v>
      </c>
      <c r="C7575">
        <v>4</v>
      </c>
      <c r="D7575">
        <v>3</v>
      </c>
      <c r="E7575">
        <v>0</v>
      </c>
      <c r="F7575" t="s">
        <v>10019</v>
      </c>
      <c r="G7575" t="s">
        <v>10069</v>
      </c>
      <c r="H7575" s="6">
        <v>45250</v>
      </c>
      <c r="I7575">
        <f t="shared" si="236"/>
        <v>0</v>
      </c>
      <c r="J7575" t="str">
        <f t="shared" si="237"/>
        <v>Complete</v>
      </c>
      <c r="K7575">
        <f>COUNTIFS(RawData[Item], B7575,RawData[Quantity],C7575,RawData[Price Per Unit],D7575,RawData[Total Spent],E7575,RawData[Payment Method],F7575,RawData[Location],G7575,RawData[Transaction Date],H7575)</f>
        <v>1</v>
      </c>
      <c r="L7575"/>
    </row>
    <row r="7576" spans="1:12" x14ac:dyDescent="0.3">
      <c r="A7576" t="s">
        <v>7582</v>
      </c>
      <c r="B7576" t="s">
        <v>10011</v>
      </c>
      <c r="C7576">
        <v>1</v>
      </c>
      <c r="D7576">
        <v>5</v>
      </c>
      <c r="E7576">
        <v>5</v>
      </c>
      <c r="F7576" t="s">
        <v>10104</v>
      </c>
      <c r="G7576" t="s">
        <v>10021</v>
      </c>
      <c r="H7576" s="6">
        <v>45182</v>
      </c>
      <c r="I7576">
        <f t="shared" si="236"/>
        <v>1</v>
      </c>
      <c r="J7576" t="str">
        <f t="shared" si="237"/>
        <v>Complete</v>
      </c>
      <c r="K7576">
        <f>COUNTIFS(RawData[Item], B7576,RawData[Quantity],C7576,RawData[Price Per Unit],D7576,RawData[Total Spent],E7576,RawData[Payment Method],F7576,RawData[Location],G7576,RawData[Transaction Date],H7576)</f>
        <v>1</v>
      </c>
      <c r="L7576"/>
    </row>
    <row r="7577" spans="1:12" x14ac:dyDescent="0.3">
      <c r="A7577" t="s">
        <v>7583</v>
      </c>
      <c r="B7577" t="s">
        <v>10009</v>
      </c>
      <c r="C7577">
        <v>5</v>
      </c>
      <c r="D7577">
        <v>3</v>
      </c>
      <c r="E7577">
        <v>15</v>
      </c>
      <c r="F7577" t="s">
        <v>10069</v>
      </c>
      <c r="G7577" t="s">
        <v>10021</v>
      </c>
      <c r="H7577" s="6">
        <v>44990</v>
      </c>
      <c r="I7577">
        <f t="shared" si="236"/>
        <v>0</v>
      </c>
      <c r="J7577" t="str">
        <f t="shared" si="237"/>
        <v>Complete</v>
      </c>
      <c r="K7577">
        <f>COUNTIFS(RawData[Item], B7577,RawData[Quantity],C7577,RawData[Price Per Unit],D7577,RawData[Total Spent],E7577,RawData[Payment Method],F7577,RawData[Location],G7577,RawData[Transaction Date],H7577)</f>
        <v>1</v>
      </c>
      <c r="L7577"/>
    </row>
    <row r="7578" spans="1:12" x14ac:dyDescent="0.3">
      <c r="A7578" t="s">
        <v>7584</v>
      </c>
      <c r="B7578" t="s">
        <v>10012</v>
      </c>
      <c r="C7578">
        <v>3</v>
      </c>
      <c r="D7578">
        <v>4</v>
      </c>
      <c r="E7578">
        <v>12</v>
      </c>
      <c r="F7578" t="s">
        <v>10020</v>
      </c>
      <c r="G7578" t="s">
        <v>10021</v>
      </c>
      <c r="H7578" s="6">
        <v>45285</v>
      </c>
      <c r="I7578">
        <f t="shared" si="236"/>
        <v>0</v>
      </c>
      <c r="J7578" t="str">
        <f t="shared" si="237"/>
        <v>Complete</v>
      </c>
      <c r="K7578">
        <f>COUNTIFS(RawData[Item], B7578,RawData[Quantity],C7578,RawData[Price Per Unit],D7578,RawData[Total Spent],E7578,RawData[Payment Method],F7578,RawData[Location],G7578,RawData[Transaction Date],H7578)</f>
        <v>1</v>
      </c>
      <c r="L7578"/>
    </row>
    <row r="7579" spans="1:12" x14ac:dyDescent="0.3">
      <c r="A7579" t="s">
        <v>7585</v>
      </c>
      <c r="B7579" t="s">
        <v>10009</v>
      </c>
      <c r="C7579">
        <v>4</v>
      </c>
      <c r="D7579">
        <v>3</v>
      </c>
      <c r="E7579">
        <v>12</v>
      </c>
      <c r="F7579" t="s">
        <v>10018</v>
      </c>
      <c r="G7579" t="s">
        <v>10102</v>
      </c>
      <c r="H7579" s="6">
        <v>44951</v>
      </c>
      <c r="I7579">
        <f t="shared" si="236"/>
        <v>0</v>
      </c>
      <c r="J7579" t="str">
        <f t="shared" si="237"/>
        <v>Complete</v>
      </c>
      <c r="K7579">
        <f>COUNTIFS(RawData[Item], B7579,RawData[Quantity],C7579,RawData[Price Per Unit],D7579,RawData[Total Spent],E7579,RawData[Payment Method],F7579,RawData[Location],G7579,RawData[Transaction Date],H7579)</f>
        <v>1</v>
      </c>
      <c r="L7579"/>
    </row>
    <row r="7580" spans="1:12" x14ac:dyDescent="0.3">
      <c r="A7580" t="s">
        <v>7586</v>
      </c>
      <c r="B7580" t="s">
        <v>10008</v>
      </c>
      <c r="C7580" t="s">
        <v>10015</v>
      </c>
      <c r="D7580">
        <v>2</v>
      </c>
      <c r="E7580">
        <v>2</v>
      </c>
      <c r="F7580" t="s">
        <v>10020</v>
      </c>
      <c r="G7580" t="s">
        <v>10069</v>
      </c>
      <c r="H7580" s="6">
        <v>45039</v>
      </c>
      <c r="I7580">
        <f t="shared" si="236"/>
        <v>1</v>
      </c>
      <c r="J7580" t="str">
        <f t="shared" si="237"/>
        <v>Complete</v>
      </c>
      <c r="K7580">
        <f>COUNTIFS(RawData[Item], B7580,RawData[Quantity],C7580,RawData[Price Per Unit],D7580,RawData[Total Spent],E7580,RawData[Payment Method],F7580,RawData[Location],G7580,RawData[Transaction Date],H7580)</f>
        <v>1</v>
      </c>
      <c r="L7580"/>
    </row>
    <row r="7581" spans="1:12" x14ac:dyDescent="0.3">
      <c r="A7581" t="s">
        <v>7587</v>
      </c>
      <c r="B7581" t="s">
        <v>10009</v>
      </c>
      <c r="C7581">
        <v>4</v>
      </c>
      <c r="D7581">
        <v>3</v>
      </c>
      <c r="E7581">
        <v>12</v>
      </c>
      <c r="F7581" t="s">
        <v>10019</v>
      </c>
      <c r="G7581" t="s">
        <v>10021</v>
      </c>
      <c r="H7581" s="6">
        <v>45069</v>
      </c>
      <c r="I7581">
        <f t="shared" si="236"/>
        <v>0</v>
      </c>
      <c r="J7581" t="str">
        <f t="shared" si="237"/>
        <v>Complete</v>
      </c>
      <c r="K7581">
        <f>COUNTIFS(RawData[Item], B7581,RawData[Quantity],C7581,RawData[Price Per Unit],D7581,RawData[Total Spent],E7581,RawData[Payment Method],F7581,RawData[Location],G7581,RawData[Transaction Date],H7581)</f>
        <v>1</v>
      </c>
      <c r="L7581"/>
    </row>
    <row r="7582" spans="1:12" x14ac:dyDescent="0.3">
      <c r="A7582" t="s">
        <v>7588</v>
      </c>
      <c r="B7582" t="s">
        <v>10014</v>
      </c>
      <c r="C7582">
        <v>5</v>
      </c>
      <c r="D7582">
        <v>4</v>
      </c>
      <c r="E7582">
        <v>20</v>
      </c>
      <c r="F7582" t="s">
        <v>10069</v>
      </c>
      <c r="G7582" t="s">
        <v>10021</v>
      </c>
      <c r="H7582" s="6">
        <v>44973</v>
      </c>
      <c r="I7582">
        <f t="shared" si="236"/>
        <v>0</v>
      </c>
      <c r="J7582" t="str">
        <f t="shared" si="237"/>
        <v>Complete</v>
      </c>
      <c r="K7582">
        <f>COUNTIFS(RawData[Item], B7582,RawData[Quantity],C7582,RawData[Price Per Unit],D7582,RawData[Total Spent],E7582,RawData[Payment Method],F7582,RawData[Location],G7582,RawData[Transaction Date],H7582)</f>
        <v>1</v>
      </c>
      <c r="L7582"/>
    </row>
    <row r="7583" spans="1:12" x14ac:dyDescent="0.3">
      <c r="A7583" t="s">
        <v>7589</v>
      </c>
      <c r="B7583" t="s">
        <v>10011</v>
      </c>
      <c r="C7583">
        <v>4</v>
      </c>
      <c r="D7583">
        <v>5</v>
      </c>
      <c r="E7583">
        <v>20</v>
      </c>
      <c r="F7583" t="s">
        <v>10069</v>
      </c>
      <c r="G7583" t="s">
        <v>10069</v>
      </c>
      <c r="H7583" s="6">
        <v>44944</v>
      </c>
      <c r="I7583">
        <f t="shared" si="236"/>
        <v>0</v>
      </c>
      <c r="J7583" t="str">
        <f t="shared" si="237"/>
        <v>Complete</v>
      </c>
      <c r="K7583">
        <f>COUNTIFS(RawData[Item], B7583,RawData[Quantity],C7583,RawData[Price Per Unit],D7583,RawData[Total Spent],E7583,RawData[Payment Method],F7583,RawData[Location],G7583,RawData[Transaction Date],H7583)</f>
        <v>1</v>
      </c>
      <c r="L7583"/>
    </row>
    <row r="7584" spans="1:12" x14ac:dyDescent="0.3">
      <c r="A7584" t="s">
        <v>7590</v>
      </c>
      <c r="B7584" t="s">
        <v>10016</v>
      </c>
      <c r="C7584">
        <v>4</v>
      </c>
      <c r="D7584">
        <v>3</v>
      </c>
      <c r="E7584">
        <v>12</v>
      </c>
      <c r="F7584" t="s">
        <v>10018</v>
      </c>
      <c r="G7584" t="s">
        <v>10069</v>
      </c>
      <c r="H7584" s="6">
        <v>44938</v>
      </c>
      <c r="I7584">
        <f t="shared" si="236"/>
        <v>0</v>
      </c>
      <c r="J7584" t="str">
        <f t="shared" si="237"/>
        <v>Complete</v>
      </c>
      <c r="K7584">
        <f>COUNTIFS(RawData[Item], B7584,RawData[Quantity],C7584,RawData[Price Per Unit],D7584,RawData[Total Spent],E7584,RawData[Payment Method],F7584,RawData[Location],G7584,RawData[Transaction Date],H7584)</f>
        <v>1</v>
      </c>
      <c r="L7584"/>
    </row>
    <row r="7585" spans="1:12" x14ac:dyDescent="0.3">
      <c r="A7585" t="s">
        <v>7591</v>
      </c>
      <c r="B7585" t="s">
        <v>10009</v>
      </c>
      <c r="C7585">
        <v>3</v>
      </c>
      <c r="D7585">
        <v>3</v>
      </c>
      <c r="E7585">
        <v>9</v>
      </c>
      <c r="F7585" t="s">
        <v>10069</v>
      </c>
      <c r="G7585" t="s">
        <v>10102</v>
      </c>
      <c r="H7585" s="6">
        <v>44984</v>
      </c>
      <c r="I7585">
        <f t="shared" si="236"/>
        <v>0</v>
      </c>
      <c r="J7585" t="str">
        <f t="shared" si="237"/>
        <v>Complete</v>
      </c>
      <c r="K7585">
        <f>COUNTIFS(RawData[Item], B7585,RawData[Quantity],C7585,RawData[Price Per Unit],D7585,RawData[Total Spent],E7585,RawData[Payment Method],F7585,RawData[Location],G7585,RawData[Transaction Date],H7585)</f>
        <v>1</v>
      </c>
      <c r="L7585"/>
    </row>
    <row r="7586" spans="1:12" x14ac:dyDescent="0.3">
      <c r="A7586" t="s">
        <v>7592</v>
      </c>
      <c r="B7586" t="s">
        <v>10010</v>
      </c>
      <c r="C7586">
        <v>3</v>
      </c>
      <c r="D7586">
        <v>1</v>
      </c>
      <c r="E7586">
        <v>3</v>
      </c>
      <c r="F7586" t="s">
        <v>10069</v>
      </c>
      <c r="G7586" t="s">
        <v>10102</v>
      </c>
      <c r="H7586" s="6">
        <v>45153</v>
      </c>
      <c r="I7586">
        <f t="shared" si="236"/>
        <v>0</v>
      </c>
      <c r="J7586" t="str">
        <f t="shared" si="237"/>
        <v>Complete</v>
      </c>
      <c r="K7586">
        <f>COUNTIFS(RawData[Item], B7586,RawData[Quantity],C7586,RawData[Price Per Unit],D7586,RawData[Total Spent],E7586,RawData[Payment Method],F7586,RawData[Location],G7586,RawData[Transaction Date],H7586)</f>
        <v>1</v>
      </c>
      <c r="L7586"/>
    </row>
    <row r="7587" spans="1:12" x14ac:dyDescent="0.3">
      <c r="A7587" t="s">
        <v>7593</v>
      </c>
      <c r="B7587" t="s">
        <v>10017</v>
      </c>
      <c r="C7587" t="s">
        <v>10015</v>
      </c>
      <c r="D7587">
        <v>1.5</v>
      </c>
      <c r="E7587">
        <v>7.5</v>
      </c>
      <c r="F7587" t="s">
        <v>10103</v>
      </c>
      <c r="G7587" t="s">
        <v>10021</v>
      </c>
      <c r="H7587" s="6">
        <v>45007</v>
      </c>
      <c r="I7587">
        <f t="shared" si="236"/>
        <v>2</v>
      </c>
      <c r="J7587" t="str">
        <f t="shared" si="237"/>
        <v>Complete</v>
      </c>
      <c r="K7587">
        <f>COUNTIFS(RawData[Item], B7587,RawData[Quantity],C7587,RawData[Price Per Unit],D7587,RawData[Total Spent],E7587,RawData[Payment Method],F7587,RawData[Location],G7587,RawData[Transaction Date],H7587)</f>
        <v>1</v>
      </c>
      <c r="L7587"/>
    </row>
    <row r="7588" spans="1:12" x14ac:dyDescent="0.3">
      <c r="A7588" t="s">
        <v>7594</v>
      </c>
      <c r="B7588" t="s">
        <v>10012</v>
      </c>
      <c r="C7588">
        <v>4</v>
      </c>
      <c r="D7588">
        <v>4</v>
      </c>
      <c r="E7588">
        <v>16</v>
      </c>
      <c r="F7588" t="s">
        <v>10069</v>
      </c>
      <c r="G7588" t="s">
        <v>10021</v>
      </c>
      <c r="H7588" s="6">
        <v>45060</v>
      </c>
      <c r="I7588">
        <f t="shared" si="236"/>
        <v>0</v>
      </c>
      <c r="J7588" t="str">
        <f t="shared" si="237"/>
        <v>Complete</v>
      </c>
      <c r="K7588">
        <f>COUNTIFS(RawData[Item], B7588,RawData[Quantity],C7588,RawData[Price Per Unit],D7588,RawData[Total Spent],E7588,RawData[Payment Method],F7588,RawData[Location],G7588,RawData[Transaction Date],H7588)</f>
        <v>2</v>
      </c>
      <c r="L7588"/>
    </row>
    <row r="7589" spans="1:12" x14ac:dyDescent="0.3">
      <c r="A7589" t="s">
        <v>7595</v>
      </c>
      <c r="B7589" t="s">
        <v>10008</v>
      </c>
      <c r="C7589">
        <v>1</v>
      </c>
      <c r="D7589">
        <v>2</v>
      </c>
      <c r="E7589">
        <v>2</v>
      </c>
      <c r="F7589" t="s">
        <v>10069</v>
      </c>
      <c r="G7589" t="s">
        <v>10069</v>
      </c>
      <c r="H7589" s="6">
        <v>44935</v>
      </c>
      <c r="I7589">
        <f t="shared" si="236"/>
        <v>0</v>
      </c>
      <c r="J7589" t="str">
        <f t="shared" si="237"/>
        <v>Complete</v>
      </c>
      <c r="K7589">
        <f>COUNTIFS(RawData[Item], B7589,RawData[Quantity],C7589,RawData[Price Per Unit],D7589,RawData[Total Spent],E7589,RawData[Payment Method],F7589,RawData[Location],G7589,RawData[Transaction Date],H7589)</f>
        <v>1</v>
      </c>
      <c r="L7589"/>
    </row>
    <row r="7590" spans="1:12" x14ac:dyDescent="0.3">
      <c r="A7590" t="s">
        <v>7596</v>
      </c>
      <c r="B7590" t="s">
        <v>10008</v>
      </c>
      <c r="C7590">
        <v>4</v>
      </c>
      <c r="D7590">
        <v>2</v>
      </c>
      <c r="E7590">
        <v>0</v>
      </c>
      <c r="F7590" t="s">
        <v>10020</v>
      </c>
      <c r="G7590" t="s">
        <v>10069</v>
      </c>
      <c r="H7590" s="6">
        <v>45019</v>
      </c>
      <c r="I7590">
        <f t="shared" si="236"/>
        <v>0</v>
      </c>
      <c r="J7590" t="str">
        <f t="shared" si="237"/>
        <v>Complete</v>
      </c>
      <c r="K7590">
        <f>COUNTIFS(RawData[Item], B7590,RawData[Quantity],C7590,RawData[Price Per Unit],D7590,RawData[Total Spent],E7590,RawData[Payment Method],F7590,RawData[Location],G7590,RawData[Transaction Date],H7590)</f>
        <v>1</v>
      </c>
      <c r="L7590"/>
    </row>
    <row r="7591" spans="1:12" x14ac:dyDescent="0.3">
      <c r="A7591" t="s">
        <v>7597</v>
      </c>
      <c r="B7591" t="s">
        <v>10012</v>
      </c>
      <c r="C7591">
        <v>2</v>
      </c>
      <c r="D7591">
        <v>4</v>
      </c>
      <c r="E7591">
        <v>8</v>
      </c>
      <c r="F7591" t="s">
        <v>10018</v>
      </c>
      <c r="G7591" t="s">
        <v>10021</v>
      </c>
      <c r="H7591" s="6">
        <v>45159</v>
      </c>
      <c r="I7591">
        <f t="shared" si="236"/>
        <v>0</v>
      </c>
      <c r="J7591" t="str">
        <f t="shared" si="237"/>
        <v>Complete</v>
      </c>
      <c r="K7591">
        <f>COUNTIFS(RawData[Item], B7591,RawData[Quantity],C7591,RawData[Price Per Unit],D7591,RawData[Total Spent],E7591,RawData[Payment Method],F7591,RawData[Location],G7591,RawData[Transaction Date],H7591)</f>
        <v>1</v>
      </c>
      <c r="L7591"/>
    </row>
    <row r="7592" spans="1:12" x14ac:dyDescent="0.3">
      <c r="A7592" t="s">
        <v>7598</v>
      </c>
      <c r="B7592" t="s">
        <v>10015</v>
      </c>
      <c r="C7592">
        <v>1</v>
      </c>
      <c r="D7592">
        <v>1</v>
      </c>
      <c r="E7592">
        <v>1</v>
      </c>
      <c r="F7592" t="s">
        <v>10103</v>
      </c>
      <c r="G7592" t="s">
        <v>10021</v>
      </c>
      <c r="H7592" s="6">
        <v>45216</v>
      </c>
      <c r="I7592">
        <f t="shared" si="236"/>
        <v>2</v>
      </c>
      <c r="J7592" t="str">
        <f t="shared" si="237"/>
        <v>Complete</v>
      </c>
      <c r="K7592">
        <f>COUNTIFS(RawData[Item], B7592,RawData[Quantity],C7592,RawData[Price Per Unit],D7592,RawData[Total Spent],E7592,RawData[Payment Method],F7592,RawData[Location],G7592,RawData[Transaction Date],H7592)</f>
        <v>1</v>
      </c>
      <c r="L7592"/>
    </row>
    <row r="7593" spans="1:12" x14ac:dyDescent="0.3">
      <c r="A7593" t="s">
        <v>7599</v>
      </c>
      <c r="B7593" t="s">
        <v>10009</v>
      </c>
      <c r="C7593" t="s">
        <v>10015</v>
      </c>
      <c r="D7593">
        <v>3</v>
      </c>
      <c r="E7593">
        <v>3</v>
      </c>
      <c r="F7593" t="s">
        <v>10019</v>
      </c>
      <c r="G7593" t="s">
        <v>10021</v>
      </c>
      <c r="H7593" s="6">
        <v>45002</v>
      </c>
      <c r="I7593">
        <f t="shared" si="236"/>
        <v>1</v>
      </c>
      <c r="J7593" t="str">
        <f t="shared" si="237"/>
        <v>Complete</v>
      </c>
      <c r="K7593">
        <f>COUNTIFS(RawData[Item], B7593,RawData[Quantity],C7593,RawData[Price Per Unit],D7593,RawData[Total Spent],E7593,RawData[Payment Method],F7593,RawData[Location],G7593,RawData[Transaction Date],H7593)</f>
        <v>1</v>
      </c>
      <c r="L7593"/>
    </row>
    <row r="7594" spans="1:12" x14ac:dyDescent="0.3">
      <c r="A7594" t="s">
        <v>7600</v>
      </c>
      <c r="B7594" t="s">
        <v>10012</v>
      </c>
      <c r="C7594">
        <v>2</v>
      </c>
      <c r="D7594">
        <v>0</v>
      </c>
      <c r="E7594">
        <v>8</v>
      </c>
      <c r="F7594" t="s">
        <v>10019</v>
      </c>
      <c r="G7594" t="s">
        <v>10069</v>
      </c>
      <c r="H7594" s="6">
        <v>45289</v>
      </c>
      <c r="I7594">
        <f t="shared" si="236"/>
        <v>0</v>
      </c>
      <c r="J7594" t="str">
        <f t="shared" si="237"/>
        <v>Complete</v>
      </c>
      <c r="K7594">
        <f>COUNTIFS(RawData[Item], B7594,RawData[Quantity],C7594,RawData[Price Per Unit],D7594,RawData[Total Spent],E7594,RawData[Payment Method],F7594,RawData[Location],G7594,RawData[Transaction Date],H7594)</f>
        <v>1</v>
      </c>
      <c r="L7594"/>
    </row>
    <row r="7595" spans="1:12" x14ac:dyDescent="0.3">
      <c r="A7595" t="s">
        <v>7601</v>
      </c>
      <c r="B7595" t="s">
        <v>10012</v>
      </c>
      <c r="C7595">
        <v>5</v>
      </c>
      <c r="D7595">
        <v>4</v>
      </c>
      <c r="E7595">
        <v>20</v>
      </c>
      <c r="F7595" t="s">
        <v>10019</v>
      </c>
      <c r="G7595" t="s">
        <v>10021</v>
      </c>
      <c r="H7595" s="6">
        <v>45030</v>
      </c>
      <c r="I7595">
        <f t="shared" si="236"/>
        <v>0</v>
      </c>
      <c r="J7595" t="str">
        <f t="shared" si="237"/>
        <v>Complete</v>
      </c>
      <c r="K7595">
        <f>COUNTIFS(RawData[Item], B7595,RawData[Quantity],C7595,RawData[Price Per Unit],D7595,RawData[Total Spent],E7595,RawData[Payment Method],F7595,RawData[Location],G7595,RawData[Transaction Date],H7595)</f>
        <v>1</v>
      </c>
      <c r="L7595"/>
    </row>
    <row r="7596" spans="1:12" x14ac:dyDescent="0.3">
      <c r="A7596" t="s">
        <v>7602</v>
      </c>
      <c r="B7596" t="s">
        <v>10008</v>
      </c>
      <c r="C7596">
        <v>0</v>
      </c>
      <c r="D7596">
        <v>2</v>
      </c>
      <c r="E7596">
        <v>4</v>
      </c>
      <c r="F7596" t="s">
        <v>10019</v>
      </c>
      <c r="G7596" t="s">
        <v>10069</v>
      </c>
      <c r="H7596" s="6">
        <v>45115</v>
      </c>
      <c r="I7596">
        <f t="shared" si="236"/>
        <v>0</v>
      </c>
      <c r="J7596" t="str">
        <f t="shared" si="237"/>
        <v>Complete</v>
      </c>
      <c r="K7596">
        <f>COUNTIFS(RawData[Item], B7596,RawData[Quantity],C7596,RawData[Price Per Unit],D7596,RawData[Total Spent],E7596,RawData[Payment Method],F7596,RawData[Location],G7596,RawData[Transaction Date],H7596)</f>
        <v>1</v>
      </c>
      <c r="L7596"/>
    </row>
    <row r="7597" spans="1:12" x14ac:dyDescent="0.3">
      <c r="A7597" t="s">
        <v>7603</v>
      </c>
      <c r="B7597" t="s">
        <v>10010</v>
      </c>
      <c r="C7597">
        <v>4</v>
      </c>
      <c r="D7597">
        <v>1</v>
      </c>
      <c r="E7597">
        <v>4</v>
      </c>
      <c r="F7597" t="s">
        <v>10018</v>
      </c>
      <c r="G7597" t="s">
        <v>10102</v>
      </c>
      <c r="H7597" s="6">
        <v>45181</v>
      </c>
      <c r="I7597">
        <f t="shared" si="236"/>
        <v>0</v>
      </c>
      <c r="J7597" t="str">
        <f t="shared" si="237"/>
        <v>Complete</v>
      </c>
      <c r="K7597">
        <f>COUNTIFS(RawData[Item], B7597,RawData[Quantity],C7597,RawData[Price Per Unit],D7597,RawData[Total Spent],E7597,RawData[Payment Method],F7597,RawData[Location],G7597,RawData[Transaction Date],H7597)</f>
        <v>1</v>
      </c>
      <c r="L7597"/>
    </row>
    <row r="7598" spans="1:12" x14ac:dyDescent="0.3">
      <c r="A7598" t="s">
        <v>7604</v>
      </c>
      <c r="B7598" t="s">
        <v>10014</v>
      </c>
      <c r="C7598">
        <v>1</v>
      </c>
      <c r="D7598">
        <v>4</v>
      </c>
      <c r="E7598">
        <v>4</v>
      </c>
      <c r="F7598" t="s">
        <v>10069</v>
      </c>
      <c r="G7598" t="s">
        <v>10104</v>
      </c>
      <c r="H7598" s="6">
        <v>45231</v>
      </c>
      <c r="I7598">
        <f t="shared" si="236"/>
        <v>1</v>
      </c>
      <c r="J7598" t="str">
        <f t="shared" si="237"/>
        <v>Complete</v>
      </c>
      <c r="K7598">
        <f>COUNTIFS(RawData[Item], B7598,RawData[Quantity],C7598,RawData[Price Per Unit],D7598,RawData[Total Spent],E7598,RawData[Payment Method],F7598,RawData[Location],G7598,RawData[Transaction Date],H7598)</f>
        <v>1</v>
      </c>
      <c r="L7598"/>
    </row>
    <row r="7599" spans="1:12" x14ac:dyDescent="0.3">
      <c r="A7599" t="s">
        <v>7605</v>
      </c>
      <c r="B7599" t="s">
        <v>10015</v>
      </c>
      <c r="C7599" t="s">
        <v>10013</v>
      </c>
      <c r="D7599">
        <v>0</v>
      </c>
      <c r="E7599">
        <v>9</v>
      </c>
      <c r="F7599" t="s">
        <v>10020</v>
      </c>
      <c r="G7599" t="s">
        <v>10102</v>
      </c>
      <c r="H7599" s="6">
        <v>45273</v>
      </c>
      <c r="I7599">
        <f t="shared" si="236"/>
        <v>2</v>
      </c>
      <c r="J7599" t="str">
        <f t="shared" si="237"/>
        <v>Complete</v>
      </c>
      <c r="K7599">
        <f>COUNTIFS(RawData[Item], B7599,RawData[Quantity],C7599,RawData[Price Per Unit],D7599,RawData[Total Spent],E7599,RawData[Payment Method],F7599,RawData[Location],G7599,RawData[Transaction Date],H7599)</f>
        <v>1</v>
      </c>
      <c r="L7599"/>
    </row>
    <row r="7600" spans="1:12" x14ac:dyDescent="0.3">
      <c r="A7600" t="s">
        <v>7606</v>
      </c>
      <c r="B7600" t="s">
        <v>10014</v>
      </c>
      <c r="C7600">
        <v>5</v>
      </c>
      <c r="D7600">
        <v>4</v>
      </c>
      <c r="E7600">
        <v>20</v>
      </c>
      <c r="F7600" t="s">
        <v>10069</v>
      </c>
      <c r="G7600" t="s">
        <v>10102</v>
      </c>
      <c r="H7600" s="6">
        <v>45052</v>
      </c>
      <c r="I7600">
        <f t="shared" si="236"/>
        <v>0</v>
      </c>
      <c r="J7600" t="str">
        <f t="shared" si="237"/>
        <v>Complete</v>
      </c>
      <c r="K7600">
        <f>COUNTIFS(RawData[Item], B7600,RawData[Quantity],C7600,RawData[Price Per Unit],D7600,RawData[Total Spent],E7600,RawData[Payment Method],F7600,RawData[Location],G7600,RawData[Transaction Date],H7600)</f>
        <v>1</v>
      </c>
      <c r="L7600"/>
    </row>
    <row r="7601" spans="1:12" x14ac:dyDescent="0.3">
      <c r="A7601" t="s">
        <v>7607</v>
      </c>
      <c r="B7601" t="s">
        <v>10011</v>
      </c>
      <c r="C7601">
        <v>2</v>
      </c>
      <c r="D7601">
        <v>5</v>
      </c>
      <c r="E7601">
        <v>10</v>
      </c>
      <c r="F7601" t="s">
        <v>10019</v>
      </c>
      <c r="G7601" t="s">
        <v>10102</v>
      </c>
      <c r="H7601" s="6" t="s">
        <v>10112</v>
      </c>
      <c r="I7601">
        <f t="shared" si="236"/>
        <v>1</v>
      </c>
      <c r="J7601" t="str">
        <f t="shared" si="237"/>
        <v>Incomplete</v>
      </c>
      <c r="K7601">
        <f>COUNTIFS(RawData[Item], B7601,RawData[Quantity],C7601,RawData[Price Per Unit],D7601,RawData[Total Spent],E7601,RawData[Payment Method],F7601,RawData[Location],G7601,RawData[Transaction Date],H7601)</f>
        <v>3</v>
      </c>
      <c r="L7601"/>
    </row>
    <row r="7602" spans="1:12" x14ac:dyDescent="0.3">
      <c r="A7602" t="s">
        <v>7608</v>
      </c>
      <c r="B7602" t="s">
        <v>10014</v>
      </c>
      <c r="C7602">
        <v>2</v>
      </c>
      <c r="D7602">
        <v>4</v>
      </c>
      <c r="E7602">
        <v>8</v>
      </c>
      <c r="F7602" t="s">
        <v>10018</v>
      </c>
      <c r="G7602" t="s">
        <v>10021</v>
      </c>
      <c r="H7602" s="6">
        <v>45177</v>
      </c>
      <c r="I7602">
        <f t="shared" si="236"/>
        <v>0</v>
      </c>
      <c r="J7602" t="str">
        <f t="shared" si="237"/>
        <v>Complete</v>
      </c>
      <c r="K7602">
        <f>COUNTIFS(RawData[Item], B7602,RawData[Quantity],C7602,RawData[Price Per Unit],D7602,RawData[Total Spent],E7602,RawData[Payment Method],F7602,RawData[Location],G7602,RawData[Transaction Date],H7602)</f>
        <v>1</v>
      </c>
      <c r="L7602"/>
    </row>
    <row r="7603" spans="1:12" x14ac:dyDescent="0.3">
      <c r="A7603" t="s">
        <v>7609</v>
      </c>
      <c r="B7603" t="s">
        <v>10016</v>
      </c>
      <c r="C7603" t="s">
        <v>10013</v>
      </c>
      <c r="D7603">
        <v>3</v>
      </c>
      <c r="E7603">
        <v>6</v>
      </c>
      <c r="F7603" t="s">
        <v>10019</v>
      </c>
      <c r="G7603" t="s">
        <v>10069</v>
      </c>
      <c r="H7603" s="6">
        <v>45055</v>
      </c>
      <c r="I7603">
        <f t="shared" si="236"/>
        <v>1</v>
      </c>
      <c r="J7603" t="str">
        <f t="shared" si="237"/>
        <v>Complete</v>
      </c>
      <c r="K7603">
        <f>COUNTIFS(RawData[Item], B7603,RawData[Quantity],C7603,RawData[Price Per Unit],D7603,RawData[Total Spent],E7603,RawData[Payment Method],F7603,RawData[Location],G7603,RawData[Transaction Date],H7603)</f>
        <v>1</v>
      </c>
      <c r="L7603"/>
    </row>
    <row r="7604" spans="1:12" x14ac:dyDescent="0.3">
      <c r="A7604" t="s">
        <v>7610</v>
      </c>
      <c r="B7604" t="s">
        <v>10011</v>
      </c>
      <c r="C7604">
        <v>4</v>
      </c>
      <c r="D7604">
        <v>5</v>
      </c>
      <c r="E7604">
        <v>20</v>
      </c>
      <c r="F7604" t="s">
        <v>10020</v>
      </c>
      <c r="G7604" t="s">
        <v>10103</v>
      </c>
      <c r="H7604" s="6">
        <v>45123</v>
      </c>
      <c r="I7604">
        <f t="shared" si="236"/>
        <v>1</v>
      </c>
      <c r="J7604" t="str">
        <f t="shared" si="237"/>
        <v>Complete</v>
      </c>
      <c r="K7604">
        <f>COUNTIFS(RawData[Item], B7604,RawData[Quantity],C7604,RawData[Price Per Unit],D7604,RawData[Total Spent],E7604,RawData[Payment Method],F7604,RawData[Location],G7604,RawData[Transaction Date],H7604)</f>
        <v>1</v>
      </c>
      <c r="L7604"/>
    </row>
    <row r="7605" spans="1:12" x14ac:dyDescent="0.3">
      <c r="A7605" t="s">
        <v>7611</v>
      </c>
      <c r="B7605" t="s">
        <v>10011</v>
      </c>
      <c r="C7605">
        <v>0</v>
      </c>
      <c r="D7605">
        <v>5</v>
      </c>
      <c r="E7605">
        <v>25</v>
      </c>
      <c r="F7605" t="s">
        <v>10020</v>
      </c>
      <c r="G7605" t="s">
        <v>10102</v>
      </c>
      <c r="H7605" s="6">
        <v>45287</v>
      </c>
      <c r="I7605">
        <f t="shared" si="236"/>
        <v>0</v>
      </c>
      <c r="J7605" t="str">
        <f t="shared" si="237"/>
        <v>Complete</v>
      </c>
      <c r="K7605">
        <f>COUNTIFS(RawData[Item], B7605,RawData[Quantity],C7605,RawData[Price Per Unit],D7605,RawData[Total Spent],E7605,RawData[Payment Method],F7605,RawData[Location],G7605,RawData[Transaction Date],H7605)</f>
        <v>1</v>
      </c>
      <c r="L7605"/>
    </row>
    <row r="7606" spans="1:12" x14ac:dyDescent="0.3">
      <c r="A7606" t="s">
        <v>7612</v>
      </c>
      <c r="B7606" t="s">
        <v>10069</v>
      </c>
      <c r="C7606">
        <v>4</v>
      </c>
      <c r="D7606">
        <v>3</v>
      </c>
      <c r="E7606">
        <v>12</v>
      </c>
      <c r="F7606" t="s">
        <v>10103</v>
      </c>
      <c r="G7606" t="s">
        <v>10069</v>
      </c>
      <c r="H7606" s="6">
        <v>44930</v>
      </c>
      <c r="I7606">
        <f t="shared" si="236"/>
        <v>1</v>
      </c>
      <c r="J7606" t="str">
        <f t="shared" si="237"/>
        <v>Complete</v>
      </c>
      <c r="K7606">
        <f>COUNTIFS(RawData[Item], B7606,RawData[Quantity],C7606,RawData[Price Per Unit],D7606,RawData[Total Spent],E7606,RawData[Payment Method],F7606,RawData[Location],G7606,RawData[Transaction Date],H7606)</f>
        <v>1</v>
      </c>
      <c r="L7606"/>
    </row>
    <row r="7607" spans="1:12" x14ac:dyDescent="0.3">
      <c r="A7607" t="s">
        <v>7613</v>
      </c>
      <c r="B7607" t="s">
        <v>10016</v>
      </c>
      <c r="C7607">
        <v>5</v>
      </c>
      <c r="D7607">
        <v>3</v>
      </c>
      <c r="E7607">
        <v>15</v>
      </c>
      <c r="F7607" t="s">
        <v>10019</v>
      </c>
      <c r="G7607" t="s">
        <v>10102</v>
      </c>
      <c r="H7607" s="6">
        <v>45159</v>
      </c>
      <c r="I7607">
        <f t="shared" si="236"/>
        <v>0</v>
      </c>
      <c r="J7607" t="str">
        <f t="shared" si="237"/>
        <v>Complete</v>
      </c>
      <c r="K7607">
        <f>COUNTIFS(RawData[Item], B7607,RawData[Quantity],C7607,RawData[Price Per Unit],D7607,RawData[Total Spent],E7607,RawData[Payment Method],F7607,RawData[Location],G7607,RawData[Transaction Date],H7607)</f>
        <v>1</v>
      </c>
      <c r="L7607"/>
    </row>
    <row r="7608" spans="1:12" x14ac:dyDescent="0.3">
      <c r="A7608" t="s">
        <v>7614</v>
      </c>
      <c r="B7608" t="s">
        <v>10008</v>
      </c>
      <c r="C7608">
        <v>2</v>
      </c>
      <c r="D7608">
        <v>2</v>
      </c>
      <c r="E7608">
        <v>4</v>
      </c>
      <c r="F7608" t="s">
        <v>10018</v>
      </c>
      <c r="G7608" t="s">
        <v>10021</v>
      </c>
      <c r="H7608" s="6">
        <v>45102</v>
      </c>
      <c r="I7608">
        <f t="shared" si="236"/>
        <v>0</v>
      </c>
      <c r="J7608" t="str">
        <f t="shared" si="237"/>
        <v>Complete</v>
      </c>
      <c r="K7608">
        <f>COUNTIFS(RawData[Item], B7608,RawData[Quantity],C7608,RawData[Price Per Unit],D7608,RawData[Total Spent],E7608,RawData[Payment Method],F7608,RawData[Location],G7608,RawData[Transaction Date],H7608)</f>
        <v>1</v>
      </c>
      <c r="L7608"/>
    </row>
    <row r="7609" spans="1:12" x14ac:dyDescent="0.3">
      <c r="A7609" t="s">
        <v>7615</v>
      </c>
      <c r="B7609" t="s">
        <v>10008</v>
      </c>
      <c r="C7609">
        <v>3</v>
      </c>
      <c r="D7609">
        <v>2</v>
      </c>
      <c r="E7609">
        <v>6</v>
      </c>
      <c r="F7609" t="s">
        <v>10069</v>
      </c>
      <c r="G7609" t="s">
        <v>10102</v>
      </c>
      <c r="H7609" s="6">
        <v>45251</v>
      </c>
      <c r="I7609">
        <f t="shared" si="236"/>
        <v>0</v>
      </c>
      <c r="J7609" t="str">
        <f t="shared" si="237"/>
        <v>Complete</v>
      </c>
      <c r="K7609">
        <f>COUNTIFS(RawData[Item], B7609,RawData[Quantity],C7609,RawData[Price Per Unit],D7609,RawData[Total Spent],E7609,RawData[Payment Method],F7609,RawData[Location],G7609,RawData[Transaction Date],H7609)</f>
        <v>1</v>
      </c>
      <c r="L7609"/>
    </row>
    <row r="7610" spans="1:12" x14ac:dyDescent="0.3">
      <c r="A7610" t="s">
        <v>7616</v>
      </c>
      <c r="B7610" t="s">
        <v>10012</v>
      </c>
      <c r="C7610">
        <v>5</v>
      </c>
      <c r="D7610">
        <v>4</v>
      </c>
      <c r="E7610">
        <v>20</v>
      </c>
      <c r="F7610" t="s">
        <v>10019</v>
      </c>
      <c r="G7610" t="s">
        <v>10021</v>
      </c>
      <c r="H7610" s="6">
        <v>45187</v>
      </c>
      <c r="I7610">
        <f t="shared" si="236"/>
        <v>0</v>
      </c>
      <c r="J7610" t="str">
        <f t="shared" si="237"/>
        <v>Complete</v>
      </c>
      <c r="K7610">
        <f>COUNTIFS(RawData[Item], B7610,RawData[Quantity],C7610,RawData[Price Per Unit],D7610,RawData[Total Spent],E7610,RawData[Payment Method],F7610,RawData[Location],G7610,RawData[Transaction Date],H7610)</f>
        <v>1</v>
      </c>
      <c r="L7610"/>
    </row>
    <row r="7611" spans="1:12" x14ac:dyDescent="0.3">
      <c r="A7611" t="s">
        <v>7617</v>
      </c>
      <c r="B7611" t="s">
        <v>10016</v>
      </c>
      <c r="C7611">
        <v>5</v>
      </c>
      <c r="D7611">
        <v>3</v>
      </c>
      <c r="E7611">
        <v>15</v>
      </c>
      <c r="F7611" t="s">
        <v>10019</v>
      </c>
      <c r="G7611" t="s">
        <v>10021</v>
      </c>
      <c r="H7611" s="6">
        <v>45188</v>
      </c>
      <c r="I7611">
        <f t="shared" si="236"/>
        <v>0</v>
      </c>
      <c r="J7611" t="str">
        <f t="shared" si="237"/>
        <v>Complete</v>
      </c>
      <c r="K7611">
        <f>COUNTIFS(RawData[Item], B7611,RawData[Quantity],C7611,RawData[Price Per Unit],D7611,RawData[Total Spent],E7611,RawData[Payment Method],F7611,RawData[Location],G7611,RawData[Transaction Date],H7611)</f>
        <v>1</v>
      </c>
      <c r="L7611"/>
    </row>
    <row r="7612" spans="1:12" x14ac:dyDescent="0.3">
      <c r="A7612" t="s">
        <v>7618</v>
      </c>
      <c r="B7612" t="s">
        <v>10011</v>
      </c>
      <c r="C7612">
        <v>1</v>
      </c>
      <c r="D7612">
        <v>5</v>
      </c>
      <c r="E7612">
        <v>5</v>
      </c>
      <c r="F7612" t="s">
        <v>10018</v>
      </c>
      <c r="G7612" t="s">
        <v>10102</v>
      </c>
      <c r="H7612" s="6">
        <v>45030</v>
      </c>
      <c r="I7612">
        <f t="shared" si="236"/>
        <v>0</v>
      </c>
      <c r="J7612" t="str">
        <f t="shared" si="237"/>
        <v>Complete</v>
      </c>
      <c r="K7612">
        <f>COUNTIFS(RawData[Item], B7612,RawData[Quantity],C7612,RawData[Price Per Unit],D7612,RawData[Total Spent],E7612,RawData[Payment Method],F7612,RawData[Location],G7612,RawData[Transaction Date],H7612)</f>
        <v>1</v>
      </c>
      <c r="L7612"/>
    </row>
    <row r="7613" spans="1:12" x14ac:dyDescent="0.3">
      <c r="A7613" t="s">
        <v>7619</v>
      </c>
      <c r="B7613" t="s">
        <v>10014</v>
      </c>
      <c r="C7613">
        <v>4</v>
      </c>
      <c r="D7613">
        <v>4</v>
      </c>
      <c r="E7613">
        <v>16</v>
      </c>
      <c r="F7613" t="s">
        <v>10020</v>
      </c>
      <c r="G7613" t="s">
        <v>10021</v>
      </c>
      <c r="H7613" s="6">
        <v>45248</v>
      </c>
      <c r="I7613">
        <f t="shared" si="236"/>
        <v>0</v>
      </c>
      <c r="J7613" t="str">
        <f t="shared" si="237"/>
        <v>Complete</v>
      </c>
      <c r="K7613">
        <f>COUNTIFS(RawData[Item], B7613,RawData[Quantity],C7613,RawData[Price Per Unit],D7613,RawData[Total Spent],E7613,RawData[Payment Method],F7613,RawData[Location],G7613,RawData[Transaction Date],H7613)</f>
        <v>1</v>
      </c>
      <c r="L7613"/>
    </row>
    <row r="7614" spans="1:12" x14ac:dyDescent="0.3">
      <c r="A7614" t="s">
        <v>7620</v>
      </c>
      <c r="B7614" t="s">
        <v>10012</v>
      </c>
      <c r="C7614">
        <v>2</v>
      </c>
      <c r="D7614">
        <v>4</v>
      </c>
      <c r="E7614">
        <v>8</v>
      </c>
      <c r="F7614" t="s">
        <v>10020</v>
      </c>
      <c r="G7614" t="s">
        <v>10069</v>
      </c>
      <c r="H7614" s="6" t="s">
        <v>10112</v>
      </c>
      <c r="I7614">
        <f t="shared" si="236"/>
        <v>1</v>
      </c>
      <c r="J7614" t="str">
        <f t="shared" si="237"/>
        <v>Incomplete</v>
      </c>
      <c r="K7614">
        <f>COUNTIFS(RawData[Item], B7614,RawData[Quantity],C7614,RawData[Price Per Unit],D7614,RawData[Total Spent],E7614,RawData[Payment Method],F7614,RawData[Location],G7614,RawData[Transaction Date],H7614)</f>
        <v>1</v>
      </c>
      <c r="L7614"/>
    </row>
    <row r="7615" spans="1:12" x14ac:dyDescent="0.3">
      <c r="A7615" t="s">
        <v>7621</v>
      </c>
      <c r="B7615" t="s">
        <v>10011</v>
      </c>
      <c r="C7615">
        <v>4</v>
      </c>
      <c r="D7615">
        <v>5</v>
      </c>
      <c r="E7615">
        <v>20</v>
      </c>
      <c r="F7615" t="s">
        <v>10019</v>
      </c>
      <c r="G7615" t="s">
        <v>10069</v>
      </c>
      <c r="H7615" s="6">
        <v>44976</v>
      </c>
      <c r="I7615">
        <f t="shared" si="236"/>
        <v>0</v>
      </c>
      <c r="J7615" t="str">
        <f t="shared" si="237"/>
        <v>Complete</v>
      </c>
      <c r="K7615">
        <f>COUNTIFS(RawData[Item], B7615,RawData[Quantity],C7615,RawData[Price Per Unit],D7615,RawData[Total Spent],E7615,RawData[Payment Method],F7615,RawData[Location],G7615,RawData[Transaction Date],H7615)</f>
        <v>1</v>
      </c>
      <c r="L7615"/>
    </row>
    <row r="7616" spans="1:12" x14ac:dyDescent="0.3">
      <c r="A7616" t="s">
        <v>7622</v>
      </c>
      <c r="B7616" t="s">
        <v>10009</v>
      </c>
      <c r="C7616" t="s">
        <v>10015</v>
      </c>
      <c r="D7616">
        <v>3</v>
      </c>
      <c r="E7616">
        <v>6</v>
      </c>
      <c r="F7616" t="s">
        <v>10020</v>
      </c>
      <c r="G7616" t="s">
        <v>10102</v>
      </c>
      <c r="H7616" s="6">
        <v>45266</v>
      </c>
      <c r="I7616">
        <f t="shared" si="236"/>
        <v>1</v>
      </c>
      <c r="J7616" t="str">
        <f t="shared" si="237"/>
        <v>Complete</v>
      </c>
      <c r="K7616">
        <f>COUNTIFS(RawData[Item], B7616,RawData[Quantity],C7616,RawData[Price Per Unit],D7616,RawData[Total Spent],E7616,RawData[Payment Method],F7616,RawData[Location],G7616,RawData[Transaction Date],H7616)</f>
        <v>1</v>
      </c>
      <c r="L7616"/>
    </row>
    <row r="7617" spans="1:12" x14ac:dyDescent="0.3">
      <c r="A7617" t="s">
        <v>7623</v>
      </c>
      <c r="B7617" t="s">
        <v>10013</v>
      </c>
      <c r="C7617">
        <v>2</v>
      </c>
      <c r="D7617">
        <v>3</v>
      </c>
      <c r="E7617">
        <v>6</v>
      </c>
      <c r="F7617" t="s">
        <v>10019</v>
      </c>
      <c r="G7617" t="s">
        <v>10102</v>
      </c>
      <c r="H7617" s="6">
        <v>45062</v>
      </c>
      <c r="I7617">
        <f t="shared" si="236"/>
        <v>1</v>
      </c>
      <c r="J7617" t="str">
        <f t="shared" si="237"/>
        <v>Complete</v>
      </c>
      <c r="K7617">
        <f>COUNTIFS(RawData[Item], B7617,RawData[Quantity],C7617,RawData[Price Per Unit],D7617,RawData[Total Spent],E7617,RawData[Payment Method],F7617,RawData[Location],G7617,RawData[Transaction Date],H7617)</f>
        <v>1</v>
      </c>
      <c r="L7617"/>
    </row>
    <row r="7618" spans="1:12" x14ac:dyDescent="0.3">
      <c r="A7618" t="s">
        <v>7624</v>
      </c>
      <c r="B7618" t="s">
        <v>10009</v>
      </c>
      <c r="C7618">
        <v>5</v>
      </c>
      <c r="D7618">
        <v>3</v>
      </c>
      <c r="E7618">
        <v>15</v>
      </c>
      <c r="F7618" t="s">
        <v>10069</v>
      </c>
      <c r="G7618" t="s">
        <v>10102</v>
      </c>
      <c r="H7618" s="6">
        <v>45243</v>
      </c>
      <c r="I7618">
        <f t="shared" ref="I7618:I7681" si="238">(B7618="Unknown")+(B7618="Error")+(C7618="Unknown")+(C7618="Error")+(D7618="Unknown")+(D7618="Error")+(E7618="Unknown")+(E7618="Error")+(F7618="Unknown")+(F7618="Error")+(G7618="Unknown")+(G7618="Error")+(H7618="No Date")</f>
        <v>0</v>
      </c>
      <c r="J7618" t="str">
        <f t="shared" ref="J7618:J7681" si="239">IF((H7618="No Date"),"Incomplete","Complete")</f>
        <v>Complete</v>
      </c>
      <c r="K7618">
        <f>COUNTIFS(RawData[Item], B7618,RawData[Quantity],C7618,RawData[Price Per Unit],D7618,RawData[Total Spent],E7618,RawData[Payment Method],F7618,RawData[Location],G7618,RawData[Transaction Date],H7618)</f>
        <v>1</v>
      </c>
      <c r="L7618"/>
    </row>
    <row r="7619" spans="1:12" x14ac:dyDescent="0.3">
      <c r="A7619" t="s">
        <v>7625</v>
      </c>
      <c r="B7619" t="s">
        <v>10012</v>
      </c>
      <c r="C7619">
        <v>2</v>
      </c>
      <c r="D7619">
        <v>4</v>
      </c>
      <c r="E7619">
        <v>8</v>
      </c>
      <c r="F7619" t="s">
        <v>10020</v>
      </c>
      <c r="G7619" t="s">
        <v>10021</v>
      </c>
      <c r="H7619" s="6">
        <v>45040</v>
      </c>
      <c r="I7619">
        <f t="shared" si="238"/>
        <v>0</v>
      </c>
      <c r="J7619" t="str">
        <f t="shared" si="239"/>
        <v>Complete</v>
      </c>
      <c r="K7619">
        <f>COUNTIFS(RawData[Item], B7619,RawData[Quantity],C7619,RawData[Price Per Unit],D7619,RawData[Total Spent],E7619,RawData[Payment Method],F7619,RawData[Location],G7619,RawData[Transaction Date],H7619)</f>
        <v>1</v>
      </c>
      <c r="L7619"/>
    </row>
    <row r="7620" spans="1:12" x14ac:dyDescent="0.3">
      <c r="A7620" t="s">
        <v>7626</v>
      </c>
      <c r="B7620" t="s">
        <v>10017</v>
      </c>
      <c r="C7620">
        <v>2</v>
      </c>
      <c r="D7620">
        <v>1.5</v>
      </c>
      <c r="E7620">
        <v>3</v>
      </c>
      <c r="F7620" t="s">
        <v>10069</v>
      </c>
      <c r="G7620" t="s">
        <v>10021</v>
      </c>
      <c r="H7620" s="6">
        <v>45169</v>
      </c>
      <c r="I7620">
        <f t="shared" si="238"/>
        <v>0</v>
      </c>
      <c r="J7620" t="str">
        <f t="shared" si="239"/>
        <v>Complete</v>
      </c>
      <c r="K7620">
        <f>COUNTIFS(RawData[Item], B7620,RawData[Quantity],C7620,RawData[Price Per Unit],D7620,RawData[Total Spent],E7620,RawData[Payment Method],F7620,RawData[Location],G7620,RawData[Transaction Date],H7620)</f>
        <v>1</v>
      </c>
      <c r="L7620"/>
    </row>
    <row r="7621" spans="1:12" x14ac:dyDescent="0.3">
      <c r="A7621" t="s">
        <v>7627</v>
      </c>
      <c r="B7621" t="s">
        <v>10010</v>
      </c>
      <c r="C7621">
        <v>2</v>
      </c>
      <c r="D7621">
        <v>1</v>
      </c>
      <c r="E7621">
        <v>2</v>
      </c>
      <c r="F7621" t="s">
        <v>10019</v>
      </c>
      <c r="G7621" t="s">
        <v>10069</v>
      </c>
      <c r="H7621" s="6">
        <v>45044</v>
      </c>
      <c r="I7621">
        <f t="shared" si="238"/>
        <v>0</v>
      </c>
      <c r="J7621" t="str">
        <f t="shared" si="239"/>
        <v>Complete</v>
      </c>
      <c r="K7621">
        <f>COUNTIFS(RawData[Item], B7621,RawData[Quantity],C7621,RawData[Price Per Unit],D7621,RawData[Total Spent],E7621,RawData[Payment Method],F7621,RawData[Location],G7621,RawData[Transaction Date],H7621)</f>
        <v>1</v>
      </c>
      <c r="L7621"/>
    </row>
    <row r="7622" spans="1:12" x14ac:dyDescent="0.3">
      <c r="A7622" t="s">
        <v>7628</v>
      </c>
      <c r="B7622" t="s">
        <v>10017</v>
      </c>
      <c r="C7622">
        <v>2</v>
      </c>
      <c r="D7622">
        <v>1.5</v>
      </c>
      <c r="E7622">
        <v>3</v>
      </c>
      <c r="F7622" t="s">
        <v>10069</v>
      </c>
      <c r="G7622" t="s">
        <v>10069</v>
      </c>
      <c r="H7622" s="6">
        <v>45024</v>
      </c>
      <c r="I7622">
        <f t="shared" si="238"/>
        <v>0</v>
      </c>
      <c r="J7622" t="str">
        <f t="shared" si="239"/>
        <v>Complete</v>
      </c>
      <c r="K7622">
        <f>COUNTIFS(RawData[Item], B7622,RawData[Quantity],C7622,RawData[Price Per Unit],D7622,RawData[Total Spent],E7622,RawData[Payment Method],F7622,RawData[Location],G7622,RawData[Transaction Date],H7622)</f>
        <v>1</v>
      </c>
      <c r="L7622"/>
    </row>
    <row r="7623" spans="1:12" x14ac:dyDescent="0.3">
      <c r="A7623" t="s">
        <v>7629</v>
      </c>
      <c r="B7623" t="s">
        <v>10010</v>
      </c>
      <c r="C7623">
        <v>2</v>
      </c>
      <c r="D7623">
        <v>1</v>
      </c>
      <c r="E7623">
        <v>2</v>
      </c>
      <c r="F7623" t="s">
        <v>10020</v>
      </c>
      <c r="G7623" t="s">
        <v>10021</v>
      </c>
      <c r="H7623" s="6">
        <v>44953</v>
      </c>
      <c r="I7623">
        <f t="shared" si="238"/>
        <v>0</v>
      </c>
      <c r="J7623" t="str">
        <f t="shared" si="239"/>
        <v>Complete</v>
      </c>
      <c r="K7623">
        <f>COUNTIFS(RawData[Item], B7623,RawData[Quantity],C7623,RawData[Price Per Unit],D7623,RawData[Total Spent],E7623,RawData[Payment Method],F7623,RawData[Location],G7623,RawData[Transaction Date],H7623)</f>
        <v>1</v>
      </c>
      <c r="L7623"/>
    </row>
    <row r="7624" spans="1:12" x14ac:dyDescent="0.3">
      <c r="A7624" t="s">
        <v>7630</v>
      </c>
      <c r="B7624" t="s">
        <v>10010</v>
      </c>
      <c r="C7624">
        <v>5</v>
      </c>
      <c r="D7624">
        <v>1</v>
      </c>
      <c r="E7624">
        <v>5</v>
      </c>
      <c r="F7624" t="s">
        <v>10018</v>
      </c>
      <c r="G7624" t="s">
        <v>10103</v>
      </c>
      <c r="H7624" s="6">
        <v>45147</v>
      </c>
      <c r="I7624">
        <f t="shared" si="238"/>
        <v>1</v>
      </c>
      <c r="J7624" t="str">
        <f t="shared" si="239"/>
        <v>Complete</v>
      </c>
      <c r="K7624">
        <f>COUNTIFS(RawData[Item], B7624,RawData[Quantity],C7624,RawData[Price Per Unit],D7624,RawData[Total Spent],E7624,RawData[Payment Method],F7624,RawData[Location],G7624,RawData[Transaction Date],H7624)</f>
        <v>1</v>
      </c>
      <c r="L7624"/>
    </row>
    <row r="7625" spans="1:12" x14ac:dyDescent="0.3">
      <c r="A7625" t="s">
        <v>7631</v>
      </c>
      <c r="B7625" t="s">
        <v>10012</v>
      </c>
      <c r="C7625">
        <v>4</v>
      </c>
      <c r="D7625">
        <v>4</v>
      </c>
      <c r="E7625">
        <v>16</v>
      </c>
      <c r="F7625" t="s">
        <v>10019</v>
      </c>
      <c r="G7625" t="s">
        <v>10021</v>
      </c>
      <c r="H7625" s="6">
        <v>44997</v>
      </c>
      <c r="I7625">
        <f t="shared" si="238"/>
        <v>0</v>
      </c>
      <c r="J7625" t="str">
        <f t="shared" si="239"/>
        <v>Complete</v>
      </c>
      <c r="K7625">
        <f>COUNTIFS(RawData[Item], B7625,RawData[Quantity],C7625,RawData[Price Per Unit],D7625,RawData[Total Spent],E7625,RawData[Payment Method],F7625,RawData[Location],G7625,RawData[Transaction Date],H7625)</f>
        <v>1</v>
      </c>
      <c r="L7625"/>
    </row>
    <row r="7626" spans="1:12" x14ac:dyDescent="0.3">
      <c r="A7626" t="s">
        <v>7632</v>
      </c>
      <c r="B7626" t="s">
        <v>10013</v>
      </c>
      <c r="C7626">
        <v>1</v>
      </c>
      <c r="D7626">
        <v>4</v>
      </c>
      <c r="E7626">
        <v>4</v>
      </c>
      <c r="F7626" t="s">
        <v>10020</v>
      </c>
      <c r="G7626" t="s">
        <v>10021</v>
      </c>
      <c r="H7626" s="6">
        <v>45168</v>
      </c>
      <c r="I7626">
        <f t="shared" si="238"/>
        <v>1</v>
      </c>
      <c r="J7626" t="str">
        <f t="shared" si="239"/>
        <v>Complete</v>
      </c>
      <c r="K7626">
        <f>COUNTIFS(RawData[Item], B7626,RawData[Quantity],C7626,RawData[Price Per Unit],D7626,RawData[Total Spent],E7626,RawData[Payment Method],F7626,RawData[Location],G7626,RawData[Transaction Date],H7626)</f>
        <v>1</v>
      </c>
      <c r="L7626"/>
    </row>
    <row r="7627" spans="1:12" x14ac:dyDescent="0.3">
      <c r="A7627" t="s">
        <v>7633</v>
      </c>
      <c r="B7627" t="s">
        <v>10008</v>
      </c>
      <c r="C7627">
        <v>3</v>
      </c>
      <c r="D7627">
        <v>2</v>
      </c>
      <c r="E7627">
        <v>6</v>
      </c>
      <c r="F7627" t="s">
        <v>10069</v>
      </c>
      <c r="G7627" t="s">
        <v>10102</v>
      </c>
      <c r="H7627" s="6">
        <v>44937</v>
      </c>
      <c r="I7627">
        <f t="shared" si="238"/>
        <v>0</v>
      </c>
      <c r="J7627" t="str">
        <f t="shared" si="239"/>
        <v>Complete</v>
      </c>
      <c r="K7627">
        <f>COUNTIFS(RawData[Item], B7627,RawData[Quantity],C7627,RawData[Price Per Unit],D7627,RawData[Total Spent],E7627,RawData[Payment Method],F7627,RawData[Location],G7627,RawData[Transaction Date],H7627)</f>
        <v>1</v>
      </c>
      <c r="L7627"/>
    </row>
    <row r="7628" spans="1:12" x14ac:dyDescent="0.3">
      <c r="A7628" t="s">
        <v>7634</v>
      </c>
      <c r="B7628" t="s">
        <v>10017</v>
      </c>
      <c r="C7628">
        <v>5</v>
      </c>
      <c r="D7628">
        <v>0</v>
      </c>
      <c r="E7628">
        <v>7.5</v>
      </c>
      <c r="F7628" t="s">
        <v>10018</v>
      </c>
      <c r="G7628" t="s">
        <v>10102</v>
      </c>
      <c r="H7628" s="6">
        <v>45228</v>
      </c>
      <c r="I7628">
        <f t="shared" si="238"/>
        <v>0</v>
      </c>
      <c r="J7628" t="str">
        <f t="shared" si="239"/>
        <v>Complete</v>
      </c>
      <c r="K7628">
        <f>COUNTIFS(RawData[Item], B7628,RawData[Quantity],C7628,RawData[Price Per Unit],D7628,RawData[Total Spent],E7628,RawData[Payment Method],F7628,RawData[Location],G7628,RawData[Transaction Date],H7628)</f>
        <v>1</v>
      </c>
      <c r="L7628"/>
    </row>
    <row r="7629" spans="1:12" x14ac:dyDescent="0.3">
      <c r="A7629" t="s">
        <v>7635</v>
      </c>
      <c r="B7629" t="s">
        <v>10069</v>
      </c>
      <c r="C7629">
        <v>4</v>
      </c>
      <c r="D7629">
        <v>3</v>
      </c>
      <c r="E7629">
        <v>12</v>
      </c>
      <c r="F7629" t="s">
        <v>10019</v>
      </c>
      <c r="G7629" t="s">
        <v>10104</v>
      </c>
      <c r="H7629" s="6">
        <v>45175</v>
      </c>
      <c r="I7629">
        <f t="shared" si="238"/>
        <v>1</v>
      </c>
      <c r="J7629" t="str">
        <f t="shared" si="239"/>
        <v>Complete</v>
      </c>
      <c r="K7629">
        <f>COUNTIFS(RawData[Item], B7629,RawData[Quantity],C7629,RawData[Price Per Unit],D7629,RawData[Total Spent],E7629,RawData[Payment Method],F7629,RawData[Location],G7629,RawData[Transaction Date],H7629)</f>
        <v>1</v>
      </c>
      <c r="L7629"/>
    </row>
    <row r="7630" spans="1:12" x14ac:dyDescent="0.3">
      <c r="A7630" t="s">
        <v>7636</v>
      </c>
      <c r="B7630" t="s">
        <v>10017</v>
      </c>
      <c r="C7630">
        <v>4</v>
      </c>
      <c r="D7630">
        <v>1.5</v>
      </c>
      <c r="E7630">
        <v>6</v>
      </c>
      <c r="F7630" t="s">
        <v>10018</v>
      </c>
      <c r="G7630" t="s">
        <v>10021</v>
      </c>
      <c r="H7630" s="6">
        <v>45158</v>
      </c>
      <c r="I7630">
        <f t="shared" si="238"/>
        <v>0</v>
      </c>
      <c r="J7630" t="str">
        <f t="shared" si="239"/>
        <v>Complete</v>
      </c>
      <c r="K7630">
        <f>COUNTIFS(RawData[Item], B7630,RawData[Quantity],C7630,RawData[Price Per Unit],D7630,RawData[Total Spent],E7630,RawData[Payment Method],F7630,RawData[Location],G7630,RawData[Transaction Date],H7630)</f>
        <v>1</v>
      </c>
      <c r="L7630"/>
    </row>
    <row r="7631" spans="1:12" x14ac:dyDescent="0.3">
      <c r="A7631" t="s">
        <v>7637</v>
      </c>
      <c r="B7631" t="s">
        <v>10012</v>
      </c>
      <c r="C7631">
        <v>5</v>
      </c>
      <c r="D7631" t="s">
        <v>10015</v>
      </c>
      <c r="E7631">
        <v>20</v>
      </c>
      <c r="F7631" t="s">
        <v>10020</v>
      </c>
      <c r="G7631" t="s">
        <v>10021</v>
      </c>
      <c r="H7631" s="6">
        <v>45032</v>
      </c>
      <c r="I7631">
        <f t="shared" si="238"/>
        <v>1</v>
      </c>
      <c r="J7631" t="str">
        <f t="shared" si="239"/>
        <v>Complete</v>
      </c>
      <c r="K7631">
        <f>COUNTIFS(RawData[Item], B7631,RawData[Quantity],C7631,RawData[Price Per Unit],D7631,RawData[Total Spent],E7631,RawData[Payment Method],F7631,RawData[Location],G7631,RawData[Transaction Date],H7631)</f>
        <v>1</v>
      </c>
      <c r="L7631"/>
    </row>
    <row r="7632" spans="1:12" x14ac:dyDescent="0.3">
      <c r="A7632" t="s">
        <v>7638</v>
      </c>
      <c r="B7632" t="s">
        <v>10012</v>
      </c>
      <c r="C7632">
        <v>3</v>
      </c>
      <c r="D7632">
        <v>4</v>
      </c>
      <c r="E7632">
        <v>12</v>
      </c>
      <c r="F7632" t="s">
        <v>10069</v>
      </c>
      <c r="G7632" t="s">
        <v>10069</v>
      </c>
      <c r="H7632" s="6">
        <v>45056</v>
      </c>
      <c r="I7632">
        <f t="shared" si="238"/>
        <v>0</v>
      </c>
      <c r="J7632" t="str">
        <f t="shared" si="239"/>
        <v>Complete</v>
      </c>
      <c r="K7632">
        <f>COUNTIFS(RawData[Item], B7632,RawData[Quantity],C7632,RawData[Price Per Unit],D7632,RawData[Total Spent],E7632,RawData[Payment Method],F7632,RawData[Location],G7632,RawData[Transaction Date],H7632)</f>
        <v>1</v>
      </c>
      <c r="L7632"/>
    </row>
    <row r="7633" spans="1:12" x14ac:dyDescent="0.3">
      <c r="A7633" t="s">
        <v>7639</v>
      </c>
      <c r="B7633" t="s">
        <v>10012</v>
      </c>
      <c r="C7633">
        <v>1</v>
      </c>
      <c r="D7633">
        <v>4</v>
      </c>
      <c r="E7633">
        <v>4</v>
      </c>
      <c r="F7633" t="s">
        <v>10018</v>
      </c>
      <c r="G7633" t="s">
        <v>10069</v>
      </c>
      <c r="H7633" s="6">
        <v>45026</v>
      </c>
      <c r="I7633">
        <f t="shared" si="238"/>
        <v>0</v>
      </c>
      <c r="J7633" t="str">
        <f t="shared" si="239"/>
        <v>Complete</v>
      </c>
      <c r="K7633">
        <f>COUNTIFS(RawData[Item], B7633,RawData[Quantity],C7633,RawData[Price Per Unit],D7633,RawData[Total Spent],E7633,RawData[Payment Method],F7633,RawData[Location],G7633,RawData[Transaction Date],H7633)</f>
        <v>1</v>
      </c>
      <c r="L7633"/>
    </row>
    <row r="7634" spans="1:12" x14ac:dyDescent="0.3">
      <c r="A7634" t="s">
        <v>7640</v>
      </c>
      <c r="B7634" t="s">
        <v>10008</v>
      </c>
      <c r="C7634">
        <v>5</v>
      </c>
      <c r="D7634">
        <v>2</v>
      </c>
      <c r="E7634">
        <v>10</v>
      </c>
      <c r="F7634" t="s">
        <v>10069</v>
      </c>
      <c r="G7634" t="s">
        <v>10069</v>
      </c>
      <c r="H7634" s="6">
        <v>45001</v>
      </c>
      <c r="I7634">
        <f t="shared" si="238"/>
        <v>0</v>
      </c>
      <c r="J7634" t="str">
        <f t="shared" si="239"/>
        <v>Complete</v>
      </c>
      <c r="K7634">
        <f>COUNTIFS(RawData[Item], B7634,RawData[Quantity],C7634,RawData[Price Per Unit],D7634,RawData[Total Spent],E7634,RawData[Payment Method],F7634,RawData[Location],G7634,RawData[Transaction Date],H7634)</f>
        <v>1</v>
      </c>
      <c r="L7634"/>
    </row>
    <row r="7635" spans="1:12" x14ac:dyDescent="0.3">
      <c r="A7635" t="s">
        <v>7641</v>
      </c>
      <c r="B7635" t="s">
        <v>10008</v>
      </c>
      <c r="C7635">
        <v>2</v>
      </c>
      <c r="D7635">
        <v>2</v>
      </c>
      <c r="E7635">
        <v>4</v>
      </c>
      <c r="F7635" t="s">
        <v>10019</v>
      </c>
      <c r="G7635" t="s">
        <v>10069</v>
      </c>
      <c r="H7635" s="6">
        <v>45263</v>
      </c>
      <c r="I7635">
        <f t="shared" si="238"/>
        <v>0</v>
      </c>
      <c r="J7635" t="str">
        <f t="shared" si="239"/>
        <v>Complete</v>
      </c>
      <c r="K7635">
        <f>COUNTIFS(RawData[Item], B7635,RawData[Quantity],C7635,RawData[Price Per Unit],D7635,RawData[Total Spent],E7635,RawData[Payment Method],F7635,RawData[Location],G7635,RawData[Transaction Date],H7635)</f>
        <v>1</v>
      </c>
      <c r="L7635"/>
    </row>
    <row r="7636" spans="1:12" x14ac:dyDescent="0.3">
      <c r="A7636" t="s">
        <v>7642</v>
      </c>
      <c r="B7636" t="s">
        <v>10014</v>
      </c>
      <c r="C7636">
        <v>1</v>
      </c>
      <c r="D7636">
        <v>4</v>
      </c>
      <c r="E7636">
        <v>4</v>
      </c>
      <c r="F7636" t="s">
        <v>10103</v>
      </c>
      <c r="G7636" t="s">
        <v>10103</v>
      </c>
      <c r="H7636" s="6">
        <v>45124</v>
      </c>
      <c r="I7636">
        <f t="shared" si="238"/>
        <v>2</v>
      </c>
      <c r="J7636" t="str">
        <f t="shared" si="239"/>
        <v>Complete</v>
      </c>
      <c r="K7636">
        <f>COUNTIFS(RawData[Item], B7636,RawData[Quantity],C7636,RawData[Price Per Unit],D7636,RawData[Total Spent],E7636,RawData[Payment Method],F7636,RawData[Location],G7636,RawData[Transaction Date],H7636)</f>
        <v>1</v>
      </c>
      <c r="L7636"/>
    </row>
    <row r="7637" spans="1:12" x14ac:dyDescent="0.3">
      <c r="A7637" t="s">
        <v>7643</v>
      </c>
      <c r="B7637" t="s">
        <v>10013</v>
      </c>
      <c r="C7637">
        <v>5</v>
      </c>
      <c r="D7637">
        <v>1</v>
      </c>
      <c r="E7637">
        <v>5</v>
      </c>
      <c r="F7637" t="s">
        <v>10018</v>
      </c>
      <c r="G7637" t="s">
        <v>10021</v>
      </c>
      <c r="H7637" s="6">
        <v>45207</v>
      </c>
      <c r="I7637">
        <f t="shared" si="238"/>
        <v>1</v>
      </c>
      <c r="J7637" t="str">
        <f t="shared" si="239"/>
        <v>Complete</v>
      </c>
      <c r="K7637">
        <f>COUNTIFS(RawData[Item], B7637,RawData[Quantity],C7637,RawData[Price Per Unit],D7637,RawData[Total Spent],E7637,RawData[Payment Method],F7637,RawData[Location],G7637,RawData[Transaction Date],H7637)</f>
        <v>1</v>
      </c>
      <c r="L7637"/>
    </row>
    <row r="7638" spans="1:12" x14ac:dyDescent="0.3">
      <c r="A7638" t="s">
        <v>7644</v>
      </c>
      <c r="B7638" t="s">
        <v>10008</v>
      </c>
      <c r="C7638">
        <v>3</v>
      </c>
      <c r="D7638">
        <v>2</v>
      </c>
      <c r="E7638">
        <v>0</v>
      </c>
      <c r="F7638" t="s">
        <v>10069</v>
      </c>
      <c r="G7638" t="s">
        <v>10102</v>
      </c>
      <c r="H7638" s="6">
        <v>44962</v>
      </c>
      <c r="I7638">
        <f t="shared" si="238"/>
        <v>0</v>
      </c>
      <c r="J7638" t="str">
        <f t="shared" si="239"/>
        <v>Complete</v>
      </c>
      <c r="K7638">
        <f>COUNTIFS(RawData[Item], B7638,RawData[Quantity],C7638,RawData[Price Per Unit],D7638,RawData[Total Spent],E7638,RawData[Payment Method],F7638,RawData[Location],G7638,RawData[Transaction Date],H7638)</f>
        <v>1</v>
      </c>
      <c r="L7638"/>
    </row>
    <row r="7639" spans="1:12" x14ac:dyDescent="0.3">
      <c r="A7639" t="s">
        <v>7645</v>
      </c>
      <c r="B7639" t="s">
        <v>10017</v>
      </c>
      <c r="C7639">
        <v>5</v>
      </c>
      <c r="D7639">
        <v>1.5</v>
      </c>
      <c r="E7639">
        <v>7.5</v>
      </c>
      <c r="F7639" t="s">
        <v>10019</v>
      </c>
      <c r="G7639" t="s">
        <v>10102</v>
      </c>
      <c r="H7639" s="6">
        <v>44949</v>
      </c>
      <c r="I7639">
        <f t="shared" si="238"/>
        <v>0</v>
      </c>
      <c r="J7639" t="str">
        <f t="shared" si="239"/>
        <v>Complete</v>
      </c>
      <c r="K7639">
        <f>COUNTIFS(RawData[Item], B7639,RawData[Quantity],C7639,RawData[Price Per Unit],D7639,RawData[Total Spent],E7639,RawData[Payment Method],F7639,RawData[Location],G7639,RawData[Transaction Date],H7639)</f>
        <v>1</v>
      </c>
      <c r="L7639"/>
    </row>
    <row r="7640" spans="1:12" x14ac:dyDescent="0.3">
      <c r="A7640" t="s">
        <v>7646</v>
      </c>
      <c r="B7640" t="s">
        <v>10008</v>
      </c>
      <c r="C7640">
        <v>3</v>
      </c>
      <c r="D7640">
        <v>2</v>
      </c>
      <c r="E7640">
        <v>6</v>
      </c>
      <c r="F7640" t="s">
        <v>10020</v>
      </c>
      <c r="G7640" t="s">
        <v>10069</v>
      </c>
      <c r="H7640" s="6">
        <v>45063</v>
      </c>
      <c r="I7640">
        <f t="shared" si="238"/>
        <v>0</v>
      </c>
      <c r="J7640" t="str">
        <f t="shared" si="239"/>
        <v>Complete</v>
      </c>
      <c r="K7640">
        <f>COUNTIFS(RawData[Item], B7640,RawData[Quantity],C7640,RawData[Price Per Unit],D7640,RawData[Total Spent],E7640,RawData[Payment Method],F7640,RawData[Location],G7640,RawData[Transaction Date],H7640)</f>
        <v>1</v>
      </c>
      <c r="L7640"/>
    </row>
    <row r="7641" spans="1:12" x14ac:dyDescent="0.3">
      <c r="A7641" t="s">
        <v>7647</v>
      </c>
      <c r="B7641" t="s">
        <v>10011</v>
      </c>
      <c r="C7641">
        <v>4</v>
      </c>
      <c r="D7641">
        <v>5</v>
      </c>
      <c r="E7641">
        <v>20</v>
      </c>
      <c r="F7641" t="s">
        <v>10018</v>
      </c>
      <c r="G7641" t="s">
        <v>10021</v>
      </c>
      <c r="H7641" s="6">
        <v>44954</v>
      </c>
      <c r="I7641">
        <f t="shared" si="238"/>
        <v>0</v>
      </c>
      <c r="J7641" t="str">
        <f t="shared" si="239"/>
        <v>Complete</v>
      </c>
      <c r="K7641">
        <f>COUNTIFS(RawData[Item], B7641,RawData[Quantity],C7641,RawData[Price Per Unit],D7641,RawData[Total Spent],E7641,RawData[Payment Method],F7641,RawData[Location],G7641,RawData[Transaction Date],H7641)</f>
        <v>1</v>
      </c>
      <c r="L7641"/>
    </row>
    <row r="7642" spans="1:12" x14ac:dyDescent="0.3">
      <c r="A7642" t="s">
        <v>7648</v>
      </c>
      <c r="B7642" t="s">
        <v>10011</v>
      </c>
      <c r="C7642">
        <v>4</v>
      </c>
      <c r="D7642">
        <v>5</v>
      </c>
      <c r="E7642">
        <v>20</v>
      </c>
      <c r="F7642" t="s">
        <v>10019</v>
      </c>
      <c r="G7642" t="s">
        <v>10069</v>
      </c>
      <c r="H7642" s="6">
        <v>44935</v>
      </c>
      <c r="I7642">
        <f t="shared" si="238"/>
        <v>0</v>
      </c>
      <c r="J7642" t="str">
        <f t="shared" si="239"/>
        <v>Complete</v>
      </c>
      <c r="K7642">
        <f>COUNTIFS(RawData[Item], B7642,RawData[Quantity],C7642,RawData[Price Per Unit],D7642,RawData[Total Spent],E7642,RawData[Payment Method],F7642,RawData[Location],G7642,RawData[Transaction Date],H7642)</f>
        <v>1</v>
      </c>
      <c r="L7642"/>
    </row>
    <row r="7643" spans="1:12" x14ac:dyDescent="0.3">
      <c r="A7643" t="s">
        <v>7649</v>
      </c>
      <c r="B7643" t="s">
        <v>10012</v>
      </c>
      <c r="C7643">
        <v>2</v>
      </c>
      <c r="D7643">
        <v>4</v>
      </c>
      <c r="E7643">
        <v>8</v>
      </c>
      <c r="F7643" t="s">
        <v>10018</v>
      </c>
      <c r="G7643" t="s">
        <v>10069</v>
      </c>
      <c r="H7643" s="6">
        <v>44980</v>
      </c>
      <c r="I7643">
        <f t="shared" si="238"/>
        <v>0</v>
      </c>
      <c r="J7643" t="str">
        <f t="shared" si="239"/>
        <v>Complete</v>
      </c>
      <c r="K7643">
        <f>COUNTIFS(RawData[Item], B7643,RawData[Quantity],C7643,RawData[Price Per Unit],D7643,RawData[Total Spent],E7643,RawData[Payment Method],F7643,RawData[Location],G7643,RawData[Transaction Date],H7643)</f>
        <v>1</v>
      </c>
      <c r="L7643"/>
    </row>
    <row r="7644" spans="1:12" x14ac:dyDescent="0.3">
      <c r="A7644" t="s">
        <v>7650</v>
      </c>
      <c r="B7644" t="s">
        <v>10013</v>
      </c>
      <c r="C7644">
        <v>2</v>
      </c>
      <c r="D7644">
        <v>2</v>
      </c>
      <c r="E7644">
        <v>4</v>
      </c>
      <c r="F7644" t="s">
        <v>10019</v>
      </c>
      <c r="G7644" t="s">
        <v>10021</v>
      </c>
      <c r="H7644" s="6">
        <v>45122</v>
      </c>
      <c r="I7644">
        <f t="shared" si="238"/>
        <v>1</v>
      </c>
      <c r="J7644" t="str">
        <f t="shared" si="239"/>
        <v>Complete</v>
      </c>
      <c r="K7644">
        <f>COUNTIFS(RawData[Item], B7644,RawData[Quantity],C7644,RawData[Price Per Unit],D7644,RawData[Total Spent],E7644,RawData[Payment Method],F7644,RawData[Location],G7644,RawData[Transaction Date],H7644)</f>
        <v>1</v>
      </c>
      <c r="L7644"/>
    </row>
    <row r="7645" spans="1:12" x14ac:dyDescent="0.3">
      <c r="A7645" t="s">
        <v>7651</v>
      </c>
      <c r="B7645" t="s">
        <v>10013</v>
      </c>
      <c r="C7645">
        <v>2</v>
      </c>
      <c r="D7645">
        <v>2</v>
      </c>
      <c r="E7645">
        <v>4</v>
      </c>
      <c r="F7645" t="s">
        <v>10019</v>
      </c>
      <c r="G7645" t="s">
        <v>10069</v>
      </c>
      <c r="H7645" s="6">
        <v>45094</v>
      </c>
      <c r="I7645">
        <f t="shared" si="238"/>
        <v>1</v>
      </c>
      <c r="J7645" t="str">
        <f t="shared" si="239"/>
        <v>Complete</v>
      </c>
      <c r="K7645">
        <f>COUNTIFS(RawData[Item], B7645,RawData[Quantity],C7645,RawData[Price Per Unit],D7645,RawData[Total Spent],E7645,RawData[Payment Method],F7645,RawData[Location],G7645,RawData[Transaction Date],H7645)</f>
        <v>1</v>
      </c>
      <c r="L7645"/>
    </row>
    <row r="7646" spans="1:12" x14ac:dyDescent="0.3">
      <c r="A7646" t="s">
        <v>7652</v>
      </c>
      <c r="B7646" t="s">
        <v>10012</v>
      </c>
      <c r="C7646">
        <v>4</v>
      </c>
      <c r="D7646">
        <v>4</v>
      </c>
      <c r="E7646">
        <v>16</v>
      </c>
      <c r="F7646" t="s">
        <v>10103</v>
      </c>
      <c r="G7646" t="s">
        <v>10021</v>
      </c>
      <c r="H7646" s="6">
        <v>45012</v>
      </c>
      <c r="I7646">
        <f t="shared" si="238"/>
        <v>1</v>
      </c>
      <c r="J7646" t="str">
        <f t="shared" si="239"/>
        <v>Complete</v>
      </c>
      <c r="K7646">
        <f>COUNTIFS(RawData[Item], B7646,RawData[Quantity],C7646,RawData[Price Per Unit],D7646,RawData[Total Spent],E7646,RawData[Payment Method],F7646,RawData[Location],G7646,RawData[Transaction Date],H7646)</f>
        <v>1</v>
      </c>
      <c r="L7646"/>
    </row>
    <row r="7647" spans="1:12" x14ac:dyDescent="0.3">
      <c r="A7647" t="s">
        <v>7653</v>
      </c>
      <c r="B7647" t="s">
        <v>10012</v>
      </c>
      <c r="C7647">
        <v>3</v>
      </c>
      <c r="D7647">
        <v>4</v>
      </c>
      <c r="E7647">
        <v>12</v>
      </c>
      <c r="F7647" t="s">
        <v>10020</v>
      </c>
      <c r="G7647" t="s">
        <v>10021</v>
      </c>
      <c r="H7647" s="6">
        <v>44972</v>
      </c>
      <c r="I7647">
        <f t="shared" si="238"/>
        <v>0</v>
      </c>
      <c r="J7647" t="str">
        <f t="shared" si="239"/>
        <v>Complete</v>
      </c>
      <c r="K7647">
        <f>COUNTIFS(RawData[Item], B7647,RawData[Quantity],C7647,RawData[Price Per Unit],D7647,RawData[Total Spent],E7647,RawData[Payment Method],F7647,RawData[Location],G7647,RawData[Transaction Date],H7647)</f>
        <v>1</v>
      </c>
      <c r="L7647"/>
    </row>
    <row r="7648" spans="1:12" x14ac:dyDescent="0.3">
      <c r="A7648" t="s">
        <v>7654</v>
      </c>
      <c r="B7648" t="s">
        <v>10008</v>
      </c>
      <c r="C7648">
        <v>5</v>
      </c>
      <c r="D7648">
        <v>2</v>
      </c>
      <c r="E7648">
        <v>10</v>
      </c>
      <c r="F7648" t="s">
        <v>10018</v>
      </c>
      <c r="G7648" t="s">
        <v>10021</v>
      </c>
      <c r="H7648" s="6">
        <v>45229</v>
      </c>
      <c r="I7648">
        <f t="shared" si="238"/>
        <v>0</v>
      </c>
      <c r="J7648" t="str">
        <f t="shared" si="239"/>
        <v>Complete</v>
      </c>
      <c r="K7648">
        <f>COUNTIFS(RawData[Item], B7648,RawData[Quantity],C7648,RawData[Price Per Unit],D7648,RawData[Total Spent],E7648,RawData[Payment Method],F7648,RawData[Location],G7648,RawData[Transaction Date],H7648)</f>
        <v>1</v>
      </c>
      <c r="L7648"/>
    </row>
    <row r="7649" spans="1:12" x14ac:dyDescent="0.3">
      <c r="A7649" t="s">
        <v>7655</v>
      </c>
      <c r="B7649" t="s">
        <v>10014</v>
      </c>
      <c r="C7649">
        <v>5</v>
      </c>
      <c r="D7649">
        <v>4</v>
      </c>
      <c r="E7649">
        <v>20</v>
      </c>
      <c r="F7649" t="s">
        <v>10020</v>
      </c>
      <c r="G7649" t="s">
        <v>10102</v>
      </c>
      <c r="H7649" s="6">
        <v>45138</v>
      </c>
      <c r="I7649">
        <f t="shared" si="238"/>
        <v>0</v>
      </c>
      <c r="J7649" t="str">
        <f t="shared" si="239"/>
        <v>Complete</v>
      </c>
      <c r="K7649">
        <f>COUNTIFS(RawData[Item], B7649,RawData[Quantity],C7649,RawData[Price Per Unit],D7649,RawData[Total Spent],E7649,RawData[Payment Method],F7649,RawData[Location],G7649,RawData[Transaction Date],H7649)</f>
        <v>1</v>
      </c>
      <c r="L7649"/>
    </row>
    <row r="7650" spans="1:12" x14ac:dyDescent="0.3">
      <c r="A7650" t="s">
        <v>7656</v>
      </c>
      <c r="B7650" t="s">
        <v>10016</v>
      </c>
      <c r="C7650">
        <v>3</v>
      </c>
      <c r="D7650">
        <v>3</v>
      </c>
      <c r="E7650">
        <v>9</v>
      </c>
      <c r="F7650" t="s">
        <v>10019</v>
      </c>
      <c r="G7650" t="s">
        <v>10069</v>
      </c>
      <c r="H7650" s="6">
        <v>45277</v>
      </c>
      <c r="I7650">
        <f t="shared" si="238"/>
        <v>0</v>
      </c>
      <c r="J7650" t="str">
        <f t="shared" si="239"/>
        <v>Complete</v>
      </c>
      <c r="K7650">
        <f>COUNTIFS(RawData[Item], B7650,RawData[Quantity],C7650,RawData[Price Per Unit],D7650,RawData[Total Spent],E7650,RawData[Payment Method],F7650,RawData[Location],G7650,RawData[Transaction Date],H7650)</f>
        <v>1</v>
      </c>
      <c r="L7650"/>
    </row>
    <row r="7651" spans="1:12" x14ac:dyDescent="0.3">
      <c r="A7651" t="s">
        <v>7657</v>
      </c>
      <c r="B7651" t="s">
        <v>10010</v>
      </c>
      <c r="C7651">
        <v>3</v>
      </c>
      <c r="D7651">
        <v>1</v>
      </c>
      <c r="E7651">
        <v>3</v>
      </c>
      <c r="F7651" t="s">
        <v>10018</v>
      </c>
      <c r="G7651" t="s">
        <v>10069</v>
      </c>
      <c r="H7651" s="6">
        <v>44970</v>
      </c>
      <c r="I7651">
        <f t="shared" si="238"/>
        <v>0</v>
      </c>
      <c r="J7651" t="str">
        <f t="shared" si="239"/>
        <v>Complete</v>
      </c>
      <c r="K7651">
        <f>COUNTIFS(RawData[Item], B7651,RawData[Quantity],C7651,RawData[Price Per Unit],D7651,RawData[Total Spent],E7651,RawData[Payment Method],F7651,RawData[Location],G7651,RawData[Transaction Date],H7651)</f>
        <v>1</v>
      </c>
      <c r="L7651"/>
    </row>
    <row r="7652" spans="1:12" x14ac:dyDescent="0.3">
      <c r="A7652" t="s">
        <v>7658</v>
      </c>
      <c r="B7652" t="s">
        <v>10012</v>
      </c>
      <c r="C7652">
        <v>1</v>
      </c>
      <c r="D7652">
        <v>4</v>
      </c>
      <c r="E7652" t="s">
        <v>10015</v>
      </c>
      <c r="F7652" t="s">
        <v>10018</v>
      </c>
      <c r="G7652" t="s">
        <v>10069</v>
      </c>
      <c r="H7652" s="6">
        <v>45282</v>
      </c>
      <c r="I7652">
        <f t="shared" si="238"/>
        <v>1</v>
      </c>
      <c r="J7652" t="str">
        <f t="shared" si="239"/>
        <v>Complete</v>
      </c>
      <c r="K7652">
        <f>COUNTIFS(RawData[Item], B7652,RawData[Quantity],C7652,RawData[Price Per Unit],D7652,RawData[Total Spent],E7652,RawData[Payment Method],F7652,RawData[Location],G7652,RawData[Transaction Date],H7652)</f>
        <v>1</v>
      </c>
      <c r="L7652"/>
    </row>
    <row r="7653" spans="1:12" x14ac:dyDescent="0.3">
      <c r="A7653" t="s">
        <v>7659</v>
      </c>
      <c r="B7653" t="s">
        <v>10011</v>
      </c>
      <c r="C7653">
        <v>3</v>
      </c>
      <c r="D7653">
        <v>5</v>
      </c>
      <c r="E7653">
        <v>0</v>
      </c>
      <c r="F7653" t="s">
        <v>10019</v>
      </c>
      <c r="G7653" t="s">
        <v>10102</v>
      </c>
      <c r="H7653" s="6">
        <v>45087</v>
      </c>
      <c r="I7653">
        <f t="shared" si="238"/>
        <v>0</v>
      </c>
      <c r="J7653" t="str">
        <f t="shared" si="239"/>
        <v>Complete</v>
      </c>
      <c r="K7653">
        <f>COUNTIFS(RawData[Item], B7653,RawData[Quantity],C7653,RawData[Price Per Unit],D7653,RawData[Total Spent],E7653,RawData[Payment Method],F7653,RawData[Location],G7653,RawData[Transaction Date],H7653)</f>
        <v>1</v>
      </c>
      <c r="L7653"/>
    </row>
    <row r="7654" spans="1:12" x14ac:dyDescent="0.3">
      <c r="A7654" t="s">
        <v>7660</v>
      </c>
      <c r="B7654" t="s">
        <v>10014</v>
      </c>
      <c r="C7654">
        <v>3</v>
      </c>
      <c r="D7654">
        <v>4</v>
      </c>
      <c r="E7654">
        <v>12</v>
      </c>
      <c r="F7654" t="s">
        <v>10103</v>
      </c>
      <c r="G7654" t="s">
        <v>10021</v>
      </c>
      <c r="H7654" s="6">
        <v>44930</v>
      </c>
      <c r="I7654">
        <f t="shared" si="238"/>
        <v>1</v>
      </c>
      <c r="J7654" t="str">
        <f t="shared" si="239"/>
        <v>Complete</v>
      </c>
      <c r="K7654">
        <f>COUNTIFS(RawData[Item], B7654,RawData[Quantity],C7654,RawData[Price Per Unit],D7654,RawData[Total Spent],E7654,RawData[Payment Method],F7654,RawData[Location],G7654,RawData[Transaction Date],H7654)</f>
        <v>1</v>
      </c>
      <c r="L7654"/>
    </row>
    <row r="7655" spans="1:12" x14ac:dyDescent="0.3">
      <c r="A7655" t="s">
        <v>7661</v>
      </c>
      <c r="B7655" t="s">
        <v>10011</v>
      </c>
      <c r="C7655">
        <v>4</v>
      </c>
      <c r="D7655">
        <v>5</v>
      </c>
      <c r="E7655">
        <v>20</v>
      </c>
      <c r="F7655" t="s">
        <v>10020</v>
      </c>
      <c r="G7655" t="s">
        <v>10102</v>
      </c>
      <c r="H7655" s="6">
        <v>45148</v>
      </c>
      <c r="I7655">
        <f t="shared" si="238"/>
        <v>0</v>
      </c>
      <c r="J7655" t="str">
        <f t="shared" si="239"/>
        <v>Complete</v>
      </c>
      <c r="K7655">
        <f>COUNTIFS(RawData[Item], B7655,RawData[Quantity],C7655,RawData[Price Per Unit],D7655,RawData[Total Spent],E7655,RawData[Payment Method],F7655,RawData[Location],G7655,RawData[Transaction Date],H7655)</f>
        <v>1</v>
      </c>
      <c r="L7655"/>
    </row>
    <row r="7656" spans="1:12" x14ac:dyDescent="0.3">
      <c r="A7656" t="s">
        <v>7662</v>
      </c>
      <c r="B7656" t="s">
        <v>10011</v>
      </c>
      <c r="C7656">
        <v>2</v>
      </c>
      <c r="D7656">
        <v>5</v>
      </c>
      <c r="E7656">
        <v>10</v>
      </c>
      <c r="F7656" t="s">
        <v>10104</v>
      </c>
      <c r="G7656" t="s">
        <v>10102</v>
      </c>
      <c r="H7656" s="6">
        <v>44993</v>
      </c>
      <c r="I7656">
        <f t="shared" si="238"/>
        <v>1</v>
      </c>
      <c r="J7656" t="str">
        <f t="shared" si="239"/>
        <v>Complete</v>
      </c>
      <c r="K7656">
        <f>COUNTIFS(RawData[Item], B7656,RawData[Quantity],C7656,RawData[Price Per Unit],D7656,RawData[Total Spent],E7656,RawData[Payment Method],F7656,RawData[Location],G7656,RawData[Transaction Date],H7656)</f>
        <v>1</v>
      </c>
      <c r="L7656"/>
    </row>
    <row r="7657" spans="1:12" x14ac:dyDescent="0.3">
      <c r="A7657" t="s">
        <v>7663</v>
      </c>
      <c r="B7657" t="s">
        <v>10010</v>
      </c>
      <c r="C7657">
        <v>1</v>
      </c>
      <c r="D7657">
        <v>1</v>
      </c>
      <c r="E7657">
        <v>1</v>
      </c>
      <c r="F7657" t="s">
        <v>10019</v>
      </c>
      <c r="G7657" t="s">
        <v>10069</v>
      </c>
      <c r="H7657" s="6" t="s">
        <v>10112</v>
      </c>
      <c r="I7657">
        <f t="shared" si="238"/>
        <v>1</v>
      </c>
      <c r="J7657" t="str">
        <f t="shared" si="239"/>
        <v>Incomplete</v>
      </c>
      <c r="K7657">
        <f>COUNTIFS(RawData[Item], B7657,RawData[Quantity],C7657,RawData[Price Per Unit],D7657,RawData[Total Spent],E7657,RawData[Payment Method],F7657,RawData[Location],G7657,RawData[Transaction Date],H7657)</f>
        <v>1</v>
      </c>
      <c r="L7657"/>
    </row>
    <row r="7658" spans="1:12" x14ac:dyDescent="0.3">
      <c r="A7658" t="s">
        <v>7664</v>
      </c>
      <c r="B7658" t="s">
        <v>10008</v>
      </c>
      <c r="C7658">
        <v>3</v>
      </c>
      <c r="D7658">
        <v>2</v>
      </c>
      <c r="E7658" t="s">
        <v>10013</v>
      </c>
      <c r="F7658" t="s">
        <v>10019</v>
      </c>
      <c r="G7658" t="s">
        <v>10069</v>
      </c>
      <c r="H7658" s="6">
        <v>45241</v>
      </c>
      <c r="I7658">
        <f t="shared" si="238"/>
        <v>1</v>
      </c>
      <c r="J7658" t="str">
        <f t="shared" si="239"/>
        <v>Complete</v>
      </c>
      <c r="K7658">
        <f>COUNTIFS(RawData[Item], B7658,RawData[Quantity],C7658,RawData[Price Per Unit],D7658,RawData[Total Spent],E7658,RawData[Payment Method],F7658,RawData[Location],G7658,RawData[Transaction Date],H7658)</f>
        <v>1</v>
      </c>
      <c r="L7658"/>
    </row>
    <row r="7659" spans="1:12" x14ac:dyDescent="0.3">
      <c r="A7659" t="s">
        <v>7665</v>
      </c>
      <c r="B7659" t="s">
        <v>10010</v>
      </c>
      <c r="C7659">
        <v>4</v>
      </c>
      <c r="D7659">
        <v>1</v>
      </c>
      <c r="E7659">
        <v>4</v>
      </c>
      <c r="F7659" t="s">
        <v>10018</v>
      </c>
      <c r="G7659" t="s">
        <v>10102</v>
      </c>
      <c r="H7659" s="6">
        <v>45215</v>
      </c>
      <c r="I7659">
        <f t="shared" si="238"/>
        <v>0</v>
      </c>
      <c r="J7659" t="str">
        <f t="shared" si="239"/>
        <v>Complete</v>
      </c>
      <c r="K7659">
        <f>COUNTIFS(RawData[Item], B7659,RawData[Quantity],C7659,RawData[Price Per Unit],D7659,RawData[Total Spent],E7659,RawData[Payment Method],F7659,RawData[Location],G7659,RawData[Transaction Date],H7659)</f>
        <v>1</v>
      </c>
      <c r="L7659"/>
    </row>
    <row r="7660" spans="1:12" x14ac:dyDescent="0.3">
      <c r="A7660" t="s">
        <v>7666</v>
      </c>
      <c r="B7660" t="s">
        <v>10011</v>
      </c>
      <c r="C7660">
        <v>1</v>
      </c>
      <c r="D7660">
        <v>5</v>
      </c>
      <c r="E7660">
        <v>5</v>
      </c>
      <c r="F7660" t="s">
        <v>10069</v>
      </c>
      <c r="G7660" t="s">
        <v>10021</v>
      </c>
      <c r="H7660" s="6">
        <v>45064</v>
      </c>
      <c r="I7660">
        <f t="shared" si="238"/>
        <v>0</v>
      </c>
      <c r="J7660" t="str">
        <f t="shared" si="239"/>
        <v>Complete</v>
      </c>
      <c r="K7660">
        <f>COUNTIFS(RawData[Item], B7660,RawData[Quantity],C7660,RawData[Price Per Unit],D7660,RawData[Total Spent],E7660,RawData[Payment Method],F7660,RawData[Location],G7660,RawData[Transaction Date],H7660)</f>
        <v>1</v>
      </c>
      <c r="L7660"/>
    </row>
    <row r="7661" spans="1:12" x14ac:dyDescent="0.3">
      <c r="A7661" t="s">
        <v>7667</v>
      </c>
      <c r="B7661" t="s">
        <v>10008</v>
      </c>
      <c r="C7661">
        <v>3</v>
      </c>
      <c r="D7661">
        <v>2</v>
      </c>
      <c r="E7661">
        <v>6</v>
      </c>
      <c r="F7661" t="s">
        <v>10069</v>
      </c>
      <c r="G7661" t="s">
        <v>10021</v>
      </c>
      <c r="H7661" s="6">
        <v>45183</v>
      </c>
      <c r="I7661">
        <f t="shared" si="238"/>
        <v>0</v>
      </c>
      <c r="J7661" t="str">
        <f t="shared" si="239"/>
        <v>Complete</v>
      </c>
      <c r="K7661">
        <f>COUNTIFS(RawData[Item], B7661,RawData[Quantity],C7661,RawData[Price Per Unit],D7661,RawData[Total Spent],E7661,RawData[Payment Method],F7661,RawData[Location],G7661,RawData[Transaction Date],H7661)</f>
        <v>1</v>
      </c>
      <c r="L7661"/>
    </row>
    <row r="7662" spans="1:12" x14ac:dyDescent="0.3">
      <c r="A7662" t="s">
        <v>7668</v>
      </c>
      <c r="B7662" t="s">
        <v>10009</v>
      </c>
      <c r="C7662">
        <v>5</v>
      </c>
      <c r="D7662">
        <v>3</v>
      </c>
      <c r="E7662">
        <v>15</v>
      </c>
      <c r="F7662" t="s">
        <v>10020</v>
      </c>
      <c r="G7662" t="s">
        <v>10069</v>
      </c>
      <c r="H7662" s="6" t="s">
        <v>10112</v>
      </c>
      <c r="I7662">
        <f t="shared" si="238"/>
        <v>1</v>
      </c>
      <c r="J7662" t="str">
        <f t="shared" si="239"/>
        <v>Incomplete</v>
      </c>
      <c r="K7662">
        <f>COUNTIFS(RawData[Item], B7662,RawData[Quantity],C7662,RawData[Price Per Unit],D7662,RawData[Total Spent],E7662,RawData[Payment Method],F7662,RawData[Location],G7662,RawData[Transaction Date],H7662)</f>
        <v>1</v>
      </c>
      <c r="L7662"/>
    </row>
    <row r="7663" spans="1:12" x14ac:dyDescent="0.3">
      <c r="A7663" t="s">
        <v>7669</v>
      </c>
      <c r="B7663" t="s">
        <v>10008</v>
      </c>
      <c r="C7663">
        <v>3</v>
      </c>
      <c r="D7663">
        <v>2</v>
      </c>
      <c r="E7663">
        <v>6</v>
      </c>
      <c r="F7663" t="s">
        <v>10019</v>
      </c>
      <c r="G7663" t="s">
        <v>10021</v>
      </c>
      <c r="H7663" s="6">
        <v>45226</v>
      </c>
      <c r="I7663">
        <f t="shared" si="238"/>
        <v>0</v>
      </c>
      <c r="J7663" t="str">
        <f t="shared" si="239"/>
        <v>Complete</v>
      </c>
      <c r="K7663">
        <f>COUNTIFS(RawData[Item], B7663,RawData[Quantity],C7663,RawData[Price Per Unit],D7663,RawData[Total Spent],E7663,RawData[Payment Method],F7663,RawData[Location],G7663,RawData[Transaction Date],H7663)</f>
        <v>1</v>
      </c>
      <c r="L7663"/>
    </row>
    <row r="7664" spans="1:12" x14ac:dyDescent="0.3">
      <c r="A7664" t="s">
        <v>7670</v>
      </c>
      <c r="B7664" t="s">
        <v>10017</v>
      </c>
      <c r="C7664">
        <v>3</v>
      </c>
      <c r="D7664">
        <v>1.5</v>
      </c>
      <c r="E7664">
        <v>4.5</v>
      </c>
      <c r="F7664" t="s">
        <v>10069</v>
      </c>
      <c r="G7664" t="s">
        <v>10069</v>
      </c>
      <c r="H7664" s="6">
        <v>45197</v>
      </c>
      <c r="I7664">
        <f t="shared" si="238"/>
        <v>0</v>
      </c>
      <c r="J7664" t="str">
        <f t="shared" si="239"/>
        <v>Complete</v>
      </c>
      <c r="K7664">
        <f>COUNTIFS(RawData[Item], B7664,RawData[Quantity],C7664,RawData[Price Per Unit],D7664,RawData[Total Spent],E7664,RawData[Payment Method],F7664,RawData[Location],G7664,RawData[Transaction Date],H7664)</f>
        <v>1</v>
      </c>
      <c r="L7664"/>
    </row>
    <row r="7665" spans="1:12" x14ac:dyDescent="0.3">
      <c r="A7665" t="s">
        <v>7671</v>
      </c>
      <c r="B7665" t="s">
        <v>10010</v>
      </c>
      <c r="C7665">
        <v>2</v>
      </c>
      <c r="D7665">
        <v>1</v>
      </c>
      <c r="E7665">
        <v>2</v>
      </c>
      <c r="F7665" t="s">
        <v>10069</v>
      </c>
      <c r="G7665" t="s">
        <v>10102</v>
      </c>
      <c r="H7665" s="6">
        <v>45126</v>
      </c>
      <c r="I7665">
        <f t="shared" si="238"/>
        <v>0</v>
      </c>
      <c r="J7665" t="str">
        <f t="shared" si="239"/>
        <v>Complete</v>
      </c>
      <c r="K7665">
        <f>COUNTIFS(RawData[Item], B7665,RawData[Quantity],C7665,RawData[Price Per Unit],D7665,RawData[Total Spent],E7665,RawData[Payment Method],F7665,RawData[Location],G7665,RawData[Transaction Date],H7665)</f>
        <v>1</v>
      </c>
      <c r="L7665"/>
    </row>
    <row r="7666" spans="1:12" x14ac:dyDescent="0.3">
      <c r="A7666" t="s">
        <v>7672</v>
      </c>
      <c r="B7666" t="s">
        <v>10017</v>
      </c>
      <c r="C7666">
        <v>1</v>
      </c>
      <c r="D7666">
        <v>1.5</v>
      </c>
      <c r="E7666">
        <v>0</v>
      </c>
      <c r="F7666" t="s">
        <v>10020</v>
      </c>
      <c r="G7666" t="s">
        <v>10069</v>
      </c>
      <c r="H7666" s="6">
        <v>44938</v>
      </c>
      <c r="I7666">
        <f t="shared" si="238"/>
        <v>0</v>
      </c>
      <c r="J7666" t="str">
        <f t="shared" si="239"/>
        <v>Complete</v>
      </c>
      <c r="K7666">
        <f>COUNTIFS(RawData[Item], B7666,RawData[Quantity],C7666,RawData[Price Per Unit],D7666,RawData[Total Spent],E7666,RawData[Payment Method],F7666,RawData[Location],G7666,RawData[Transaction Date],H7666)</f>
        <v>1</v>
      </c>
      <c r="L7666"/>
    </row>
    <row r="7667" spans="1:12" x14ac:dyDescent="0.3">
      <c r="A7667" t="s">
        <v>7673</v>
      </c>
      <c r="B7667" t="s">
        <v>10009</v>
      </c>
      <c r="C7667">
        <v>5</v>
      </c>
      <c r="D7667">
        <v>3</v>
      </c>
      <c r="E7667">
        <v>15</v>
      </c>
      <c r="F7667" t="s">
        <v>10069</v>
      </c>
      <c r="G7667" t="s">
        <v>10069</v>
      </c>
      <c r="H7667" s="6">
        <v>45277</v>
      </c>
      <c r="I7667">
        <f t="shared" si="238"/>
        <v>0</v>
      </c>
      <c r="J7667" t="str">
        <f t="shared" si="239"/>
        <v>Complete</v>
      </c>
      <c r="K7667">
        <f>COUNTIFS(RawData[Item], B7667,RawData[Quantity],C7667,RawData[Price Per Unit],D7667,RawData[Total Spent],E7667,RawData[Payment Method],F7667,RawData[Location],G7667,RawData[Transaction Date],H7667)</f>
        <v>1</v>
      </c>
      <c r="L7667"/>
    </row>
    <row r="7668" spans="1:12" x14ac:dyDescent="0.3">
      <c r="A7668" t="s">
        <v>7674</v>
      </c>
      <c r="B7668" t="s">
        <v>10010</v>
      </c>
      <c r="C7668">
        <v>4</v>
      </c>
      <c r="D7668">
        <v>1</v>
      </c>
      <c r="E7668">
        <v>4</v>
      </c>
      <c r="F7668" t="s">
        <v>10020</v>
      </c>
      <c r="G7668" t="s">
        <v>10069</v>
      </c>
      <c r="H7668" s="6">
        <v>45247</v>
      </c>
      <c r="I7668">
        <f t="shared" si="238"/>
        <v>0</v>
      </c>
      <c r="J7668" t="str">
        <f t="shared" si="239"/>
        <v>Complete</v>
      </c>
      <c r="K7668">
        <f>COUNTIFS(RawData[Item], B7668,RawData[Quantity],C7668,RawData[Price Per Unit],D7668,RawData[Total Spent],E7668,RawData[Payment Method],F7668,RawData[Location],G7668,RawData[Transaction Date],H7668)</f>
        <v>1</v>
      </c>
      <c r="L7668"/>
    </row>
    <row r="7669" spans="1:12" x14ac:dyDescent="0.3">
      <c r="A7669" t="s">
        <v>7675</v>
      </c>
      <c r="B7669" t="s">
        <v>10014</v>
      </c>
      <c r="C7669">
        <v>5</v>
      </c>
      <c r="D7669">
        <v>4</v>
      </c>
      <c r="E7669">
        <v>20</v>
      </c>
      <c r="F7669" t="s">
        <v>10018</v>
      </c>
      <c r="G7669" t="s">
        <v>10102</v>
      </c>
      <c r="H7669" s="6">
        <v>45159</v>
      </c>
      <c r="I7669">
        <f t="shared" si="238"/>
        <v>0</v>
      </c>
      <c r="J7669" t="str">
        <f t="shared" si="239"/>
        <v>Complete</v>
      </c>
      <c r="K7669">
        <f>COUNTIFS(RawData[Item], B7669,RawData[Quantity],C7669,RawData[Price Per Unit],D7669,RawData[Total Spent],E7669,RawData[Payment Method],F7669,RawData[Location],G7669,RawData[Transaction Date],H7669)</f>
        <v>1</v>
      </c>
      <c r="L7669"/>
    </row>
    <row r="7670" spans="1:12" x14ac:dyDescent="0.3">
      <c r="A7670" t="s">
        <v>7676</v>
      </c>
      <c r="B7670" t="s">
        <v>10014</v>
      </c>
      <c r="C7670">
        <v>5</v>
      </c>
      <c r="D7670">
        <v>4</v>
      </c>
      <c r="E7670">
        <v>20</v>
      </c>
      <c r="F7670" t="s">
        <v>10018</v>
      </c>
      <c r="G7670" t="s">
        <v>10021</v>
      </c>
      <c r="H7670" s="6">
        <v>45090</v>
      </c>
      <c r="I7670">
        <f t="shared" si="238"/>
        <v>0</v>
      </c>
      <c r="J7670" t="str">
        <f t="shared" si="239"/>
        <v>Complete</v>
      </c>
      <c r="K7670">
        <f>COUNTIFS(RawData[Item], B7670,RawData[Quantity],C7670,RawData[Price Per Unit],D7670,RawData[Total Spent],E7670,RawData[Payment Method],F7670,RawData[Location],G7670,RawData[Transaction Date],H7670)</f>
        <v>1</v>
      </c>
      <c r="L7670"/>
    </row>
    <row r="7671" spans="1:12" x14ac:dyDescent="0.3">
      <c r="A7671" t="s">
        <v>7677</v>
      </c>
      <c r="B7671" t="s">
        <v>10016</v>
      </c>
      <c r="C7671">
        <v>2</v>
      </c>
      <c r="D7671">
        <v>3</v>
      </c>
      <c r="E7671">
        <v>6</v>
      </c>
      <c r="F7671" t="s">
        <v>10019</v>
      </c>
      <c r="G7671" t="s">
        <v>10102</v>
      </c>
      <c r="H7671" s="6">
        <v>44956</v>
      </c>
      <c r="I7671">
        <f t="shared" si="238"/>
        <v>0</v>
      </c>
      <c r="J7671" t="str">
        <f t="shared" si="239"/>
        <v>Complete</v>
      </c>
      <c r="K7671">
        <f>COUNTIFS(RawData[Item], B7671,RawData[Quantity],C7671,RawData[Price Per Unit],D7671,RawData[Total Spent],E7671,RawData[Payment Method],F7671,RawData[Location],G7671,RawData[Transaction Date],H7671)</f>
        <v>1</v>
      </c>
      <c r="L7671"/>
    </row>
    <row r="7672" spans="1:12" x14ac:dyDescent="0.3">
      <c r="A7672" t="s">
        <v>7678</v>
      </c>
      <c r="B7672" t="s">
        <v>10011</v>
      </c>
      <c r="C7672">
        <v>4</v>
      </c>
      <c r="D7672">
        <v>5</v>
      </c>
      <c r="E7672" t="s">
        <v>10013</v>
      </c>
      <c r="F7672" t="s">
        <v>10018</v>
      </c>
      <c r="G7672" t="s">
        <v>10069</v>
      </c>
      <c r="H7672" s="6">
        <v>45252</v>
      </c>
      <c r="I7672">
        <f t="shared" si="238"/>
        <v>1</v>
      </c>
      <c r="J7672" t="str">
        <f t="shared" si="239"/>
        <v>Complete</v>
      </c>
      <c r="K7672">
        <f>COUNTIFS(RawData[Item], B7672,RawData[Quantity],C7672,RawData[Price Per Unit],D7672,RawData[Total Spent],E7672,RawData[Payment Method],F7672,RawData[Location],G7672,RawData[Transaction Date],H7672)</f>
        <v>1</v>
      </c>
      <c r="L7672"/>
    </row>
    <row r="7673" spans="1:12" x14ac:dyDescent="0.3">
      <c r="A7673" t="s">
        <v>7679</v>
      </c>
      <c r="B7673" t="s">
        <v>10014</v>
      </c>
      <c r="C7673">
        <v>5</v>
      </c>
      <c r="D7673">
        <v>4</v>
      </c>
      <c r="E7673">
        <v>20</v>
      </c>
      <c r="F7673" t="s">
        <v>10019</v>
      </c>
      <c r="G7673" t="s">
        <v>10069</v>
      </c>
      <c r="H7673" s="6">
        <v>45003</v>
      </c>
      <c r="I7673">
        <f t="shared" si="238"/>
        <v>0</v>
      </c>
      <c r="J7673" t="str">
        <f t="shared" si="239"/>
        <v>Complete</v>
      </c>
      <c r="K7673">
        <f>COUNTIFS(RawData[Item], B7673,RawData[Quantity],C7673,RawData[Price Per Unit],D7673,RawData[Total Spent],E7673,RawData[Payment Method],F7673,RawData[Location],G7673,RawData[Transaction Date],H7673)</f>
        <v>1</v>
      </c>
      <c r="L7673"/>
    </row>
    <row r="7674" spans="1:12" x14ac:dyDescent="0.3">
      <c r="A7674" t="s">
        <v>7680</v>
      </c>
      <c r="B7674" t="s">
        <v>10016</v>
      </c>
      <c r="C7674">
        <v>4</v>
      </c>
      <c r="D7674">
        <v>3</v>
      </c>
      <c r="E7674">
        <v>12</v>
      </c>
      <c r="F7674" t="s">
        <v>10069</v>
      </c>
      <c r="G7674" t="s">
        <v>10069</v>
      </c>
      <c r="H7674" s="6">
        <v>45012</v>
      </c>
      <c r="I7674">
        <f t="shared" si="238"/>
        <v>0</v>
      </c>
      <c r="J7674" t="str">
        <f t="shared" si="239"/>
        <v>Complete</v>
      </c>
      <c r="K7674">
        <f>COUNTIFS(RawData[Item], B7674,RawData[Quantity],C7674,RawData[Price Per Unit],D7674,RawData[Total Spent],E7674,RawData[Payment Method],F7674,RawData[Location],G7674,RawData[Transaction Date],H7674)</f>
        <v>1</v>
      </c>
      <c r="L7674"/>
    </row>
    <row r="7675" spans="1:12" x14ac:dyDescent="0.3">
      <c r="A7675" t="s">
        <v>7681</v>
      </c>
      <c r="B7675" t="s">
        <v>10010</v>
      </c>
      <c r="C7675">
        <v>3</v>
      </c>
      <c r="D7675">
        <v>1</v>
      </c>
      <c r="E7675">
        <v>3</v>
      </c>
      <c r="F7675" t="s">
        <v>10069</v>
      </c>
      <c r="G7675" t="s">
        <v>10021</v>
      </c>
      <c r="H7675" s="6">
        <v>44999</v>
      </c>
      <c r="I7675">
        <f t="shared" si="238"/>
        <v>0</v>
      </c>
      <c r="J7675" t="str">
        <f t="shared" si="239"/>
        <v>Complete</v>
      </c>
      <c r="K7675">
        <f>COUNTIFS(RawData[Item], B7675,RawData[Quantity],C7675,RawData[Price Per Unit],D7675,RawData[Total Spent],E7675,RawData[Payment Method],F7675,RawData[Location],G7675,RawData[Transaction Date],H7675)</f>
        <v>1</v>
      </c>
      <c r="L7675"/>
    </row>
    <row r="7676" spans="1:12" x14ac:dyDescent="0.3">
      <c r="A7676" t="s">
        <v>7682</v>
      </c>
      <c r="B7676" t="s">
        <v>10009</v>
      </c>
      <c r="C7676">
        <v>4</v>
      </c>
      <c r="D7676">
        <v>3</v>
      </c>
      <c r="E7676">
        <v>12</v>
      </c>
      <c r="F7676" t="s">
        <v>10019</v>
      </c>
      <c r="G7676" t="s">
        <v>10069</v>
      </c>
      <c r="H7676" s="6">
        <v>45022</v>
      </c>
      <c r="I7676">
        <f t="shared" si="238"/>
        <v>0</v>
      </c>
      <c r="J7676" t="str">
        <f t="shared" si="239"/>
        <v>Complete</v>
      </c>
      <c r="K7676">
        <f>COUNTIFS(RawData[Item], B7676,RawData[Quantity],C7676,RawData[Price Per Unit],D7676,RawData[Total Spent],E7676,RawData[Payment Method],F7676,RawData[Location],G7676,RawData[Transaction Date],H7676)</f>
        <v>1</v>
      </c>
      <c r="L7676"/>
    </row>
    <row r="7677" spans="1:12" x14ac:dyDescent="0.3">
      <c r="A7677" t="s">
        <v>7683</v>
      </c>
      <c r="B7677" t="s">
        <v>10017</v>
      </c>
      <c r="C7677">
        <v>3</v>
      </c>
      <c r="D7677">
        <v>1.5</v>
      </c>
      <c r="E7677">
        <v>4.5</v>
      </c>
      <c r="F7677" t="s">
        <v>10069</v>
      </c>
      <c r="G7677" t="s">
        <v>10102</v>
      </c>
      <c r="H7677" s="6">
        <v>45273</v>
      </c>
      <c r="I7677">
        <f t="shared" si="238"/>
        <v>0</v>
      </c>
      <c r="J7677" t="str">
        <f t="shared" si="239"/>
        <v>Complete</v>
      </c>
      <c r="K7677">
        <f>COUNTIFS(RawData[Item], B7677,RawData[Quantity],C7677,RawData[Price Per Unit],D7677,RawData[Total Spent],E7677,RawData[Payment Method],F7677,RawData[Location],G7677,RawData[Transaction Date],H7677)</f>
        <v>1</v>
      </c>
      <c r="L7677"/>
    </row>
    <row r="7678" spans="1:12" x14ac:dyDescent="0.3">
      <c r="A7678" t="s">
        <v>7684</v>
      </c>
      <c r="B7678" t="s">
        <v>10017</v>
      </c>
      <c r="C7678" t="s">
        <v>10013</v>
      </c>
      <c r="D7678">
        <v>1.5</v>
      </c>
      <c r="E7678">
        <v>7.5</v>
      </c>
      <c r="F7678" t="s">
        <v>10018</v>
      </c>
      <c r="G7678" t="s">
        <v>10102</v>
      </c>
      <c r="H7678" s="6">
        <v>44936</v>
      </c>
      <c r="I7678">
        <f t="shared" si="238"/>
        <v>1</v>
      </c>
      <c r="J7678" t="str">
        <f t="shared" si="239"/>
        <v>Complete</v>
      </c>
      <c r="K7678">
        <f>COUNTIFS(RawData[Item], B7678,RawData[Quantity],C7678,RawData[Price Per Unit],D7678,RawData[Total Spent],E7678,RawData[Payment Method],F7678,RawData[Location],G7678,RawData[Transaction Date],H7678)</f>
        <v>1</v>
      </c>
      <c r="L7678"/>
    </row>
    <row r="7679" spans="1:12" x14ac:dyDescent="0.3">
      <c r="A7679" t="s">
        <v>7685</v>
      </c>
      <c r="B7679" t="s">
        <v>10069</v>
      </c>
      <c r="C7679">
        <v>2</v>
      </c>
      <c r="D7679">
        <v>5</v>
      </c>
      <c r="E7679">
        <v>10</v>
      </c>
      <c r="F7679" t="s">
        <v>10020</v>
      </c>
      <c r="G7679" t="s">
        <v>10069</v>
      </c>
      <c r="H7679" s="6">
        <v>45095</v>
      </c>
      <c r="I7679">
        <f t="shared" si="238"/>
        <v>0</v>
      </c>
      <c r="J7679" t="str">
        <f t="shared" si="239"/>
        <v>Complete</v>
      </c>
      <c r="K7679">
        <f>COUNTIFS(RawData[Item], B7679,RawData[Quantity],C7679,RawData[Price Per Unit],D7679,RawData[Total Spent],E7679,RawData[Payment Method],F7679,RawData[Location],G7679,RawData[Transaction Date],H7679)</f>
        <v>1</v>
      </c>
      <c r="L7679"/>
    </row>
    <row r="7680" spans="1:12" x14ac:dyDescent="0.3">
      <c r="A7680" t="s">
        <v>7686</v>
      </c>
      <c r="B7680" t="s">
        <v>10017</v>
      </c>
      <c r="C7680">
        <v>2</v>
      </c>
      <c r="D7680">
        <v>1.5</v>
      </c>
      <c r="E7680">
        <v>3</v>
      </c>
      <c r="F7680" t="s">
        <v>10069</v>
      </c>
      <c r="G7680" t="s">
        <v>10102</v>
      </c>
      <c r="H7680" s="6">
        <v>45067</v>
      </c>
      <c r="I7680">
        <f t="shared" si="238"/>
        <v>0</v>
      </c>
      <c r="J7680" t="str">
        <f t="shared" si="239"/>
        <v>Complete</v>
      </c>
      <c r="K7680">
        <f>COUNTIFS(RawData[Item], B7680,RawData[Quantity],C7680,RawData[Price Per Unit],D7680,RawData[Total Spent],E7680,RawData[Payment Method],F7680,RawData[Location],G7680,RawData[Transaction Date],H7680)</f>
        <v>1</v>
      </c>
      <c r="L7680"/>
    </row>
    <row r="7681" spans="1:12" x14ac:dyDescent="0.3">
      <c r="A7681" t="s">
        <v>7687</v>
      </c>
      <c r="B7681" t="s">
        <v>10013</v>
      </c>
      <c r="C7681">
        <v>1</v>
      </c>
      <c r="D7681">
        <v>1</v>
      </c>
      <c r="E7681">
        <v>1</v>
      </c>
      <c r="F7681" t="s">
        <v>10018</v>
      </c>
      <c r="G7681" t="s">
        <v>10102</v>
      </c>
      <c r="H7681" s="6">
        <v>45247</v>
      </c>
      <c r="I7681">
        <f t="shared" si="238"/>
        <v>1</v>
      </c>
      <c r="J7681" t="str">
        <f t="shared" si="239"/>
        <v>Complete</v>
      </c>
      <c r="K7681">
        <f>COUNTIFS(RawData[Item], B7681,RawData[Quantity],C7681,RawData[Price Per Unit],D7681,RawData[Total Spent],E7681,RawData[Payment Method],F7681,RawData[Location],G7681,RawData[Transaction Date],H7681)</f>
        <v>1</v>
      </c>
      <c r="L7681"/>
    </row>
    <row r="7682" spans="1:12" x14ac:dyDescent="0.3">
      <c r="A7682" t="s">
        <v>7688</v>
      </c>
      <c r="B7682" t="s">
        <v>10016</v>
      </c>
      <c r="C7682">
        <v>3</v>
      </c>
      <c r="D7682">
        <v>3</v>
      </c>
      <c r="E7682">
        <v>0</v>
      </c>
      <c r="F7682" t="s">
        <v>10018</v>
      </c>
      <c r="G7682" t="s">
        <v>10069</v>
      </c>
      <c r="H7682" s="6">
        <v>45124</v>
      </c>
      <c r="I7682">
        <f t="shared" ref="I7682:I7745" si="240">(B7682="Unknown")+(B7682="Error")+(C7682="Unknown")+(C7682="Error")+(D7682="Unknown")+(D7682="Error")+(E7682="Unknown")+(E7682="Error")+(F7682="Unknown")+(F7682="Error")+(G7682="Unknown")+(G7682="Error")+(H7682="No Date")</f>
        <v>0</v>
      </c>
      <c r="J7682" t="str">
        <f t="shared" ref="J7682:J7745" si="241">IF((H7682="No Date"),"Incomplete","Complete")</f>
        <v>Complete</v>
      </c>
      <c r="K7682">
        <f>COUNTIFS(RawData[Item], B7682,RawData[Quantity],C7682,RawData[Price Per Unit],D7682,RawData[Total Spent],E7682,RawData[Payment Method],F7682,RawData[Location],G7682,RawData[Transaction Date],H7682)</f>
        <v>1</v>
      </c>
      <c r="L7682"/>
    </row>
    <row r="7683" spans="1:12" x14ac:dyDescent="0.3">
      <c r="A7683" t="s">
        <v>7689</v>
      </c>
      <c r="B7683" t="s">
        <v>10010</v>
      </c>
      <c r="C7683">
        <v>3</v>
      </c>
      <c r="D7683">
        <v>1</v>
      </c>
      <c r="E7683">
        <v>3</v>
      </c>
      <c r="F7683" t="s">
        <v>10069</v>
      </c>
      <c r="G7683" t="s">
        <v>10069</v>
      </c>
      <c r="H7683" s="6">
        <v>44986</v>
      </c>
      <c r="I7683">
        <f t="shared" si="240"/>
        <v>0</v>
      </c>
      <c r="J7683" t="str">
        <f t="shared" si="241"/>
        <v>Complete</v>
      </c>
      <c r="K7683">
        <f>COUNTIFS(RawData[Item], B7683,RawData[Quantity],C7683,RawData[Price Per Unit],D7683,RawData[Total Spent],E7683,RawData[Payment Method],F7683,RawData[Location],G7683,RawData[Transaction Date],H7683)</f>
        <v>1</v>
      </c>
      <c r="L7683"/>
    </row>
    <row r="7684" spans="1:12" x14ac:dyDescent="0.3">
      <c r="A7684" t="s">
        <v>7690</v>
      </c>
      <c r="B7684" t="s">
        <v>10010</v>
      </c>
      <c r="C7684">
        <v>5</v>
      </c>
      <c r="D7684">
        <v>1</v>
      </c>
      <c r="E7684">
        <v>5</v>
      </c>
      <c r="F7684" t="s">
        <v>10069</v>
      </c>
      <c r="G7684" t="s">
        <v>10021</v>
      </c>
      <c r="H7684" s="6">
        <v>45274</v>
      </c>
      <c r="I7684">
        <f t="shared" si="240"/>
        <v>0</v>
      </c>
      <c r="J7684" t="str">
        <f t="shared" si="241"/>
        <v>Complete</v>
      </c>
      <c r="K7684">
        <f>COUNTIFS(RawData[Item], B7684,RawData[Quantity],C7684,RawData[Price Per Unit],D7684,RawData[Total Spent],E7684,RawData[Payment Method],F7684,RawData[Location],G7684,RawData[Transaction Date],H7684)</f>
        <v>1</v>
      </c>
      <c r="L7684"/>
    </row>
    <row r="7685" spans="1:12" x14ac:dyDescent="0.3">
      <c r="A7685" t="s">
        <v>7691</v>
      </c>
      <c r="B7685" t="s">
        <v>10016</v>
      </c>
      <c r="C7685">
        <v>5</v>
      </c>
      <c r="D7685">
        <v>3</v>
      </c>
      <c r="E7685">
        <v>15</v>
      </c>
      <c r="F7685" t="s">
        <v>10069</v>
      </c>
      <c r="G7685" t="s">
        <v>10069</v>
      </c>
      <c r="H7685" s="6">
        <v>45105</v>
      </c>
      <c r="I7685">
        <f t="shared" si="240"/>
        <v>0</v>
      </c>
      <c r="J7685" t="str">
        <f t="shared" si="241"/>
        <v>Complete</v>
      </c>
      <c r="K7685">
        <f>COUNTIFS(RawData[Item], B7685,RawData[Quantity],C7685,RawData[Price Per Unit],D7685,RawData[Total Spent],E7685,RawData[Payment Method],F7685,RawData[Location],G7685,RawData[Transaction Date],H7685)</f>
        <v>1</v>
      </c>
      <c r="L7685"/>
    </row>
    <row r="7686" spans="1:12" x14ac:dyDescent="0.3">
      <c r="A7686" t="s">
        <v>7692</v>
      </c>
      <c r="B7686" t="s">
        <v>10013</v>
      </c>
      <c r="C7686">
        <v>1</v>
      </c>
      <c r="D7686">
        <v>4</v>
      </c>
      <c r="E7686">
        <v>4</v>
      </c>
      <c r="F7686" t="s">
        <v>10018</v>
      </c>
      <c r="G7686" t="s">
        <v>10069</v>
      </c>
      <c r="H7686" s="6" t="s">
        <v>10112</v>
      </c>
      <c r="I7686">
        <f t="shared" si="240"/>
        <v>2</v>
      </c>
      <c r="J7686" t="str">
        <f t="shared" si="241"/>
        <v>Incomplete</v>
      </c>
      <c r="K7686">
        <f>COUNTIFS(RawData[Item], B7686,RawData[Quantity],C7686,RawData[Price Per Unit],D7686,RawData[Total Spent],E7686,RawData[Payment Method],F7686,RawData[Location],G7686,RawData[Transaction Date],H7686)</f>
        <v>1</v>
      </c>
      <c r="L7686"/>
    </row>
    <row r="7687" spans="1:12" x14ac:dyDescent="0.3">
      <c r="A7687" t="s">
        <v>7693</v>
      </c>
      <c r="B7687" t="s">
        <v>10010</v>
      </c>
      <c r="C7687">
        <v>4</v>
      </c>
      <c r="D7687">
        <v>1</v>
      </c>
      <c r="E7687">
        <v>4</v>
      </c>
      <c r="F7687" t="s">
        <v>10019</v>
      </c>
      <c r="G7687" t="s">
        <v>10102</v>
      </c>
      <c r="H7687" s="6">
        <v>44964</v>
      </c>
      <c r="I7687">
        <f t="shared" si="240"/>
        <v>0</v>
      </c>
      <c r="J7687" t="str">
        <f t="shared" si="241"/>
        <v>Complete</v>
      </c>
      <c r="K7687">
        <f>COUNTIFS(RawData[Item], B7687,RawData[Quantity],C7687,RawData[Price Per Unit],D7687,RawData[Total Spent],E7687,RawData[Payment Method],F7687,RawData[Location],G7687,RawData[Transaction Date],H7687)</f>
        <v>1</v>
      </c>
      <c r="L7687"/>
    </row>
    <row r="7688" spans="1:12" x14ac:dyDescent="0.3">
      <c r="A7688" t="s">
        <v>7694</v>
      </c>
      <c r="B7688" t="s">
        <v>10008</v>
      </c>
      <c r="C7688">
        <v>5</v>
      </c>
      <c r="D7688" t="s">
        <v>10013</v>
      </c>
      <c r="E7688" t="s">
        <v>10015</v>
      </c>
      <c r="F7688" t="s">
        <v>10019</v>
      </c>
      <c r="G7688" t="s">
        <v>10104</v>
      </c>
      <c r="H7688" s="6">
        <v>45147</v>
      </c>
      <c r="I7688">
        <f t="shared" si="240"/>
        <v>3</v>
      </c>
      <c r="J7688" t="str">
        <f t="shared" si="241"/>
        <v>Complete</v>
      </c>
      <c r="K7688">
        <f>COUNTIFS(RawData[Item], B7688,RawData[Quantity],C7688,RawData[Price Per Unit],D7688,RawData[Total Spent],E7688,RawData[Payment Method],F7688,RawData[Location],G7688,RawData[Transaction Date],H7688)</f>
        <v>1</v>
      </c>
      <c r="L7688"/>
    </row>
    <row r="7689" spans="1:12" x14ac:dyDescent="0.3">
      <c r="A7689" t="s">
        <v>7695</v>
      </c>
      <c r="B7689" t="s">
        <v>10008</v>
      </c>
      <c r="C7689">
        <v>4</v>
      </c>
      <c r="D7689">
        <v>2</v>
      </c>
      <c r="E7689">
        <v>8</v>
      </c>
      <c r="F7689" t="s">
        <v>10018</v>
      </c>
      <c r="G7689" t="s">
        <v>10102</v>
      </c>
      <c r="H7689" s="6">
        <v>44970</v>
      </c>
      <c r="I7689">
        <f t="shared" si="240"/>
        <v>0</v>
      </c>
      <c r="J7689" t="str">
        <f t="shared" si="241"/>
        <v>Complete</v>
      </c>
      <c r="K7689">
        <f>COUNTIFS(RawData[Item], B7689,RawData[Quantity],C7689,RawData[Price Per Unit],D7689,RawData[Total Spent],E7689,RawData[Payment Method],F7689,RawData[Location],G7689,RawData[Transaction Date],H7689)</f>
        <v>1</v>
      </c>
      <c r="L7689"/>
    </row>
    <row r="7690" spans="1:12" x14ac:dyDescent="0.3">
      <c r="A7690" t="s">
        <v>7696</v>
      </c>
      <c r="B7690" t="s">
        <v>10011</v>
      </c>
      <c r="C7690">
        <v>4</v>
      </c>
      <c r="D7690">
        <v>5</v>
      </c>
      <c r="E7690">
        <v>20</v>
      </c>
      <c r="F7690" t="s">
        <v>10019</v>
      </c>
      <c r="G7690" t="s">
        <v>10103</v>
      </c>
      <c r="H7690" s="6">
        <v>45003</v>
      </c>
      <c r="I7690">
        <f t="shared" si="240"/>
        <v>1</v>
      </c>
      <c r="J7690" t="str">
        <f t="shared" si="241"/>
        <v>Complete</v>
      </c>
      <c r="K7690">
        <f>COUNTIFS(RawData[Item], B7690,RawData[Quantity],C7690,RawData[Price Per Unit],D7690,RawData[Total Spent],E7690,RawData[Payment Method],F7690,RawData[Location],G7690,RawData[Transaction Date],H7690)</f>
        <v>1</v>
      </c>
      <c r="L7690"/>
    </row>
    <row r="7691" spans="1:12" x14ac:dyDescent="0.3">
      <c r="A7691" t="s">
        <v>7697</v>
      </c>
      <c r="B7691" t="s">
        <v>10008</v>
      </c>
      <c r="C7691">
        <v>2</v>
      </c>
      <c r="D7691">
        <v>2</v>
      </c>
      <c r="E7691">
        <v>4</v>
      </c>
      <c r="F7691" t="s">
        <v>10069</v>
      </c>
      <c r="G7691" t="s">
        <v>10069</v>
      </c>
      <c r="H7691" s="6">
        <v>45179</v>
      </c>
      <c r="I7691">
        <f t="shared" si="240"/>
        <v>0</v>
      </c>
      <c r="J7691" t="str">
        <f t="shared" si="241"/>
        <v>Complete</v>
      </c>
      <c r="K7691">
        <f>COUNTIFS(RawData[Item], B7691,RawData[Quantity],C7691,RawData[Price Per Unit],D7691,RawData[Total Spent],E7691,RawData[Payment Method],F7691,RawData[Location],G7691,RawData[Transaction Date],H7691)</f>
        <v>1</v>
      </c>
      <c r="L7691"/>
    </row>
    <row r="7692" spans="1:12" x14ac:dyDescent="0.3">
      <c r="A7692" t="s">
        <v>7698</v>
      </c>
      <c r="B7692" t="s">
        <v>10009</v>
      </c>
      <c r="C7692">
        <v>1</v>
      </c>
      <c r="D7692">
        <v>3</v>
      </c>
      <c r="E7692">
        <v>3</v>
      </c>
      <c r="F7692" t="s">
        <v>10020</v>
      </c>
      <c r="G7692" t="s">
        <v>10021</v>
      </c>
      <c r="H7692" s="6">
        <v>45127</v>
      </c>
      <c r="I7692">
        <f t="shared" si="240"/>
        <v>0</v>
      </c>
      <c r="J7692" t="str">
        <f t="shared" si="241"/>
        <v>Complete</v>
      </c>
      <c r="K7692">
        <f>COUNTIFS(RawData[Item], B7692,RawData[Quantity],C7692,RawData[Price Per Unit],D7692,RawData[Total Spent],E7692,RawData[Payment Method],F7692,RawData[Location],G7692,RawData[Transaction Date],H7692)</f>
        <v>1</v>
      </c>
      <c r="L7692"/>
    </row>
    <row r="7693" spans="1:12" x14ac:dyDescent="0.3">
      <c r="A7693" t="s">
        <v>7699</v>
      </c>
      <c r="B7693" t="s">
        <v>10008</v>
      </c>
      <c r="C7693">
        <v>5</v>
      </c>
      <c r="D7693">
        <v>2</v>
      </c>
      <c r="E7693">
        <v>10</v>
      </c>
      <c r="F7693" t="s">
        <v>10019</v>
      </c>
      <c r="G7693" t="s">
        <v>10102</v>
      </c>
      <c r="H7693" s="6">
        <v>45090</v>
      </c>
      <c r="I7693">
        <f t="shared" si="240"/>
        <v>0</v>
      </c>
      <c r="J7693" t="str">
        <f t="shared" si="241"/>
        <v>Complete</v>
      </c>
      <c r="K7693">
        <f>COUNTIFS(RawData[Item], B7693,RawData[Quantity],C7693,RawData[Price Per Unit],D7693,RawData[Total Spent],E7693,RawData[Payment Method],F7693,RawData[Location],G7693,RawData[Transaction Date],H7693)</f>
        <v>1</v>
      </c>
      <c r="L7693"/>
    </row>
    <row r="7694" spans="1:12" x14ac:dyDescent="0.3">
      <c r="A7694" t="s">
        <v>7700</v>
      </c>
      <c r="B7694" t="s">
        <v>10010</v>
      </c>
      <c r="C7694">
        <v>2</v>
      </c>
      <c r="D7694">
        <v>1</v>
      </c>
      <c r="E7694">
        <v>2</v>
      </c>
      <c r="F7694" t="s">
        <v>10018</v>
      </c>
      <c r="G7694" t="s">
        <v>10102</v>
      </c>
      <c r="H7694" s="6">
        <v>44990</v>
      </c>
      <c r="I7694">
        <f t="shared" si="240"/>
        <v>0</v>
      </c>
      <c r="J7694" t="str">
        <f t="shared" si="241"/>
        <v>Complete</v>
      </c>
      <c r="K7694">
        <f>COUNTIFS(RawData[Item], B7694,RawData[Quantity],C7694,RawData[Price Per Unit],D7694,RawData[Total Spent],E7694,RawData[Payment Method],F7694,RawData[Location],G7694,RawData[Transaction Date],H7694)</f>
        <v>1</v>
      </c>
      <c r="L7694"/>
    </row>
    <row r="7695" spans="1:12" x14ac:dyDescent="0.3">
      <c r="A7695" t="s">
        <v>7701</v>
      </c>
      <c r="B7695" t="s">
        <v>10008</v>
      </c>
      <c r="C7695">
        <v>0</v>
      </c>
      <c r="D7695">
        <v>2</v>
      </c>
      <c r="E7695">
        <v>6</v>
      </c>
      <c r="F7695" t="s">
        <v>10020</v>
      </c>
      <c r="G7695" t="s">
        <v>10069</v>
      </c>
      <c r="H7695" s="6">
        <v>45011</v>
      </c>
      <c r="I7695">
        <f t="shared" si="240"/>
        <v>0</v>
      </c>
      <c r="J7695" t="str">
        <f t="shared" si="241"/>
        <v>Complete</v>
      </c>
      <c r="K7695">
        <f>COUNTIFS(RawData[Item], B7695,RawData[Quantity],C7695,RawData[Price Per Unit],D7695,RawData[Total Spent],E7695,RawData[Payment Method],F7695,RawData[Location],G7695,RawData[Transaction Date],H7695)</f>
        <v>1</v>
      </c>
      <c r="L7695"/>
    </row>
    <row r="7696" spans="1:12" x14ac:dyDescent="0.3">
      <c r="A7696" t="s">
        <v>7702</v>
      </c>
      <c r="B7696" t="s">
        <v>10010</v>
      </c>
      <c r="C7696">
        <v>3</v>
      </c>
      <c r="D7696">
        <v>1</v>
      </c>
      <c r="E7696">
        <v>3</v>
      </c>
      <c r="F7696" t="s">
        <v>10018</v>
      </c>
      <c r="G7696" t="s">
        <v>10102</v>
      </c>
      <c r="H7696" s="6">
        <v>44986</v>
      </c>
      <c r="I7696">
        <f t="shared" si="240"/>
        <v>0</v>
      </c>
      <c r="J7696" t="str">
        <f t="shared" si="241"/>
        <v>Complete</v>
      </c>
      <c r="K7696">
        <f>COUNTIFS(RawData[Item], B7696,RawData[Quantity],C7696,RawData[Price Per Unit],D7696,RawData[Total Spent],E7696,RawData[Payment Method],F7696,RawData[Location],G7696,RawData[Transaction Date],H7696)</f>
        <v>1</v>
      </c>
      <c r="L7696"/>
    </row>
    <row r="7697" spans="1:12" x14ac:dyDescent="0.3">
      <c r="A7697" t="s">
        <v>7703</v>
      </c>
      <c r="B7697" t="s">
        <v>10012</v>
      </c>
      <c r="C7697">
        <v>3</v>
      </c>
      <c r="D7697">
        <v>4</v>
      </c>
      <c r="E7697">
        <v>0</v>
      </c>
      <c r="F7697" t="s">
        <v>10069</v>
      </c>
      <c r="G7697" t="s">
        <v>10021</v>
      </c>
      <c r="H7697" s="6" t="s">
        <v>10112</v>
      </c>
      <c r="I7697">
        <f t="shared" si="240"/>
        <v>1</v>
      </c>
      <c r="J7697" t="str">
        <f t="shared" si="241"/>
        <v>Incomplete</v>
      </c>
      <c r="K7697">
        <f>COUNTIFS(RawData[Item], B7697,RawData[Quantity],C7697,RawData[Price Per Unit],D7697,RawData[Total Spent],E7697,RawData[Payment Method],F7697,RawData[Location],G7697,RawData[Transaction Date],H7697)</f>
        <v>1</v>
      </c>
      <c r="L7697"/>
    </row>
    <row r="7698" spans="1:12" x14ac:dyDescent="0.3">
      <c r="A7698" t="s">
        <v>7704</v>
      </c>
      <c r="B7698" t="s">
        <v>10010</v>
      </c>
      <c r="C7698">
        <v>2</v>
      </c>
      <c r="D7698">
        <v>1</v>
      </c>
      <c r="E7698">
        <v>2</v>
      </c>
      <c r="F7698" t="s">
        <v>10018</v>
      </c>
      <c r="G7698" t="s">
        <v>10102</v>
      </c>
      <c r="H7698" s="6">
        <v>45057</v>
      </c>
      <c r="I7698">
        <f t="shared" si="240"/>
        <v>0</v>
      </c>
      <c r="J7698" t="str">
        <f t="shared" si="241"/>
        <v>Complete</v>
      </c>
      <c r="K7698">
        <f>COUNTIFS(RawData[Item], B7698,RawData[Quantity],C7698,RawData[Price Per Unit],D7698,RawData[Total Spent],E7698,RawData[Payment Method],F7698,RawData[Location],G7698,RawData[Transaction Date],H7698)</f>
        <v>1</v>
      </c>
      <c r="L7698"/>
    </row>
    <row r="7699" spans="1:12" x14ac:dyDescent="0.3">
      <c r="A7699" t="s">
        <v>7705</v>
      </c>
      <c r="B7699" t="s">
        <v>10013</v>
      </c>
      <c r="C7699">
        <v>5</v>
      </c>
      <c r="D7699">
        <v>2</v>
      </c>
      <c r="E7699">
        <v>10</v>
      </c>
      <c r="F7699" t="s">
        <v>10019</v>
      </c>
      <c r="G7699" t="s">
        <v>10103</v>
      </c>
      <c r="H7699" s="6">
        <v>45221</v>
      </c>
      <c r="I7699">
        <f t="shared" si="240"/>
        <v>2</v>
      </c>
      <c r="J7699" t="str">
        <f t="shared" si="241"/>
        <v>Complete</v>
      </c>
      <c r="K7699">
        <f>COUNTIFS(RawData[Item], B7699,RawData[Quantity],C7699,RawData[Price Per Unit],D7699,RawData[Total Spent],E7699,RawData[Payment Method],F7699,RawData[Location],G7699,RawData[Transaction Date],H7699)</f>
        <v>1</v>
      </c>
      <c r="L7699"/>
    </row>
    <row r="7700" spans="1:12" x14ac:dyDescent="0.3">
      <c r="A7700" t="s">
        <v>7706</v>
      </c>
      <c r="B7700" t="s">
        <v>10008</v>
      </c>
      <c r="C7700">
        <v>5</v>
      </c>
      <c r="D7700">
        <v>2</v>
      </c>
      <c r="E7700">
        <v>10</v>
      </c>
      <c r="F7700" t="s">
        <v>10069</v>
      </c>
      <c r="G7700" t="s">
        <v>10069</v>
      </c>
      <c r="H7700" s="6">
        <v>44972</v>
      </c>
      <c r="I7700">
        <f t="shared" si="240"/>
        <v>0</v>
      </c>
      <c r="J7700" t="str">
        <f t="shared" si="241"/>
        <v>Complete</v>
      </c>
      <c r="K7700">
        <f>COUNTIFS(RawData[Item], B7700,RawData[Quantity],C7700,RawData[Price Per Unit],D7700,RawData[Total Spent],E7700,RawData[Payment Method],F7700,RawData[Location],G7700,RawData[Transaction Date],H7700)</f>
        <v>1</v>
      </c>
      <c r="L7700"/>
    </row>
    <row r="7701" spans="1:12" x14ac:dyDescent="0.3">
      <c r="A7701" t="s">
        <v>7707</v>
      </c>
      <c r="B7701" t="s">
        <v>10009</v>
      </c>
      <c r="C7701">
        <v>1</v>
      </c>
      <c r="D7701">
        <v>3</v>
      </c>
      <c r="E7701">
        <v>3</v>
      </c>
      <c r="F7701" t="s">
        <v>10020</v>
      </c>
      <c r="G7701" t="s">
        <v>10021</v>
      </c>
      <c r="H7701" s="6">
        <v>45246</v>
      </c>
      <c r="I7701">
        <f t="shared" si="240"/>
        <v>0</v>
      </c>
      <c r="J7701" t="str">
        <f t="shared" si="241"/>
        <v>Complete</v>
      </c>
      <c r="K7701">
        <f>COUNTIFS(RawData[Item], B7701,RawData[Quantity],C7701,RawData[Price Per Unit],D7701,RawData[Total Spent],E7701,RawData[Payment Method],F7701,RawData[Location],G7701,RawData[Transaction Date],H7701)</f>
        <v>1</v>
      </c>
      <c r="L7701"/>
    </row>
    <row r="7702" spans="1:12" x14ac:dyDescent="0.3">
      <c r="A7702" t="s">
        <v>7708</v>
      </c>
      <c r="B7702" t="s">
        <v>10016</v>
      </c>
      <c r="C7702">
        <v>1</v>
      </c>
      <c r="D7702">
        <v>3</v>
      </c>
      <c r="E7702">
        <v>3</v>
      </c>
      <c r="F7702" t="s">
        <v>10019</v>
      </c>
      <c r="G7702" t="s">
        <v>10069</v>
      </c>
      <c r="H7702" s="6">
        <v>44951</v>
      </c>
      <c r="I7702">
        <f t="shared" si="240"/>
        <v>0</v>
      </c>
      <c r="J7702" t="str">
        <f t="shared" si="241"/>
        <v>Complete</v>
      </c>
      <c r="K7702">
        <f>COUNTIFS(RawData[Item], B7702,RawData[Quantity],C7702,RawData[Price Per Unit],D7702,RawData[Total Spent],E7702,RawData[Payment Method],F7702,RawData[Location],G7702,RawData[Transaction Date],H7702)</f>
        <v>1</v>
      </c>
      <c r="L7702"/>
    </row>
    <row r="7703" spans="1:12" x14ac:dyDescent="0.3">
      <c r="A7703" t="s">
        <v>7709</v>
      </c>
      <c r="B7703" t="s">
        <v>10069</v>
      </c>
      <c r="C7703" t="s">
        <v>10015</v>
      </c>
      <c r="D7703">
        <v>2</v>
      </c>
      <c r="E7703">
        <v>4</v>
      </c>
      <c r="F7703" t="s">
        <v>10019</v>
      </c>
      <c r="G7703" t="s">
        <v>10021</v>
      </c>
      <c r="H7703" s="6">
        <v>44938</v>
      </c>
      <c r="I7703">
        <f t="shared" si="240"/>
        <v>1</v>
      </c>
      <c r="J7703" t="str">
        <f t="shared" si="241"/>
        <v>Complete</v>
      </c>
      <c r="K7703">
        <f>COUNTIFS(RawData[Item], B7703,RawData[Quantity],C7703,RawData[Price Per Unit],D7703,RawData[Total Spent],E7703,RawData[Payment Method],F7703,RawData[Location],G7703,RawData[Transaction Date],H7703)</f>
        <v>1</v>
      </c>
      <c r="L7703"/>
    </row>
    <row r="7704" spans="1:12" x14ac:dyDescent="0.3">
      <c r="A7704" t="s">
        <v>7710</v>
      </c>
      <c r="B7704" t="s">
        <v>10069</v>
      </c>
      <c r="C7704">
        <v>2</v>
      </c>
      <c r="D7704">
        <v>5</v>
      </c>
      <c r="E7704">
        <v>10</v>
      </c>
      <c r="F7704" t="s">
        <v>10020</v>
      </c>
      <c r="G7704" t="s">
        <v>10102</v>
      </c>
      <c r="H7704" s="6">
        <v>45010</v>
      </c>
      <c r="I7704">
        <f t="shared" si="240"/>
        <v>0</v>
      </c>
      <c r="J7704" t="str">
        <f t="shared" si="241"/>
        <v>Complete</v>
      </c>
      <c r="K7704">
        <f>COUNTIFS(RawData[Item], B7704,RawData[Quantity],C7704,RawData[Price Per Unit],D7704,RawData[Total Spent],E7704,RawData[Payment Method],F7704,RawData[Location],G7704,RawData[Transaction Date],H7704)</f>
        <v>1</v>
      </c>
      <c r="L7704"/>
    </row>
    <row r="7705" spans="1:12" x14ac:dyDescent="0.3">
      <c r="A7705" t="s">
        <v>7711</v>
      </c>
      <c r="B7705" t="s">
        <v>10009</v>
      </c>
      <c r="C7705">
        <v>1</v>
      </c>
      <c r="D7705">
        <v>3</v>
      </c>
      <c r="E7705">
        <v>3</v>
      </c>
      <c r="F7705" t="s">
        <v>10069</v>
      </c>
      <c r="G7705" t="s">
        <v>10021</v>
      </c>
      <c r="H7705" s="6">
        <v>44998</v>
      </c>
      <c r="I7705">
        <f t="shared" si="240"/>
        <v>0</v>
      </c>
      <c r="J7705" t="str">
        <f t="shared" si="241"/>
        <v>Complete</v>
      </c>
      <c r="K7705">
        <f>COUNTIFS(RawData[Item], B7705,RawData[Quantity],C7705,RawData[Price Per Unit],D7705,RawData[Total Spent],E7705,RawData[Payment Method],F7705,RawData[Location],G7705,RawData[Transaction Date],H7705)</f>
        <v>1</v>
      </c>
      <c r="L7705"/>
    </row>
    <row r="7706" spans="1:12" x14ac:dyDescent="0.3">
      <c r="A7706" t="s">
        <v>7712</v>
      </c>
      <c r="B7706" t="s">
        <v>10009</v>
      </c>
      <c r="C7706">
        <v>1</v>
      </c>
      <c r="D7706">
        <v>3</v>
      </c>
      <c r="E7706">
        <v>3</v>
      </c>
      <c r="F7706" t="s">
        <v>10020</v>
      </c>
      <c r="G7706" t="s">
        <v>10021</v>
      </c>
      <c r="H7706" s="6">
        <v>45243</v>
      </c>
      <c r="I7706">
        <f t="shared" si="240"/>
        <v>0</v>
      </c>
      <c r="J7706" t="str">
        <f t="shared" si="241"/>
        <v>Complete</v>
      </c>
      <c r="K7706">
        <f>COUNTIFS(RawData[Item], B7706,RawData[Quantity],C7706,RawData[Price Per Unit],D7706,RawData[Total Spent],E7706,RawData[Payment Method],F7706,RawData[Location],G7706,RawData[Transaction Date],H7706)</f>
        <v>1</v>
      </c>
      <c r="L7706"/>
    </row>
    <row r="7707" spans="1:12" x14ac:dyDescent="0.3">
      <c r="A7707" t="s">
        <v>7713</v>
      </c>
      <c r="B7707" t="s">
        <v>10016</v>
      </c>
      <c r="C7707">
        <v>5</v>
      </c>
      <c r="D7707">
        <v>3</v>
      </c>
      <c r="E7707">
        <v>0</v>
      </c>
      <c r="F7707" t="s">
        <v>10019</v>
      </c>
      <c r="G7707" t="s">
        <v>10021</v>
      </c>
      <c r="H7707" s="6" t="s">
        <v>10112</v>
      </c>
      <c r="I7707">
        <f t="shared" si="240"/>
        <v>1</v>
      </c>
      <c r="J7707" t="str">
        <f t="shared" si="241"/>
        <v>Incomplete</v>
      </c>
      <c r="K7707">
        <f>COUNTIFS(RawData[Item], B7707,RawData[Quantity],C7707,RawData[Price Per Unit],D7707,RawData[Total Spent],E7707,RawData[Payment Method],F7707,RawData[Location],G7707,RawData[Transaction Date],H7707)</f>
        <v>1</v>
      </c>
      <c r="L7707"/>
    </row>
    <row r="7708" spans="1:12" x14ac:dyDescent="0.3">
      <c r="A7708" t="s">
        <v>7714</v>
      </c>
      <c r="B7708" t="s">
        <v>10008</v>
      </c>
      <c r="C7708">
        <v>5</v>
      </c>
      <c r="D7708">
        <v>2</v>
      </c>
      <c r="E7708">
        <v>10</v>
      </c>
      <c r="F7708" t="s">
        <v>10069</v>
      </c>
      <c r="G7708" t="s">
        <v>10069</v>
      </c>
      <c r="H7708" s="6">
        <v>45017</v>
      </c>
      <c r="I7708">
        <f t="shared" si="240"/>
        <v>0</v>
      </c>
      <c r="J7708" t="str">
        <f t="shared" si="241"/>
        <v>Complete</v>
      </c>
      <c r="K7708">
        <f>COUNTIFS(RawData[Item], B7708,RawData[Quantity],C7708,RawData[Price Per Unit],D7708,RawData[Total Spent],E7708,RawData[Payment Method],F7708,RawData[Location],G7708,RawData[Transaction Date],H7708)</f>
        <v>1</v>
      </c>
      <c r="L7708"/>
    </row>
    <row r="7709" spans="1:12" x14ac:dyDescent="0.3">
      <c r="A7709" t="s">
        <v>7715</v>
      </c>
      <c r="B7709" t="s">
        <v>10016</v>
      </c>
      <c r="C7709">
        <v>3</v>
      </c>
      <c r="D7709">
        <v>3</v>
      </c>
      <c r="E7709">
        <v>9</v>
      </c>
      <c r="F7709" t="s">
        <v>10069</v>
      </c>
      <c r="G7709" t="s">
        <v>10069</v>
      </c>
      <c r="H7709" s="6">
        <v>44942</v>
      </c>
      <c r="I7709">
        <f t="shared" si="240"/>
        <v>0</v>
      </c>
      <c r="J7709" t="str">
        <f t="shared" si="241"/>
        <v>Complete</v>
      </c>
      <c r="K7709">
        <f>COUNTIFS(RawData[Item], B7709,RawData[Quantity],C7709,RawData[Price Per Unit],D7709,RawData[Total Spent],E7709,RawData[Payment Method],F7709,RawData[Location],G7709,RawData[Transaction Date],H7709)</f>
        <v>1</v>
      </c>
      <c r="L7709"/>
    </row>
    <row r="7710" spans="1:12" x14ac:dyDescent="0.3">
      <c r="A7710" t="s">
        <v>7716</v>
      </c>
      <c r="B7710" t="s">
        <v>10011</v>
      </c>
      <c r="C7710">
        <v>1</v>
      </c>
      <c r="D7710">
        <v>5</v>
      </c>
      <c r="E7710">
        <v>5</v>
      </c>
      <c r="F7710" t="s">
        <v>10019</v>
      </c>
      <c r="G7710" t="s">
        <v>10102</v>
      </c>
      <c r="H7710" s="6">
        <v>45259</v>
      </c>
      <c r="I7710">
        <f t="shared" si="240"/>
        <v>0</v>
      </c>
      <c r="J7710" t="str">
        <f t="shared" si="241"/>
        <v>Complete</v>
      </c>
      <c r="K7710">
        <f>COUNTIFS(RawData[Item], B7710,RawData[Quantity],C7710,RawData[Price Per Unit],D7710,RawData[Total Spent],E7710,RawData[Payment Method],F7710,RawData[Location],G7710,RawData[Transaction Date],H7710)</f>
        <v>1</v>
      </c>
      <c r="L7710"/>
    </row>
    <row r="7711" spans="1:12" x14ac:dyDescent="0.3">
      <c r="A7711" t="s">
        <v>7717</v>
      </c>
      <c r="B7711" t="s">
        <v>10016</v>
      </c>
      <c r="C7711">
        <v>1</v>
      </c>
      <c r="D7711">
        <v>3</v>
      </c>
      <c r="E7711">
        <v>3</v>
      </c>
      <c r="F7711" t="s">
        <v>10018</v>
      </c>
      <c r="G7711" t="s">
        <v>10069</v>
      </c>
      <c r="H7711" s="6">
        <v>45184</v>
      </c>
      <c r="I7711">
        <f t="shared" si="240"/>
        <v>0</v>
      </c>
      <c r="J7711" t="str">
        <f t="shared" si="241"/>
        <v>Complete</v>
      </c>
      <c r="K7711">
        <f>COUNTIFS(RawData[Item], B7711,RawData[Quantity],C7711,RawData[Price Per Unit],D7711,RawData[Total Spent],E7711,RawData[Payment Method],F7711,RawData[Location],G7711,RawData[Transaction Date],H7711)</f>
        <v>1</v>
      </c>
      <c r="L7711"/>
    </row>
    <row r="7712" spans="1:12" x14ac:dyDescent="0.3">
      <c r="A7712" t="s">
        <v>7718</v>
      </c>
      <c r="B7712" t="s">
        <v>10012</v>
      </c>
      <c r="C7712">
        <v>3</v>
      </c>
      <c r="D7712">
        <v>4</v>
      </c>
      <c r="E7712">
        <v>12</v>
      </c>
      <c r="F7712" t="s">
        <v>10020</v>
      </c>
      <c r="G7712" t="s">
        <v>10069</v>
      </c>
      <c r="H7712" s="6">
        <v>45156</v>
      </c>
      <c r="I7712">
        <f t="shared" si="240"/>
        <v>0</v>
      </c>
      <c r="J7712" t="str">
        <f t="shared" si="241"/>
        <v>Complete</v>
      </c>
      <c r="K7712">
        <f>COUNTIFS(RawData[Item], B7712,RawData[Quantity],C7712,RawData[Price Per Unit],D7712,RawData[Total Spent],E7712,RawData[Payment Method],F7712,RawData[Location],G7712,RawData[Transaction Date],H7712)</f>
        <v>1</v>
      </c>
      <c r="L7712"/>
    </row>
    <row r="7713" spans="1:12" x14ac:dyDescent="0.3">
      <c r="A7713" t="s">
        <v>7719</v>
      </c>
      <c r="B7713" t="s">
        <v>10008</v>
      </c>
      <c r="C7713">
        <v>2</v>
      </c>
      <c r="D7713">
        <v>0</v>
      </c>
      <c r="E7713">
        <v>4</v>
      </c>
      <c r="F7713" t="s">
        <v>10019</v>
      </c>
      <c r="G7713" t="s">
        <v>10069</v>
      </c>
      <c r="H7713" s="6">
        <v>45254</v>
      </c>
      <c r="I7713">
        <f t="shared" si="240"/>
        <v>0</v>
      </c>
      <c r="J7713" t="str">
        <f t="shared" si="241"/>
        <v>Complete</v>
      </c>
      <c r="K7713">
        <f>COUNTIFS(RawData[Item], B7713,RawData[Quantity],C7713,RawData[Price Per Unit],D7713,RawData[Total Spent],E7713,RawData[Payment Method],F7713,RawData[Location],G7713,RawData[Transaction Date],H7713)</f>
        <v>1</v>
      </c>
      <c r="L7713"/>
    </row>
    <row r="7714" spans="1:12" x14ac:dyDescent="0.3">
      <c r="A7714" t="s">
        <v>7720</v>
      </c>
      <c r="B7714" t="s">
        <v>10012</v>
      </c>
      <c r="C7714">
        <v>2</v>
      </c>
      <c r="D7714">
        <v>4</v>
      </c>
      <c r="E7714">
        <v>8</v>
      </c>
      <c r="F7714" t="s">
        <v>10069</v>
      </c>
      <c r="G7714" t="s">
        <v>10021</v>
      </c>
      <c r="H7714" s="6">
        <v>45044</v>
      </c>
      <c r="I7714">
        <f t="shared" si="240"/>
        <v>0</v>
      </c>
      <c r="J7714" t="str">
        <f t="shared" si="241"/>
        <v>Complete</v>
      </c>
      <c r="K7714">
        <f>COUNTIFS(RawData[Item], B7714,RawData[Quantity],C7714,RawData[Price Per Unit],D7714,RawData[Total Spent],E7714,RawData[Payment Method],F7714,RawData[Location],G7714,RawData[Transaction Date],H7714)</f>
        <v>1</v>
      </c>
      <c r="L7714"/>
    </row>
    <row r="7715" spans="1:12" x14ac:dyDescent="0.3">
      <c r="A7715" t="s">
        <v>7721</v>
      </c>
      <c r="B7715" t="s">
        <v>10011</v>
      </c>
      <c r="C7715">
        <v>5</v>
      </c>
      <c r="D7715">
        <v>5</v>
      </c>
      <c r="E7715">
        <v>25</v>
      </c>
      <c r="F7715" t="s">
        <v>10019</v>
      </c>
      <c r="G7715" t="s">
        <v>10069</v>
      </c>
      <c r="H7715" s="6">
        <v>44931</v>
      </c>
      <c r="I7715">
        <f t="shared" si="240"/>
        <v>0</v>
      </c>
      <c r="J7715" t="str">
        <f t="shared" si="241"/>
        <v>Complete</v>
      </c>
      <c r="K7715">
        <f>COUNTIFS(RawData[Item], B7715,RawData[Quantity],C7715,RawData[Price Per Unit],D7715,RawData[Total Spent],E7715,RawData[Payment Method],F7715,RawData[Location],G7715,RawData[Transaction Date],H7715)</f>
        <v>1</v>
      </c>
      <c r="L7715"/>
    </row>
    <row r="7716" spans="1:12" x14ac:dyDescent="0.3">
      <c r="A7716" t="s">
        <v>7722</v>
      </c>
      <c r="B7716" t="s">
        <v>10012</v>
      </c>
      <c r="C7716">
        <v>1</v>
      </c>
      <c r="D7716">
        <v>4</v>
      </c>
      <c r="E7716">
        <v>4</v>
      </c>
      <c r="F7716" t="s">
        <v>10018</v>
      </c>
      <c r="G7716" t="s">
        <v>10102</v>
      </c>
      <c r="H7716" s="6">
        <v>45271</v>
      </c>
      <c r="I7716">
        <f t="shared" si="240"/>
        <v>0</v>
      </c>
      <c r="J7716" t="str">
        <f t="shared" si="241"/>
        <v>Complete</v>
      </c>
      <c r="K7716">
        <f>COUNTIFS(RawData[Item], B7716,RawData[Quantity],C7716,RawData[Price Per Unit],D7716,RawData[Total Spent],E7716,RawData[Payment Method],F7716,RawData[Location],G7716,RawData[Transaction Date],H7716)</f>
        <v>1</v>
      </c>
      <c r="L7716"/>
    </row>
    <row r="7717" spans="1:12" x14ac:dyDescent="0.3">
      <c r="A7717" t="s">
        <v>7723</v>
      </c>
      <c r="B7717" t="s">
        <v>10017</v>
      </c>
      <c r="C7717">
        <v>5</v>
      </c>
      <c r="D7717">
        <v>1.5</v>
      </c>
      <c r="E7717">
        <v>7.5</v>
      </c>
      <c r="F7717" t="s">
        <v>10069</v>
      </c>
      <c r="G7717" t="s">
        <v>10104</v>
      </c>
      <c r="H7717" s="6">
        <v>44951</v>
      </c>
      <c r="I7717">
        <f t="shared" si="240"/>
        <v>1</v>
      </c>
      <c r="J7717" t="str">
        <f t="shared" si="241"/>
        <v>Complete</v>
      </c>
      <c r="K7717">
        <f>COUNTIFS(RawData[Item], B7717,RawData[Quantity],C7717,RawData[Price Per Unit],D7717,RawData[Total Spent],E7717,RawData[Payment Method],F7717,RawData[Location],G7717,RawData[Transaction Date],H7717)</f>
        <v>1</v>
      </c>
      <c r="L7717"/>
    </row>
    <row r="7718" spans="1:12" x14ac:dyDescent="0.3">
      <c r="A7718" t="s">
        <v>7724</v>
      </c>
      <c r="B7718" t="s">
        <v>10011</v>
      </c>
      <c r="C7718">
        <v>3</v>
      </c>
      <c r="D7718">
        <v>5</v>
      </c>
      <c r="E7718">
        <v>15</v>
      </c>
      <c r="F7718" t="s">
        <v>10069</v>
      </c>
      <c r="G7718" t="s">
        <v>10021</v>
      </c>
      <c r="H7718" s="6">
        <v>45047</v>
      </c>
      <c r="I7718">
        <f t="shared" si="240"/>
        <v>0</v>
      </c>
      <c r="J7718" t="str">
        <f t="shared" si="241"/>
        <v>Complete</v>
      </c>
      <c r="K7718">
        <f>COUNTIFS(RawData[Item], B7718,RawData[Quantity],C7718,RawData[Price Per Unit],D7718,RawData[Total Spent],E7718,RawData[Payment Method],F7718,RawData[Location],G7718,RawData[Transaction Date],H7718)</f>
        <v>1</v>
      </c>
      <c r="L7718"/>
    </row>
    <row r="7719" spans="1:12" x14ac:dyDescent="0.3">
      <c r="A7719" t="s">
        <v>7725</v>
      </c>
      <c r="B7719" t="s">
        <v>10009</v>
      </c>
      <c r="C7719">
        <v>2</v>
      </c>
      <c r="D7719">
        <v>3</v>
      </c>
      <c r="E7719">
        <v>6</v>
      </c>
      <c r="F7719" t="s">
        <v>10069</v>
      </c>
      <c r="G7719" t="s">
        <v>10103</v>
      </c>
      <c r="H7719" s="6">
        <v>45220</v>
      </c>
      <c r="I7719">
        <f t="shared" si="240"/>
        <v>1</v>
      </c>
      <c r="J7719" t="str">
        <f t="shared" si="241"/>
        <v>Complete</v>
      </c>
      <c r="K7719">
        <f>COUNTIFS(RawData[Item], B7719,RawData[Quantity],C7719,RawData[Price Per Unit],D7719,RawData[Total Spent],E7719,RawData[Payment Method],F7719,RawData[Location],G7719,RawData[Transaction Date],H7719)</f>
        <v>1</v>
      </c>
      <c r="L7719"/>
    </row>
    <row r="7720" spans="1:12" x14ac:dyDescent="0.3">
      <c r="A7720" t="s">
        <v>7726</v>
      </c>
      <c r="B7720" t="s">
        <v>10016</v>
      </c>
      <c r="C7720">
        <v>5</v>
      </c>
      <c r="D7720">
        <v>0</v>
      </c>
      <c r="E7720">
        <v>15</v>
      </c>
      <c r="F7720" t="s">
        <v>10069</v>
      </c>
      <c r="G7720" t="s">
        <v>10021</v>
      </c>
      <c r="H7720" s="6">
        <v>44993</v>
      </c>
      <c r="I7720">
        <f t="shared" si="240"/>
        <v>0</v>
      </c>
      <c r="J7720" t="str">
        <f t="shared" si="241"/>
        <v>Complete</v>
      </c>
      <c r="K7720">
        <f>COUNTIFS(RawData[Item], B7720,RawData[Quantity],C7720,RawData[Price Per Unit],D7720,RawData[Total Spent],E7720,RawData[Payment Method],F7720,RawData[Location],G7720,RawData[Transaction Date],H7720)</f>
        <v>1</v>
      </c>
      <c r="L7720"/>
    </row>
    <row r="7721" spans="1:12" x14ac:dyDescent="0.3">
      <c r="A7721" t="s">
        <v>7727</v>
      </c>
      <c r="B7721" t="s">
        <v>10008</v>
      </c>
      <c r="C7721">
        <v>3</v>
      </c>
      <c r="D7721" t="s">
        <v>10015</v>
      </c>
      <c r="E7721">
        <v>6</v>
      </c>
      <c r="F7721" t="s">
        <v>10069</v>
      </c>
      <c r="G7721" t="s">
        <v>10102</v>
      </c>
      <c r="H7721" s="6">
        <v>45016</v>
      </c>
      <c r="I7721">
        <f t="shared" si="240"/>
        <v>1</v>
      </c>
      <c r="J7721" t="str">
        <f t="shared" si="241"/>
        <v>Complete</v>
      </c>
      <c r="K7721">
        <f>COUNTIFS(RawData[Item], B7721,RawData[Quantity],C7721,RawData[Price Per Unit],D7721,RawData[Total Spent],E7721,RawData[Payment Method],F7721,RawData[Location],G7721,RawData[Transaction Date],H7721)</f>
        <v>1</v>
      </c>
      <c r="L7721"/>
    </row>
    <row r="7722" spans="1:12" x14ac:dyDescent="0.3">
      <c r="A7722" t="s">
        <v>7728</v>
      </c>
      <c r="B7722" t="s">
        <v>10017</v>
      </c>
      <c r="C7722">
        <v>2</v>
      </c>
      <c r="D7722">
        <v>1.5</v>
      </c>
      <c r="E7722">
        <v>3</v>
      </c>
      <c r="F7722" t="s">
        <v>10020</v>
      </c>
      <c r="G7722" t="s">
        <v>10102</v>
      </c>
      <c r="H7722" s="6">
        <v>45222</v>
      </c>
      <c r="I7722">
        <f t="shared" si="240"/>
        <v>0</v>
      </c>
      <c r="J7722" t="str">
        <f t="shared" si="241"/>
        <v>Complete</v>
      </c>
      <c r="K7722">
        <f>COUNTIFS(RawData[Item], B7722,RawData[Quantity],C7722,RawData[Price Per Unit],D7722,RawData[Total Spent],E7722,RawData[Payment Method],F7722,RawData[Location],G7722,RawData[Transaction Date],H7722)</f>
        <v>1</v>
      </c>
      <c r="L7722"/>
    </row>
    <row r="7723" spans="1:12" x14ac:dyDescent="0.3">
      <c r="A7723" t="s">
        <v>7729</v>
      </c>
      <c r="B7723" t="s">
        <v>10014</v>
      </c>
      <c r="C7723">
        <v>4</v>
      </c>
      <c r="D7723">
        <v>4</v>
      </c>
      <c r="E7723">
        <v>16</v>
      </c>
      <c r="F7723" t="s">
        <v>10069</v>
      </c>
      <c r="G7723" t="s">
        <v>10021</v>
      </c>
      <c r="H7723" s="6">
        <v>45068</v>
      </c>
      <c r="I7723">
        <f t="shared" si="240"/>
        <v>0</v>
      </c>
      <c r="J7723" t="str">
        <f t="shared" si="241"/>
        <v>Complete</v>
      </c>
      <c r="K7723">
        <f>COUNTIFS(RawData[Item], B7723,RawData[Quantity],C7723,RawData[Price Per Unit],D7723,RawData[Total Spent],E7723,RawData[Payment Method],F7723,RawData[Location],G7723,RawData[Transaction Date],H7723)</f>
        <v>1</v>
      </c>
      <c r="L7723"/>
    </row>
    <row r="7724" spans="1:12" x14ac:dyDescent="0.3">
      <c r="A7724" t="s">
        <v>7730</v>
      </c>
      <c r="B7724" t="s">
        <v>10009</v>
      </c>
      <c r="C7724">
        <v>1</v>
      </c>
      <c r="D7724">
        <v>3</v>
      </c>
      <c r="E7724">
        <v>3</v>
      </c>
      <c r="F7724" t="s">
        <v>10069</v>
      </c>
      <c r="G7724" t="s">
        <v>10102</v>
      </c>
      <c r="H7724" s="6">
        <v>45242</v>
      </c>
      <c r="I7724">
        <f t="shared" si="240"/>
        <v>0</v>
      </c>
      <c r="J7724" t="str">
        <f t="shared" si="241"/>
        <v>Complete</v>
      </c>
      <c r="K7724">
        <f>COUNTIFS(RawData[Item], B7724,RawData[Quantity],C7724,RawData[Price Per Unit],D7724,RawData[Total Spent],E7724,RawData[Payment Method],F7724,RawData[Location],G7724,RawData[Transaction Date],H7724)</f>
        <v>1</v>
      </c>
      <c r="L7724"/>
    </row>
    <row r="7725" spans="1:12" x14ac:dyDescent="0.3">
      <c r="A7725" t="s">
        <v>7731</v>
      </c>
      <c r="B7725" t="s">
        <v>10016</v>
      </c>
      <c r="C7725">
        <v>5</v>
      </c>
      <c r="D7725">
        <v>3</v>
      </c>
      <c r="E7725">
        <v>15</v>
      </c>
      <c r="F7725" t="s">
        <v>10019</v>
      </c>
      <c r="G7725" t="s">
        <v>10069</v>
      </c>
      <c r="H7725" s="6">
        <v>45156</v>
      </c>
      <c r="I7725">
        <f t="shared" si="240"/>
        <v>0</v>
      </c>
      <c r="J7725" t="str">
        <f t="shared" si="241"/>
        <v>Complete</v>
      </c>
      <c r="K7725">
        <f>COUNTIFS(RawData[Item], B7725,RawData[Quantity],C7725,RawData[Price Per Unit],D7725,RawData[Total Spent],E7725,RawData[Payment Method],F7725,RawData[Location],G7725,RawData[Transaction Date],H7725)</f>
        <v>2</v>
      </c>
      <c r="L7725"/>
    </row>
    <row r="7726" spans="1:12" x14ac:dyDescent="0.3">
      <c r="A7726" t="s">
        <v>7732</v>
      </c>
      <c r="B7726" t="s">
        <v>10009</v>
      </c>
      <c r="C7726">
        <v>2</v>
      </c>
      <c r="D7726">
        <v>3</v>
      </c>
      <c r="E7726">
        <v>6</v>
      </c>
      <c r="F7726" t="s">
        <v>10069</v>
      </c>
      <c r="G7726" t="s">
        <v>10104</v>
      </c>
      <c r="H7726" s="6">
        <v>45275</v>
      </c>
      <c r="I7726">
        <f t="shared" si="240"/>
        <v>1</v>
      </c>
      <c r="J7726" t="str">
        <f t="shared" si="241"/>
        <v>Complete</v>
      </c>
      <c r="K7726">
        <f>COUNTIFS(RawData[Item], B7726,RawData[Quantity],C7726,RawData[Price Per Unit],D7726,RawData[Total Spent],E7726,RawData[Payment Method],F7726,RawData[Location],G7726,RawData[Transaction Date],H7726)</f>
        <v>1</v>
      </c>
      <c r="L7726"/>
    </row>
    <row r="7727" spans="1:12" x14ac:dyDescent="0.3">
      <c r="A7727" t="s">
        <v>7733</v>
      </c>
      <c r="B7727" t="s">
        <v>10017</v>
      </c>
      <c r="C7727">
        <v>1</v>
      </c>
      <c r="D7727">
        <v>1.5</v>
      </c>
      <c r="E7727">
        <v>1.5</v>
      </c>
      <c r="F7727" t="s">
        <v>10020</v>
      </c>
      <c r="G7727" t="s">
        <v>10021</v>
      </c>
      <c r="H7727" s="6">
        <v>45030</v>
      </c>
      <c r="I7727">
        <f t="shared" si="240"/>
        <v>0</v>
      </c>
      <c r="J7727" t="str">
        <f t="shared" si="241"/>
        <v>Complete</v>
      </c>
      <c r="K7727">
        <f>COUNTIFS(RawData[Item], B7727,RawData[Quantity],C7727,RawData[Price Per Unit],D7727,RawData[Total Spent],E7727,RawData[Payment Method],F7727,RawData[Location],G7727,RawData[Transaction Date],H7727)</f>
        <v>2</v>
      </c>
      <c r="L7727"/>
    </row>
    <row r="7728" spans="1:12" x14ac:dyDescent="0.3">
      <c r="A7728" t="s">
        <v>7734</v>
      </c>
      <c r="B7728" t="s">
        <v>10010</v>
      </c>
      <c r="C7728">
        <v>2</v>
      </c>
      <c r="D7728">
        <v>1</v>
      </c>
      <c r="E7728">
        <v>2</v>
      </c>
      <c r="F7728" t="s">
        <v>10020</v>
      </c>
      <c r="G7728" t="s">
        <v>10069</v>
      </c>
      <c r="H7728" s="6">
        <v>44983</v>
      </c>
      <c r="I7728">
        <f t="shared" si="240"/>
        <v>0</v>
      </c>
      <c r="J7728" t="str">
        <f t="shared" si="241"/>
        <v>Complete</v>
      </c>
      <c r="K7728">
        <f>COUNTIFS(RawData[Item], B7728,RawData[Quantity],C7728,RawData[Price Per Unit],D7728,RawData[Total Spent],E7728,RawData[Payment Method],F7728,RawData[Location],G7728,RawData[Transaction Date],H7728)</f>
        <v>1</v>
      </c>
      <c r="L7728"/>
    </row>
    <row r="7729" spans="1:12" x14ac:dyDescent="0.3">
      <c r="A7729" t="s">
        <v>7735</v>
      </c>
      <c r="B7729" t="s">
        <v>10009</v>
      </c>
      <c r="C7729">
        <v>5</v>
      </c>
      <c r="D7729">
        <v>3</v>
      </c>
      <c r="E7729">
        <v>15</v>
      </c>
      <c r="F7729" t="s">
        <v>10018</v>
      </c>
      <c r="G7729" t="s">
        <v>10021</v>
      </c>
      <c r="H7729" s="6">
        <v>45154</v>
      </c>
      <c r="I7729">
        <f t="shared" si="240"/>
        <v>0</v>
      </c>
      <c r="J7729" t="str">
        <f t="shared" si="241"/>
        <v>Complete</v>
      </c>
      <c r="K7729">
        <f>COUNTIFS(RawData[Item], B7729,RawData[Quantity],C7729,RawData[Price Per Unit],D7729,RawData[Total Spent],E7729,RawData[Payment Method],F7729,RawData[Location],G7729,RawData[Transaction Date],H7729)</f>
        <v>1</v>
      </c>
      <c r="L7729"/>
    </row>
    <row r="7730" spans="1:12" x14ac:dyDescent="0.3">
      <c r="A7730" t="s">
        <v>7736</v>
      </c>
      <c r="B7730" t="s">
        <v>10012</v>
      </c>
      <c r="C7730">
        <v>5</v>
      </c>
      <c r="D7730">
        <v>4</v>
      </c>
      <c r="E7730">
        <v>20</v>
      </c>
      <c r="F7730" t="s">
        <v>10069</v>
      </c>
      <c r="G7730" t="s">
        <v>10069</v>
      </c>
      <c r="H7730" s="6">
        <v>45037</v>
      </c>
      <c r="I7730">
        <f t="shared" si="240"/>
        <v>0</v>
      </c>
      <c r="J7730" t="str">
        <f t="shared" si="241"/>
        <v>Complete</v>
      </c>
      <c r="K7730">
        <f>COUNTIFS(RawData[Item], B7730,RawData[Quantity],C7730,RawData[Price Per Unit],D7730,RawData[Total Spent],E7730,RawData[Payment Method],F7730,RawData[Location],G7730,RawData[Transaction Date],H7730)</f>
        <v>1</v>
      </c>
      <c r="L7730"/>
    </row>
    <row r="7731" spans="1:12" x14ac:dyDescent="0.3">
      <c r="A7731" t="s">
        <v>7737</v>
      </c>
      <c r="B7731" t="s">
        <v>10008</v>
      </c>
      <c r="C7731">
        <v>5</v>
      </c>
      <c r="D7731">
        <v>2</v>
      </c>
      <c r="E7731">
        <v>10</v>
      </c>
      <c r="F7731" t="s">
        <v>10069</v>
      </c>
      <c r="G7731" t="s">
        <v>10069</v>
      </c>
      <c r="H7731" s="6">
        <v>45058</v>
      </c>
      <c r="I7731">
        <f t="shared" si="240"/>
        <v>0</v>
      </c>
      <c r="J7731" t="str">
        <f t="shared" si="241"/>
        <v>Complete</v>
      </c>
      <c r="K7731">
        <f>COUNTIFS(RawData[Item], B7731,RawData[Quantity],C7731,RawData[Price Per Unit],D7731,RawData[Total Spent],E7731,RawData[Payment Method],F7731,RawData[Location],G7731,RawData[Transaction Date],H7731)</f>
        <v>1</v>
      </c>
      <c r="L7731"/>
    </row>
    <row r="7732" spans="1:12" x14ac:dyDescent="0.3">
      <c r="A7732" t="s">
        <v>7738</v>
      </c>
      <c r="B7732" t="s">
        <v>10014</v>
      </c>
      <c r="C7732">
        <v>3</v>
      </c>
      <c r="D7732">
        <v>4</v>
      </c>
      <c r="E7732">
        <v>12</v>
      </c>
      <c r="F7732" t="s">
        <v>10019</v>
      </c>
      <c r="G7732" t="s">
        <v>10021</v>
      </c>
      <c r="H7732" s="6">
        <v>45156</v>
      </c>
      <c r="I7732">
        <f t="shared" si="240"/>
        <v>0</v>
      </c>
      <c r="J7732" t="str">
        <f t="shared" si="241"/>
        <v>Complete</v>
      </c>
      <c r="K7732">
        <f>COUNTIFS(RawData[Item], B7732,RawData[Quantity],C7732,RawData[Price Per Unit],D7732,RawData[Total Spent],E7732,RawData[Payment Method],F7732,RawData[Location],G7732,RawData[Transaction Date],H7732)</f>
        <v>1</v>
      </c>
      <c r="L7732"/>
    </row>
    <row r="7733" spans="1:12" x14ac:dyDescent="0.3">
      <c r="A7733" t="s">
        <v>7739</v>
      </c>
      <c r="B7733" t="s">
        <v>10016</v>
      </c>
      <c r="C7733">
        <v>1</v>
      </c>
      <c r="D7733">
        <v>3</v>
      </c>
      <c r="E7733">
        <v>3</v>
      </c>
      <c r="F7733" t="s">
        <v>10020</v>
      </c>
      <c r="G7733" t="s">
        <v>10069</v>
      </c>
      <c r="H7733" s="6">
        <v>45137</v>
      </c>
      <c r="I7733">
        <f t="shared" si="240"/>
        <v>0</v>
      </c>
      <c r="J7733" t="str">
        <f t="shared" si="241"/>
        <v>Complete</v>
      </c>
      <c r="K7733">
        <f>COUNTIFS(RawData[Item], B7733,RawData[Quantity],C7733,RawData[Price Per Unit],D7733,RawData[Total Spent],E7733,RawData[Payment Method],F7733,RawData[Location],G7733,RawData[Transaction Date],H7733)</f>
        <v>1</v>
      </c>
      <c r="L7733"/>
    </row>
    <row r="7734" spans="1:12" x14ac:dyDescent="0.3">
      <c r="A7734" t="s">
        <v>7740</v>
      </c>
      <c r="B7734" t="s">
        <v>10013</v>
      </c>
      <c r="C7734">
        <v>4</v>
      </c>
      <c r="D7734">
        <v>4</v>
      </c>
      <c r="E7734">
        <v>16</v>
      </c>
      <c r="F7734" t="s">
        <v>10019</v>
      </c>
      <c r="G7734" t="s">
        <v>10102</v>
      </c>
      <c r="H7734" s="6">
        <v>45159</v>
      </c>
      <c r="I7734">
        <f t="shared" si="240"/>
        <v>1</v>
      </c>
      <c r="J7734" t="str">
        <f t="shared" si="241"/>
        <v>Complete</v>
      </c>
      <c r="K7734">
        <f>COUNTIFS(RawData[Item], B7734,RawData[Quantity],C7734,RawData[Price Per Unit],D7734,RawData[Total Spent],E7734,RawData[Payment Method],F7734,RawData[Location],G7734,RawData[Transaction Date],H7734)</f>
        <v>1</v>
      </c>
      <c r="L7734"/>
    </row>
    <row r="7735" spans="1:12" x14ac:dyDescent="0.3">
      <c r="A7735" t="s">
        <v>7741</v>
      </c>
      <c r="B7735" t="s">
        <v>10010</v>
      </c>
      <c r="C7735">
        <v>4</v>
      </c>
      <c r="D7735">
        <v>1</v>
      </c>
      <c r="E7735">
        <v>4</v>
      </c>
      <c r="F7735" t="s">
        <v>10018</v>
      </c>
      <c r="G7735" t="s">
        <v>10069</v>
      </c>
      <c r="H7735" s="6" t="s">
        <v>10112</v>
      </c>
      <c r="I7735">
        <f t="shared" si="240"/>
        <v>1</v>
      </c>
      <c r="J7735" t="str">
        <f t="shared" si="241"/>
        <v>Incomplete</v>
      </c>
      <c r="K7735">
        <f>COUNTIFS(RawData[Item], B7735,RawData[Quantity],C7735,RawData[Price Per Unit],D7735,RawData[Total Spent],E7735,RawData[Payment Method],F7735,RawData[Location],G7735,RawData[Transaction Date],H7735)</f>
        <v>2</v>
      </c>
      <c r="L7735"/>
    </row>
    <row r="7736" spans="1:12" x14ac:dyDescent="0.3">
      <c r="A7736" t="s">
        <v>7742</v>
      </c>
      <c r="B7736" t="s">
        <v>10016</v>
      </c>
      <c r="C7736">
        <v>2</v>
      </c>
      <c r="D7736">
        <v>3</v>
      </c>
      <c r="E7736">
        <v>6</v>
      </c>
      <c r="F7736" t="s">
        <v>10019</v>
      </c>
      <c r="G7736" t="s">
        <v>10069</v>
      </c>
      <c r="H7736" s="6">
        <v>45233</v>
      </c>
      <c r="I7736">
        <f t="shared" si="240"/>
        <v>0</v>
      </c>
      <c r="J7736" t="str">
        <f t="shared" si="241"/>
        <v>Complete</v>
      </c>
      <c r="K7736">
        <f>COUNTIFS(RawData[Item], B7736,RawData[Quantity],C7736,RawData[Price Per Unit],D7736,RawData[Total Spent],E7736,RawData[Payment Method],F7736,RawData[Location],G7736,RawData[Transaction Date],H7736)</f>
        <v>1</v>
      </c>
      <c r="L7736"/>
    </row>
    <row r="7737" spans="1:12" x14ac:dyDescent="0.3">
      <c r="A7737" t="s">
        <v>7743</v>
      </c>
      <c r="B7737" t="s">
        <v>10012</v>
      </c>
      <c r="C7737">
        <v>1</v>
      </c>
      <c r="D7737">
        <v>4</v>
      </c>
      <c r="E7737">
        <v>4</v>
      </c>
      <c r="F7737" t="s">
        <v>10019</v>
      </c>
      <c r="G7737" t="s">
        <v>10102</v>
      </c>
      <c r="H7737" s="6">
        <v>45070</v>
      </c>
      <c r="I7737">
        <f t="shared" si="240"/>
        <v>0</v>
      </c>
      <c r="J7737" t="str">
        <f t="shared" si="241"/>
        <v>Complete</v>
      </c>
      <c r="K7737">
        <f>COUNTIFS(RawData[Item], B7737,RawData[Quantity],C7737,RawData[Price Per Unit],D7737,RawData[Total Spent],E7737,RawData[Payment Method],F7737,RawData[Location],G7737,RawData[Transaction Date],H7737)</f>
        <v>1</v>
      </c>
      <c r="L7737"/>
    </row>
    <row r="7738" spans="1:12" x14ac:dyDescent="0.3">
      <c r="A7738" t="s">
        <v>7744</v>
      </c>
      <c r="B7738" t="s">
        <v>10010</v>
      </c>
      <c r="C7738">
        <v>1</v>
      </c>
      <c r="D7738">
        <v>1</v>
      </c>
      <c r="E7738">
        <v>1</v>
      </c>
      <c r="F7738" t="s">
        <v>10069</v>
      </c>
      <c r="G7738" t="s">
        <v>10102</v>
      </c>
      <c r="H7738" s="6">
        <v>44955</v>
      </c>
      <c r="I7738">
        <f t="shared" si="240"/>
        <v>0</v>
      </c>
      <c r="J7738" t="str">
        <f t="shared" si="241"/>
        <v>Complete</v>
      </c>
      <c r="K7738">
        <f>COUNTIFS(RawData[Item], B7738,RawData[Quantity],C7738,RawData[Price Per Unit],D7738,RawData[Total Spent],E7738,RawData[Payment Method],F7738,RawData[Location],G7738,RawData[Transaction Date],H7738)</f>
        <v>1</v>
      </c>
      <c r="L7738"/>
    </row>
    <row r="7739" spans="1:12" x14ac:dyDescent="0.3">
      <c r="A7739" t="s">
        <v>7745</v>
      </c>
      <c r="B7739" t="s">
        <v>10011</v>
      </c>
      <c r="C7739">
        <v>1</v>
      </c>
      <c r="D7739">
        <v>5</v>
      </c>
      <c r="E7739">
        <v>5</v>
      </c>
      <c r="F7739" t="s">
        <v>10019</v>
      </c>
      <c r="G7739" t="s">
        <v>10102</v>
      </c>
      <c r="H7739" s="6" t="s">
        <v>10112</v>
      </c>
      <c r="I7739">
        <f t="shared" si="240"/>
        <v>1</v>
      </c>
      <c r="J7739" t="str">
        <f t="shared" si="241"/>
        <v>Incomplete</v>
      </c>
      <c r="K7739">
        <f>COUNTIFS(RawData[Item], B7739,RawData[Quantity],C7739,RawData[Price Per Unit],D7739,RawData[Total Spent],E7739,RawData[Payment Method],F7739,RawData[Location],G7739,RawData[Transaction Date],H7739)</f>
        <v>2</v>
      </c>
      <c r="L7739"/>
    </row>
    <row r="7740" spans="1:12" x14ac:dyDescent="0.3">
      <c r="A7740" t="s">
        <v>7746</v>
      </c>
      <c r="B7740" t="s">
        <v>10009</v>
      </c>
      <c r="C7740">
        <v>5</v>
      </c>
      <c r="D7740">
        <v>3</v>
      </c>
      <c r="E7740">
        <v>15</v>
      </c>
      <c r="F7740" t="s">
        <v>10018</v>
      </c>
      <c r="G7740" t="s">
        <v>10102</v>
      </c>
      <c r="H7740" s="6">
        <v>45126</v>
      </c>
      <c r="I7740">
        <f t="shared" si="240"/>
        <v>0</v>
      </c>
      <c r="J7740" t="str">
        <f t="shared" si="241"/>
        <v>Complete</v>
      </c>
      <c r="K7740">
        <f>COUNTIFS(RawData[Item], B7740,RawData[Quantity],C7740,RawData[Price Per Unit],D7740,RawData[Total Spent],E7740,RawData[Payment Method],F7740,RawData[Location],G7740,RawData[Transaction Date],H7740)</f>
        <v>2</v>
      </c>
      <c r="L7740"/>
    </row>
    <row r="7741" spans="1:12" x14ac:dyDescent="0.3">
      <c r="A7741" t="s">
        <v>7747</v>
      </c>
      <c r="B7741" t="s">
        <v>10009</v>
      </c>
      <c r="C7741">
        <v>2</v>
      </c>
      <c r="D7741">
        <v>3</v>
      </c>
      <c r="E7741">
        <v>6</v>
      </c>
      <c r="F7741" t="s">
        <v>10019</v>
      </c>
      <c r="G7741" t="s">
        <v>10021</v>
      </c>
      <c r="H7741" s="6">
        <v>45113</v>
      </c>
      <c r="I7741">
        <f t="shared" si="240"/>
        <v>0</v>
      </c>
      <c r="J7741" t="str">
        <f t="shared" si="241"/>
        <v>Complete</v>
      </c>
      <c r="K7741">
        <f>COUNTIFS(RawData[Item], B7741,RawData[Quantity],C7741,RawData[Price Per Unit],D7741,RawData[Total Spent],E7741,RawData[Payment Method],F7741,RawData[Location],G7741,RawData[Transaction Date],H7741)</f>
        <v>1</v>
      </c>
      <c r="L7741"/>
    </row>
    <row r="7742" spans="1:12" x14ac:dyDescent="0.3">
      <c r="A7742" t="s">
        <v>7748</v>
      </c>
      <c r="B7742" t="s">
        <v>10012</v>
      </c>
      <c r="C7742">
        <v>4</v>
      </c>
      <c r="D7742">
        <v>4</v>
      </c>
      <c r="E7742">
        <v>16</v>
      </c>
      <c r="F7742" t="s">
        <v>10020</v>
      </c>
      <c r="G7742" t="s">
        <v>10069</v>
      </c>
      <c r="H7742" s="6">
        <v>45262</v>
      </c>
      <c r="I7742">
        <f t="shared" si="240"/>
        <v>0</v>
      </c>
      <c r="J7742" t="str">
        <f t="shared" si="241"/>
        <v>Complete</v>
      </c>
      <c r="K7742">
        <f>COUNTIFS(RawData[Item], B7742,RawData[Quantity],C7742,RawData[Price Per Unit],D7742,RawData[Total Spent],E7742,RawData[Payment Method],F7742,RawData[Location],G7742,RawData[Transaction Date],H7742)</f>
        <v>1</v>
      </c>
      <c r="L7742"/>
    </row>
    <row r="7743" spans="1:12" x14ac:dyDescent="0.3">
      <c r="A7743" t="s">
        <v>7749</v>
      </c>
      <c r="B7743" t="s">
        <v>10017</v>
      </c>
      <c r="C7743">
        <v>4</v>
      </c>
      <c r="D7743">
        <v>1.5</v>
      </c>
      <c r="E7743">
        <v>6</v>
      </c>
      <c r="F7743" t="s">
        <v>10020</v>
      </c>
      <c r="G7743" t="s">
        <v>10102</v>
      </c>
      <c r="H7743" s="6" t="s">
        <v>10112</v>
      </c>
      <c r="I7743">
        <f t="shared" si="240"/>
        <v>1</v>
      </c>
      <c r="J7743" t="str">
        <f t="shared" si="241"/>
        <v>Incomplete</v>
      </c>
      <c r="K7743">
        <f>COUNTIFS(RawData[Item], B7743,RawData[Quantity],C7743,RawData[Price Per Unit],D7743,RawData[Total Spent],E7743,RawData[Payment Method],F7743,RawData[Location],G7743,RawData[Transaction Date],H7743)</f>
        <v>3</v>
      </c>
      <c r="L7743"/>
    </row>
    <row r="7744" spans="1:12" x14ac:dyDescent="0.3">
      <c r="A7744" t="s">
        <v>7750</v>
      </c>
      <c r="B7744" t="s">
        <v>10014</v>
      </c>
      <c r="C7744" t="s">
        <v>10013</v>
      </c>
      <c r="D7744">
        <v>4</v>
      </c>
      <c r="E7744">
        <v>12</v>
      </c>
      <c r="F7744" t="s">
        <v>10103</v>
      </c>
      <c r="G7744" t="s">
        <v>10021</v>
      </c>
      <c r="H7744" s="6">
        <v>44952</v>
      </c>
      <c r="I7744">
        <f t="shared" si="240"/>
        <v>2</v>
      </c>
      <c r="J7744" t="str">
        <f t="shared" si="241"/>
        <v>Complete</v>
      </c>
      <c r="K7744">
        <f>COUNTIFS(RawData[Item], B7744,RawData[Quantity],C7744,RawData[Price Per Unit],D7744,RawData[Total Spent],E7744,RawData[Payment Method],F7744,RawData[Location],G7744,RawData[Transaction Date],H7744)</f>
        <v>1</v>
      </c>
      <c r="L7744"/>
    </row>
    <row r="7745" spans="1:12" x14ac:dyDescent="0.3">
      <c r="A7745" t="s">
        <v>7751</v>
      </c>
      <c r="B7745" t="s">
        <v>10010</v>
      </c>
      <c r="C7745">
        <v>1</v>
      </c>
      <c r="D7745">
        <v>1</v>
      </c>
      <c r="E7745">
        <v>1</v>
      </c>
      <c r="F7745" t="s">
        <v>10019</v>
      </c>
      <c r="G7745" t="s">
        <v>10069</v>
      </c>
      <c r="H7745" s="6">
        <v>45159</v>
      </c>
      <c r="I7745">
        <f t="shared" si="240"/>
        <v>0</v>
      </c>
      <c r="J7745" t="str">
        <f t="shared" si="241"/>
        <v>Complete</v>
      </c>
      <c r="K7745">
        <f>COUNTIFS(RawData[Item], B7745,RawData[Quantity],C7745,RawData[Price Per Unit],D7745,RawData[Total Spent],E7745,RawData[Payment Method],F7745,RawData[Location],G7745,RawData[Transaction Date],H7745)</f>
        <v>1</v>
      </c>
      <c r="L7745"/>
    </row>
    <row r="7746" spans="1:12" x14ac:dyDescent="0.3">
      <c r="A7746" t="s">
        <v>7752</v>
      </c>
      <c r="B7746" t="s">
        <v>10008</v>
      </c>
      <c r="C7746">
        <v>3</v>
      </c>
      <c r="D7746">
        <v>2</v>
      </c>
      <c r="E7746">
        <v>6</v>
      </c>
      <c r="F7746" t="s">
        <v>10020</v>
      </c>
      <c r="G7746" t="s">
        <v>10069</v>
      </c>
      <c r="H7746" s="6">
        <v>45175</v>
      </c>
      <c r="I7746">
        <f t="shared" ref="I7746:I7809" si="242">(B7746="Unknown")+(B7746="Error")+(C7746="Unknown")+(C7746="Error")+(D7746="Unknown")+(D7746="Error")+(E7746="Unknown")+(E7746="Error")+(F7746="Unknown")+(F7746="Error")+(G7746="Unknown")+(G7746="Error")+(H7746="No Date")</f>
        <v>0</v>
      </c>
      <c r="J7746" t="str">
        <f t="shared" ref="J7746:J7809" si="243">IF((H7746="No Date"),"Incomplete","Complete")</f>
        <v>Complete</v>
      </c>
      <c r="K7746">
        <f>COUNTIFS(RawData[Item], B7746,RawData[Quantity],C7746,RawData[Price Per Unit],D7746,RawData[Total Spent],E7746,RawData[Payment Method],F7746,RawData[Location],G7746,RawData[Transaction Date],H7746)</f>
        <v>1</v>
      </c>
      <c r="L7746"/>
    </row>
    <row r="7747" spans="1:12" x14ac:dyDescent="0.3">
      <c r="A7747" t="s">
        <v>7753</v>
      </c>
      <c r="B7747" t="s">
        <v>10011</v>
      </c>
      <c r="C7747">
        <v>4</v>
      </c>
      <c r="D7747">
        <v>5</v>
      </c>
      <c r="E7747">
        <v>20</v>
      </c>
      <c r="F7747" t="s">
        <v>10019</v>
      </c>
      <c r="G7747" t="s">
        <v>10021</v>
      </c>
      <c r="H7747" s="6">
        <v>45138</v>
      </c>
      <c r="I7747">
        <f t="shared" si="242"/>
        <v>0</v>
      </c>
      <c r="J7747" t="str">
        <f t="shared" si="243"/>
        <v>Complete</v>
      </c>
      <c r="K7747">
        <f>COUNTIFS(RawData[Item], B7747,RawData[Quantity],C7747,RawData[Price Per Unit],D7747,RawData[Total Spent],E7747,RawData[Payment Method],F7747,RawData[Location],G7747,RawData[Transaction Date],H7747)</f>
        <v>1</v>
      </c>
      <c r="L7747"/>
    </row>
    <row r="7748" spans="1:12" x14ac:dyDescent="0.3">
      <c r="A7748" t="s">
        <v>7754</v>
      </c>
      <c r="B7748" t="s">
        <v>10011</v>
      </c>
      <c r="C7748">
        <v>2</v>
      </c>
      <c r="D7748">
        <v>5</v>
      </c>
      <c r="E7748">
        <v>10</v>
      </c>
      <c r="F7748" t="s">
        <v>10020</v>
      </c>
      <c r="G7748" t="s">
        <v>10102</v>
      </c>
      <c r="H7748" s="6">
        <v>45028</v>
      </c>
      <c r="I7748">
        <f t="shared" si="242"/>
        <v>0</v>
      </c>
      <c r="J7748" t="str">
        <f t="shared" si="243"/>
        <v>Complete</v>
      </c>
      <c r="K7748">
        <f>COUNTIFS(RawData[Item], B7748,RawData[Quantity],C7748,RawData[Price Per Unit],D7748,RawData[Total Spent],E7748,RawData[Payment Method],F7748,RawData[Location],G7748,RawData[Transaction Date],H7748)</f>
        <v>1</v>
      </c>
      <c r="L7748"/>
    </row>
    <row r="7749" spans="1:12" x14ac:dyDescent="0.3">
      <c r="A7749" t="s">
        <v>7755</v>
      </c>
      <c r="B7749" t="s">
        <v>10017</v>
      </c>
      <c r="C7749">
        <v>4</v>
      </c>
      <c r="D7749">
        <v>1.5</v>
      </c>
      <c r="E7749">
        <v>0</v>
      </c>
      <c r="F7749" t="s">
        <v>10069</v>
      </c>
      <c r="G7749" t="s">
        <v>10021</v>
      </c>
      <c r="H7749" s="6">
        <v>45049</v>
      </c>
      <c r="I7749">
        <f t="shared" si="242"/>
        <v>0</v>
      </c>
      <c r="J7749" t="str">
        <f t="shared" si="243"/>
        <v>Complete</v>
      </c>
      <c r="K7749">
        <f>COUNTIFS(RawData[Item], B7749,RawData[Quantity],C7749,RawData[Price Per Unit],D7749,RawData[Total Spent],E7749,RawData[Payment Method],F7749,RawData[Location],G7749,RawData[Transaction Date],H7749)</f>
        <v>1</v>
      </c>
      <c r="L7749"/>
    </row>
    <row r="7750" spans="1:12" x14ac:dyDescent="0.3">
      <c r="A7750" t="s">
        <v>7756</v>
      </c>
      <c r="B7750" t="s">
        <v>10009</v>
      </c>
      <c r="C7750">
        <v>5</v>
      </c>
      <c r="D7750" t="s">
        <v>10015</v>
      </c>
      <c r="E7750">
        <v>15</v>
      </c>
      <c r="F7750" t="s">
        <v>10019</v>
      </c>
      <c r="G7750" t="s">
        <v>10021</v>
      </c>
      <c r="H7750" s="6">
        <v>45199</v>
      </c>
      <c r="I7750">
        <f t="shared" si="242"/>
        <v>1</v>
      </c>
      <c r="J7750" t="str">
        <f t="shared" si="243"/>
        <v>Complete</v>
      </c>
      <c r="K7750">
        <f>COUNTIFS(RawData[Item], B7750,RawData[Quantity],C7750,RawData[Price Per Unit],D7750,RawData[Total Spent],E7750,RawData[Payment Method],F7750,RawData[Location],G7750,RawData[Transaction Date],H7750)</f>
        <v>1</v>
      </c>
      <c r="L7750"/>
    </row>
    <row r="7751" spans="1:12" x14ac:dyDescent="0.3">
      <c r="A7751" t="s">
        <v>7757</v>
      </c>
      <c r="B7751" t="s">
        <v>10012</v>
      </c>
      <c r="C7751">
        <v>4</v>
      </c>
      <c r="D7751">
        <v>4</v>
      </c>
      <c r="E7751">
        <v>16</v>
      </c>
      <c r="F7751" t="s">
        <v>10069</v>
      </c>
      <c r="G7751" t="s">
        <v>10069</v>
      </c>
      <c r="H7751" s="6">
        <v>45119</v>
      </c>
      <c r="I7751">
        <f t="shared" si="242"/>
        <v>0</v>
      </c>
      <c r="J7751" t="str">
        <f t="shared" si="243"/>
        <v>Complete</v>
      </c>
      <c r="K7751">
        <f>COUNTIFS(RawData[Item], B7751,RawData[Quantity],C7751,RawData[Price Per Unit],D7751,RawData[Total Spent],E7751,RawData[Payment Method],F7751,RawData[Location],G7751,RawData[Transaction Date],H7751)</f>
        <v>1</v>
      </c>
      <c r="L7751"/>
    </row>
    <row r="7752" spans="1:12" x14ac:dyDescent="0.3">
      <c r="A7752" t="s">
        <v>7758</v>
      </c>
      <c r="B7752" t="s">
        <v>10016</v>
      </c>
      <c r="C7752">
        <v>2</v>
      </c>
      <c r="D7752">
        <v>3</v>
      </c>
      <c r="E7752">
        <v>6</v>
      </c>
      <c r="F7752" t="s">
        <v>10020</v>
      </c>
      <c r="G7752" t="s">
        <v>10021</v>
      </c>
      <c r="H7752" s="6">
        <v>45000</v>
      </c>
      <c r="I7752">
        <f t="shared" si="242"/>
        <v>0</v>
      </c>
      <c r="J7752" t="str">
        <f t="shared" si="243"/>
        <v>Complete</v>
      </c>
      <c r="K7752">
        <f>COUNTIFS(RawData[Item], B7752,RawData[Quantity],C7752,RawData[Price Per Unit],D7752,RawData[Total Spent],E7752,RawData[Payment Method],F7752,RawData[Location],G7752,RawData[Transaction Date],H7752)</f>
        <v>1</v>
      </c>
      <c r="L7752"/>
    </row>
    <row r="7753" spans="1:12" x14ac:dyDescent="0.3">
      <c r="A7753" t="s">
        <v>7759</v>
      </c>
      <c r="B7753" t="s">
        <v>10016</v>
      </c>
      <c r="C7753">
        <v>2</v>
      </c>
      <c r="D7753">
        <v>3</v>
      </c>
      <c r="E7753">
        <v>6</v>
      </c>
      <c r="F7753" t="s">
        <v>10020</v>
      </c>
      <c r="G7753" t="s">
        <v>10069</v>
      </c>
      <c r="H7753" s="6">
        <v>44930</v>
      </c>
      <c r="I7753">
        <f t="shared" si="242"/>
        <v>0</v>
      </c>
      <c r="J7753" t="str">
        <f t="shared" si="243"/>
        <v>Complete</v>
      </c>
      <c r="K7753">
        <f>COUNTIFS(RawData[Item], B7753,RawData[Quantity],C7753,RawData[Price Per Unit],D7753,RawData[Total Spent],E7753,RawData[Payment Method],F7753,RawData[Location],G7753,RawData[Transaction Date],H7753)</f>
        <v>1</v>
      </c>
      <c r="L7753"/>
    </row>
    <row r="7754" spans="1:12" x14ac:dyDescent="0.3">
      <c r="A7754" t="s">
        <v>7760</v>
      </c>
      <c r="B7754" t="s">
        <v>10010</v>
      </c>
      <c r="C7754">
        <v>4</v>
      </c>
      <c r="D7754">
        <v>1</v>
      </c>
      <c r="E7754">
        <v>4</v>
      </c>
      <c r="F7754" t="s">
        <v>10018</v>
      </c>
      <c r="G7754" t="s">
        <v>10069</v>
      </c>
      <c r="H7754" s="6">
        <v>45231</v>
      </c>
      <c r="I7754">
        <f t="shared" si="242"/>
        <v>0</v>
      </c>
      <c r="J7754" t="str">
        <f t="shared" si="243"/>
        <v>Complete</v>
      </c>
      <c r="K7754">
        <f>COUNTIFS(RawData[Item], B7754,RawData[Quantity],C7754,RawData[Price Per Unit],D7754,RawData[Total Spent],E7754,RawData[Payment Method],F7754,RawData[Location],G7754,RawData[Transaction Date],H7754)</f>
        <v>1</v>
      </c>
      <c r="L7754"/>
    </row>
    <row r="7755" spans="1:12" x14ac:dyDescent="0.3">
      <c r="A7755" t="s">
        <v>7761</v>
      </c>
      <c r="B7755" t="s">
        <v>10008</v>
      </c>
      <c r="C7755">
        <v>4</v>
      </c>
      <c r="D7755">
        <v>2</v>
      </c>
      <c r="E7755">
        <v>8</v>
      </c>
      <c r="F7755" t="s">
        <v>10018</v>
      </c>
      <c r="G7755" t="s">
        <v>10021</v>
      </c>
      <c r="H7755" s="6">
        <v>45122</v>
      </c>
      <c r="I7755">
        <f t="shared" si="242"/>
        <v>0</v>
      </c>
      <c r="J7755" t="str">
        <f t="shared" si="243"/>
        <v>Complete</v>
      </c>
      <c r="K7755">
        <f>COUNTIFS(RawData[Item], B7755,RawData[Quantity],C7755,RawData[Price Per Unit],D7755,RawData[Total Spent],E7755,RawData[Payment Method],F7755,RawData[Location],G7755,RawData[Transaction Date],H7755)</f>
        <v>1</v>
      </c>
      <c r="L7755"/>
    </row>
    <row r="7756" spans="1:12" x14ac:dyDescent="0.3">
      <c r="A7756" t="s">
        <v>7762</v>
      </c>
      <c r="B7756" t="s">
        <v>10016</v>
      </c>
      <c r="C7756">
        <v>1</v>
      </c>
      <c r="D7756">
        <v>3</v>
      </c>
      <c r="E7756" t="s">
        <v>10013</v>
      </c>
      <c r="F7756" t="s">
        <v>10018</v>
      </c>
      <c r="G7756" t="s">
        <v>10069</v>
      </c>
      <c r="H7756" s="6">
        <v>45215</v>
      </c>
      <c r="I7756">
        <f t="shared" si="242"/>
        <v>1</v>
      </c>
      <c r="J7756" t="str">
        <f t="shared" si="243"/>
        <v>Complete</v>
      </c>
      <c r="K7756">
        <f>COUNTIFS(RawData[Item], B7756,RawData[Quantity],C7756,RawData[Price Per Unit],D7756,RawData[Total Spent],E7756,RawData[Payment Method],F7756,RawData[Location],G7756,RawData[Transaction Date],H7756)</f>
        <v>1</v>
      </c>
      <c r="L7756"/>
    </row>
    <row r="7757" spans="1:12" x14ac:dyDescent="0.3">
      <c r="A7757" t="s">
        <v>7763</v>
      </c>
      <c r="B7757" t="s">
        <v>10011</v>
      </c>
      <c r="C7757">
        <v>5</v>
      </c>
      <c r="D7757">
        <v>5</v>
      </c>
      <c r="E7757">
        <v>25</v>
      </c>
      <c r="F7757" t="s">
        <v>10018</v>
      </c>
      <c r="G7757" t="s">
        <v>10104</v>
      </c>
      <c r="H7757" s="6">
        <v>45057</v>
      </c>
      <c r="I7757">
        <f t="shared" si="242"/>
        <v>1</v>
      </c>
      <c r="J7757" t="str">
        <f t="shared" si="243"/>
        <v>Complete</v>
      </c>
      <c r="K7757">
        <f>COUNTIFS(RawData[Item], B7757,RawData[Quantity],C7757,RawData[Price Per Unit],D7757,RawData[Total Spent],E7757,RawData[Payment Method],F7757,RawData[Location],G7757,RawData[Transaction Date],H7757)</f>
        <v>1</v>
      </c>
      <c r="L7757"/>
    </row>
    <row r="7758" spans="1:12" x14ac:dyDescent="0.3">
      <c r="A7758" t="s">
        <v>7764</v>
      </c>
      <c r="B7758" t="s">
        <v>10014</v>
      </c>
      <c r="C7758">
        <v>3</v>
      </c>
      <c r="D7758">
        <v>4</v>
      </c>
      <c r="E7758">
        <v>12</v>
      </c>
      <c r="F7758" t="s">
        <v>10069</v>
      </c>
      <c r="G7758" t="s">
        <v>10102</v>
      </c>
      <c r="H7758" s="6">
        <v>45087</v>
      </c>
      <c r="I7758">
        <f t="shared" si="242"/>
        <v>0</v>
      </c>
      <c r="J7758" t="str">
        <f t="shared" si="243"/>
        <v>Complete</v>
      </c>
      <c r="K7758">
        <f>COUNTIFS(RawData[Item], B7758,RawData[Quantity],C7758,RawData[Price Per Unit],D7758,RawData[Total Spent],E7758,RawData[Payment Method],F7758,RawData[Location],G7758,RawData[Transaction Date],H7758)</f>
        <v>1</v>
      </c>
      <c r="L7758"/>
    </row>
    <row r="7759" spans="1:12" x14ac:dyDescent="0.3">
      <c r="A7759" t="s">
        <v>7765</v>
      </c>
      <c r="B7759" t="s">
        <v>10010</v>
      </c>
      <c r="C7759">
        <v>5</v>
      </c>
      <c r="D7759">
        <v>1</v>
      </c>
      <c r="E7759">
        <v>5</v>
      </c>
      <c r="F7759" t="s">
        <v>10069</v>
      </c>
      <c r="G7759" t="s">
        <v>10102</v>
      </c>
      <c r="H7759" s="6">
        <v>45049</v>
      </c>
      <c r="I7759">
        <f t="shared" si="242"/>
        <v>0</v>
      </c>
      <c r="J7759" t="str">
        <f t="shared" si="243"/>
        <v>Complete</v>
      </c>
      <c r="K7759">
        <f>COUNTIFS(RawData[Item], B7759,RawData[Quantity],C7759,RawData[Price Per Unit],D7759,RawData[Total Spent],E7759,RawData[Payment Method],F7759,RawData[Location],G7759,RawData[Transaction Date],H7759)</f>
        <v>1</v>
      </c>
      <c r="L7759"/>
    </row>
    <row r="7760" spans="1:12" x14ac:dyDescent="0.3">
      <c r="A7760" t="s">
        <v>7766</v>
      </c>
      <c r="B7760" t="s">
        <v>10010</v>
      </c>
      <c r="C7760">
        <v>2</v>
      </c>
      <c r="D7760">
        <v>1</v>
      </c>
      <c r="E7760">
        <v>2</v>
      </c>
      <c r="F7760" t="s">
        <v>10018</v>
      </c>
      <c r="G7760" t="s">
        <v>10021</v>
      </c>
      <c r="H7760" s="6">
        <v>45281</v>
      </c>
      <c r="I7760">
        <f t="shared" si="242"/>
        <v>0</v>
      </c>
      <c r="J7760" t="str">
        <f t="shared" si="243"/>
        <v>Complete</v>
      </c>
      <c r="K7760">
        <f>COUNTIFS(RawData[Item], B7760,RawData[Quantity],C7760,RawData[Price Per Unit],D7760,RawData[Total Spent],E7760,RawData[Payment Method],F7760,RawData[Location],G7760,RawData[Transaction Date],H7760)</f>
        <v>1</v>
      </c>
      <c r="L7760"/>
    </row>
    <row r="7761" spans="1:12" x14ac:dyDescent="0.3">
      <c r="A7761" t="s">
        <v>7767</v>
      </c>
      <c r="B7761" t="s">
        <v>10008</v>
      </c>
      <c r="C7761">
        <v>3</v>
      </c>
      <c r="D7761">
        <v>2</v>
      </c>
      <c r="E7761">
        <v>6</v>
      </c>
      <c r="F7761" t="s">
        <v>10020</v>
      </c>
      <c r="G7761" t="s">
        <v>10069</v>
      </c>
      <c r="H7761" s="6" t="s">
        <v>10112</v>
      </c>
      <c r="I7761">
        <f t="shared" si="242"/>
        <v>1</v>
      </c>
      <c r="J7761" t="str">
        <f t="shared" si="243"/>
        <v>Incomplete</v>
      </c>
      <c r="K7761">
        <f>COUNTIFS(RawData[Item], B7761,RawData[Quantity],C7761,RawData[Price Per Unit],D7761,RawData[Total Spent],E7761,RawData[Payment Method],F7761,RawData[Location],G7761,RawData[Transaction Date],H7761)</f>
        <v>1</v>
      </c>
      <c r="L7761"/>
    </row>
    <row r="7762" spans="1:12" x14ac:dyDescent="0.3">
      <c r="A7762" t="s">
        <v>7768</v>
      </c>
      <c r="B7762" t="s">
        <v>10009</v>
      </c>
      <c r="C7762">
        <v>5</v>
      </c>
      <c r="D7762">
        <v>3</v>
      </c>
      <c r="E7762">
        <v>15</v>
      </c>
      <c r="F7762" t="s">
        <v>10019</v>
      </c>
      <c r="G7762" t="s">
        <v>10021</v>
      </c>
      <c r="H7762" s="6">
        <v>45085</v>
      </c>
      <c r="I7762">
        <f t="shared" si="242"/>
        <v>0</v>
      </c>
      <c r="J7762" t="str">
        <f t="shared" si="243"/>
        <v>Complete</v>
      </c>
      <c r="K7762">
        <f>COUNTIFS(RawData[Item], B7762,RawData[Quantity],C7762,RawData[Price Per Unit],D7762,RawData[Total Spent],E7762,RawData[Payment Method],F7762,RawData[Location],G7762,RawData[Transaction Date],H7762)</f>
        <v>1</v>
      </c>
      <c r="L7762"/>
    </row>
    <row r="7763" spans="1:12" x14ac:dyDescent="0.3">
      <c r="A7763" t="s">
        <v>7769</v>
      </c>
      <c r="B7763" t="s">
        <v>10010</v>
      </c>
      <c r="C7763">
        <v>5</v>
      </c>
      <c r="D7763">
        <v>1</v>
      </c>
      <c r="E7763">
        <v>5</v>
      </c>
      <c r="F7763" t="s">
        <v>10018</v>
      </c>
      <c r="G7763" t="s">
        <v>10069</v>
      </c>
      <c r="H7763" s="6">
        <v>44993</v>
      </c>
      <c r="I7763">
        <f t="shared" si="242"/>
        <v>0</v>
      </c>
      <c r="J7763" t="str">
        <f t="shared" si="243"/>
        <v>Complete</v>
      </c>
      <c r="K7763">
        <f>COUNTIFS(RawData[Item], B7763,RawData[Quantity],C7763,RawData[Price Per Unit],D7763,RawData[Total Spent],E7763,RawData[Payment Method],F7763,RawData[Location],G7763,RawData[Transaction Date],H7763)</f>
        <v>1</v>
      </c>
      <c r="L7763"/>
    </row>
    <row r="7764" spans="1:12" x14ac:dyDescent="0.3">
      <c r="A7764" t="s">
        <v>7770</v>
      </c>
      <c r="B7764" t="s">
        <v>10069</v>
      </c>
      <c r="C7764">
        <v>2</v>
      </c>
      <c r="D7764">
        <v>5</v>
      </c>
      <c r="E7764">
        <v>10</v>
      </c>
      <c r="F7764" t="s">
        <v>10020</v>
      </c>
      <c r="G7764" t="s">
        <v>10102</v>
      </c>
      <c r="H7764" s="6">
        <v>45056</v>
      </c>
      <c r="I7764">
        <f t="shared" si="242"/>
        <v>0</v>
      </c>
      <c r="J7764" t="str">
        <f t="shared" si="243"/>
        <v>Complete</v>
      </c>
      <c r="K7764">
        <f>COUNTIFS(RawData[Item], B7764,RawData[Quantity],C7764,RawData[Price Per Unit],D7764,RawData[Total Spent],E7764,RawData[Payment Method],F7764,RawData[Location],G7764,RawData[Transaction Date],H7764)</f>
        <v>1</v>
      </c>
      <c r="L7764"/>
    </row>
    <row r="7765" spans="1:12" x14ac:dyDescent="0.3">
      <c r="A7765" t="s">
        <v>7771</v>
      </c>
      <c r="B7765" t="s">
        <v>10011</v>
      </c>
      <c r="C7765">
        <v>4</v>
      </c>
      <c r="D7765">
        <v>5</v>
      </c>
      <c r="E7765">
        <v>20</v>
      </c>
      <c r="F7765" t="s">
        <v>10020</v>
      </c>
      <c r="G7765" t="s">
        <v>10069</v>
      </c>
      <c r="H7765" s="6">
        <v>45145</v>
      </c>
      <c r="I7765">
        <f t="shared" si="242"/>
        <v>0</v>
      </c>
      <c r="J7765" t="str">
        <f t="shared" si="243"/>
        <v>Complete</v>
      </c>
      <c r="K7765">
        <f>COUNTIFS(RawData[Item], B7765,RawData[Quantity],C7765,RawData[Price Per Unit],D7765,RawData[Total Spent],E7765,RawData[Payment Method],F7765,RawData[Location],G7765,RawData[Transaction Date],H7765)</f>
        <v>1</v>
      </c>
      <c r="L7765"/>
    </row>
    <row r="7766" spans="1:12" x14ac:dyDescent="0.3">
      <c r="A7766" t="s">
        <v>7772</v>
      </c>
      <c r="B7766" t="s">
        <v>10011</v>
      </c>
      <c r="C7766">
        <v>3</v>
      </c>
      <c r="D7766">
        <v>5</v>
      </c>
      <c r="E7766">
        <v>15</v>
      </c>
      <c r="F7766" t="s">
        <v>10020</v>
      </c>
      <c r="G7766" t="s">
        <v>10021</v>
      </c>
      <c r="H7766" s="6">
        <v>45121</v>
      </c>
      <c r="I7766">
        <f t="shared" si="242"/>
        <v>0</v>
      </c>
      <c r="J7766" t="str">
        <f t="shared" si="243"/>
        <v>Complete</v>
      </c>
      <c r="K7766">
        <f>COUNTIFS(RawData[Item], B7766,RawData[Quantity],C7766,RawData[Price Per Unit],D7766,RawData[Total Spent],E7766,RawData[Payment Method],F7766,RawData[Location],G7766,RawData[Transaction Date],H7766)</f>
        <v>1</v>
      </c>
      <c r="L7766"/>
    </row>
    <row r="7767" spans="1:12" x14ac:dyDescent="0.3">
      <c r="A7767" t="s">
        <v>7773</v>
      </c>
      <c r="B7767" t="s">
        <v>10011</v>
      </c>
      <c r="C7767">
        <v>3</v>
      </c>
      <c r="D7767" t="s">
        <v>10015</v>
      </c>
      <c r="E7767">
        <v>15</v>
      </c>
      <c r="F7767" t="s">
        <v>10018</v>
      </c>
      <c r="G7767" t="s">
        <v>10021</v>
      </c>
      <c r="H7767" s="6">
        <v>44997</v>
      </c>
      <c r="I7767">
        <f t="shared" si="242"/>
        <v>1</v>
      </c>
      <c r="J7767" t="str">
        <f t="shared" si="243"/>
        <v>Complete</v>
      </c>
      <c r="K7767">
        <f>COUNTIFS(RawData[Item], B7767,RawData[Quantity],C7767,RawData[Price Per Unit],D7767,RawData[Total Spent],E7767,RawData[Payment Method],F7767,RawData[Location],G7767,RawData[Transaction Date],H7767)</f>
        <v>1</v>
      </c>
      <c r="L7767"/>
    </row>
    <row r="7768" spans="1:12" x14ac:dyDescent="0.3">
      <c r="A7768" t="s">
        <v>7774</v>
      </c>
      <c r="B7768" t="s">
        <v>10008</v>
      </c>
      <c r="C7768">
        <v>2</v>
      </c>
      <c r="D7768">
        <v>2</v>
      </c>
      <c r="E7768">
        <v>4</v>
      </c>
      <c r="F7768" t="s">
        <v>10020</v>
      </c>
      <c r="G7768" t="s">
        <v>10021</v>
      </c>
      <c r="H7768" s="6">
        <v>45094</v>
      </c>
      <c r="I7768">
        <f t="shared" si="242"/>
        <v>0</v>
      </c>
      <c r="J7768" t="str">
        <f t="shared" si="243"/>
        <v>Complete</v>
      </c>
      <c r="K7768">
        <f>COUNTIFS(RawData[Item], B7768,RawData[Quantity],C7768,RawData[Price Per Unit],D7768,RawData[Total Spent],E7768,RawData[Payment Method],F7768,RawData[Location],G7768,RawData[Transaction Date],H7768)</f>
        <v>1</v>
      </c>
      <c r="L7768"/>
    </row>
    <row r="7769" spans="1:12" x14ac:dyDescent="0.3">
      <c r="A7769" t="s">
        <v>7775</v>
      </c>
      <c r="B7769" t="s">
        <v>10017</v>
      </c>
      <c r="C7769">
        <v>5</v>
      </c>
      <c r="D7769">
        <v>1.5</v>
      </c>
      <c r="E7769">
        <v>7.5</v>
      </c>
      <c r="F7769" t="s">
        <v>10019</v>
      </c>
      <c r="G7769" t="s">
        <v>10021</v>
      </c>
      <c r="H7769" s="6">
        <v>45155</v>
      </c>
      <c r="I7769">
        <f t="shared" si="242"/>
        <v>0</v>
      </c>
      <c r="J7769" t="str">
        <f t="shared" si="243"/>
        <v>Complete</v>
      </c>
      <c r="K7769">
        <f>COUNTIFS(RawData[Item], B7769,RawData[Quantity],C7769,RawData[Price Per Unit],D7769,RawData[Total Spent],E7769,RawData[Payment Method],F7769,RawData[Location],G7769,RawData[Transaction Date],H7769)</f>
        <v>1</v>
      </c>
      <c r="L7769"/>
    </row>
    <row r="7770" spans="1:12" x14ac:dyDescent="0.3">
      <c r="A7770" t="s">
        <v>7776</v>
      </c>
      <c r="B7770" t="s">
        <v>10011</v>
      </c>
      <c r="C7770">
        <v>5</v>
      </c>
      <c r="D7770">
        <v>5</v>
      </c>
      <c r="E7770">
        <v>25</v>
      </c>
      <c r="F7770" t="s">
        <v>10069</v>
      </c>
      <c r="G7770" t="s">
        <v>10069</v>
      </c>
      <c r="H7770" s="6">
        <v>45179</v>
      </c>
      <c r="I7770">
        <f t="shared" si="242"/>
        <v>0</v>
      </c>
      <c r="J7770" t="str">
        <f t="shared" si="243"/>
        <v>Complete</v>
      </c>
      <c r="K7770">
        <f>COUNTIFS(RawData[Item], B7770,RawData[Quantity],C7770,RawData[Price Per Unit],D7770,RawData[Total Spent],E7770,RawData[Payment Method],F7770,RawData[Location],G7770,RawData[Transaction Date],H7770)</f>
        <v>1</v>
      </c>
      <c r="L7770"/>
    </row>
    <row r="7771" spans="1:12" x14ac:dyDescent="0.3">
      <c r="A7771" t="s">
        <v>7777</v>
      </c>
      <c r="B7771" t="s">
        <v>10016</v>
      </c>
      <c r="C7771">
        <v>2</v>
      </c>
      <c r="D7771">
        <v>3</v>
      </c>
      <c r="E7771">
        <v>6</v>
      </c>
      <c r="F7771" t="s">
        <v>10019</v>
      </c>
      <c r="G7771" t="s">
        <v>10102</v>
      </c>
      <c r="H7771" s="6">
        <v>45034</v>
      </c>
      <c r="I7771">
        <f t="shared" si="242"/>
        <v>0</v>
      </c>
      <c r="J7771" t="str">
        <f t="shared" si="243"/>
        <v>Complete</v>
      </c>
      <c r="K7771">
        <f>COUNTIFS(RawData[Item], B7771,RawData[Quantity],C7771,RawData[Price Per Unit],D7771,RawData[Total Spent],E7771,RawData[Payment Method],F7771,RawData[Location],G7771,RawData[Transaction Date],H7771)</f>
        <v>1</v>
      </c>
      <c r="L7771"/>
    </row>
    <row r="7772" spans="1:12" x14ac:dyDescent="0.3">
      <c r="A7772" t="s">
        <v>7778</v>
      </c>
      <c r="B7772" t="s">
        <v>10014</v>
      </c>
      <c r="C7772">
        <v>5</v>
      </c>
      <c r="D7772">
        <v>4</v>
      </c>
      <c r="E7772">
        <v>20</v>
      </c>
      <c r="F7772" t="s">
        <v>10069</v>
      </c>
      <c r="G7772" t="s">
        <v>10021</v>
      </c>
      <c r="H7772" s="6">
        <v>44987</v>
      </c>
      <c r="I7772">
        <f t="shared" si="242"/>
        <v>0</v>
      </c>
      <c r="J7772" t="str">
        <f t="shared" si="243"/>
        <v>Complete</v>
      </c>
      <c r="K7772">
        <f>COUNTIFS(RawData[Item], B7772,RawData[Quantity],C7772,RawData[Price Per Unit],D7772,RawData[Total Spent],E7772,RawData[Payment Method],F7772,RawData[Location],G7772,RawData[Transaction Date],H7772)</f>
        <v>1</v>
      </c>
      <c r="L7772"/>
    </row>
    <row r="7773" spans="1:12" x14ac:dyDescent="0.3">
      <c r="A7773" t="s">
        <v>7779</v>
      </c>
      <c r="B7773" t="s">
        <v>10016</v>
      </c>
      <c r="C7773">
        <v>2</v>
      </c>
      <c r="D7773">
        <v>3</v>
      </c>
      <c r="E7773">
        <v>6</v>
      </c>
      <c r="F7773" t="s">
        <v>10069</v>
      </c>
      <c r="G7773" t="s">
        <v>10069</v>
      </c>
      <c r="H7773" s="6">
        <v>45227</v>
      </c>
      <c r="I7773">
        <f t="shared" si="242"/>
        <v>0</v>
      </c>
      <c r="J7773" t="str">
        <f t="shared" si="243"/>
        <v>Complete</v>
      </c>
      <c r="K7773">
        <f>COUNTIFS(RawData[Item], B7773,RawData[Quantity],C7773,RawData[Price Per Unit],D7773,RawData[Total Spent],E7773,RawData[Payment Method],F7773,RawData[Location],G7773,RawData[Transaction Date],H7773)</f>
        <v>1</v>
      </c>
      <c r="L7773"/>
    </row>
    <row r="7774" spans="1:12" x14ac:dyDescent="0.3">
      <c r="A7774" t="s">
        <v>7780</v>
      </c>
      <c r="B7774" t="s">
        <v>10017</v>
      </c>
      <c r="C7774">
        <v>3</v>
      </c>
      <c r="D7774">
        <v>1.5</v>
      </c>
      <c r="E7774">
        <v>4.5</v>
      </c>
      <c r="F7774" t="s">
        <v>10019</v>
      </c>
      <c r="G7774" t="s">
        <v>10069</v>
      </c>
      <c r="H7774" s="6">
        <v>45057</v>
      </c>
      <c r="I7774">
        <f t="shared" si="242"/>
        <v>0</v>
      </c>
      <c r="J7774" t="str">
        <f t="shared" si="243"/>
        <v>Complete</v>
      </c>
      <c r="K7774">
        <f>COUNTIFS(RawData[Item], B7774,RawData[Quantity],C7774,RawData[Price Per Unit],D7774,RawData[Total Spent],E7774,RawData[Payment Method],F7774,RawData[Location],G7774,RawData[Transaction Date],H7774)</f>
        <v>1</v>
      </c>
      <c r="L7774"/>
    </row>
    <row r="7775" spans="1:12" x14ac:dyDescent="0.3">
      <c r="A7775" t="s">
        <v>7781</v>
      </c>
      <c r="B7775" t="s">
        <v>10016</v>
      </c>
      <c r="C7775">
        <v>1</v>
      </c>
      <c r="D7775">
        <v>3</v>
      </c>
      <c r="E7775">
        <v>3</v>
      </c>
      <c r="F7775" t="s">
        <v>10020</v>
      </c>
      <c r="G7775" t="s">
        <v>10069</v>
      </c>
      <c r="H7775" s="6">
        <v>45051</v>
      </c>
      <c r="I7775">
        <f t="shared" si="242"/>
        <v>0</v>
      </c>
      <c r="J7775" t="str">
        <f t="shared" si="243"/>
        <v>Complete</v>
      </c>
      <c r="K7775">
        <f>COUNTIFS(RawData[Item], B7775,RawData[Quantity],C7775,RawData[Price Per Unit],D7775,RawData[Total Spent],E7775,RawData[Payment Method],F7775,RawData[Location],G7775,RawData[Transaction Date],H7775)</f>
        <v>1</v>
      </c>
      <c r="L7775"/>
    </row>
    <row r="7776" spans="1:12" x14ac:dyDescent="0.3">
      <c r="A7776" t="s">
        <v>7782</v>
      </c>
      <c r="B7776" t="s">
        <v>10012</v>
      </c>
      <c r="C7776">
        <v>5</v>
      </c>
      <c r="D7776">
        <v>4</v>
      </c>
      <c r="E7776">
        <v>20</v>
      </c>
      <c r="F7776" t="s">
        <v>10069</v>
      </c>
      <c r="G7776" t="s">
        <v>10021</v>
      </c>
      <c r="H7776" s="6">
        <v>45017</v>
      </c>
      <c r="I7776">
        <f t="shared" si="242"/>
        <v>0</v>
      </c>
      <c r="J7776" t="str">
        <f t="shared" si="243"/>
        <v>Complete</v>
      </c>
      <c r="K7776">
        <f>COUNTIFS(RawData[Item], B7776,RawData[Quantity],C7776,RawData[Price Per Unit],D7776,RawData[Total Spent],E7776,RawData[Payment Method],F7776,RawData[Location],G7776,RawData[Transaction Date],H7776)</f>
        <v>1</v>
      </c>
      <c r="L7776"/>
    </row>
    <row r="7777" spans="1:12" x14ac:dyDescent="0.3">
      <c r="A7777" t="s">
        <v>7783</v>
      </c>
      <c r="B7777" t="s">
        <v>10008</v>
      </c>
      <c r="C7777">
        <v>4</v>
      </c>
      <c r="D7777">
        <v>2</v>
      </c>
      <c r="E7777">
        <v>8</v>
      </c>
      <c r="F7777" t="s">
        <v>10018</v>
      </c>
      <c r="G7777" t="s">
        <v>10069</v>
      </c>
      <c r="H7777" s="6">
        <v>45179</v>
      </c>
      <c r="I7777">
        <f t="shared" si="242"/>
        <v>0</v>
      </c>
      <c r="J7777" t="str">
        <f t="shared" si="243"/>
        <v>Complete</v>
      </c>
      <c r="K7777">
        <f>COUNTIFS(RawData[Item], B7777,RawData[Quantity],C7777,RawData[Price Per Unit],D7777,RawData[Total Spent],E7777,RawData[Payment Method],F7777,RawData[Location],G7777,RawData[Transaction Date],H7777)</f>
        <v>1</v>
      </c>
      <c r="L7777"/>
    </row>
    <row r="7778" spans="1:12" x14ac:dyDescent="0.3">
      <c r="A7778" t="s">
        <v>7784</v>
      </c>
      <c r="B7778" t="s">
        <v>10016</v>
      </c>
      <c r="C7778" t="s">
        <v>10015</v>
      </c>
      <c r="D7778">
        <v>3</v>
      </c>
      <c r="E7778">
        <v>3</v>
      </c>
      <c r="F7778" t="s">
        <v>10104</v>
      </c>
      <c r="G7778" t="s">
        <v>10021</v>
      </c>
      <c r="H7778" s="6">
        <v>45138</v>
      </c>
      <c r="I7778">
        <f t="shared" si="242"/>
        <v>2</v>
      </c>
      <c r="J7778" t="str">
        <f t="shared" si="243"/>
        <v>Complete</v>
      </c>
      <c r="K7778">
        <f>COUNTIFS(RawData[Item], B7778,RawData[Quantity],C7778,RawData[Price Per Unit],D7778,RawData[Total Spent],E7778,RawData[Payment Method],F7778,RawData[Location],G7778,RawData[Transaction Date],H7778)</f>
        <v>1</v>
      </c>
      <c r="L7778"/>
    </row>
    <row r="7779" spans="1:12" x14ac:dyDescent="0.3">
      <c r="A7779" t="s">
        <v>7785</v>
      </c>
      <c r="B7779" t="s">
        <v>10011</v>
      </c>
      <c r="C7779">
        <v>4</v>
      </c>
      <c r="D7779">
        <v>5</v>
      </c>
      <c r="E7779">
        <v>20</v>
      </c>
      <c r="F7779" t="s">
        <v>10019</v>
      </c>
      <c r="G7779" t="s">
        <v>10102</v>
      </c>
      <c r="H7779" s="6">
        <v>45180</v>
      </c>
      <c r="I7779">
        <f t="shared" si="242"/>
        <v>0</v>
      </c>
      <c r="J7779" t="str">
        <f t="shared" si="243"/>
        <v>Complete</v>
      </c>
      <c r="K7779">
        <f>COUNTIFS(RawData[Item], B7779,RawData[Quantity],C7779,RawData[Price Per Unit],D7779,RawData[Total Spent],E7779,RawData[Payment Method],F7779,RawData[Location],G7779,RawData[Transaction Date],H7779)</f>
        <v>1</v>
      </c>
      <c r="L7779"/>
    </row>
    <row r="7780" spans="1:12" x14ac:dyDescent="0.3">
      <c r="A7780" t="s">
        <v>7786</v>
      </c>
      <c r="B7780" t="s">
        <v>10009</v>
      </c>
      <c r="C7780" t="s">
        <v>10015</v>
      </c>
      <c r="D7780">
        <v>3</v>
      </c>
      <c r="E7780">
        <v>9</v>
      </c>
      <c r="F7780" t="s">
        <v>10020</v>
      </c>
      <c r="G7780" t="s">
        <v>10021</v>
      </c>
      <c r="H7780" s="6">
        <v>44960</v>
      </c>
      <c r="I7780">
        <f t="shared" si="242"/>
        <v>1</v>
      </c>
      <c r="J7780" t="str">
        <f t="shared" si="243"/>
        <v>Complete</v>
      </c>
      <c r="K7780">
        <f>COUNTIFS(RawData[Item], B7780,RawData[Quantity],C7780,RawData[Price Per Unit],D7780,RawData[Total Spent],E7780,RawData[Payment Method],F7780,RawData[Location],G7780,RawData[Transaction Date],H7780)</f>
        <v>1</v>
      </c>
      <c r="L7780"/>
    </row>
    <row r="7781" spans="1:12" x14ac:dyDescent="0.3">
      <c r="A7781" t="s">
        <v>7787</v>
      </c>
      <c r="B7781" t="s">
        <v>10008</v>
      </c>
      <c r="C7781">
        <v>3</v>
      </c>
      <c r="D7781">
        <v>2</v>
      </c>
      <c r="E7781">
        <v>6</v>
      </c>
      <c r="F7781" t="s">
        <v>10069</v>
      </c>
      <c r="G7781" t="s">
        <v>10069</v>
      </c>
      <c r="H7781" s="6">
        <v>45101</v>
      </c>
      <c r="I7781">
        <f t="shared" si="242"/>
        <v>0</v>
      </c>
      <c r="J7781" t="str">
        <f t="shared" si="243"/>
        <v>Complete</v>
      </c>
      <c r="K7781">
        <f>COUNTIFS(RawData[Item], B7781,RawData[Quantity],C7781,RawData[Price Per Unit],D7781,RawData[Total Spent],E7781,RawData[Payment Method],F7781,RawData[Location],G7781,RawData[Transaction Date],H7781)</f>
        <v>1</v>
      </c>
      <c r="L7781"/>
    </row>
    <row r="7782" spans="1:12" x14ac:dyDescent="0.3">
      <c r="A7782" t="s">
        <v>7788</v>
      </c>
      <c r="B7782" t="s">
        <v>10009</v>
      </c>
      <c r="C7782">
        <v>2</v>
      </c>
      <c r="D7782">
        <v>3</v>
      </c>
      <c r="E7782">
        <v>6</v>
      </c>
      <c r="F7782" t="s">
        <v>10069</v>
      </c>
      <c r="G7782" t="s">
        <v>10102</v>
      </c>
      <c r="H7782" s="6">
        <v>45024</v>
      </c>
      <c r="I7782">
        <f t="shared" si="242"/>
        <v>0</v>
      </c>
      <c r="J7782" t="str">
        <f t="shared" si="243"/>
        <v>Complete</v>
      </c>
      <c r="K7782">
        <f>COUNTIFS(RawData[Item], B7782,RawData[Quantity],C7782,RawData[Price Per Unit],D7782,RawData[Total Spent],E7782,RawData[Payment Method],F7782,RawData[Location],G7782,RawData[Transaction Date],H7782)</f>
        <v>1</v>
      </c>
      <c r="L7782"/>
    </row>
    <row r="7783" spans="1:12" x14ac:dyDescent="0.3">
      <c r="A7783" t="s">
        <v>7789</v>
      </c>
      <c r="B7783" t="s">
        <v>10009</v>
      </c>
      <c r="C7783">
        <v>4</v>
      </c>
      <c r="D7783">
        <v>3</v>
      </c>
      <c r="E7783">
        <v>12</v>
      </c>
      <c r="F7783" t="s">
        <v>10069</v>
      </c>
      <c r="G7783" t="s">
        <v>10102</v>
      </c>
      <c r="H7783" s="6">
        <v>45001</v>
      </c>
      <c r="I7783">
        <f t="shared" si="242"/>
        <v>0</v>
      </c>
      <c r="J7783" t="str">
        <f t="shared" si="243"/>
        <v>Complete</v>
      </c>
      <c r="K7783">
        <f>COUNTIFS(RawData[Item], B7783,RawData[Quantity],C7783,RawData[Price Per Unit],D7783,RawData[Total Spent],E7783,RawData[Payment Method],F7783,RawData[Location],G7783,RawData[Transaction Date],H7783)</f>
        <v>1</v>
      </c>
      <c r="L7783"/>
    </row>
    <row r="7784" spans="1:12" x14ac:dyDescent="0.3">
      <c r="A7784" t="s">
        <v>7790</v>
      </c>
      <c r="B7784" t="s">
        <v>10010</v>
      </c>
      <c r="C7784">
        <v>2</v>
      </c>
      <c r="D7784">
        <v>1</v>
      </c>
      <c r="E7784">
        <v>2</v>
      </c>
      <c r="F7784" t="s">
        <v>10019</v>
      </c>
      <c r="G7784" t="s">
        <v>10102</v>
      </c>
      <c r="H7784" s="6">
        <v>45267</v>
      </c>
      <c r="I7784">
        <f t="shared" si="242"/>
        <v>0</v>
      </c>
      <c r="J7784" t="str">
        <f t="shared" si="243"/>
        <v>Complete</v>
      </c>
      <c r="K7784">
        <f>COUNTIFS(RawData[Item], B7784,RawData[Quantity],C7784,RawData[Price Per Unit],D7784,RawData[Total Spent],E7784,RawData[Payment Method],F7784,RawData[Location],G7784,RawData[Transaction Date],H7784)</f>
        <v>1</v>
      </c>
      <c r="L7784"/>
    </row>
    <row r="7785" spans="1:12" x14ac:dyDescent="0.3">
      <c r="A7785" t="s">
        <v>7791</v>
      </c>
      <c r="B7785" t="s">
        <v>10012</v>
      </c>
      <c r="C7785">
        <v>2</v>
      </c>
      <c r="D7785">
        <v>4</v>
      </c>
      <c r="E7785">
        <v>8</v>
      </c>
      <c r="F7785" t="s">
        <v>10018</v>
      </c>
      <c r="G7785" t="s">
        <v>10102</v>
      </c>
      <c r="H7785" s="6">
        <v>45268</v>
      </c>
      <c r="I7785">
        <f t="shared" si="242"/>
        <v>0</v>
      </c>
      <c r="J7785" t="str">
        <f t="shared" si="243"/>
        <v>Complete</v>
      </c>
      <c r="K7785">
        <f>COUNTIFS(RawData[Item], B7785,RawData[Quantity],C7785,RawData[Price Per Unit],D7785,RawData[Total Spent],E7785,RawData[Payment Method],F7785,RawData[Location],G7785,RawData[Transaction Date],H7785)</f>
        <v>1</v>
      </c>
      <c r="L7785"/>
    </row>
    <row r="7786" spans="1:12" x14ac:dyDescent="0.3">
      <c r="A7786" t="s">
        <v>7792</v>
      </c>
      <c r="B7786" t="s">
        <v>10010</v>
      </c>
      <c r="C7786">
        <v>3</v>
      </c>
      <c r="D7786">
        <v>1</v>
      </c>
      <c r="E7786">
        <v>3</v>
      </c>
      <c r="F7786" t="s">
        <v>10069</v>
      </c>
      <c r="G7786" t="s">
        <v>10069</v>
      </c>
      <c r="H7786" s="6">
        <v>45215</v>
      </c>
      <c r="I7786">
        <f t="shared" si="242"/>
        <v>0</v>
      </c>
      <c r="J7786" t="str">
        <f t="shared" si="243"/>
        <v>Complete</v>
      </c>
      <c r="K7786">
        <f>COUNTIFS(RawData[Item], B7786,RawData[Quantity],C7786,RawData[Price Per Unit],D7786,RawData[Total Spent],E7786,RawData[Payment Method],F7786,RawData[Location],G7786,RawData[Transaction Date],H7786)</f>
        <v>1</v>
      </c>
      <c r="L7786"/>
    </row>
    <row r="7787" spans="1:12" x14ac:dyDescent="0.3">
      <c r="A7787" t="s">
        <v>7793</v>
      </c>
      <c r="B7787" t="s">
        <v>10014</v>
      </c>
      <c r="C7787">
        <v>3</v>
      </c>
      <c r="D7787">
        <v>4</v>
      </c>
      <c r="E7787">
        <v>12</v>
      </c>
      <c r="F7787" t="s">
        <v>10069</v>
      </c>
      <c r="G7787" t="s">
        <v>10102</v>
      </c>
      <c r="H7787" s="6">
        <v>45075</v>
      </c>
      <c r="I7787">
        <f t="shared" si="242"/>
        <v>0</v>
      </c>
      <c r="J7787" t="str">
        <f t="shared" si="243"/>
        <v>Complete</v>
      </c>
      <c r="K7787">
        <f>COUNTIFS(RawData[Item], B7787,RawData[Quantity],C7787,RawData[Price Per Unit],D7787,RawData[Total Spent],E7787,RawData[Payment Method],F7787,RawData[Location],G7787,RawData[Transaction Date],H7787)</f>
        <v>1</v>
      </c>
      <c r="L7787"/>
    </row>
    <row r="7788" spans="1:12" x14ac:dyDescent="0.3">
      <c r="A7788" t="s">
        <v>7794</v>
      </c>
      <c r="B7788" t="s">
        <v>10014</v>
      </c>
      <c r="C7788">
        <v>4</v>
      </c>
      <c r="D7788">
        <v>4</v>
      </c>
      <c r="E7788">
        <v>0</v>
      </c>
      <c r="F7788" t="s">
        <v>10019</v>
      </c>
      <c r="G7788" t="s">
        <v>10102</v>
      </c>
      <c r="H7788" s="6">
        <v>45253</v>
      </c>
      <c r="I7788">
        <f t="shared" si="242"/>
        <v>0</v>
      </c>
      <c r="J7788" t="str">
        <f t="shared" si="243"/>
        <v>Complete</v>
      </c>
      <c r="K7788">
        <f>COUNTIFS(RawData[Item], B7788,RawData[Quantity],C7788,RawData[Price Per Unit],D7788,RawData[Total Spent],E7788,RawData[Payment Method],F7788,RawData[Location],G7788,RawData[Transaction Date],H7788)</f>
        <v>1</v>
      </c>
      <c r="L7788"/>
    </row>
    <row r="7789" spans="1:12" x14ac:dyDescent="0.3">
      <c r="A7789" t="s">
        <v>7795</v>
      </c>
      <c r="B7789" t="s">
        <v>10008</v>
      </c>
      <c r="C7789">
        <v>1</v>
      </c>
      <c r="D7789">
        <v>2</v>
      </c>
      <c r="E7789">
        <v>2</v>
      </c>
      <c r="F7789" t="s">
        <v>10069</v>
      </c>
      <c r="G7789" t="s">
        <v>10069</v>
      </c>
      <c r="H7789" s="6">
        <v>45018</v>
      </c>
      <c r="I7789">
        <f t="shared" si="242"/>
        <v>0</v>
      </c>
      <c r="J7789" t="str">
        <f t="shared" si="243"/>
        <v>Complete</v>
      </c>
      <c r="K7789">
        <f>COUNTIFS(RawData[Item], B7789,RawData[Quantity],C7789,RawData[Price Per Unit],D7789,RawData[Total Spent],E7789,RawData[Payment Method],F7789,RawData[Location],G7789,RawData[Transaction Date],H7789)</f>
        <v>1</v>
      </c>
      <c r="L7789"/>
    </row>
    <row r="7790" spans="1:12" x14ac:dyDescent="0.3">
      <c r="A7790" t="s">
        <v>7796</v>
      </c>
      <c r="B7790" t="s">
        <v>10011</v>
      </c>
      <c r="C7790">
        <v>5</v>
      </c>
      <c r="D7790">
        <v>5</v>
      </c>
      <c r="E7790">
        <v>25</v>
      </c>
      <c r="F7790" t="s">
        <v>10020</v>
      </c>
      <c r="G7790" t="s">
        <v>10102</v>
      </c>
      <c r="H7790" s="6">
        <v>44984</v>
      </c>
      <c r="I7790">
        <f t="shared" si="242"/>
        <v>0</v>
      </c>
      <c r="J7790" t="str">
        <f t="shared" si="243"/>
        <v>Complete</v>
      </c>
      <c r="K7790">
        <f>COUNTIFS(RawData[Item], B7790,RawData[Quantity],C7790,RawData[Price Per Unit],D7790,RawData[Total Spent],E7790,RawData[Payment Method],F7790,RawData[Location],G7790,RawData[Transaction Date],H7790)</f>
        <v>1</v>
      </c>
      <c r="L7790"/>
    </row>
    <row r="7791" spans="1:12" x14ac:dyDescent="0.3">
      <c r="A7791" t="s">
        <v>7797</v>
      </c>
      <c r="B7791" t="s">
        <v>10011</v>
      </c>
      <c r="C7791">
        <v>3</v>
      </c>
      <c r="D7791">
        <v>5</v>
      </c>
      <c r="E7791">
        <v>15</v>
      </c>
      <c r="F7791" t="s">
        <v>10069</v>
      </c>
      <c r="G7791" t="s">
        <v>10021</v>
      </c>
      <c r="H7791" s="6">
        <v>45277</v>
      </c>
      <c r="I7791">
        <f t="shared" si="242"/>
        <v>0</v>
      </c>
      <c r="J7791" t="str">
        <f t="shared" si="243"/>
        <v>Complete</v>
      </c>
      <c r="K7791">
        <f>COUNTIFS(RawData[Item], B7791,RawData[Quantity],C7791,RawData[Price Per Unit],D7791,RawData[Total Spent],E7791,RawData[Payment Method],F7791,RawData[Location],G7791,RawData[Transaction Date],H7791)</f>
        <v>1</v>
      </c>
      <c r="L7791"/>
    </row>
    <row r="7792" spans="1:12" x14ac:dyDescent="0.3">
      <c r="A7792" t="s">
        <v>7798</v>
      </c>
      <c r="B7792" t="s">
        <v>10009</v>
      </c>
      <c r="C7792">
        <v>2</v>
      </c>
      <c r="D7792">
        <v>3</v>
      </c>
      <c r="E7792">
        <v>6</v>
      </c>
      <c r="F7792" t="s">
        <v>10069</v>
      </c>
      <c r="G7792" t="s">
        <v>10069</v>
      </c>
      <c r="H7792" s="6">
        <v>44964</v>
      </c>
      <c r="I7792">
        <f t="shared" si="242"/>
        <v>0</v>
      </c>
      <c r="J7792" t="str">
        <f t="shared" si="243"/>
        <v>Complete</v>
      </c>
      <c r="K7792">
        <f>COUNTIFS(RawData[Item], B7792,RawData[Quantity],C7792,RawData[Price Per Unit],D7792,RawData[Total Spent],E7792,RawData[Payment Method],F7792,RawData[Location],G7792,RawData[Transaction Date],H7792)</f>
        <v>1</v>
      </c>
      <c r="L7792"/>
    </row>
    <row r="7793" spans="1:12" x14ac:dyDescent="0.3">
      <c r="A7793" t="s">
        <v>7799</v>
      </c>
      <c r="B7793" t="s">
        <v>10012</v>
      </c>
      <c r="C7793">
        <v>3</v>
      </c>
      <c r="D7793">
        <v>4</v>
      </c>
      <c r="E7793">
        <v>12</v>
      </c>
      <c r="F7793" t="s">
        <v>10104</v>
      </c>
      <c r="G7793" t="s">
        <v>10102</v>
      </c>
      <c r="H7793" s="6">
        <v>45103</v>
      </c>
      <c r="I7793">
        <f t="shared" si="242"/>
        <v>1</v>
      </c>
      <c r="J7793" t="str">
        <f t="shared" si="243"/>
        <v>Complete</v>
      </c>
      <c r="K7793">
        <f>COUNTIFS(RawData[Item], B7793,RawData[Quantity],C7793,RawData[Price Per Unit],D7793,RawData[Total Spent],E7793,RawData[Payment Method],F7793,RawData[Location],G7793,RawData[Transaction Date],H7793)</f>
        <v>1</v>
      </c>
      <c r="L7793"/>
    </row>
    <row r="7794" spans="1:12" x14ac:dyDescent="0.3">
      <c r="A7794" t="s">
        <v>7800</v>
      </c>
      <c r="B7794" t="s">
        <v>10011</v>
      </c>
      <c r="C7794">
        <v>4</v>
      </c>
      <c r="D7794">
        <v>5</v>
      </c>
      <c r="E7794">
        <v>20</v>
      </c>
      <c r="F7794" t="s">
        <v>10018</v>
      </c>
      <c r="G7794" t="s">
        <v>10021</v>
      </c>
      <c r="H7794" s="6" t="s">
        <v>10112</v>
      </c>
      <c r="I7794">
        <f t="shared" si="242"/>
        <v>1</v>
      </c>
      <c r="J7794" t="str">
        <f t="shared" si="243"/>
        <v>Incomplete</v>
      </c>
      <c r="K7794">
        <f>COUNTIFS(RawData[Item], B7794,RawData[Quantity],C7794,RawData[Price Per Unit],D7794,RawData[Total Spent],E7794,RawData[Payment Method],F7794,RawData[Location],G7794,RawData[Transaction Date],H7794)</f>
        <v>1</v>
      </c>
      <c r="L7794"/>
    </row>
    <row r="7795" spans="1:12" x14ac:dyDescent="0.3">
      <c r="A7795" t="s">
        <v>7801</v>
      </c>
      <c r="B7795" t="s">
        <v>10008</v>
      </c>
      <c r="C7795">
        <v>5</v>
      </c>
      <c r="D7795">
        <v>2</v>
      </c>
      <c r="E7795">
        <v>10</v>
      </c>
      <c r="F7795" t="s">
        <v>10069</v>
      </c>
      <c r="G7795" t="s">
        <v>10069</v>
      </c>
      <c r="H7795" s="6">
        <v>45155</v>
      </c>
      <c r="I7795">
        <f t="shared" si="242"/>
        <v>0</v>
      </c>
      <c r="J7795" t="str">
        <f t="shared" si="243"/>
        <v>Complete</v>
      </c>
      <c r="K7795">
        <f>COUNTIFS(RawData[Item], B7795,RawData[Quantity],C7795,RawData[Price Per Unit],D7795,RawData[Total Spent],E7795,RawData[Payment Method],F7795,RawData[Location],G7795,RawData[Transaction Date],H7795)</f>
        <v>1</v>
      </c>
      <c r="L7795"/>
    </row>
    <row r="7796" spans="1:12" x14ac:dyDescent="0.3">
      <c r="A7796" t="s">
        <v>7802</v>
      </c>
      <c r="B7796" t="s">
        <v>10008</v>
      </c>
      <c r="C7796">
        <v>3</v>
      </c>
      <c r="D7796">
        <v>2</v>
      </c>
      <c r="E7796">
        <v>6</v>
      </c>
      <c r="F7796" t="s">
        <v>10018</v>
      </c>
      <c r="G7796" t="s">
        <v>10102</v>
      </c>
      <c r="H7796" s="6">
        <v>45118</v>
      </c>
      <c r="I7796">
        <f t="shared" si="242"/>
        <v>0</v>
      </c>
      <c r="J7796" t="str">
        <f t="shared" si="243"/>
        <v>Complete</v>
      </c>
      <c r="K7796">
        <f>COUNTIFS(RawData[Item], B7796,RawData[Quantity],C7796,RawData[Price Per Unit],D7796,RawData[Total Spent],E7796,RawData[Payment Method],F7796,RawData[Location],G7796,RawData[Transaction Date],H7796)</f>
        <v>1</v>
      </c>
      <c r="L7796"/>
    </row>
    <row r="7797" spans="1:12" x14ac:dyDescent="0.3">
      <c r="A7797" t="s">
        <v>7803</v>
      </c>
      <c r="B7797" t="s">
        <v>10009</v>
      </c>
      <c r="C7797">
        <v>5</v>
      </c>
      <c r="D7797">
        <v>3</v>
      </c>
      <c r="E7797">
        <v>15</v>
      </c>
      <c r="F7797" t="s">
        <v>10018</v>
      </c>
      <c r="G7797" t="s">
        <v>10069</v>
      </c>
      <c r="H7797" s="6">
        <v>45008</v>
      </c>
      <c r="I7797">
        <f t="shared" si="242"/>
        <v>0</v>
      </c>
      <c r="J7797" t="str">
        <f t="shared" si="243"/>
        <v>Complete</v>
      </c>
      <c r="K7797">
        <f>COUNTIFS(RawData[Item], B7797,RawData[Quantity],C7797,RawData[Price Per Unit],D7797,RawData[Total Spent],E7797,RawData[Payment Method],F7797,RawData[Location],G7797,RawData[Transaction Date],H7797)</f>
        <v>1</v>
      </c>
      <c r="L7797"/>
    </row>
    <row r="7798" spans="1:12" x14ac:dyDescent="0.3">
      <c r="A7798" t="s">
        <v>7804</v>
      </c>
      <c r="B7798" t="s">
        <v>10008</v>
      </c>
      <c r="C7798">
        <v>1</v>
      </c>
      <c r="D7798">
        <v>2</v>
      </c>
      <c r="E7798">
        <v>2</v>
      </c>
      <c r="F7798" t="s">
        <v>10069</v>
      </c>
      <c r="G7798" t="s">
        <v>10021</v>
      </c>
      <c r="H7798" s="6">
        <v>44966</v>
      </c>
      <c r="I7798">
        <f t="shared" si="242"/>
        <v>0</v>
      </c>
      <c r="J7798" t="str">
        <f t="shared" si="243"/>
        <v>Complete</v>
      </c>
      <c r="K7798">
        <f>COUNTIFS(RawData[Item], B7798,RawData[Quantity],C7798,RawData[Price Per Unit],D7798,RawData[Total Spent],E7798,RawData[Payment Method],F7798,RawData[Location],G7798,RawData[Transaction Date],H7798)</f>
        <v>1</v>
      </c>
      <c r="L7798"/>
    </row>
    <row r="7799" spans="1:12" x14ac:dyDescent="0.3">
      <c r="A7799" t="s">
        <v>7805</v>
      </c>
      <c r="B7799" t="s">
        <v>10016</v>
      </c>
      <c r="C7799">
        <v>4</v>
      </c>
      <c r="D7799">
        <v>3</v>
      </c>
      <c r="E7799">
        <v>12</v>
      </c>
      <c r="F7799" t="s">
        <v>10020</v>
      </c>
      <c r="G7799" t="s">
        <v>10102</v>
      </c>
      <c r="H7799" s="6">
        <v>44967</v>
      </c>
      <c r="I7799">
        <f t="shared" si="242"/>
        <v>0</v>
      </c>
      <c r="J7799" t="str">
        <f t="shared" si="243"/>
        <v>Complete</v>
      </c>
      <c r="K7799">
        <f>COUNTIFS(RawData[Item], B7799,RawData[Quantity],C7799,RawData[Price Per Unit],D7799,RawData[Total Spent],E7799,RawData[Payment Method],F7799,RawData[Location],G7799,RawData[Transaction Date],H7799)</f>
        <v>1</v>
      </c>
      <c r="L7799"/>
    </row>
    <row r="7800" spans="1:12" x14ac:dyDescent="0.3">
      <c r="A7800" t="s">
        <v>7806</v>
      </c>
      <c r="B7800" t="s">
        <v>10017</v>
      </c>
      <c r="C7800">
        <v>2</v>
      </c>
      <c r="D7800">
        <v>1.5</v>
      </c>
      <c r="E7800">
        <v>3</v>
      </c>
      <c r="F7800" t="s">
        <v>10069</v>
      </c>
      <c r="G7800" t="s">
        <v>10069</v>
      </c>
      <c r="H7800" s="6">
        <v>45236</v>
      </c>
      <c r="I7800">
        <f t="shared" si="242"/>
        <v>0</v>
      </c>
      <c r="J7800" t="str">
        <f t="shared" si="243"/>
        <v>Complete</v>
      </c>
      <c r="K7800">
        <f>COUNTIFS(RawData[Item], B7800,RawData[Quantity],C7800,RawData[Price Per Unit],D7800,RawData[Total Spent],E7800,RawData[Payment Method],F7800,RawData[Location],G7800,RawData[Transaction Date],H7800)</f>
        <v>1</v>
      </c>
      <c r="L7800"/>
    </row>
    <row r="7801" spans="1:12" x14ac:dyDescent="0.3">
      <c r="A7801" t="s">
        <v>7807</v>
      </c>
      <c r="B7801" t="s">
        <v>10016</v>
      </c>
      <c r="C7801">
        <v>1</v>
      </c>
      <c r="D7801">
        <v>3</v>
      </c>
      <c r="E7801">
        <v>3</v>
      </c>
      <c r="F7801" t="s">
        <v>10018</v>
      </c>
      <c r="G7801" t="s">
        <v>10069</v>
      </c>
      <c r="H7801" s="6">
        <v>45012</v>
      </c>
      <c r="I7801">
        <f t="shared" si="242"/>
        <v>0</v>
      </c>
      <c r="J7801" t="str">
        <f t="shared" si="243"/>
        <v>Complete</v>
      </c>
      <c r="K7801">
        <f>COUNTIFS(RawData[Item], B7801,RawData[Quantity],C7801,RawData[Price Per Unit],D7801,RawData[Total Spent],E7801,RawData[Payment Method],F7801,RawData[Location],G7801,RawData[Transaction Date],H7801)</f>
        <v>1</v>
      </c>
      <c r="L7801"/>
    </row>
    <row r="7802" spans="1:12" x14ac:dyDescent="0.3">
      <c r="A7802" t="s">
        <v>7808</v>
      </c>
      <c r="B7802" t="s">
        <v>10015</v>
      </c>
      <c r="C7802">
        <v>1</v>
      </c>
      <c r="D7802">
        <v>3</v>
      </c>
      <c r="E7802">
        <v>3</v>
      </c>
      <c r="F7802" t="s">
        <v>10020</v>
      </c>
      <c r="G7802" t="s">
        <v>10069</v>
      </c>
      <c r="H7802" s="6">
        <v>44963</v>
      </c>
      <c r="I7802">
        <f t="shared" si="242"/>
        <v>1</v>
      </c>
      <c r="J7802" t="str">
        <f t="shared" si="243"/>
        <v>Complete</v>
      </c>
      <c r="K7802">
        <f>COUNTIFS(RawData[Item], B7802,RawData[Quantity],C7802,RawData[Price Per Unit],D7802,RawData[Total Spent],E7802,RawData[Payment Method],F7802,RawData[Location],G7802,RawData[Transaction Date],H7802)</f>
        <v>1</v>
      </c>
      <c r="L7802"/>
    </row>
    <row r="7803" spans="1:12" x14ac:dyDescent="0.3">
      <c r="A7803" t="s">
        <v>7809</v>
      </c>
      <c r="B7803" t="s">
        <v>10017</v>
      </c>
      <c r="C7803">
        <v>4</v>
      </c>
      <c r="D7803">
        <v>1.5</v>
      </c>
      <c r="E7803">
        <v>6</v>
      </c>
      <c r="F7803" t="s">
        <v>10020</v>
      </c>
      <c r="G7803" t="s">
        <v>10102</v>
      </c>
      <c r="H7803" s="6" t="s">
        <v>10112</v>
      </c>
      <c r="I7803">
        <f t="shared" si="242"/>
        <v>1</v>
      </c>
      <c r="J7803" t="str">
        <f t="shared" si="243"/>
        <v>Incomplete</v>
      </c>
      <c r="K7803">
        <f>COUNTIFS(RawData[Item], B7803,RawData[Quantity],C7803,RawData[Price Per Unit],D7803,RawData[Total Spent],E7803,RawData[Payment Method],F7803,RawData[Location],G7803,RawData[Transaction Date],H7803)</f>
        <v>3</v>
      </c>
      <c r="L7803"/>
    </row>
    <row r="7804" spans="1:12" x14ac:dyDescent="0.3">
      <c r="A7804" t="s">
        <v>7810</v>
      </c>
      <c r="B7804" t="s">
        <v>10008</v>
      </c>
      <c r="C7804">
        <v>5</v>
      </c>
      <c r="D7804">
        <v>2</v>
      </c>
      <c r="E7804">
        <v>10</v>
      </c>
      <c r="F7804" t="s">
        <v>10018</v>
      </c>
      <c r="G7804" t="s">
        <v>10102</v>
      </c>
      <c r="H7804" s="6">
        <v>45240</v>
      </c>
      <c r="I7804">
        <f t="shared" si="242"/>
        <v>0</v>
      </c>
      <c r="J7804" t="str">
        <f t="shared" si="243"/>
        <v>Complete</v>
      </c>
      <c r="K7804">
        <f>COUNTIFS(RawData[Item], B7804,RawData[Quantity],C7804,RawData[Price Per Unit],D7804,RawData[Total Spent],E7804,RawData[Payment Method],F7804,RawData[Location],G7804,RawData[Transaction Date],H7804)</f>
        <v>1</v>
      </c>
      <c r="L7804"/>
    </row>
    <row r="7805" spans="1:12" x14ac:dyDescent="0.3">
      <c r="A7805" t="s">
        <v>7811</v>
      </c>
      <c r="B7805" t="s">
        <v>10008</v>
      </c>
      <c r="C7805">
        <v>3</v>
      </c>
      <c r="D7805">
        <v>2</v>
      </c>
      <c r="E7805">
        <v>6</v>
      </c>
      <c r="F7805" t="s">
        <v>10019</v>
      </c>
      <c r="G7805" t="s">
        <v>10102</v>
      </c>
      <c r="H7805" s="6">
        <v>44964</v>
      </c>
      <c r="I7805">
        <f t="shared" si="242"/>
        <v>0</v>
      </c>
      <c r="J7805" t="str">
        <f t="shared" si="243"/>
        <v>Complete</v>
      </c>
      <c r="K7805">
        <f>COUNTIFS(RawData[Item], B7805,RawData[Quantity],C7805,RawData[Price Per Unit],D7805,RawData[Total Spent],E7805,RawData[Payment Method],F7805,RawData[Location],G7805,RawData[Transaction Date],H7805)</f>
        <v>1</v>
      </c>
      <c r="L7805"/>
    </row>
    <row r="7806" spans="1:12" x14ac:dyDescent="0.3">
      <c r="A7806" t="s">
        <v>7812</v>
      </c>
      <c r="B7806" t="s">
        <v>10069</v>
      </c>
      <c r="C7806">
        <v>2</v>
      </c>
      <c r="D7806">
        <v>3</v>
      </c>
      <c r="E7806">
        <v>6</v>
      </c>
      <c r="F7806" t="s">
        <v>10018</v>
      </c>
      <c r="G7806" t="s">
        <v>10069</v>
      </c>
      <c r="H7806" s="6">
        <v>45015</v>
      </c>
      <c r="I7806">
        <f t="shared" si="242"/>
        <v>0</v>
      </c>
      <c r="J7806" t="str">
        <f t="shared" si="243"/>
        <v>Complete</v>
      </c>
      <c r="K7806">
        <f>COUNTIFS(RawData[Item], B7806,RawData[Quantity],C7806,RawData[Price Per Unit],D7806,RawData[Total Spent],E7806,RawData[Payment Method],F7806,RawData[Location],G7806,RawData[Transaction Date],H7806)</f>
        <v>1</v>
      </c>
      <c r="L7806"/>
    </row>
    <row r="7807" spans="1:12" x14ac:dyDescent="0.3">
      <c r="A7807" t="s">
        <v>7813</v>
      </c>
      <c r="B7807" t="s">
        <v>10008</v>
      </c>
      <c r="C7807">
        <v>2</v>
      </c>
      <c r="D7807">
        <v>2</v>
      </c>
      <c r="E7807">
        <v>4</v>
      </c>
      <c r="F7807" t="s">
        <v>10018</v>
      </c>
      <c r="G7807" t="s">
        <v>10102</v>
      </c>
      <c r="H7807" s="6">
        <v>45178</v>
      </c>
      <c r="I7807">
        <f t="shared" si="242"/>
        <v>0</v>
      </c>
      <c r="J7807" t="str">
        <f t="shared" si="243"/>
        <v>Complete</v>
      </c>
      <c r="K7807">
        <f>COUNTIFS(RawData[Item], B7807,RawData[Quantity],C7807,RawData[Price Per Unit],D7807,RawData[Total Spent],E7807,RawData[Payment Method],F7807,RawData[Location],G7807,RawData[Transaction Date],H7807)</f>
        <v>1</v>
      </c>
      <c r="L7807"/>
    </row>
    <row r="7808" spans="1:12" x14ac:dyDescent="0.3">
      <c r="A7808" t="s">
        <v>7814</v>
      </c>
      <c r="B7808" t="s">
        <v>10012</v>
      </c>
      <c r="C7808">
        <v>5</v>
      </c>
      <c r="D7808">
        <v>4</v>
      </c>
      <c r="E7808">
        <v>20</v>
      </c>
      <c r="F7808" t="s">
        <v>10018</v>
      </c>
      <c r="G7808" t="s">
        <v>10104</v>
      </c>
      <c r="H7808" s="6">
        <v>45189</v>
      </c>
      <c r="I7808">
        <f t="shared" si="242"/>
        <v>1</v>
      </c>
      <c r="J7808" t="str">
        <f t="shared" si="243"/>
        <v>Complete</v>
      </c>
      <c r="K7808">
        <f>COUNTIFS(RawData[Item], B7808,RawData[Quantity],C7808,RawData[Price Per Unit],D7808,RawData[Total Spent],E7808,RawData[Payment Method],F7808,RawData[Location],G7808,RawData[Transaction Date],H7808)</f>
        <v>1</v>
      </c>
      <c r="L7808"/>
    </row>
    <row r="7809" spans="1:12" x14ac:dyDescent="0.3">
      <c r="A7809" t="s">
        <v>7815</v>
      </c>
      <c r="B7809" t="s">
        <v>10012</v>
      </c>
      <c r="C7809">
        <v>3</v>
      </c>
      <c r="D7809">
        <v>4</v>
      </c>
      <c r="E7809">
        <v>12</v>
      </c>
      <c r="F7809" t="s">
        <v>10019</v>
      </c>
      <c r="G7809" t="s">
        <v>10069</v>
      </c>
      <c r="H7809" s="6">
        <v>45044</v>
      </c>
      <c r="I7809">
        <f t="shared" si="242"/>
        <v>0</v>
      </c>
      <c r="J7809" t="str">
        <f t="shared" si="243"/>
        <v>Complete</v>
      </c>
      <c r="K7809">
        <f>COUNTIFS(RawData[Item], B7809,RawData[Quantity],C7809,RawData[Price Per Unit],D7809,RawData[Total Spent],E7809,RawData[Payment Method],F7809,RawData[Location],G7809,RawData[Transaction Date],H7809)</f>
        <v>1</v>
      </c>
      <c r="L7809"/>
    </row>
    <row r="7810" spans="1:12" x14ac:dyDescent="0.3">
      <c r="A7810" t="s">
        <v>7816</v>
      </c>
      <c r="B7810" t="s">
        <v>10012</v>
      </c>
      <c r="C7810">
        <v>2</v>
      </c>
      <c r="D7810">
        <v>4</v>
      </c>
      <c r="E7810">
        <v>8</v>
      </c>
      <c r="F7810" t="s">
        <v>10103</v>
      </c>
      <c r="G7810" t="s">
        <v>10021</v>
      </c>
      <c r="H7810" s="6">
        <v>45196</v>
      </c>
      <c r="I7810">
        <f t="shared" ref="I7810:I7873" si="244">(B7810="Unknown")+(B7810="Error")+(C7810="Unknown")+(C7810="Error")+(D7810="Unknown")+(D7810="Error")+(E7810="Unknown")+(E7810="Error")+(F7810="Unknown")+(F7810="Error")+(G7810="Unknown")+(G7810="Error")+(H7810="No Date")</f>
        <v>1</v>
      </c>
      <c r="J7810" t="str">
        <f t="shared" ref="J7810:J7873" si="245">IF((H7810="No Date"),"Incomplete","Complete")</f>
        <v>Complete</v>
      </c>
      <c r="K7810">
        <f>COUNTIFS(RawData[Item], B7810,RawData[Quantity],C7810,RawData[Price Per Unit],D7810,RawData[Total Spent],E7810,RawData[Payment Method],F7810,RawData[Location],G7810,RawData[Transaction Date],H7810)</f>
        <v>1</v>
      </c>
      <c r="L7810"/>
    </row>
    <row r="7811" spans="1:12" x14ac:dyDescent="0.3">
      <c r="A7811" t="s">
        <v>7817</v>
      </c>
      <c r="B7811" t="s">
        <v>10017</v>
      </c>
      <c r="C7811">
        <v>1</v>
      </c>
      <c r="D7811">
        <v>1.5</v>
      </c>
      <c r="E7811">
        <v>1.5</v>
      </c>
      <c r="F7811" t="s">
        <v>10104</v>
      </c>
      <c r="G7811" t="s">
        <v>10103</v>
      </c>
      <c r="H7811" s="6">
        <v>45199</v>
      </c>
      <c r="I7811">
        <f t="shared" si="244"/>
        <v>2</v>
      </c>
      <c r="J7811" t="str">
        <f t="shared" si="245"/>
        <v>Complete</v>
      </c>
      <c r="K7811">
        <f>COUNTIFS(RawData[Item], B7811,RawData[Quantity],C7811,RawData[Price Per Unit],D7811,RawData[Total Spent],E7811,RawData[Payment Method],F7811,RawData[Location],G7811,RawData[Transaction Date],H7811)</f>
        <v>1</v>
      </c>
      <c r="L7811"/>
    </row>
    <row r="7812" spans="1:12" x14ac:dyDescent="0.3">
      <c r="A7812" t="s">
        <v>7818</v>
      </c>
      <c r="B7812" t="s">
        <v>10010</v>
      </c>
      <c r="C7812">
        <v>5</v>
      </c>
      <c r="D7812">
        <v>1</v>
      </c>
      <c r="E7812">
        <v>5</v>
      </c>
      <c r="F7812" t="s">
        <v>10018</v>
      </c>
      <c r="G7812" t="s">
        <v>10102</v>
      </c>
      <c r="H7812" s="6">
        <v>44942</v>
      </c>
      <c r="I7812">
        <f t="shared" si="244"/>
        <v>0</v>
      </c>
      <c r="J7812" t="str">
        <f t="shared" si="245"/>
        <v>Complete</v>
      </c>
      <c r="K7812">
        <f>COUNTIFS(RawData[Item], B7812,RawData[Quantity],C7812,RawData[Price Per Unit],D7812,RawData[Total Spent],E7812,RawData[Payment Method],F7812,RawData[Location],G7812,RawData[Transaction Date],H7812)</f>
        <v>1</v>
      </c>
      <c r="L7812"/>
    </row>
    <row r="7813" spans="1:12" x14ac:dyDescent="0.3">
      <c r="A7813" t="s">
        <v>7819</v>
      </c>
      <c r="B7813" t="s">
        <v>10014</v>
      </c>
      <c r="C7813">
        <v>2</v>
      </c>
      <c r="D7813">
        <v>4</v>
      </c>
      <c r="E7813">
        <v>8</v>
      </c>
      <c r="F7813" t="s">
        <v>10018</v>
      </c>
      <c r="G7813" t="s">
        <v>10069</v>
      </c>
      <c r="H7813" s="6">
        <v>45092</v>
      </c>
      <c r="I7813">
        <f t="shared" si="244"/>
        <v>0</v>
      </c>
      <c r="J7813" t="str">
        <f t="shared" si="245"/>
        <v>Complete</v>
      </c>
      <c r="K7813">
        <f>COUNTIFS(RawData[Item], B7813,RawData[Quantity],C7813,RawData[Price Per Unit],D7813,RawData[Total Spent],E7813,RawData[Payment Method],F7813,RawData[Location],G7813,RawData[Transaction Date],H7813)</f>
        <v>1</v>
      </c>
      <c r="L7813"/>
    </row>
    <row r="7814" spans="1:12" x14ac:dyDescent="0.3">
      <c r="A7814" t="s">
        <v>7820</v>
      </c>
      <c r="B7814" t="s">
        <v>10009</v>
      </c>
      <c r="C7814">
        <v>3</v>
      </c>
      <c r="D7814">
        <v>3</v>
      </c>
      <c r="E7814">
        <v>9</v>
      </c>
      <c r="F7814" t="s">
        <v>10018</v>
      </c>
      <c r="G7814" t="s">
        <v>10102</v>
      </c>
      <c r="H7814" s="6">
        <v>45165</v>
      </c>
      <c r="I7814">
        <f t="shared" si="244"/>
        <v>0</v>
      </c>
      <c r="J7814" t="str">
        <f t="shared" si="245"/>
        <v>Complete</v>
      </c>
      <c r="K7814">
        <f>COUNTIFS(RawData[Item], B7814,RawData[Quantity],C7814,RawData[Price Per Unit],D7814,RawData[Total Spent],E7814,RawData[Payment Method],F7814,RawData[Location],G7814,RawData[Transaction Date],H7814)</f>
        <v>1</v>
      </c>
      <c r="L7814"/>
    </row>
    <row r="7815" spans="1:12" x14ac:dyDescent="0.3">
      <c r="A7815" t="s">
        <v>7821</v>
      </c>
      <c r="B7815" t="s">
        <v>10009</v>
      </c>
      <c r="C7815">
        <v>3</v>
      </c>
      <c r="D7815">
        <v>3</v>
      </c>
      <c r="E7815" t="s">
        <v>10015</v>
      </c>
      <c r="F7815" t="s">
        <v>10069</v>
      </c>
      <c r="G7815" t="s">
        <v>10069</v>
      </c>
      <c r="H7815" s="6">
        <v>45183</v>
      </c>
      <c r="I7815">
        <f t="shared" si="244"/>
        <v>1</v>
      </c>
      <c r="J7815" t="str">
        <f t="shared" si="245"/>
        <v>Complete</v>
      </c>
      <c r="K7815">
        <f>COUNTIFS(RawData[Item], B7815,RawData[Quantity],C7815,RawData[Price Per Unit],D7815,RawData[Total Spent],E7815,RawData[Payment Method],F7815,RawData[Location],G7815,RawData[Transaction Date],H7815)</f>
        <v>1</v>
      </c>
      <c r="L7815"/>
    </row>
    <row r="7816" spans="1:12" x14ac:dyDescent="0.3">
      <c r="A7816" t="s">
        <v>7822</v>
      </c>
      <c r="B7816" t="s">
        <v>10008</v>
      </c>
      <c r="C7816" t="s">
        <v>10013</v>
      </c>
      <c r="D7816">
        <v>2</v>
      </c>
      <c r="E7816">
        <v>8</v>
      </c>
      <c r="F7816" t="s">
        <v>10020</v>
      </c>
      <c r="G7816" t="s">
        <v>10069</v>
      </c>
      <c r="H7816" s="6">
        <v>45225</v>
      </c>
      <c r="I7816">
        <f t="shared" si="244"/>
        <v>1</v>
      </c>
      <c r="J7816" t="str">
        <f t="shared" si="245"/>
        <v>Complete</v>
      </c>
      <c r="K7816">
        <f>COUNTIFS(RawData[Item], B7816,RawData[Quantity],C7816,RawData[Price Per Unit],D7816,RawData[Total Spent],E7816,RawData[Payment Method],F7816,RawData[Location],G7816,RawData[Transaction Date],H7816)</f>
        <v>1</v>
      </c>
      <c r="L7816"/>
    </row>
    <row r="7817" spans="1:12" x14ac:dyDescent="0.3">
      <c r="A7817" t="s">
        <v>7823</v>
      </c>
      <c r="B7817" t="s">
        <v>10014</v>
      </c>
      <c r="C7817">
        <v>4</v>
      </c>
      <c r="D7817">
        <v>4</v>
      </c>
      <c r="E7817">
        <v>16</v>
      </c>
      <c r="F7817" t="s">
        <v>10019</v>
      </c>
      <c r="G7817" t="s">
        <v>10021</v>
      </c>
      <c r="H7817" s="6">
        <v>45013</v>
      </c>
      <c r="I7817">
        <f t="shared" si="244"/>
        <v>0</v>
      </c>
      <c r="J7817" t="str">
        <f t="shared" si="245"/>
        <v>Complete</v>
      </c>
      <c r="K7817">
        <f>COUNTIFS(RawData[Item], B7817,RawData[Quantity],C7817,RawData[Price Per Unit],D7817,RawData[Total Spent],E7817,RawData[Payment Method],F7817,RawData[Location],G7817,RawData[Transaction Date],H7817)</f>
        <v>1</v>
      </c>
      <c r="L7817"/>
    </row>
    <row r="7818" spans="1:12" x14ac:dyDescent="0.3">
      <c r="A7818" t="s">
        <v>7824</v>
      </c>
      <c r="B7818" t="s">
        <v>10009</v>
      </c>
      <c r="C7818">
        <v>5</v>
      </c>
      <c r="D7818">
        <v>3</v>
      </c>
      <c r="E7818">
        <v>15</v>
      </c>
      <c r="F7818" t="s">
        <v>10019</v>
      </c>
      <c r="G7818" t="s">
        <v>10069</v>
      </c>
      <c r="H7818" s="6">
        <v>45206</v>
      </c>
      <c r="I7818">
        <f t="shared" si="244"/>
        <v>0</v>
      </c>
      <c r="J7818" t="str">
        <f t="shared" si="245"/>
        <v>Complete</v>
      </c>
      <c r="K7818">
        <f>COUNTIFS(RawData[Item], B7818,RawData[Quantity],C7818,RawData[Price Per Unit],D7818,RawData[Total Spent],E7818,RawData[Payment Method],F7818,RawData[Location],G7818,RawData[Transaction Date],H7818)</f>
        <v>1</v>
      </c>
      <c r="L7818"/>
    </row>
    <row r="7819" spans="1:12" x14ac:dyDescent="0.3">
      <c r="A7819" t="s">
        <v>7825</v>
      </c>
      <c r="B7819" t="s">
        <v>10012</v>
      </c>
      <c r="C7819">
        <v>5</v>
      </c>
      <c r="D7819" t="s">
        <v>10013</v>
      </c>
      <c r="E7819">
        <v>20</v>
      </c>
      <c r="F7819" t="s">
        <v>10020</v>
      </c>
      <c r="G7819" t="s">
        <v>10021</v>
      </c>
      <c r="H7819" s="6">
        <v>45263</v>
      </c>
      <c r="I7819">
        <f t="shared" si="244"/>
        <v>1</v>
      </c>
      <c r="J7819" t="str">
        <f t="shared" si="245"/>
        <v>Complete</v>
      </c>
      <c r="K7819">
        <f>COUNTIFS(RawData[Item], B7819,RawData[Quantity],C7819,RawData[Price Per Unit],D7819,RawData[Total Spent],E7819,RawData[Payment Method],F7819,RawData[Location],G7819,RawData[Transaction Date],H7819)</f>
        <v>1</v>
      </c>
      <c r="L7819"/>
    </row>
    <row r="7820" spans="1:12" x14ac:dyDescent="0.3">
      <c r="A7820" t="s">
        <v>7826</v>
      </c>
      <c r="B7820" t="s">
        <v>10012</v>
      </c>
      <c r="C7820">
        <v>2</v>
      </c>
      <c r="D7820">
        <v>4</v>
      </c>
      <c r="E7820">
        <v>8</v>
      </c>
      <c r="F7820" t="s">
        <v>10069</v>
      </c>
      <c r="G7820" t="s">
        <v>10069</v>
      </c>
      <c r="H7820" s="6">
        <v>45138</v>
      </c>
      <c r="I7820">
        <f t="shared" si="244"/>
        <v>0</v>
      </c>
      <c r="J7820" t="str">
        <f t="shared" si="245"/>
        <v>Complete</v>
      </c>
      <c r="K7820">
        <f>COUNTIFS(RawData[Item], B7820,RawData[Quantity],C7820,RawData[Price Per Unit],D7820,RawData[Total Spent],E7820,RawData[Payment Method],F7820,RawData[Location],G7820,RawData[Transaction Date],H7820)</f>
        <v>1</v>
      </c>
      <c r="L7820"/>
    </row>
    <row r="7821" spans="1:12" x14ac:dyDescent="0.3">
      <c r="A7821" t="s">
        <v>7827</v>
      </c>
      <c r="B7821" t="s">
        <v>10013</v>
      </c>
      <c r="C7821">
        <v>0</v>
      </c>
      <c r="D7821">
        <v>4</v>
      </c>
      <c r="E7821">
        <v>12</v>
      </c>
      <c r="F7821" t="s">
        <v>10103</v>
      </c>
      <c r="G7821" t="s">
        <v>10102</v>
      </c>
      <c r="H7821" s="6">
        <v>44929</v>
      </c>
      <c r="I7821">
        <f t="shared" si="244"/>
        <v>2</v>
      </c>
      <c r="J7821" t="str">
        <f t="shared" si="245"/>
        <v>Complete</v>
      </c>
      <c r="K7821">
        <f>COUNTIFS(RawData[Item], B7821,RawData[Quantity],C7821,RawData[Price Per Unit],D7821,RawData[Total Spent],E7821,RawData[Payment Method],F7821,RawData[Location],G7821,RawData[Transaction Date],H7821)</f>
        <v>1</v>
      </c>
      <c r="L7821"/>
    </row>
    <row r="7822" spans="1:12" x14ac:dyDescent="0.3">
      <c r="A7822" t="s">
        <v>7828</v>
      </c>
      <c r="B7822" t="s">
        <v>10014</v>
      </c>
      <c r="C7822">
        <v>3</v>
      </c>
      <c r="D7822">
        <v>4</v>
      </c>
      <c r="E7822">
        <v>12</v>
      </c>
      <c r="F7822" t="s">
        <v>10069</v>
      </c>
      <c r="G7822" t="s">
        <v>10021</v>
      </c>
      <c r="H7822" s="6">
        <v>45209</v>
      </c>
      <c r="I7822">
        <f t="shared" si="244"/>
        <v>0</v>
      </c>
      <c r="J7822" t="str">
        <f t="shared" si="245"/>
        <v>Complete</v>
      </c>
      <c r="K7822">
        <f>COUNTIFS(RawData[Item], B7822,RawData[Quantity],C7822,RawData[Price Per Unit],D7822,RawData[Total Spent],E7822,RawData[Payment Method],F7822,RawData[Location],G7822,RawData[Transaction Date],H7822)</f>
        <v>1</v>
      </c>
      <c r="L7822"/>
    </row>
    <row r="7823" spans="1:12" x14ac:dyDescent="0.3">
      <c r="A7823" t="s">
        <v>7829</v>
      </c>
      <c r="B7823" t="s">
        <v>10010</v>
      </c>
      <c r="C7823">
        <v>3</v>
      </c>
      <c r="D7823">
        <v>1</v>
      </c>
      <c r="E7823">
        <v>3</v>
      </c>
      <c r="F7823" t="s">
        <v>10018</v>
      </c>
      <c r="G7823" t="s">
        <v>10021</v>
      </c>
      <c r="H7823" s="6" t="s">
        <v>10112</v>
      </c>
      <c r="I7823">
        <f t="shared" si="244"/>
        <v>1</v>
      </c>
      <c r="J7823" t="str">
        <f t="shared" si="245"/>
        <v>Incomplete</v>
      </c>
      <c r="K7823">
        <f>COUNTIFS(RawData[Item], B7823,RawData[Quantity],C7823,RawData[Price Per Unit],D7823,RawData[Total Spent],E7823,RawData[Payment Method],F7823,RawData[Location],G7823,RawData[Transaction Date],H7823)</f>
        <v>1</v>
      </c>
      <c r="L7823"/>
    </row>
    <row r="7824" spans="1:12" x14ac:dyDescent="0.3">
      <c r="A7824" t="s">
        <v>7830</v>
      </c>
      <c r="B7824" t="s">
        <v>10017</v>
      </c>
      <c r="C7824">
        <v>4</v>
      </c>
      <c r="D7824">
        <v>1.5</v>
      </c>
      <c r="E7824">
        <v>6</v>
      </c>
      <c r="F7824" t="s">
        <v>10019</v>
      </c>
      <c r="G7824" t="s">
        <v>10021</v>
      </c>
      <c r="H7824" s="6">
        <v>45206</v>
      </c>
      <c r="I7824">
        <f t="shared" si="244"/>
        <v>0</v>
      </c>
      <c r="J7824" t="str">
        <f t="shared" si="245"/>
        <v>Complete</v>
      </c>
      <c r="K7824">
        <f>COUNTIFS(RawData[Item], B7824,RawData[Quantity],C7824,RawData[Price Per Unit],D7824,RawData[Total Spent],E7824,RawData[Payment Method],F7824,RawData[Location],G7824,RawData[Transaction Date],H7824)</f>
        <v>1</v>
      </c>
      <c r="L7824"/>
    </row>
    <row r="7825" spans="1:12" x14ac:dyDescent="0.3">
      <c r="A7825" t="s">
        <v>7831</v>
      </c>
      <c r="B7825" t="s">
        <v>10016</v>
      </c>
      <c r="C7825">
        <v>1</v>
      </c>
      <c r="D7825">
        <v>3</v>
      </c>
      <c r="E7825">
        <v>3</v>
      </c>
      <c r="F7825" t="s">
        <v>10104</v>
      </c>
      <c r="G7825" t="s">
        <v>10102</v>
      </c>
      <c r="H7825" s="6">
        <v>44986</v>
      </c>
      <c r="I7825">
        <f t="shared" si="244"/>
        <v>1</v>
      </c>
      <c r="J7825" t="str">
        <f t="shared" si="245"/>
        <v>Complete</v>
      </c>
      <c r="K7825">
        <f>COUNTIFS(RawData[Item], B7825,RawData[Quantity],C7825,RawData[Price Per Unit],D7825,RawData[Total Spent],E7825,RawData[Payment Method],F7825,RawData[Location],G7825,RawData[Transaction Date],H7825)</f>
        <v>1</v>
      </c>
      <c r="L7825"/>
    </row>
    <row r="7826" spans="1:12" x14ac:dyDescent="0.3">
      <c r="A7826" t="s">
        <v>7832</v>
      </c>
      <c r="B7826" t="s">
        <v>10008</v>
      </c>
      <c r="C7826">
        <v>1</v>
      </c>
      <c r="D7826">
        <v>2</v>
      </c>
      <c r="E7826">
        <v>2</v>
      </c>
      <c r="F7826" t="s">
        <v>10018</v>
      </c>
      <c r="G7826" t="s">
        <v>10069</v>
      </c>
      <c r="H7826" s="6">
        <v>44932</v>
      </c>
      <c r="I7826">
        <f t="shared" si="244"/>
        <v>0</v>
      </c>
      <c r="J7826" t="str">
        <f t="shared" si="245"/>
        <v>Complete</v>
      </c>
      <c r="K7826">
        <f>COUNTIFS(RawData[Item], B7826,RawData[Quantity],C7826,RawData[Price Per Unit],D7826,RawData[Total Spent],E7826,RawData[Payment Method],F7826,RawData[Location],G7826,RawData[Transaction Date],H7826)</f>
        <v>1</v>
      </c>
      <c r="L7826"/>
    </row>
    <row r="7827" spans="1:12" x14ac:dyDescent="0.3">
      <c r="A7827" t="s">
        <v>7833</v>
      </c>
      <c r="B7827" t="s">
        <v>10008</v>
      </c>
      <c r="C7827">
        <v>1</v>
      </c>
      <c r="D7827">
        <v>2</v>
      </c>
      <c r="E7827">
        <v>2</v>
      </c>
      <c r="F7827" t="s">
        <v>10020</v>
      </c>
      <c r="G7827" t="s">
        <v>10021</v>
      </c>
      <c r="H7827" s="6">
        <v>44994</v>
      </c>
      <c r="I7827">
        <f t="shared" si="244"/>
        <v>0</v>
      </c>
      <c r="J7827" t="str">
        <f t="shared" si="245"/>
        <v>Complete</v>
      </c>
      <c r="K7827">
        <f>COUNTIFS(RawData[Item], B7827,RawData[Quantity],C7827,RawData[Price Per Unit],D7827,RawData[Total Spent],E7827,RawData[Payment Method],F7827,RawData[Location],G7827,RawData[Transaction Date],H7827)</f>
        <v>1</v>
      </c>
      <c r="L7827"/>
    </row>
    <row r="7828" spans="1:12" x14ac:dyDescent="0.3">
      <c r="A7828" t="s">
        <v>7834</v>
      </c>
      <c r="B7828" t="s">
        <v>10012</v>
      </c>
      <c r="C7828">
        <v>4</v>
      </c>
      <c r="D7828">
        <v>4</v>
      </c>
      <c r="E7828">
        <v>16</v>
      </c>
      <c r="F7828" t="s">
        <v>10069</v>
      </c>
      <c r="G7828" t="s">
        <v>10021</v>
      </c>
      <c r="H7828" s="6">
        <v>45049</v>
      </c>
      <c r="I7828">
        <f t="shared" si="244"/>
        <v>0</v>
      </c>
      <c r="J7828" t="str">
        <f t="shared" si="245"/>
        <v>Complete</v>
      </c>
      <c r="K7828">
        <f>COUNTIFS(RawData[Item], B7828,RawData[Quantity],C7828,RawData[Price Per Unit],D7828,RawData[Total Spent],E7828,RawData[Payment Method],F7828,RawData[Location],G7828,RawData[Transaction Date],H7828)</f>
        <v>1</v>
      </c>
      <c r="L7828"/>
    </row>
    <row r="7829" spans="1:12" x14ac:dyDescent="0.3">
      <c r="A7829" t="s">
        <v>7835</v>
      </c>
      <c r="B7829" t="s">
        <v>10014</v>
      </c>
      <c r="C7829">
        <v>3</v>
      </c>
      <c r="D7829">
        <v>4</v>
      </c>
      <c r="E7829">
        <v>12</v>
      </c>
      <c r="F7829" t="s">
        <v>10069</v>
      </c>
      <c r="G7829" t="s">
        <v>10102</v>
      </c>
      <c r="H7829" s="6">
        <v>45206</v>
      </c>
      <c r="I7829">
        <f t="shared" si="244"/>
        <v>0</v>
      </c>
      <c r="J7829" t="str">
        <f t="shared" si="245"/>
        <v>Complete</v>
      </c>
      <c r="K7829">
        <f>COUNTIFS(RawData[Item], B7829,RawData[Quantity],C7829,RawData[Price Per Unit],D7829,RawData[Total Spent],E7829,RawData[Payment Method],F7829,RawData[Location],G7829,RawData[Transaction Date],H7829)</f>
        <v>1</v>
      </c>
      <c r="L7829"/>
    </row>
    <row r="7830" spans="1:12" x14ac:dyDescent="0.3">
      <c r="A7830" t="s">
        <v>7836</v>
      </c>
      <c r="B7830" t="s">
        <v>10012</v>
      </c>
      <c r="C7830">
        <v>4</v>
      </c>
      <c r="D7830">
        <v>4</v>
      </c>
      <c r="E7830">
        <v>16</v>
      </c>
      <c r="F7830" t="s">
        <v>10019</v>
      </c>
      <c r="G7830" t="s">
        <v>10102</v>
      </c>
      <c r="H7830" s="6">
        <v>45039</v>
      </c>
      <c r="I7830">
        <f t="shared" si="244"/>
        <v>0</v>
      </c>
      <c r="J7830" t="str">
        <f t="shared" si="245"/>
        <v>Complete</v>
      </c>
      <c r="K7830">
        <f>COUNTIFS(RawData[Item], B7830,RawData[Quantity],C7830,RawData[Price Per Unit],D7830,RawData[Total Spent],E7830,RawData[Payment Method],F7830,RawData[Location],G7830,RawData[Transaction Date],H7830)</f>
        <v>1</v>
      </c>
      <c r="L7830"/>
    </row>
    <row r="7831" spans="1:12" x14ac:dyDescent="0.3">
      <c r="A7831" t="s">
        <v>7837</v>
      </c>
      <c r="B7831" t="s">
        <v>10009</v>
      </c>
      <c r="C7831">
        <v>4</v>
      </c>
      <c r="D7831">
        <v>3</v>
      </c>
      <c r="E7831">
        <v>12</v>
      </c>
      <c r="F7831" t="s">
        <v>10018</v>
      </c>
      <c r="G7831" t="s">
        <v>10069</v>
      </c>
      <c r="H7831" s="6">
        <v>44936</v>
      </c>
      <c r="I7831">
        <f t="shared" si="244"/>
        <v>0</v>
      </c>
      <c r="J7831" t="str">
        <f t="shared" si="245"/>
        <v>Complete</v>
      </c>
      <c r="K7831">
        <f>COUNTIFS(RawData[Item], B7831,RawData[Quantity],C7831,RawData[Price Per Unit],D7831,RawData[Total Spent],E7831,RawData[Payment Method],F7831,RawData[Location],G7831,RawData[Transaction Date],H7831)</f>
        <v>1</v>
      </c>
      <c r="L7831"/>
    </row>
    <row r="7832" spans="1:12" x14ac:dyDescent="0.3">
      <c r="A7832" t="s">
        <v>7838</v>
      </c>
      <c r="B7832" t="s">
        <v>10009</v>
      </c>
      <c r="C7832">
        <v>2</v>
      </c>
      <c r="D7832">
        <v>3</v>
      </c>
      <c r="E7832">
        <v>6</v>
      </c>
      <c r="F7832" t="s">
        <v>10069</v>
      </c>
      <c r="G7832" t="s">
        <v>10069</v>
      </c>
      <c r="H7832" s="6">
        <v>44970</v>
      </c>
      <c r="I7832">
        <f t="shared" si="244"/>
        <v>0</v>
      </c>
      <c r="J7832" t="str">
        <f t="shared" si="245"/>
        <v>Complete</v>
      </c>
      <c r="K7832">
        <f>COUNTIFS(RawData[Item], B7832,RawData[Quantity],C7832,RawData[Price Per Unit],D7832,RawData[Total Spent],E7832,RawData[Payment Method],F7832,RawData[Location],G7832,RawData[Transaction Date],H7832)</f>
        <v>1</v>
      </c>
      <c r="L7832"/>
    </row>
    <row r="7833" spans="1:12" x14ac:dyDescent="0.3">
      <c r="A7833" t="s">
        <v>7839</v>
      </c>
      <c r="B7833" t="s">
        <v>10016</v>
      </c>
      <c r="C7833">
        <v>2</v>
      </c>
      <c r="D7833">
        <v>3</v>
      </c>
      <c r="E7833">
        <v>6</v>
      </c>
      <c r="F7833" t="s">
        <v>10019</v>
      </c>
      <c r="G7833" t="s">
        <v>10102</v>
      </c>
      <c r="H7833" s="6">
        <v>45180</v>
      </c>
      <c r="I7833">
        <f t="shared" si="244"/>
        <v>0</v>
      </c>
      <c r="J7833" t="str">
        <f t="shared" si="245"/>
        <v>Complete</v>
      </c>
      <c r="K7833">
        <f>COUNTIFS(RawData[Item], B7833,RawData[Quantity],C7833,RawData[Price Per Unit],D7833,RawData[Total Spent],E7833,RawData[Payment Method],F7833,RawData[Location],G7833,RawData[Transaction Date],H7833)</f>
        <v>1</v>
      </c>
      <c r="L7833"/>
    </row>
    <row r="7834" spans="1:12" x14ac:dyDescent="0.3">
      <c r="A7834" t="s">
        <v>7840</v>
      </c>
      <c r="B7834" t="s">
        <v>10009</v>
      </c>
      <c r="C7834">
        <v>4</v>
      </c>
      <c r="D7834">
        <v>3</v>
      </c>
      <c r="E7834">
        <v>12</v>
      </c>
      <c r="F7834" t="s">
        <v>10019</v>
      </c>
      <c r="G7834" t="s">
        <v>10069</v>
      </c>
      <c r="H7834" s="6">
        <v>45286</v>
      </c>
      <c r="I7834">
        <f t="shared" si="244"/>
        <v>0</v>
      </c>
      <c r="J7834" t="str">
        <f t="shared" si="245"/>
        <v>Complete</v>
      </c>
      <c r="K7834">
        <f>COUNTIFS(RawData[Item], B7834,RawData[Quantity],C7834,RawData[Price Per Unit],D7834,RawData[Total Spent],E7834,RawData[Payment Method],F7834,RawData[Location],G7834,RawData[Transaction Date],H7834)</f>
        <v>1</v>
      </c>
      <c r="L7834"/>
    </row>
    <row r="7835" spans="1:12" x14ac:dyDescent="0.3">
      <c r="A7835" t="s">
        <v>7841</v>
      </c>
      <c r="B7835" t="s">
        <v>10016</v>
      </c>
      <c r="C7835">
        <v>3</v>
      </c>
      <c r="D7835">
        <v>3</v>
      </c>
      <c r="E7835">
        <v>9</v>
      </c>
      <c r="F7835" t="s">
        <v>10069</v>
      </c>
      <c r="G7835" t="s">
        <v>10069</v>
      </c>
      <c r="H7835" s="6">
        <v>45184</v>
      </c>
      <c r="I7835">
        <f t="shared" si="244"/>
        <v>0</v>
      </c>
      <c r="J7835" t="str">
        <f t="shared" si="245"/>
        <v>Complete</v>
      </c>
      <c r="K7835">
        <f>COUNTIFS(RawData[Item], B7835,RawData[Quantity],C7835,RawData[Price Per Unit],D7835,RawData[Total Spent],E7835,RawData[Payment Method],F7835,RawData[Location],G7835,RawData[Transaction Date],H7835)</f>
        <v>1</v>
      </c>
      <c r="L7835"/>
    </row>
    <row r="7836" spans="1:12" x14ac:dyDescent="0.3">
      <c r="A7836" t="s">
        <v>7842</v>
      </c>
      <c r="B7836" t="s">
        <v>10010</v>
      </c>
      <c r="C7836">
        <v>4</v>
      </c>
      <c r="D7836">
        <v>1</v>
      </c>
      <c r="E7836">
        <v>4</v>
      </c>
      <c r="F7836" t="s">
        <v>10019</v>
      </c>
      <c r="G7836" t="s">
        <v>10021</v>
      </c>
      <c r="H7836" s="6">
        <v>45159</v>
      </c>
      <c r="I7836">
        <f t="shared" si="244"/>
        <v>0</v>
      </c>
      <c r="J7836" t="str">
        <f t="shared" si="245"/>
        <v>Complete</v>
      </c>
      <c r="K7836">
        <f>COUNTIFS(RawData[Item], B7836,RawData[Quantity],C7836,RawData[Price Per Unit],D7836,RawData[Total Spent],E7836,RawData[Payment Method],F7836,RawData[Location],G7836,RawData[Transaction Date],H7836)</f>
        <v>1</v>
      </c>
      <c r="L7836"/>
    </row>
    <row r="7837" spans="1:12" x14ac:dyDescent="0.3">
      <c r="A7837" t="s">
        <v>7843</v>
      </c>
      <c r="B7837" t="s">
        <v>10016</v>
      </c>
      <c r="C7837">
        <v>4</v>
      </c>
      <c r="D7837">
        <v>3</v>
      </c>
      <c r="E7837">
        <v>12</v>
      </c>
      <c r="F7837" t="s">
        <v>10019</v>
      </c>
      <c r="G7837" t="s">
        <v>10069</v>
      </c>
      <c r="H7837" s="6">
        <v>45105</v>
      </c>
      <c r="I7837">
        <f t="shared" si="244"/>
        <v>0</v>
      </c>
      <c r="J7837" t="str">
        <f t="shared" si="245"/>
        <v>Complete</v>
      </c>
      <c r="K7837">
        <f>COUNTIFS(RawData[Item], B7837,RawData[Quantity],C7837,RawData[Price Per Unit],D7837,RawData[Total Spent],E7837,RawData[Payment Method],F7837,RawData[Location],G7837,RawData[Transaction Date],H7837)</f>
        <v>1</v>
      </c>
      <c r="L7837"/>
    </row>
    <row r="7838" spans="1:12" x14ac:dyDescent="0.3">
      <c r="A7838" t="s">
        <v>7844</v>
      </c>
      <c r="B7838" t="s">
        <v>10012</v>
      </c>
      <c r="C7838">
        <v>4</v>
      </c>
      <c r="D7838">
        <v>4</v>
      </c>
      <c r="E7838">
        <v>16</v>
      </c>
      <c r="F7838" t="s">
        <v>10020</v>
      </c>
      <c r="G7838" t="s">
        <v>10069</v>
      </c>
      <c r="H7838" s="6">
        <v>44998</v>
      </c>
      <c r="I7838">
        <f t="shared" si="244"/>
        <v>0</v>
      </c>
      <c r="J7838" t="str">
        <f t="shared" si="245"/>
        <v>Complete</v>
      </c>
      <c r="K7838">
        <f>COUNTIFS(RawData[Item], B7838,RawData[Quantity],C7838,RawData[Price Per Unit],D7838,RawData[Total Spent],E7838,RawData[Payment Method],F7838,RawData[Location],G7838,RawData[Transaction Date],H7838)</f>
        <v>1</v>
      </c>
      <c r="L7838"/>
    </row>
    <row r="7839" spans="1:12" x14ac:dyDescent="0.3">
      <c r="A7839" t="s">
        <v>7845</v>
      </c>
      <c r="B7839" t="s">
        <v>10017</v>
      </c>
      <c r="C7839">
        <v>2</v>
      </c>
      <c r="D7839">
        <v>0</v>
      </c>
      <c r="E7839">
        <v>3</v>
      </c>
      <c r="F7839" t="s">
        <v>10104</v>
      </c>
      <c r="G7839" t="s">
        <v>10021</v>
      </c>
      <c r="H7839" s="6">
        <v>45222</v>
      </c>
      <c r="I7839">
        <f t="shared" si="244"/>
        <v>1</v>
      </c>
      <c r="J7839" t="str">
        <f t="shared" si="245"/>
        <v>Complete</v>
      </c>
      <c r="K7839">
        <f>COUNTIFS(RawData[Item], B7839,RawData[Quantity],C7839,RawData[Price Per Unit],D7839,RawData[Total Spent],E7839,RawData[Payment Method],F7839,RawData[Location],G7839,RawData[Transaction Date],H7839)</f>
        <v>1</v>
      </c>
      <c r="L7839"/>
    </row>
    <row r="7840" spans="1:12" x14ac:dyDescent="0.3">
      <c r="A7840" t="s">
        <v>7846</v>
      </c>
      <c r="B7840" t="s">
        <v>10014</v>
      </c>
      <c r="C7840">
        <v>5</v>
      </c>
      <c r="D7840">
        <v>4</v>
      </c>
      <c r="E7840">
        <v>20</v>
      </c>
      <c r="F7840" t="s">
        <v>10069</v>
      </c>
      <c r="G7840" t="s">
        <v>10021</v>
      </c>
      <c r="H7840" s="6">
        <v>44991</v>
      </c>
      <c r="I7840">
        <f t="shared" si="244"/>
        <v>0</v>
      </c>
      <c r="J7840" t="str">
        <f t="shared" si="245"/>
        <v>Complete</v>
      </c>
      <c r="K7840">
        <f>COUNTIFS(RawData[Item], B7840,RawData[Quantity],C7840,RawData[Price Per Unit],D7840,RawData[Total Spent],E7840,RawData[Payment Method],F7840,RawData[Location],G7840,RawData[Transaction Date],H7840)</f>
        <v>1</v>
      </c>
      <c r="L7840"/>
    </row>
    <row r="7841" spans="1:12" x14ac:dyDescent="0.3">
      <c r="A7841" t="s">
        <v>7847</v>
      </c>
      <c r="B7841" t="s">
        <v>10014</v>
      </c>
      <c r="C7841">
        <v>3</v>
      </c>
      <c r="D7841">
        <v>4</v>
      </c>
      <c r="E7841">
        <v>12</v>
      </c>
      <c r="F7841" t="s">
        <v>10020</v>
      </c>
      <c r="G7841" t="s">
        <v>10102</v>
      </c>
      <c r="H7841" s="6">
        <v>45227</v>
      </c>
      <c r="I7841">
        <f t="shared" si="244"/>
        <v>0</v>
      </c>
      <c r="J7841" t="str">
        <f t="shared" si="245"/>
        <v>Complete</v>
      </c>
      <c r="K7841">
        <f>COUNTIFS(RawData[Item], B7841,RawData[Quantity],C7841,RawData[Price Per Unit],D7841,RawData[Total Spent],E7841,RawData[Payment Method],F7841,RawData[Location],G7841,RawData[Transaction Date],H7841)</f>
        <v>1</v>
      </c>
      <c r="L7841"/>
    </row>
    <row r="7842" spans="1:12" x14ac:dyDescent="0.3">
      <c r="A7842" t="s">
        <v>7848</v>
      </c>
      <c r="B7842" t="s">
        <v>10017</v>
      </c>
      <c r="C7842">
        <v>3</v>
      </c>
      <c r="D7842">
        <v>1.5</v>
      </c>
      <c r="E7842">
        <v>4.5</v>
      </c>
      <c r="F7842" t="s">
        <v>10018</v>
      </c>
      <c r="G7842" t="s">
        <v>10069</v>
      </c>
      <c r="H7842" s="6">
        <v>45205</v>
      </c>
      <c r="I7842">
        <f t="shared" si="244"/>
        <v>0</v>
      </c>
      <c r="J7842" t="str">
        <f t="shared" si="245"/>
        <v>Complete</v>
      </c>
      <c r="K7842">
        <f>COUNTIFS(RawData[Item], B7842,RawData[Quantity],C7842,RawData[Price Per Unit],D7842,RawData[Total Spent],E7842,RawData[Payment Method],F7842,RawData[Location],G7842,RawData[Transaction Date],H7842)</f>
        <v>1</v>
      </c>
      <c r="L7842"/>
    </row>
    <row r="7843" spans="1:12" x14ac:dyDescent="0.3">
      <c r="A7843" t="s">
        <v>7849</v>
      </c>
      <c r="B7843" t="s">
        <v>10011</v>
      </c>
      <c r="C7843">
        <v>2</v>
      </c>
      <c r="D7843">
        <v>5</v>
      </c>
      <c r="E7843">
        <v>10</v>
      </c>
      <c r="F7843" t="s">
        <v>10019</v>
      </c>
      <c r="G7843" t="s">
        <v>10021</v>
      </c>
      <c r="H7843" s="6">
        <v>44928</v>
      </c>
      <c r="I7843">
        <f t="shared" si="244"/>
        <v>0</v>
      </c>
      <c r="J7843" t="str">
        <f t="shared" si="245"/>
        <v>Complete</v>
      </c>
      <c r="K7843">
        <f>COUNTIFS(RawData[Item], B7843,RawData[Quantity],C7843,RawData[Price Per Unit],D7843,RawData[Total Spent],E7843,RawData[Payment Method],F7843,RawData[Location],G7843,RawData[Transaction Date],H7843)</f>
        <v>1</v>
      </c>
      <c r="L7843"/>
    </row>
    <row r="7844" spans="1:12" x14ac:dyDescent="0.3">
      <c r="A7844" t="s">
        <v>7850</v>
      </c>
      <c r="B7844" t="s">
        <v>10009</v>
      </c>
      <c r="C7844">
        <v>2</v>
      </c>
      <c r="D7844">
        <v>3</v>
      </c>
      <c r="E7844">
        <v>6</v>
      </c>
      <c r="F7844" t="s">
        <v>10018</v>
      </c>
      <c r="G7844" t="s">
        <v>10021</v>
      </c>
      <c r="H7844" s="6">
        <v>45154</v>
      </c>
      <c r="I7844">
        <f t="shared" si="244"/>
        <v>0</v>
      </c>
      <c r="J7844" t="str">
        <f t="shared" si="245"/>
        <v>Complete</v>
      </c>
      <c r="K7844">
        <f>COUNTIFS(RawData[Item], B7844,RawData[Quantity],C7844,RawData[Price Per Unit],D7844,RawData[Total Spent],E7844,RawData[Payment Method],F7844,RawData[Location],G7844,RawData[Transaction Date],H7844)</f>
        <v>1</v>
      </c>
      <c r="L7844"/>
    </row>
    <row r="7845" spans="1:12" x14ac:dyDescent="0.3">
      <c r="A7845" t="s">
        <v>7851</v>
      </c>
      <c r="B7845" t="s">
        <v>10015</v>
      </c>
      <c r="C7845">
        <v>3</v>
      </c>
      <c r="D7845">
        <v>1.5</v>
      </c>
      <c r="E7845">
        <v>4.5</v>
      </c>
      <c r="F7845" t="s">
        <v>10019</v>
      </c>
      <c r="G7845" t="s">
        <v>10102</v>
      </c>
      <c r="H7845" s="6">
        <v>45068</v>
      </c>
      <c r="I7845">
        <f t="shared" si="244"/>
        <v>1</v>
      </c>
      <c r="J7845" t="str">
        <f t="shared" si="245"/>
        <v>Complete</v>
      </c>
      <c r="K7845">
        <f>COUNTIFS(RawData[Item], B7845,RawData[Quantity],C7845,RawData[Price Per Unit],D7845,RawData[Total Spent],E7845,RawData[Payment Method],F7845,RawData[Location],G7845,RawData[Transaction Date],H7845)</f>
        <v>1</v>
      </c>
      <c r="L7845"/>
    </row>
    <row r="7846" spans="1:12" x14ac:dyDescent="0.3">
      <c r="A7846" t="s">
        <v>7852</v>
      </c>
      <c r="B7846" t="s">
        <v>10011</v>
      </c>
      <c r="C7846">
        <v>1</v>
      </c>
      <c r="D7846">
        <v>5</v>
      </c>
      <c r="E7846">
        <v>5</v>
      </c>
      <c r="F7846" t="s">
        <v>10018</v>
      </c>
      <c r="G7846" t="s">
        <v>10104</v>
      </c>
      <c r="H7846" s="6">
        <v>45241</v>
      </c>
      <c r="I7846">
        <f t="shared" si="244"/>
        <v>1</v>
      </c>
      <c r="J7846" t="str">
        <f t="shared" si="245"/>
        <v>Complete</v>
      </c>
      <c r="K7846">
        <f>COUNTIFS(RawData[Item], B7846,RawData[Quantity],C7846,RawData[Price Per Unit],D7846,RawData[Total Spent],E7846,RawData[Payment Method],F7846,RawData[Location],G7846,RawData[Transaction Date],H7846)</f>
        <v>1</v>
      </c>
      <c r="L7846"/>
    </row>
    <row r="7847" spans="1:12" x14ac:dyDescent="0.3">
      <c r="A7847" t="s">
        <v>7853</v>
      </c>
      <c r="B7847" t="s">
        <v>10014</v>
      </c>
      <c r="C7847">
        <v>2</v>
      </c>
      <c r="D7847">
        <v>4</v>
      </c>
      <c r="E7847">
        <v>8</v>
      </c>
      <c r="F7847" t="s">
        <v>10020</v>
      </c>
      <c r="G7847" t="s">
        <v>10104</v>
      </c>
      <c r="H7847" s="6">
        <v>44992</v>
      </c>
      <c r="I7847">
        <f t="shared" si="244"/>
        <v>1</v>
      </c>
      <c r="J7847" t="str">
        <f t="shared" si="245"/>
        <v>Complete</v>
      </c>
      <c r="K7847">
        <f>COUNTIFS(RawData[Item], B7847,RawData[Quantity],C7847,RawData[Price Per Unit],D7847,RawData[Total Spent],E7847,RawData[Payment Method],F7847,RawData[Location],G7847,RawData[Transaction Date],H7847)</f>
        <v>1</v>
      </c>
      <c r="L7847"/>
    </row>
    <row r="7848" spans="1:12" x14ac:dyDescent="0.3">
      <c r="A7848" t="s">
        <v>7854</v>
      </c>
      <c r="B7848" t="s">
        <v>10017</v>
      </c>
      <c r="C7848">
        <v>5</v>
      </c>
      <c r="D7848">
        <v>1.5</v>
      </c>
      <c r="E7848">
        <v>7.5</v>
      </c>
      <c r="F7848" t="s">
        <v>10069</v>
      </c>
      <c r="G7848" t="s">
        <v>10102</v>
      </c>
      <c r="H7848" s="6">
        <v>45069</v>
      </c>
      <c r="I7848">
        <f t="shared" si="244"/>
        <v>0</v>
      </c>
      <c r="J7848" t="str">
        <f t="shared" si="245"/>
        <v>Complete</v>
      </c>
      <c r="K7848">
        <f>COUNTIFS(RawData[Item], B7848,RawData[Quantity],C7848,RawData[Price Per Unit],D7848,RawData[Total Spent],E7848,RawData[Payment Method],F7848,RawData[Location],G7848,RawData[Transaction Date],H7848)</f>
        <v>1</v>
      </c>
      <c r="L7848"/>
    </row>
    <row r="7849" spans="1:12" x14ac:dyDescent="0.3">
      <c r="A7849" t="s">
        <v>7855</v>
      </c>
      <c r="B7849" t="s">
        <v>10012</v>
      </c>
      <c r="C7849">
        <v>4</v>
      </c>
      <c r="D7849">
        <v>4</v>
      </c>
      <c r="E7849">
        <v>16</v>
      </c>
      <c r="F7849" t="s">
        <v>10069</v>
      </c>
      <c r="G7849" t="s">
        <v>10102</v>
      </c>
      <c r="H7849" s="6">
        <v>45211</v>
      </c>
      <c r="I7849">
        <f t="shared" si="244"/>
        <v>0</v>
      </c>
      <c r="J7849" t="str">
        <f t="shared" si="245"/>
        <v>Complete</v>
      </c>
      <c r="K7849">
        <f>COUNTIFS(RawData[Item], B7849,RawData[Quantity],C7849,RawData[Price Per Unit],D7849,RawData[Total Spent],E7849,RawData[Payment Method],F7849,RawData[Location],G7849,RawData[Transaction Date],H7849)</f>
        <v>1</v>
      </c>
      <c r="L7849"/>
    </row>
    <row r="7850" spans="1:12" x14ac:dyDescent="0.3">
      <c r="A7850" t="s">
        <v>7856</v>
      </c>
      <c r="B7850" t="s">
        <v>10016</v>
      </c>
      <c r="C7850">
        <v>3</v>
      </c>
      <c r="D7850">
        <v>3</v>
      </c>
      <c r="E7850">
        <v>9</v>
      </c>
      <c r="F7850" t="s">
        <v>10020</v>
      </c>
      <c r="G7850" t="s">
        <v>10021</v>
      </c>
      <c r="H7850" s="6">
        <v>45263</v>
      </c>
      <c r="I7850">
        <f t="shared" si="244"/>
        <v>0</v>
      </c>
      <c r="J7850" t="str">
        <f t="shared" si="245"/>
        <v>Complete</v>
      </c>
      <c r="K7850">
        <f>COUNTIFS(RawData[Item], B7850,RawData[Quantity],C7850,RawData[Price Per Unit],D7850,RawData[Total Spent],E7850,RawData[Payment Method],F7850,RawData[Location],G7850,RawData[Transaction Date],H7850)</f>
        <v>1</v>
      </c>
      <c r="L7850"/>
    </row>
    <row r="7851" spans="1:12" x14ac:dyDescent="0.3">
      <c r="A7851" t="s">
        <v>7857</v>
      </c>
      <c r="B7851" t="s">
        <v>10017</v>
      </c>
      <c r="C7851">
        <v>2</v>
      </c>
      <c r="D7851" t="s">
        <v>10015</v>
      </c>
      <c r="E7851">
        <v>3</v>
      </c>
      <c r="F7851" t="s">
        <v>10019</v>
      </c>
      <c r="G7851" t="s">
        <v>10069</v>
      </c>
      <c r="H7851" s="6">
        <v>45161</v>
      </c>
      <c r="I7851">
        <f t="shared" si="244"/>
        <v>1</v>
      </c>
      <c r="J7851" t="str">
        <f t="shared" si="245"/>
        <v>Complete</v>
      </c>
      <c r="K7851">
        <f>COUNTIFS(RawData[Item], B7851,RawData[Quantity],C7851,RawData[Price Per Unit],D7851,RawData[Total Spent],E7851,RawData[Payment Method],F7851,RawData[Location],G7851,RawData[Transaction Date],H7851)</f>
        <v>1</v>
      </c>
      <c r="L7851"/>
    </row>
    <row r="7852" spans="1:12" x14ac:dyDescent="0.3">
      <c r="A7852" t="s">
        <v>7858</v>
      </c>
      <c r="B7852" t="s">
        <v>10012</v>
      </c>
      <c r="C7852">
        <v>4</v>
      </c>
      <c r="D7852">
        <v>4</v>
      </c>
      <c r="E7852">
        <v>16</v>
      </c>
      <c r="F7852" t="s">
        <v>10018</v>
      </c>
      <c r="G7852" t="s">
        <v>10103</v>
      </c>
      <c r="H7852" s="6">
        <v>45198</v>
      </c>
      <c r="I7852">
        <f t="shared" si="244"/>
        <v>1</v>
      </c>
      <c r="J7852" t="str">
        <f t="shared" si="245"/>
        <v>Complete</v>
      </c>
      <c r="K7852">
        <f>COUNTIFS(RawData[Item], B7852,RawData[Quantity],C7852,RawData[Price Per Unit],D7852,RawData[Total Spent],E7852,RawData[Payment Method],F7852,RawData[Location],G7852,RawData[Transaction Date],H7852)</f>
        <v>1</v>
      </c>
      <c r="L7852"/>
    </row>
    <row r="7853" spans="1:12" x14ac:dyDescent="0.3">
      <c r="A7853" t="s">
        <v>7859</v>
      </c>
      <c r="B7853" t="s">
        <v>10009</v>
      </c>
      <c r="C7853">
        <v>5</v>
      </c>
      <c r="D7853">
        <v>3</v>
      </c>
      <c r="E7853">
        <v>15</v>
      </c>
      <c r="F7853" t="s">
        <v>10018</v>
      </c>
      <c r="G7853" t="s">
        <v>10021</v>
      </c>
      <c r="H7853" s="6">
        <v>45125</v>
      </c>
      <c r="I7853">
        <f t="shared" si="244"/>
        <v>0</v>
      </c>
      <c r="J7853" t="str">
        <f t="shared" si="245"/>
        <v>Complete</v>
      </c>
      <c r="K7853">
        <f>COUNTIFS(RawData[Item], B7853,RawData[Quantity],C7853,RawData[Price Per Unit],D7853,RawData[Total Spent],E7853,RawData[Payment Method],F7853,RawData[Location],G7853,RawData[Transaction Date],H7853)</f>
        <v>1</v>
      </c>
      <c r="L7853"/>
    </row>
    <row r="7854" spans="1:12" x14ac:dyDescent="0.3">
      <c r="A7854" t="s">
        <v>7860</v>
      </c>
      <c r="B7854" t="s">
        <v>10011</v>
      </c>
      <c r="C7854">
        <v>1</v>
      </c>
      <c r="D7854">
        <v>5</v>
      </c>
      <c r="E7854">
        <v>5</v>
      </c>
      <c r="F7854" t="s">
        <v>10020</v>
      </c>
      <c r="G7854" t="s">
        <v>10102</v>
      </c>
      <c r="H7854" s="6">
        <v>45128</v>
      </c>
      <c r="I7854">
        <f t="shared" si="244"/>
        <v>0</v>
      </c>
      <c r="J7854" t="str">
        <f t="shared" si="245"/>
        <v>Complete</v>
      </c>
      <c r="K7854">
        <f>COUNTIFS(RawData[Item], B7854,RawData[Quantity],C7854,RawData[Price Per Unit],D7854,RawData[Total Spent],E7854,RawData[Payment Method],F7854,RawData[Location],G7854,RawData[Transaction Date],H7854)</f>
        <v>1</v>
      </c>
      <c r="L7854"/>
    </row>
    <row r="7855" spans="1:12" x14ac:dyDescent="0.3">
      <c r="A7855" t="s">
        <v>7861</v>
      </c>
      <c r="B7855" t="s">
        <v>10069</v>
      </c>
      <c r="C7855">
        <v>3</v>
      </c>
      <c r="D7855">
        <v>3</v>
      </c>
      <c r="E7855">
        <v>9</v>
      </c>
      <c r="F7855" t="s">
        <v>10019</v>
      </c>
      <c r="G7855" t="s">
        <v>10021</v>
      </c>
      <c r="H7855" s="6" t="s">
        <v>10112</v>
      </c>
      <c r="I7855">
        <f t="shared" si="244"/>
        <v>1</v>
      </c>
      <c r="J7855" t="str">
        <f t="shared" si="245"/>
        <v>Incomplete</v>
      </c>
      <c r="K7855">
        <f>COUNTIFS(RawData[Item], B7855,RawData[Quantity],C7855,RawData[Price Per Unit],D7855,RawData[Total Spent],E7855,RawData[Payment Method],F7855,RawData[Location],G7855,RawData[Transaction Date],H7855)</f>
        <v>1</v>
      </c>
      <c r="L7855"/>
    </row>
    <row r="7856" spans="1:12" x14ac:dyDescent="0.3">
      <c r="A7856" t="s">
        <v>7862</v>
      </c>
      <c r="B7856" t="s">
        <v>10016</v>
      </c>
      <c r="C7856">
        <v>2</v>
      </c>
      <c r="D7856">
        <v>3</v>
      </c>
      <c r="E7856">
        <v>6</v>
      </c>
      <c r="F7856" t="s">
        <v>10019</v>
      </c>
      <c r="G7856" t="s">
        <v>10102</v>
      </c>
      <c r="H7856" s="6">
        <v>45112</v>
      </c>
      <c r="I7856">
        <f t="shared" si="244"/>
        <v>0</v>
      </c>
      <c r="J7856" t="str">
        <f t="shared" si="245"/>
        <v>Complete</v>
      </c>
      <c r="K7856">
        <f>COUNTIFS(RawData[Item], B7856,RawData[Quantity],C7856,RawData[Price Per Unit],D7856,RawData[Total Spent],E7856,RawData[Payment Method],F7856,RawData[Location],G7856,RawData[Transaction Date],H7856)</f>
        <v>1</v>
      </c>
      <c r="L7856"/>
    </row>
    <row r="7857" spans="1:12" x14ac:dyDescent="0.3">
      <c r="A7857" t="s">
        <v>7863</v>
      </c>
      <c r="B7857" t="s">
        <v>10015</v>
      </c>
      <c r="C7857">
        <v>4</v>
      </c>
      <c r="D7857">
        <v>2</v>
      </c>
      <c r="E7857">
        <v>8</v>
      </c>
      <c r="F7857" t="s">
        <v>10020</v>
      </c>
      <c r="G7857" t="s">
        <v>10102</v>
      </c>
      <c r="H7857" s="6">
        <v>45029</v>
      </c>
      <c r="I7857">
        <f t="shared" si="244"/>
        <v>1</v>
      </c>
      <c r="J7857" t="str">
        <f t="shared" si="245"/>
        <v>Complete</v>
      </c>
      <c r="K7857">
        <f>COUNTIFS(RawData[Item], B7857,RawData[Quantity],C7857,RawData[Price Per Unit],D7857,RawData[Total Spent],E7857,RawData[Payment Method],F7857,RawData[Location],G7857,RawData[Transaction Date],H7857)</f>
        <v>1</v>
      </c>
      <c r="L7857"/>
    </row>
    <row r="7858" spans="1:12" x14ac:dyDescent="0.3">
      <c r="A7858" t="s">
        <v>7864</v>
      </c>
      <c r="B7858" t="s">
        <v>10016</v>
      </c>
      <c r="C7858">
        <v>2</v>
      </c>
      <c r="D7858">
        <v>3</v>
      </c>
      <c r="E7858">
        <v>6</v>
      </c>
      <c r="F7858" t="s">
        <v>10019</v>
      </c>
      <c r="G7858" t="s">
        <v>10021</v>
      </c>
      <c r="H7858" s="6">
        <v>44951</v>
      </c>
      <c r="I7858">
        <f t="shared" si="244"/>
        <v>0</v>
      </c>
      <c r="J7858" t="str">
        <f t="shared" si="245"/>
        <v>Complete</v>
      </c>
      <c r="K7858">
        <f>COUNTIFS(RawData[Item], B7858,RawData[Quantity],C7858,RawData[Price Per Unit],D7858,RawData[Total Spent],E7858,RawData[Payment Method],F7858,RawData[Location],G7858,RawData[Transaction Date],H7858)</f>
        <v>1</v>
      </c>
      <c r="L7858"/>
    </row>
    <row r="7859" spans="1:12" x14ac:dyDescent="0.3">
      <c r="A7859" t="s">
        <v>7865</v>
      </c>
      <c r="B7859" t="s">
        <v>10017</v>
      </c>
      <c r="C7859">
        <v>4</v>
      </c>
      <c r="D7859">
        <v>0</v>
      </c>
      <c r="E7859">
        <v>6</v>
      </c>
      <c r="F7859" t="s">
        <v>10020</v>
      </c>
      <c r="G7859" t="s">
        <v>10021</v>
      </c>
      <c r="H7859" s="6">
        <v>45286</v>
      </c>
      <c r="I7859">
        <f t="shared" si="244"/>
        <v>0</v>
      </c>
      <c r="J7859" t="str">
        <f t="shared" si="245"/>
        <v>Complete</v>
      </c>
      <c r="K7859">
        <f>COUNTIFS(RawData[Item], B7859,RawData[Quantity],C7859,RawData[Price Per Unit],D7859,RawData[Total Spent],E7859,RawData[Payment Method],F7859,RawData[Location],G7859,RawData[Transaction Date],H7859)</f>
        <v>1</v>
      </c>
      <c r="L7859"/>
    </row>
    <row r="7860" spans="1:12" x14ac:dyDescent="0.3">
      <c r="A7860" t="s">
        <v>7866</v>
      </c>
      <c r="B7860" t="s">
        <v>10010</v>
      </c>
      <c r="C7860">
        <v>1</v>
      </c>
      <c r="D7860">
        <v>1</v>
      </c>
      <c r="E7860">
        <v>1</v>
      </c>
      <c r="F7860" t="s">
        <v>10069</v>
      </c>
      <c r="G7860" t="s">
        <v>10069</v>
      </c>
      <c r="H7860" s="6" t="s">
        <v>10112</v>
      </c>
      <c r="I7860">
        <f t="shared" si="244"/>
        <v>1</v>
      </c>
      <c r="J7860" t="str">
        <f t="shared" si="245"/>
        <v>Incomplete</v>
      </c>
      <c r="K7860">
        <f>COUNTIFS(RawData[Item], B7860,RawData[Quantity],C7860,RawData[Price Per Unit],D7860,RawData[Total Spent],E7860,RawData[Payment Method],F7860,RawData[Location],G7860,RawData[Transaction Date],H7860)</f>
        <v>2</v>
      </c>
      <c r="L7860"/>
    </row>
    <row r="7861" spans="1:12" x14ac:dyDescent="0.3">
      <c r="A7861" t="s">
        <v>7867</v>
      </c>
      <c r="B7861" t="s">
        <v>10012</v>
      </c>
      <c r="C7861">
        <v>2</v>
      </c>
      <c r="D7861">
        <v>4</v>
      </c>
      <c r="E7861">
        <v>8</v>
      </c>
      <c r="F7861" t="s">
        <v>10019</v>
      </c>
      <c r="G7861" t="s">
        <v>10069</v>
      </c>
      <c r="H7861" s="6">
        <v>45053</v>
      </c>
      <c r="I7861">
        <f t="shared" si="244"/>
        <v>0</v>
      </c>
      <c r="J7861" t="str">
        <f t="shared" si="245"/>
        <v>Complete</v>
      </c>
      <c r="K7861">
        <f>COUNTIFS(RawData[Item], B7861,RawData[Quantity],C7861,RawData[Price Per Unit],D7861,RawData[Total Spent],E7861,RawData[Payment Method],F7861,RawData[Location],G7861,RawData[Transaction Date],H7861)</f>
        <v>1</v>
      </c>
      <c r="L7861"/>
    </row>
    <row r="7862" spans="1:12" x14ac:dyDescent="0.3">
      <c r="A7862" t="s">
        <v>7868</v>
      </c>
      <c r="B7862" t="s">
        <v>10014</v>
      </c>
      <c r="C7862">
        <v>2</v>
      </c>
      <c r="D7862">
        <v>4</v>
      </c>
      <c r="E7862">
        <v>8</v>
      </c>
      <c r="F7862" t="s">
        <v>10019</v>
      </c>
      <c r="G7862" t="s">
        <v>10069</v>
      </c>
      <c r="H7862" s="6">
        <v>45243</v>
      </c>
      <c r="I7862">
        <f t="shared" si="244"/>
        <v>0</v>
      </c>
      <c r="J7862" t="str">
        <f t="shared" si="245"/>
        <v>Complete</v>
      </c>
      <c r="K7862">
        <f>COUNTIFS(RawData[Item], B7862,RawData[Quantity],C7862,RawData[Price Per Unit],D7862,RawData[Total Spent],E7862,RawData[Payment Method],F7862,RawData[Location],G7862,RawData[Transaction Date],H7862)</f>
        <v>1</v>
      </c>
      <c r="L7862"/>
    </row>
    <row r="7863" spans="1:12" x14ac:dyDescent="0.3">
      <c r="A7863" t="s">
        <v>7869</v>
      </c>
      <c r="B7863" t="s">
        <v>10012</v>
      </c>
      <c r="C7863">
        <v>1</v>
      </c>
      <c r="D7863">
        <v>4</v>
      </c>
      <c r="E7863">
        <v>4</v>
      </c>
      <c r="F7863" t="s">
        <v>10103</v>
      </c>
      <c r="G7863" t="s">
        <v>10069</v>
      </c>
      <c r="H7863" s="6">
        <v>45135</v>
      </c>
      <c r="I7863">
        <f t="shared" si="244"/>
        <v>1</v>
      </c>
      <c r="J7863" t="str">
        <f t="shared" si="245"/>
        <v>Complete</v>
      </c>
      <c r="K7863">
        <f>COUNTIFS(RawData[Item], B7863,RawData[Quantity],C7863,RawData[Price Per Unit],D7863,RawData[Total Spent],E7863,RawData[Payment Method],F7863,RawData[Location],G7863,RawData[Transaction Date],H7863)</f>
        <v>1</v>
      </c>
      <c r="L7863"/>
    </row>
    <row r="7864" spans="1:12" x14ac:dyDescent="0.3">
      <c r="A7864" t="s">
        <v>7870</v>
      </c>
      <c r="B7864" t="s">
        <v>10008</v>
      </c>
      <c r="C7864">
        <v>5</v>
      </c>
      <c r="D7864">
        <v>2</v>
      </c>
      <c r="E7864">
        <v>10</v>
      </c>
      <c r="F7864" t="s">
        <v>10018</v>
      </c>
      <c r="G7864" t="s">
        <v>10069</v>
      </c>
      <c r="H7864" s="6">
        <v>44937</v>
      </c>
      <c r="I7864">
        <f t="shared" si="244"/>
        <v>0</v>
      </c>
      <c r="J7864" t="str">
        <f t="shared" si="245"/>
        <v>Complete</v>
      </c>
      <c r="K7864">
        <f>COUNTIFS(RawData[Item], B7864,RawData[Quantity],C7864,RawData[Price Per Unit],D7864,RawData[Total Spent],E7864,RawData[Payment Method],F7864,RawData[Location],G7864,RawData[Transaction Date],H7864)</f>
        <v>1</v>
      </c>
      <c r="L7864"/>
    </row>
    <row r="7865" spans="1:12" x14ac:dyDescent="0.3">
      <c r="A7865" t="s">
        <v>7871</v>
      </c>
      <c r="B7865" t="s">
        <v>10015</v>
      </c>
      <c r="C7865" t="s">
        <v>10013</v>
      </c>
      <c r="D7865">
        <v>3</v>
      </c>
      <c r="E7865">
        <v>9</v>
      </c>
      <c r="F7865" t="s">
        <v>10018</v>
      </c>
      <c r="G7865" t="s">
        <v>10102</v>
      </c>
      <c r="H7865" s="6">
        <v>45203</v>
      </c>
      <c r="I7865">
        <f t="shared" si="244"/>
        <v>2</v>
      </c>
      <c r="J7865" t="str">
        <f t="shared" si="245"/>
        <v>Complete</v>
      </c>
      <c r="K7865">
        <f>COUNTIFS(RawData[Item], B7865,RawData[Quantity],C7865,RawData[Price Per Unit],D7865,RawData[Total Spent],E7865,RawData[Payment Method],F7865,RawData[Location],G7865,RawData[Transaction Date],H7865)</f>
        <v>1</v>
      </c>
      <c r="L7865"/>
    </row>
    <row r="7866" spans="1:12" x14ac:dyDescent="0.3">
      <c r="A7866" t="s">
        <v>7872</v>
      </c>
      <c r="B7866" t="s">
        <v>10017</v>
      </c>
      <c r="C7866">
        <v>4</v>
      </c>
      <c r="D7866">
        <v>1.5</v>
      </c>
      <c r="E7866">
        <v>6</v>
      </c>
      <c r="F7866" t="s">
        <v>10069</v>
      </c>
      <c r="G7866" t="s">
        <v>10069</v>
      </c>
      <c r="H7866" s="6">
        <v>45284</v>
      </c>
      <c r="I7866">
        <f t="shared" si="244"/>
        <v>0</v>
      </c>
      <c r="J7866" t="str">
        <f t="shared" si="245"/>
        <v>Complete</v>
      </c>
      <c r="K7866">
        <f>COUNTIFS(RawData[Item], B7866,RawData[Quantity],C7866,RawData[Price Per Unit],D7866,RawData[Total Spent],E7866,RawData[Payment Method],F7866,RawData[Location],G7866,RawData[Transaction Date],H7866)</f>
        <v>1</v>
      </c>
      <c r="L7866"/>
    </row>
    <row r="7867" spans="1:12" x14ac:dyDescent="0.3">
      <c r="A7867" t="s">
        <v>7873</v>
      </c>
      <c r="B7867" t="s">
        <v>10016</v>
      </c>
      <c r="C7867">
        <v>2</v>
      </c>
      <c r="D7867">
        <v>3</v>
      </c>
      <c r="E7867">
        <v>6</v>
      </c>
      <c r="F7867" t="s">
        <v>10019</v>
      </c>
      <c r="G7867" t="s">
        <v>10021</v>
      </c>
      <c r="H7867" s="6">
        <v>45233</v>
      </c>
      <c r="I7867">
        <f t="shared" si="244"/>
        <v>0</v>
      </c>
      <c r="J7867" t="str">
        <f t="shared" si="245"/>
        <v>Complete</v>
      </c>
      <c r="K7867">
        <f>COUNTIFS(RawData[Item], B7867,RawData[Quantity],C7867,RawData[Price Per Unit],D7867,RawData[Total Spent],E7867,RawData[Payment Method],F7867,RawData[Location],G7867,RawData[Transaction Date],H7867)</f>
        <v>1</v>
      </c>
      <c r="L7867"/>
    </row>
    <row r="7868" spans="1:12" x14ac:dyDescent="0.3">
      <c r="A7868" t="s">
        <v>7874</v>
      </c>
      <c r="B7868" t="s">
        <v>10016</v>
      </c>
      <c r="C7868">
        <v>1</v>
      </c>
      <c r="D7868">
        <v>3</v>
      </c>
      <c r="E7868">
        <v>3</v>
      </c>
      <c r="F7868" t="s">
        <v>10018</v>
      </c>
      <c r="G7868" t="s">
        <v>10069</v>
      </c>
      <c r="H7868" s="6">
        <v>45252</v>
      </c>
      <c r="I7868">
        <f t="shared" si="244"/>
        <v>0</v>
      </c>
      <c r="J7868" t="str">
        <f t="shared" si="245"/>
        <v>Complete</v>
      </c>
      <c r="K7868">
        <f>COUNTIFS(RawData[Item], B7868,RawData[Quantity],C7868,RawData[Price Per Unit],D7868,RawData[Total Spent],E7868,RawData[Payment Method],F7868,RawData[Location],G7868,RawData[Transaction Date],H7868)</f>
        <v>1</v>
      </c>
      <c r="L7868"/>
    </row>
    <row r="7869" spans="1:12" x14ac:dyDescent="0.3">
      <c r="A7869" t="s">
        <v>7875</v>
      </c>
      <c r="B7869" t="s">
        <v>10014</v>
      </c>
      <c r="C7869">
        <v>3</v>
      </c>
      <c r="D7869">
        <v>4</v>
      </c>
      <c r="E7869">
        <v>12</v>
      </c>
      <c r="F7869" t="s">
        <v>10104</v>
      </c>
      <c r="G7869" t="s">
        <v>10102</v>
      </c>
      <c r="H7869" s="6">
        <v>45280</v>
      </c>
      <c r="I7869">
        <f t="shared" si="244"/>
        <v>1</v>
      </c>
      <c r="J7869" t="str">
        <f t="shared" si="245"/>
        <v>Complete</v>
      </c>
      <c r="K7869">
        <f>COUNTIFS(RawData[Item], B7869,RawData[Quantity],C7869,RawData[Price Per Unit],D7869,RawData[Total Spent],E7869,RawData[Payment Method],F7869,RawData[Location],G7869,RawData[Transaction Date],H7869)</f>
        <v>1</v>
      </c>
      <c r="L7869"/>
    </row>
    <row r="7870" spans="1:12" x14ac:dyDescent="0.3">
      <c r="A7870" t="s">
        <v>7876</v>
      </c>
      <c r="B7870" t="s">
        <v>10008</v>
      </c>
      <c r="C7870">
        <v>5</v>
      </c>
      <c r="D7870">
        <v>2</v>
      </c>
      <c r="E7870">
        <v>10</v>
      </c>
      <c r="F7870" t="s">
        <v>10018</v>
      </c>
      <c r="G7870" t="s">
        <v>10021</v>
      </c>
      <c r="H7870" s="6">
        <v>45191</v>
      </c>
      <c r="I7870">
        <f t="shared" si="244"/>
        <v>0</v>
      </c>
      <c r="J7870" t="str">
        <f t="shared" si="245"/>
        <v>Complete</v>
      </c>
      <c r="K7870">
        <f>COUNTIFS(RawData[Item], B7870,RawData[Quantity],C7870,RawData[Price Per Unit],D7870,RawData[Total Spent],E7870,RawData[Payment Method],F7870,RawData[Location],G7870,RawData[Transaction Date],H7870)</f>
        <v>1</v>
      </c>
      <c r="L7870"/>
    </row>
    <row r="7871" spans="1:12" x14ac:dyDescent="0.3">
      <c r="A7871" t="s">
        <v>7877</v>
      </c>
      <c r="B7871" t="s">
        <v>10016</v>
      </c>
      <c r="C7871">
        <v>4</v>
      </c>
      <c r="D7871">
        <v>3</v>
      </c>
      <c r="E7871">
        <v>12</v>
      </c>
      <c r="F7871" t="s">
        <v>10069</v>
      </c>
      <c r="G7871" t="s">
        <v>10102</v>
      </c>
      <c r="H7871" s="6">
        <v>45107</v>
      </c>
      <c r="I7871">
        <f t="shared" si="244"/>
        <v>0</v>
      </c>
      <c r="J7871" t="str">
        <f t="shared" si="245"/>
        <v>Complete</v>
      </c>
      <c r="K7871">
        <f>COUNTIFS(RawData[Item], B7871,RawData[Quantity],C7871,RawData[Price Per Unit],D7871,RawData[Total Spent],E7871,RawData[Payment Method],F7871,RawData[Location],G7871,RawData[Transaction Date],H7871)</f>
        <v>2</v>
      </c>
      <c r="L7871"/>
    </row>
    <row r="7872" spans="1:12" x14ac:dyDescent="0.3">
      <c r="A7872" t="s">
        <v>7878</v>
      </c>
      <c r="B7872" t="s">
        <v>10011</v>
      </c>
      <c r="C7872">
        <v>5</v>
      </c>
      <c r="D7872">
        <v>5</v>
      </c>
      <c r="E7872">
        <v>25</v>
      </c>
      <c r="F7872" t="s">
        <v>10018</v>
      </c>
      <c r="G7872" t="s">
        <v>10069</v>
      </c>
      <c r="H7872" s="6">
        <v>45135</v>
      </c>
      <c r="I7872">
        <f t="shared" si="244"/>
        <v>0</v>
      </c>
      <c r="J7872" t="str">
        <f t="shared" si="245"/>
        <v>Complete</v>
      </c>
      <c r="K7872">
        <f>COUNTIFS(RawData[Item], B7872,RawData[Quantity],C7872,RawData[Price Per Unit],D7872,RawData[Total Spent],E7872,RawData[Payment Method],F7872,RawData[Location],G7872,RawData[Transaction Date],H7872)</f>
        <v>1</v>
      </c>
      <c r="L7872"/>
    </row>
    <row r="7873" spans="1:12" x14ac:dyDescent="0.3">
      <c r="A7873" t="s">
        <v>7879</v>
      </c>
      <c r="B7873" t="s">
        <v>10010</v>
      </c>
      <c r="C7873">
        <v>4</v>
      </c>
      <c r="D7873">
        <v>1</v>
      </c>
      <c r="E7873">
        <v>4</v>
      </c>
      <c r="F7873" t="s">
        <v>10018</v>
      </c>
      <c r="G7873" t="s">
        <v>10021</v>
      </c>
      <c r="H7873" s="6">
        <v>45037</v>
      </c>
      <c r="I7873">
        <f t="shared" si="244"/>
        <v>0</v>
      </c>
      <c r="J7873" t="str">
        <f t="shared" si="245"/>
        <v>Complete</v>
      </c>
      <c r="K7873">
        <f>COUNTIFS(RawData[Item], B7873,RawData[Quantity],C7873,RawData[Price Per Unit],D7873,RawData[Total Spent],E7873,RawData[Payment Method],F7873,RawData[Location],G7873,RawData[Transaction Date],H7873)</f>
        <v>1</v>
      </c>
      <c r="L7873"/>
    </row>
    <row r="7874" spans="1:12" x14ac:dyDescent="0.3">
      <c r="A7874" t="s">
        <v>7880</v>
      </c>
      <c r="B7874" t="s">
        <v>10011</v>
      </c>
      <c r="C7874">
        <v>3</v>
      </c>
      <c r="D7874">
        <v>5</v>
      </c>
      <c r="E7874">
        <v>15</v>
      </c>
      <c r="F7874" t="s">
        <v>10018</v>
      </c>
      <c r="G7874" t="s">
        <v>10102</v>
      </c>
      <c r="H7874" s="6">
        <v>44938</v>
      </c>
      <c r="I7874">
        <f t="shared" ref="I7874:I7937" si="246">(B7874="Unknown")+(B7874="Error")+(C7874="Unknown")+(C7874="Error")+(D7874="Unknown")+(D7874="Error")+(E7874="Unknown")+(E7874="Error")+(F7874="Unknown")+(F7874="Error")+(G7874="Unknown")+(G7874="Error")+(H7874="No Date")</f>
        <v>0</v>
      </c>
      <c r="J7874" t="str">
        <f t="shared" ref="J7874:J7937" si="247">IF((H7874="No Date"),"Incomplete","Complete")</f>
        <v>Complete</v>
      </c>
      <c r="K7874">
        <f>COUNTIFS(RawData[Item], B7874,RawData[Quantity],C7874,RawData[Price Per Unit],D7874,RawData[Total Spent],E7874,RawData[Payment Method],F7874,RawData[Location],G7874,RawData[Transaction Date],H7874)</f>
        <v>1</v>
      </c>
      <c r="L7874"/>
    </row>
    <row r="7875" spans="1:12" x14ac:dyDescent="0.3">
      <c r="A7875" t="s">
        <v>7881</v>
      </c>
      <c r="B7875" t="s">
        <v>10016</v>
      </c>
      <c r="C7875">
        <v>1</v>
      </c>
      <c r="D7875">
        <v>3</v>
      </c>
      <c r="E7875">
        <v>3</v>
      </c>
      <c r="F7875" t="s">
        <v>10018</v>
      </c>
      <c r="G7875" t="s">
        <v>10021</v>
      </c>
      <c r="H7875" s="6">
        <v>45142</v>
      </c>
      <c r="I7875">
        <f t="shared" si="246"/>
        <v>0</v>
      </c>
      <c r="J7875" t="str">
        <f t="shared" si="247"/>
        <v>Complete</v>
      </c>
      <c r="K7875">
        <f>COUNTIFS(RawData[Item], B7875,RawData[Quantity],C7875,RawData[Price Per Unit],D7875,RawData[Total Spent],E7875,RawData[Payment Method],F7875,RawData[Location],G7875,RawData[Transaction Date],H7875)</f>
        <v>1</v>
      </c>
      <c r="L7875"/>
    </row>
    <row r="7876" spans="1:12" x14ac:dyDescent="0.3">
      <c r="A7876" t="s">
        <v>7882</v>
      </c>
      <c r="B7876" t="s">
        <v>10008</v>
      </c>
      <c r="C7876">
        <v>2</v>
      </c>
      <c r="D7876">
        <v>2</v>
      </c>
      <c r="E7876">
        <v>4</v>
      </c>
      <c r="F7876" t="s">
        <v>10069</v>
      </c>
      <c r="G7876" t="s">
        <v>10069</v>
      </c>
      <c r="H7876" s="6">
        <v>44985</v>
      </c>
      <c r="I7876">
        <f t="shared" si="246"/>
        <v>0</v>
      </c>
      <c r="J7876" t="str">
        <f t="shared" si="247"/>
        <v>Complete</v>
      </c>
      <c r="K7876">
        <f>COUNTIFS(RawData[Item], B7876,RawData[Quantity],C7876,RawData[Price Per Unit],D7876,RawData[Total Spent],E7876,RawData[Payment Method],F7876,RawData[Location],G7876,RawData[Transaction Date],H7876)</f>
        <v>1</v>
      </c>
      <c r="L7876"/>
    </row>
    <row r="7877" spans="1:12" x14ac:dyDescent="0.3">
      <c r="A7877" t="s">
        <v>7883</v>
      </c>
      <c r="B7877" t="s">
        <v>10014</v>
      </c>
      <c r="C7877">
        <v>5</v>
      </c>
      <c r="D7877">
        <v>4</v>
      </c>
      <c r="E7877">
        <v>20</v>
      </c>
      <c r="F7877" t="s">
        <v>10018</v>
      </c>
      <c r="G7877" t="s">
        <v>10102</v>
      </c>
      <c r="H7877" s="6">
        <v>45124</v>
      </c>
      <c r="I7877">
        <f t="shared" si="246"/>
        <v>0</v>
      </c>
      <c r="J7877" t="str">
        <f t="shared" si="247"/>
        <v>Complete</v>
      </c>
      <c r="K7877">
        <f>COUNTIFS(RawData[Item], B7877,RawData[Quantity],C7877,RawData[Price Per Unit],D7877,RawData[Total Spent],E7877,RawData[Payment Method],F7877,RawData[Location],G7877,RawData[Transaction Date],H7877)</f>
        <v>1</v>
      </c>
      <c r="L7877"/>
    </row>
    <row r="7878" spans="1:12" x14ac:dyDescent="0.3">
      <c r="A7878" t="s">
        <v>7884</v>
      </c>
      <c r="B7878" t="s">
        <v>10015</v>
      </c>
      <c r="C7878">
        <v>4</v>
      </c>
      <c r="D7878">
        <v>3</v>
      </c>
      <c r="E7878">
        <v>12</v>
      </c>
      <c r="F7878" t="s">
        <v>10020</v>
      </c>
      <c r="G7878" t="s">
        <v>10021</v>
      </c>
      <c r="H7878" s="6">
        <v>45283</v>
      </c>
      <c r="I7878">
        <f t="shared" si="246"/>
        <v>1</v>
      </c>
      <c r="J7878" t="str">
        <f t="shared" si="247"/>
        <v>Complete</v>
      </c>
      <c r="K7878">
        <f>COUNTIFS(RawData[Item], B7878,RawData[Quantity],C7878,RawData[Price Per Unit],D7878,RawData[Total Spent],E7878,RawData[Payment Method],F7878,RawData[Location],G7878,RawData[Transaction Date],H7878)</f>
        <v>1</v>
      </c>
      <c r="L7878"/>
    </row>
    <row r="7879" spans="1:12" x14ac:dyDescent="0.3">
      <c r="A7879" t="s">
        <v>7885</v>
      </c>
      <c r="B7879" t="s">
        <v>10015</v>
      </c>
      <c r="C7879">
        <v>3</v>
      </c>
      <c r="D7879">
        <v>3</v>
      </c>
      <c r="E7879">
        <v>9</v>
      </c>
      <c r="F7879" t="s">
        <v>10020</v>
      </c>
      <c r="G7879" t="s">
        <v>10021</v>
      </c>
      <c r="H7879" s="6">
        <v>45038</v>
      </c>
      <c r="I7879">
        <f t="shared" si="246"/>
        <v>1</v>
      </c>
      <c r="J7879" t="str">
        <f t="shared" si="247"/>
        <v>Complete</v>
      </c>
      <c r="K7879">
        <f>COUNTIFS(RawData[Item], B7879,RawData[Quantity],C7879,RawData[Price Per Unit],D7879,RawData[Total Spent],E7879,RawData[Payment Method],F7879,RawData[Location],G7879,RawData[Transaction Date],H7879)</f>
        <v>1</v>
      </c>
      <c r="L7879"/>
    </row>
    <row r="7880" spans="1:12" x14ac:dyDescent="0.3">
      <c r="A7880" t="s">
        <v>7886</v>
      </c>
      <c r="B7880" t="s">
        <v>10014</v>
      </c>
      <c r="C7880">
        <v>1</v>
      </c>
      <c r="D7880">
        <v>4</v>
      </c>
      <c r="E7880">
        <v>4</v>
      </c>
      <c r="F7880" t="s">
        <v>10018</v>
      </c>
      <c r="G7880" t="s">
        <v>10102</v>
      </c>
      <c r="H7880" s="6" t="s">
        <v>10112</v>
      </c>
      <c r="I7880">
        <f t="shared" si="246"/>
        <v>1</v>
      </c>
      <c r="J7880" t="str">
        <f t="shared" si="247"/>
        <v>Incomplete</v>
      </c>
      <c r="K7880">
        <f>COUNTIFS(RawData[Item], B7880,RawData[Quantity],C7880,RawData[Price Per Unit],D7880,RawData[Total Spent],E7880,RawData[Payment Method],F7880,RawData[Location],G7880,RawData[Transaction Date],H7880)</f>
        <v>2</v>
      </c>
      <c r="L7880"/>
    </row>
    <row r="7881" spans="1:12" x14ac:dyDescent="0.3">
      <c r="A7881" t="s">
        <v>7887</v>
      </c>
      <c r="B7881" t="s">
        <v>10017</v>
      </c>
      <c r="C7881">
        <v>4</v>
      </c>
      <c r="D7881">
        <v>1.5</v>
      </c>
      <c r="E7881">
        <v>6</v>
      </c>
      <c r="F7881" t="s">
        <v>10018</v>
      </c>
      <c r="G7881" t="s">
        <v>10021</v>
      </c>
      <c r="H7881" s="6">
        <v>44958</v>
      </c>
      <c r="I7881">
        <f t="shared" si="246"/>
        <v>0</v>
      </c>
      <c r="J7881" t="str">
        <f t="shared" si="247"/>
        <v>Complete</v>
      </c>
      <c r="K7881">
        <f>COUNTIFS(RawData[Item], B7881,RawData[Quantity],C7881,RawData[Price Per Unit],D7881,RawData[Total Spent],E7881,RawData[Payment Method],F7881,RawData[Location],G7881,RawData[Transaction Date],H7881)</f>
        <v>1</v>
      </c>
      <c r="L7881"/>
    </row>
    <row r="7882" spans="1:12" x14ac:dyDescent="0.3">
      <c r="A7882" t="s">
        <v>7888</v>
      </c>
      <c r="B7882" t="s">
        <v>10009</v>
      </c>
      <c r="C7882">
        <v>2</v>
      </c>
      <c r="D7882">
        <v>3</v>
      </c>
      <c r="E7882">
        <v>6</v>
      </c>
      <c r="F7882" t="s">
        <v>10019</v>
      </c>
      <c r="G7882" t="s">
        <v>10069</v>
      </c>
      <c r="H7882" s="6">
        <v>44969</v>
      </c>
      <c r="I7882">
        <f t="shared" si="246"/>
        <v>0</v>
      </c>
      <c r="J7882" t="str">
        <f t="shared" si="247"/>
        <v>Complete</v>
      </c>
      <c r="K7882">
        <f>COUNTIFS(RawData[Item], B7882,RawData[Quantity],C7882,RawData[Price Per Unit],D7882,RawData[Total Spent],E7882,RawData[Payment Method],F7882,RawData[Location],G7882,RawData[Transaction Date],H7882)</f>
        <v>1</v>
      </c>
      <c r="L7882"/>
    </row>
    <row r="7883" spans="1:12" x14ac:dyDescent="0.3">
      <c r="A7883" t="s">
        <v>7889</v>
      </c>
      <c r="B7883" t="s">
        <v>10009</v>
      </c>
      <c r="C7883">
        <v>1</v>
      </c>
      <c r="D7883">
        <v>3</v>
      </c>
      <c r="E7883">
        <v>3</v>
      </c>
      <c r="F7883" t="s">
        <v>10069</v>
      </c>
      <c r="G7883" t="s">
        <v>10069</v>
      </c>
      <c r="H7883" s="6">
        <v>44944</v>
      </c>
      <c r="I7883">
        <f t="shared" si="246"/>
        <v>0</v>
      </c>
      <c r="J7883" t="str">
        <f t="shared" si="247"/>
        <v>Complete</v>
      </c>
      <c r="K7883">
        <f>COUNTIFS(RawData[Item], B7883,RawData[Quantity],C7883,RawData[Price Per Unit],D7883,RawData[Total Spent],E7883,RawData[Payment Method],F7883,RawData[Location],G7883,RawData[Transaction Date],H7883)</f>
        <v>2</v>
      </c>
      <c r="L7883"/>
    </row>
    <row r="7884" spans="1:12" x14ac:dyDescent="0.3">
      <c r="A7884" t="s">
        <v>7890</v>
      </c>
      <c r="B7884" t="s">
        <v>10012</v>
      </c>
      <c r="C7884">
        <v>5</v>
      </c>
      <c r="D7884">
        <v>4</v>
      </c>
      <c r="E7884">
        <v>20</v>
      </c>
      <c r="F7884" t="s">
        <v>10018</v>
      </c>
      <c r="G7884" t="s">
        <v>10102</v>
      </c>
      <c r="H7884" s="6">
        <v>45089</v>
      </c>
      <c r="I7884">
        <f t="shared" si="246"/>
        <v>0</v>
      </c>
      <c r="J7884" t="str">
        <f t="shared" si="247"/>
        <v>Complete</v>
      </c>
      <c r="K7884">
        <f>COUNTIFS(RawData[Item], B7884,RawData[Quantity],C7884,RawData[Price Per Unit],D7884,RawData[Total Spent],E7884,RawData[Payment Method],F7884,RawData[Location],G7884,RawData[Transaction Date],H7884)</f>
        <v>1</v>
      </c>
      <c r="L7884"/>
    </row>
    <row r="7885" spans="1:12" x14ac:dyDescent="0.3">
      <c r="A7885" t="s">
        <v>7891</v>
      </c>
      <c r="B7885" t="s">
        <v>10016</v>
      </c>
      <c r="C7885">
        <v>5</v>
      </c>
      <c r="D7885">
        <v>3</v>
      </c>
      <c r="E7885">
        <v>15</v>
      </c>
      <c r="F7885" t="s">
        <v>10019</v>
      </c>
      <c r="G7885" t="s">
        <v>10102</v>
      </c>
      <c r="H7885" s="6">
        <v>45004</v>
      </c>
      <c r="I7885">
        <f t="shared" si="246"/>
        <v>0</v>
      </c>
      <c r="J7885" t="str">
        <f t="shared" si="247"/>
        <v>Complete</v>
      </c>
      <c r="K7885">
        <f>COUNTIFS(RawData[Item], B7885,RawData[Quantity],C7885,RawData[Price Per Unit],D7885,RawData[Total Spent],E7885,RawData[Payment Method],F7885,RawData[Location],G7885,RawData[Transaction Date],H7885)</f>
        <v>1</v>
      </c>
      <c r="L7885"/>
    </row>
    <row r="7886" spans="1:12" x14ac:dyDescent="0.3">
      <c r="A7886" t="s">
        <v>7892</v>
      </c>
      <c r="B7886" t="s">
        <v>10010</v>
      </c>
      <c r="C7886">
        <v>3</v>
      </c>
      <c r="D7886">
        <v>1</v>
      </c>
      <c r="E7886">
        <v>3</v>
      </c>
      <c r="F7886" t="s">
        <v>10018</v>
      </c>
      <c r="G7886" t="s">
        <v>10102</v>
      </c>
      <c r="H7886" s="6">
        <v>44987</v>
      </c>
      <c r="I7886">
        <f t="shared" si="246"/>
        <v>0</v>
      </c>
      <c r="J7886" t="str">
        <f t="shared" si="247"/>
        <v>Complete</v>
      </c>
      <c r="K7886">
        <f>COUNTIFS(RawData[Item], B7886,RawData[Quantity],C7886,RawData[Price Per Unit],D7886,RawData[Total Spent],E7886,RawData[Payment Method],F7886,RawData[Location],G7886,RawData[Transaction Date],H7886)</f>
        <v>1</v>
      </c>
      <c r="L7886"/>
    </row>
    <row r="7887" spans="1:12" x14ac:dyDescent="0.3">
      <c r="A7887" t="s">
        <v>7893</v>
      </c>
      <c r="B7887" t="s">
        <v>10013</v>
      </c>
      <c r="C7887">
        <v>1</v>
      </c>
      <c r="D7887">
        <v>1.5</v>
      </c>
      <c r="E7887">
        <v>1.5</v>
      </c>
      <c r="F7887" t="s">
        <v>10069</v>
      </c>
      <c r="G7887" t="s">
        <v>10069</v>
      </c>
      <c r="H7887" s="6">
        <v>44973</v>
      </c>
      <c r="I7887">
        <f t="shared" si="246"/>
        <v>1</v>
      </c>
      <c r="J7887" t="str">
        <f t="shared" si="247"/>
        <v>Complete</v>
      </c>
      <c r="K7887">
        <f>COUNTIFS(RawData[Item], B7887,RawData[Quantity],C7887,RawData[Price Per Unit],D7887,RawData[Total Spent],E7887,RawData[Payment Method],F7887,RawData[Location],G7887,RawData[Transaction Date],H7887)</f>
        <v>1</v>
      </c>
      <c r="L7887"/>
    </row>
    <row r="7888" spans="1:12" x14ac:dyDescent="0.3">
      <c r="A7888" t="s">
        <v>7894</v>
      </c>
      <c r="B7888" t="s">
        <v>10014</v>
      </c>
      <c r="C7888">
        <v>4</v>
      </c>
      <c r="D7888">
        <v>4</v>
      </c>
      <c r="E7888">
        <v>16</v>
      </c>
      <c r="F7888" t="s">
        <v>10018</v>
      </c>
      <c r="G7888" t="s">
        <v>10069</v>
      </c>
      <c r="H7888" s="6">
        <v>45199</v>
      </c>
      <c r="I7888">
        <f t="shared" si="246"/>
        <v>0</v>
      </c>
      <c r="J7888" t="str">
        <f t="shared" si="247"/>
        <v>Complete</v>
      </c>
      <c r="K7888">
        <f>COUNTIFS(RawData[Item], B7888,RawData[Quantity],C7888,RawData[Price Per Unit],D7888,RawData[Total Spent],E7888,RawData[Payment Method],F7888,RawData[Location],G7888,RawData[Transaction Date],H7888)</f>
        <v>1</v>
      </c>
      <c r="L7888"/>
    </row>
    <row r="7889" spans="1:12" x14ac:dyDescent="0.3">
      <c r="A7889" t="s">
        <v>7895</v>
      </c>
      <c r="B7889" t="s">
        <v>10013</v>
      </c>
      <c r="C7889">
        <v>3</v>
      </c>
      <c r="D7889">
        <v>2</v>
      </c>
      <c r="E7889">
        <v>6</v>
      </c>
      <c r="F7889" t="s">
        <v>10019</v>
      </c>
      <c r="G7889" t="s">
        <v>10021</v>
      </c>
      <c r="H7889" s="6">
        <v>45057</v>
      </c>
      <c r="I7889">
        <f t="shared" si="246"/>
        <v>1</v>
      </c>
      <c r="J7889" t="str">
        <f t="shared" si="247"/>
        <v>Complete</v>
      </c>
      <c r="K7889">
        <f>COUNTIFS(RawData[Item], B7889,RawData[Quantity],C7889,RawData[Price Per Unit],D7889,RawData[Total Spent],E7889,RawData[Payment Method],F7889,RawData[Location],G7889,RawData[Transaction Date],H7889)</f>
        <v>1</v>
      </c>
      <c r="L7889"/>
    </row>
    <row r="7890" spans="1:12" x14ac:dyDescent="0.3">
      <c r="A7890" t="s">
        <v>7896</v>
      </c>
      <c r="B7890" t="s">
        <v>10012</v>
      </c>
      <c r="C7890">
        <v>2</v>
      </c>
      <c r="D7890">
        <v>4</v>
      </c>
      <c r="E7890">
        <v>8</v>
      </c>
      <c r="F7890" t="s">
        <v>10020</v>
      </c>
      <c r="G7890" t="s">
        <v>10021</v>
      </c>
      <c r="H7890" s="6" t="s">
        <v>10112</v>
      </c>
      <c r="I7890">
        <f t="shared" si="246"/>
        <v>1</v>
      </c>
      <c r="J7890" t="str">
        <f t="shared" si="247"/>
        <v>Incomplete</v>
      </c>
      <c r="K7890">
        <f>COUNTIFS(RawData[Item], B7890,RawData[Quantity],C7890,RawData[Price Per Unit],D7890,RawData[Total Spent],E7890,RawData[Payment Method],F7890,RawData[Location],G7890,RawData[Transaction Date],H7890)</f>
        <v>2</v>
      </c>
      <c r="L7890"/>
    </row>
    <row r="7891" spans="1:12" x14ac:dyDescent="0.3">
      <c r="A7891" t="s">
        <v>7897</v>
      </c>
      <c r="B7891" t="s">
        <v>10011</v>
      </c>
      <c r="C7891">
        <v>4</v>
      </c>
      <c r="D7891">
        <v>5</v>
      </c>
      <c r="E7891">
        <v>20</v>
      </c>
      <c r="F7891" t="s">
        <v>10020</v>
      </c>
      <c r="G7891" t="s">
        <v>10103</v>
      </c>
      <c r="H7891" s="6">
        <v>45086</v>
      </c>
      <c r="I7891">
        <f t="shared" si="246"/>
        <v>1</v>
      </c>
      <c r="J7891" t="str">
        <f t="shared" si="247"/>
        <v>Complete</v>
      </c>
      <c r="K7891">
        <f>COUNTIFS(RawData[Item], B7891,RawData[Quantity],C7891,RawData[Price Per Unit],D7891,RawData[Total Spent],E7891,RawData[Payment Method],F7891,RawData[Location],G7891,RawData[Transaction Date],H7891)</f>
        <v>1</v>
      </c>
      <c r="L7891"/>
    </row>
    <row r="7892" spans="1:12" x14ac:dyDescent="0.3">
      <c r="A7892" t="s">
        <v>7898</v>
      </c>
      <c r="B7892" t="s">
        <v>10016</v>
      </c>
      <c r="C7892">
        <v>2</v>
      </c>
      <c r="D7892">
        <v>3</v>
      </c>
      <c r="E7892">
        <v>6</v>
      </c>
      <c r="F7892" t="s">
        <v>10020</v>
      </c>
      <c r="G7892" t="s">
        <v>10102</v>
      </c>
      <c r="H7892" s="6">
        <v>45281</v>
      </c>
      <c r="I7892">
        <f t="shared" si="246"/>
        <v>0</v>
      </c>
      <c r="J7892" t="str">
        <f t="shared" si="247"/>
        <v>Complete</v>
      </c>
      <c r="K7892">
        <f>COUNTIFS(RawData[Item], B7892,RawData[Quantity],C7892,RawData[Price Per Unit],D7892,RawData[Total Spent],E7892,RawData[Payment Method],F7892,RawData[Location],G7892,RawData[Transaction Date],H7892)</f>
        <v>1</v>
      </c>
      <c r="L7892"/>
    </row>
    <row r="7893" spans="1:12" x14ac:dyDescent="0.3">
      <c r="A7893" t="s">
        <v>7899</v>
      </c>
      <c r="B7893" t="s">
        <v>10013</v>
      </c>
      <c r="C7893">
        <v>1</v>
      </c>
      <c r="D7893">
        <v>1.5</v>
      </c>
      <c r="E7893">
        <v>1.5</v>
      </c>
      <c r="F7893" t="s">
        <v>10069</v>
      </c>
      <c r="G7893" t="s">
        <v>10021</v>
      </c>
      <c r="H7893" s="6">
        <v>45134</v>
      </c>
      <c r="I7893">
        <f t="shared" si="246"/>
        <v>1</v>
      </c>
      <c r="J7893" t="str">
        <f t="shared" si="247"/>
        <v>Complete</v>
      </c>
      <c r="K7893">
        <f>COUNTIFS(RawData[Item], B7893,RawData[Quantity],C7893,RawData[Price Per Unit],D7893,RawData[Total Spent],E7893,RawData[Payment Method],F7893,RawData[Location],G7893,RawData[Transaction Date],H7893)</f>
        <v>1</v>
      </c>
      <c r="L7893"/>
    </row>
    <row r="7894" spans="1:12" x14ac:dyDescent="0.3">
      <c r="A7894" t="s">
        <v>7900</v>
      </c>
      <c r="B7894" t="s">
        <v>10010</v>
      </c>
      <c r="C7894">
        <v>5</v>
      </c>
      <c r="D7894">
        <v>1</v>
      </c>
      <c r="E7894">
        <v>5</v>
      </c>
      <c r="F7894" t="s">
        <v>10020</v>
      </c>
      <c r="G7894" t="s">
        <v>10021</v>
      </c>
      <c r="H7894" s="6">
        <v>45022</v>
      </c>
      <c r="I7894">
        <f t="shared" si="246"/>
        <v>0</v>
      </c>
      <c r="J7894" t="str">
        <f t="shared" si="247"/>
        <v>Complete</v>
      </c>
      <c r="K7894">
        <f>COUNTIFS(RawData[Item], B7894,RawData[Quantity],C7894,RawData[Price Per Unit],D7894,RawData[Total Spent],E7894,RawData[Payment Method],F7894,RawData[Location],G7894,RawData[Transaction Date],H7894)</f>
        <v>1</v>
      </c>
      <c r="L7894"/>
    </row>
    <row r="7895" spans="1:12" x14ac:dyDescent="0.3">
      <c r="A7895" t="s">
        <v>7901</v>
      </c>
      <c r="B7895" t="s">
        <v>10017</v>
      </c>
      <c r="C7895">
        <v>3</v>
      </c>
      <c r="D7895">
        <v>1.5</v>
      </c>
      <c r="E7895">
        <v>4.5</v>
      </c>
      <c r="F7895" t="s">
        <v>10019</v>
      </c>
      <c r="G7895" t="s">
        <v>10021</v>
      </c>
      <c r="H7895" s="6">
        <v>45002</v>
      </c>
      <c r="I7895">
        <f t="shared" si="246"/>
        <v>0</v>
      </c>
      <c r="J7895" t="str">
        <f t="shared" si="247"/>
        <v>Complete</v>
      </c>
      <c r="K7895">
        <f>COUNTIFS(RawData[Item], B7895,RawData[Quantity],C7895,RawData[Price Per Unit],D7895,RawData[Total Spent],E7895,RawData[Payment Method],F7895,RawData[Location],G7895,RawData[Transaction Date],H7895)</f>
        <v>1</v>
      </c>
      <c r="L7895"/>
    </row>
    <row r="7896" spans="1:12" x14ac:dyDescent="0.3">
      <c r="A7896" t="s">
        <v>7902</v>
      </c>
      <c r="B7896" t="s">
        <v>10069</v>
      </c>
      <c r="C7896">
        <v>5</v>
      </c>
      <c r="D7896">
        <v>3</v>
      </c>
      <c r="E7896">
        <v>15</v>
      </c>
      <c r="F7896" t="s">
        <v>10019</v>
      </c>
      <c r="G7896" t="s">
        <v>10102</v>
      </c>
      <c r="H7896" s="6">
        <v>45026</v>
      </c>
      <c r="I7896">
        <f t="shared" si="246"/>
        <v>0</v>
      </c>
      <c r="J7896" t="str">
        <f t="shared" si="247"/>
        <v>Complete</v>
      </c>
      <c r="K7896">
        <f>COUNTIFS(RawData[Item], B7896,RawData[Quantity],C7896,RawData[Price Per Unit],D7896,RawData[Total Spent],E7896,RawData[Payment Method],F7896,RawData[Location],G7896,RawData[Transaction Date],H7896)</f>
        <v>1</v>
      </c>
      <c r="L7896"/>
    </row>
    <row r="7897" spans="1:12" x14ac:dyDescent="0.3">
      <c r="A7897" t="s">
        <v>7903</v>
      </c>
      <c r="B7897" t="s">
        <v>10010</v>
      </c>
      <c r="C7897">
        <v>4</v>
      </c>
      <c r="D7897">
        <v>1</v>
      </c>
      <c r="E7897">
        <v>4</v>
      </c>
      <c r="F7897" t="s">
        <v>10018</v>
      </c>
      <c r="G7897" t="s">
        <v>10104</v>
      </c>
      <c r="H7897" s="6">
        <v>45142</v>
      </c>
      <c r="I7897">
        <f t="shared" si="246"/>
        <v>1</v>
      </c>
      <c r="J7897" t="str">
        <f t="shared" si="247"/>
        <v>Complete</v>
      </c>
      <c r="K7897">
        <f>COUNTIFS(RawData[Item], B7897,RawData[Quantity],C7897,RawData[Price Per Unit],D7897,RawData[Total Spent],E7897,RawData[Payment Method],F7897,RawData[Location],G7897,RawData[Transaction Date],H7897)</f>
        <v>1</v>
      </c>
      <c r="L7897"/>
    </row>
    <row r="7898" spans="1:12" x14ac:dyDescent="0.3">
      <c r="A7898" t="s">
        <v>7904</v>
      </c>
      <c r="B7898" t="s">
        <v>10017</v>
      </c>
      <c r="C7898">
        <v>2</v>
      </c>
      <c r="D7898">
        <v>1.5</v>
      </c>
      <c r="E7898">
        <v>3</v>
      </c>
      <c r="F7898" t="s">
        <v>10020</v>
      </c>
      <c r="G7898" t="s">
        <v>10102</v>
      </c>
      <c r="H7898" s="6">
        <v>45249</v>
      </c>
      <c r="I7898">
        <f t="shared" si="246"/>
        <v>0</v>
      </c>
      <c r="J7898" t="str">
        <f t="shared" si="247"/>
        <v>Complete</v>
      </c>
      <c r="K7898">
        <f>COUNTIFS(RawData[Item], B7898,RawData[Quantity],C7898,RawData[Price Per Unit],D7898,RawData[Total Spent],E7898,RawData[Payment Method],F7898,RawData[Location],G7898,RawData[Transaction Date],H7898)</f>
        <v>1</v>
      </c>
      <c r="L7898"/>
    </row>
    <row r="7899" spans="1:12" x14ac:dyDescent="0.3">
      <c r="A7899" t="s">
        <v>7905</v>
      </c>
      <c r="B7899" t="s">
        <v>10013</v>
      </c>
      <c r="C7899">
        <v>1</v>
      </c>
      <c r="D7899">
        <v>3</v>
      </c>
      <c r="E7899">
        <v>3</v>
      </c>
      <c r="F7899" t="s">
        <v>10019</v>
      </c>
      <c r="G7899" t="s">
        <v>10069</v>
      </c>
      <c r="H7899" s="6">
        <v>45177</v>
      </c>
      <c r="I7899">
        <f t="shared" si="246"/>
        <v>1</v>
      </c>
      <c r="J7899" t="str">
        <f t="shared" si="247"/>
        <v>Complete</v>
      </c>
      <c r="K7899">
        <f>COUNTIFS(RawData[Item], B7899,RawData[Quantity],C7899,RawData[Price Per Unit],D7899,RawData[Total Spent],E7899,RawData[Payment Method],F7899,RawData[Location],G7899,RawData[Transaction Date],H7899)</f>
        <v>1</v>
      </c>
      <c r="L7899"/>
    </row>
    <row r="7900" spans="1:12" x14ac:dyDescent="0.3">
      <c r="A7900" t="s">
        <v>7906</v>
      </c>
      <c r="B7900" t="s">
        <v>10009</v>
      </c>
      <c r="C7900">
        <v>3</v>
      </c>
      <c r="D7900">
        <v>3</v>
      </c>
      <c r="E7900">
        <v>9</v>
      </c>
      <c r="F7900" t="s">
        <v>10069</v>
      </c>
      <c r="G7900" t="s">
        <v>10021</v>
      </c>
      <c r="H7900" s="6">
        <v>44975</v>
      </c>
      <c r="I7900">
        <f t="shared" si="246"/>
        <v>0</v>
      </c>
      <c r="J7900" t="str">
        <f t="shared" si="247"/>
        <v>Complete</v>
      </c>
      <c r="K7900">
        <f>COUNTIFS(RawData[Item], B7900,RawData[Quantity],C7900,RawData[Price Per Unit],D7900,RawData[Total Spent],E7900,RawData[Payment Method],F7900,RawData[Location],G7900,RawData[Transaction Date],H7900)</f>
        <v>1</v>
      </c>
      <c r="L7900"/>
    </row>
    <row r="7901" spans="1:12" x14ac:dyDescent="0.3">
      <c r="A7901" t="s">
        <v>7907</v>
      </c>
      <c r="B7901" t="s">
        <v>10010</v>
      </c>
      <c r="C7901">
        <v>1</v>
      </c>
      <c r="D7901">
        <v>1</v>
      </c>
      <c r="E7901">
        <v>1</v>
      </c>
      <c r="F7901" t="s">
        <v>10020</v>
      </c>
      <c r="G7901" t="s">
        <v>10102</v>
      </c>
      <c r="H7901" s="6">
        <v>45149</v>
      </c>
      <c r="I7901">
        <f t="shared" si="246"/>
        <v>0</v>
      </c>
      <c r="J7901" t="str">
        <f t="shared" si="247"/>
        <v>Complete</v>
      </c>
      <c r="K7901">
        <f>COUNTIFS(RawData[Item], B7901,RawData[Quantity],C7901,RawData[Price Per Unit],D7901,RawData[Total Spent],E7901,RawData[Payment Method],F7901,RawData[Location],G7901,RawData[Transaction Date],H7901)</f>
        <v>1</v>
      </c>
      <c r="L7901"/>
    </row>
    <row r="7902" spans="1:12" x14ac:dyDescent="0.3">
      <c r="A7902" t="s">
        <v>7908</v>
      </c>
      <c r="B7902" t="s">
        <v>10010</v>
      </c>
      <c r="C7902">
        <v>2</v>
      </c>
      <c r="D7902">
        <v>1</v>
      </c>
      <c r="E7902">
        <v>2</v>
      </c>
      <c r="F7902" t="s">
        <v>10019</v>
      </c>
      <c r="G7902" t="s">
        <v>10021</v>
      </c>
      <c r="H7902" s="6">
        <v>45197</v>
      </c>
      <c r="I7902">
        <f t="shared" si="246"/>
        <v>0</v>
      </c>
      <c r="J7902" t="str">
        <f t="shared" si="247"/>
        <v>Complete</v>
      </c>
      <c r="K7902">
        <f>COUNTIFS(RawData[Item], B7902,RawData[Quantity],C7902,RawData[Price Per Unit],D7902,RawData[Total Spent],E7902,RawData[Payment Method],F7902,RawData[Location],G7902,RawData[Transaction Date],H7902)</f>
        <v>1</v>
      </c>
      <c r="L7902"/>
    </row>
    <row r="7903" spans="1:12" x14ac:dyDescent="0.3">
      <c r="A7903" t="s">
        <v>7909</v>
      </c>
      <c r="B7903" t="s">
        <v>10014</v>
      </c>
      <c r="C7903">
        <v>3</v>
      </c>
      <c r="D7903">
        <v>4</v>
      </c>
      <c r="E7903">
        <v>12</v>
      </c>
      <c r="F7903" t="s">
        <v>10018</v>
      </c>
      <c r="G7903" t="s">
        <v>10021</v>
      </c>
      <c r="H7903" s="6">
        <v>45265</v>
      </c>
      <c r="I7903">
        <f t="shared" si="246"/>
        <v>0</v>
      </c>
      <c r="J7903" t="str">
        <f t="shared" si="247"/>
        <v>Complete</v>
      </c>
      <c r="K7903">
        <f>COUNTIFS(RawData[Item], B7903,RawData[Quantity],C7903,RawData[Price Per Unit],D7903,RawData[Total Spent],E7903,RawData[Payment Method],F7903,RawData[Location],G7903,RawData[Transaction Date],H7903)</f>
        <v>1</v>
      </c>
      <c r="L7903"/>
    </row>
    <row r="7904" spans="1:12" x14ac:dyDescent="0.3">
      <c r="A7904" t="s">
        <v>7910</v>
      </c>
      <c r="B7904" t="s">
        <v>10011</v>
      </c>
      <c r="C7904">
        <v>1</v>
      </c>
      <c r="D7904">
        <v>5</v>
      </c>
      <c r="E7904">
        <v>5</v>
      </c>
      <c r="F7904" t="s">
        <v>10069</v>
      </c>
      <c r="G7904" t="s">
        <v>10069</v>
      </c>
      <c r="H7904" s="6">
        <v>44930</v>
      </c>
      <c r="I7904">
        <f t="shared" si="246"/>
        <v>0</v>
      </c>
      <c r="J7904" t="str">
        <f t="shared" si="247"/>
        <v>Complete</v>
      </c>
      <c r="K7904">
        <f>COUNTIFS(RawData[Item], B7904,RawData[Quantity],C7904,RawData[Price Per Unit],D7904,RawData[Total Spent],E7904,RawData[Payment Method],F7904,RawData[Location],G7904,RawData[Transaction Date],H7904)</f>
        <v>1</v>
      </c>
      <c r="L7904"/>
    </row>
    <row r="7905" spans="1:12" x14ac:dyDescent="0.3">
      <c r="A7905" t="s">
        <v>7911</v>
      </c>
      <c r="B7905" t="s">
        <v>10017</v>
      </c>
      <c r="C7905">
        <v>4</v>
      </c>
      <c r="D7905">
        <v>1.5</v>
      </c>
      <c r="E7905">
        <v>6</v>
      </c>
      <c r="F7905" t="s">
        <v>10020</v>
      </c>
      <c r="G7905" t="s">
        <v>10103</v>
      </c>
      <c r="H7905" s="6" t="s">
        <v>10112</v>
      </c>
      <c r="I7905">
        <f t="shared" si="246"/>
        <v>2</v>
      </c>
      <c r="J7905" t="str">
        <f t="shared" si="247"/>
        <v>Incomplete</v>
      </c>
      <c r="K7905">
        <f>COUNTIFS(RawData[Item], B7905,RawData[Quantity],C7905,RawData[Price Per Unit],D7905,RawData[Total Spent],E7905,RawData[Payment Method],F7905,RawData[Location],G7905,RawData[Transaction Date],H7905)</f>
        <v>1</v>
      </c>
      <c r="L7905"/>
    </row>
    <row r="7906" spans="1:12" x14ac:dyDescent="0.3">
      <c r="A7906" t="s">
        <v>7912</v>
      </c>
      <c r="B7906" t="s">
        <v>10016</v>
      </c>
      <c r="C7906">
        <v>1</v>
      </c>
      <c r="D7906">
        <v>3</v>
      </c>
      <c r="E7906" t="s">
        <v>10013</v>
      </c>
      <c r="F7906" t="s">
        <v>10018</v>
      </c>
      <c r="G7906" t="s">
        <v>10069</v>
      </c>
      <c r="H7906" s="6">
        <v>44982</v>
      </c>
      <c r="I7906">
        <f t="shared" si="246"/>
        <v>1</v>
      </c>
      <c r="J7906" t="str">
        <f t="shared" si="247"/>
        <v>Complete</v>
      </c>
      <c r="K7906">
        <f>COUNTIFS(RawData[Item], B7906,RawData[Quantity],C7906,RawData[Price Per Unit],D7906,RawData[Total Spent],E7906,RawData[Payment Method],F7906,RawData[Location],G7906,RawData[Transaction Date],H7906)</f>
        <v>1</v>
      </c>
      <c r="L7906"/>
    </row>
    <row r="7907" spans="1:12" x14ac:dyDescent="0.3">
      <c r="A7907" t="s">
        <v>7913</v>
      </c>
      <c r="B7907" t="s">
        <v>10009</v>
      </c>
      <c r="C7907">
        <v>5</v>
      </c>
      <c r="D7907">
        <v>3</v>
      </c>
      <c r="E7907">
        <v>15</v>
      </c>
      <c r="F7907" t="s">
        <v>10020</v>
      </c>
      <c r="G7907" t="s">
        <v>10104</v>
      </c>
      <c r="H7907" s="6">
        <v>45187</v>
      </c>
      <c r="I7907">
        <f t="shared" si="246"/>
        <v>1</v>
      </c>
      <c r="J7907" t="str">
        <f t="shared" si="247"/>
        <v>Complete</v>
      </c>
      <c r="K7907">
        <f>COUNTIFS(RawData[Item], B7907,RawData[Quantity],C7907,RawData[Price Per Unit],D7907,RawData[Total Spent],E7907,RawData[Payment Method],F7907,RawData[Location],G7907,RawData[Transaction Date],H7907)</f>
        <v>1</v>
      </c>
      <c r="L7907"/>
    </row>
    <row r="7908" spans="1:12" x14ac:dyDescent="0.3">
      <c r="A7908" t="s">
        <v>7914</v>
      </c>
      <c r="B7908" t="s">
        <v>10010</v>
      </c>
      <c r="C7908">
        <v>5</v>
      </c>
      <c r="D7908">
        <v>0</v>
      </c>
      <c r="E7908">
        <v>5</v>
      </c>
      <c r="F7908" t="s">
        <v>10103</v>
      </c>
      <c r="G7908" t="s">
        <v>10021</v>
      </c>
      <c r="H7908" s="6">
        <v>44943</v>
      </c>
      <c r="I7908">
        <f t="shared" si="246"/>
        <v>1</v>
      </c>
      <c r="J7908" t="str">
        <f t="shared" si="247"/>
        <v>Complete</v>
      </c>
      <c r="K7908">
        <f>COUNTIFS(RawData[Item], B7908,RawData[Quantity],C7908,RawData[Price Per Unit],D7908,RawData[Total Spent],E7908,RawData[Payment Method],F7908,RawData[Location],G7908,RawData[Transaction Date],H7908)</f>
        <v>1</v>
      </c>
      <c r="L7908"/>
    </row>
    <row r="7909" spans="1:12" x14ac:dyDescent="0.3">
      <c r="A7909" t="s">
        <v>7915</v>
      </c>
      <c r="B7909" t="s">
        <v>10010</v>
      </c>
      <c r="C7909">
        <v>2</v>
      </c>
      <c r="D7909">
        <v>1</v>
      </c>
      <c r="E7909">
        <v>2</v>
      </c>
      <c r="F7909" t="s">
        <v>10019</v>
      </c>
      <c r="G7909" t="s">
        <v>10069</v>
      </c>
      <c r="H7909" s="6">
        <v>45015</v>
      </c>
      <c r="I7909">
        <f t="shared" si="246"/>
        <v>0</v>
      </c>
      <c r="J7909" t="str">
        <f t="shared" si="247"/>
        <v>Complete</v>
      </c>
      <c r="K7909">
        <f>COUNTIFS(RawData[Item], B7909,RawData[Quantity],C7909,RawData[Price Per Unit],D7909,RawData[Total Spent],E7909,RawData[Payment Method],F7909,RawData[Location],G7909,RawData[Transaction Date],H7909)</f>
        <v>1</v>
      </c>
      <c r="L7909"/>
    </row>
    <row r="7910" spans="1:12" x14ac:dyDescent="0.3">
      <c r="A7910" t="s">
        <v>7916</v>
      </c>
      <c r="B7910" t="s">
        <v>10008</v>
      </c>
      <c r="C7910">
        <v>3</v>
      </c>
      <c r="D7910">
        <v>2</v>
      </c>
      <c r="E7910">
        <v>6</v>
      </c>
      <c r="F7910" t="s">
        <v>10069</v>
      </c>
      <c r="G7910" t="s">
        <v>10102</v>
      </c>
      <c r="H7910" s="6">
        <v>45221</v>
      </c>
      <c r="I7910">
        <f t="shared" si="246"/>
        <v>0</v>
      </c>
      <c r="J7910" t="str">
        <f t="shared" si="247"/>
        <v>Complete</v>
      </c>
      <c r="K7910">
        <f>COUNTIFS(RawData[Item], B7910,RawData[Quantity],C7910,RawData[Price Per Unit],D7910,RawData[Total Spent],E7910,RawData[Payment Method],F7910,RawData[Location],G7910,RawData[Transaction Date],H7910)</f>
        <v>1</v>
      </c>
      <c r="L7910"/>
    </row>
    <row r="7911" spans="1:12" x14ac:dyDescent="0.3">
      <c r="A7911" t="s">
        <v>7917</v>
      </c>
      <c r="B7911" t="s">
        <v>10012</v>
      </c>
      <c r="C7911">
        <v>4</v>
      </c>
      <c r="D7911">
        <v>4</v>
      </c>
      <c r="E7911">
        <v>16</v>
      </c>
      <c r="F7911" t="s">
        <v>10020</v>
      </c>
      <c r="G7911" t="s">
        <v>10069</v>
      </c>
      <c r="H7911" s="6">
        <v>45017</v>
      </c>
      <c r="I7911">
        <f t="shared" si="246"/>
        <v>0</v>
      </c>
      <c r="J7911" t="str">
        <f t="shared" si="247"/>
        <v>Complete</v>
      </c>
      <c r="K7911">
        <f>COUNTIFS(RawData[Item], B7911,RawData[Quantity],C7911,RawData[Price Per Unit],D7911,RawData[Total Spent],E7911,RawData[Payment Method],F7911,RawData[Location],G7911,RawData[Transaction Date],H7911)</f>
        <v>2</v>
      </c>
      <c r="L7911"/>
    </row>
    <row r="7912" spans="1:12" x14ac:dyDescent="0.3">
      <c r="A7912" t="s">
        <v>7918</v>
      </c>
      <c r="B7912" t="s">
        <v>10008</v>
      </c>
      <c r="C7912">
        <v>4</v>
      </c>
      <c r="D7912">
        <v>2</v>
      </c>
      <c r="E7912">
        <v>8</v>
      </c>
      <c r="F7912" t="s">
        <v>10019</v>
      </c>
      <c r="G7912" t="s">
        <v>10102</v>
      </c>
      <c r="H7912" s="6">
        <v>45263</v>
      </c>
      <c r="I7912">
        <f t="shared" si="246"/>
        <v>0</v>
      </c>
      <c r="J7912" t="str">
        <f t="shared" si="247"/>
        <v>Complete</v>
      </c>
      <c r="K7912">
        <f>COUNTIFS(RawData[Item], B7912,RawData[Quantity],C7912,RawData[Price Per Unit],D7912,RawData[Total Spent],E7912,RawData[Payment Method],F7912,RawData[Location],G7912,RawData[Transaction Date],H7912)</f>
        <v>1</v>
      </c>
      <c r="L7912"/>
    </row>
    <row r="7913" spans="1:12" x14ac:dyDescent="0.3">
      <c r="A7913" t="s">
        <v>7919</v>
      </c>
      <c r="B7913" t="s">
        <v>10017</v>
      </c>
      <c r="C7913">
        <v>2</v>
      </c>
      <c r="D7913">
        <v>1.5</v>
      </c>
      <c r="E7913">
        <v>3</v>
      </c>
      <c r="F7913" t="s">
        <v>10069</v>
      </c>
      <c r="G7913" t="s">
        <v>10021</v>
      </c>
      <c r="H7913" s="6">
        <v>44981</v>
      </c>
      <c r="I7913">
        <f t="shared" si="246"/>
        <v>0</v>
      </c>
      <c r="J7913" t="str">
        <f t="shared" si="247"/>
        <v>Complete</v>
      </c>
      <c r="K7913">
        <f>COUNTIFS(RawData[Item], B7913,RawData[Quantity],C7913,RawData[Price Per Unit],D7913,RawData[Total Spent],E7913,RawData[Payment Method],F7913,RawData[Location],G7913,RawData[Transaction Date],H7913)</f>
        <v>1</v>
      </c>
      <c r="L7913"/>
    </row>
    <row r="7914" spans="1:12" x14ac:dyDescent="0.3">
      <c r="A7914" t="s">
        <v>7920</v>
      </c>
      <c r="B7914" t="s">
        <v>10017</v>
      </c>
      <c r="C7914">
        <v>5</v>
      </c>
      <c r="D7914">
        <v>1.5</v>
      </c>
      <c r="E7914">
        <v>7.5</v>
      </c>
      <c r="F7914" t="s">
        <v>10019</v>
      </c>
      <c r="G7914" t="s">
        <v>10021</v>
      </c>
      <c r="H7914" s="6">
        <v>45231</v>
      </c>
      <c r="I7914">
        <f t="shared" si="246"/>
        <v>0</v>
      </c>
      <c r="J7914" t="str">
        <f t="shared" si="247"/>
        <v>Complete</v>
      </c>
      <c r="K7914">
        <f>COUNTIFS(RawData[Item], B7914,RawData[Quantity],C7914,RawData[Price Per Unit],D7914,RawData[Total Spent],E7914,RawData[Payment Method],F7914,RawData[Location],G7914,RawData[Transaction Date],H7914)</f>
        <v>1</v>
      </c>
      <c r="L7914"/>
    </row>
    <row r="7915" spans="1:12" x14ac:dyDescent="0.3">
      <c r="A7915" t="s">
        <v>7921</v>
      </c>
      <c r="B7915" t="s">
        <v>10008</v>
      </c>
      <c r="C7915">
        <v>4</v>
      </c>
      <c r="D7915">
        <v>2</v>
      </c>
      <c r="E7915">
        <v>8</v>
      </c>
      <c r="F7915" t="s">
        <v>10069</v>
      </c>
      <c r="G7915" t="s">
        <v>10021</v>
      </c>
      <c r="H7915" s="6">
        <v>45128</v>
      </c>
      <c r="I7915">
        <f t="shared" si="246"/>
        <v>0</v>
      </c>
      <c r="J7915" t="str">
        <f t="shared" si="247"/>
        <v>Complete</v>
      </c>
      <c r="K7915">
        <f>COUNTIFS(RawData[Item], B7915,RawData[Quantity],C7915,RawData[Price Per Unit],D7915,RawData[Total Spent],E7915,RawData[Payment Method],F7915,RawData[Location],G7915,RawData[Transaction Date],H7915)</f>
        <v>1</v>
      </c>
      <c r="L7915"/>
    </row>
    <row r="7916" spans="1:12" x14ac:dyDescent="0.3">
      <c r="A7916" t="s">
        <v>7922</v>
      </c>
      <c r="B7916" t="s">
        <v>10017</v>
      </c>
      <c r="C7916">
        <v>1</v>
      </c>
      <c r="D7916">
        <v>1.5</v>
      </c>
      <c r="E7916">
        <v>1.5</v>
      </c>
      <c r="F7916" t="s">
        <v>10020</v>
      </c>
      <c r="G7916" t="s">
        <v>10021</v>
      </c>
      <c r="H7916" s="6">
        <v>45055</v>
      </c>
      <c r="I7916">
        <f t="shared" si="246"/>
        <v>0</v>
      </c>
      <c r="J7916" t="str">
        <f t="shared" si="247"/>
        <v>Complete</v>
      </c>
      <c r="K7916">
        <f>COUNTIFS(RawData[Item], B7916,RawData[Quantity],C7916,RawData[Price Per Unit],D7916,RawData[Total Spent],E7916,RawData[Payment Method],F7916,RawData[Location],G7916,RawData[Transaction Date],H7916)</f>
        <v>1</v>
      </c>
      <c r="L7916"/>
    </row>
    <row r="7917" spans="1:12" x14ac:dyDescent="0.3">
      <c r="A7917" t="s">
        <v>7923</v>
      </c>
      <c r="B7917" t="s">
        <v>10012</v>
      </c>
      <c r="C7917">
        <v>1</v>
      </c>
      <c r="D7917">
        <v>4</v>
      </c>
      <c r="E7917">
        <v>4</v>
      </c>
      <c r="F7917" t="s">
        <v>10018</v>
      </c>
      <c r="G7917" t="s">
        <v>10021</v>
      </c>
      <c r="H7917" s="6">
        <v>45040</v>
      </c>
      <c r="I7917">
        <f t="shared" si="246"/>
        <v>0</v>
      </c>
      <c r="J7917" t="str">
        <f t="shared" si="247"/>
        <v>Complete</v>
      </c>
      <c r="K7917">
        <f>COUNTIFS(RawData[Item], B7917,RawData[Quantity],C7917,RawData[Price Per Unit],D7917,RawData[Total Spent],E7917,RawData[Payment Method],F7917,RawData[Location],G7917,RawData[Transaction Date],H7917)</f>
        <v>1</v>
      </c>
      <c r="L7917"/>
    </row>
    <row r="7918" spans="1:12" x14ac:dyDescent="0.3">
      <c r="A7918" t="s">
        <v>7924</v>
      </c>
      <c r="B7918" t="s">
        <v>10017</v>
      </c>
      <c r="C7918">
        <v>4</v>
      </c>
      <c r="D7918">
        <v>1.5</v>
      </c>
      <c r="E7918">
        <v>6</v>
      </c>
      <c r="F7918" t="s">
        <v>10020</v>
      </c>
      <c r="G7918" t="s">
        <v>10102</v>
      </c>
      <c r="H7918" s="6">
        <v>45205</v>
      </c>
      <c r="I7918">
        <f t="shared" si="246"/>
        <v>0</v>
      </c>
      <c r="J7918" t="str">
        <f t="shared" si="247"/>
        <v>Complete</v>
      </c>
      <c r="K7918">
        <f>COUNTIFS(RawData[Item], B7918,RawData[Quantity],C7918,RawData[Price Per Unit],D7918,RawData[Total Spent],E7918,RawData[Payment Method],F7918,RawData[Location],G7918,RawData[Transaction Date],H7918)</f>
        <v>1</v>
      </c>
      <c r="L7918"/>
    </row>
    <row r="7919" spans="1:12" x14ac:dyDescent="0.3">
      <c r="A7919" t="s">
        <v>7925</v>
      </c>
      <c r="B7919" t="s">
        <v>10014</v>
      </c>
      <c r="C7919">
        <v>1</v>
      </c>
      <c r="D7919">
        <v>4</v>
      </c>
      <c r="E7919">
        <v>4</v>
      </c>
      <c r="F7919" t="s">
        <v>10019</v>
      </c>
      <c r="G7919" t="s">
        <v>10069</v>
      </c>
      <c r="H7919" s="6">
        <v>45276</v>
      </c>
      <c r="I7919">
        <f t="shared" si="246"/>
        <v>0</v>
      </c>
      <c r="J7919" t="str">
        <f t="shared" si="247"/>
        <v>Complete</v>
      </c>
      <c r="K7919">
        <f>COUNTIFS(RawData[Item], B7919,RawData[Quantity],C7919,RawData[Price Per Unit],D7919,RawData[Total Spent],E7919,RawData[Payment Method],F7919,RawData[Location],G7919,RawData[Transaction Date],H7919)</f>
        <v>1</v>
      </c>
      <c r="L7919"/>
    </row>
    <row r="7920" spans="1:12" x14ac:dyDescent="0.3">
      <c r="A7920" t="s">
        <v>7926</v>
      </c>
      <c r="B7920" t="s">
        <v>10009</v>
      </c>
      <c r="C7920">
        <v>5</v>
      </c>
      <c r="D7920">
        <v>3</v>
      </c>
      <c r="E7920">
        <v>15</v>
      </c>
      <c r="F7920" t="s">
        <v>10069</v>
      </c>
      <c r="G7920" t="s">
        <v>10021</v>
      </c>
      <c r="H7920" s="6">
        <v>45132</v>
      </c>
      <c r="I7920">
        <f t="shared" si="246"/>
        <v>0</v>
      </c>
      <c r="J7920" t="str">
        <f t="shared" si="247"/>
        <v>Complete</v>
      </c>
      <c r="K7920">
        <f>COUNTIFS(RawData[Item], B7920,RawData[Quantity],C7920,RawData[Price Per Unit],D7920,RawData[Total Spent],E7920,RawData[Payment Method],F7920,RawData[Location],G7920,RawData[Transaction Date],H7920)</f>
        <v>1</v>
      </c>
      <c r="L7920"/>
    </row>
    <row r="7921" spans="1:12" x14ac:dyDescent="0.3">
      <c r="A7921" t="s">
        <v>7927</v>
      </c>
      <c r="B7921" t="s">
        <v>10017</v>
      </c>
      <c r="C7921">
        <v>5</v>
      </c>
      <c r="D7921">
        <v>1.5</v>
      </c>
      <c r="E7921">
        <v>7.5</v>
      </c>
      <c r="F7921" t="s">
        <v>10104</v>
      </c>
      <c r="G7921" t="s">
        <v>10069</v>
      </c>
      <c r="H7921" s="6">
        <v>44941</v>
      </c>
      <c r="I7921">
        <f t="shared" si="246"/>
        <v>1</v>
      </c>
      <c r="J7921" t="str">
        <f t="shared" si="247"/>
        <v>Complete</v>
      </c>
      <c r="K7921">
        <f>COUNTIFS(RawData[Item], B7921,RawData[Quantity],C7921,RawData[Price Per Unit],D7921,RawData[Total Spent],E7921,RawData[Payment Method],F7921,RawData[Location],G7921,RawData[Transaction Date],H7921)</f>
        <v>1</v>
      </c>
      <c r="L7921"/>
    </row>
    <row r="7922" spans="1:12" x14ac:dyDescent="0.3">
      <c r="A7922" t="s">
        <v>7928</v>
      </c>
      <c r="B7922" t="s">
        <v>10014</v>
      </c>
      <c r="C7922">
        <v>3</v>
      </c>
      <c r="D7922">
        <v>4</v>
      </c>
      <c r="E7922">
        <v>12</v>
      </c>
      <c r="F7922" t="s">
        <v>10069</v>
      </c>
      <c r="G7922" t="s">
        <v>10102</v>
      </c>
      <c r="H7922" s="6">
        <v>44983</v>
      </c>
      <c r="I7922">
        <f t="shared" si="246"/>
        <v>0</v>
      </c>
      <c r="J7922" t="str">
        <f t="shared" si="247"/>
        <v>Complete</v>
      </c>
      <c r="K7922">
        <f>COUNTIFS(RawData[Item], B7922,RawData[Quantity],C7922,RawData[Price Per Unit],D7922,RawData[Total Spent],E7922,RawData[Payment Method],F7922,RawData[Location],G7922,RawData[Transaction Date],H7922)</f>
        <v>1</v>
      </c>
      <c r="L7922"/>
    </row>
    <row r="7923" spans="1:12" x14ac:dyDescent="0.3">
      <c r="A7923" t="s">
        <v>7929</v>
      </c>
      <c r="B7923" t="s">
        <v>10011</v>
      </c>
      <c r="C7923">
        <v>2</v>
      </c>
      <c r="D7923" t="s">
        <v>10015</v>
      </c>
      <c r="E7923">
        <v>10</v>
      </c>
      <c r="F7923" t="s">
        <v>10020</v>
      </c>
      <c r="G7923" t="s">
        <v>10069</v>
      </c>
      <c r="H7923" s="6">
        <v>45219</v>
      </c>
      <c r="I7923">
        <f t="shared" si="246"/>
        <v>1</v>
      </c>
      <c r="J7923" t="str">
        <f t="shared" si="247"/>
        <v>Complete</v>
      </c>
      <c r="K7923">
        <f>COUNTIFS(RawData[Item], B7923,RawData[Quantity],C7923,RawData[Price Per Unit],D7923,RawData[Total Spent],E7923,RawData[Payment Method],F7923,RawData[Location],G7923,RawData[Transaction Date],H7923)</f>
        <v>1</v>
      </c>
      <c r="L7923"/>
    </row>
    <row r="7924" spans="1:12" x14ac:dyDescent="0.3">
      <c r="A7924" t="s">
        <v>7930</v>
      </c>
      <c r="B7924" t="s">
        <v>10008</v>
      </c>
      <c r="C7924">
        <v>1</v>
      </c>
      <c r="D7924">
        <v>2</v>
      </c>
      <c r="E7924">
        <v>2</v>
      </c>
      <c r="F7924" t="s">
        <v>10018</v>
      </c>
      <c r="G7924" t="s">
        <v>10102</v>
      </c>
      <c r="H7924" s="6">
        <v>44952</v>
      </c>
      <c r="I7924">
        <f t="shared" si="246"/>
        <v>0</v>
      </c>
      <c r="J7924" t="str">
        <f t="shared" si="247"/>
        <v>Complete</v>
      </c>
      <c r="K7924">
        <f>COUNTIFS(RawData[Item], B7924,RawData[Quantity],C7924,RawData[Price Per Unit],D7924,RawData[Total Spent],E7924,RawData[Payment Method],F7924,RawData[Location],G7924,RawData[Transaction Date],H7924)</f>
        <v>1</v>
      </c>
      <c r="L7924"/>
    </row>
    <row r="7925" spans="1:12" x14ac:dyDescent="0.3">
      <c r="A7925" t="s">
        <v>7931</v>
      </c>
      <c r="B7925" t="s">
        <v>10011</v>
      </c>
      <c r="C7925">
        <v>4</v>
      </c>
      <c r="D7925">
        <v>5</v>
      </c>
      <c r="E7925" t="s">
        <v>10015</v>
      </c>
      <c r="F7925" t="s">
        <v>10104</v>
      </c>
      <c r="G7925" t="s">
        <v>10069</v>
      </c>
      <c r="H7925" s="6" t="s">
        <v>10112</v>
      </c>
      <c r="I7925">
        <f t="shared" si="246"/>
        <v>3</v>
      </c>
      <c r="J7925" t="str">
        <f t="shared" si="247"/>
        <v>Incomplete</v>
      </c>
      <c r="K7925">
        <f>COUNTIFS(RawData[Item], B7925,RawData[Quantity],C7925,RawData[Price Per Unit],D7925,RawData[Total Spent],E7925,RawData[Payment Method],F7925,RawData[Location],G7925,RawData[Transaction Date],H7925)</f>
        <v>1</v>
      </c>
      <c r="L7925"/>
    </row>
    <row r="7926" spans="1:12" x14ac:dyDescent="0.3">
      <c r="A7926" t="s">
        <v>7932</v>
      </c>
      <c r="B7926" t="s">
        <v>10012</v>
      </c>
      <c r="C7926">
        <v>3</v>
      </c>
      <c r="D7926">
        <v>4</v>
      </c>
      <c r="E7926">
        <v>12</v>
      </c>
      <c r="F7926" t="s">
        <v>10069</v>
      </c>
      <c r="G7926" t="s">
        <v>10069</v>
      </c>
      <c r="H7926" s="6">
        <v>45013</v>
      </c>
      <c r="I7926">
        <f t="shared" si="246"/>
        <v>0</v>
      </c>
      <c r="J7926" t="str">
        <f t="shared" si="247"/>
        <v>Complete</v>
      </c>
      <c r="K7926">
        <f>COUNTIFS(RawData[Item], B7926,RawData[Quantity],C7926,RawData[Price Per Unit],D7926,RawData[Total Spent],E7926,RawData[Payment Method],F7926,RawData[Location],G7926,RawData[Transaction Date],H7926)</f>
        <v>1</v>
      </c>
      <c r="L7926"/>
    </row>
    <row r="7927" spans="1:12" x14ac:dyDescent="0.3">
      <c r="A7927" t="s">
        <v>7933</v>
      </c>
      <c r="B7927" t="s">
        <v>10011</v>
      </c>
      <c r="C7927">
        <v>4</v>
      </c>
      <c r="D7927">
        <v>5</v>
      </c>
      <c r="E7927">
        <v>20</v>
      </c>
      <c r="F7927" t="s">
        <v>10069</v>
      </c>
      <c r="G7927" t="s">
        <v>10069</v>
      </c>
      <c r="H7927" s="6">
        <v>45033</v>
      </c>
      <c r="I7927">
        <f t="shared" si="246"/>
        <v>0</v>
      </c>
      <c r="J7927" t="str">
        <f t="shared" si="247"/>
        <v>Complete</v>
      </c>
      <c r="K7927">
        <f>COUNTIFS(RawData[Item], B7927,RawData[Quantity],C7927,RawData[Price Per Unit],D7927,RawData[Total Spent],E7927,RawData[Payment Method],F7927,RawData[Location],G7927,RawData[Transaction Date],H7927)</f>
        <v>1</v>
      </c>
      <c r="L7927"/>
    </row>
    <row r="7928" spans="1:12" x14ac:dyDescent="0.3">
      <c r="A7928" t="s">
        <v>7934</v>
      </c>
      <c r="B7928" t="s">
        <v>10009</v>
      </c>
      <c r="C7928">
        <v>2</v>
      </c>
      <c r="D7928">
        <v>3</v>
      </c>
      <c r="E7928">
        <v>6</v>
      </c>
      <c r="F7928" t="s">
        <v>10020</v>
      </c>
      <c r="G7928" t="s">
        <v>10069</v>
      </c>
      <c r="H7928" s="6">
        <v>45057</v>
      </c>
      <c r="I7928">
        <f t="shared" si="246"/>
        <v>0</v>
      </c>
      <c r="J7928" t="str">
        <f t="shared" si="247"/>
        <v>Complete</v>
      </c>
      <c r="K7928">
        <f>COUNTIFS(RawData[Item], B7928,RawData[Quantity],C7928,RawData[Price Per Unit],D7928,RawData[Total Spent],E7928,RawData[Payment Method],F7928,RawData[Location],G7928,RawData[Transaction Date],H7928)</f>
        <v>1</v>
      </c>
      <c r="L7928"/>
    </row>
    <row r="7929" spans="1:12" x14ac:dyDescent="0.3">
      <c r="A7929" t="s">
        <v>7935</v>
      </c>
      <c r="B7929" t="s">
        <v>10010</v>
      </c>
      <c r="C7929">
        <v>2</v>
      </c>
      <c r="D7929">
        <v>1</v>
      </c>
      <c r="E7929">
        <v>2</v>
      </c>
      <c r="F7929" t="s">
        <v>10069</v>
      </c>
      <c r="G7929" t="s">
        <v>10021</v>
      </c>
      <c r="H7929" s="6">
        <v>45128</v>
      </c>
      <c r="I7929">
        <f t="shared" si="246"/>
        <v>0</v>
      </c>
      <c r="J7929" t="str">
        <f t="shared" si="247"/>
        <v>Complete</v>
      </c>
      <c r="K7929">
        <f>COUNTIFS(RawData[Item], B7929,RawData[Quantity],C7929,RawData[Price Per Unit],D7929,RawData[Total Spent],E7929,RawData[Payment Method],F7929,RawData[Location],G7929,RawData[Transaction Date],H7929)</f>
        <v>1</v>
      </c>
      <c r="L7929"/>
    </row>
    <row r="7930" spans="1:12" x14ac:dyDescent="0.3">
      <c r="A7930" t="s">
        <v>7936</v>
      </c>
      <c r="B7930" t="s">
        <v>10011</v>
      </c>
      <c r="C7930">
        <v>4</v>
      </c>
      <c r="D7930">
        <v>5</v>
      </c>
      <c r="E7930">
        <v>20</v>
      </c>
      <c r="F7930" t="s">
        <v>10104</v>
      </c>
      <c r="G7930" t="s">
        <v>10021</v>
      </c>
      <c r="H7930" s="6">
        <v>45254</v>
      </c>
      <c r="I7930">
        <f t="shared" si="246"/>
        <v>1</v>
      </c>
      <c r="J7930" t="str">
        <f t="shared" si="247"/>
        <v>Complete</v>
      </c>
      <c r="K7930">
        <f>COUNTIFS(RawData[Item], B7930,RawData[Quantity],C7930,RawData[Price Per Unit],D7930,RawData[Total Spent],E7930,RawData[Payment Method],F7930,RawData[Location],G7930,RawData[Transaction Date],H7930)</f>
        <v>1</v>
      </c>
      <c r="L7930"/>
    </row>
    <row r="7931" spans="1:12" x14ac:dyDescent="0.3">
      <c r="A7931" t="s">
        <v>7937</v>
      </c>
      <c r="B7931" t="s">
        <v>10012</v>
      </c>
      <c r="C7931">
        <v>4</v>
      </c>
      <c r="D7931">
        <v>4</v>
      </c>
      <c r="E7931">
        <v>16</v>
      </c>
      <c r="F7931" t="s">
        <v>10019</v>
      </c>
      <c r="G7931" t="s">
        <v>10069</v>
      </c>
      <c r="H7931" s="6">
        <v>45200</v>
      </c>
      <c r="I7931">
        <f t="shared" si="246"/>
        <v>0</v>
      </c>
      <c r="J7931" t="str">
        <f t="shared" si="247"/>
        <v>Complete</v>
      </c>
      <c r="K7931">
        <f>COUNTIFS(RawData[Item], B7931,RawData[Quantity],C7931,RawData[Price Per Unit],D7931,RawData[Total Spent],E7931,RawData[Payment Method],F7931,RawData[Location],G7931,RawData[Transaction Date],H7931)</f>
        <v>1</v>
      </c>
      <c r="L7931"/>
    </row>
    <row r="7932" spans="1:12" x14ac:dyDescent="0.3">
      <c r="A7932" t="s">
        <v>7938</v>
      </c>
      <c r="B7932" t="s">
        <v>10016</v>
      </c>
      <c r="C7932">
        <v>5</v>
      </c>
      <c r="D7932">
        <v>3</v>
      </c>
      <c r="E7932">
        <v>15</v>
      </c>
      <c r="F7932" t="s">
        <v>10020</v>
      </c>
      <c r="G7932" t="s">
        <v>10102</v>
      </c>
      <c r="H7932" s="6">
        <v>45227</v>
      </c>
      <c r="I7932">
        <f t="shared" si="246"/>
        <v>0</v>
      </c>
      <c r="J7932" t="str">
        <f t="shared" si="247"/>
        <v>Complete</v>
      </c>
      <c r="K7932">
        <f>COUNTIFS(RawData[Item], B7932,RawData[Quantity],C7932,RawData[Price Per Unit],D7932,RawData[Total Spent],E7932,RawData[Payment Method],F7932,RawData[Location],G7932,RawData[Transaction Date],H7932)</f>
        <v>2</v>
      </c>
      <c r="L7932"/>
    </row>
    <row r="7933" spans="1:12" x14ac:dyDescent="0.3">
      <c r="A7933" t="s">
        <v>7939</v>
      </c>
      <c r="B7933" t="s">
        <v>10008</v>
      </c>
      <c r="C7933">
        <v>1</v>
      </c>
      <c r="D7933">
        <v>2</v>
      </c>
      <c r="E7933">
        <v>2</v>
      </c>
      <c r="F7933" t="s">
        <v>10103</v>
      </c>
      <c r="G7933" t="s">
        <v>10021</v>
      </c>
      <c r="H7933" s="6">
        <v>45108</v>
      </c>
      <c r="I7933">
        <f t="shared" si="246"/>
        <v>1</v>
      </c>
      <c r="J7933" t="str">
        <f t="shared" si="247"/>
        <v>Complete</v>
      </c>
      <c r="K7933">
        <f>COUNTIFS(RawData[Item], B7933,RawData[Quantity],C7933,RawData[Price Per Unit],D7933,RawData[Total Spent],E7933,RawData[Payment Method],F7933,RawData[Location],G7933,RawData[Transaction Date],H7933)</f>
        <v>1</v>
      </c>
      <c r="L7933"/>
    </row>
    <row r="7934" spans="1:12" x14ac:dyDescent="0.3">
      <c r="A7934" t="s">
        <v>7940</v>
      </c>
      <c r="B7934" t="s">
        <v>10011</v>
      </c>
      <c r="C7934">
        <v>3</v>
      </c>
      <c r="D7934">
        <v>5</v>
      </c>
      <c r="E7934">
        <v>15</v>
      </c>
      <c r="F7934" t="s">
        <v>10069</v>
      </c>
      <c r="G7934" t="s">
        <v>10069</v>
      </c>
      <c r="H7934" s="6">
        <v>45154</v>
      </c>
      <c r="I7934">
        <f t="shared" si="246"/>
        <v>0</v>
      </c>
      <c r="J7934" t="str">
        <f t="shared" si="247"/>
        <v>Complete</v>
      </c>
      <c r="K7934">
        <f>COUNTIFS(RawData[Item], B7934,RawData[Quantity],C7934,RawData[Price Per Unit],D7934,RawData[Total Spent],E7934,RawData[Payment Method],F7934,RawData[Location],G7934,RawData[Transaction Date],H7934)</f>
        <v>1</v>
      </c>
      <c r="L7934"/>
    </row>
    <row r="7935" spans="1:12" x14ac:dyDescent="0.3">
      <c r="A7935" t="s">
        <v>7941</v>
      </c>
      <c r="B7935" t="s">
        <v>10011</v>
      </c>
      <c r="C7935">
        <v>5</v>
      </c>
      <c r="D7935">
        <v>5</v>
      </c>
      <c r="E7935">
        <v>25</v>
      </c>
      <c r="F7935" t="s">
        <v>10020</v>
      </c>
      <c r="G7935" t="s">
        <v>10021</v>
      </c>
      <c r="H7935" s="6">
        <v>45124</v>
      </c>
      <c r="I7935">
        <f t="shared" si="246"/>
        <v>0</v>
      </c>
      <c r="J7935" t="str">
        <f t="shared" si="247"/>
        <v>Complete</v>
      </c>
      <c r="K7935">
        <f>COUNTIFS(RawData[Item], B7935,RawData[Quantity],C7935,RawData[Price Per Unit],D7935,RawData[Total Spent],E7935,RawData[Payment Method],F7935,RawData[Location],G7935,RawData[Transaction Date],H7935)</f>
        <v>1</v>
      </c>
      <c r="L7935"/>
    </row>
    <row r="7936" spans="1:12" x14ac:dyDescent="0.3">
      <c r="A7936" t="s">
        <v>7942</v>
      </c>
      <c r="B7936" t="s">
        <v>10014</v>
      </c>
      <c r="C7936">
        <v>3</v>
      </c>
      <c r="D7936">
        <v>4</v>
      </c>
      <c r="E7936">
        <v>12</v>
      </c>
      <c r="F7936" t="s">
        <v>10020</v>
      </c>
      <c r="G7936" t="s">
        <v>10069</v>
      </c>
      <c r="H7936" s="6" t="s">
        <v>10112</v>
      </c>
      <c r="I7936">
        <f t="shared" si="246"/>
        <v>1</v>
      </c>
      <c r="J7936" t="str">
        <f t="shared" si="247"/>
        <v>Incomplete</v>
      </c>
      <c r="K7936">
        <f>COUNTIFS(RawData[Item], B7936,RawData[Quantity],C7936,RawData[Price Per Unit],D7936,RawData[Total Spent],E7936,RawData[Payment Method],F7936,RawData[Location],G7936,RawData[Transaction Date],H7936)</f>
        <v>1</v>
      </c>
      <c r="L7936"/>
    </row>
    <row r="7937" spans="1:12" x14ac:dyDescent="0.3">
      <c r="A7937" t="s">
        <v>7943</v>
      </c>
      <c r="B7937" t="s">
        <v>10012</v>
      </c>
      <c r="C7937">
        <v>4</v>
      </c>
      <c r="D7937">
        <v>4</v>
      </c>
      <c r="E7937" t="s">
        <v>10013</v>
      </c>
      <c r="F7937" t="s">
        <v>10069</v>
      </c>
      <c r="G7937" t="s">
        <v>10069</v>
      </c>
      <c r="H7937" s="6">
        <v>45100</v>
      </c>
      <c r="I7937">
        <f t="shared" si="246"/>
        <v>1</v>
      </c>
      <c r="J7937" t="str">
        <f t="shared" si="247"/>
        <v>Complete</v>
      </c>
      <c r="K7937">
        <f>COUNTIFS(RawData[Item], B7937,RawData[Quantity],C7937,RawData[Price Per Unit],D7937,RawData[Total Spent],E7937,RawData[Payment Method],F7937,RawData[Location],G7937,RawData[Transaction Date],H7937)</f>
        <v>1</v>
      </c>
      <c r="L7937"/>
    </row>
    <row r="7938" spans="1:12" x14ac:dyDescent="0.3">
      <c r="A7938" t="s">
        <v>7944</v>
      </c>
      <c r="B7938" t="s">
        <v>10012</v>
      </c>
      <c r="C7938">
        <v>5</v>
      </c>
      <c r="D7938">
        <v>4</v>
      </c>
      <c r="E7938">
        <v>20</v>
      </c>
      <c r="F7938" t="s">
        <v>10069</v>
      </c>
      <c r="G7938" t="s">
        <v>10102</v>
      </c>
      <c r="H7938" s="6">
        <v>45040</v>
      </c>
      <c r="I7938">
        <f t="shared" ref="I7938:I8001" si="248">(B7938="Unknown")+(B7938="Error")+(C7938="Unknown")+(C7938="Error")+(D7938="Unknown")+(D7938="Error")+(E7938="Unknown")+(E7938="Error")+(F7938="Unknown")+(F7938="Error")+(G7938="Unknown")+(G7938="Error")+(H7938="No Date")</f>
        <v>0</v>
      </c>
      <c r="J7938" t="str">
        <f t="shared" ref="J7938:J8001" si="249">IF((H7938="No Date"),"Incomplete","Complete")</f>
        <v>Complete</v>
      </c>
      <c r="K7938">
        <f>COUNTIFS(RawData[Item], B7938,RawData[Quantity],C7938,RawData[Price Per Unit],D7938,RawData[Total Spent],E7938,RawData[Payment Method],F7938,RawData[Location],G7938,RawData[Transaction Date],H7938)</f>
        <v>1</v>
      </c>
      <c r="L7938"/>
    </row>
    <row r="7939" spans="1:12" x14ac:dyDescent="0.3">
      <c r="A7939" t="s">
        <v>7945</v>
      </c>
      <c r="B7939" t="s">
        <v>10014</v>
      </c>
      <c r="C7939">
        <v>1</v>
      </c>
      <c r="D7939">
        <v>4</v>
      </c>
      <c r="E7939">
        <v>4</v>
      </c>
      <c r="F7939" t="s">
        <v>10018</v>
      </c>
      <c r="G7939" t="s">
        <v>10021</v>
      </c>
      <c r="H7939" s="6">
        <v>45140</v>
      </c>
      <c r="I7939">
        <f t="shared" si="248"/>
        <v>0</v>
      </c>
      <c r="J7939" t="str">
        <f t="shared" si="249"/>
        <v>Complete</v>
      </c>
      <c r="K7939">
        <f>COUNTIFS(RawData[Item], B7939,RawData[Quantity],C7939,RawData[Price Per Unit],D7939,RawData[Total Spent],E7939,RawData[Payment Method],F7939,RawData[Location],G7939,RawData[Transaction Date],H7939)</f>
        <v>1</v>
      </c>
      <c r="L7939"/>
    </row>
    <row r="7940" spans="1:12" x14ac:dyDescent="0.3">
      <c r="A7940" t="s">
        <v>7946</v>
      </c>
      <c r="B7940" t="s">
        <v>10016</v>
      </c>
      <c r="C7940">
        <v>1</v>
      </c>
      <c r="D7940">
        <v>3</v>
      </c>
      <c r="E7940">
        <v>3</v>
      </c>
      <c r="F7940" t="s">
        <v>10019</v>
      </c>
      <c r="G7940" t="s">
        <v>10021</v>
      </c>
      <c r="H7940" s="6" t="s">
        <v>10112</v>
      </c>
      <c r="I7940">
        <f t="shared" si="248"/>
        <v>1</v>
      </c>
      <c r="J7940" t="str">
        <f t="shared" si="249"/>
        <v>Incomplete</v>
      </c>
      <c r="K7940">
        <f>COUNTIFS(RawData[Item], B7940,RawData[Quantity],C7940,RawData[Price Per Unit],D7940,RawData[Total Spent],E7940,RawData[Payment Method],F7940,RawData[Location],G7940,RawData[Transaction Date],H7940)</f>
        <v>1</v>
      </c>
      <c r="L7940"/>
    </row>
    <row r="7941" spans="1:12" x14ac:dyDescent="0.3">
      <c r="A7941" t="s">
        <v>7947</v>
      </c>
      <c r="B7941" t="s">
        <v>10009</v>
      </c>
      <c r="C7941">
        <v>4</v>
      </c>
      <c r="D7941">
        <v>3</v>
      </c>
      <c r="E7941">
        <v>12</v>
      </c>
      <c r="F7941" t="s">
        <v>10069</v>
      </c>
      <c r="G7941" t="s">
        <v>10021</v>
      </c>
      <c r="H7941" s="6">
        <v>45018</v>
      </c>
      <c r="I7941">
        <f t="shared" si="248"/>
        <v>0</v>
      </c>
      <c r="J7941" t="str">
        <f t="shared" si="249"/>
        <v>Complete</v>
      </c>
      <c r="K7941">
        <f>COUNTIFS(RawData[Item], B7941,RawData[Quantity],C7941,RawData[Price Per Unit],D7941,RawData[Total Spent],E7941,RawData[Payment Method],F7941,RawData[Location],G7941,RawData[Transaction Date],H7941)</f>
        <v>1</v>
      </c>
      <c r="L7941"/>
    </row>
    <row r="7942" spans="1:12" x14ac:dyDescent="0.3">
      <c r="A7942" t="s">
        <v>7948</v>
      </c>
      <c r="B7942" t="s">
        <v>10016</v>
      </c>
      <c r="C7942">
        <v>2</v>
      </c>
      <c r="D7942">
        <v>3</v>
      </c>
      <c r="E7942">
        <v>6</v>
      </c>
      <c r="F7942" t="s">
        <v>10103</v>
      </c>
      <c r="G7942" t="s">
        <v>10021</v>
      </c>
      <c r="H7942" s="6">
        <v>45264</v>
      </c>
      <c r="I7942">
        <f t="shared" si="248"/>
        <v>1</v>
      </c>
      <c r="J7942" t="str">
        <f t="shared" si="249"/>
        <v>Complete</v>
      </c>
      <c r="K7942">
        <f>COUNTIFS(RawData[Item], B7942,RawData[Quantity],C7942,RawData[Price Per Unit],D7942,RawData[Total Spent],E7942,RawData[Payment Method],F7942,RawData[Location],G7942,RawData[Transaction Date],H7942)</f>
        <v>1</v>
      </c>
      <c r="L7942"/>
    </row>
    <row r="7943" spans="1:12" x14ac:dyDescent="0.3">
      <c r="A7943" t="s">
        <v>7949</v>
      </c>
      <c r="B7943" t="s">
        <v>10016</v>
      </c>
      <c r="C7943">
        <v>3</v>
      </c>
      <c r="D7943">
        <v>3</v>
      </c>
      <c r="E7943">
        <v>9</v>
      </c>
      <c r="F7943" t="s">
        <v>10018</v>
      </c>
      <c r="G7943" t="s">
        <v>10021</v>
      </c>
      <c r="H7943" s="6">
        <v>45175</v>
      </c>
      <c r="I7943">
        <f t="shared" si="248"/>
        <v>0</v>
      </c>
      <c r="J7943" t="str">
        <f t="shared" si="249"/>
        <v>Complete</v>
      </c>
      <c r="K7943">
        <f>COUNTIFS(RawData[Item], B7943,RawData[Quantity],C7943,RawData[Price Per Unit],D7943,RawData[Total Spent],E7943,RawData[Payment Method],F7943,RawData[Location],G7943,RawData[Transaction Date],H7943)</f>
        <v>1</v>
      </c>
      <c r="L7943"/>
    </row>
    <row r="7944" spans="1:12" x14ac:dyDescent="0.3">
      <c r="A7944" t="s">
        <v>7950</v>
      </c>
      <c r="B7944" t="s">
        <v>10014</v>
      </c>
      <c r="C7944">
        <v>1</v>
      </c>
      <c r="D7944">
        <v>4</v>
      </c>
      <c r="E7944">
        <v>4</v>
      </c>
      <c r="F7944" t="s">
        <v>10018</v>
      </c>
      <c r="G7944" t="s">
        <v>10102</v>
      </c>
      <c r="H7944" s="6">
        <v>45124</v>
      </c>
      <c r="I7944">
        <f t="shared" si="248"/>
        <v>0</v>
      </c>
      <c r="J7944" t="str">
        <f t="shared" si="249"/>
        <v>Complete</v>
      </c>
      <c r="K7944">
        <f>COUNTIFS(RawData[Item], B7944,RawData[Quantity],C7944,RawData[Price Per Unit],D7944,RawData[Total Spent],E7944,RawData[Payment Method],F7944,RawData[Location],G7944,RawData[Transaction Date],H7944)</f>
        <v>2</v>
      </c>
      <c r="L7944"/>
    </row>
    <row r="7945" spans="1:12" x14ac:dyDescent="0.3">
      <c r="A7945" t="s">
        <v>7951</v>
      </c>
      <c r="B7945" t="s">
        <v>10015</v>
      </c>
      <c r="C7945">
        <v>3</v>
      </c>
      <c r="D7945">
        <v>4</v>
      </c>
      <c r="E7945">
        <v>12</v>
      </c>
      <c r="F7945" t="s">
        <v>10069</v>
      </c>
      <c r="G7945" t="s">
        <v>10069</v>
      </c>
      <c r="H7945" s="6">
        <v>44940</v>
      </c>
      <c r="I7945">
        <f t="shared" si="248"/>
        <v>1</v>
      </c>
      <c r="J7945" t="str">
        <f t="shared" si="249"/>
        <v>Complete</v>
      </c>
      <c r="K7945">
        <f>COUNTIFS(RawData[Item], B7945,RawData[Quantity],C7945,RawData[Price Per Unit],D7945,RawData[Total Spent],E7945,RawData[Payment Method],F7945,RawData[Location],G7945,RawData[Transaction Date],H7945)</f>
        <v>1</v>
      </c>
      <c r="L7945"/>
    </row>
    <row r="7946" spans="1:12" x14ac:dyDescent="0.3">
      <c r="A7946" t="s">
        <v>7952</v>
      </c>
      <c r="B7946" t="s">
        <v>10011</v>
      </c>
      <c r="C7946">
        <v>5</v>
      </c>
      <c r="D7946">
        <v>5</v>
      </c>
      <c r="E7946">
        <v>25</v>
      </c>
      <c r="F7946" t="s">
        <v>10019</v>
      </c>
      <c r="G7946" t="s">
        <v>10021</v>
      </c>
      <c r="H7946" s="6">
        <v>45036</v>
      </c>
      <c r="I7946">
        <f t="shared" si="248"/>
        <v>0</v>
      </c>
      <c r="J7946" t="str">
        <f t="shared" si="249"/>
        <v>Complete</v>
      </c>
      <c r="K7946">
        <f>COUNTIFS(RawData[Item], B7946,RawData[Quantity],C7946,RawData[Price Per Unit],D7946,RawData[Total Spent],E7946,RawData[Payment Method],F7946,RawData[Location],G7946,RawData[Transaction Date],H7946)</f>
        <v>1</v>
      </c>
      <c r="L7946"/>
    </row>
    <row r="7947" spans="1:12" x14ac:dyDescent="0.3">
      <c r="A7947" t="s">
        <v>7953</v>
      </c>
      <c r="B7947" t="s">
        <v>10012</v>
      </c>
      <c r="C7947">
        <v>2</v>
      </c>
      <c r="D7947">
        <v>0</v>
      </c>
      <c r="E7947">
        <v>8</v>
      </c>
      <c r="F7947" t="s">
        <v>10069</v>
      </c>
      <c r="G7947" t="s">
        <v>10102</v>
      </c>
      <c r="H7947" s="6">
        <v>45217</v>
      </c>
      <c r="I7947">
        <f t="shared" si="248"/>
        <v>0</v>
      </c>
      <c r="J7947" t="str">
        <f t="shared" si="249"/>
        <v>Complete</v>
      </c>
      <c r="K7947">
        <f>COUNTIFS(RawData[Item], B7947,RawData[Quantity],C7947,RawData[Price Per Unit],D7947,RawData[Total Spent],E7947,RawData[Payment Method],F7947,RawData[Location],G7947,RawData[Transaction Date],H7947)</f>
        <v>1</v>
      </c>
      <c r="L7947"/>
    </row>
    <row r="7948" spans="1:12" x14ac:dyDescent="0.3">
      <c r="A7948" t="s">
        <v>7954</v>
      </c>
      <c r="B7948" t="s">
        <v>10009</v>
      </c>
      <c r="C7948">
        <v>5</v>
      </c>
      <c r="D7948">
        <v>3</v>
      </c>
      <c r="E7948">
        <v>15</v>
      </c>
      <c r="F7948" t="s">
        <v>10069</v>
      </c>
      <c r="G7948" t="s">
        <v>10069</v>
      </c>
      <c r="H7948" s="6">
        <v>45150</v>
      </c>
      <c r="I7948">
        <f t="shared" si="248"/>
        <v>0</v>
      </c>
      <c r="J7948" t="str">
        <f t="shared" si="249"/>
        <v>Complete</v>
      </c>
      <c r="K7948">
        <f>COUNTIFS(RawData[Item], B7948,RawData[Quantity],C7948,RawData[Price Per Unit],D7948,RawData[Total Spent],E7948,RawData[Payment Method],F7948,RawData[Location],G7948,RawData[Transaction Date],H7948)</f>
        <v>1</v>
      </c>
      <c r="L7948"/>
    </row>
    <row r="7949" spans="1:12" x14ac:dyDescent="0.3">
      <c r="A7949" t="s">
        <v>7955</v>
      </c>
      <c r="B7949" t="s">
        <v>10008</v>
      </c>
      <c r="C7949">
        <v>1</v>
      </c>
      <c r="D7949">
        <v>2</v>
      </c>
      <c r="E7949">
        <v>2</v>
      </c>
      <c r="F7949" t="s">
        <v>10069</v>
      </c>
      <c r="G7949" t="s">
        <v>10021</v>
      </c>
      <c r="H7949" s="6">
        <v>45088</v>
      </c>
      <c r="I7949">
        <f t="shared" si="248"/>
        <v>0</v>
      </c>
      <c r="J7949" t="str">
        <f t="shared" si="249"/>
        <v>Complete</v>
      </c>
      <c r="K7949">
        <f>COUNTIFS(RawData[Item], B7949,RawData[Quantity],C7949,RawData[Price Per Unit],D7949,RawData[Total Spent],E7949,RawData[Payment Method],F7949,RawData[Location],G7949,RawData[Transaction Date],H7949)</f>
        <v>1</v>
      </c>
      <c r="L7949"/>
    </row>
    <row r="7950" spans="1:12" x14ac:dyDescent="0.3">
      <c r="A7950" t="s">
        <v>7956</v>
      </c>
      <c r="B7950" t="s">
        <v>10008</v>
      </c>
      <c r="C7950">
        <v>1</v>
      </c>
      <c r="D7950">
        <v>2</v>
      </c>
      <c r="E7950">
        <v>2</v>
      </c>
      <c r="F7950" t="s">
        <v>10103</v>
      </c>
      <c r="G7950" t="s">
        <v>10069</v>
      </c>
      <c r="H7950" s="6">
        <v>45012</v>
      </c>
      <c r="I7950">
        <f t="shared" si="248"/>
        <v>1</v>
      </c>
      <c r="J7950" t="str">
        <f t="shared" si="249"/>
        <v>Complete</v>
      </c>
      <c r="K7950">
        <f>COUNTIFS(RawData[Item], B7950,RawData[Quantity],C7950,RawData[Price Per Unit],D7950,RawData[Total Spent],E7950,RawData[Payment Method],F7950,RawData[Location],G7950,RawData[Transaction Date],H7950)</f>
        <v>1</v>
      </c>
      <c r="L7950"/>
    </row>
    <row r="7951" spans="1:12" x14ac:dyDescent="0.3">
      <c r="A7951" t="s">
        <v>7957</v>
      </c>
      <c r="B7951" t="s">
        <v>10009</v>
      </c>
      <c r="C7951">
        <v>3</v>
      </c>
      <c r="D7951">
        <v>3</v>
      </c>
      <c r="E7951">
        <v>9</v>
      </c>
      <c r="F7951" t="s">
        <v>10069</v>
      </c>
      <c r="G7951" t="s">
        <v>10021</v>
      </c>
      <c r="H7951" s="6">
        <v>45004</v>
      </c>
      <c r="I7951">
        <f t="shared" si="248"/>
        <v>0</v>
      </c>
      <c r="J7951" t="str">
        <f t="shared" si="249"/>
        <v>Complete</v>
      </c>
      <c r="K7951">
        <f>COUNTIFS(RawData[Item], B7951,RawData[Quantity],C7951,RawData[Price Per Unit],D7951,RawData[Total Spent],E7951,RawData[Payment Method],F7951,RawData[Location],G7951,RawData[Transaction Date],H7951)</f>
        <v>1</v>
      </c>
      <c r="L7951"/>
    </row>
    <row r="7952" spans="1:12" x14ac:dyDescent="0.3">
      <c r="A7952" t="s">
        <v>7958</v>
      </c>
      <c r="B7952" t="s">
        <v>10017</v>
      </c>
      <c r="C7952">
        <v>2</v>
      </c>
      <c r="D7952">
        <v>1.5</v>
      </c>
      <c r="E7952">
        <v>3</v>
      </c>
      <c r="F7952" t="s">
        <v>10069</v>
      </c>
      <c r="G7952" t="s">
        <v>10103</v>
      </c>
      <c r="H7952" s="6">
        <v>45154</v>
      </c>
      <c r="I7952">
        <f t="shared" si="248"/>
        <v>1</v>
      </c>
      <c r="J7952" t="str">
        <f t="shared" si="249"/>
        <v>Complete</v>
      </c>
      <c r="K7952">
        <f>COUNTIFS(RawData[Item], B7952,RawData[Quantity],C7952,RawData[Price Per Unit],D7952,RawData[Total Spent],E7952,RawData[Payment Method],F7952,RawData[Location],G7952,RawData[Transaction Date],H7952)</f>
        <v>1</v>
      </c>
      <c r="L7952"/>
    </row>
    <row r="7953" spans="1:12" x14ac:dyDescent="0.3">
      <c r="A7953" t="s">
        <v>7959</v>
      </c>
      <c r="B7953" t="s">
        <v>10069</v>
      </c>
      <c r="C7953" t="s">
        <v>10013</v>
      </c>
      <c r="D7953">
        <v>4</v>
      </c>
      <c r="E7953">
        <v>12</v>
      </c>
      <c r="F7953" t="s">
        <v>10020</v>
      </c>
      <c r="G7953" t="s">
        <v>10069</v>
      </c>
      <c r="H7953" s="6">
        <v>45173</v>
      </c>
      <c r="I7953">
        <f t="shared" si="248"/>
        <v>1</v>
      </c>
      <c r="J7953" t="str">
        <f t="shared" si="249"/>
        <v>Complete</v>
      </c>
      <c r="K7953">
        <f>COUNTIFS(RawData[Item], B7953,RawData[Quantity],C7953,RawData[Price Per Unit],D7953,RawData[Total Spent],E7953,RawData[Payment Method],F7953,RawData[Location],G7953,RawData[Transaction Date],H7953)</f>
        <v>1</v>
      </c>
      <c r="L7953"/>
    </row>
    <row r="7954" spans="1:12" x14ac:dyDescent="0.3">
      <c r="A7954" t="s">
        <v>7960</v>
      </c>
      <c r="B7954" t="s">
        <v>10017</v>
      </c>
      <c r="C7954">
        <v>5</v>
      </c>
      <c r="D7954">
        <v>1.5</v>
      </c>
      <c r="E7954">
        <v>7.5</v>
      </c>
      <c r="F7954" t="s">
        <v>10104</v>
      </c>
      <c r="G7954" t="s">
        <v>10069</v>
      </c>
      <c r="H7954" s="6">
        <v>45000</v>
      </c>
      <c r="I7954">
        <f t="shared" si="248"/>
        <v>1</v>
      </c>
      <c r="J7954" t="str">
        <f t="shared" si="249"/>
        <v>Complete</v>
      </c>
      <c r="K7954">
        <f>COUNTIFS(RawData[Item], B7954,RawData[Quantity],C7954,RawData[Price Per Unit],D7954,RawData[Total Spent],E7954,RawData[Payment Method],F7954,RawData[Location],G7954,RawData[Transaction Date],H7954)</f>
        <v>1</v>
      </c>
      <c r="L7954"/>
    </row>
    <row r="7955" spans="1:12" x14ac:dyDescent="0.3">
      <c r="A7955" t="s">
        <v>7961</v>
      </c>
      <c r="B7955" t="s">
        <v>10010</v>
      </c>
      <c r="C7955">
        <v>2</v>
      </c>
      <c r="D7955">
        <v>1</v>
      </c>
      <c r="E7955">
        <v>2</v>
      </c>
      <c r="F7955" t="s">
        <v>10069</v>
      </c>
      <c r="G7955" t="s">
        <v>10069</v>
      </c>
      <c r="H7955" s="6">
        <v>45089</v>
      </c>
      <c r="I7955">
        <f t="shared" si="248"/>
        <v>0</v>
      </c>
      <c r="J7955" t="str">
        <f t="shared" si="249"/>
        <v>Complete</v>
      </c>
      <c r="K7955">
        <f>COUNTIFS(RawData[Item], B7955,RawData[Quantity],C7955,RawData[Price Per Unit],D7955,RawData[Total Spent],E7955,RawData[Payment Method],F7955,RawData[Location],G7955,RawData[Transaction Date],H7955)</f>
        <v>1</v>
      </c>
      <c r="L7955"/>
    </row>
    <row r="7956" spans="1:12" x14ac:dyDescent="0.3">
      <c r="A7956" t="s">
        <v>7962</v>
      </c>
      <c r="B7956" t="s">
        <v>10010</v>
      </c>
      <c r="C7956">
        <v>5</v>
      </c>
      <c r="D7956">
        <v>1</v>
      </c>
      <c r="E7956">
        <v>5</v>
      </c>
      <c r="F7956" t="s">
        <v>10069</v>
      </c>
      <c r="G7956" t="s">
        <v>10069</v>
      </c>
      <c r="H7956" s="6">
        <v>45113</v>
      </c>
      <c r="I7956">
        <f t="shared" si="248"/>
        <v>0</v>
      </c>
      <c r="J7956" t="str">
        <f t="shared" si="249"/>
        <v>Complete</v>
      </c>
      <c r="K7956">
        <f>COUNTIFS(RawData[Item], B7956,RawData[Quantity],C7956,RawData[Price Per Unit],D7956,RawData[Total Spent],E7956,RawData[Payment Method],F7956,RawData[Location],G7956,RawData[Transaction Date],H7956)</f>
        <v>1</v>
      </c>
      <c r="L7956"/>
    </row>
    <row r="7957" spans="1:12" x14ac:dyDescent="0.3">
      <c r="A7957" t="s">
        <v>7963</v>
      </c>
      <c r="B7957" t="s">
        <v>10016</v>
      </c>
      <c r="C7957">
        <v>2</v>
      </c>
      <c r="D7957">
        <v>3</v>
      </c>
      <c r="E7957">
        <v>6</v>
      </c>
      <c r="F7957" t="s">
        <v>10018</v>
      </c>
      <c r="G7957" t="s">
        <v>10102</v>
      </c>
      <c r="H7957" s="6">
        <v>45094</v>
      </c>
      <c r="I7957">
        <f t="shared" si="248"/>
        <v>0</v>
      </c>
      <c r="J7957" t="str">
        <f t="shared" si="249"/>
        <v>Complete</v>
      </c>
      <c r="K7957">
        <f>COUNTIFS(RawData[Item], B7957,RawData[Quantity],C7957,RawData[Price Per Unit],D7957,RawData[Total Spent],E7957,RawData[Payment Method],F7957,RawData[Location],G7957,RawData[Transaction Date],H7957)</f>
        <v>1</v>
      </c>
      <c r="L7957"/>
    </row>
    <row r="7958" spans="1:12" x14ac:dyDescent="0.3">
      <c r="A7958" t="s">
        <v>7964</v>
      </c>
      <c r="B7958" t="s">
        <v>10009</v>
      </c>
      <c r="C7958">
        <v>3</v>
      </c>
      <c r="D7958">
        <v>3</v>
      </c>
      <c r="E7958">
        <v>9</v>
      </c>
      <c r="F7958" t="s">
        <v>10019</v>
      </c>
      <c r="G7958" t="s">
        <v>10103</v>
      </c>
      <c r="H7958" s="6">
        <v>45051</v>
      </c>
      <c r="I7958">
        <f t="shared" si="248"/>
        <v>1</v>
      </c>
      <c r="J7958" t="str">
        <f t="shared" si="249"/>
        <v>Complete</v>
      </c>
      <c r="K7958">
        <f>COUNTIFS(RawData[Item], B7958,RawData[Quantity],C7958,RawData[Price Per Unit],D7958,RawData[Total Spent],E7958,RawData[Payment Method],F7958,RawData[Location],G7958,RawData[Transaction Date],H7958)</f>
        <v>1</v>
      </c>
      <c r="L7958"/>
    </row>
    <row r="7959" spans="1:12" x14ac:dyDescent="0.3">
      <c r="A7959" t="s">
        <v>7965</v>
      </c>
      <c r="B7959" t="s">
        <v>10011</v>
      </c>
      <c r="C7959">
        <v>2</v>
      </c>
      <c r="D7959">
        <v>5</v>
      </c>
      <c r="E7959">
        <v>10</v>
      </c>
      <c r="F7959" t="s">
        <v>10069</v>
      </c>
      <c r="G7959" t="s">
        <v>10069</v>
      </c>
      <c r="H7959" s="6">
        <v>45095</v>
      </c>
      <c r="I7959">
        <f t="shared" si="248"/>
        <v>0</v>
      </c>
      <c r="J7959" t="str">
        <f t="shared" si="249"/>
        <v>Complete</v>
      </c>
      <c r="K7959">
        <f>COUNTIFS(RawData[Item], B7959,RawData[Quantity],C7959,RawData[Price Per Unit],D7959,RawData[Total Spent],E7959,RawData[Payment Method],F7959,RawData[Location],G7959,RawData[Transaction Date],H7959)</f>
        <v>1</v>
      </c>
      <c r="L7959"/>
    </row>
    <row r="7960" spans="1:12" x14ac:dyDescent="0.3">
      <c r="A7960" t="s">
        <v>7966</v>
      </c>
      <c r="B7960" t="s">
        <v>10009</v>
      </c>
      <c r="C7960">
        <v>5</v>
      </c>
      <c r="D7960">
        <v>3</v>
      </c>
      <c r="E7960">
        <v>15</v>
      </c>
      <c r="F7960" t="s">
        <v>10018</v>
      </c>
      <c r="G7960" t="s">
        <v>10102</v>
      </c>
      <c r="H7960" s="6">
        <v>45254</v>
      </c>
      <c r="I7960">
        <f t="shared" si="248"/>
        <v>0</v>
      </c>
      <c r="J7960" t="str">
        <f t="shared" si="249"/>
        <v>Complete</v>
      </c>
      <c r="K7960">
        <f>COUNTIFS(RawData[Item], B7960,RawData[Quantity],C7960,RawData[Price Per Unit],D7960,RawData[Total Spent],E7960,RawData[Payment Method],F7960,RawData[Location],G7960,RawData[Transaction Date],H7960)</f>
        <v>1</v>
      </c>
      <c r="L7960"/>
    </row>
    <row r="7961" spans="1:12" x14ac:dyDescent="0.3">
      <c r="A7961" t="s">
        <v>7967</v>
      </c>
      <c r="B7961" t="s">
        <v>10009</v>
      </c>
      <c r="C7961">
        <v>1</v>
      </c>
      <c r="D7961">
        <v>3</v>
      </c>
      <c r="E7961">
        <v>3</v>
      </c>
      <c r="F7961" t="s">
        <v>10018</v>
      </c>
      <c r="G7961" t="s">
        <v>10021</v>
      </c>
      <c r="H7961" s="6">
        <v>44928</v>
      </c>
      <c r="I7961">
        <f t="shared" si="248"/>
        <v>0</v>
      </c>
      <c r="J7961" t="str">
        <f t="shared" si="249"/>
        <v>Complete</v>
      </c>
      <c r="K7961">
        <f>COUNTIFS(RawData[Item], B7961,RawData[Quantity],C7961,RawData[Price Per Unit],D7961,RawData[Total Spent],E7961,RawData[Payment Method],F7961,RawData[Location],G7961,RawData[Transaction Date],H7961)</f>
        <v>1</v>
      </c>
      <c r="L7961"/>
    </row>
    <row r="7962" spans="1:12" x14ac:dyDescent="0.3">
      <c r="A7962" t="s">
        <v>7968</v>
      </c>
      <c r="B7962" t="s">
        <v>10017</v>
      </c>
      <c r="C7962">
        <v>5</v>
      </c>
      <c r="D7962">
        <v>1.5</v>
      </c>
      <c r="E7962">
        <v>7.5</v>
      </c>
      <c r="F7962" t="s">
        <v>10019</v>
      </c>
      <c r="G7962" t="s">
        <v>10021</v>
      </c>
      <c r="H7962" s="6">
        <v>44998</v>
      </c>
      <c r="I7962">
        <f t="shared" si="248"/>
        <v>0</v>
      </c>
      <c r="J7962" t="str">
        <f t="shared" si="249"/>
        <v>Complete</v>
      </c>
      <c r="K7962">
        <f>COUNTIFS(RawData[Item], B7962,RawData[Quantity],C7962,RawData[Price Per Unit],D7962,RawData[Total Spent],E7962,RawData[Payment Method],F7962,RawData[Location],G7962,RawData[Transaction Date],H7962)</f>
        <v>1</v>
      </c>
      <c r="L7962"/>
    </row>
    <row r="7963" spans="1:12" x14ac:dyDescent="0.3">
      <c r="A7963" t="s">
        <v>7969</v>
      </c>
      <c r="B7963" t="s">
        <v>10014</v>
      </c>
      <c r="C7963">
        <v>5</v>
      </c>
      <c r="D7963">
        <v>4</v>
      </c>
      <c r="E7963">
        <v>20</v>
      </c>
      <c r="F7963" t="s">
        <v>10069</v>
      </c>
      <c r="G7963" t="s">
        <v>10021</v>
      </c>
      <c r="H7963" s="6">
        <v>45003</v>
      </c>
      <c r="I7963">
        <f t="shared" si="248"/>
        <v>0</v>
      </c>
      <c r="J7963" t="str">
        <f t="shared" si="249"/>
        <v>Complete</v>
      </c>
      <c r="K7963">
        <f>COUNTIFS(RawData[Item], B7963,RawData[Quantity],C7963,RawData[Price Per Unit],D7963,RawData[Total Spent],E7963,RawData[Payment Method],F7963,RawData[Location],G7963,RawData[Transaction Date],H7963)</f>
        <v>1</v>
      </c>
      <c r="L7963"/>
    </row>
    <row r="7964" spans="1:12" x14ac:dyDescent="0.3">
      <c r="A7964" t="s">
        <v>7970</v>
      </c>
      <c r="B7964" t="s">
        <v>10016</v>
      </c>
      <c r="C7964">
        <v>2</v>
      </c>
      <c r="D7964">
        <v>3</v>
      </c>
      <c r="E7964">
        <v>6</v>
      </c>
      <c r="F7964" t="s">
        <v>10069</v>
      </c>
      <c r="G7964" t="s">
        <v>10102</v>
      </c>
      <c r="H7964" s="6">
        <v>44961</v>
      </c>
      <c r="I7964">
        <f t="shared" si="248"/>
        <v>0</v>
      </c>
      <c r="J7964" t="str">
        <f t="shared" si="249"/>
        <v>Complete</v>
      </c>
      <c r="K7964">
        <f>COUNTIFS(RawData[Item], B7964,RawData[Quantity],C7964,RawData[Price Per Unit],D7964,RawData[Total Spent],E7964,RawData[Payment Method],F7964,RawData[Location],G7964,RawData[Transaction Date],H7964)</f>
        <v>1</v>
      </c>
      <c r="L7964"/>
    </row>
    <row r="7965" spans="1:12" x14ac:dyDescent="0.3">
      <c r="A7965" t="s">
        <v>7971</v>
      </c>
      <c r="B7965" t="s">
        <v>10010</v>
      </c>
      <c r="C7965">
        <v>3</v>
      </c>
      <c r="D7965">
        <v>1</v>
      </c>
      <c r="E7965">
        <v>3</v>
      </c>
      <c r="F7965" t="s">
        <v>10018</v>
      </c>
      <c r="G7965" t="s">
        <v>10069</v>
      </c>
      <c r="H7965" s="6">
        <v>45109</v>
      </c>
      <c r="I7965">
        <f t="shared" si="248"/>
        <v>0</v>
      </c>
      <c r="J7965" t="str">
        <f t="shared" si="249"/>
        <v>Complete</v>
      </c>
      <c r="K7965">
        <f>COUNTIFS(RawData[Item], B7965,RawData[Quantity],C7965,RawData[Price Per Unit],D7965,RawData[Total Spent],E7965,RawData[Payment Method],F7965,RawData[Location],G7965,RawData[Transaction Date],H7965)</f>
        <v>1</v>
      </c>
      <c r="L7965"/>
    </row>
    <row r="7966" spans="1:12" x14ac:dyDescent="0.3">
      <c r="A7966" t="s">
        <v>7972</v>
      </c>
      <c r="B7966" t="s">
        <v>10010</v>
      </c>
      <c r="C7966">
        <v>2</v>
      </c>
      <c r="D7966">
        <v>1</v>
      </c>
      <c r="E7966">
        <v>2</v>
      </c>
      <c r="F7966" t="s">
        <v>10069</v>
      </c>
      <c r="G7966" t="s">
        <v>10069</v>
      </c>
      <c r="H7966" s="6">
        <v>44990</v>
      </c>
      <c r="I7966">
        <f t="shared" si="248"/>
        <v>0</v>
      </c>
      <c r="J7966" t="str">
        <f t="shared" si="249"/>
        <v>Complete</v>
      </c>
      <c r="K7966">
        <f>COUNTIFS(RawData[Item], B7966,RawData[Quantity],C7966,RawData[Price Per Unit],D7966,RawData[Total Spent],E7966,RawData[Payment Method],F7966,RawData[Location],G7966,RawData[Transaction Date],H7966)</f>
        <v>1</v>
      </c>
      <c r="L7966"/>
    </row>
    <row r="7967" spans="1:12" x14ac:dyDescent="0.3">
      <c r="A7967" t="s">
        <v>7973</v>
      </c>
      <c r="B7967" t="s">
        <v>10017</v>
      </c>
      <c r="C7967">
        <v>5</v>
      </c>
      <c r="D7967">
        <v>1.5</v>
      </c>
      <c r="E7967">
        <v>7.5</v>
      </c>
      <c r="F7967" t="s">
        <v>10019</v>
      </c>
      <c r="G7967" t="s">
        <v>10021</v>
      </c>
      <c r="H7967" s="6">
        <v>45035</v>
      </c>
      <c r="I7967">
        <f t="shared" si="248"/>
        <v>0</v>
      </c>
      <c r="J7967" t="str">
        <f t="shared" si="249"/>
        <v>Complete</v>
      </c>
      <c r="K7967">
        <f>COUNTIFS(RawData[Item], B7967,RawData[Quantity],C7967,RawData[Price Per Unit],D7967,RawData[Total Spent],E7967,RawData[Payment Method],F7967,RawData[Location],G7967,RawData[Transaction Date],H7967)</f>
        <v>1</v>
      </c>
      <c r="L7967"/>
    </row>
    <row r="7968" spans="1:12" x14ac:dyDescent="0.3">
      <c r="A7968" t="s">
        <v>7974</v>
      </c>
      <c r="B7968" t="s">
        <v>10014</v>
      </c>
      <c r="C7968">
        <v>4</v>
      </c>
      <c r="D7968" t="s">
        <v>10013</v>
      </c>
      <c r="E7968">
        <v>16</v>
      </c>
      <c r="F7968" t="s">
        <v>10018</v>
      </c>
      <c r="G7968" t="s">
        <v>10021</v>
      </c>
      <c r="H7968" s="6">
        <v>45047</v>
      </c>
      <c r="I7968">
        <f t="shared" si="248"/>
        <v>1</v>
      </c>
      <c r="J7968" t="str">
        <f t="shared" si="249"/>
        <v>Complete</v>
      </c>
      <c r="K7968">
        <f>COUNTIFS(RawData[Item], B7968,RawData[Quantity],C7968,RawData[Price Per Unit],D7968,RawData[Total Spent],E7968,RawData[Payment Method],F7968,RawData[Location],G7968,RawData[Transaction Date],H7968)</f>
        <v>1</v>
      </c>
      <c r="L7968"/>
    </row>
    <row r="7969" spans="1:12" x14ac:dyDescent="0.3">
      <c r="A7969" t="s">
        <v>7975</v>
      </c>
      <c r="B7969" t="s">
        <v>10008</v>
      </c>
      <c r="C7969">
        <v>5</v>
      </c>
      <c r="D7969">
        <v>2</v>
      </c>
      <c r="E7969">
        <v>10</v>
      </c>
      <c r="F7969" t="s">
        <v>10103</v>
      </c>
      <c r="G7969" t="s">
        <v>10069</v>
      </c>
      <c r="H7969" s="6">
        <v>45045</v>
      </c>
      <c r="I7969">
        <f t="shared" si="248"/>
        <v>1</v>
      </c>
      <c r="J7969" t="str">
        <f t="shared" si="249"/>
        <v>Complete</v>
      </c>
      <c r="K7969">
        <f>COUNTIFS(RawData[Item], B7969,RawData[Quantity],C7969,RawData[Price Per Unit],D7969,RawData[Total Spent],E7969,RawData[Payment Method],F7969,RawData[Location],G7969,RawData[Transaction Date],H7969)</f>
        <v>1</v>
      </c>
      <c r="L7969"/>
    </row>
    <row r="7970" spans="1:12" x14ac:dyDescent="0.3">
      <c r="A7970" t="s">
        <v>7976</v>
      </c>
      <c r="B7970" t="s">
        <v>10008</v>
      </c>
      <c r="C7970">
        <v>2</v>
      </c>
      <c r="D7970">
        <v>2</v>
      </c>
      <c r="E7970">
        <v>4</v>
      </c>
      <c r="F7970" t="s">
        <v>10018</v>
      </c>
      <c r="G7970" t="s">
        <v>10102</v>
      </c>
      <c r="H7970" s="6">
        <v>45085</v>
      </c>
      <c r="I7970">
        <f t="shared" si="248"/>
        <v>0</v>
      </c>
      <c r="J7970" t="str">
        <f t="shared" si="249"/>
        <v>Complete</v>
      </c>
      <c r="K7970">
        <f>COUNTIFS(RawData[Item], B7970,RawData[Quantity],C7970,RawData[Price Per Unit],D7970,RawData[Total Spent],E7970,RawData[Payment Method],F7970,RawData[Location],G7970,RawData[Transaction Date],H7970)</f>
        <v>1</v>
      </c>
      <c r="L7970"/>
    </row>
    <row r="7971" spans="1:12" x14ac:dyDescent="0.3">
      <c r="A7971" t="s">
        <v>7977</v>
      </c>
      <c r="B7971" t="s">
        <v>10010</v>
      </c>
      <c r="C7971">
        <v>2</v>
      </c>
      <c r="D7971">
        <v>1</v>
      </c>
      <c r="E7971">
        <v>2</v>
      </c>
      <c r="F7971" t="s">
        <v>10019</v>
      </c>
      <c r="G7971" t="s">
        <v>10069</v>
      </c>
      <c r="H7971" s="6">
        <v>45156</v>
      </c>
      <c r="I7971">
        <f t="shared" si="248"/>
        <v>0</v>
      </c>
      <c r="J7971" t="str">
        <f t="shared" si="249"/>
        <v>Complete</v>
      </c>
      <c r="K7971">
        <f>COUNTIFS(RawData[Item], B7971,RawData[Quantity],C7971,RawData[Price Per Unit],D7971,RawData[Total Spent],E7971,RawData[Payment Method],F7971,RawData[Location],G7971,RawData[Transaction Date],H7971)</f>
        <v>1</v>
      </c>
      <c r="L7971"/>
    </row>
    <row r="7972" spans="1:12" x14ac:dyDescent="0.3">
      <c r="A7972" t="s">
        <v>7978</v>
      </c>
      <c r="B7972" t="s">
        <v>10010</v>
      </c>
      <c r="C7972">
        <v>5</v>
      </c>
      <c r="D7972">
        <v>1</v>
      </c>
      <c r="E7972">
        <v>5</v>
      </c>
      <c r="F7972" t="s">
        <v>10020</v>
      </c>
      <c r="G7972" t="s">
        <v>10069</v>
      </c>
      <c r="H7972" s="6">
        <v>45233</v>
      </c>
      <c r="I7972">
        <f t="shared" si="248"/>
        <v>0</v>
      </c>
      <c r="J7972" t="str">
        <f t="shared" si="249"/>
        <v>Complete</v>
      </c>
      <c r="K7972">
        <f>COUNTIFS(RawData[Item], B7972,RawData[Quantity],C7972,RawData[Price Per Unit],D7972,RawData[Total Spent],E7972,RawData[Payment Method],F7972,RawData[Location],G7972,RawData[Transaction Date],H7972)</f>
        <v>1</v>
      </c>
      <c r="L7972"/>
    </row>
    <row r="7973" spans="1:12" x14ac:dyDescent="0.3">
      <c r="A7973" t="s">
        <v>7979</v>
      </c>
      <c r="B7973" t="s">
        <v>10015</v>
      </c>
      <c r="C7973">
        <v>2</v>
      </c>
      <c r="D7973">
        <v>3</v>
      </c>
      <c r="E7973">
        <v>6</v>
      </c>
      <c r="F7973" t="s">
        <v>10019</v>
      </c>
      <c r="G7973" t="s">
        <v>10021</v>
      </c>
      <c r="H7973" s="6">
        <v>45036</v>
      </c>
      <c r="I7973">
        <f t="shared" si="248"/>
        <v>1</v>
      </c>
      <c r="J7973" t="str">
        <f t="shared" si="249"/>
        <v>Complete</v>
      </c>
      <c r="K7973">
        <f>COUNTIFS(RawData[Item], B7973,RawData[Quantity],C7973,RawData[Price Per Unit],D7973,RawData[Total Spent],E7973,RawData[Payment Method],F7973,RawData[Location],G7973,RawData[Transaction Date],H7973)</f>
        <v>1</v>
      </c>
      <c r="L7973"/>
    </row>
    <row r="7974" spans="1:12" x14ac:dyDescent="0.3">
      <c r="A7974" t="s">
        <v>7980</v>
      </c>
      <c r="B7974" t="s">
        <v>10016</v>
      </c>
      <c r="C7974">
        <v>4</v>
      </c>
      <c r="D7974">
        <v>3</v>
      </c>
      <c r="E7974">
        <v>12</v>
      </c>
      <c r="F7974" t="s">
        <v>10069</v>
      </c>
      <c r="G7974" t="s">
        <v>10069</v>
      </c>
      <c r="H7974" s="6">
        <v>45276</v>
      </c>
      <c r="I7974">
        <f t="shared" si="248"/>
        <v>0</v>
      </c>
      <c r="J7974" t="str">
        <f t="shared" si="249"/>
        <v>Complete</v>
      </c>
      <c r="K7974">
        <f>COUNTIFS(RawData[Item], B7974,RawData[Quantity],C7974,RawData[Price Per Unit],D7974,RawData[Total Spent],E7974,RawData[Payment Method],F7974,RawData[Location],G7974,RawData[Transaction Date],H7974)</f>
        <v>1</v>
      </c>
      <c r="L7974"/>
    </row>
    <row r="7975" spans="1:12" x14ac:dyDescent="0.3">
      <c r="A7975" t="s">
        <v>7981</v>
      </c>
      <c r="B7975" t="s">
        <v>10008</v>
      </c>
      <c r="C7975">
        <v>4</v>
      </c>
      <c r="D7975">
        <v>2</v>
      </c>
      <c r="E7975">
        <v>8</v>
      </c>
      <c r="F7975" t="s">
        <v>10069</v>
      </c>
      <c r="G7975" t="s">
        <v>10069</v>
      </c>
      <c r="H7975" s="6">
        <v>45268</v>
      </c>
      <c r="I7975">
        <f t="shared" si="248"/>
        <v>0</v>
      </c>
      <c r="J7975" t="str">
        <f t="shared" si="249"/>
        <v>Complete</v>
      </c>
      <c r="K7975">
        <f>COUNTIFS(RawData[Item], B7975,RawData[Quantity],C7975,RawData[Price Per Unit],D7975,RawData[Total Spent],E7975,RawData[Payment Method],F7975,RawData[Location],G7975,RawData[Transaction Date],H7975)</f>
        <v>1</v>
      </c>
      <c r="L7975"/>
    </row>
    <row r="7976" spans="1:12" x14ac:dyDescent="0.3">
      <c r="A7976" t="s">
        <v>7982</v>
      </c>
      <c r="B7976" t="s">
        <v>10014</v>
      </c>
      <c r="C7976" t="s">
        <v>10015</v>
      </c>
      <c r="D7976">
        <v>4</v>
      </c>
      <c r="E7976">
        <v>12</v>
      </c>
      <c r="F7976" t="s">
        <v>10019</v>
      </c>
      <c r="G7976" t="s">
        <v>10021</v>
      </c>
      <c r="H7976" s="6">
        <v>44943</v>
      </c>
      <c r="I7976">
        <f t="shared" si="248"/>
        <v>1</v>
      </c>
      <c r="J7976" t="str">
        <f t="shared" si="249"/>
        <v>Complete</v>
      </c>
      <c r="K7976">
        <f>COUNTIFS(RawData[Item], B7976,RawData[Quantity],C7976,RawData[Price Per Unit],D7976,RawData[Total Spent],E7976,RawData[Payment Method],F7976,RawData[Location],G7976,RawData[Transaction Date],H7976)</f>
        <v>1</v>
      </c>
      <c r="L7976"/>
    </row>
    <row r="7977" spans="1:12" x14ac:dyDescent="0.3">
      <c r="A7977" t="s">
        <v>7983</v>
      </c>
      <c r="B7977" t="s">
        <v>10009</v>
      </c>
      <c r="C7977">
        <v>4</v>
      </c>
      <c r="D7977">
        <v>3</v>
      </c>
      <c r="E7977">
        <v>12</v>
      </c>
      <c r="F7977" t="s">
        <v>10019</v>
      </c>
      <c r="G7977" t="s">
        <v>10021</v>
      </c>
      <c r="H7977" s="6">
        <v>45143</v>
      </c>
      <c r="I7977">
        <f t="shared" si="248"/>
        <v>0</v>
      </c>
      <c r="J7977" t="str">
        <f t="shared" si="249"/>
        <v>Complete</v>
      </c>
      <c r="K7977">
        <f>COUNTIFS(RawData[Item], B7977,RawData[Quantity],C7977,RawData[Price Per Unit],D7977,RawData[Total Spent],E7977,RawData[Payment Method],F7977,RawData[Location],G7977,RawData[Transaction Date],H7977)</f>
        <v>1</v>
      </c>
      <c r="L7977"/>
    </row>
    <row r="7978" spans="1:12" x14ac:dyDescent="0.3">
      <c r="A7978" t="s">
        <v>7984</v>
      </c>
      <c r="B7978" t="s">
        <v>10016</v>
      </c>
      <c r="C7978">
        <v>5</v>
      </c>
      <c r="D7978">
        <v>3</v>
      </c>
      <c r="E7978">
        <v>15</v>
      </c>
      <c r="F7978" t="s">
        <v>10020</v>
      </c>
      <c r="G7978" t="s">
        <v>10069</v>
      </c>
      <c r="H7978" s="6">
        <v>45265</v>
      </c>
      <c r="I7978">
        <f t="shared" si="248"/>
        <v>0</v>
      </c>
      <c r="J7978" t="str">
        <f t="shared" si="249"/>
        <v>Complete</v>
      </c>
      <c r="K7978">
        <f>COUNTIFS(RawData[Item], B7978,RawData[Quantity],C7978,RawData[Price Per Unit],D7978,RawData[Total Spent],E7978,RawData[Payment Method],F7978,RawData[Location],G7978,RawData[Transaction Date],H7978)</f>
        <v>1</v>
      </c>
      <c r="L7978"/>
    </row>
    <row r="7979" spans="1:12" x14ac:dyDescent="0.3">
      <c r="A7979" t="s">
        <v>7985</v>
      </c>
      <c r="B7979" t="s">
        <v>10010</v>
      </c>
      <c r="C7979">
        <v>4</v>
      </c>
      <c r="D7979">
        <v>1</v>
      </c>
      <c r="E7979">
        <v>4</v>
      </c>
      <c r="F7979" t="s">
        <v>10019</v>
      </c>
      <c r="G7979" t="s">
        <v>10021</v>
      </c>
      <c r="H7979" s="6">
        <v>45110</v>
      </c>
      <c r="I7979">
        <f t="shared" si="248"/>
        <v>0</v>
      </c>
      <c r="J7979" t="str">
        <f t="shared" si="249"/>
        <v>Complete</v>
      </c>
      <c r="K7979">
        <f>COUNTIFS(RawData[Item], B7979,RawData[Quantity],C7979,RawData[Price Per Unit],D7979,RawData[Total Spent],E7979,RawData[Payment Method],F7979,RawData[Location],G7979,RawData[Transaction Date],H7979)</f>
        <v>1</v>
      </c>
      <c r="L7979"/>
    </row>
    <row r="7980" spans="1:12" x14ac:dyDescent="0.3">
      <c r="A7980" t="s">
        <v>7986</v>
      </c>
      <c r="B7980" t="s">
        <v>10014</v>
      </c>
      <c r="C7980">
        <v>5</v>
      </c>
      <c r="D7980">
        <v>4</v>
      </c>
      <c r="E7980">
        <v>20</v>
      </c>
      <c r="F7980" t="s">
        <v>10069</v>
      </c>
      <c r="G7980" t="s">
        <v>10021</v>
      </c>
      <c r="H7980" s="6">
        <v>45250</v>
      </c>
      <c r="I7980">
        <f t="shared" si="248"/>
        <v>0</v>
      </c>
      <c r="J7980" t="str">
        <f t="shared" si="249"/>
        <v>Complete</v>
      </c>
      <c r="K7980">
        <f>COUNTIFS(RawData[Item], B7980,RawData[Quantity],C7980,RawData[Price Per Unit],D7980,RawData[Total Spent],E7980,RawData[Payment Method],F7980,RawData[Location],G7980,RawData[Transaction Date],H7980)</f>
        <v>1</v>
      </c>
      <c r="L7980"/>
    </row>
    <row r="7981" spans="1:12" x14ac:dyDescent="0.3">
      <c r="A7981" t="s">
        <v>7987</v>
      </c>
      <c r="B7981" t="s">
        <v>10011</v>
      </c>
      <c r="C7981">
        <v>3</v>
      </c>
      <c r="D7981">
        <v>5</v>
      </c>
      <c r="E7981">
        <v>15</v>
      </c>
      <c r="F7981" t="s">
        <v>10069</v>
      </c>
      <c r="G7981" t="s">
        <v>10021</v>
      </c>
      <c r="H7981" s="6">
        <v>45137</v>
      </c>
      <c r="I7981">
        <f t="shared" si="248"/>
        <v>0</v>
      </c>
      <c r="J7981" t="str">
        <f t="shared" si="249"/>
        <v>Complete</v>
      </c>
      <c r="K7981">
        <f>COUNTIFS(RawData[Item], B7981,RawData[Quantity],C7981,RawData[Price Per Unit],D7981,RawData[Total Spent],E7981,RawData[Payment Method],F7981,RawData[Location],G7981,RawData[Transaction Date],H7981)</f>
        <v>1</v>
      </c>
      <c r="L7981"/>
    </row>
    <row r="7982" spans="1:12" x14ac:dyDescent="0.3">
      <c r="A7982" t="s">
        <v>7988</v>
      </c>
      <c r="B7982" t="s">
        <v>10009</v>
      </c>
      <c r="C7982">
        <v>4</v>
      </c>
      <c r="D7982">
        <v>3</v>
      </c>
      <c r="E7982">
        <v>12</v>
      </c>
      <c r="F7982" t="s">
        <v>10019</v>
      </c>
      <c r="G7982" t="s">
        <v>10069</v>
      </c>
      <c r="H7982" s="6">
        <v>45083</v>
      </c>
      <c r="I7982">
        <f t="shared" si="248"/>
        <v>0</v>
      </c>
      <c r="J7982" t="str">
        <f t="shared" si="249"/>
        <v>Complete</v>
      </c>
      <c r="K7982">
        <f>COUNTIFS(RawData[Item], B7982,RawData[Quantity],C7982,RawData[Price Per Unit],D7982,RawData[Total Spent],E7982,RawData[Payment Method],F7982,RawData[Location],G7982,RawData[Transaction Date],H7982)</f>
        <v>1</v>
      </c>
      <c r="L7982"/>
    </row>
    <row r="7983" spans="1:12" x14ac:dyDescent="0.3">
      <c r="A7983" t="s">
        <v>7989</v>
      </c>
      <c r="B7983" t="s">
        <v>10012</v>
      </c>
      <c r="C7983">
        <v>1</v>
      </c>
      <c r="D7983">
        <v>4</v>
      </c>
      <c r="E7983">
        <v>4</v>
      </c>
      <c r="F7983" t="s">
        <v>10069</v>
      </c>
      <c r="G7983" t="s">
        <v>10069</v>
      </c>
      <c r="H7983" s="6">
        <v>45078</v>
      </c>
      <c r="I7983">
        <f t="shared" si="248"/>
        <v>0</v>
      </c>
      <c r="J7983" t="str">
        <f t="shared" si="249"/>
        <v>Complete</v>
      </c>
      <c r="K7983">
        <f>COUNTIFS(RawData[Item], B7983,RawData[Quantity],C7983,RawData[Price Per Unit],D7983,RawData[Total Spent],E7983,RawData[Payment Method],F7983,RawData[Location],G7983,RawData[Transaction Date],H7983)</f>
        <v>2</v>
      </c>
      <c r="L7983"/>
    </row>
    <row r="7984" spans="1:12" x14ac:dyDescent="0.3">
      <c r="A7984" t="s">
        <v>7990</v>
      </c>
      <c r="B7984" t="s">
        <v>10010</v>
      </c>
      <c r="C7984">
        <v>2</v>
      </c>
      <c r="D7984">
        <v>1</v>
      </c>
      <c r="E7984">
        <v>2</v>
      </c>
      <c r="F7984" t="s">
        <v>10069</v>
      </c>
      <c r="G7984" t="s">
        <v>10021</v>
      </c>
      <c r="H7984" s="6">
        <v>45263</v>
      </c>
      <c r="I7984">
        <f t="shared" si="248"/>
        <v>0</v>
      </c>
      <c r="J7984" t="str">
        <f t="shared" si="249"/>
        <v>Complete</v>
      </c>
      <c r="K7984">
        <f>COUNTIFS(RawData[Item], B7984,RawData[Quantity],C7984,RawData[Price Per Unit],D7984,RawData[Total Spent],E7984,RawData[Payment Method],F7984,RawData[Location],G7984,RawData[Transaction Date],H7984)</f>
        <v>1</v>
      </c>
      <c r="L7984"/>
    </row>
    <row r="7985" spans="1:12" x14ac:dyDescent="0.3">
      <c r="A7985" t="s">
        <v>7991</v>
      </c>
      <c r="B7985" t="s">
        <v>10014</v>
      </c>
      <c r="C7985">
        <v>3</v>
      </c>
      <c r="D7985">
        <v>4</v>
      </c>
      <c r="E7985">
        <v>12</v>
      </c>
      <c r="F7985" t="s">
        <v>10018</v>
      </c>
      <c r="G7985" t="s">
        <v>10069</v>
      </c>
      <c r="H7985" s="6">
        <v>44986</v>
      </c>
      <c r="I7985">
        <f t="shared" si="248"/>
        <v>0</v>
      </c>
      <c r="J7985" t="str">
        <f t="shared" si="249"/>
        <v>Complete</v>
      </c>
      <c r="K7985">
        <f>COUNTIFS(RawData[Item], B7985,RawData[Quantity],C7985,RawData[Price Per Unit],D7985,RawData[Total Spent],E7985,RawData[Payment Method],F7985,RawData[Location],G7985,RawData[Transaction Date],H7985)</f>
        <v>1</v>
      </c>
      <c r="L7985"/>
    </row>
    <row r="7986" spans="1:12" x14ac:dyDescent="0.3">
      <c r="A7986" t="s">
        <v>7992</v>
      </c>
      <c r="B7986" t="s">
        <v>10016</v>
      </c>
      <c r="C7986">
        <v>3</v>
      </c>
      <c r="D7986">
        <v>3</v>
      </c>
      <c r="E7986">
        <v>9</v>
      </c>
      <c r="F7986" t="s">
        <v>10018</v>
      </c>
      <c r="G7986" t="s">
        <v>10102</v>
      </c>
      <c r="H7986" s="6">
        <v>45161</v>
      </c>
      <c r="I7986">
        <f t="shared" si="248"/>
        <v>0</v>
      </c>
      <c r="J7986" t="str">
        <f t="shared" si="249"/>
        <v>Complete</v>
      </c>
      <c r="K7986">
        <f>COUNTIFS(RawData[Item], B7986,RawData[Quantity],C7986,RawData[Price Per Unit],D7986,RawData[Total Spent],E7986,RawData[Payment Method],F7986,RawData[Location],G7986,RawData[Transaction Date],H7986)</f>
        <v>1</v>
      </c>
      <c r="L7986"/>
    </row>
    <row r="7987" spans="1:12" x14ac:dyDescent="0.3">
      <c r="A7987" t="s">
        <v>7993</v>
      </c>
      <c r="B7987" t="s">
        <v>10008</v>
      </c>
      <c r="C7987">
        <v>3</v>
      </c>
      <c r="D7987">
        <v>2</v>
      </c>
      <c r="E7987">
        <v>6</v>
      </c>
      <c r="F7987" t="s">
        <v>10018</v>
      </c>
      <c r="G7987" t="s">
        <v>10104</v>
      </c>
      <c r="H7987" s="6">
        <v>45011</v>
      </c>
      <c r="I7987">
        <f t="shared" si="248"/>
        <v>1</v>
      </c>
      <c r="J7987" t="str">
        <f t="shared" si="249"/>
        <v>Complete</v>
      </c>
      <c r="K7987">
        <f>COUNTIFS(RawData[Item], B7987,RawData[Quantity],C7987,RawData[Price Per Unit],D7987,RawData[Total Spent],E7987,RawData[Payment Method],F7987,RawData[Location],G7987,RawData[Transaction Date],H7987)</f>
        <v>1</v>
      </c>
      <c r="L7987"/>
    </row>
    <row r="7988" spans="1:12" x14ac:dyDescent="0.3">
      <c r="A7988" t="s">
        <v>7994</v>
      </c>
      <c r="B7988" t="s">
        <v>10016</v>
      </c>
      <c r="C7988">
        <v>4</v>
      </c>
      <c r="D7988">
        <v>3</v>
      </c>
      <c r="E7988">
        <v>12</v>
      </c>
      <c r="F7988" t="s">
        <v>10069</v>
      </c>
      <c r="G7988" t="s">
        <v>10102</v>
      </c>
      <c r="H7988" s="6">
        <v>44974</v>
      </c>
      <c r="I7988">
        <f t="shared" si="248"/>
        <v>0</v>
      </c>
      <c r="J7988" t="str">
        <f t="shared" si="249"/>
        <v>Complete</v>
      </c>
      <c r="K7988">
        <f>COUNTIFS(RawData[Item], B7988,RawData[Quantity],C7988,RawData[Price Per Unit],D7988,RawData[Total Spent],E7988,RawData[Payment Method],F7988,RawData[Location],G7988,RawData[Transaction Date],H7988)</f>
        <v>1</v>
      </c>
      <c r="L7988"/>
    </row>
    <row r="7989" spans="1:12" x14ac:dyDescent="0.3">
      <c r="A7989" t="s">
        <v>7995</v>
      </c>
      <c r="B7989" t="s">
        <v>10016</v>
      </c>
      <c r="C7989">
        <v>4</v>
      </c>
      <c r="D7989" t="s">
        <v>10015</v>
      </c>
      <c r="E7989">
        <v>12</v>
      </c>
      <c r="F7989" t="s">
        <v>10019</v>
      </c>
      <c r="G7989" t="s">
        <v>10069</v>
      </c>
      <c r="H7989" s="6">
        <v>44953</v>
      </c>
      <c r="I7989">
        <f t="shared" si="248"/>
        <v>1</v>
      </c>
      <c r="J7989" t="str">
        <f t="shared" si="249"/>
        <v>Complete</v>
      </c>
      <c r="K7989">
        <f>COUNTIFS(RawData[Item], B7989,RawData[Quantity],C7989,RawData[Price Per Unit],D7989,RawData[Total Spent],E7989,RawData[Payment Method],F7989,RawData[Location],G7989,RawData[Transaction Date],H7989)</f>
        <v>1</v>
      </c>
      <c r="L7989"/>
    </row>
    <row r="7990" spans="1:12" x14ac:dyDescent="0.3">
      <c r="A7990" t="s">
        <v>7996</v>
      </c>
      <c r="B7990" t="s">
        <v>10017</v>
      </c>
      <c r="C7990">
        <v>5</v>
      </c>
      <c r="D7990">
        <v>1.5</v>
      </c>
      <c r="E7990">
        <v>7.5</v>
      </c>
      <c r="F7990" t="s">
        <v>10069</v>
      </c>
      <c r="G7990" t="s">
        <v>10021</v>
      </c>
      <c r="H7990" s="6">
        <v>45072</v>
      </c>
      <c r="I7990">
        <f t="shared" si="248"/>
        <v>0</v>
      </c>
      <c r="J7990" t="str">
        <f t="shared" si="249"/>
        <v>Complete</v>
      </c>
      <c r="K7990">
        <f>COUNTIFS(RawData[Item], B7990,RawData[Quantity],C7990,RawData[Price Per Unit],D7990,RawData[Total Spent],E7990,RawData[Payment Method],F7990,RawData[Location],G7990,RawData[Transaction Date],H7990)</f>
        <v>1</v>
      </c>
      <c r="L7990"/>
    </row>
    <row r="7991" spans="1:12" x14ac:dyDescent="0.3">
      <c r="A7991" t="s">
        <v>7997</v>
      </c>
      <c r="B7991" t="s">
        <v>10014</v>
      </c>
      <c r="C7991">
        <v>3</v>
      </c>
      <c r="D7991">
        <v>4</v>
      </c>
      <c r="E7991">
        <v>12</v>
      </c>
      <c r="F7991" t="s">
        <v>10019</v>
      </c>
      <c r="G7991" t="s">
        <v>10102</v>
      </c>
      <c r="H7991" s="6">
        <v>45028</v>
      </c>
      <c r="I7991">
        <f t="shared" si="248"/>
        <v>0</v>
      </c>
      <c r="J7991" t="str">
        <f t="shared" si="249"/>
        <v>Complete</v>
      </c>
      <c r="K7991">
        <f>COUNTIFS(RawData[Item], B7991,RawData[Quantity],C7991,RawData[Price Per Unit],D7991,RawData[Total Spent],E7991,RawData[Payment Method],F7991,RawData[Location],G7991,RawData[Transaction Date],H7991)</f>
        <v>1</v>
      </c>
      <c r="L7991"/>
    </row>
    <row r="7992" spans="1:12" x14ac:dyDescent="0.3">
      <c r="A7992" t="s">
        <v>7998</v>
      </c>
      <c r="B7992" t="s">
        <v>10010</v>
      </c>
      <c r="C7992">
        <v>3</v>
      </c>
      <c r="D7992">
        <v>1</v>
      </c>
      <c r="E7992">
        <v>3</v>
      </c>
      <c r="F7992" t="s">
        <v>10103</v>
      </c>
      <c r="G7992" t="s">
        <v>10021</v>
      </c>
      <c r="H7992" s="6">
        <v>45078</v>
      </c>
      <c r="I7992">
        <f t="shared" si="248"/>
        <v>1</v>
      </c>
      <c r="J7992" t="str">
        <f t="shared" si="249"/>
        <v>Complete</v>
      </c>
      <c r="K7992">
        <f>COUNTIFS(RawData[Item], B7992,RawData[Quantity],C7992,RawData[Price Per Unit],D7992,RawData[Total Spent],E7992,RawData[Payment Method],F7992,RawData[Location],G7992,RawData[Transaction Date],H7992)</f>
        <v>1</v>
      </c>
      <c r="L7992"/>
    </row>
    <row r="7993" spans="1:12" x14ac:dyDescent="0.3">
      <c r="A7993" t="s">
        <v>7999</v>
      </c>
      <c r="B7993" t="s">
        <v>10011</v>
      </c>
      <c r="C7993">
        <v>2</v>
      </c>
      <c r="D7993" t="s">
        <v>10015</v>
      </c>
      <c r="E7993">
        <v>10</v>
      </c>
      <c r="F7993" t="s">
        <v>10019</v>
      </c>
      <c r="G7993" t="s">
        <v>10069</v>
      </c>
      <c r="H7993" s="6">
        <v>45214</v>
      </c>
      <c r="I7993">
        <f t="shared" si="248"/>
        <v>1</v>
      </c>
      <c r="J7993" t="str">
        <f t="shared" si="249"/>
        <v>Complete</v>
      </c>
      <c r="K7993">
        <f>COUNTIFS(RawData[Item], B7993,RawData[Quantity],C7993,RawData[Price Per Unit],D7993,RawData[Total Spent],E7993,RawData[Payment Method],F7993,RawData[Location],G7993,RawData[Transaction Date],H7993)</f>
        <v>1</v>
      </c>
      <c r="L7993"/>
    </row>
    <row r="7994" spans="1:12" x14ac:dyDescent="0.3">
      <c r="A7994" t="s">
        <v>8000</v>
      </c>
      <c r="B7994" t="s">
        <v>10016</v>
      </c>
      <c r="C7994">
        <v>3</v>
      </c>
      <c r="D7994">
        <v>3</v>
      </c>
      <c r="E7994">
        <v>9</v>
      </c>
      <c r="F7994" t="s">
        <v>10018</v>
      </c>
      <c r="G7994" t="s">
        <v>10069</v>
      </c>
      <c r="H7994" s="6">
        <v>45190</v>
      </c>
      <c r="I7994">
        <f t="shared" si="248"/>
        <v>0</v>
      </c>
      <c r="J7994" t="str">
        <f t="shared" si="249"/>
        <v>Complete</v>
      </c>
      <c r="K7994">
        <f>COUNTIFS(RawData[Item], B7994,RawData[Quantity],C7994,RawData[Price Per Unit],D7994,RawData[Total Spent],E7994,RawData[Payment Method],F7994,RawData[Location],G7994,RawData[Transaction Date],H7994)</f>
        <v>1</v>
      </c>
      <c r="L7994"/>
    </row>
    <row r="7995" spans="1:12" x14ac:dyDescent="0.3">
      <c r="A7995" t="s">
        <v>8001</v>
      </c>
      <c r="B7995" t="s">
        <v>10009</v>
      </c>
      <c r="C7995">
        <v>5</v>
      </c>
      <c r="D7995">
        <v>3</v>
      </c>
      <c r="E7995">
        <v>15</v>
      </c>
      <c r="F7995" t="s">
        <v>10069</v>
      </c>
      <c r="G7995" t="s">
        <v>10069</v>
      </c>
      <c r="H7995" s="6">
        <v>45212</v>
      </c>
      <c r="I7995">
        <f t="shared" si="248"/>
        <v>0</v>
      </c>
      <c r="J7995" t="str">
        <f t="shared" si="249"/>
        <v>Complete</v>
      </c>
      <c r="K7995">
        <f>COUNTIFS(RawData[Item], B7995,RawData[Quantity],C7995,RawData[Price Per Unit],D7995,RawData[Total Spent],E7995,RawData[Payment Method],F7995,RawData[Location],G7995,RawData[Transaction Date],H7995)</f>
        <v>1</v>
      </c>
      <c r="L7995"/>
    </row>
    <row r="7996" spans="1:12" x14ac:dyDescent="0.3">
      <c r="A7996" t="s">
        <v>8002</v>
      </c>
      <c r="B7996" t="s">
        <v>10012</v>
      </c>
      <c r="C7996">
        <v>2</v>
      </c>
      <c r="D7996">
        <v>4</v>
      </c>
      <c r="E7996">
        <v>8</v>
      </c>
      <c r="F7996" t="s">
        <v>10018</v>
      </c>
      <c r="G7996" t="s">
        <v>10069</v>
      </c>
      <c r="H7996" s="6">
        <v>45121</v>
      </c>
      <c r="I7996">
        <f t="shared" si="248"/>
        <v>0</v>
      </c>
      <c r="J7996" t="str">
        <f t="shared" si="249"/>
        <v>Complete</v>
      </c>
      <c r="K7996">
        <f>COUNTIFS(RawData[Item], B7996,RawData[Quantity],C7996,RawData[Price Per Unit],D7996,RawData[Total Spent],E7996,RawData[Payment Method],F7996,RawData[Location],G7996,RawData[Transaction Date],H7996)</f>
        <v>1</v>
      </c>
      <c r="L7996"/>
    </row>
    <row r="7997" spans="1:12" x14ac:dyDescent="0.3">
      <c r="A7997" t="s">
        <v>8003</v>
      </c>
      <c r="B7997" t="s">
        <v>10012</v>
      </c>
      <c r="C7997">
        <v>3</v>
      </c>
      <c r="D7997">
        <v>4</v>
      </c>
      <c r="E7997">
        <v>12</v>
      </c>
      <c r="F7997" t="s">
        <v>10020</v>
      </c>
      <c r="G7997" t="s">
        <v>10069</v>
      </c>
      <c r="H7997" s="6">
        <v>45101</v>
      </c>
      <c r="I7997">
        <f t="shared" si="248"/>
        <v>0</v>
      </c>
      <c r="J7997" t="str">
        <f t="shared" si="249"/>
        <v>Complete</v>
      </c>
      <c r="K7997">
        <f>COUNTIFS(RawData[Item], B7997,RawData[Quantity],C7997,RawData[Price Per Unit],D7997,RawData[Total Spent],E7997,RawData[Payment Method],F7997,RawData[Location],G7997,RawData[Transaction Date],H7997)</f>
        <v>1</v>
      </c>
      <c r="L7997"/>
    </row>
    <row r="7998" spans="1:12" x14ac:dyDescent="0.3">
      <c r="A7998" t="s">
        <v>8004</v>
      </c>
      <c r="B7998" t="s">
        <v>10016</v>
      </c>
      <c r="C7998">
        <v>5</v>
      </c>
      <c r="D7998">
        <v>3</v>
      </c>
      <c r="E7998">
        <v>15</v>
      </c>
      <c r="F7998" t="s">
        <v>10069</v>
      </c>
      <c r="G7998" t="s">
        <v>10069</v>
      </c>
      <c r="H7998" s="6">
        <v>45187</v>
      </c>
      <c r="I7998">
        <f t="shared" si="248"/>
        <v>0</v>
      </c>
      <c r="J7998" t="str">
        <f t="shared" si="249"/>
        <v>Complete</v>
      </c>
      <c r="K7998">
        <f>COUNTIFS(RawData[Item], B7998,RawData[Quantity],C7998,RawData[Price Per Unit],D7998,RawData[Total Spent],E7998,RawData[Payment Method],F7998,RawData[Location],G7998,RawData[Transaction Date],H7998)</f>
        <v>1</v>
      </c>
      <c r="L7998"/>
    </row>
    <row r="7999" spans="1:12" x14ac:dyDescent="0.3">
      <c r="A7999" t="s">
        <v>8005</v>
      </c>
      <c r="B7999" t="s">
        <v>10016</v>
      </c>
      <c r="C7999">
        <v>4</v>
      </c>
      <c r="D7999">
        <v>3</v>
      </c>
      <c r="E7999">
        <v>12</v>
      </c>
      <c r="F7999" t="s">
        <v>10069</v>
      </c>
      <c r="G7999" t="s">
        <v>10021</v>
      </c>
      <c r="H7999" s="6">
        <v>45240</v>
      </c>
      <c r="I7999">
        <f t="shared" si="248"/>
        <v>0</v>
      </c>
      <c r="J7999" t="str">
        <f t="shared" si="249"/>
        <v>Complete</v>
      </c>
      <c r="K7999">
        <f>COUNTIFS(RawData[Item], B7999,RawData[Quantity],C7999,RawData[Price Per Unit],D7999,RawData[Total Spent],E7999,RawData[Payment Method],F7999,RawData[Location],G7999,RawData[Transaction Date],H7999)</f>
        <v>1</v>
      </c>
      <c r="L7999"/>
    </row>
    <row r="8000" spans="1:12" x14ac:dyDescent="0.3">
      <c r="A8000" t="s">
        <v>8006</v>
      </c>
      <c r="B8000" t="s">
        <v>10010</v>
      </c>
      <c r="C8000">
        <v>4</v>
      </c>
      <c r="D8000">
        <v>1</v>
      </c>
      <c r="E8000">
        <v>4</v>
      </c>
      <c r="F8000" t="s">
        <v>10069</v>
      </c>
      <c r="G8000" t="s">
        <v>10021</v>
      </c>
      <c r="H8000" s="6">
        <v>45057</v>
      </c>
      <c r="I8000">
        <f t="shared" si="248"/>
        <v>0</v>
      </c>
      <c r="J8000" t="str">
        <f t="shared" si="249"/>
        <v>Complete</v>
      </c>
      <c r="K8000">
        <f>COUNTIFS(RawData[Item], B8000,RawData[Quantity],C8000,RawData[Price Per Unit],D8000,RawData[Total Spent],E8000,RawData[Payment Method],F8000,RawData[Location],G8000,RawData[Transaction Date],H8000)</f>
        <v>1</v>
      </c>
      <c r="L8000"/>
    </row>
    <row r="8001" spans="1:12" x14ac:dyDescent="0.3">
      <c r="A8001" t="s">
        <v>8007</v>
      </c>
      <c r="B8001" t="s">
        <v>10016</v>
      </c>
      <c r="C8001">
        <v>3</v>
      </c>
      <c r="D8001">
        <v>3</v>
      </c>
      <c r="E8001">
        <v>9</v>
      </c>
      <c r="F8001" t="s">
        <v>10018</v>
      </c>
      <c r="G8001" t="s">
        <v>10069</v>
      </c>
      <c r="H8001" s="6">
        <v>44950</v>
      </c>
      <c r="I8001">
        <f t="shared" si="248"/>
        <v>0</v>
      </c>
      <c r="J8001" t="str">
        <f t="shared" si="249"/>
        <v>Complete</v>
      </c>
      <c r="K8001">
        <f>COUNTIFS(RawData[Item], B8001,RawData[Quantity],C8001,RawData[Price Per Unit],D8001,RawData[Total Spent],E8001,RawData[Payment Method],F8001,RawData[Location],G8001,RawData[Transaction Date],H8001)</f>
        <v>1</v>
      </c>
      <c r="L8001"/>
    </row>
    <row r="8002" spans="1:12" x14ac:dyDescent="0.3">
      <c r="A8002" t="s">
        <v>8008</v>
      </c>
      <c r="B8002" t="s">
        <v>10016</v>
      </c>
      <c r="C8002">
        <v>5</v>
      </c>
      <c r="D8002">
        <v>3</v>
      </c>
      <c r="E8002">
        <v>15</v>
      </c>
      <c r="F8002" t="s">
        <v>10019</v>
      </c>
      <c r="G8002" t="s">
        <v>10021</v>
      </c>
      <c r="H8002" s="6">
        <v>45081</v>
      </c>
      <c r="I8002">
        <f t="shared" ref="I8002:I8065" si="250">(B8002="Unknown")+(B8002="Error")+(C8002="Unknown")+(C8002="Error")+(D8002="Unknown")+(D8002="Error")+(E8002="Unknown")+(E8002="Error")+(F8002="Unknown")+(F8002="Error")+(G8002="Unknown")+(G8002="Error")+(H8002="No Date")</f>
        <v>0</v>
      </c>
      <c r="J8002" t="str">
        <f t="shared" ref="J8002:J8065" si="251">IF((H8002="No Date"),"Incomplete","Complete")</f>
        <v>Complete</v>
      </c>
      <c r="K8002">
        <f>COUNTIFS(RawData[Item], B8002,RawData[Quantity],C8002,RawData[Price Per Unit],D8002,RawData[Total Spent],E8002,RawData[Payment Method],F8002,RawData[Location],G8002,RawData[Transaction Date],H8002)</f>
        <v>1</v>
      </c>
      <c r="L8002"/>
    </row>
    <row r="8003" spans="1:12" x14ac:dyDescent="0.3">
      <c r="A8003" t="s">
        <v>8009</v>
      </c>
      <c r="B8003" t="s">
        <v>10017</v>
      </c>
      <c r="C8003">
        <v>5</v>
      </c>
      <c r="D8003">
        <v>1.5</v>
      </c>
      <c r="E8003">
        <v>0</v>
      </c>
      <c r="F8003" t="s">
        <v>10069</v>
      </c>
      <c r="G8003" t="s">
        <v>10069</v>
      </c>
      <c r="H8003" s="6">
        <v>44963</v>
      </c>
      <c r="I8003">
        <f t="shared" si="250"/>
        <v>0</v>
      </c>
      <c r="J8003" t="str">
        <f t="shared" si="251"/>
        <v>Complete</v>
      </c>
      <c r="K8003">
        <f>COUNTIFS(RawData[Item], B8003,RawData[Quantity],C8003,RawData[Price Per Unit],D8003,RawData[Total Spent],E8003,RawData[Payment Method],F8003,RawData[Location],G8003,RawData[Transaction Date],H8003)</f>
        <v>1</v>
      </c>
      <c r="L8003"/>
    </row>
    <row r="8004" spans="1:12" x14ac:dyDescent="0.3">
      <c r="A8004" t="s">
        <v>8010</v>
      </c>
      <c r="B8004" t="s">
        <v>10013</v>
      </c>
      <c r="C8004">
        <v>5</v>
      </c>
      <c r="D8004">
        <v>1</v>
      </c>
      <c r="E8004">
        <v>5</v>
      </c>
      <c r="F8004" t="s">
        <v>10018</v>
      </c>
      <c r="G8004" t="s">
        <v>10102</v>
      </c>
      <c r="H8004" s="6">
        <v>45182</v>
      </c>
      <c r="I8004">
        <f t="shared" si="250"/>
        <v>1</v>
      </c>
      <c r="J8004" t="str">
        <f t="shared" si="251"/>
        <v>Complete</v>
      </c>
      <c r="K8004">
        <f>COUNTIFS(RawData[Item], B8004,RawData[Quantity],C8004,RawData[Price Per Unit],D8004,RawData[Total Spent],E8004,RawData[Payment Method],F8004,RawData[Location],G8004,RawData[Transaction Date],H8004)</f>
        <v>1</v>
      </c>
      <c r="L8004"/>
    </row>
    <row r="8005" spans="1:12" x14ac:dyDescent="0.3">
      <c r="A8005" t="s">
        <v>8011</v>
      </c>
      <c r="B8005" t="s">
        <v>10009</v>
      </c>
      <c r="C8005">
        <v>4</v>
      </c>
      <c r="D8005">
        <v>0</v>
      </c>
      <c r="E8005">
        <v>12</v>
      </c>
      <c r="F8005" t="s">
        <v>10018</v>
      </c>
      <c r="G8005" t="s">
        <v>10021</v>
      </c>
      <c r="H8005" s="6">
        <v>45119</v>
      </c>
      <c r="I8005">
        <f t="shared" si="250"/>
        <v>0</v>
      </c>
      <c r="J8005" t="str">
        <f t="shared" si="251"/>
        <v>Complete</v>
      </c>
      <c r="K8005">
        <f>COUNTIFS(RawData[Item], B8005,RawData[Quantity],C8005,RawData[Price Per Unit],D8005,RawData[Total Spent],E8005,RawData[Payment Method],F8005,RawData[Location],G8005,RawData[Transaction Date],H8005)</f>
        <v>1</v>
      </c>
      <c r="L8005"/>
    </row>
    <row r="8006" spans="1:12" x14ac:dyDescent="0.3">
      <c r="A8006" t="s">
        <v>8012</v>
      </c>
      <c r="B8006" t="s">
        <v>10009</v>
      </c>
      <c r="C8006">
        <v>3</v>
      </c>
      <c r="D8006">
        <v>3</v>
      </c>
      <c r="E8006">
        <v>9</v>
      </c>
      <c r="F8006" t="s">
        <v>10103</v>
      </c>
      <c r="G8006" t="s">
        <v>10069</v>
      </c>
      <c r="H8006" s="6">
        <v>45101</v>
      </c>
      <c r="I8006">
        <f t="shared" si="250"/>
        <v>1</v>
      </c>
      <c r="J8006" t="str">
        <f t="shared" si="251"/>
        <v>Complete</v>
      </c>
      <c r="K8006">
        <f>COUNTIFS(RawData[Item], B8006,RawData[Quantity],C8006,RawData[Price Per Unit],D8006,RawData[Total Spent],E8006,RawData[Payment Method],F8006,RawData[Location],G8006,RawData[Transaction Date],H8006)</f>
        <v>1</v>
      </c>
      <c r="L8006"/>
    </row>
    <row r="8007" spans="1:12" x14ac:dyDescent="0.3">
      <c r="A8007" t="s">
        <v>8013</v>
      </c>
      <c r="B8007" t="s">
        <v>10008</v>
      </c>
      <c r="C8007">
        <v>4</v>
      </c>
      <c r="D8007">
        <v>2</v>
      </c>
      <c r="E8007">
        <v>8</v>
      </c>
      <c r="F8007" t="s">
        <v>10020</v>
      </c>
      <c r="G8007" t="s">
        <v>10021</v>
      </c>
      <c r="H8007" s="6">
        <v>45109</v>
      </c>
      <c r="I8007">
        <f t="shared" si="250"/>
        <v>0</v>
      </c>
      <c r="J8007" t="str">
        <f t="shared" si="251"/>
        <v>Complete</v>
      </c>
      <c r="K8007">
        <f>COUNTIFS(RawData[Item], B8007,RawData[Quantity],C8007,RawData[Price Per Unit],D8007,RawData[Total Spent],E8007,RawData[Payment Method],F8007,RawData[Location],G8007,RawData[Transaction Date],H8007)</f>
        <v>1</v>
      </c>
      <c r="L8007"/>
    </row>
    <row r="8008" spans="1:12" x14ac:dyDescent="0.3">
      <c r="A8008" t="s">
        <v>8014</v>
      </c>
      <c r="B8008" t="s">
        <v>10012</v>
      </c>
      <c r="C8008">
        <v>4</v>
      </c>
      <c r="D8008">
        <v>4</v>
      </c>
      <c r="E8008">
        <v>16</v>
      </c>
      <c r="F8008" t="s">
        <v>10069</v>
      </c>
      <c r="G8008" t="s">
        <v>10021</v>
      </c>
      <c r="H8008" s="6">
        <v>45266</v>
      </c>
      <c r="I8008">
        <f t="shared" si="250"/>
        <v>0</v>
      </c>
      <c r="J8008" t="str">
        <f t="shared" si="251"/>
        <v>Complete</v>
      </c>
      <c r="K8008">
        <f>COUNTIFS(RawData[Item], B8008,RawData[Quantity],C8008,RawData[Price Per Unit],D8008,RawData[Total Spent],E8008,RawData[Payment Method],F8008,RawData[Location],G8008,RawData[Transaction Date],H8008)</f>
        <v>1</v>
      </c>
      <c r="L8008"/>
    </row>
    <row r="8009" spans="1:12" x14ac:dyDescent="0.3">
      <c r="A8009" t="s">
        <v>8015</v>
      </c>
      <c r="B8009" t="s">
        <v>10010</v>
      </c>
      <c r="C8009">
        <v>1</v>
      </c>
      <c r="D8009">
        <v>1</v>
      </c>
      <c r="E8009">
        <v>1</v>
      </c>
      <c r="F8009" t="s">
        <v>10103</v>
      </c>
      <c r="G8009" t="s">
        <v>10102</v>
      </c>
      <c r="H8009" s="6">
        <v>44959</v>
      </c>
      <c r="I8009">
        <f t="shared" si="250"/>
        <v>1</v>
      </c>
      <c r="J8009" t="str">
        <f t="shared" si="251"/>
        <v>Complete</v>
      </c>
      <c r="K8009">
        <f>COUNTIFS(RawData[Item], B8009,RawData[Quantity],C8009,RawData[Price Per Unit],D8009,RawData[Total Spent],E8009,RawData[Payment Method],F8009,RawData[Location],G8009,RawData[Transaction Date],H8009)</f>
        <v>1</v>
      </c>
      <c r="L8009"/>
    </row>
    <row r="8010" spans="1:12" x14ac:dyDescent="0.3">
      <c r="A8010" t="s">
        <v>8016</v>
      </c>
      <c r="B8010" t="s">
        <v>10010</v>
      </c>
      <c r="C8010">
        <v>4</v>
      </c>
      <c r="D8010">
        <v>1</v>
      </c>
      <c r="E8010">
        <v>4</v>
      </c>
      <c r="F8010" t="s">
        <v>10069</v>
      </c>
      <c r="G8010" t="s">
        <v>10021</v>
      </c>
      <c r="H8010" s="6">
        <v>45146</v>
      </c>
      <c r="I8010">
        <f t="shared" si="250"/>
        <v>0</v>
      </c>
      <c r="J8010" t="str">
        <f t="shared" si="251"/>
        <v>Complete</v>
      </c>
      <c r="K8010">
        <f>COUNTIFS(RawData[Item], B8010,RawData[Quantity],C8010,RawData[Price Per Unit],D8010,RawData[Total Spent],E8010,RawData[Payment Method],F8010,RawData[Location],G8010,RawData[Transaction Date],H8010)</f>
        <v>1</v>
      </c>
      <c r="L8010"/>
    </row>
    <row r="8011" spans="1:12" x14ac:dyDescent="0.3">
      <c r="A8011" t="s">
        <v>8017</v>
      </c>
      <c r="B8011" t="s">
        <v>10008</v>
      </c>
      <c r="C8011">
        <v>2</v>
      </c>
      <c r="D8011">
        <v>2</v>
      </c>
      <c r="E8011">
        <v>4</v>
      </c>
      <c r="F8011" t="s">
        <v>10018</v>
      </c>
      <c r="G8011" t="s">
        <v>10102</v>
      </c>
      <c r="H8011" s="6">
        <v>45262</v>
      </c>
      <c r="I8011">
        <f t="shared" si="250"/>
        <v>0</v>
      </c>
      <c r="J8011" t="str">
        <f t="shared" si="251"/>
        <v>Complete</v>
      </c>
      <c r="K8011">
        <f>COUNTIFS(RawData[Item], B8011,RawData[Quantity],C8011,RawData[Price Per Unit],D8011,RawData[Total Spent],E8011,RawData[Payment Method],F8011,RawData[Location],G8011,RawData[Transaction Date],H8011)</f>
        <v>1</v>
      </c>
      <c r="L8011"/>
    </row>
    <row r="8012" spans="1:12" x14ac:dyDescent="0.3">
      <c r="A8012" t="s">
        <v>8018</v>
      </c>
      <c r="B8012" t="s">
        <v>10010</v>
      </c>
      <c r="C8012">
        <v>2</v>
      </c>
      <c r="D8012">
        <v>1</v>
      </c>
      <c r="E8012">
        <v>2</v>
      </c>
      <c r="F8012" t="s">
        <v>10069</v>
      </c>
      <c r="G8012" t="s">
        <v>10021</v>
      </c>
      <c r="H8012" s="6">
        <v>45192</v>
      </c>
      <c r="I8012">
        <f t="shared" si="250"/>
        <v>0</v>
      </c>
      <c r="J8012" t="str">
        <f t="shared" si="251"/>
        <v>Complete</v>
      </c>
      <c r="K8012">
        <f>COUNTIFS(RawData[Item], B8012,RawData[Quantity],C8012,RawData[Price Per Unit],D8012,RawData[Total Spent],E8012,RawData[Payment Method],F8012,RawData[Location],G8012,RawData[Transaction Date],H8012)</f>
        <v>1</v>
      </c>
      <c r="L8012"/>
    </row>
    <row r="8013" spans="1:12" x14ac:dyDescent="0.3">
      <c r="A8013" t="s">
        <v>8019</v>
      </c>
      <c r="B8013" t="s">
        <v>10009</v>
      </c>
      <c r="C8013">
        <v>3</v>
      </c>
      <c r="D8013">
        <v>3</v>
      </c>
      <c r="E8013">
        <v>9</v>
      </c>
      <c r="F8013" t="s">
        <v>10069</v>
      </c>
      <c r="G8013" t="s">
        <v>10069</v>
      </c>
      <c r="H8013" s="6">
        <v>45215</v>
      </c>
      <c r="I8013">
        <f t="shared" si="250"/>
        <v>0</v>
      </c>
      <c r="J8013" t="str">
        <f t="shared" si="251"/>
        <v>Complete</v>
      </c>
      <c r="K8013">
        <f>COUNTIFS(RawData[Item], B8013,RawData[Quantity],C8013,RawData[Price Per Unit],D8013,RawData[Total Spent],E8013,RawData[Payment Method],F8013,RawData[Location],G8013,RawData[Transaction Date],H8013)</f>
        <v>1</v>
      </c>
      <c r="L8013"/>
    </row>
    <row r="8014" spans="1:12" x14ac:dyDescent="0.3">
      <c r="A8014" t="s">
        <v>8020</v>
      </c>
      <c r="B8014" t="s">
        <v>10014</v>
      </c>
      <c r="C8014">
        <v>3</v>
      </c>
      <c r="D8014">
        <v>4</v>
      </c>
      <c r="E8014">
        <v>12</v>
      </c>
      <c r="F8014" t="s">
        <v>10019</v>
      </c>
      <c r="G8014" t="s">
        <v>10069</v>
      </c>
      <c r="H8014" s="6">
        <v>45039</v>
      </c>
      <c r="I8014">
        <f t="shared" si="250"/>
        <v>0</v>
      </c>
      <c r="J8014" t="str">
        <f t="shared" si="251"/>
        <v>Complete</v>
      </c>
      <c r="K8014">
        <f>COUNTIFS(RawData[Item], B8014,RawData[Quantity],C8014,RawData[Price Per Unit],D8014,RawData[Total Spent],E8014,RawData[Payment Method],F8014,RawData[Location],G8014,RawData[Transaction Date],H8014)</f>
        <v>1</v>
      </c>
      <c r="L8014"/>
    </row>
    <row r="8015" spans="1:12" x14ac:dyDescent="0.3">
      <c r="A8015" t="s">
        <v>8021</v>
      </c>
      <c r="B8015" t="s">
        <v>10009</v>
      </c>
      <c r="C8015">
        <v>5</v>
      </c>
      <c r="D8015">
        <v>3</v>
      </c>
      <c r="E8015">
        <v>15</v>
      </c>
      <c r="F8015" t="s">
        <v>10019</v>
      </c>
      <c r="G8015" t="s">
        <v>10102</v>
      </c>
      <c r="H8015" s="6">
        <v>45064</v>
      </c>
      <c r="I8015">
        <f t="shared" si="250"/>
        <v>0</v>
      </c>
      <c r="J8015" t="str">
        <f t="shared" si="251"/>
        <v>Complete</v>
      </c>
      <c r="K8015">
        <f>COUNTIFS(RawData[Item], B8015,RawData[Quantity],C8015,RawData[Price Per Unit],D8015,RawData[Total Spent],E8015,RawData[Payment Method],F8015,RawData[Location],G8015,RawData[Transaction Date],H8015)</f>
        <v>1</v>
      </c>
      <c r="L8015"/>
    </row>
    <row r="8016" spans="1:12" x14ac:dyDescent="0.3">
      <c r="A8016" t="s">
        <v>8022</v>
      </c>
      <c r="B8016" t="s">
        <v>10010</v>
      </c>
      <c r="C8016">
        <v>2</v>
      </c>
      <c r="D8016" t="s">
        <v>10015</v>
      </c>
      <c r="E8016">
        <v>2</v>
      </c>
      <c r="F8016" t="s">
        <v>10020</v>
      </c>
      <c r="G8016" t="s">
        <v>10069</v>
      </c>
      <c r="H8016" s="6">
        <v>45228</v>
      </c>
      <c r="I8016">
        <f t="shared" si="250"/>
        <v>1</v>
      </c>
      <c r="J8016" t="str">
        <f t="shared" si="251"/>
        <v>Complete</v>
      </c>
      <c r="K8016">
        <f>COUNTIFS(RawData[Item], B8016,RawData[Quantity],C8016,RawData[Price Per Unit],D8016,RawData[Total Spent],E8016,RawData[Payment Method],F8016,RawData[Location],G8016,RawData[Transaction Date],H8016)</f>
        <v>1</v>
      </c>
      <c r="L8016"/>
    </row>
    <row r="8017" spans="1:12" x14ac:dyDescent="0.3">
      <c r="A8017" t="s">
        <v>8023</v>
      </c>
      <c r="B8017" t="s">
        <v>10016</v>
      </c>
      <c r="C8017">
        <v>1</v>
      </c>
      <c r="D8017">
        <v>3</v>
      </c>
      <c r="E8017">
        <v>3</v>
      </c>
      <c r="F8017" t="s">
        <v>10020</v>
      </c>
      <c r="G8017" t="s">
        <v>10021</v>
      </c>
      <c r="H8017" s="6">
        <v>44927</v>
      </c>
      <c r="I8017">
        <f t="shared" si="250"/>
        <v>0</v>
      </c>
      <c r="J8017" t="str">
        <f t="shared" si="251"/>
        <v>Complete</v>
      </c>
      <c r="K8017">
        <f>COUNTIFS(RawData[Item], B8017,RawData[Quantity],C8017,RawData[Price Per Unit],D8017,RawData[Total Spent],E8017,RawData[Payment Method],F8017,RawData[Location],G8017,RawData[Transaction Date],H8017)</f>
        <v>1</v>
      </c>
      <c r="L8017"/>
    </row>
    <row r="8018" spans="1:12" x14ac:dyDescent="0.3">
      <c r="A8018" t="s">
        <v>8024</v>
      </c>
      <c r="B8018" t="s">
        <v>10008</v>
      </c>
      <c r="C8018">
        <v>5</v>
      </c>
      <c r="D8018">
        <v>2</v>
      </c>
      <c r="E8018">
        <v>10</v>
      </c>
      <c r="F8018" t="s">
        <v>10069</v>
      </c>
      <c r="G8018" t="s">
        <v>10069</v>
      </c>
      <c r="H8018" s="6">
        <v>45167</v>
      </c>
      <c r="I8018">
        <f t="shared" si="250"/>
        <v>0</v>
      </c>
      <c r="J8018" t="str">
        <f t="shared" si="251"/>
        <v>Complete</v>
      </c>
      <c r="K8018">
        <f>COUNTIFS(RawData[Item], B8018,RawData[Quantity],C8018,RawData[Price Per Unit],D8018,RawData[Total Spent],E8018,RawData[Payment Method],F8018,RawData[Location],G8018,RawData[Transaction Date],H8018)</f>
        <v>1</v>
      </c>
      <c r="L8018"/>
    </row>
    <row r="8019" spans="1:12" x14ac:dyDescent="0.3">
      <c r="A8019" t="s">
        <v>8025</v>
      </c>
      <c r="B8019" t="s">
        <v>10011</v>
      </c>
      <c r="C8019">
        <v>1</v>
      </c>
      <c r="D8019">
        <v>5</v>
      </c>
      <c r="E8019">
        <v>5</v>
      </c>
      <c r="F8019" t="s">
        <v>10069</v>
      </c>
      <c r="G8019" t="s">
        <v>10102</v>
      </c>
      <c r="H8019" s="6">
        <v>44992</v>
      </c>
      <c r="I8019">
        <f t="shared" si="250"/>
        <v>0</v>
      </c>
      <c r="J8019" t="str">
        <f t="shared" si="251"/>
        <v>Complete</v>
      </c>
      <c r="K8019">
        <f>COUNTIFS(RawData[Item], B8019,RawData[Quantity],C8019,RawData[Price Per Unit],D8019,RawData[Total Spent],E8019,RawData[Payment Method],F8019,RawData[Location],G8019,RawData[Transaction Date],H8019)</f>
        <v>1</v>
      </c>
      <c r="L8019"/>
    </row>
    <row r="8020" spans="1:12" x14ac:dyDescent="0.3">
      <c r="A8020" t="s">
        <v>8026</v>
      </c>
      <c r="B8020" t="s">
        <v>10011</v>
      </c>
      <c r="C8020">
        <v>4</v>
      </c>
      <c r="D8020">
        <v>5</v>
      </c>
      <c r="E8020">
        <v>20</v>
      </c>
      <c r="F8020" t="s">
        <v>10020</v>
      </c>
      <c r="G8020" t="s">
        <v>10104</v>
      </c>
      <c r="H8020" s="6">
        <v>45289</v>
      </c>
      <c r="I8020">
        <f t="shared" si="250"/>
        <v>1</v>
      </c>
      <c r="J8020" t="str">
        <f t="shared" si="251"/>
        <v>Complete</v>
      </c>
      <c r="K8020">
        <f>COUNTIFS(RawData[Item], B8020,RawData[Quantity],C8020,RawData[Price Per Unit],D8020,RawData[Total Spent],E8020,RawData[Payment Method],F8020,RawData[Location],G8020,RawData[Transaction Date],H8020)</f>
        <v>1</v>
      </c>
      <c r="L8020"/>
    </row>
    <row r="8021" spans="1:12" x14ac:dyDescent="0.3">
      <c r="A8021" t="s">
        <v>8027</v>
      </c>
      <c r="B8021" t="s">
        <v>10017</v>
      </c>
      <c r="C8021">
        <v>2</v>
      </c>
      <c r="D8021">
        <v>1.5</v>
      </c>
      <c r="E8021">
        <v>3</v>
      </c>
      <c r="F8021" t="s">
        <v>10069</v>
      </c>
      <c r="G8021" t="s">
        <v>10021</v>
      </c>
      <c r="H8021" s="6">
        <v>45093</v>
      </c>
      <c r="I8021">
        <f t="shared" si="250"/>
        <v>0</v>
      </c>
      <c r="J8021" t="str">
        <f t="shared" si="251"/>
        <v>Complete</v>
      </c>
      <c r="K8021">
        <f>COUNTIFS(RawData[Item], B8021,RawData[Quantity],C8021,RawData[Price Per Unit],D8021,RawData[Total Spent],E8021,RawData[Payment Method],F8021,RawData[Location],G8021,RawData[Transaction Date],H8021)</f>
        <v>1</v>
      </c>
      <c r="L8021"/>
    </row>
    <row r="8022" spans="1:12" x14ac:dyDescent="0.3">
      <c r="A8022" t="s">
        <v>8028</v>
      </c>
      <c r="B8022" t="s">
        <v>10010</v>
      </c>
      <c r="C8022">
        <v>3</v>
      </c>
      <c r="D8022">
        <v>1</v>
      </c>
      <c r="E8022">
        <v>3</v>
      </c>
      <c r="F8022" t="s">
        <v>10020</v>
      </c>
      <c r="G8022" t="s">
        <v>10021</v>
      </c>
      <c r="H8022" s="6">
        <v>45156</v>
      </c>
      <c r="I8022">
        <f t="shared" si="250"/>
        <v>0</v>
      </c>
      <c r="J8022" t="str">
        <f t="shared" si="251"/>
        <v>Complete</v>
      </c>
      <c r="K8022">
        <f>COUNTIFS(RawData[Item], B8022,RawData[Quantity],C8022,RawData[Price Per Unit],D8022,RawData[Total Spent],E8022,RawData[Payment Method],F8022,RawData[Location],G8022,RawData[Transaction Date],H8022)</f>
        <v>1</v>
      </c>
      <c r="L8022"/>
    </row>
    <row r="8023" spans="1:12" x14ac:dyDescent="0.3">
      <c r="A8023" t="s">
        <v>8029</v>
      </c>
      <c r="B8023" t="s">
        <v>10011</v>
      </c>
      <c r="C8023" t="s">
        <v>10015</v>
      </c>
      <c r="D8023">
        <v>5</v>
      </c>
      <c r="E8023" t="s">
        <v>10013</v>
      </c>
      <c r="F8023" t="s">
        <v>10069</v>
      </c>
      <c r="G8023" t="s">
        <v>10102</v>
      </c>
      <c r="H8023" s="6">
        <v>45055</v>
      </c>
      <c r="I8023">
        <f t="shared" si="250"/>
        <v>2</v>
      </c>
      <c r="J8023" t="str">
        <f t="shared" si="251"/>
        <v>Complete</v>
      </c>
      <c r="K8023">
        <f>COUNTIFS(RawData[Item], B8023,RawData[Quantity],C8023,RawData[Price Per Unit],D8023,RawData[Total Spent],E8023,RawData[Payment Method],F8023,RawData[Location],G8023,RawData[Transaction Date],H8023)</f>
        <v>1</v>
      </c>
      <c r="L8023"/>
    </row>
    <row r="8024" spans="1:12" x14ac:dyDescent="0.3">
      <c r="A8024" t="s">
        <v>8030</v>
      </c>
      <c r="B8024" t="s">
        <v>10011</v>
      </c>
      <c r="C8024">
        <v>2</v>
      </c>
      <c r="D8024">
        <v>5</v>
      </c>
      <c r="E8024">
        <v>10</v>
      </c>
      <c r="F8024" t="s">
        <v>10019</v>
      </c>
      <c r="G8024" t="s">
        <v>10021</v>
      </c>
      <c r="H8024" s="6">
        <v>44958</v>
      </c>
      <c r="I8024">
        <f t="shared" si="250"/>
        <v>0</v>
      </c>
      <c r="J8024" t="str">
        <f t="shared" si="251"/>
        <v>Complete</v>
      </c>
      <c r="K8024">
        <f>COUNTIFS(RawData[Item], B8024,RawData[Quantity],C8024,RawData[Price Per Unit],D8024,RawData[Total Spent],E8024,RawData[Payment Method],F8024,RawData[Location],G8024,RawData[Transaction Date],H8024)</f>
        <v>1</v>
      </c>
      <c r="L8024"/>
    </row>
    <row r="8025" spans="1:12" x14ac:dyDescent="0.3">
      <c r="A8025" t="s">
        <v>8031</v>
      </c>
      <c r="B8025" t="s">
        <v>10012</v>
      </c>
      <c r="C8025">
        <v>3</v>
      </c>
      <c r="D8025">
        <v>4</v>
      </c>
      <c r="E8025">
        <v>12</v>
      </c>
      <c r="F8025" t="s">
        <v>10019</v>
      </c>
      <c r="G8025" t="s">
        <v>10021</v>
      </c>
      <c r="H8025" s="6">
        <v>45101</v>
      </c>
      <c r="I8025">
        <f t="shared" si="250"/>
        <v>0</v>
      </c>
      <c r="J8025" t="str">
        <f t="shared" si="251"/>
        <v>Complete</v>
      </c>
      <c r="K8025">
        <f>COUNTIFS(RawData[Item], B8025,RawData[Quantity],C8025,RawData[Price Per Unit],D8025,RawData[Total Spent],E8025,RawData[Payment Method],F8025,RawData[Location],G8025,RawData[Transaction Date],H8025)</f>
        <v>1</v>
      </c>
      <c r="L8025"/>
    </row>
    <row r="8026" spans="1:12" x14ac:dyDescent="0.3">
      <c r="A8026" t="s">
        <v>8032</v>
      </c>
      <c r="B8026" t="s">
        <v>10014</v>
      </c>
      <c r="C8026" t="s">
        <v>10015</v>
      </c>
      <c r="D8026">
        <v>4</v>
      </c>
      <c r="E8026">
        <v>16</v>
      </c>
      <c r="F8026" t="s">
        <v>10069</v>
      </c>
      <c r="G8026" t="s">
        <v>10021</v>
      </c>
      <c r="H8026" s="6">
        <v>45256</v>
      </c>
      <c r="I8026">
        <f t="shared" si="250"/>
        <v>1</v>
      </c>
      <c r="J8026" t="str">
        <f t="shared" si="251"/>
        <v>Complete</v>
      </c>
      <c r="K8026">
        <f>COUNTIFS(RawData[Item], B8026,RawData[Quantity],C8026,RawData[Price Per Unit],D8026,RawData[Total Spent],E8026,RawData[Payment Method],F8026,RawData[Location],G8026,RawData[Transaction Date],H8026)</f>
        <v>1</v>
      </c>
      <c r="L8026"/>
    </row>
    <row r="8027" spans="1:12" x14ac:dyDescent="0.3">
      <c r="A8027" t="s">
        <v>8033</v>
      </c>
      <c r="B8027" t="s">
        <v>10011</v>
      </c>
      <c r="C8027">
        <v>1</v>
      </c>
      <c r="D8027">
        <v>5</v>
      </c>
      <c r="E8027">
        <v>5</v>
      </c>
      <c r="F8027" t="s">
        <v>10020</v>
      </c>
      <c r="G8027" t="s">
        <v>10021</v>
      </c>
      <c r="H8027" s="6">
        <v>45256</v>
      </c>
      <c r="I8027">
        <f t="shared" si="250"/>
        <v>0</v>
      </c>
      <c r="J8027" t="str">
        <f t="shared" si="251"/>
        <v>Complete</v>
      </c>
      <c r="K8027">
        <f>COUNTIFS(RawData[Item], B8027,RawData[Quantity],C8027,RawData[Price Per Unit],D8027,RawData[Total Spent],E8027,RawData[Payment Method],F8027,RawData[Location],G8027,RawData[Transaction Date],H8027)</f>
        <v>1</v>
      </c>
      <c r="L8027"/>
    </row>
    <row r="8028" spans="1:12" x14ac:dyDescent="0.3">
      <c r="A8028" t="s">
        <v>8034</v>
      </c>
      <c r="B8028" t="s">
        <v>10009</v>
      </c>
      <c r="C8028">
        <v>3</v>
      </c>
      <c r="D8028">
        <v>3</v>
      </c>
      <c r="E8028">
        <v>9</v>
      </c>
      <c r="F8028" t="s">
        <v>10020</v>
      </c>
      <c r="G8028" t="s">
        <v>10021</v>
      </c>
      <c r="H8028" s="6">
        <v>45106</v>
      </c>
      <c r="I8028">
        <f t="shared" si="250"/>
        <v>0</v>
      </c>
      <c r="J8028" t="str">
        <f t="shared" si="251"/>
        <v>Complete</v>
      </c>
      <c r="K8028">
        <f>COUNTIFS(RawData[Item], B8028,RawData[Quantity],C8028,RawData[Price Per Unit],D8028,RawData[Total Spent],E8028,RawData[Payment Method],F8028,RawData[Location],G8028,RawData[Transaction Date],H8028)</f>
        <v>1</v>
      </c>
      <c r="L8028"/>
    </row>
    <row r="8029" spans="1:12" x14ac:dyDescent="0.3">
      <c r="A8029" t="s">
        <v>8035</v>
      </c>
      <c r="B8029" t="s">
        <v>10011</v>
      </c>
      <c r="C8029">
        <v>2</v>
      </c>
      <c r="D8029">
        <v>5</v>
      </c>
      <c r="E8029">
        <v>10</v>
      </c>
      <c r="F8029" t="s">
        <v>10019</v>
      </c>
      <c r="G8029" t="s">
        <v>10021</v>
      </c>
      <c r="H8029" s="6" t="s">
        <v>10112</v>
      </c>
      <c r="I8029">
        <f t="shared" si="250"/>
        <v>1</v>
      </c>
      <c r="J8029" t="str">
        <f t="shared" si="251"/>
        <v>Incomplete</v>
      </c>
      <c r="K8029">
        <f>COUNTIFS(RawData[Item], B8029,RawData[Quantity],C8029,RawData[Price Per Unit],D8029,RawData[Total Spent],E8029,RawData[Payment Method],F8029,RawData[Location],G8029,RawData[Transaction Date],H8029)</f>
        <v>2</v>
      </c>
      <c r="L8029"/>
    </row>
    <row r="8030" spans="1:12" x14ac:dyDescent="0.3">
      <c r="A8030" t="s">
        <v>8036</v>
      </c>
      <c r="B8030" t="s">
        <v>10011</v>
      </c>
      <c r="C8030">
        <v>1</v>
      </c>
      <c r="D8030">
        <v>5</v>
      </c>
      <c r="E8030">
        <v>5</v>
      </c>
      <c r="F8030" t="s">
        <v>10018</v>
      </c>
      <c r="G8030" t="s">
        <v>10104</v>
      </c>
      <c r="H8030" s="6">
        <v>45135</v>
      </c>
      <c r="I8030">
        <f t="shared" si="250"/>
        <v>1</v>
      </c>
      <c r="J8030" t="str">
        <f t="shared" si="251"/>
        <v>Complete</v>
      </c>
      <c r="K8030">
        <f>COUNTIFS(RawData[Item], B8030,RawData[Quantity],C8030,RawData[Price Per Unit],D8030,RawData[Total Spent],E8030,RawData[Payment Method],F8030,RawData[Location],G8030,RawData[Transaction Date],H8030)</f>
        <v>1</v>
      </c>
      <c r="L8030"/>
    </row>
    <row r="8031" spans="1:12" x14ac:dyDescent="0.3">
      <c r="A8031" t="s">
        <v>8037</v>
      </c>
      <c r="B8031" t="s">
        <v>10008</v>
      </c>
      <c r="C8031">
        <v>3</v>
      </c>
      <c r="D8031">
        <v>2</v>
      </c>
      <c r="E8031">
        <v>6</v>
      </c>
      <c r="F8031" t="s">
        <v>10018</v>
      </c>
      <c r="G8031" t="s">
        <v>10104</v>
      </c>
      <c r="H8031" s="6">
        <v>45214</v>
      </c>
      <c r="I8031">
        <f t="shared" si="250"/>
        <v>1</v>
      </c>
      <c r="J8031" t="str">
        <f t="shared" si="251"/>
        <v>Complete</v>
      </c>
      <c r="K8031">
        <f>COUNTIFS(RawData[Item], B8031,RawData[Quantity],C8031,RawData[Price Per Unit],D8031,RawData[Total Spent],E8031,RawData[Payment Method],F8031,RawData[Location],G8031,RawData[Transaction Date],H8031)</f>
        <v>1</v>
      </c>
      <c r="L8031"/>
    </row>
    <row r="8032" spans="1:12" x14ac:dyDescent="0.3">
      <c r="A8032" t="s">
        <v>8038</v>
      </c>
      <c r="B8032" t="s">
        <v>10016</v>
      </c>
      <c r="C8032" t="s">
        <v>10015</v>
      </c>
      <c r="D8032">
        <v>3</v>
      </c>
      <c r="E8032">
        <v>12</v>
      </c>
      <c r="F8032" t="s">
        <v>10069</v>
      </c>
      <c r="G8032" t="s">
        <v>10069</v>
      </c>
      <c r="H8032" s="6">
        <v>45155</v>
      </c>
      <c r="I8032">
        <f t="shared" si="250"/>
        <v>1</v>
      </c>
      <c r="J8032" t="str">
        <f t="shared" si="251"/>
        <v>Complete</v>
      </c>
      <c r="K8032">
        <f>COUNTIFS(RawData[Item], B8032,RawData[Quantity],C8032,RawData[Price Per Unit],D8032,RawData[Total Spent],E8032,RawData[Payment Method],F8032,RawData[Location],G8032,RawData[Transaction Date],H8032)</f>
        <v>1</v>
      </c>
      <c r="L8032"/>
    </row>
    <row r="8033" spans="1:12" x14ac:dyDescent="0.3">
      <c r="A8033" t="s">
        <v>8039</v>
      </c>
      <c r="B8033" t="s">
        <v>10009</v>
      </c>
      <c r="C8033">
        <v>3</v>
      </c>
      <c r="D8033">
        <v>3</v>
      </c>
      <c r="E8033">
        <v>9</v>
      </c>
      <c r="F8033" t="s">
        <v>10069</v>
      </c>
      <c r="G8033" t="s">
        <v>10069</v>
      </c>
      <c r="H8033" s="6">
        <v>45069</v>
      </c>
      <c r="I8033">
        <f t="shared" si="250"/>
        <v>0</v>
      </c>
      <c r="J8033" t="str">
        <f t="shared" si="251"/>
        <v>Complete</v>
      </c>
      <c r="K8033">
        <f>COUNTIFS(RawData[Item], B8033,RawData[Quantity],C8033,RawData[Price Per Unit],D8033,RawData[Total Spent],E8033,RawData[Payment Method],F8033,RawData[Location],G8033,RawData[Transaction Date],H8033)</f>
        <v>1</v>
      </c>
      <c r="L8033"/>
    </row>
    <row r="8034" spans="1:12" x14ac:dyDescent="0.3">
      <c r="A8034" t="s">
        <v>8040</v>
      </c>
      <c r="B8034" t="s">
        <v>10009</v>
      </c>
      <c r="C8034">
        <v>2</v>
      </c>
      <c r="D8034">
        <v>3</v>
      </c>
      <c r="E8034">
        <v>6</v>
      </c>
      <c r="F8034" t="s">
        <v>10069</v>
      </c>
      <c r="G8034" t="s">
        <v>10021</v>
      </c>
      <c r="H8034" s="6">
        <v>45238</v>
      </c>
      <c r="I8034">
        <f t="shared" si="250"/>
        <v>0</v>
      </c>
      <c r="J8034" t="str">
        <f t="shared" si="251"/>
        <v>Complete</v>
      </c>
      <c r="K8034">
        <f>COUNTIFS(RawData[Item], B8034,RawData[Quantity],C8034,RawData[Price Per Unit],D8034,RawData[Total Spent],E8034,RawData[Payment Method],F8034,RawData[Location],G8034,RawData[Transaction Date],H8034)</f>
        <v>1</v>
      </c>
      <c r="L8034"/>
    </row>
    <row r="8035" spans="1:12" x14ac:dyDescent="0.3">
      <c r="A8035" t="s">
        <v>8041</v>
      </c>
      <c r="B8035" t="s">
        <v>10012</v>
      </c>
      <c r="C8035">
        <v>2</v>
      </c>
      <c r="D8035">
        <v>4</v>
      </c>
      <c r="E8035">
        <v>0</v>
      </c>
      <c r="F8035" t="s">
        <v>10020</v>
      </c>
      <c r="G8035" t="s">
        <v>10069</v>
      </c>
      <c r="H8035" s="6">
        <v>45191</v>
      </c>
      <c r="I8035">
        <f t="shared" si="250"/>
        <v>0</v>
      </c>
      <c r="J8035" t="str">
        <f t="shared" si="251"/>
        <v>Complete</v>
      </c>
      <c r="K8035">
        <f>COUNTIFS(RawData[Item], B8035,RawData[Quantity],C8035,RawData[Price Per Unit],D8035,RawData[Total Spent],E8035,RawData[Payment Method],F8035,RawData[Location],G8035,RawData[Transaction Date],H8035)</f>
        <v>1</v>
      </c>
      <c r="L8035"/>
    </row>
    <row r="8036" spans="1:12" x14ac:dyDescent="0.3">
      <c r="A8036" t="s">
        <v>8042</v>
      </c>
      <c r="B8036" t="s">
        <v>10017</v>
      </c>
      <c r="C8036">
        <v>5</v>
      </c>
      <c r="D8036">
        <v>1.5</v>
      </c>
      <c r="E8036">
        <v>7.5</v>
      </c>
      <c r="F8036" t="s">
        <v>10069</v>
      </c>
      <c r="G8036" t="s">
        <v>10021</v>
      </c>
      <c r="H8036" s="6">
        <v>45213</v>
      </c>
      <c r="I8036">
        <f t="shared" si="250"/>
        <v>0</v>
      </c>
      <c r="J8036" t="str">
        <f t="shared" si="251"/>
        <v>Complete</v>
      </c>
      <c r="K8036">
        <f>COUNTIFS(RawData[Item], B8036,RawData[Quantity],C8036,RawData[Price Per Unit],D8036,RawData[Total Spent],E8036,RawData[Payment Method],F8036,RawData[Location],G8036,RawData[Transaction Date],H8036)</f>
        <v>1</v>
      </c>
      <c r="L8036"/>
    </row>
    <row r="8037" spans="1:12" x14ac:dyDescent="0.3">
      <c r="A8037" t="s">
        <v>8043</v>
      </c>
      <c r="B8037" t="s">
        <v>10009</v>
      </c>
      <c r="C8037">
        <v>4</v>
      </c>
      <c r="D8037">
        <v>3</v>
      </c>
      <c r="E8037">
        <v>12</v>
      </c>
      <c r="F8037" t="s">
        <v>10019</v>
      </c>
      <c r="G8037" t="s">
        <v>10102</v>
      </c>
      <c r="H8037" s="6">
        <v>44956</v>
      </c>
      <c r="I8037">
        <f t="shared" si="250"/>
        <v>0</v>
      </c>
      <c r="J8037" t="str">
        <f t="shared" si="251"/>
        <v>Complete</v>
      </c>
      <c r="K8037">
        <f>COUNTIFS(RawData[Item], B8037,RawData[Quantity],C8037,RawData[Price Per Unit],D8037,RawData[Total Spent],E8037,RawData[Payment Method],F8037,RawData[Location],G8037,RawData[Transaction Date],H8037)</f>
        <v>1</v>
      </c>
      <c r="L8037"/>
    </row>
    <row r="8038" spans="1:12" x14ac:dyDescent="0.3">
      <c r="A8038" t="s">
        <v>8044</v>
      </c>
      <c r="B8038" t="s">
        <v>10011</v>
      </c>
      <c r="C8038">
        <v>1</v>
      </c>
      <c r="D8038">
        <v>5</v>
      </c>
      <c r="E8038">
        <v>5</v>
      </c>
      <c r="F8038" t="s">
        <v>10018</v>
      </c>
      <c r="G8038" t="s">
        <v>10069</v>
      </c>
      <c r="H8038" s="6">
        <v>45198</v>
      </c>
      <c r="I8038">
        <f t="shared" si="250"/>
        <v>0</v>
      </c>
      <c r="J8038" t="str">
        <f t="shared" si="251"/>
        <v>Complete</v>
      </c>
      <c r="K8038">
        <f>COUNTIFS(RawData[Item], B8038,RawData[Quantity],C8038,RawData[Price Per Unit],D8038,RawData[Total Spent],E8038,RawData[Payment Method],F8038,RawData[Location],G8038,RawData[Transaction Date],H8038)</f>
        <v>1</v>
      </c>
      <c r="L8038"/>
    </row>
    <row r="8039" spans="1:12" x14ac:dyDescent="0.3">
      <c r="A8039" t="s">
        <v>8045</v>
      </c>
      <c r="B8039" t="s">
        <v>10010</v>
      </c>
      <c r="C8039">
        <v>3</v>
      </c>
      <c r="D8039">
        <v>1</v>
      </c>
      <c r="E8039">
        <v>3</v>
      </c>
      <c r="F8039" t="s">
        <v>10020</v>
      </c>
      <c r="G8039" t="s">
        <v>10102</v>
      </c>
      <c r="H8039" s="6">
        <v>45074</v>
      </c>
      <c r="I8039">
        <f t="shared" si="250"/>
        <v>0</v>
      </c>
      <c r="J8039" t="str">
        <f t="shared" si="251"/>
        <v>Complete</v>
      </c>
      <c r="K8039">
        <f>COUNTIFS(RawData[Item], B8039,RawData[Quantity],C8039,RawData[Price Per Unit],D8039,RawData[Total Spent],E8039,RawData[Payment Method],F8039,RawData[Location],G8039,RawData[Transaction Date],H8039)</f>
        <v>1</v>
      </c>
      <c r="L8039"/>
    </row>
    <row r="8040" spans="1:12" x14ac:dyDescent="0.3">
      <c r="A8040" t="s">
        <v>8046</v>
      </c>
      <c r="B8040" t="s">
        <v>10010</v>
      </c>
      <c r="C8040">
        <v>3</v>
      </c>
      <c r="D8040">
        <v>1</v>
      </c>
      <c r="E8040">
        <v>3</v>
      </c>
      <c r="F8040" t="s">
        <v>10019</v>
      </c>
      <c r="G8040" t="s">
        <v>10104</v>
      </c>
      <c r="H8040" s="6">
        <v>45049</v>
      </c>
      <c r="I8040">
        <f t="shared" si="250"/>
        <v>1</v>
      </c>
      <c r="J8040" t="str">
        <f t="shared" si="251"/>
        <v>Complete</v>
      </c>
      <c r="K8040">
        <f>COUNTIFS(RawData[Item], B8040,RawData[Quantity],C8040,RawData[Price Per Unit],D8040,RawData[Total Spent],E8040,RawData[Payment Method],F8040,RawData[Location],G8040,RawData[Transaction Date],H8040)</f>
        <v>1</v>
      </c>
      <c r="L8040"/>
    </row>
    <row r="8041" spans="1:12" x14ac:dyDescent="0.3">
      <c r="A8041" t="s">
        <v>8047</v>
      </c>
      <c r="B8041" t="s">
        <v>10008</v>
      </c>
      <c r="C8041">
        <v>1</v>
      </c>
      <c r="D8041">
        <v>2</v>
      </c>
      <c r="E8041">
        <v>2</v>
      </c>
      <c r="F8041" t="s">
        <v>10069</v>
      </c>
      <c r="G8041" t="s">
        <v>10021</v>
      </c>
      <c r="H8041" s="6" t="s">
        <v>10112</v>
      </c>
      <c r="I8041">
        <f t="shared" si="250"/>
        <v>1</v>
      </c>
      <c r="J8041" t="str">
        <f t="shared" si="251"/>
        <v>Incomplete</v>
      </c>
      <c r="K8041">
        <f>COUNTIFS(RawData[Item], B8041,RawData[Quantity],C8041,RawData[Price Per Unit],D8041,RawData[Total Spent],E8041,RawData[Payment Method],F8041,RawData[Location],G8041,RawData[Transaction Date],H8041)</f>
        <v>1</v>
      </c>
      <c r="L8041"/>
    </row>
    <row r="8042" spans="1:12" x14ac:dyDescent="0.3">
      <c r="A8042" t="s">
        <v>8048</v>
      </c>
      <c r="B8042" t="s">
        <v>10008</v>
      </c>
      <c r="C8042">
        <v>2</v>
      </c>
      <c r="D8042">
        <v>2</v>
      </c>
      <c r="E8042">
        <v>4</v>
      </c>
      <c r="F8042" t="s">
        <v>10018</v>
      </c>
      <c r="G8042" t="s">
        <v>10069</v>
      </c>
      <c r="H8042" s="6">
        <v>45258</v>
      </c>
      <c r="I8042">
        <f t="shared" si="250"/>
        <v>0</v>
      </c>
      <c r="J8042" t="str">
        <f t="shared" si="251"/>
        <v>Complete</v>
      </c>
      <c r="K8042">
        <f>COUNTIFS(RawData[Item], B8042,RawData[Quantity],C8042,RawData[Price Per Unit],D8042,RawData[Total Spent],E8042,RawData[Payment Method],F8042,RawData[Location],G8042,RawData[Transaction Date],H8042)</f>
        <v>1</v>
      </c>
      <c r="L8042"/>
    </row>
    <row r="8043" spans="1:12" x14ac:dyDescent="0.3">
      <c r="A8043" t="s">
        <v>8049</v>
      </c>
      <c r="B8043" t="s">
        <v>10012</v>
      </c>
      <c r="C8043">
        <v>1</v>
      </c>
      <c r="D8043">
        <v>4</v>
      </c>
      <c r="E8043">
        <v>4</v>
      </c>
      <c r="F8043" t="s">
        <v>10103</v>
      </c>
      <c r="G8043" t="s">
        <v>10069</v>
      </c>
      <c r="H8043" s="6">
        <v>45264</v>
      </c>
      <c r="I8043">
        <f t="shared" si="250"/>
        <v>1</v>
      </c>
      <c r="J8043" t="str">
        <f t="shared" si="251"/>
        <v>Complete</v>
      </c>
      <c r="K8043">
        <f>COUNTIFS(RawData[Item], B8043,RawData[Quantity],C8043,RawData[Price Per Unit],D8043,RawData[Total Spent],E8043,RawData[Payment Method],F8043,RawData[Location],G8043,RawData[Transaction Date],H8043)</f>
        <v>1</v>
      </c>
      <c r="L8043"/>
    </row>
    <row r="8044" spans="1:12" x14ac:dyDescent="0.3">
      <c r="A8044" t="s">
        <v>8050</v>
      </c>
      <c r="B8044" t="s">
        <v>10008</v>
      </c>
      <c r="C8044">
        <v>5</v>
      </c>
      <c r="D8044">
        <v>2</v>
      </c>
      <c r="E8044">
        <v>10</v>
      </c>
      <c r="F8044" t="s">
        <v>10069</v>
      </c>
      <c r="G8044" t="s">
        <v>10069</v>
      </c>
      <c r="H8044" s="6">
        <v>45009</v>
      </c>
      <c r="I8044">
        <f t="shared" si="250"/>
        <v>0</v>
      </c>
      <c r="J8044" t="str">
        <f t="shared" si="251"/>
        <v>Complete</v>
      </c>
      <c r="K8044">
        <f>COUNTIFS(RawData[Item], B8044,RawData[Quantity],C8044,RawData[Price Per Unit],D8044,RawData[Total Spent],E8044,RawData[Payment Method],F8044,RawData[Location],G8044,RawData[Transaction Date],H8044)</f>
        <v>1</v>
      </c>
      <c r="L8044"/>
    </row>
    <row r="8045" spans="1:12" x14ac:dyDescent="0.3">
      <c r="A8045" t="s">
        <v>8051</v>
      </c>
      <c r="B8045" t="s">
        <v>10014</v>
      </c>
      <c r="C8045">
        <v>4</v>
      </c>
      <c r="D8045">
        <v>4</v>
      </c>
      <c r="E8045">
        <v>16</v>
      </c>
      <c r="F8045" t="s">
        <v>10069</v>
      </c>
      <c r="G8045" t="s">
        <v>10102</v>
      </c>
      <c r="H8045" s="6">
        <v>45214</v>
      </c>
      <c r="I8045">
        <f t="shared" si="250"/>
        <v>0</v>
      </c>
      <c r="J8045" t="str">
        <f t="shared" si="251"/>
        <v>Complete</v>
      </c>
      <c r="K8045">
        <f>COUNTIFS(RawData[Item], B8045,RawData[Quantity],C8045,RawData[Price Per Unit],D8045,RawData[Total Spent],E8045,RawData[Payment Method],F8045,RawData[Location],G8045,RawData[Transaction Date],H8045)</f>
        <v>1</v>
      </c>
      <c r="L8045"/>
    </row>
    <row r="8046" spans="1:12" x14ac:dyDescent="0.3">
      <c r="A8046" t="s">
        <v>8052</v>
      </c>
      <c r="B8046" t="s">
        <v>10011</v>
      </c>
      <c r="C8046">
        <v>2</v>
      </c>
      <c r="D8046">
        <v>5</v>
      </c>
      <c r="E8046">
        <v>10</v>
      </c>
      <c r="F8046" t="s">
        <v>10018</v>
      </c>
      <c r="G8046" t="s">
        <v>10069</v>
      </c>
      <c r="H8046" s="6">
        <v>44962</v>
      </c>
      <c r="I8046">
        <f t="shared" si="250"/>
        <v>0</v>
      </c>
      <c r="J8046" t="str">
        <f t="shared" si="251"/>
        <v>Complete</v>
      </c>
      <c r="K8046">
        <f>COUNTIFS(RawData[Item], B8046,RawData[Quantity],C8046,RawData[Price Per Unit],D8046,RawData[Total Spent],E8046,RawData[Payment Method],F8046,RawData[Location],G8046,RawData[Transaction Date],H8046)</f>
        <v>1</v>
      </c>
      <c r="L8046"/>
    </row>
    <row r="8047" spans="1:12" x14ac:dyDescent="0.3">
      <c r="A8047" t="s">
        <v>8053</v>
      </c>
      <c r="B8047" t="s">
        <v>10017</v>
      </c>
      <c r="C8047">
        <v>5</v>
      </c>
      <c r="D8047">
        <v>1.5</v>
      </c>
      <c r="E8047">
        <v>7.5</v>
      </c>
      <c r="F8047" t="s">
        <v>10069</v>
      </c>
      <c r="G8047" t="s">
        <v>10069</v>
      </c>
      <c r="H8047" s="6">
        <v>45049</v>
      </c>
      <c r="I8047">
        <f t="shared" si="250"/>
        <v>0</v>
      </c>
      <c r="J8047" t="str">
        <f t="shared" si="251"/>
        <v>Complete</v>
      </c>
      <c r="K8047">
        <f>COUNTIFS(RawData[Item], B8047,RawData[Quantity],C8047,RawData[Price Per Unit],D8047,RawData[Total Spent],E8047,RawData[Payment Method],F8047,RawData[Location],G8047,RawData[Transaction Date],H8047)</f>
        <v>1</v>
      </c>
      <c r="L8047"/>
    </row>
    <row r="8048" spans="1:12" x14ac:dyDescent="0.3">
      <c r="A8048" t="s">
        <v>8054</v>
      </c>
      <c r="B8048" t="s">
        <v>10008</v>
      </c>
      <c r="C8048">
        <v>5</v>
      </c>
      <c r="D8048">
        <v>2</v>
      </c>
      <c r="E8048">
        <v>10</v>
      </c>
      <c r="F8048" t="s">
        <v>10069</v>
      </c>
      <c r="G8048" t="s">
        <v>10102</v>
      </c>
      <c r="H8048" s="6">
        <v>45019</v>
      </c>
      <c r="I8048">
        <f t="shared" si="250"/>
        <v>0</v>
      </c>
      <c r="J8048" t="str">
        <f t="shared" si="251"/>
        <v>Complete</v>
      </c>
      <c r="K8048">
        <f>COUNTIFS(RawData[Item], B8048,RawData[Quantity],C8048,RawData[Price Per Unit],D8048,RawData[Total Spent],E8048,RawData[Payment Method],F8048,RawData[Location],G8048,RawData[Transaction Date],H8048)</f>
        <v>1</v>
      </c>
      <c r="L8048"/>
    </row>
    <row r="8049" spans="1:12" x14ac:dyDescent="0.3">
      <c r="A8049" t="s">
        <v>8055</v>
      </c>
      <c r="B8049" t="s">
        <v>10009</v>
      </c>
      <c r="C8049">
        <v>1</v>
      </c>
      <c r="D8049">
        <v>3</v>
      </c>
      <c r="E8049">
        <v>3</v>
      </c>
      <c r="F8049" t="s">
        <v>10019</v>
      </c>
      <c r="G8049" t="s">
        <v>10069</v>
      </c>
      <c r="H8049" s="6">
        <v>45270</v>
      </c>
      <c r="I8049">
        <f t="shared" si="250"/>
        <v>0</v>
      </c>
      <c r="J8049" t="str">
        <f t="shared" si="251"/>
        <v>Complete</v>
      </c>
      <c r="K8049">
        <f>COUNTIFS(RawData[Item], B8049,RawData[Quantity],C8049,RawData[Price Per Unit],D8049,RawData[Total Spent],E8049,RawData[Payment Method],F8049,RawData[Location],G8049,RawData[Transaction Date],H8049)</f>
        <v>1</v>
      </c>
      <c r="L8049"/>
    </row>
    <row r="8050" spans="1:12" x14ac:dyDescent="0.3">
      <c r="A8050" t="s">
        <v>8056</v>
      </c>
      <c r="B8050" t="s">
        <v>10014</v>
      </c>
      <c r="C8050">
        <v>4</v>
      </c>
      <c r="D8050">
        <v>4</v>
      </c>
      <c r="E8050">
        <v>16</v>
      </c>
      <c r="F8050" t="s">
        <v>10019</v>
      </c>
      <c r="G8050" t="s">
        <v>10021</v>
      </c>
      <c r="H8050" s="6">
        <v>45277</v>
      </c>
      <c r="I8050">
        <f t="shared" si="250"/>
        <v>0</v>
      </c>
      <c r="J8050" t="str">
        <f t="shared" si="251"/>
        <v>Complete</v>
      </c>
      <c r="K8050">
        <f>COUNTIFS(RawData[Item], B8050,RawData[Quantity],C8050,RawData[Price Per Unit],D8050,RawData[Total Spent],E8050,RawData[Payment Method],F8050,RawData[Location],G8050,RawData[Transaction Date],H8050)</f>
        <v>2</v>
      </c>
      <c r="L8050"/>
    </row>
    <row r="8051" spans="1:12" x14ac:dyDescent="0.3">
      <c r="A8051" t="s">
        <v>8057</v>
      </c>
      <c r="B8051" t="s">
        <v>10009</v>
      </c>
      <c r="C8051">
        <v>0</v>
      </c>
      <c r="D8051">
        <v>3</v>
      </c>
      <c r="E8051">
        <v>9</v>
      </c>
      <c r="F8051" t="s">
        <v>10020</v>
      </c>
      <c r="G8051" t="s">
        <v>10102</v>
      </c>
      <c r="H8051" s="6">
        <v>45009</v>
      </c>
      <c r="I8051">
        <f t="shared" si="250"/>
        <v>0</v>
      </c>
      <c r="J8051" t="str">
        <f t="shared" si="251"/>
        <v>Complete</v>
      </c>
      <c r="K8051">
        <f>COUNTIFS(RawData[Item], B8051,RawData[Quantity],C8051,RawData[Price Per Unit],D8051,RawData[Total Spent],E8051,RawData[Payment Method],F8051,RawData[Location],G8051,RawData[Transaction Date],H8051)</f>
        <v>1</v>
      </c>
      <c r="L8051"/>
    </row>
    <row r="8052" spans="1:12" x14ac:dyDescent="0.3">
      <c r="A8052" t="s">
        <v>8058</v>
      </c>
      <c r="B8052" t="s">
        <v>10011</v>
      </c>
      <c r="C8052">
        <v>5</v>
      </c>
      <c r="D8052">
        <v>5</v>
      </c>
      <c r="E8052">
        <v>25</v>
      </c>
      <c r="F8052" t="s">
        <v>10019</v>
      </c>
      <c r="G8052" t="s">
        <v>10102</v>
      </c>
      <c r="H8052" s="6">
        <v>44936</v>
      </c>
      <c r="I8052">
        <f t="shared" si="250"/>
        <v>0</v>
      </c>
      <c r="J8052" t="str">
        <f t="shared" si="251"/>
        <v>Complete</v>
      </c>
      <c r="K8052">
        <f>COUNTIFS(RawData[Item], B8052,RawData[Quantity],C8052,RawData[Price Per Unit],D8052,RawData[Total Spent],E8052,RawData[Payment Method],F8052,RawData[Location],G8052,RawData[Transaction Date],H8052)</f>
        <v>1</v>
      </c>
      <c r="L8052"/>
    </row>
    <row r="8053" spans="1:12" x14ac:dyDescent="0.3">
      <c r="A8053" t="s">
        <v>8059</v>
      </c>
      <c r="B8053" t="s">
        <v>10016</v>
      </c>
      <c r="C8053">
        <v>3</v>
      </c>
      <c r="D8053">
        <v>3</v>
      </c>
      <c r="E8053">
        <v>9</v>
      </c>
      <c r="F8053" t="s">
        <v>10018</v>
      </c>
      <c r="G8053" t="s">
        <v>10102</v>
      </c>
      <c r="H8053" s="6">
        <v>45088</v>
      </c>
      <c r="I8053">
        <f t="shared" si="250"/>
        <v>0</v>
      </c>
      <c r="J8053" t="str">
        <f t="shared" si="251"/>
        <v>Complete</v>
      </c>
      <c r="K8053">
        <f>COUNTIFS(RawData[Item], B8053,RawData[Quantity],C8053,RawData[Price Per Unit],D8053,RawData[Total Spent],E8053,RawData[Payment Method],F8053,RawData[Location],G8053,RawData[Transaction Date],H8053)</f>
        <v>1</v>
      </c>
      <c r="L8053"/>
    </row>
    <row r="8054" spans="1:12" x14ac:dyDescent="0.3">
      <c r="A8054" t="s">
        <v>8060</v>
      </c>
      <c r="B8054" t="s">
        <v>10008</v>
      </c>
      <c r="C8054">
        <v>3</v>
      </c>
      <c r="D8054">
        <v>2</v>
      </c>
      <c r="E8054">
        <v>6</v>
      </c>
      <c r="F8054" t="s">
        <v>10019</v>
      </c>
      <c r="G8054" t="s">
        <v>10069</v>
      </c>
      <c r="H8054" s="6">
        <v>45231</v>
      </c>
      <c r="I8054">
        <f t="shared" si="250"/>
        <v>0</v>
      </c>
      <c r="J8054" t="str">
        <f t="shared" si="251"/>
        <v>Complete</v>
      </c>
      <c r="K8054">
        <f>COUNTIFS(RawData[Item], B8054,RawData[Quantity],C8054,RawData[Price Per Unit],D8054,RawData[Total Spent],E8054,RawData[Payment Method],F8054,RawData[Location],G8054,RawData[Transaction Date],H8054)</f>
        <v>1</v>
      </c>
      <c r="L8054"/>
    </row>
    <row r="8055" spans="1:12" x14ac:dyDescent="0.3">
      <c r="A8055" t="s">
        <v>8061</v>
      </c>
      <c r="B8055" t="s">
        <v>10011</v>
      </c>
      <c r="C8055">
        <v>4</v>
      </c>
      <c r="D8055">
        <v>5</v>
      </c>
      <c r="E8055">
        <v>20</v>
      </c>
      <c r="F8055" t="s">
        <v>10020</v>
      </c>
      <c r="G8055" t="s">
        <v>10069</v>
      </c>
      <c r="H8055" s="6">
        <v>45030</v>
      </c>
      <c r="I8055">
        <f t="shared" si="250"/>
        <v>0</v>
      </c>
      <c r="J8055" t="str">
        <f t="shared" si="251"/>
        <v>Complete</v>
      </c>
      <c r="K8055">
        <f>COUNTIFS(RawData[Item], B8055,RawData[Quantity],C8055,RawData[Price Per Unit],D8055,RawData[Total Spent],E8055,RawData[Payment Method],F8055,RawData[Location],G8055,RawData[Transaction Date],H8055)</f>
        <v>1</v>
      </c>
      <c r="L8055"/>
    </row>
    <row r="8056" spans="1:12" x14ac:dyDescent="0.3">
      <c r="A8056" t="s">
        <v>8062</v>
      </c>
      <c r="B8056" t="s">
        <v>10014</v>
      </c>
      <c r="C8056">
        <v>2</v>
      </c>
      <c r="D8056">
        <v>4</v>
      </c>
      <c r="E8056">
        <v>8</v>
      </c>
      <c r="F8056" t="s">
        <v>10018</v>
      </c>
      <c r="G8056" t="s">
        <v>10021</v>
      </c>
      <c r="H8056" s="6">
        <v>45209</v>
      </c>
      <c r="I8056">
        <f t="shared" si="250"/>
        <v>0</v>
      </c>
      <c r="J8056" t="str">
        <f t="shared" si="251"/>
        <v>Complete</v>
      </c>
      <c r="K8056">
        <f>COUNTIFS(RawData[Item], B8056,RawData[Quantity],C8056,RawData[Price Per Unit],D8056,RawData[Total Spent],E8056,RawData[Payment Method],F8056,RawData[Location],G8056,RawData[Transaction Date],H8056)</f>
        <v>1</v>
      </c>
      <c r="L8056"/>
    </row>
    <row r="8057" spans="1:12" x14ac:dyDescent="0.3">
      <c r="A8057" t="s">
        <v>8063</v>
      </c>
      <c r="B8057" t="s">
        <v>10012</v>
      </c>
      <c r="C8057">
        <v>3</v>
      </c>
      <c r="D8057">
        <v>4</v>
      </c>
      <c r="E8057">
        <v>12</v>
      </c>
      <c r="F8057" t="s">
        <v>10020</v>
      </c>
      <c r="G8057" t="s">
        <v>10021</v>
      </c>
      <c r="H8057" s="6">
        <v>45282</v>
      </c>
      <c r="I8057">
        <f t="shared" si="250"/>
        <v>0</v>
      </c>
      <c r="J8057" t="str">
        <f t="shared" si="251"/>
        <v>Complete</v>
      </c>
      <c r="K8057">
        <f>COUNTIFS(RawData[Item], B8057,RawData[Quantity],C8057,RawData[Price Per Unit],D8057,RawData[Total Spent],E8057,RawData[Payment Method],F8057,RawData[Location],G8057,RawData[Transaction Date],H8057)</f>
        <v>1</v>
      </c>
      <c r="L8057"/>
    </row>
    <row r="8058" spans="1:12" x14ac:dyDescent="0.3">
      <c r="A8058" t="s">
        <v>8064</v>
      </c>
      <c r="B8058" t="s">
        <v>10016</v>
      </c>
      <c r="C8058">
        <v>1</v>
      </c>
      <c r="D8058">
        <v>3</v>
      </c>
      <c r="E8058">
        <v>3</v>
      </c>
      <c r="F8058" t="s">
        <v>10069</v>
      </c>
      <c r="G8058" t="s">
        <v>10021</v>
      </c>
      <c r="H8058" s="6">
        <v>45215</v>
      </c>
      <c r="I8058">
        <f t="shared" si="250"/>
        <v>0</v>
      </c>
      <c r="J8058" t="str">
        <f t="shared" si="251"/>
        <v>Complete</v>
      </c>
      <c r="K8058">
        <f>COUNTIFS(RawData[Item], B8058,RawData[Quantity],C8058,RawData[Price Per Unit],D8058,RawData[Total Spent],E8058,RawData[Payment Method],F8058,RawData[Location],G8058,RawData[Transaction Date],H8058)</f>
        <v>1</v>
      </c>
      <c r="L8058"/>
    </row>
    <row r="8059" spans="1:12" x14ac:dyDescent="0.3">
      <c r="A8059" t="s">
        <v>8065</v>
      </c>
      <c r="B8059" t="s">
        <v>10009</v>
      </c>
      <c r="C8059">
        <v>1</v>
      </c>
      <c r="D8059">
        <v>3</v>
      </c>
      <c r="E8059">
        <v>3</v>
      </c>
      <c r="F8059" t="s">
        <v>10020</v>
      </c>
      <c r="G8059" t="s">
        <v>10069</v>
      </c>
      <c r="H8059" s="6">
        <v>45135</v>
      </c>
      <c r="I8059">
        <f t="shared" si="250"/>
        <v>0</v>
      </c>
      <c r="J8059" t="str">
        <f t="shared" si="251"/>
        <v>Complete</v>
      </c>
      <c r="K8059">
        <f>COUNTIFS(RawData[Item], B8059,RawData[Quantity],C8059,RawData[Price Per Unit],D8059,RawData[Total Spent],E8059,RawData[Payment Method],F8059,RawData[Location],G8059,RawData[Transaction Date],H8059)</f>
        <v>1</v>
      </c>
      <c r="L8059"/>
    </row>
    <row r="8060" spans="1:12" x14ac:dyDescent="0.3">
      <c r="A8060" t="s">
        <v>8066</v>
      </c>
      <c r="B8060" t="s">
        <v>10016</v>
      </c>
      <c r="C8060">
        <v>1</v>
      </c>
      <c r="D8060" t="s">
        <v>10013</v>
      </c>
      <c r="E8060">
        <v>3</v>
      </c>
      <c r="F8060" t="s">
        <v>10018</v>
      </c>
      <c r="G8060" t="s">
        <v>10069</v>
      </c>
      <c r="H8060" s="6">
        <v>44969</v>
      </c>
      <c r="I8060">
        <f t="shared" si="250"/>
        <v>1</v>
      </c>
      <c r="J8060" t="str">
        <f t="shared" si="251"/>
        <v>Complete</v>
      </c>
      <c r="K8060">
        <f>COUNTIFS(RawData[Item], B8060,RawData[Quantity],C8060,RawData[Price Per Unit],D8060,RawData[Total Spent],E8060,RawData[Payment Method],F8060,RawData[Location],G8060,RawData[Transaction Date],H8060)</f>
        <v>1</v>
      </c>
      <c r="L8060"/>
    </row>
    <row r="8061" spans="1:12" x14ac:dyDescent="0.3">
      <c r="A8061" t="s">
        <v>8067</v>
      </c>
      <c r="B8061" t="s">
        <v>10010</v>
      </c>
      <c r="C8061">
        <v>1</v>
      </c>
      <c r="D8061">
        <v>1</v>
      </c>
      <c r="E8061">
        <v>1</v>
      </c>
      <c r="F8061" t="s">
        <v>10069</v>
      </c>
      <c r="G8061" t="s">
        <v>10102</v>
      </c>
      <c r="H8061" s="6">
        <v>45255</v>
      </c>
      <c r="I8061">
        <f t="shared" si="250"/>
        <v>0</v>
      </c>
      <c r="J8061" t="str">
        <f t="shared" si="251"/>
        <v>Complete</v>
      </c>
      <c r="K8061">
        <f>COUNTIFS(RawData[Item], B8061,RawData[Quantity],C8061,RawData[Price Per Unit],D8061,RawData[Total Spent],E8061,RawData[Payment Method],F8061,RawData[Location],G8061,RawData[Transaction Date],H8061)</f>
        <v>1</v>
      </c>
      <c r="L8061"/>
    </row>
    <row r="8062" spans="1:12" x14ac:dyDescent="0.3">
      <c r="A8062" t="s">
        <v>8068</v>
      </c>
      <c r="B8062" t="s">
        <v>10012</v>
      </c>
      <c r="C8062">
        <v>5</v>
      </c>
      <c r="D8062">
        <v>4</v>
      </c>
      <c r="E8062">
        <v>20</v>
      </c>
      <c r="F8062" t="s">
        <v>10069</v>
      </c>
      <c r="G8062" t="s">
        <v>10021</v>
      </c>
      <c r="H8062" s="6">
        <v>45286</v>
      </c>
      <c r="I8062">
        <f t="shared" si="250"/>
        <v>0</v>
      </c>
      <c r="J8062" t="str">
        <f t="shared" si="251"/>
        <v>Complete</v>
      </c>
      <c r="K8062">
        <f>COUNTIFS(RawData[Item], B8062,RawData[Quantity],C8062,RawData[Price Per Unit],D8062,RawData[Total Spent],E8062,RawData[Payment Method],F8062,RawData[Location],G8062,RawData[Transaction Date],H8062)</f>
        <v>1</v>
      </c>
      <c r="L8062"/>
    </row>
    <row r="8063" spans="1:12" x14ac:dyDescent="0.3">
      <c r="A8063" t="s">
        <v>8069</v>
      </c>
      <c r="B8063" t="s">
        <v>10009</v>
      </c>
      <c r="C8063">
        <v>2</v>
      </c>
      <c r="D8063">
        <v>3</v>
      </c>
      <c r="E8063">
        <v>6</v>
      </c>
      <c r="F8063" t="s">
        <v>10018</v>
      </c>
      <c r="G8063" t="s">
        <v>10069</v>
      </c>
      <c r="H8063" s="6">
        <v>45148</v>
      </c>
      <c r="I8063">
        <f t="shared" si="250"/>
        <v>0</v>
      </c>
      <c r="J8063" t="str">
        <f t="shared" si="251"/>
        <v>Complete</v>
      </c>
      <c r="K8063">
        <f>COUNTIFS(RawData[Item], B8063,RawData[Quantity],C8063,RawData[Price Per Unit],D8063,RawData[Total Spent],E8063,RawData[Payment Method],F8063,RawData[Location],G8063,RawData[Transaction Date],H8063)</f>
        <v>1</v>
      </c>
      <c r="L8063"/>
    </row>
    <row r="8064" spans="1:12" x14ac:dyDescent="0.3">
      <c r="A8064" t="s">
        <v>8070</v>
      </c>
      <c r="B8064" t="s">
        <v>10011</v>
      </c>
      <c r="C8064">
        <v>3</v>
      </c>
      <c r="D8064">
        <v>5</v>
      </c>
      <c r="E8064">
        <v>15</v>
      </c>
      <c r="F8064" t="s">
        <v>10103</v>
      </c>
      <c r="G8064" t="s">
        <v>10021</v>
      </c>
      <c r="H8064" s="6">
        <v>44972</v>
      </c>
      <c r="I8064">
        <f t="shared" si="250"/>
        <v>1</v>
      </c>
      <c r="J8064" t="str">
        <f t="shared" si="251"/>
        <v>Complete</v>
      </c>
      <c r="K8064">
        <f>COUNTIFS(RawData[Item], B8064,RawData[Quantity],C8064,RawData[Price Per Unit],D8064,RawData[Total Spent],E8064,RawData[Payment Method],F8064,RawData[Location],G8064,RawData[Transaction Date],H8064)</f>
        <v>1</v>
      </c>
      <c r="L8064"/>
    </row>
    <row r="8065" spans="1:12" x14ac:dyDescent="0.3">
      <c r="A8065" t="s">
        <v>8071</v>
      </c>
      <c r="B8065" t="s">
        <v>10008</v>
      </c>
      <c r="C8065">
        <v>1</v>
      </c>
      <c r="D8065">
        <v>2</v>
      </c>
      <c r="E8065">
        <v>2</v>
      </c>
      <c r="F8065" t="s">
        <v>10069</v>
      </c>
      <c r="G8065" t="s">
        <v>10069</v>
      </c>
      <c r="H8065" s="6">
        <v>45257</v>
      </c>
      <c r="I8065">
        <f t="shared" si="250"/>
        <v>0</v>
      </c>
      <c r="J8065" t="str">
        <f t="shared" si="251"/>
        <v>Complete</v>
      </c>
      <c r="K8065">
        <f>COUNTIFS(RawData[Item], B8065,RawData[Quantity],C8065,RawData[Price Per Unit],D8065,RawData[Total Spent],E8065,RawData[Payment Method],F8065,RawData[Location],G8065,RawData[Transaction Date],H8065)</f>
        <v>1</v>
      </c>
      <c r="L8065"/>
    </row>
    <row r="8066" spans="1:12" x14ac:dyDescent="0.3">
      <c r="A8066" t="s">
        <v>8072</v>
      </c>
      <c r="B8066" t="s">
        <v>10016</v>
      </c>
      <c r="C8066">
        <v>4</v>
      </c>
      <c r="D8066">
        <v>3</v>
      </c>
      <c r="E8066">
        <v>12</v>
      </c>
      <c r="F8066" t="s">
        <v>10019</v>
      </c>
      <c r="G8066" t="s">
        <v>10021</v>
      </c>
      <c r="H8066" s="6" t="s">
        <v>10112</v>
      </c>
      <c r="I8066">
        <f t="shared" ref="I8066:I8129" si="252">(B8066="Unknown")+(B8066="Error")+(C8066="Unknown")+(C8066="Error")+(D8066="Unknown")+(D8066="Error")+(E8066="Unknown")+(E8066="Error")+(F8066="Unknown")+(F8066="Error")+(G8066="Unknown")+(G8066="Error")+(H8066="No Date")</f>
        <v>1</v>
      </c>
      <c r="J8066" t="str">
        <f t="shared" ref="J8066:J8129" si="253">IF((H8066="No Date"),"Incomplete","Complete")</f>
        <v>Incomplete</v>
      </c>
      <c r="K8066">
        <f>COUNTIFS(RawData[Item], B8066,RawData[Quantity],C8066,RawData[Price Per Unit],D8066,RawData[Total Spent],E8066,RawData[Payment Method],F8066,RawData[Location],G8066,RawData[Transaction Date],H8066)</f>
        <v>1</v>
      </c>
      <c r="L8066"/>
    </row>
    <row r="8067" spans="1:12" x14ac:dyDescent="0.3">
      <c r="A8067" t="s">
        <v>8073</v>
      </c>
      <c r="B8067" t="s">
        <v>10009</v>
      </c>
      <c r="C8067">
        <v>4</v>
      </c>
      <c r="D8067">
        <v>3</v>
      </c>
      <c r="E8067">
        <v>12</v>
      </c>
      <c r="F8067" t="s">
        <v>10018</v>
      </c>
      <c r="G8067" t="s">
        <v>10102</v>
      </c>
      <c r="H8067" s="6">
        <v>45104</v>
      </c>
      <c r="I8067">
        <f t="shared" si="252"/>
        <v>0</v>
      </c>
      <c r="J8067" t="str">
        <f t="shared" si="253"/>
        <v>Complete</v>
      </c>
      <c r="K8067">
        <f>COUNTIFS(RawData[Item], B8067,RawData[Quantity],C8067,RawData[Price Per Unit],D8067,RawData[Total Spent],E8067,RawData[Payment Method],F8067,RawData[Location],G8067,RawData[Transaction Date],H8067)</f>
        <v>1</v>
      </c>
      <c r="L8067"/>
    </row>
    <row r="8068" spans="1:12" x14ac:dyDescent="0.3">
      <c r="A8068" t="s">
        <v>8074</v>
      </c>
      <c r="B8068" t="s">
        <v>10014</v>
      </c>
      <c r="C8068">
        <v>4</v>
      </c>
      <c r="D8068">
        <v>4</v>
      </c>
      <c r="E8068">
        <v>0</v>
      </c>
      <c r="F8068" t="s">
        <v>10069</v>
      </c>
      <c r="G8068" t="s">
        <v>10102</v>
      </c>
      <c r="H8068" s="6">
        <v>45013</v>
      </c>
      <c r="I8068">
        <f t="shared" si="252"/>
        <v>0</v>
      </c>
      <c r="J8068" t="str">
        <f t="shared" si="253"/>
        <v>Complete</v>
      </c>
      <c r="K8068">
        <f>COUNTIFS(RawData[Item], B8068,RawData[Quantity],C8068,RawData[Price Per Unit],D8068,RawData[Total Spent],E8068,RawData[Payment Method],F8068,RawData[Location],G8068,RawData[Transaction Date],H8068)</f>
        <v>1</v>
      </c>
      <c r="L8068"/>
    </row>
    <row r="8069" spans="1:12" x14ac:dyDescent="0.3">
      <c r="A8069" t="s">
        <v>8075</v>
      </c>
      <c r="B8069" t="s">
        <v>10009</v>
      </c>
      <c r="C8069">
        <v>1</v>
      </c>
      <c r="D8069" t="s">
        <v>10013</v>
      </c>
      <c r="E8069">
        <v>3</v>
      </c>
      <c r="F8069" t="s">
        <v>10069</v>
      </c>
      <c r="G8069" t="s">
        <v>10069</v>
      </c>
      <c r="H8069" s="6">
        <v>45186</v>
      </c>
      <c r="I8069">
        <f t="shared" si="252"/>
        <v>1</v>
      </c>
      <c r="J8069" t="str">
        <f t="shared" si="253"/>
        <v>Complete</v>
      </c>
      <c r="K8069">
        <f>COUNTIFS(RawData[Item], B8069,RawData[Quantity],C8069,RawData[Price Per Unit],D8069,RawData[Total Spent],E8069,RawData[Payment Method],F8069,RawData[Location],G8069,RawData[Transaction Date],H8069)</f>
        <v>1</v>
      </c>
      <c r="L8069"/>
    </row>
    <row r="8070" spans="1:12" x14ac:dyDescent="0.3">
      <c r="A8070" t="s">
        <v>8076</v>
      </c>
      <c r="B8070" t="s">
        <v>10069</v>
      </c>
      <c r="C8070">
        <v>3</v>
      </c>
      <c r="D8070">
        <v>5</v>
      </c>
      <c r="E8070">
        <v>15</v>
      </c>
      <c r="F8070" t="s">
        <v>10020</v>
      </c>
      <c r="G8070" t="s">
        <v>10069</v>
      </c>
      <c r="H8070" s="6" t="s">
        <v>10112</v>
      </c>
      <c r="I8070">
        <f t="shared" si="252"/>
        <v>1</v>
      </c>
      <c r="J8070" t="str">
        <f t="shared" si="253"/>
        <v>Incomplete</v>
      </c>
      <c r="K8070">
        <f>COUNTIFS(RawData[Item], B8070,RawData[Quantity],C8070,RawData[Price Per Unit],D8070,RawData[Total Spent],E8070,RawData[Payment Method],F8070,RawData[Location],G8070,RawData[Transaction Date],H8070)</f>
        <v>1</v>
      </c>
      <c r="L8070"/>
    </row>
    <row r="8071" spans="1:12" x14ac:dyDescent="0.3">
      <c r="A8071" t="s">
        <v>8077</v>
      </c>
      <c r="B8071" t="s">
        <v>10014</v>
      </c>
      <c r="C8071">
        <v>2</v>
      </c>
      <c r="D8071">
        <v>4</v>
      </c>
      <c r="E8071" t="s">
        <v>10015</v>
      </c>
      <c r="F8071" t="s">
        <v>10069</v>
      </c>
      <c r="G8071" t="s">
        <v>10069</v>
      </c>
      <c r="H8071" s="6">
        <v>44976</v>
      </c>
      <c r="I8071">
        <f t="shared" si="252"/>
        <v>1</v>
      </c>
      <c r="J8071" t="str">
        <f t="shared" si="253"/>
        <v>Complete</v>
      </c>
      <c r="K8071">
        <f>COUNTIFS(RawData[Item], B8071,RawData[Quantity],C8071,RawData[Price Per Unit],D8071,RawData[Total Spent],E8071,RawData[Payment Method],F8071,RawData[Location],G8071,RawData[Transaction Date],H8071)</f>
        <v>1</v>
      </c>
      <c r="L8071"/>
    </row>
    <row r="8072" spans="1:12" x14ac:dyDescent="0.3">
      <c r="A8072" t="s">
        <v>8078</v>
      </c>
      <c r="B8072" t="s">
        <v>10010</v>
      </c>
      <c r="C8072">
        <v>4</v>
      </c>
      <c r="D8072">
        <v>1</v>
      </c>
      <c r="E8072">
        <v>4</v>
      </c>
      <c r="F8072" t="s">
        <v>10069</v>
      </c>
      <c r="G8072" t="s">
        <v>10104</v>
      </c>
      <c r="H8072" s="6">
        <v>44930</v>
      </c>
      <c r="I8072">
        <f t="shared" si="252"/>
        <v>1</v>
      </c>
      <c r="J8072" t="str">
        <f t="shared" si="253"/>
        <v>Complete</v>
      </c>
      <c r="K8072">
        <f>COUNTIFS(RawData[Item], B8072,RawData[Quantity],C8072,RawData[Price Per Unit],D8072,RawData[Total Spent],E8072,RawData[Payment Method],F8072,RawData[Location],G8072,RawData[Transaction Date],H8072)</f>
        <v>1</v>
      </c>
      <c r="L8072"/>
    </row>
    <row r="8073" spans="1:12" x14ac:dyDescent="0.3">
      <c r="A8073" t="s">
        <v>8079</v>
      </c>
      <c r="B8073" t="s">
        <v>10009</v>
      </c>
      <c r="C8073">
        <v>5</v>
      </c>
      <c r="D8073" t="s">
        <v>10013</v>
      </c>
      <c r="E8073">
        <v>15</v>
      </c>
      <c r="F8073" t="s">
        <v>10020</v>
      </c>
      <c r="G8073" t="s">
        <v>10021</v>
      </c>
      <c r="H8073" s="6">
        <v>45080</v>
      </c>
      <c r="I8073">
        <f t="shared" si="252"/>
        <v>1</v>
      </c>
      <c r="J8073" t="str">
        <f t="shared" si="253"/>
        <v>Complete</v>
      </c>
      <c r="K8073">
        <f>COUNTIFS(RawData[Item], B8073,RawData[Quantity],C8073,RawData[Price Per Unit],D8073,RawData[Total Spent],E8073,RawData[Payment Method],F8073,RawData[Location],G8073,RawData[Transaction Date],H8073)</f>
        <v>1</v>
      </c>
      <c r="L8073"/>
    </row>
    <row r="8074" spans="1:12" x14ac:dyDescent="0.3">
      <c r="A8074" t="s">
        <v>8080</v>
      </c>
      <c r="B8074" t="s">
        <v>10011</v>
      </c>
      <c r="C8074">
        <v>3</v>
      </c>
      <c r="D8074">
        <v>5</v>
      </c>
      <c r="E8074">
        <v>15</v>
      </c>
      <c r="F8074" t="s">
        <v>10018</v>
      </c>
      <c r="G8074" t="s">
        <v>10069</v>
      </c>
      <c r="H8074" s="6">
        <v>45115</v>
      </c>
      <c r="I8074">
        <f t="shared" si="252"/>
        <v>0</v>
      </c>
      <c r="J8074" t="str">
        <f t="shared" si="253"/>
        <v>Complete</v>
      </c>
      <c r="K8074">
        <f>COUNTIFS(RawData[Item], B8074,RawData[Quantity],C8074,RawData[Price Per Unit],D8074,RawData[Total Spent],E8074,RawData[Payment Method],F8074,RawData[Location],G8074,RawData[Transaction Date],H8074)</f>
        <v>1</v>
      </c>
      <c r="L8074"/>
    </row>
    <row r="8075" spans="1:12" x14ac:dyDescent="0.3">
      <c r="A8075" t="s">
        <v>8081</v>
      </c>
      <c r="B8075" t="s">
        <v>10016</v>
      </c>
      <c r="C8075">
        <v>2</v>
      </c>
      <c r="D8075">
        <v>3</v>
      </c>
      <c r="E8075">
        <v>6</v>
      </c>
      <c r="F8075" t="s">
        <v>10018</v>
      </c>
      <c r="G8075" t="s">
        <v>10021</v>
      </c>
      <c r="H8075" s="6">
        <v>45171</v>
      </c>
      <c r="I8075">
        <f t="shared" si="252"/>
        <v>0</v>
      </c>
      <c r="J8075" t="str">
        <f t="shared" si="253"/>
        <v>Complete</v>
      </c>
      <c r="K8075">
        <f>COUNTIFS(RawData[Item], B8075,RawData[Quantity],C8075,RawData[Price Per Unit],D8075,RawData[Total Spent],E8075,RawData[Payment Method],F8075,RawData[Location],G8075,RawData[Transaction Date],H8075)</f>
        <v>1</v>
      </c>
      <c r="L8075"/>
    </row>
    <row r="8076" spans="1:12" x14ac:dyDescent="0.3">
      <c r="A8076" t="s">
        <v>8082</v>
      </c>
      <c r="B8076" t="s">
        <v>10008</v>
      </c>
      <c r="C8076">
        <v>5</v>
      </c>
      <c r="D8076">
        <v>2</v>
      </c>
      <c r="E8076">
        <v>10</v>
      </c>
      <c r="F8076" t="s">
        <v>10019</v>
      </c>
      <c r="G8076" t="s">
        <v>10021</v>
      </c>
      <c r="H8076" s="6">
        <v>44975</v>
      </c>
      <c r="I8076">
        <f t="shared" si="252"/>
        <v>0</v>
      </c>
      <c r="J8076" t="str">
        <f t="shared" si="253"/>
        <v>Complete</v>
      </c>
      <c r="K8076">
        <f>COUNTIFS(RawData[Item], B8076,RawData[Quantity],C8076,RawData[Price Per Unit],D8076,RawData[Total Spent],E8076,RawData[Payment Method],F8076,RawData[Location],G8076,RawData[Transaction Date],H8076)</f>
        <v>1</v>
      </c>
      <c r="L8076"/>
    </row>
    <row r="8077" spans="1:12" x14ac:dyDescent="0.3">
      <c r="A8077" t="s">
        <v>8083</v>
      </c>
      <c r="B8077" t="s">
        <v>10009</v>
      </c>
      <c r="C8077">
        <v>5</v>
      </c>
      <c r="D8077">
        <v>3</v>
      </c>
      <c r="E8077">
        <v>15</v>
      </c>
      <c r="F8077" t="s">
        <v>10020</v>
      </c>
      <c r="G8077" t="s">
        <v>10102</v>
      </c>
      <c r="H8077" s="6">
        <v>45091</v>
      </c>
      <c r="I8077">
        <f t="shared" si="252"/>
        <v>0</v>
      </c>
      <c r="J8077" t="str">
        <f t="shared" si="253"/>
        <v>Complete</v>
      </c>
      <c r="K8077">
        <f>COUNTIFS(RawData[Item], B8077,RawData[Quantity],C8077,RawData[Price Per Unit],D8077,RawData[Total Spent],E8077,RawData[Payment Method],F8077,RawData[Location],G8077,RawData[Transaction Date],H8077)</f>
        <v>1</v>
      </c>
      <c r="L8077"/>
    </row>
    <row r="8078" spans="1:12" x14ac:dyDescent="0.3">
      <c r="A8078" t="s">
        <v>8084</v>
      </c>
      <c r="B8078" t="s">
        <v>10017</v>
      </c>
      <c r="C8078">
        <v>1</v>
      </c>
      <c r="D8078">
        <v>1.5</v>
      </c>
      <c r="E8078">
        <v>1.5</v>
      </c>
      <c r="F8078" t="s">
        <v>10020</v>
      </c>
      <c r="G8078" t="s">
        <v>10069</v>
      </c>
      <c r="H8078" s="6">
        <v>45277</v>
      </c>
      <c r="I8078">
        <f t="shared" si="252"/>
        <v>0</v>
      </c>
      <c r="J8078" t="str">
        <f t="shared" si="253"/>
        <v>Complete</v>
      </c>
      <c r="K8078">
        <f>COUNTIFS(RawData[Item], B8078,RawData[Quantity],C8078,RawData[Price Per Unit],D8078,RawData[Total Spent],E8078,RawData[Payment Method],F8078,RawData[Location],G8078,RawData[Transaction Date],H8078)</f>
        <v>1</v>
      </c>
      <c r="L8078"/>
    </row>
    <row r="8079" spans="1:12" x14ac:dyDescent="0.3">
      <c r="A8079" t="s">
        <v>8085</v>
      </c>
      <c r="B8079" t="s">
        <v>10016</v>
      </c>
      <c r="C8079">
        <v>3</v>
      </c>
      <c r="D8079">
        <v>3</v>
      </c>
      <c r="E8079">
        <v>9</v>
      </c>
      <c r="F8079" t="s">
        <v>10019</v>
      </c>
      <c r="G8079" t="s">
        <v>10069</v>
      </c>
      <c r="H8079" s="6">
        <v>45095</v>
      </c>
      <c r="I8079">
        <f t="shared" si="252"/>
        <v>0</v>
      </c>
      <c r="J8079" t="str">
        <f t="shared" si="253"/>
        <v>Complete</v>
      </c>
      <c r="K8079">
        <f>COUNTIFS(RawData[Item], B8079,RawData[Quantity],C8079,RawData[Price Per Unit],D8079,RawData[Total Spent],E8079,RawData[Payment Method],F8079,RawData[Location],G8079,RawData[Transaction Date],H8079)</f>
        <v>1</v>
      </c>
      <c r="L8079"/>
    </row>
    <row r="8080" spans="1:12" x14ac:dyDescent="0.3">
      <c r="A8080" t="s">
        <v>8086</v>
      </c>
      <c r="B8080" t="s">
        <v>10008</v>
      </c>
      <c r="C8080">
        <v>2</v>
      </c>
      <c r="D8080" t="s">
        <v>10015</v>
      </c>
      <c r="E8080">
        <v>4</v>
      </c>
      <c r="F8080" t="s">
        <v>10020</v>
      </c>
      <c r="G8080" t="s">
        <v>10021</v>
      </c>
      <c r="H8080" s="6">
        <v>45009</v>
      </c>
      <c r="I8080">
        <f t="shared" si="252"/>
        <v>1</v>
      </c>
      <c r="J8080" t="str">
        <f t="shared" si="253"/>
        <v>Complete</v>
      </c>
      <c r="K8080">
        <f>COUNTIFS(RawData[Item], B8080,RawData[Quantity],C8080,RawData[Price Per Unit],D8080,RawData[Total Spent],E8080,RawData[Payment Method],F8080,RawData[Location],G8080,RawData[Transaction Date],H8080)</f>
        <v>1</v>
      </c>
      <c r="L8080"/>
    </row>
    <row r="8081" spans="1:12" x14ac:dyDescent="0.3">
      <c r="A8081" t="s">
        <v>8087</v>
      </c>
      <c r="B8081" t="s">
        <v>10016</v>
      </c>
      <c r="C8081">
        <v>3</v>
      </c>
      <c r="D8081">
        <v>3</v>
      </c>
      <c r="E8081">
        <v>9</v>
      </c>
      <c r="F8081" t="s">
        <v>10018</v>
      </c>
      <c r="G8081" t="s">
        <v>10069</v>
      </c>
      <c r="H8081" s="6">
        <v>45033</v>
      </c>
      <c r="I8081">
        <f t="shared" si="252"/>
        <v>0</v>
      </c>
      <c r="J8081" t="str">
        <f t="shared" si="253"/>
        <v>Complete</v>
      </c>
      <c r="K8081">
        <f>COUNTIFS(RawData[Item], B8081,RawData[Quantity],C8081,RawData[Price Per Unit],D8081,RawData[Total Spent],E8081,RawData[Payment Method],F8081,RawData[Location],G8081,RawData[Transaction Date],H8081)</f>
        <v>1</v>
      </c>
      <c r="L8081"/>
    </row>
    <row r="8082" spans="1:12" x14ac:dyDescent="0.3">
      <c r="A8082" t="s">
        <v>8088</v>
      </c>
      <c r="B8082" t="s">
        <v>10012</v>
      </c>
      <c r="C8082">
        <v>2</v>
      </c>
      <c r="D8082">
        <v>4</v>
      </c>
      <c r="E8082">
        <v>8</v>
      </c>
      <c r="F8082" t="s">
        <v>10020</v>
      </c>
      <c r="G8082" t="s">
        <v>10069</v>
      </c>
      <c r="H8082" s="6">
        <v>45263</v>
      </c>
      <c r="I8082">
        <f t="shared" si="252"/>
        <v>0</v>
      </c>
      <c r="J8082" t="str">
        <f t="shared" si="253"/>
        <v>Complete</v>
      </c>
      <c r="K8082">
        <f>COUNTIFS(RawData[Item], B8082,RawData[Quantity],C8082,RawData[Price Per Unit],D8082,RawData[Total Spent],E8082,RawData[Payment Method],F8082,RawData[Location],G8082,RawData[Transaction Date],H8082)</f>
        <v>1</v>
      </c>
      <c r="L8082"/>
    </row>
    <row r="8083" spans="1:12" x14ac:dyDescent="0.3">
      <c r="A8083" t="s">
        <v>8089</v>
      </c>
      <c r="B8083" t="s">
        <v>10010</v>
      </c>
      <c r="C8083">
        <v>2</v>
      </c>
      <c r="D8083">
        <v>1</v>
      </c>
      <c r="E8083">
        <v>2</v>
      </c>
      <c r="F8083" t="s">
        <v>10020</v>
      </c>
      <c r="G8083" t="s">
        <v>10069</v>
      </c>
      <c r="H8083" s="6">
        <v>45020</v>
      </c>
      <c r="I8083">
        <f t="shared" si="252"/>
        <v>0</v>
      </c>
      <c r="J8083" t="str">
        <f t="shared" si="253"/>
        <v>Complete</v>
      </c>
      <c r="K8083">
        <f>COUNTIFS(RawData[Item], B8083,RawData[Quantity],C8083,RawData[Price Per Unit],D8083,RawData[Total Spent],E8083,RawData[Payment Method],F8083,RawData[Location],G8083,RawData[Transaction Date],H8083)</f>
        <v>1</v>
      </c>
      <c r="L8083"/>
    </row>
    <row r="8084" spans="1:12" x14ac:dyDescent="0.3">
      <c r="A8084" t="s">
        <v>8090</v>
      </c>
      <c r="B8084" t="s">
        <v>10016</v>
      </c>
      <c r="C8084">
        <v>5</v>
      </c>
      <c r="D8084">
        <v>3</v>
      </c>
      <c r="E8084">
        <v>15</v>
      </c>
      <c r="F8084" t="s">
        <v>10069</v>
      </c>
      <c r="G8084" t="s">
        <v>10021</v>
      </c>
      <c r="H8084" s="6">
        <v>45055</v>
      </c>
      <c r="I8084">
        <f t="shared" si="252"/>
        <v>0</v>
      </c>
      <c r="J8084" t="str">
        <f t="shared" si="253"/>
        <v>Complete</v>
      </c>
      <c r="K8084">
        <f>COUNTIFS(RawData[Item], B8084,RawData[Quantity],C8084,RawData[Price Per Unit],D8084,RawData[Total Spent],E8084,RawData[Payment Method],F8084,RawData[Location],G8084,RawData[Transaction Date],H8084)</f>
        <v>1</v>
      </c>
      <c r="L8084"/>
    </row>
    <row r="8085" spans="1:12" x14ac:dyDescent="0.3">
      <c r="A8085" t="s">
        <v>8091</v>
      </c>
      <c r="B8085" t="s">
        <v>10008</v>
      </c>
      <c r="C8085">
        <v>5</v>
      </c>
      <c r="D8085">
        <v>2</v>
      </c>
      <c r="E8085">
        <v>10</v>
      </c>
      <c r="F8085" t="s">
        <v>10018</v>
      </c>
      <c r="G8085" t="s">
        <v>10021</v>
      </c>
      <c r="H8085" s="6">
        <v>45236</v>
      </c>
      <c r="I8085">
        <f t="shared" si="252"/>
        <v>0</v>
      </c>
      <c r="J8085" t="str">
        <f t="shared" si="253"/>
        <v>Complete</v>
      </c>
      <c r="K8085">
        <f>COUNTIFS(RawData[Item], B8085,RawData[Quantity],C8085,RawData[Price Per Unit],D8085,RawData[Total Spent],E8085,RawData[Payment Method],F8085,RawData[Location],G8085,RawData[Transaction Date],H8085)</f>
        <v>1</v>
      </c>
      <c r="L8085"/>
    </row>
    <row r="8086" spans="1:12" x14ac:dyDescent="0.3">
      <c r="A8086" t="s">
        <v>8092</v>
      </c>
      <c r="B8086" t="s">
        <v>10069</v>
      </c>
      <c r="C8086">
        <v>4</v>
      </c>
      <c r="D8086">
        <v>1.5</v>
      </c>
      <c r="E8086">
        <v>6</v>
      </c>
      <c r="F8086" t="s">
        <v>10018</v>
      </c>
      <c r="G8086" t="s">
        <v>10069</v>
      </c>
      <c r="H8086" s="6" t="s">
        <v>10112</v>
      </c>
      <c r="I8086">
        <f t="shared" si="252"/>
        <v>1</v>
      </c>
      <c r="J8086" t="str">
        <f t="shared" si="253"/>
        <v>Incomplete</v>
      </c>
      <c r="K8086">
        <f>COUNTIFS(RawData[Item], B8086,RawData[Quantity],C8086,RawData[Price Per Unit],D8086,RawData[Total Spent],E8086,RawData[Payment Method],F8086,RawData[Location],G8086,RawData[Transaction Date],H8086)</f>
        <v>1</v>
      </c>
      <c r="L8086"/>
    </row>
    <row r="8087" spans="1:12" x14ac:dyDescent="0.3">
      <c r="A8087" t="s">
        <v>8093</v>
      </c>
      <c r="B8087" t="s">
        <v>10016</v>
      </c>
      <c r="C8087">
        <v>2</v>
      </c>
      <c r="D8087">
        <v>3</v>
      </c>
      <c r="E8087">
        <v>6</v>
      </c>
      <c r="F8087" t="s">
        <v>10020</v>
      </c>
      <c r="G8087" t="s">
        <v>10021</v>
      </c>
      <c r="H8087" s="6">
        <v>45169</v>
      </c>
      <c r="I8087">
        <f t="shared" si="252"/>
        <v>0</v>
      </c>
      <c r="J8087" t="str">
        <f t="shared" si="253"/>
        <v>Complete</v>
      </c>
      <c r="K8087">
        <f>COUNTIFS(RawData[Item], B8087,RawData[Quantity],C8087,RawData[Price Per Unit],D8087,RawData[Total Spent],E8087,RawData[Payment Method],F8087,RawData[Location],G8087,RawData[Transaction Date],H8087)</f>
        <v>1</v>
      </c>
      <c r="L8087"/>
    </row>
    <row r="8088" spans="1:12" x14ac:dyDescent="0.3">
      <c r="A8088" t="s">
        <v>8094</v>
      </c>
      <c r="B8088" t="s">
        <v>10009</v>
      </c>
      <c r="C8088">
        <v>3</v>
      </c>
      <c r="D8088">
        <v>3</v>
      </c>
      <c r="E8088">
        <v>9</v>
      </c>
      <c r="F8088" t="s">
        <v>10018</v>
      </c>
      <c r="G8088" t="s">
        <v>10069</v>
      </c>
      <c r="H8088" s="6">
        <v>45213</v>
      </c>
      <c r="I8088">
        <f t="shared" si="252"/>
        <v>0</v>
      </c>
      <c r="J8088" t="str">
        <f t="shared" si="253"/>
        <v>Complete</v>
      </c>
      <c r="K8088">
        <f>COUNTIFS(RawData[Item], B8088,RawData[Quantity],C8088,RawData[Price Per Unit],D8088,RawData[Total Spent],E8088,RawData[Payment Method],F8088,RawData[Location],G8088,RawData[Transaction Date],H8088)</f>
        <v>1</v>
      </c>
      <c r="L8088"/>
    </row>
    <row r="8089" spans="1:12" x14ac:dyDescent="0.3">
      <c r="A8089" t="s">
        <v>8095</v>
      </c>
      <c r="B8089" t="s">
        <v>10012</v>
      </c>
      <c r="C8089">
        <v>4</v>
      </c>
      <c r="D8089">
        <v>4</v>
      </c>
      <c r="E8089" t="s">
        <v>10013</v>
      </c>
      <c r="F8089" t="s">
        <v>10069</v>
      </c>
      <c r="G8089" t="s">
        <v>10102</v>
      </c>
      <c r="H8089" s="6">
        <v>45250</v>
      </c>
      <c r="I8089">
        <f t="shared" si="252"/>
        <v>1</v>
      </c>
      <c r="J8089" t="str">
        <f t="shared" si="253"/>
        <v>Complete</v>
      </c>
      <c r="K8089">
        <f>COUNTIFS(RawData[Item], B8089,RawData[Quantity],C8089,RawData[Price Per Unit],D8089,RawData[Total Spent],E8089,RawData[Payment Method],F8089,RawData[Location],G8089,RawData[Transaction Date],H8089)</f>
        <v>1</v>
      </c>
      <c r="L8089"/>
    </row>
    <row r="8090" spans="1:12" x14ac:dyDescent="0.3">
      <c r="A8090" t="s">
        <v>8096</v>
      </c>
      <c r="B8090" t="s">
        <v>10013</v>
      </c>
      <c r="C8090">
        <v>1</v>
      </c>
      <c r="D8090">
        <v>5</v>
      </c>
      <c r="E8090">
        <v>5</v>
      </c>
      <c r="F8090" t="s">
        <v>10018</v>
      </c>
      <c r="G8090" t="s">
        <v>10021</v>
      </c>
      <c r="H8090" s="6">
        <v>45229</v>
      </c>
      <c r="I8090">
        <f t="shared" si="252"/>
        <v>1</v>
      </c>
      <c r="J8090" t="str">
        <f t="shared" si="253"/>
        <v>Complete</v>
      </c>
      <c r="K8090">
        <f>COUNTIFS(RawData[Item], B8090,RawData[Quantity],C8090,RawData[Price Per Unit],D8090,RawData[Total Spent],E8090,RawData[Payment Method],F8090,RawData[Location],G8090,RawData[Transaction Date],H8090)</f>
        <v>1</v>
      </c>
      <c r="L8090"/>
    </row>
    <row r="8091" spans="1:12" x14ac:dyDescent="0.3">
      <c r="A8091" t="s">
        <v>8097</v>
      </c>
      <c r="B8091" t="s">
        <v>10069</v>
      </c>
      <c r="C8091">
        <v>3</v>
      </c>
      <c r="D8091">
        <v>2</v>
      </c>
      <c r="E8091">
        <v>6</v>
      </c>
      <c r="F8091" t="s">
        <v>10020</v>
      </c>
      <c r="G8091" t="s">
        <v>10069</v>
      </c>
      <c r="H8091" s="6">
        <v>45219</v>
      </c>
      <c r="I8091">
        <f t="shared" si="252"/>
        <v>0</v>
      </c>
      <c r="J8091" t="str">
        <f t="shared" si="253"/>
        <v>Complete</v>
      </c>
      <c r="K8091">
        <f>COUNTIFS(RawData[Item], B8091,RawData[Quantity],C8091,RawData[Price Per Unit],D8091,RawData[Total Spent],E8091,RawData[Payment Method],F8091,RawData[Location],G8091,RawData[Transaction Date],H8091)</f>
        <v>1</v>
      </c>
      <c r="L8091"/>
    </row>
    <row r="8092" spans="1:12" x14ac:dyDescent="0.3">
      <c r="A8092" t="s">
        <v>8098</v>
      </c>
      <c r="B8092" t="s">
        <v>10014</v>
      </c>
      <c r="C8092">
        <v>2</v>
      </c>
      <c r="D8092">
        <v>4</v>
      </c>
      <c r="E8092">
        <v>8</v>
      </c>
      <c r="F8092" t="s">
        <v>10018</v>
      </c>
      <c r="G8092" t="s">
        <v>10021</v>
      </c>
      <c r="H8092" s="6">
        <v>44937</v>
      </c>
      <c r="I8092">
        <f t="shared" si="252"/>
        <v>0</v>
      </c>
      <c r="J8092" t="str">
        <f t="shared" si="253"/>
        <v>Complete</v>
      </c>
      <c r="K8092">
        <f>COUNTIFS(RawData[Item], B8092,RawData[Quantity],C8092,RawData[Price Per Unit],D8092,RawData[Total Spent],E8092,RawData[Payment Method],F8092,RawData[Location],G8092,RawData[Transaction Date],H8092)</f>
        <v>1</v>
      </c>
      <c r="L8092"/>
    </row>
    <row r="8093" spans="1:12" x14ac:dyDescent="0.3">
      <c r="A8093" t="s">
        <v>8099</v>
      </c>
      <c r="B8093" t="s">
        <v>10010</v>
      </c>
      <c r="C8093">
        <v>3</v>
      </c>
      <c r="D8093">
        <v>1</v>
      </c>
      <c r="E8093">
        <v>3</v>
      </c>
      <c r="F8093" t="s">
        <v>10069</v>
      </c>
      <c r="G8093" t="s">
        <v>10102</v>
      </c>
      <c r="H8093" s="6">
        <v>45099</v>
      </c>
      <c r="I8093">
        <f t="shared" si="252"/>
        <v>0</v>
      </c>
      <c r="J8093" t="str">
        <f t="shared" si="253"/>
        <v>Complete</v>
      </c>
      <c r="K8093">
        <f>COUNTIFS(RawData[Item], B8093,RawData[Quantity],C8093,RawData[Price Per Unit],D8093,RawData[Total Spent],E8093,RawData[Payment Method],F8093,RawData[Location],G8093,RawData[Transaction Date],H8093)</f>
        <v>1</v>
      </c>
      <c r="L8093"/>
    </row>
    <row r="8094" spans="1:12" x14ac:dyDescent="0.3">
      <c r="A8094" t="s">
        <v>8100</v>
      </c>
      <c r="B8094" t="s">
        <v>10008</v>
      </c>
      <c r="C8094">
        <v>1</v>
      </c>
      <c r="D8094" t="s">
        <v>10015</v>
      </c>
      <c r="E8094">
        <v>2</v>
      </c>
      <c r="F8094" t="s">
        <v>10104</v>
      </c>
      <c r="G8094" t="s">
        <v>10021</v>
      </c>
      <c r="H8094" s="6">
        <v>44979</v>
      </c>
      <c r="I8094">
        <f t="shared" si="252"/>
        <v>2</v>
      </c>
      <c r="J8094" t="str">
        <f t="shared" si="253"/>
        <v>Complete</v>
      </c>
      <c r="K8094">
        <f>COUNTIFS(RawData[Item], B8094,RawData[Quantity],C8094,RawData[Price Per Unit],D8094,RawData[Total Spent],E8094,RawData[Payment Method],F8094,RawData[Location],G8094,RawData[Transaction Date],H8094)</f>
        <v>1</v>
      </c>
      <c r="L8094"/>
    </row>
    <row r="8095" spans="1:12" x14ac:dyDescent="0.3">
      <c r="A8095" t="s">
        <v>8101</v>
      </c>
      <c r="B8095" t="s">
        <v>10016</v>
      </c>
      <c r="C8095">
        <v>5</v>
      </c>
      <c r="D8095">
        <v>3</v>
      </c>
      <c r="E8095">
        <v>15</v>
      </c>
      <c r="F8095" t="s">
        <v>10103</v>
      </c>
      <c r="G8095" t="s">
        <v>10021</v>
      </c>
      <c r="H8095" s="6">
        <v>45025</v>
      </c>
      <c r="I8095">
        <f t="shared" si="252"/>
        <v>1</v>
      </c>
      <c r="J8095" t="str">
        <f t="shared" si="253"/>
        <v>Complete</v>
      </c>
      <c r="K8095">
        <f>COUNTIFS(RawData[Item], B8095,RawData[Quantity],C8095,RawData[Price Per Unit],D8095,RawData[Total Spent],E8095,RawData[Payment Method],F8095,RawData[Location],G8095,RawData[Transaction Date],H8095)</f>
        <v>1</v>
      </c>
      <c r="L8095"/>
    </row>
    <row r="8096" spans="1:12" x14ac:dyDescent="0.3">
      <c r="A8096" t="s">
        <v>8102</v>
      </c>
      <c r="B8096" t="s">
        <v>10010</v>
      </c>
      <c r="C8096">
        <v>1</v>
      </c>
      <c r="D8096">
        <v>1</v>
      </c>
      <c r="E8096">
        <v>1</v>
      </c>
      <c r="F8096" t="s">
        <v>10019</v>
      </c>
      <c r="G8096" t="s">
        <v>10021</v>
      </c>
      <c r="H8096" s="6">
        <v>45223</v>
      </c>
      <c r="I8096">
        <f t="shared" si="252"/>
        <v>0</v>
      </c>
      <c r="J8096" t="str">
        <f t="shared" si="253"/>
        <v>Complete</v>
      </c>
      <c r="K8096">
        <f>COUNTIFS(RawData[Item], B8096,RawData[Quantity],C8096,RawData[Price Per Unit],D8096,RawData[Total Spent],E8096,RawData[Payment Method],F8096,RawData[Location],G8096,RawData[Transaction Date],H8096)</f>
        <v>1</v>
      </c>
      <c r="L8096"/>
    </row>
    <row r="8097" spans="1:12" x14ac:dyDescent="0.3">
      <c r="A8097" t="s">
        <v>8103</v>
      </c>
      <c r="B8097" t="s">
        <v>10017</v>
      </c>
      <c r="C8097">
        <v>2</v>
      </c>
      <c r="D8097">
        <v>1.5</v>
      </c>
      <c r="E8097">
        <v>3</v>
      </c>
      <c r="F8097" t="s">
        <v>10020</v>
      </c>
      <c r="G8097" t="s">
        <v>10021</v>
      </c>
      <c r="H8097" s="6">
        <v>45158</v>
      </c>
      <c r="I8097">
        <f t="shared" si="252"/>
        <v>0</v>
      </c>
      <c r="J8097" t="str">
        <f t="shared" si="253"/>
        <v>Complete</v>
      </c>
      <c r="K8097">
        <f>COUNTIFS(RawData[Item], B8097,RawData[Quantity],C8097,RawData[Price Per Unit],D8097,RawData[Total Spent],E8097,RawData[Payment Method],F8097,RawData[Location],G8097,RawData[Transaction Date],H8097)</f>
        <v>1</v>
      </c>
      <c r="L8097"/>
    </row>
    <row r="8098" spans="1:12" x14ac:dyDescent="0.3">
      <c r="A8098" t="s">
        <v>8104</v>
      </c>
      <c r="B8098" t="s">
        <v>10013</v>
      </c>
      <c r="C8098">
        <v>4</v>
      </c>
      <c r="D8098">
        <v>2</v>
      </c>
      <c r="E8098">
        <v>8</v>
      </c>
      <c r="F8098" t="s">
        <v>10020</v>
      </c>
      <c r="G8098" t="s">
        <v>10021</v>
      </c>
      <c r="H8098" s="6" t="s">
        <v>10112</v>
      </c>
      <c r="I8098">
        <f t="shared" si="252"/>
        <v>2</v>
      </c>
      <c r="J8098" t="str">
        <f t="shared" si="253"/>
        <v>Incomplete</v>
      </c>
      <c r="K8098">
        <f>COUNTIFS(RawData[Item], B8098,RawData[Quantity],C8098,RawData[Price Per Unit],D8098,RawData[Total Spent],E8098,RawData[Payment Method],F8098,RawData[Location],G8098,RawData[Transaction Date],H8098)</f>
        <v>1</v>
      </c>
      <c r="L8098"/>
    </row>
    <row r="8099" spans="1:12" x14ac:dyDescent="0.3">
      <c r="A8099" t="s">
        <v>8105</v>
      </c>
      <c r="B8099" t="s">
        <v>10009</v>
      </c>
      <c r="C8099">
        <v>4</v>
      </c>
      <c r="D8099">
        <v>3</v>
      </c>
      <c r="E8099">
        <v>12</v>
      </c>
      <c r="F8099" t="s">
        <v>10069</v>
      </c>
      <c r="G8099" t="s">
        <v>10102</v>
      </c>
      <c r="H8099" s="6">
        <v>45008</v>
      </c>
      <c r="I8099">
        <f t="shared" si="252"/>
        <v>0</v>
      </c>
      <c r="J8099" t="str">
        <f t="shared" si="253"/>
        <v>Complete</v>
      </c>
      <c r="K8099">
        <f>COUNTIFS(RawData[Item], B8099,RawData[Quantity],C8099,RawData[Price Per Unit],D8099,RawData[Total Spent],E8099,RawData[Payment Method],F8099,RawData[Location],G8099,RawData[Transaction Date],H8099)</f>
        <v>1</v>
      </c>
      <c r="L8099"/>
    </row>
    <row r="8100" spans="1:12" x14ac:dyDescent="0.3">
      <c r="A8100" t="s">
        <v>8106</v>
      </c>
      <c r="B8100" t="s">
        <v>10017</v>
      </c>
      <c r="C8100">
        <v>5</v>
      </c>
      <c r="D8100" t="s">
        <v>10015</v>
      </c>
      <c r="E8100">
        <v>7.5</v>
      </c>
      <c r="F8100" t="s">
        <v>10018</v>
      </c>
      <c r="G8100" t="s">
        <v>10021</v>
      </c>
      <c r="H8100" s="6">
        <v>45107</v>
      </c>
      <c r="I8100">
        <f t="shared" si="252"/>
        <v>1</v>
      </c>
      <c r="J8100" t="str">
        <f t="shared" si="253"/>
        <v>Complete</v>
      </c>
      <c r="K8100">
        <f>COUNTIFS(RawData[Item], B8100,RawData[Quantity],C8100,RawData[Price Per Unit],D8100,RawData[Total Spent],E8100,RawData[Payment Method],F8100,RawData[Location],G8100,RawData[Transaction Date],H8100)</f>
        <v>1</v>
      </c>
      <c r="L8100"/>
    </row>
    <row r="8101" spans="1:12" x14ac:dyDescent="0.3">
      <c r="A8101" t="s">
        <v>8107</v>
      </c>
      <c r="B8101" t="s">
        <v>10016</v>
      </c>
      <c r="C8101">
        <v>1</v>
      </c>
      <c r="D8101">
        <v>3</v>
      </c>
      <c r="E8101">
        <v>3</v>
      </c>
      <c r="F8101" t="s">
        <v>10018</v>
      </c>
      <c r="G8101" t="s">
        <v>10021</v>
      </c>
      <c r="H8101" s="6">
        <v>45185</v>
      </c>
      <c r="I8101">
        <f t="shared" si="252"/>
        <v>0</v>
      </c>
      <c r="J8101" t="str">
        <f t="shared" si="253"/>
        <v>Complete</v>
      </c>
      <c r="K8101">
        <f>COUNTIFS(RawData[Item], B8101,RawData[Quantity],C8101,RawData[Price Per Unit],D8101,RawData[Total Spent],E8101,RawData[Payment Method],F8101,RawData[Location],G8101,RawData[Transaction Date],H8101)</f>
        <v>1</v>
      </c>
      <c r="L8101"/>
    </row>
    <row r="8102" spans="1:12" x14ac:dyDescent="0.3">
      <c r="A8102" t="s">
        <v>8108</v>
      </c>
      <c r="B8102" t="s">
        <v>10011</v>
      </c>
      <c r="C8102">
        <v>0</v>
      </c>
      <c r="D8102">
        <v>5</v>
      </c>
      <c r="E8102">
        <v>10</v>
      </c>
      <c r="F8102" t="s">
        <v>10020</v>
      </c>
      <c r="G8102" t="s">
        <v>10021</v>
      </c>
      <c r="H8102" s="6">
        <v>45279</v>
      </c>
      <c r="I8102">
        <f t="shared" si="252"/>
        <v>0</v>
      </c>
      <c r="J8102" t="str">
        <f t="shared" si="253"/>
        <v>Complete</v>
      </c>
      <c r="K8102">
        <f>COUNTIFS(RawData[Item], B8102,RawData[Quantity],C8102,RawData[Price Per Unit],D8102,RawData[Total Spent],E8102,RawData[Payment Method],F8102,RawData[Location],G8102,RawData[Transaction Date],H8102)</f>
        <v>1</v>
      </c>
      <c r="L8102"/>
    </row>
    <row r="8103" spans="1:12" x14ac:dyDescent="0.3">
      <c r="A8103" t="s">
        <v>8109</v>
      </c>
      <c r="B8103" t="s">
        <v>10013</v>
      </c>
      <c r="C8103">
        <v>3</v>
      </c>
      <c r="D8103">
        <v>5</v>
      </c>
      <c r="E8103">
        <v>15</v>
      </c>
      <c r="F8103" t="s">
        <v>10018</v>
      </c>
      <c r="G8103" t="s">
        <v>10069</v>
      </c>
      <c r="H8103" s="6" t="s">
        <v>10112</v>
      </c>
      <c r="I8103">
        <f t="shared" si="252"/>
        <v>2</v>
      </c>
      <c r="J8103" t="str">
        <f t="shared" si="253"/>
        <v>Incomplete</v>
      </c>
      <c r="K8103">
        <f>COUNTIFS(RawData[Item], B8103,RawData[Quantity],C8103,RawData[Price Per Unit],D8103,RawData[Total Spent],E8103,RawData[Payment Method],F8103,RawData[Location],G8103,RawData[Transaction Date],H8103)</f>
        <v>1</v>
      </c>
      <c r="L8103"/>
    </row>
    <row r="8104" spans="1:12" x14ac:dyDescent="0.3">
      <c r="A8104" t="s">
        <v>8110</v>
      </c>
      <c r="B8104" t="s">
        <v>10012</v>
      </c>
      <c r="C8104">
        <v>1</v>
      </c>
      <c r="D8104">
        <v>4</v>
      </c>
      <c r="E8104">
        <v>4</v>
      </c>
      <c r="F8104" t="s">
        <v>10018</v>
      </c>
      <c r="G8104" t="s">
        <v>10021</v>
      </c>
      <c r="H8104" s="6">
        <v>44988</v>
      </c>
      <c r="I8104">
        <f t="shared" si="252"/>
        <v>0</v>
      </c>
      <c r="J8104" t="str">
        <f t="shared" si="253"/>
        <v>Complete</v>
      </c>
      <c r="K8104">
        <f>COUNTIFS(RawData[Item], B8104,RawData[Quantity],C8104,RawData[Price Per Unit],D8104,RawData[Total Spent],E8104,RawData[Payment Method],F8104,RawData[Location],G8104,RawData[Transaction Date],H8104)</f>
        <v>1</v>
      </c>
      <c r="L8104"/>
    </row>
    <row r="8105" spans="1:12" x14ac:dyDescent="0.3">
      <c r="A8105" t="s">
        <v>8111</v>
      </c>
      <c r="B8105" t="s">
        <v>10016</v>
      </c>
      <c r="C8105">
        <v>4</v>
      </c>
      <c r="D8105">
        <v>3</v>
      </c>
      <c r="E8105">
        <v>12</v>
      </c>
      <c r="F8105" t="s">
        <v>10019</v>
      </c>
      <c r="G8105" t="s">
        <v>10069</v>
      </c>
      <c r="H8105" s="6">
        <v>44929</v>
      </c>
      <c r="I8105">
        <f t="shared" si="252"/>
        <v>0</v>
      </c>
      <c r="J8105" t="str">
        <f t="shared" si="253"/>
        <v>Complete</v>
      </c>
      <c r="K8105">
        <f>COUNTIFS(RawData[Item], B8105,RawData[Quantity],C8105,RawData[Price Per Unit],D8105,RawData[Total Spent],E8105,RawData[Payment Method],F8105,RawData[Location],G8105,RawData[Transaction Date],H8105)</f>
        <v>1</v>
      </c>
      <c r="L8105"/>
    </row>
    <row r="8106" spans="1:12" x14ac:dyDescent="0.3">
      <c r="A8106" t="s">
        <v>8112</v>
      </c>
      <c r="B8106" t="s">
        <v>10009</v>
      </c>
      <c r="C8106">
        <v>5</v>
      </c>
      <c r="D8106">
        <v>3</v>
      </c>
      <c r="E8106">
        <v>15</v>
      </c>
      <c r="F8106" t="s">
        <v>10069</v>
      </c>
      <c r="G8106" t="s">
        <v>10069</v>
      </c>
      <c r="H8106" s="6">
        <v>45104</v>
      </c>
      <c r="I8106">
        <f t="shared" si="252"/>
        <v>0</v>
      </c>
      <c r="J8106" t="str">
        <f t="shared" si="253"/>
        <v>Complete</v>
      </c>
      <c r="K8106">
        <f>COUNTIFS(RawData[Item], B8106,RawData[Quantity],C8106,RawData[Price Per Unit],D8106,RawData[Total Spent],E8106,RawData[Payment Method],F8106,RawData[Location],G8106,RawData[Transaction Date],H8106)</f>
        <v>1</v>
      </c>
      <c r="L8106"/>
    </row>
    <row r="8107" spans="1:12" x14ac:dyDescent="0.3">
      <c r="A8107" t="s">
        <v>8113</v>
      </c>
      <c r="B8107" t="s">
        <v>10011</v>
      </c>
      <c r="C8107">
        <v>1</v>
      </c>
      <c r="D8107">
        <v>5</v>
      </c>
      <c r="E8107">
        <v>5</v>
      </c>
      <c r="F8107" t="s">
        <v>10104</v>
      </c>
      <c r="G8107" t="s">
        <v>10102</v>
      </c>
      <c r="H8107" s="6">
        <v>44931</v>
      </c>
      <c r="I8107">
        <f t="shared" si="252"/>
        <v>1</v>
      </c>
      <c r="J8107" t="str">
        <f t="shared" si="253"/>
        <v>Complete</v>
      </c>
      <c r="K8107">
        <f>COUNTIFS(RawData[Item], B8107,RawData[Quantity],C8107,RawData[Price Per Unit],D8107,RawData[Total Spent],E8107,RawData[Payment Method],F8107,RawData[Location],G8107,RawData[Transaction Date],H8107)</f>
        <v>1</v>
      </c>
      <c r="L8107"/>
    </row>
    <row r="8108" spans="1:12" x14ac:dyDescent="0.3">
      <c r="A8108" t="s">
        <v>8114</v>
      </c>
      <c r="B8108" t="s">
        <v>10017</v>
      </c>
      <c r="C8108">
        <v>1</v>
      </c>
      <c r="D8108">
        <v>1.5</v>
      </c>
      <c r="E8108">
        <v>1.5</v>
      </c>
      <c r="F8108" t="s">
        <v>10018</v>
      </c>
      <c r="G8108" t="s">
        <v>10102</v>
      </c>
      <c r="H8108" s="6">
        <v>45181</v>
      </c>
      <c r="I8108">
        <f t="shared" si="252"/>
        <v>0</v>
      </c>
      <c r="J8108" t="str">
        <f t="shared" si="253"/>
        <v>Complete</v>
      </c>
      <c r="K8108">
        <f>COUNTIFS(RawData[Item], B8108,RawData[Quantity],C8108,RawData[Price Per Unit],D8108,RawData[Total Spent],E8108,RawData[Payment Method],F8108,RawData[Location],G8108,RawData[Transaction Date],H8108)</f>
        <v>1</v>
      </c>
      <c r="L8108"/>
    </row>
    <row r="8109" spans="1:12" x14ac:dyDescent="0.3">
      <c r="A8109" t="s">
        <v>8115</v>
      </c>
      <c r="B8109" t="s">
        <v>10012</v>
      </c>
      <c r="C8109">
        <v>3</v>
      </c>
      <c r="D8109">
        <v>4</v>
      </c>
      <c r="E8109">
        <v>12</v>
      </c>
      <c r="F8109" t="s">
        <v>10020</v>
      </c>
      <c r="G8109" t="s">
        <v>10021</v>
      </c>
      <c r="H8109" s="6">
        <v>45127</v>
      </c>
      <c r="I8109">
        <f t="shared" si="252"/>
        <v>0</v>
      </c>
      <c r="J8109" t="str">
        <f t="shared" si="253"/>
        <v>Complete</v>
      </c>
      <c r="K8109">
        <f>COUNTIFS(RawData[Item], B8109,RawData[Quantity],C8109,RawData[Price Per Unit],D8109,RawData[Total Spent],E8109,RawData[Payment Method],F8109,RawData[Location],G8109,RawData[Transaction Date],H8109)</f>
        <v>1</v>
      </c>
      <c r="L8109"/>
    </row>
    <row r="8110" spans="1:12" x14ac:dyDescent="0.3">
      <c r="A8110" t="s">
        <v>8116</v>
      </c>
      <c r="B8110" t="s">
        <v>10011</v>
      </c>
      <c r="C8110">
        <v>1</v>
      </c>
      <c r="D8110">
        <v>5</v>
      </c>
      <c r="E8110">
        <v>5</v>
      </c>
      <c r="F8110" t="s">
        <v>10019</v>
      </c>
      <c r="G8110" t="s">
        <v>10069</v>
      </c>
      <c r="H8110" s="6">
        <v>45141</v>
      </c>
      <c r="I8110">
        <f t="shared" si="252"/>
        <v>0</v>
      </c>
      <c r="J8110" t="str">
        <f t="shared" si="253"/>
        <v>Complete</v>
      </c>
      <c r="K8110">
        <f>COUNTIFS(RawData[Item], B8110,RawData[Quantity],C8110,RawData[Price Per Unit],D8110,RawData[Total Spent],E8110,RawData[Payment Method],F8110,RawData[Location],G8110,RawData[Transaction Date],H8110)</f>
        <v>1</v>
      </c>
      <c r="L8110"/>
    </row>
    <row r="8111" spans="1:12" x14ac:dyDescent="0.3">
      <c r="A8111" t="s">
        <v>8117</v>
      </c>
      <c r="B8111" t="s">
        <v>10016</v>
      </c>
      <c r="C8111">
        <v>2</v>
      </c>
      <c r="D8111">
        <v>3</v>
      </c>
      <c r="E8111">
        <v>6</v>
      </c>
      <c r="F8111" t="s">
        <v>10020</v>
      </c>
      <c r="G8111" t="s">
        <v>10103</v>
      </c>
      <c r="H8111" s="6">
        <v>45269</v>
      </c>
      <c r="I8111">
        <f t="shared" si="252"/>
        <v>1</v>
      </c>
      <c r="J8111" t="str">
        <f t="shared" si="253"/>
        <v>Complete</v>
      </c>
      <c r="K8111">
        <f>COUNTIFS(RawData[Item], B8111,RawData[Quantity],C8111,RawData[Price Per Unit],D8111,RawData[Total Spent],E8111,RawData[Payment Method],F8111,RawData[Location],G8111,RawData[Transaction Date],H8111)</f>
        <v>1</v>
      </c>
      <c r="L8111"/>
    </row>
    <row r="8112" spans="1:12" x14ac:dyDescent="0.3">
      <c r="A8112" t="s">
        <v>8118</v>
      </c>
      <c r="B8112" t="s">
        <v>10016</v>
      </c>
      <c r="C8112">
        <v>2</v>
      </c>
      <c r="D8112">
        <v>3</v>
      </c>
      <c r="E8112">
        <v>6</v>
      </c>
      <c r="F8112" t="s">
        <v>10019</v>
      </c>
      <c r="G8112" t="s">
        <v>10021</v>
      </c>
      <c r="H8112" s="6">
        <v>45290</v>
      </c>
      <c r="I8112">
        <f t="shared" si="252"/>
        <v>0</v>
      </c>
      <c r="J8112" t="str">
        <f t="shared" si="253"/>
        <v>Complete</v>
      </c>
      <c r="K8112">
        <f>COUNTIFS(RawData[Item], B8112,RawData[Quantity],C8112,RawData[Price Per Unit],D8112,RawData[Total Spent],E8112,RawData[Payment Method],F8112,RawData[Location],G8112,RawData[Transaction Date],H8112)</f>
        <v>1</v>
      </c>
      <c r="L8112"/>
    </row>
    <row r="8113" spans="1:12" x14ac:dyDescent="0.3">
      <c r="A8113" t="s">
        <v>8119</v>
      </c>
      <c r="B8113" t="s">
        <v>10017</v>
      </c>
      <c r="C8113">
        <v>5</v>
      </c>
      <c r="D8113">
        <v>1.5</v>
      </c>
      <c r="E8113">
        <v>7.5</v>
      </c>
      <c r="F8113" t="s">
        <v>10018</v>
      </c>
      <c r="G8113" t="s">
        <v>10104</v>
      </c>
      <c r="H8113" s="6">
        <v>45204</v>
      </c>
      <c r="I8113">
        <f t="shared" si="252"/>
        <v>1</v>
      </c>
      <c r="J8113" t="str">
        <f t="shared" si="253"/>
        <v>Complete</v>
      </c>
      <c r="K8113">
        <f>COUNTIFS(RawData[Item], B8113,RawData[Quantity],C8113,RawData[Price Per Unit],D8113,RawData[Total Spent],E8113,RawData[Payment Method],F8113,RawData[Location],G8113,RawData[Transaction Date],H8113)</f>
        <v>1</v>
      </c>
      <c r="L8113"/>
    </row>
    <row r="8114" spans="1:12" x14ac:dyDescent="0.3">
      <c r="A8114" t="s">
        <v>8120</v>
      </c>
      <c r="B8114" t="s">
        <v>10011</v>
      </c>
      <c r="C8114">
        <v>4</v>
      </c>
      <c r="D8114">
        <v>5</v>
      </c>
      <c r="E8114">
        <v>20</v>
      </c>
      <c r="F8114" t="s">
        <v>10069</v>
      </c>
      <c r="G8114" t="s">
        <v>10102</v>
      </c>
      <c r="H8114" s="6">
        <v>45189</v>
      </c>
      <c r="I8114">
        <f t="shared" si="252"/>
        <v>0</v>
      </c>
      <c r="J8114" t="str">
        <f t="shared" si="253"/>
        <v>Complete</v>
      </c>
      <c r="K8114">
        <f>COUNTIFS(RawData[Item], B8114,RawData[Quantity],C8114,RawData[Price Per Unit],D8114,RawData[Total Spent],E8114,RawData[Payment Method],F8114,RawData[Location],G8114,RawData[Transaction Date],H8114)</f>
        <v>1</v>
      </c>
      <c r="L8114"/>
    </row>
    <row r="8115" spans="1:12" x14ac:dyDescent="0.3">
      <c r="A8115" t="s">
        <v>8121</v>
      </c>
      <c r="B8115" t="s">
        <v>10012</v>
      </c>
      <c r="C8115">
        <v>5</v>
      </c>
      <c r="D8115">
        <v>4</v>
      </c>
      <c r="E8115">
        <v>20</v>
      </c>
      <c r="F8115" t="s">
        <v>10020</v>
      </c>
      <c r="G8115" t="s">
        <v>10069</v>
      </c>
      <c r="H8115" s="6">
        <v>45102</v>
      </c>
      <c r="I8115">
        <f t="shared" si="252"/>
        <v>0</v>
      </c>
      <c r="J8115" t="str">
        <f t="shared" si="253"/>
        <v>Complete</v>
      </c>
      <c r="K8115">
        <f>COUNTIFS(RawData[Item], B8115,RawData[Quantity],C8115,RawData[Price Per Unit],D8115,RawData[Total Spent],E8115,RawData[Payment Method],F8115,RawData[Location],G8115,RawData[Transaction Date],H8115)</f>
        <v>1</v>
      </c>
      <c r="L8115"/>
    </row>
    <row r="8116" spans="1:12" x14ac:dyDescent="0.3">
      <c r="A8116" t="s">
        <v>8122</v>
      </c>
      <c r="B8116" t="s">
        <v>10011</v>
      </c>
      <c r="C8116">
        <v>5</v>
      </c>
      <c r="D8116">
        <v>5</v>
      </c>
      <c r="E8116">
        <v>25</v>
      </c>
      <c r="F8116" t="s">
        <v>10020</v>
      </c>
      <c r="G8116" t="s">
        <v>10021</v>
      </c>
      <c r="H8116" s="6">
        <v>45240</v>
      </c>
      <c r="I8116">
        <f t="shared" si="252"/>
        <v>0</v>
      </c>
      <c r="J8116" t="str">
        <f t="shared" si="253"/>
        <v>Complete</v>
      </c>
      <c r="K8116">
        <f>COUNTIFS(RawData[Item], B8116,RawData[Quantity],C8116,RawData[Price Per Unit],D8116,RawData[Total Spent],E8116,RawData[Payment Method],F8116,RawData[Location],G8116,RawData[Transaction Date],H8116)</f>
        <v>1</v>
      </c>
      <c r="L8116"/>
    </row>
    <row r="8117" spans="1:12" x14ac:dyDescent="0.3">
      <c r="A8117" t="s">
        <v>8123</v>
      </c>
      <c r="B8117" t="s">
        <v>10008</v>
      </c>
      <c r="C8117">
        <v>2</v>
      </c>
      <c r="D8117">
        <v>2</v>
      </c>
      <c r="E8117">
        <v>4</v>
      </c>
      <c r="F8117" t="s">
        <v>10019</v>
      </c>
      <c r="G8117" t="s">
        <v>10021</v>
      </c>
      <c r="H8117" s="6">
        <v>45152</v>
      </c>
      <c r="I8117">
        <f t="shared" si="252"/>
        <v>0</v>
      </c>
      <c r="J8117" t="str">
        <f t="shared" si="253"/>
        <v>Complete</v>
      </c>
      <c r="K8117">
        <f>COUNTIFS(RawData[Item], B8117,RawData[Quantity],C8117,RawData[Price Per Unit],D8117,RawData[Total Spent],E8117,RawData[Payment Method],F8117,RawData[Location],G8117,RawData[Transaction Date],H8117)</f>
        <v>1</v>
      </c>
      <c r="L8117"/>
    </row>
    <row r="8118" spans="1:12" x14ac:dyDescent="0.3">
      <c r="A8118" t="s">
        <v>8124</v>
      </c>
      <c r="B8118" t="s">
        <v>10008</v>
      </c>
      <c r="C8118">
        <v>1</v>
      </c>
      <c r="D8118">
        <v>2</v>
      </c>
      <c r="E8118">
        <v>2</v>
      </c>
      <c r="F8118" t="s">
        <v>10069</v>
      </c>
      <c r="G8118" t="s">
        <v>10021</v>
      </c>
      <c r="H8118" s="6">
        <v>45191</v>
      </c>
      <c r="I8118">
        <f t="shared" si="252"/>
        <v>0</v>
      </c>
      <c r="J8118" t="str">
        <f t="shared" si="253"/>
        <v>Complete</v>
      </c>
      <c r="K8118">
        <f>COUNTIFS(RawData[Item], B8118,RawData[Quantity],C8118,RawData[Price Per Unit],D8118,RawData[Total Spent],E8118,RawData[Payment Method],F8118,RawData[Location],G8118,RawData[Transaction Date],H8118)</f>
        <v>1</v>
      </c>
      <c r="L8118"/>
    </row>
    <row r="8119" spans="1:12" x14ac:dyDescent="0.3">
      <c r="A8119" t="s">
        <v>8125</v>
      </c>
      <c r="B8119" t="s">
        <v>10013</v>
      </c>
      <c r="C8119">
        <v>3</v>
      </c>
      <c r="D8119">
        <v>3</v>
      </c>
      <c r="E8119">
        <v>9</v>
      </c>
      <c r="F8119" t="s">
        <v>10069</v>
      </c>
      <c r="G8119" t="s">
        <v>10021</v>
      </c>
      <c r="H8119" s="6">
        <v>45098</v>
      </c>
      <c r="I8119">
        <f t="shared" si="252"/>
        <v>1</v>
      </c>
      <c r="J8119" t="str">
        <f t="shared" si="253"/>
        <v>Complete</v>
      </c>
      <c r="K8119">
        <f>COUNTIFS(RawData[Item], B8119,RawData[Quantity],C8119,RawData[Price Per Unit],D8119,RawData[Total Spent],E8119,RawData[Payment Method],F8119,RawData[Location],G8119,RawData[Transaction Date],H8119)</f>
        <v>1</v>
      </c>
      <c r="L8119"/>
    </row>
    <row r="8120" spans="1:12" x14ac:dyDescent="0.3">
      <c r="A8120" t="s">
        <v>8126</v>
      </c>
      <c r="B8120" t="s">
        <v>10009</v>
      </c>
      <c r="C8120">
        <v>1</v>
      </c>
      <c r="D8120">
        <v>3</v>
      </c>
      <c r="E8120">
        <v>3</v>
      </c>
      <c r="F8120" t="s">
        <v>10069</v>
      </c>
      <c r="G8120" t="s">
        <v>10069</v>
      </c>
      <c r="H8120" s="6">
        <v>45172</v>
      </c>
      <c r="I8120">
        <f t="shared" si="252"/>
        <v>0</v>
      </c>
      <c r="J8120" t="str">
        <f t="shared" si="253"/>
        <v>Complete</v>
      </c>
      <c r="K8120">
        <f>COUNTIFS(RawData[Item], B8120,RawData[Quantity],C8120,RawData[Price Per Unit],D8120,RawData[Total Spent],E8120,RawData[Payment Method],F8120,RawData[Location],G8120,RawData[Transaction Date],H8120)</f>
        <v>1</v>
      </c>
      <c r="L8120"/>
    </row>
    <row r="8121" spans="1:12" x14ac:dyDescent="0.3">
      <c r="A8121" t="s">
        <v>8127</v>
      </c>
      <c r="B8121" t="s">
        <v>10017</v>
      </c>
      <c r="C8121">
        <v>4</v>
      </c>
      <c r="D8121">
        <v>1.5</v>
      </c>
      <c r="E8121">
        <v>6</v>
      </c>
      <c r="F8121" t="s">
        <v>10019</v>
      </c>
      <c r="G8121" t="s">
        <v>10021</v>
      </c>
      <c r="H8121" s="6">
        <v>45177</v>
      </c>
      <c r="I8121">
        <f t="shared" si="252"/>
        <v>0</v>
      </c>
      <c r="J8121" t="str">
        <f t="shared" si="253"/>
        <v>Complete</v>
      </c>
      <c r="K8121">
        <f>COUNTIFS(RawData[Item], B8121,RawData[Quantity],C8121,RawData[Price Per Unit],D8121,RawData[Total Spent],E8121,RawData[Payment Method],F8121,RawData[Location],G8121,RawData[Transaction Date],H8121)</f>
        <v>1</v>
      </c>
      <c r="L8121"/>
    </row>
    <row r="8122" spans="1:12" x14ac:dyDescent="0.3">
      <c r="A8122" t="s">
        <v>8128</v>
      </c>
      <c r="B8122" t="s">
        <v>10014</v>
      </c>
      <c r="C8122">
        <v>2</v>
      </c>
      <c r="D8122">
        <v>4</v>
      </c>
      <c r="E8122">
        <v>8</v>
      </c>
      <c r="F8122" t="s">
        <v>10020</v>
      </c>
      <c r="G8122" t="s">
        <v>10069</v>
      </c>
      <c r="H8122" s="6">
        <v>45248</v>
      </c>
      <c r="I8122">
        <f t="shared" si="252"/>
        <v>0</v>
      </c>
      <c r="J8122" t="str">
        <f t="shared" si="253"/>
        <v>Complete</v>
      </c>
      <c r="K8122">
        <f>COUNTIFS(RawData[Item], B8122,RawData[Quantity],C8122,RawData[Price Per Unit],D8122,RawData[Total Spent],E8122,RawData[Payment Method],F8122,RawData[Location],G8122,RawData[Transaction Date],H8122)</f>
        <v>1</v>
      </c>
      <c r="L8122"/>
    </row>
    <row r="8123" spans="1:12" x14ac:dyDescent="0.3">
      <c r="A8123" t="s">
        <v>8129</v>
      </c>
      <c r="B8123" t="s">
        <v>10012</v>
      </c>
      <c r="C8123">
        <v>2</v>
      </c>
      <c r="D8123">
        <v>4</v>
      </c>
      <c r="E8123">
        <v>8</v>
      </c>
      <c r="F8123" t="s">
        <v>10019</v>
      </c>
      <c r="G8123" t="s">
        <v>10104</v>
      </c>
      <c r="H8123" s="6">
        <v>45036</v>
      </c>
      <c r="I8123">
        <f t="shared" si="252"/>
        <v>1</v>
      </c>
      <c r="J8123" t="str">
        <f t="shared" si="253"/>
        <v>Complete</v>
      </c>
      <c r="K8123">
        <f>COUNTIFS(RawData[Item], B8123,RawData[Quantity],C8123,RawData[Price Per Unit],D8123,RawData[Total Spent],E8123,RawData[Payment Method],F8123,RawData[Location],G8123,RawData[Transaction Date],H8123)</f>
        <v>1</v>
      </c>
      <c r="L8123"/>
    </row>
    <row r="8124" spans="1:12" x14ac:dyDescent="0.3">
      <c r="A8124" t="s">
        <v>8130</v>
      </c>
      <c r="B8124" t="s">
        <v>10010</v>
      </c>
      <c r="C8124" t="s">
        <v>10015</v>
      </c>
      <c r="D8124">
        <v>1</v>
      </c>
      <c r="E8124">
        <v>4</v>
      </c>
      <c r="F8124" t="s">
        <v>10020</v>
      </c>
      <c r="G8124" t="s">
        <v>10103</v>
      </c>
      <c r="H8124" s="6">
        <v>45277</v>
      </c>
      <c r="I8124">
        <f t="shared" si="252"/>
        <v>2</v>
      </c>
      <c r="J8124" t="str">
        <f t="shared" si="253"/>
        <v>Complete</v>
      </c>
      <c r="K8124">
        <f>COUNTIFS(RawData[Item], B8124,RawData[Quantity],C8124,RawData[Price Per Unit],D8124,RawData[Total Spent],E8124,RawData[Payment Method],F8124,RawData[Location],G8124,RawData[Transaction Date],H8124)</f>
        <v>1</v>
      </c>
      <c r="L8124"/>
    </row>
    <row r="8125" spans="1:12" x14ac:dyDescent="0.3">
      <c r="A8125" t="s">
        <v>8131</v>
      </c>
      <c r="B8125" t="s">
        <v>10008</v>
      </c>
      <c r="C8125">
        <v>5</v>
      </c>
      <c r="D8125">
        <v>2</v>
      </c>
      <c r="E8125">
        <v>10</v>
      </c>
      <c r="F8125" t="s">
        <v>10069</v>
      </c>
      <c r="G8125" t="s">
        <v>10021</v>
      </c>
      <c r="H8125" s="6">
        <v>45263</v>
      </c>
      <c r="I8125">
        <f t="shared" si="252"/>
        <v>0</v>
      </c>
      <c r="J8125" t="str">
        <f t="shared" si="253"/>
        <v>Complete</v>
      </c>
      <c r="K8125">
        <f>COUNTIFS(RawData[Item], B8125,RawData[Quantity],C8125,RawData[Price Per Unit],D8125,RawData[Total Spent],E8125,RawData[Payment Method],F8125,RawData[Location],G8125,RawData[Transaction Date],H8125)</f>
        <v>1</v>
      </c>
      <c r="L8125"/>
    </row>
    <row r="8126" spans="1:12" x14ac:dyDescent="0.3">
      <c r="A8126" t="s">
        <v>8132</v>
      </c>
      <c r="B8126" t="s">
        <v>10016</v>
      </c>
      <c r="C8126">
        <v>4</v>
      </c>
      <c r="D8126">
        <v>3</v>
      </c>
      <c r="E8126">
        <v>12</v>
      </c>
      <c r="F8126" t="s">
        <v>10019</v>
      </c>
      <c r="G8126" t="s">
        <v>10102</v>
      </c>
      <c r="H8126" s="6">
        <v>45232</v>
      </c>
      <c r="I8126">
        <f t="shared" si="252"/>
        <v>0</v>
      </c>
      <c r="J8126" t="str">
        <f t="shared" si="253"/>
        <v>Complete</v>
      </c>
      <c r="K8126">
        <f>COUNTIFS(RawData[Item], B8126,RawData[Quantity],C8126,RawData[Price Per Unit],D8126,RawData[Total Spent],E8126,RawData[Payment Method],F8126,RawData[Location],G8126,RawData[Transaction Date],H8126)</f>
        <v>1</v>
      </c>
      <c r="L8126"/>
    </row>
    <row r="8127" spans="1:12" x14ac:dyDescent="0.3">
      <c r="A8127" t="s">
        <v>8133</v>
      </c>
      <c r="B8127" t="s">
        <v>10010</v>
      </c>
      <c r="C8127">
        <v>4</v>
      </c>
      <c r="D8127">
        <v>1</v>
      </c>
      <c r="E8127">
        <v>4</v>
      </c>
      <c r="F8127" t="s">
        <v>10020</v>
      </c>
      <c r="G8127" t="s">
        <v>10021</v>
      </c>
      <c r="H8127" s="6">
        <v>44944</v>
      </c>
      <c r="I8127">
        <f t="shared" si="252"/>
        <v>0</v>
      </c>
      <c r="J8127" t="str">
        <f t="shared" si="253"/>
        <v>Complete</v>
      </c>
      <c r="K8127">
        <f>COUNTIFS(RawData[Item], B8127,RawData[Quantity],C8127,RawData[Price Per Unit],D8127,RawData[Total Spent],E8127,RawData[Payment Method],F8127,RawData[Location],G8127,RawData[Transaction Date],H8127)</f>
        <v>1</v>
      </c>
      <c r="L8127"/>
    </row>
    <row r="8128" spans="1:12" x14ac:dyDescent="0.3">
      <c r="A8128" t="s">
        <v>8134</v>
      </c>
      <c r="B8128" t="s">
        <v>10012</v>
      </c>
      <c r="C8128">
        <v>3</v>
      </c>
      <c r="D8128">
        <v>4</v>
      </c>
      <c r="E8128">
        <v>12</v>
      </c>
      <c r="F8128" t="s">
        <v>10018</v>
      </c>
      <c r="G8128" t="s">
        <v>10069</v>
      </c>
      <c r="H8128" s="6">
        <v>45135</v>
      </c>
      <c r="I8128">
        <f t="shared" si="252"/>
        <v>0</v>
      </c>
      <c r="J8128" t="str">
        <f t="shared" si="253"/>
        <v>Complete</v>
      </c>
      <c r="K8128">
        <f>COUNTIFS(RawData[Item], B8128,RawData[Quantity],C8128,RawData[Price Per Unit],D8128,RawData[Total Spent],E8128,RawData[Payment Method],F8128,RawData[Location],G8128,RawData[Transaction Date],H8128)</f>
        <v>1</v>
      </c>
      <c r="L8128"/>
    </row>
    <row r="8129" spans="1:12" x14ac:dyDescent="0.3">
      <c r="A8129" t="s">
        <v>8135</v>
      </c>
      <c r="B8129" t="s">
        <v>10011</v>
      </c>
      <c r="C8129">
        <v>4</v>
      </c>
      <c r="D8129">
        <v>5</v>
      </c>
      <c r="E8129">
        <v>20</v>
      </c>
      <c r="F8129" t="s">
        <v>10018</v>
      </c>
      <c r="G8129" t="s">
        <v>10069</v>
      </c>
      <c r="H8129" s="6">
        <v>44982</v>
      </c>
      <c r="I8129">
        <f t="shared" si="252"/>
        <v>0</v>
      </c>
      <c r="J8129" t="str">
        <f t="shared" si="253"/>
        <v>Complete</v>
      </c>
      <c r="K8129">
        <f>COUNTIFS(RawData[Item], B8129,RawData[Quantity],C8129,RawData[Price Per Unit],D8129,RawData[Total Spent],E8129,RawData[Payment Method],F8129,RawData[Location],G8129,RawData[Transaction Date],H8129)</f>
        <v>1</v>
      </c>
      <c r="L8129"/>
    </row>
    <row r="8130" spans="1:12" x14ac:dyDescent="0.3">
      <c r="A8130" t="s">
        <v>8136</v>
      </c>
      <c r="B8130" t="s">
        <v>10012</v>
      </c>
      <c r="C8130">
        <v>3</v>
      </c>
      <c r="D8130" t="s">
        <v>10015</v>
      </c>
      <c r="E8130" t="s">
        <v>10015</v>
      </c>
      <c r="F8130" t="s">
        <v>10018</v>
      </c>
      <c r="G8130" t="s">
        <v>10021</v>
      </c>
      <c r="H8130" s="6">
        <v>44944</v>
      </c>
      <c r="I8130">
        <f t="shared" ref="I8130:I8193" si="254">(B8130="Unknown")+(B8130="Error")+(C8130="Unknown")+(C8130="Error")+(D8130="Unknown")+(D8130="Error")+(E8130="Unknown")+(E8130="Error")+(F8130="Unknown")+(F8130="Error")+(G8130="Unknown")+(G8130="Error")+(H8130="No Date")</f>
        <v>2</v>
      </c>
      <c r="J8130" t="str">
        <f t="shared" ref="J8130:J8193" si="255">IF((H8130="No Date"),"Incomplete","Complete")</f>
        <v>Complete</v>
      </c>
      <c r="K8130">
        <f>COUNTIFS(RawData[Item], B8130,RawData[Quantity],C8130,RawData[Price Per Unit],D8130,RawData[Total Spent],E8130,RawData[Payment Method],F8130,RawData[Location],G8130,RawData[Transaction Date],H8130)</f>
        <v>1</v>
      </c>
      <c r="L8130"/>
    </row>
    <row r="8131" spans="1:12" x14ac:dyDescent="0.3">
      <c r="A8131" t="s">
        <v>8137</v>
      </c>
      <c r="B8131" t="s">
        <v>10013</v>
      </c>
      <c r="C8131">
        <v>3</v>
      </c>
      <c r="D8131" t="s">
        <v>10013</v>
      </c>
      <c r="E8131">
        <v>15</v>
      </c>
      <c r="F8131" t="s">
        <v>10069</v>
      </c>
      <c r="G8131" t="s">
        <v>10102</v>
      </c>
      <c r="H8131" s="6">
        <v>45276</v>
      </c>
      <c r="I8131">
        <f t="shared" si="254"/>
        <v>2</v>
      </c>
      <c r="J8131" t="str">
        <f t="shared" si="255"/>
        <v>Complete</v>
      </c>
      <c r="K8131">
        <f>COUNTIFS(RawData[Item], B8131,RawData[Quantity],C8131,RawData[Price Per Unit],D8131,RawData[Total Spent],E8131,RawData[Payment Method],F8131,RawData[Location],G8131,RawData[Transaction Date],H8131)</f>
        <v>1</v>
      </c>
      <c r="L8131"/>
    </row>
    <row r="8132" spans="1:12" x14ac:dyDescent="0.3">
      <c r="A8132" t="s">
        <v>8138</v>
      </c>
      <c r="B8132" t="s">
        <v>10014</v>
      </c>
      <c r="C8132" t="s">
        <v>10015</v>
      </c>
      <c r="D8132">
        <v>4</v>
      </c>
      <c r="E8132">
        <v>12</v>
      </c>
      <c r="F8132" t="s">
        <v>10020</v>
      </c>
      <c r="G8132" t="s">
        <v>10021</v>
      </c>
      <c r="H8132" s="6">
        <v>44955</v>
      </c>
      <c r="I8132">
        <f t="shared" si="254"/>
        <v>1</v>
      </c>
      <c r="J8132" t="str">
        <f t="shared" si="255"/>
        <v>Complete</v>
      </c>
      <c r="K8132">
        <f>COUNTIFS(RawData[Item], B8132,RawData[Quantity],C8132,RawData[Price Per Unit],D8132,RawData[Total Spent],E8132,RawData[Payment Method],F8132,RawData[Location],G8132,RawData[Transaction Date],H8132)</f>
        <v>1</v>
      </c>
      <c r="L8132"/>
    </row>
    <row r="8133" spans="1:12" x14ac:dyDescent="0.3">
      <c r="A8133" t="s">
        <v>8139</v>
      </c>
      <c r="B8133" t="s">
        <v>10017</v>
      </c>
      <c r="C8133">
        <v>2</v>
      </c>
      <c r="D8133">
        <v>1.5</v>
      </c>
      <c r="E8133">
        <v>3</v>
      </c>
      <c r="F8133" t="s">
        <v>10019</v>
      </c>
      <c r="G8133" t="s">
        <v>10104</v>
      </c>
      <c r="H8133" s="6">
        <v>45195</v>
      </c>
      <c r="I8133">
        <f t="shared" si="254"/>
        <v>1</v>
      </c>
      <c r="J8133" t="str">
        <f t="shared" si="255"/>
        <v>Complete</v>
      </c>
      <c r="K8133">
        <f>COUNTIFS(RawData[Item], B8133,RawData[Quantity],C8133,RawData[Price Per Unit],D8133,RawData[Total Spent],E8133,RawData[Payment Method],F8133,RawData[Location],G8133,RawData[Transaction Date],H8133)</f>
        <v>1</v>
      </c>
      <c r="L8133"/>
    </row>
    <row r="8134" spans="1:12" x14ac:dyDescent="0.3">
      <c r="A8134" t="s">
        <v>8140</v>
      </c>
      <c r="B8134" t="s">
        <v>10013</v>
      </c>
      <c r="C8134">
        <v>4</v>
      </c>
      <c r="D8134">
        <v>5</v>
      </c>
      <c r="E8134">
        <v>20</v>
      </c>
      <c r="F8134" t="s">
        <v>10019</v>
      </c>
      <c r="G8134" t="s">
        <v>10069</v>
      </c>
      <c r="H8134" s="6">
        <v>45046</v>
      </c>
      <c r="I8134">
        <f t="shared" si="254"/>
        <v>1</v>
      </c>
      <c r="J8134" t="str">
        <f t="shared" si="255"/>
        <v>Complete</v>
      </c>
      <c r="K8134">
        <f>COUNTIFS(RawData[Item], B8134,RawData[Quantity],C8134,RawData[Price Per Unit],D8134,RawData[Total Spent],E8134,RawData[Payment Method],F8134,RawData[Location],G8134,RawData[Transaction Date],H8134)</f>
        <v>1</v>
      </c>
      <c r="L8134"/>
    </row>
    <row r="8135" spans="1:12" x14ac:dyDescent="0.3">
      <c r="A8135" t="s">
        <v>8141</v>
      </c>
      <c r="B8135" t="s">
        <v>10016</v>
      </c>
      <c r="C8135">
        <v>4</v>
      </c>
      <c r="D8135">
        <v>3</v>
      </c>
      <c r="E8135">
        <v>12</v>
      </c>
      <c r="F8135" t="s">
        <v>10069</v>
      </c>
      <c r="G8135" t="s">
        <v>10102</v>
      </c>
      <c r="H8135" s="6">
        <v>45011</v>
      </c>
      <c r="I8135">
        <f t="shared" si="254"/>
        <v>0</v>
      </c>
      <c r="J8135" t="str">
        <f t="shared" si="255"/>
        <v>Complete</v>
      </c>
      <c r="K8135">
        <f>COUNTIFS(RawData[Item], B8135,RawData[Quantity],C8135,RawData[Price Per Unit],D8135,RawData[Total Spent],E8135,RawData[Payment Method],F8135,RawData[Location],G8135,RawData[Transaction Date],H8135)</f>
        <v>2</v>
      </c>
      <c r="L8135"/>
    </row>
    <row r="8136" spans="1:12" x14ac:dyDescent="0.3">
      <c r="A8136" t="s">
        <v>8142</v>
      </c>
      <c r="B8136" t="s">
        <v>10013</v>
      </c>
      <c r="C8136">
        <v>3</v>
      </c>
      <c r="D8136">
        <v>3</v>
      </c>
      <c r="E8136" t="s">
        <v>10013</v>
      </c>
      <c r="F8136" t="s">
        <v>10019</v>
      </c>
      <c r="G8136" t="s">
        <v>10021</v>
      </c>
      <c r="H8136" s="6">
        <v>44951</v>
      </c>
      <c r="I8136">
        <f t="shared" si="254"/>
        <v>2</v>
      </c>
      <c r="J8136" t="str">
        <f t="shared" si="255"/>
        <v>Complete</v>
      </c>
      <c r="K8136">
        <f>COUNTIFS(RawData[Item], B8136,RawData[Quantity],C8136,RawData[Price Per Unit],D8136,RawData[Total Spent],E8136,RawData[Payment Method],F8136,RawData[Location],G8136,RawData[Transaction Date],H8136)</f>
        <v>1</v>
      </c>
      <c r="L8136"/>
    </row>
    <row r="8137" spans="1:12" x14ac:dyDescent="0.3">
      <c r="A8137" t="s">
        <v>8143</v>
      </c>
      <c r="B8137" t="s">
        <v>10014</v>
      </c>
      <c r="C8137">
        <v>4</v>
      </c>
      <c r="D8137">
        <v>4</v>
      </c>
      <c r="E8137">
        <v>16</v>
      </c>
      <c r="F8137" t="s">
        <v>10020</v>
      </c>
      <c r="G8137" t="s">
        <v>10021</v>
      </c>
      <c r="H8137" s="6">
        <v>45167</v>
      </c>
      <c r="I8137">
        <f t="shared" si="254"/>
        <v>0</v>
      </c>
      <c r="J8137" t="str">
        <f t="shared" si="255"/>
        <v>Complete</v>
      </c>
      <c r="K8137">
        <f>COUNTIFS(RawData[Item], B8137,RawData[Quantity],C8137,RawData[Price Per Unit],D8137,RawData[Total Spent],E8137,RawData[Payment Method],F8137,RawData[Location],G8137,RawData[Transaction Date],H8137)</f>
        <v>1</v>
      </c>
      <c r="L8137"/>
    </row>
    <row r="8138" spans="1:12" x14ac:dyDescent="0.3">
      <c r="A8138" t="s">
        <v>8144</v>
      </c>
      <c r="B8138" t="s">
        <v>10012</v>
      </c>
      <c r="C8138">
        <v>2</v>
      </c>
      <c r="D8138" t="s">
        <v>10015</v>
      </c>
      <c r="E8138">
        <v>8</v>
      </c>
      <c r="F8138" t="s">
        <v>10069</v>
      </c>
      <c r="G8138" t="s">
        <v>10102</v>
      </c>
      <c r="H8138" s="6">
        <v>45221</v>
      </c>
      <c r="I8138">
        <f t="shared" si="254"/>
        <v>1</v>
      </c>
      <c r="J8138" t="str">
        <f t="shared" si="255"/>
        <v>Complete</v>
      </c>
      <c r="K8138">
        <f>COUNTIFS(RawData[Item], B8138,RawData[Quantity],C8138,RawData[Price Per Unit],D8138,RawData[Total Spent],E8138,RawData[Payment Method],F8138,RawData[Location],G8138,RawData[Transaction Date],H8138)</f>
        <v>1</v>
      </c>
      <c r="L8138"/>
    </row>
    <row r="8139" spans="1:12" x14ac:dyDescent="0.3">
      <c r="A8139" t="s">
        <v>8145</v>
      </c>
      <c r="B8139" t="s">
        <v>10069</v>
      </c>
      <c r="C8139">
        <v>5</v>
      </c>
      <c r="D8139">
        <v>3</v>
      </c>
      <c r="E8139">
        <v>15</v>
      </c>
      <c r="F8139" t="s">
        <v>10069</v>
      </c>
      <c r="G8139" t="s">
        <v>10021</v>
      </c>
      <c r="H8139" s="6">
        <v>45030</v>
      </c>
      <c r="I8139">
        <f t="shared" si="254"/>
        <v>0</v>
      </c>
      <c r="J8139" t="str">
        <f t="shared" si="255"/>
        <v>Complete</v>
      </c>
      <c r="K8139">
        <f>COUNTIFS(RawData[Item], B8139,RawData[Quantity],C8139,RawData[Price Per Unit],D8139,RawData[Total Spent],E8139,RawData[Payment Method],F8139,RawData[Location],G8139,RawData[Transaction Date],H8139)</f>
        <v>1</v>
      </c>
      <c r="L8139"/>
    </row>
    <row r="8140" spans="1:12" x14ac:dyDescent="0.3">
      <c r="A8140" t="s">
        <v>8146</v>
      </c>
      <c r="B8140" t="s">
        <v>10017</v>
      </c>
      <c r="C8140">
        <v>5</v>
      </c>
      <c r="D8140">
        <v>1.5</v>
      </c>
      <c r="E8140">
        <v>7.5</v>
      </c>
      <c r="F8140" t="s">
        <v>10020</v>
      </c>
      <c r="G8140" t="s">
        <v>10104</v>
      </c>
      <c r="H8140" s="6">
        <v>45024</v>
      </c>
      <c r="I8140">
        <f t="shared" si="254"/>
        <v>1</v>
      </c>
      <c r="J8140" t="str">
        <f t="shared" si="255"/>
        <v>Complete</v>
      </c>
      <c r="K8140">
        <f>COUNTIFS(RawData[Item], B8140,RawData[Quantity],C8140,RawData[Price Per Unit],D8140,RawData[Total Spent],E8140,RawData[Payment Method],F8140,RawData[Location],G8140,RawData[Transaction Date],H8140)</f>
        <v>1</v>
      </c>
      <c r="L8140"/>
    </row>
    <row r="8141" spans="1:12" x14ac:dyDescent="0.3">
      <c r="A8141" t="s">
        <v>8147</v>
      </c>
      <c r="B8141" t="s">
        <v>10009</v>
      </c>
      <c r="C8141">
        <v>4</v>
      </c>
      <c r="D8141">
        <v>3</v>
      </c>
      <c r="E8141">
        <v>0</v>
      </c>
      <c r="F8141" t="s">
        <v>10069</v>
      </c>
      <c r="G8141" t="s">
        <v>10021</v>
      </c>
      <c r="H8141" s="6">
        <v>45209</v>
      </c>
      <c r="I8141">
        <f t="shared" si="254"/>
        <v>0</v>
      </c>
      <c r="J8141" t="str">
        <f t="shared" si="255"/>
        <v>Complete</v>
      </c>
      <c r="K8141">
        <f>COUNTIFS(RawData[Item], B8141,RawData[Quantity],C8141,RawData[Price Per Unit],D8141,RawData[Total Spent],E8141,RawData[Payment Method],F8141,RawData[Location],G8141,RawData[Transaction Date],H8141)</f>
        <v>1</v>
      </c>
      <c r="L8141"/>
    </row>
    <row r="8142" spans="1:12" x14ac:dyDescent="0.3">
      <c r="A8142" t="s">
        <v>8148</v>
      </c>
      <c r="B8142" t="s">
        <v>10012</v>
      </c>
      <c r="C8142">
        <v>4</v>
      </c>
      <c r="D8142">
        <v>4</v>
      </c>
      <c r="E8142">
        <v>16</v>
      </c>
      <c r="F8142" t="s">
        <v>10020</v>
      </c>
      <c r="G8142" t="s">
        <v>10102</v>
      </c>
      <c r="H8142" s="6">
        <v>44958</v>
      </c>
      <c r="I8142">
        <f t="shared" si="254"/>
        <v>0</v>
      </c>
      <c r="J8142" t="str">
        <f t="shared" si="255"/>
        <v>Complete</v>
      </c>
      <c r="K8142">
        <f>COUNTIFS(RawData[Item], B8142,RawData[Quantity],C8142,RawData[Price Per Unit],D8142,RawData[Total Spent],E8142,RawData[Payment Method],F8142,RawData[Location],G8142,RawData[Transaction Date],H8142)</f>
        <v>1</v>
      </c>
      <c r="L8142"/>
    </row>
    <row r="8143" spans="1:12" x14ac:dyDescent="0.3">
      <c r="A8143" t="s">
        <v>8149</v>
      </c>
      <c r="B8143" t="s">
        <v>10069</v>
      </c>
      <c r="C8143">
        <v>2</v>
      </c>
      <c r="D8143">
        <v>5</v>
      </c>
      <c r="E8143">
        <v>10</v>
      </c>
      <c r="F8143" t="s">
        <v>10020</v>
      </c>
      <c r="G8143" t="s">
        <v>10021</v>
      </c>
      <c r="H8143" s="6">
        <v>45165</v>
      </c>
      <c r="I8143">
        <f t="shared" si="254"/>
        <v>0</v>
      </c>
      <c r="J8143" t="str">
        <f t="shared" si="255"/>
        <v>Complete</v>
      </c>
      <c r="K8143">
        <f>COUNTIFS(RawData[Item], B8143,RawData[Quantity],C8143,RawData[Price Per Unit],D8143,RawData[Total Spent],E8143,RawData[Payment Method],F8143,RawData[Location],G8143,RawData[Transaction Date],H8143)</f>
        <v>1</v>
      </c>
      <c r="L8143"/>
    </row>
    <row r="8144" spans="1:12" x14ac:dyDescent="0.3">
      <c r="A8144" t="s">
        <v>8150</v>
      </c>
      <c r="B8144" t="s">
        <v>10016</v>
      </c>
      <c r="C8144">
        <v>3</v>
      </c>
      <c r="D8144">
        <v>3</v>
      </c>
      <c r="E8144">
        <v>9</v>
      </c>
      <c r="F8144" t="s">
        <v>10018</v>
      </c>
      <c r="G8144" t="s">
        <v>10021</v>
      </c>
      <c r="H8144" s="6">
        <v>45013</v>
      </c>
      <c r="I8144">
        <f t="shared" si="254"/>
        <v>0</v>
      </c>
      <c r="J8144" t="str">
        <f t="shared" si="255"/>
        <v>Complete</v>
      </c>
      <c r="K8144">
        <f>COUNTIFS(RawData[Item], B8144,RawData[Quantity],C8144,RawData[Price Per Unit],D8144,RawData[Total Spent],E8144,RawData[Payment Method],F8144,RawData[Location],G8144,RawData[Transaction Date],H8144)</f>
        <v>1</v>
      </c>
      <c r="L8144"/>
    </row>
    <row r="8145" spans="1:12" x14ac:dyDescent="0.3">
      <c r="A8145" t="s">
        <v>8151</v>
      </c>
      <c r="B8145" t="s">
        <v>10016</v>
      </c>
      <c r="C8145">
        <v>1</v>
      </c>
      <c r="D8145">
        <v>3</v>
      </c>
      <c r="E8145">
        <v>3</v>
      </c>
      <c r="F8145" t="s">
        <v>10019</v>
      </c>
      <c r="G8145" t="s">
        <v>10021</v>
      </c>
      <c r="H8145" s="6">
        <v>44998</v>
      </c>
      <c r="I8145">
        <f t="shared" si="254"/>
        <v>0</v>
      </c>
      <c r="J8145" t="str">
        <f t="shared" si="255"/>
        <v>Complete</v>
      </c>
      <c r="K8145">
        <f>COUNTIFS(RawData[Item], B8145,RawData[Quantity],C8145,RawData[Price Per Unit],D8145,RawData[Total Spent],E8145,RawData[Payment Method],F8145,RawData[Location],G8145,RawData[Transaction Date],H8145)</f>
        <v>2</v>
      </c>
      <c r="L8145"/>
    </row>
    <row r="8146" spans="1:12" x14ac:dyDescent="0.3">
      <c r="A8146" t="s">
        <v>8152</v>
      </c>
      <c r="B8146" t="s">
        <v>10008</v>
      </c>
      <c r="C8146">
        <v>5</v>
      </c>
      <c r="D8146">
        <v>2</v>
      </c>
      <c r="E8146">
        <v>10</v>
      </c>
      <c r="F8146" t="s">
        <v>10020</v>
      </c>
      <c r="G8146" t="s">
        <v>10069</v>
      </c>
      <c r="H8146" s="6">
        <v>45027</v>
      </c>
      <c r="I8146">
        <f t="shared" si="254"/>
        <v>0</v>
      </c>
      <c r="J8146" t="str">
        <f t="shared" si="255"/>
        <v>Complete</v>
      </c>
      <c r="K8146">
        <f>COUNTIFS(RawData[Item], B8146,RawData[Quantity],C8146,RawData[Price Per Unit],D8146,RawData[Total Spent],E8146,RawData[Payment Method],F8146,RawData[Location],G8146,RawData[Transaction Date],H8146)</f>
        <v>1</v>
      </c>
      <c r="L8146"/>
    </row>
    <row r="8147" spans="1:12" x14ac:dyDescent="0.3">
      <c r="A8147" t="s">
        <v>8153</v>
      </c>
      <c r="B8147" t="s">
        <v>10011</v>
      </c>
      <c r="C8147" t="s">
        <v>10015</v>
      </c>
      <c r="D8147">
        <v>5</v>
      </c>
      <c r="E8147">
        <v>25</v>
      </c>
      <c r="F8147" t="s">
        <v>10018</v>
      </c>
      <c r="G8147" t="s">
        <v>10021</v>
      </c>
      <c r="H8147" s="6">
        <v>44979</v>
      </c>
      <c r="I8147">
        <f t="shared" si="254"/>
        <v>1</v>
      </c>
      <c r="J8147" t="str">
        <f t="shared" si="255"/>
        <v>Complete</v>
      </c>
      <c r="K8147">
        <f>COUNTIFS(RawData[Item], B8147,RawData[Quantity],C8147,RawData[Price Per Unit],D8147,RawData[Total Spent],E8147,RawData[Payment Method],F8147,RawData[Location],G8147,RawData[Transaction Date],H8147)</f>
        <v>1</v>
      </c>
      <c r="L8147"/>
    </row>
    <row r="8148" spans="1:12" x14ac:dyDescent="0.3">
      <c r="A8148" t="s">
        <v>8154</v>
      </c>
      <c r="B8148" t="s">
        <v>10012</v>
      </c>
      <c r="C8148">
        <v>5</v>
      </c>
      <c r="D8148">
        <v>4</v>
      </c>
      <c r="E8148">
        <v>20</v>
      </c>
      <c r="F8148" t="s">
        <v>10069</v>
      </c>
      <c r="G8148" t="s">
        <v>10102</v>
      </c>
      <c r="H8148" s="6">
        <v>45140</v>
      </c>
      <c r="I8148">
        <f t="shared" si="254"/>
        <v>0</v>
      </c>
      <c r="J8148" t="str">
        <f t="shared" si="255"/>
        <v>Complete</v>
      </c>
      <c r="K8148">
        <f>COUNTIFS(RawData[Item], B8148,RawData[Quantity],C8148,RawData[Price Per Unit],D8148,RawData[Total Spent],E8148,RawData[Payment Method],F8148,RawData[Location],G8148,RawData[Transaction Date],H8148)</f>
        <v>1</v>
      </c>
      <c r="L8148"/>
    </row>
    <row r="8149" spans="1:12" x14ac:dyDescent="0.3">
      <c r="A8149" t="s">
        <v>8155</v>
      </c>
      <c r="B8149" t="s">
        <v>10017</v>
      </c>
      <c r="C8149">
        <v>2</v>
      </c>
      <c r="D8149">
        <v>1.5</v>
      </c>
      <c r="E8149">
        <v>3</v>
      </c>
      <c r="F8149" t="s">
        <v>10018</v>
      </c>
      <c r="G8149" t="s">
        <v>10021</v>
      </c>
      <c r="H8149" s="6" t="s">
        <v>10112</v>
      </c>
      <c r="I8149">
        <f t="shared" si="254"/>
        <v>1</v>
      </c>
      <c r="J8149" t="str">
        <f t="shared" si="255"/>
        <v>Incomplete</v>
      </c>
      <c r="K8149">
        <f>COUNTIFS(RawData[Item], B8149,RawData[Quantity],C8149,RawData[Price Per Unit],D8149,RawData[Total Spent],E8149,RawData[Payment Method],F8149,RawData[Location],G8149,RawData[Transaction Date],H8149)</f>
        <v>1</v>
      </c>
      <c r="L8149"/>
    </row>
    <row r="8150" spans="1:12" x14ac:dyDescent="0.3">
      <c r="A8150" t="s">
        <v>8156</v>
      </c>
      <c r="B8150" t="s">
        <v>10017</v>
      </c>
      <c r="C8150">
        <v>4</v>
      </c>
      <c r="D8150">
        <v>1.5</v>
      </c>
      <c r="E8150">
        <v>6</v>
      </c>
      <c r="F8150" t="s">
        <v>10019</v>
      </c>
      <c r="G8150" t="s">
        <v>10102</v>
      </c>
      <c r="H8150" s="6">
        <v>45218</v>
      </c>
      <c r="I8150">
        <f t="shared" si="254"/>
        <v>0</v>
      </c>
      <c r="J8150" t="str">
        <f t="shared" si="255"/>
        <v>Complete</v>
      </c>
      <c r="K8150">
        <f>COUNTIFS(RawData[Item], B8150,RawData[Quantity],C8150,RawData[Price Per Unit],D8150,RawData[Total Spent],E8150,RawData[Payment Method],F8150,RawData[Location],G8150,RawData[Transaction Date],H8150)</f>
        <v>2</v>
      </c>
      <c r="L8150"/>
    </row>
    <row r="8151" spans="1:12" x14ac:dyDescent="0.3">
      <c r="A8151" t="s">
        <v>8157</v>
      </c>
      <c r="B8151" t="s">
        <v>10017</v>
      </c>
      <c r="C8151">
        <v>2</v>
      </c>
      <c r="D8151">
        <v>1.5</v>
      </c>
      <c r="E8151">
        <v>3</v>
      </c>
      <c r="F8151" t="s">
        <v>10019</v>
      </c>
      <c r="G8151" t="s">
        <v>10102</v>
      </c>
      <c r="H8151" s="6">
        <v>45158</v>
      </c>
      <c r="I8151">
        <f t="shared" si="254"/>
        <v>0</v>
      </c>
      <c r="J8151" t="str">
        <f t="shared" si="255"/>
        <v>Complete</v>
      </c>
      <c r="K8151">
        <f>COUNTIFS(RawData[Item], B8151,RawData[Quantity],C8151,RawData[Price Per Unit],D8151,RawData[Total Spent],E8151,RawData[Payment Method],F8151,RawData[Location],G8151,RawData[Transaction Date],H8151)</f>
        <v>1</v>
      </c>
      <c r="L8151"/>
    </row>
    <row r="8152" spans="1:12" x14ac:dyDescent="0.3">
      <c r="A8152" t="s">
        <v>8158</v>
      </c>
      <c r="B8152" t="s">
        <v>10008</v>
      </c>
      <c r="C8152">
        <v>2</v>
      </c>
      <c r="D8152">
        <v>2</v>
      </c>
      <c r="E8152">
        <v>4</v>
      </c>
      <c r="F8152" t="s">
        <v>10019</v>
      </c>
      <c r="G8152" t="s">
        <v>10102</v>
      </c>
      <c r="H8152" s="6">
        <v>45099</v>
      </c>
      <c r="I8152">
        <f t="shared" si="254"/>
        <v>0</v>
      </c>
      <c r="J8152" t="str">
        <f t="shared" si="255"/>
        <v>Complete</v>
      </c>
      <c r="K8152">
        <f>COUNTIFS(RawData[Item], B8152,RawData[Quantity],C8152,RawData[Price Per Unit],D8152,RawData[Total Spent],E8152,RawData[Payment Method],F8152,RawData[Location],G8152,RawData[Transaction Date],H8152)</f>
        <v>1</v>
      </c>
      <c r="L8152"/>
    </row>
    <row r="8153" spans="1:12" x14ac:dyDescent="0.3">
      <c r="A8153" t="s">
        <v>8159</v>
      </c>
      <c r="B8153" t="s">
        <v>10016</v>
      </c>
      <c r="C8153">
        <v>2</v>
      </c>
      <c r="D8153">
        <v>3</v>
      </c>
      <c r="E8153">
        <v>6</v>
      </c>
      <c r="F8153" t="s">
        <v>10018</v>
      </c>
      <c r="G8153" t="s">
        <v>10021</v>
      </c>
      <c r="H8153" s="6">
        <v>45011</v>
      </c>
      <c r="I8153">
        <f t="shared" si="254"/>
        <v>0</v>
      </c>
      <c r="J8153" t="str">
        <f t="shared" si="255"/>
        <v>Complete</v>
      </c>
      <c r="K8153">
        <f>COUNTIFS(RawData[Item], B8153,RawData[Quantity],C8153,RawData[Price Per Unit],D8153,RawData[Total Spent],E8153,RawData[Payment Method],F8153,RawData[Location],G8153,RawData[Transaction Date],H8153)</f>
        <v>1</v>
      </c>
      <c r="L8153"/>
    </row>
    <row r="8154" spans="1:12" x14ac:dyDescent="0.3">
      <c r="A8154" t="s">
        <v>8160</v>
      </c>
      <c r="B8154" t="s">
        <v>10011</v>
      </c>
      <c r="C8154">
        <v>5</v>
      </c>
      <c r="D8154">
        <v>5</v>
      </c>
      <c r="E8154">
        <v>25</v>
      </c>
      <c r="F8154" t="s">
        <v>10020</v>
      </c>
      <c r="G8154" t="s">
        <v>10102</v>
      </c>
      <c r="H8154" s="6">
        <v>45237</v>
      </c>
      <c r="I8154">
        <f t="shared" si="254"/>
        <v>0</v>
      </c>
      <c r="J8154" t="str">
        <f t="shared" si="255"/>
        <v>Complete</v>
      </c>
      <c r="K8154">
        <f>COUNTIFS(RawData[Item], B8154,RawData[Quantity],C8154,RawData[Price Per Unit],D8154,RawData[Total Spent],E8154,RawData[Payment Method],F8154,RawData[Location],G8154,RawData[Transaction Date],H8154)</f>
        <v>1</v>
      </c>
      <c r="L8154"/>
    </row>
    <row r="8155" spans="1:12" x14ac:dyDescent="0.3">
      <c r="A8155" t="s">
        <v>8161</v>
      </c>
      <c r="B8155" t="s">
        <v>10014</v>
      </c>
      <c r="C8155">
        <v>5</v>
      </c>
      <c r="D8155">
        <v>4</v>
      </c>
      <c r="E8155">
        <v>20</v>
      </c>
      <c r="F8155" t="s">
        <v>10069</v>
      </c>
      <c r="G8155" t="s">
        <v>10069</v>
      </c>
      <c r="H8155" s="6">
        <v>45218</v>
      </c>
      <c r="I8155">
        <f t="shared" si="254"/>
        <v>0</v>
      </c>
      <c r="J8155" t="str">
        <f t="shared" si="255"/>
        <v>Complete</v>
      </c>
      <c r="K8155">
        <f>COUNTIFS(RawData[Item], B8155,RawData[Quantity],C8155,RawData[Price Per Unit],D8155,RawData[Total Spent],E8155,RawData[Payment Method],F8155,RawData[Location],G8155,RawData[Transaction Date],H8155)</f>
        <v>1</v>
      </c>
      <c r="L8155"/>
    </row>
    <row r="8156" spans="1:12" x14ac:dyDescent="0.3">
      <c r="A8156" t="s">
        <v>8162</v>
      </c>
      <c r="B8156" t="s">
        <v>10016</v>
      </c>
      <c r="C8156">
        <v>5</v>
      </c>
      <c r="D8156">
        <v>3</v>
      </c>
      <c r="E8156">
        <v>15</v>
      </c>
      <c r="F8156" t="s">
        <v>10020</v>
      </c>
      <c r="G8156" t="s">
        <v>10021</v>
      </c>
      <c r="H8156" s="6">
        <v>44947</v>
      </c>
      <c r="I8156">
        <f t="shared" si="254"/>
        <v>0</v>
      </c>
      <c r="J8156" t="str">
        <f t="shared" si="255"/>
        <v>Complete</v>
      </c>
      <c r="K8156">
        <f>COUNTIFS(RawData[Item], B8156,RawData[Quantity],C8156,RawData[Price Per Unit],D8156,RawData[Total Spent],E8156,RawData[Payment Method],F8156,RawData[Location],G8156,RawData[Transaction Date],H8156)</f>
        <v>1</v>
      </c>
      <c r="L8156"/>
    </row>
    <row r="8157" spans="1:12" x14ac:dyDescent="0.3">
      <c r="A8157" t="s">
        <v>8163</v>
      </c>
      <c r="B8157" t="s">
        <v>10009</v>
      </c>
      <c r="C8157">
        <v>3</v>
      </c>
      <c r="D8157">
        <v>3</v>
      </c>
      <c r="E8157">
        <v>9</v>
      </c>
      <c r="F8157" t="s">
        <v>10019</v>
      </c>
      <c r="G8157" t="s">
        <v>10021</v>
      </c>
      <c r="H8157" s="6">
        <v>45027</v>
      </c>
      <c r="I8157">
        <f t="shared" si="254"/>
        <v>0</v>
      </c>
      <c r="J8157" t="str">
        <f t="shared" si="255"/>
        <v>Complete</v>
      </c>
      <c r="K8157">
        <f>COUNTIFS(RawData[Item], B8157,RawData[Quantity],C8157,RawData[Price Per Unit],D8157,RawData[Total Spent],E8157,RawData[Payment Method],F8157,RawData[Location],G8157,RawData[Transaction Date],H8157)</f>
        <v>1</v>
      </c>
      <c r="L8157"/>
    </row>
    <row r="8158" spans="1:12" x14ac:dyDescent="0.3">
      <c r="A8158" t="s">
        <v>8164</v>
      </c>
      <c r="B8158" t="s">
        <v>10017</v>
      </c>
      <c r="C8158">
        <v>5</v>
      </c>
      <c r="D8158">
        <v>1.5</v>
      </c>
      <c r="E8158">
        <v>7.5</v>
      </c>
      <c r="F8158" t="s">
        <v>10103</v>
      </c>
      <c r="G8158" t="s">
        <v>10102</v>
      </c>
      <c r="H8158" s="6">
        <v>45220</v>
      </c>
      <c r="I8158">
        <f t="shared" si="254"/>
        <v>1</v>
      </c>
      <c r="J8158" t="str">
        <f t="shared" si="255"/>
        <v>Complete</v>
      </c>
      <c r="K8158">
        <f>COUNTIFS(RawData[Item], B8158,RawData[Quantity],C8158,RawData[Price Per Unit],D8158,RawData[Total Spent],E8158,RawData[Payment Method],F8158,RawData[Location],G8158,RawData[Transaction Date],H8158)</f>
        <v>1</v>
      </c>
      <c r="L8158"/>
    </row>
    <row r="8159" spans="1:12" x14ac:dyDescent="0.3">
      <c r="A8159" t="s">
        <v>8165</v>
      </c>
      <c r="B8159" t="s">
        <v>10014</v>
      </c>
      <c r="C8159">
        <v>1</v>
      </c>
      <c r="D8159">
        <v>4</v>
      </c>
      <c r="E8159">
        <v>4</v>
      </c>
      <c r="F8159" t="s">
        <v>10018</v>
      </c>
      <c r="G8159" t="s">
        <v>10069</v>
      </c>
      <c r="H8159" s="6" t="s">
        <v>10112</v>
      </c>
      <c r="I8159">
        <f t="shared" si="254"/>
        <v>1</v>
      </c>
      <c r="J8159" t="str">
        <f t="shared" si="255"/>
        <v>Incomplete</v>
      </c>
      <c r="K8159">
        <f>COUNTIFS(RawData[Item], B8159,RawData[Quantity],C8159,RawData[Price Per Unit],D8159,RawData[Total Spent],E8159,RawData[Payment Method],F8159,RawData[Location],G8159,RawData[Transaction Date],H8159)</f>
        <v>1</v>
      </c>
      <c r="L8159"/>
    </row>
    <row r="8160" spans="1:12" x14ac:dyDescent="0.3">
      <c r="A8160" t="s">
        <v>8166</v>
      </c>
      <c r="B8160" t="s">
        <v>10011</v>
      </c>
      <c r="C8160">
        <v>4</v>
      </c>
      <c r="D8160">
        <v>5</v>
      </c>
      <c r="E8160">
        <v>20</v>
      </c>
      <c r="F8160" t="s">
        <v>10020</v>
      </c>
      <c r="G8160" t="s">
        <v>10102</v>
      </c>
      <c r="H8160" s="6">
        <v>45127</v>
      </c>
      <c r="I8160">
        <f t="shared" si="254"/>
        <v>0</v>
      </c>
      <c r="J8160" t="str">
        <f t="shared" si="255"/>
        <v>Complete</v>
      </c>
      <c r="K8160">
        <f>COUNTIFS(RawData[Item], B8160,RawData[Quantity],C8160,RawData[Price Per Unit],D8160,RawData[Total Spent],E8160,RawData[Payment Method],F8160,RawData[Location],G8160,RawData[Transaction Date],H8160)</f>
        <v>1</v>
      </c>
      <c r="L8160"/>
    </row>
    <row r="8161" spans="1:12" x14ac:dyDescent="0.3">
      <c r="A8161" t="s">
        <v>8167</v>
      </c>
      <c r="B8161" t="s">
        <v>10016</v>
      </c>
      <c r="C8161">
        <v>1</v>
      </c>
      <c r="D8161">
        <v>3</v>
      </c>
      <c r="E8161">
        <v>3</v>
      </c>
      <c r="F8161" t="s">
        <v>10020</v>
      </c>
      <c r="G8161" t="s">
        <v>10069</v>
      </c>
      <c r="H8161" s="6">
        <v>45008</v>
      </c>
      <c r="I8161">
        <f t="shared" si="254"/>
        <v>0</v>
      </c>
      <c r="J8161" t="str">
        <f t="shared" si="255"/>
        <v>Complete</v>
      </c>
      <c r="K8161">
        <f>COUNTIFS(RawData[Item], B8161,RawData[Quantity],C8161,RawData[Price Per Unit],D8161,RawData[Total Spent],E8161,RawData[Payment Method],F8161,RawData[Location],G8161,RawData[Transaction Date],H8161)</f>
        <v>1</v>
      </c>
      <c r="L8161"/>
    </row>
    <row r="8162" spans="1:12" x14ac:dyDescent="0.3">
      <c r="A8162" t="s">
        <v>8168</v>
      </c>
      <c r="B8162" t="s">
        <v>10010</v>
      </c>
      <c r="C8162">
        <v>5</v>
      </c>
      <c r="D8162">
        <v>1</v>
      </c>
      <c r="E8162">
        <v>5</v>
      </c>
      <c r="F8162" t="s">
        <v>10069</v>
      </c>
      <c r="G8162" t="s">
        <v>10021</v>
      </c>
      <c r="H8162" s="6">
        <v>45125</v>
      </c>
      <c r="I8162">
        <f t="shared" si="254"/>
        <v>0</v>
      </c>
      <c r="J8162" t="str">
        <f t="shared" si="255"/>
        <v>Complete</v>
      </c>
      <c r="K8162">
        <f>COUNTIFS(RawData[Item], B8162,RawData[Quantity],C8162,RawData[Price Per Unit],D8162,RawData[Total Spent],E8162,RawData[Payment Method],F8162,RawData[Location],G8162,RawData[Transaction Date],H8162)</f>
        <v>1</v>
      </c>
      <c r="L8162"/>
    </row>
    <row r="8163" spans="1:12" x14ac:dyDescent="0.3">
      <c r="A8163" t="s">
        <v>8169</v>
      </c>
      <c r="B8163" t="s">
        <v>10010</v>
      </c>
      <c r="C8163">
        <v>4</v>
      </c>
      <c r="D8163">
        <v>1</v>
      </c>
      <c r="E8163">
        <v>4</v>
      </c>
      <c r="F8163" t="s">
        <v>10069</v>
      </c>
      <c r="G8163" t="s">
        <v>10102</v>
      </c>
      <c r="H8163" s="6" t="s">
        <v>10112</v>
      </c>
      <c r="I8163">
        <f t="shared" si="254"/>
        <v>1</v>
      </c>
      <c r="J8163" t="str">
        <f t="shared" si="255"/>
        <v>Incomplete</v>
      </c>
      <c r="K8163">
        <f>COUNTIFS(RawData[Item], B8163,RawData[Quantity],C8163,RawData[Price Per Unit],D8163,RawData[Total Spent],E8163,RawData[Payment Method],F8163,RawData[Location],G8163,RawData[Transaction Date],H8163)</f>
        <v>1</v>
      </c>
      <c r="L8163"/>
    </row>
    <row r="8164" spans="1:12" x14ac:dyDescent="0.3">
      <c r="A8164" t="s">
        <v>8170</v>
      </c>
      <c r="B8164" t="s">
        <v>10012</v>
      </c>
      <c r="C8164">
        <v>2</v>
      </c>
      <c r="D8164">
        <v>4</v>
      </c>
      <c r="E8164">
        <v>8</v>
      </c>
      <c r="F8164" t="s">
        <v>10019</v>
      </c>
      <c r="G8164" t="s">
        <v>10102</v>
      </c>
      <c r="H8164" s="6">
        <v>45219</v>
      </c>
      <c r="I8164">
        <f t="shared" si="254"/>
        <v>0</v>
      </c>
      <c r="J8164" t="str">
        <f t="shared" si="255"/>
        <v>Complete</v>
      </c>
      <c r="K8164">
        <f>COUNTIFS(RawData[Item], B8164,RawData[Quantity],C8164,RawData[Price Per Unit],D8164,RawData[Total Spent],E8164,RawData[Payment Method],F8164,RawData[Location],G8164,RawData[Transaction Date],H8164)</f>
        <v>1</v>
      </c>
      <c r="L8164"/>
    </row>
    <row r="8165" spans="1:12" x14ac:dyDescent="0.3">
      <c r="A8165" t="s">
        <v>8171</v>
      </c>
      <c r="B8165" t="s">
        <v>10008</v>
      </c>
      <c r="C8165">
        <v>3</v>
      </c>
      <c r="D8165">
        <v>2</v>
      </c>
      <c r="E8165">
        <v>6</v>
      </c>
      <c r="F8165" t="s">
        <v>10020</v>
      </c>
      <c r="G8165" t="s">
        <v>10069</v>
      </c>
      <c r="H8165" s="6">
        <v>45082</v>
      </c>
      <c r="I8165">
        <f t="shared" si="254"/>
        <v>0</v>
      </c>
      <c r="J8165" t="str">
        <f t="shared" si="255"/>
        <v>Complete</v>
      </c>
      <c r="K8165">
        <f>COUNTIFS(RawData[Item], B8165,RawData[Quantity],C8165,RawData[Price Per Unit],D8165,RawData[Total Spent],E8165,RawData[Payment Method],F8165,RawData[Location],G8165,RawData[Transaction Date],H8165)</f>
        <v>1</v>
      </c>
      <c r="L8165"/>
    </row>
    <row r="8166" spans="1:12" x14ac:dyDescent="0.3">
      <c r="A8166" t="s">
        <v>8172</v>
      </c>
      <c r="B8166" t="s">
        <v>10009</v>
      </c>
      <c r="C8166">
        <v>2</v>
      </c>
      <c r="D8166">
        <v>3</v>
      </c>
      <c r="E8166">
        <v>6</v>
      </c>
      <c r="F8166" t="s">
        <v>10069</v>
      </c>
      <c r="G8166" t="s">
        <v>10069</v>
      </c>
      <c r="H8166" s="6">
        <v>45224</v>
      </c>
      <c r="I8166">
        <f t="shared" si="254"/>
        <v>0</v>
      </c>
      <c r="J8166" t="str">
        <f t="shared" si="255"/>
        <v>Complete</v>
      </c>
      <c r="K8166">
        <f>COUNTIFS(RawData[Item], B8166,RawData[Quantity],C8166,RawData[Price Per Unit],D8166,RawData[Total Spent],E8166,RawData[Payment Method],F8166,RawData[Location],G8166,RawData[Transaction Date],H8166)</f>
        <v>1</v>
      </c>
      <c r="L8166"/>
    </row>
    <row r="8167" spans="1:12" x14ac:dyDescent="0.3">
      <c r="A8167" t="s">
        <v>8173</v>
      </c>
      <c r="B8167" t="s">
        <v>10011</v>
      </c>
      <c r="C8167">
        <v>1</v>
      </c>
      <c r="D8167">
        <v>5</v>
      </c>
      <c r="E8167">
        <v>5</v>
      </c>
      <c r="F8167" t="s">
        <v>10018</v>
      </c>
      <c r="G8167" t="s">
        <v>10102</v>
      </c>
      <c r="H8167" s="6" t="s">
        <v>10112</v>
      </c>
      <c r="I8167">
        <f t="shared" si="254"/>
        <v>1</v>
      </c>
      <c r="J8167" t="str">
        <f t="shared" si="255"/>
        <v>Incomplete</v>
      </c>
      <c r="K8167">
        <f>COUNTIFS(RawData[Item], B8167,RawData[Quantity],C8167,RawData[Price Per Unit],D8167,RawData[Total Spent],E8167,RawData[Payment Method],F8167,RawData[Location],G8167,RawData[Transaction Date],H8167)</f>
        <v>1</v>
      </c>
      <c r="L8167"/>
    </row>
    <row r="8168" spans="1:12" x14ac:dyDescent="0.3">
      <c r="A8168" t="s">
        <v>8174</v>
      </c>
      <c r="B8168" t="s">
        <v>10010</v>
      </c>
      <c r="C8168">
        <v>2</v>
      </c>
      <c r="D8168">
        <v>1</v>
      </c>
      <c r="E8168">
        <v>2</v>
      </c>
      <c r="F8168" t="s">
        <v>10020</v>
      </c>
      <c r="G8168" t="s">
        <v>10069</v>
      </c>
      <c r="H8168" s="6">
        <v>45144</v>
      </c>
      <c r="I8168">
        <f t="shared" si="254"/>
        <v>0</v>
      </c>
      <c r="J8168" t="str">
        <f t="shared" si="255"/>
        <v>Complete</v>
      </c>
      <c r="K8168">
        <f>COUNTIFS(RawData[Item], B8168,RawData[Quantity],C8168,RawData[Price Per Unit],D8168,RawData[Total Spent],E8168,RawData[Payment Method],F8168,RawData[Location],G8168,RawData[Transaction Date],H8168)</f>
        <v>1</v>
      </c>
      <c r="L8168"/>
    </row>
    <row r="8169" spans="1:12" x14ac:dyDescent="0.3">
      <c r="A8169" t="s">
        <v>8175</v>
      </c>
      <c r="B8169" t="s">
        <v>10017</v>
      </c>
      <c r="C8169">
        <v>4</v>
      </c>
      <c r="D8169">
        <v>1.5</v>
      </c>
      <c r="E8169">
        <v>6</v>
      </c>
      <c r="F8169" t="s">
        <v>10019</v>
      </c>
      <c r="G8169" t="s">
        <v>10069</v>
      </c>
      <c r="H8169" s="6">
        <v>45057</v>
      </c>
      <c r="I8169">
        <f t="shared" si="254"/>
        <v>0</v>
      </c>
      <c r="J8169" t="str">
        <f t="shared" si="255"/>
        <v>Complete</v>
      </c>
      <c r="K8169">
        <f>COUNTIFS(RawData[Item], B8169,RawData[Quantity],C8169,RawData[Price Per Unit],D8169,RawData[Total Spent],E8169,RawData[Payment Method],F8169,RawData[Location],G8169,RawData[Transaction Date],H8169)</f>
        <v>1</v>
      </c>
      <c r="L8169"/>
    </row>
    <row r="8170" spans="1:12" x14ac:dyDescent="0.3">
      <c r="A8170" t="s">
        <v>8176</v>
      </c>
      <c r="B8170" t="s">
        <v>10016</v>
      </c>
      <c r="C8170">
        <v>1</v>
      </c>
      <c r="D8170">
        <v>3</v>
      </c>
      <c r="E8170">
        <v>3</v>
      </c>
      <c r="F8170" t="s">
        <v>10020</v>
      </c>
      <c r="G8170" t="s">
        <v>10069</v>
      </c>
      <c r="H8170" s="6">
        <v>44937</v>
      </c>
      <c r="I8170">
        <f t="shared" si="254"/>
        <v>0</v>
      </c>
      <c r="J8170" t="str">
        <f t="shared" si="255"/>
        <v>Complete</v>
      </c>
      <c r="K8170">
        <f>COUNTIFS(RawData[Item], B8170,RawData[Quantity],C8170,RawData[Price Per Unit],D8170,RawData[Total Spent],E8170,RawData[Payment Method],F8170,RawData[Location],G8170,RawData[Transaction Date],H8170)</f>
        <v>1</v>
      </c>
      <c r="L8170"/>
    </row>
    <row r="8171" spans="1:12" x14ac:dyDescent="0.3">
      <c r="A8171" t="s">
        <v>8177</v>
      </c>
      <c r="B8171" t="s">
        <v>10010</v>
      </c>
      <c r="C8171">
        <v>5</v>
      </c>
      <c r="D8171">
        <v>1</v>
      </c>
      <c r="E8171">
        <v>5</v>
      </c>
      <c r="F8171" t="s">
        <v>10018</v>
      </c>
      <c r="G8171" t="s">
        <v>10069</v>
      </c>
      <c r="H8171" s="6">
        <v>45012</v>
      </c>
      <c r="I8171">
        <f t="shared" si="254"/>
        <v>0</v>
      </c>
      <c r="J8171" t="str">
        <f t="shared" si="255"/>
        <v>Complete</v>
      </c>
      <c r="K8171">
        <f>COUNTIFS(RawData[Item], B8171,RawData[Quantity],C8171,RawData[Price Per Unit],D8171,RawData[Total Spent],E8171,RawData[Payment Method],F8171,RawData[Location],G8171,RawData[Transaction Date],H8171)</f>
        <v>1</v>
      </c>
      <c r="L8171"/>
    </row>
    <row r="8172" spans="1:12" x14ac:dyDescent="0.3">
      <c r="A8172" t="s">
        <v>8178</v>
      </c>
      <c r="B8172" t="s">
        <v>10069</v>
      </c>
      <c r="C8172">
        <v>5</v>
      </c>
      <c r="D8172">
        <v>3</v>
      </c>
      <c r="E8172">
        <v>15</v>
      </c>
      <c r="F8172" t="s">
        <v>10020</v>
      </c>
      <c r="G8172" t="s">
        <v>10102</v>
      </c>
      <c r="H8172" s="6">
        <v>45177</v>
      </c>
      <c r="I8172">
        <f t="shared" si="254"/>
        <v>0</v>
      </c>
      <c r="J8172" t="str">
        <f t="shared" si="255"/>
        <v>Complete</v>
      </c>
      <c r="K8172">
        <f>COUNTIFS(RawData[Item], B8172,RawData[Quantity],C8172,RawData[Price Per Unit],D8172,RawData[Total Spent],E8172,RawData[Payment Method],F8172,RawData[Location],G8172,RawData[Transaction Date],H8172)</f>
        <v>1</v>
      </c>
      <c r="L8172"/>
    </row>
    <row r="8173" spans="1:12" x14ac:dyDescent="0.3">
      <c r="A8173" t="s">
        <v>8179</v>
      </c>
      <c r="B8173" t="s">
        <v>10008</v>
      </c>
      <c r="C8173">
        <v>5</v>
      </c>
      <c r="D8173">
        <v>2</v>
      </c>
      <c r="E8173">
        <v>10</v>
      </c>
      <c r="F8173" t="s">
        <v>10069</v>
      </c>
      <c r="G8173" t="s">
        <v>10069</v>
      </c>
      <c r="H8173" s="6">
        <v>45078</v>
      </c>
      <c r="I8173">
        <f t="shared" si="254"/>
        <v>0</v>
      </c>
      <c r="J8173" t="str">
        <f t="shared" si="255"/>
        <v>Complete</v>
      </c>
      <c r="K8173">
        <f>COUNTIFS(RawData[Item], B8173,RawData[Quantity],C8173,RawData[Price Per Unit],D8173,RawData[Total Spent],E8173,RawData[Payment Method],F8173,RawData[Location],G8173,RawData[Transaction Date],H8173)</f>
        <v>1</v>
      </c>
      <c r="L8173"/>
    </row>
    <row r="8174" spans="1:12" x14ac:dyDescent="0.3">
      <c r="A8174" t="s">
        <v>8180</v>
      </c>
      <c r="B8174" t="s">
        <v>10012</v>
      </c>
      <c r="C8174">
        <v>2</v>
      </c>
      <c r="D8174">
        <v>4</v>
      </c>
      <c r="E8174">
        <v>8</v>
      </c>
      <c r="F8174" t="s">
        <v>10018</v>
      </c>
      <c r="G8174" t="s">
        <v>10102</v>
      </c>
      <c r="H8174" s="6" t="s">
        <v>10112</v>
      </c>
      <c r="I8174">
        <f t="shared" si="254"/>
        <v>1</v>
      </c>
      <c r="J8174" t="str">
        <f t="shared" si="255"/>
        <v>Incomplete</v>
      </c>
      <c r="K8174">
        <f>COUNTIFS(RawData[Item], B8174,RawData[Quantity],C8174,RawData[Price Per Unit],D8174,RawData[Total Spent],E8174,RawData[Payment Method],F8174,RawData[Location],G8174,RawData[Transaction Date],H8174)</f>
        <v>1</v>
      </c>
      <c r="L8174"/>
    </row>
    <row r="8175" spans="1:12" x14ac:dyDescent="0.3">
      <c r="A8175" t="s">
        <v>8181</v>
      </c>
      <c r="B8175" t="s">
        <v>10011</v>
      </c>
      <c r="C8175">
        <v>2</v>
      </c>
      <c r="D8175">
        <v>5</v>
      </c>
      <c r="E8175">
        <v>10</v>
      </c>
      <c r="F8175" t="s">
        <v>10018</v>
      </c>
      <c r="G8175" t="s">
        <v>10021</v>
      </c>
      <c r="H8175" s="6">
        <v>45240</v>
      </c>
      <c r="I8175">
        <f t="shared" si="254"/>
        <v>0</v>
      </c>
      <c r="J8175" t="str">
        <f t="shared" si="255"/>
        <v>Complete</v>
      </c>
      <c r="K8175">
        <f>COUNTIFS(RawData[Item], B8175,RawData[Quantity],C8175,RawData[Price Per Unit],D8175,RawData[Total Spent],E8175,RawData[Payment Method],F8175,RawData[Location],G8175,RawData[Transaction Date],H8175)</f>
        <v>1</v>
      </c>
      <c r="L8175"/>
    </row>
    <row r="8176" spans="1:12" x14ac:dyDescent="0.3">
      <c r="A8176" t="s">
        <v>8182</v>
      </c>
      <c r="B8176" t="s">
        <v>10016</v>
      </c>
      <c r="C8176">
        <v>2</v>
      </c>
      <c r="D8176">
        <v>3</v>
      </c>
      <c r="E8176">
        <v>6</v>
      </c>
      <c r="F8176" t="s">
        <v>10020</v>
      </c>
      <c r="G8176" t="s">
        <v>10103</v>
      </c>
      <c r="H8176" s="6">
        <v>45134</v>
      </c>
      <c r="I8176">
        <f t="shared" si="254"/>
        <v>1</v>
      </c>
      <c r="J8176" t="str">
        <f t="shared" si="255"/>
        <v>Complete</v>
      </c>
      <c r="K8176">
        <f>COUNTIFS(RawData[Item], B8176,RawData[Quantity],C8176,RawData[Price Per Unit],D8176,RawData[Total Spent],E8176,RawData[Payment Method],F8176,RawData[Location],G8176,RawData[Transaction Date],H8176)</f>
        <v>1</v>
      </c>
      <c r="L8176"/>
    </row>
    <row r="8177" spans="1:12" x14ac:dyDescent="0.3">
      <c r="A8177" t="s">
        <v>8183</v>
      </c>
      <c r="B8177" t="s">
        <v>10010</v>
      </c>
      <c r="C8177">
        <v>2</v>
      </c>
      <c r="D8177">
        <v>1</v>
      </c>
      <c r="E8177">
        <v>2</v>
      </c>
      <c r="F8177" t="s">
        <v>10018</v>
      </c>
      <c r="G8177" t="s">
        <v>10069</v>
      </c>
      <c r="H8177" s="6">
        <v>45044</v>
      </c>
      <c r="I8177">
        <f t="shared" si="254"/>
        <v>0</v>
      </c>
      <c r="J8177" t="str">
        <f t="shared" si="255"/>
        <v>Complete</v>
      </c>
      <c r="K8177">
        <f>COUNTIFS(RawData[Item], B8177,RawData[Quantity],C8177,RawData[Price Per Unit],D8177,RawData[Total Spent],E8177,RawData[Payment Method],F8177,RawData[Location],G8177,RawData[Transaction Date],H8177)</f>
        <v>1</v>
      </c>
      <c r="L8177"/>
    </row>
    <row r="8178" spans="1:12" x14ac:dyDescent="0.3">
      <c r="A8178" t="s">
        <v>8184</v>
      </c>
      <c r="B8178" t="s">
        <v>10016</v>
      </c>
      <c r="C8178">
        <v>4</v>
      </c>
      <c r="D8178">
        <v>3</v>
      </c>
      <c r="E8178">
        <v>12</v>
      </c>
      <c r="F8178" t="s">
        <v>10020</v>
      </c>
      <c r="G8178" t="s">
        <v>10102</v>
      </c>
      <c r="H8178" s="6">
        <v>45197</v>
      </c>
      <c r="I8178">
        <f t="shared" si="254"/>
        <v>0</v>
      </c>
      <c r="J8178" t="str">
        <f t="shared" si="255"/>
        <v>Complete</v>
      </c>
      <c r="K8178">
        <f>COUNTIFS(RawData[Item], B8178,RawData[Quantity],C8178,RawData[Price Per Unit],D8178,RawData[Total Spent],E8178,RawData[Payment Method],F8178,RawData[Location],G8178,RawData[Transaction Date],H8178)</f>
        <v>1</v>
      </c>
      <c r="L8178"/>
    </row>
    <row r="8179" spans="1:12" x14ac:dyDescent="0.3">
      <c r="A8179" t="s">
        <v>8185</v>
      </c>
      <c r="B8179" t="s">
        <v>10014</v>
      </c>
      <c r="C8179">
        <v>5</v>
      </c>
      <c r="D8179">
        <v>4</v>
      </c>
      <c r="E8179">
        <v>20</v>
      </c>
      <c r="F8179" t="s">
        <v>10018</v>
      </c>
      <c r="G8179" t="s">
        <v>10069</v>
      </c>
      <c r="H8179" s="6">
        <v>45230</v>
      </c>
      <c r="I8179">
        <f t="shared" si="254"/>
        <v>0</v>
      </c>
      <c r="J8179" t="str">
        <f t="shared" si="255"/>
        <v>Complete</v>
      </c>
      <c r="K8179">
        <f>COUNTIFS(RawData[Item], B8179,RawData[Quantity],C8179,RawData[Price Per Unit],D8179,RawData[Total Spent],E8179,RawData[Payment Method],F8179,RawData[Location],G8179,RawData[Transaction Date],H8179)</f>
        <v>1</v>
      </c>
      <c r="L8179"/>
    </row>
    <row r="8180" spans="1:12" x14ac:dyDescent="0.3">
      <c r="A8180" t="s">
        <v>8186</v>
      </c>
      <c r="B8180" t="s">
        <v>10010</v>
      </c>
      <c r="C8180">
        <v>4</v>
      </c>
      <c r="D8180">
        <v>1</v>
      </c>
      <c r="E8180">
        <v>4</v>
      </c>
      <c r="F8180" t="s">
        <v>10019</v>
      </c>
      <c r="G8180" t="s">
        <v>10021</v>
      </c>
      <c r="H8180" s="6">
        <v>44960</v>
      </c>
      <c r="I8180">
        <f t="shared" si="254"/>
        <v>0</v>
      </c>
      <c r="J8180" t="str">
        <f t="shared" si="255"/>
        <v>Complete</v>
      </c>
      <c r="K8180">
        <f>COUNTIFS(RawData[Item], B8180,RawData[Quantity],C8180,RawData[Price Per Unit],D8180,RawData[Total Spent],E8180,RawData[Payment Method],F8180,RawData[Location],G8180,RawData[Transaction Date],H8180)</f>
        <v>1</v>
      </c>
      <c r="L8180"/>
    </row>
    <row r="8181" spans="1:12" x14ac:dyDescent="0.3">
      <c r="A8181" t="s">
        <v>8187</v>
      </c>
      <c r="B8181" t="s">
        <v>10017</v>
      </c>
      <c r="C8181">
        <v>2</v>
      </c>
      <c r="D8181">
        <v>1.5</v>
      </c>
      <c r="E8181">
        <v>3</v>
      </c>
      <c r="F8181" t="s">
        <v>10019</v>
      </c>
      <c r="G8181" t="s">
        <v>10021</v>
      </c>
      <c r="H8181" s="6">
        <v>45148</v>
      </c>
      <c r="I8181">
        <f t="shared" si="254"/>
        <v>0</v>
      </c>
      <c r="J8181" t="str">
        <f t="shared" si="255"/>
        <v>Complete</v>
      </c>
      <c r="K8181">
        <f>COUNTIFS(RawData[Item], B8181,RawData[Quantity],C8181,RawData[Price Per Unit],D8181,RawData[Total Spent],E8181,RawData[Payment Method],F8181,RawData[Location],G8181,RawData[Transaction Date],H8181)</f>
        <v>1</v>
      </c>
      <c r="L8181"/>
    </row>
    <row r="8182" spans="1:12" x14ac:dyDescent="0.3">
      <c r="A8182" t="s">
        <v>8188</v>
      </c>
      <c r="B8182" t="s">
        <v>10015</v>
      </c>
      <c r="C8182" t="s">
        <v>10013</v>
      </c>
      <c r="D8182">
        <v>5</v>
      </c>
      <c r="E8182">
        <v>5</v>
      </c>
      <c r="F8182" t="s">
        <v>10019</v>
      </c>
      <c r="G8182" t="s">
        <v>10104</v>
      </c>
      <c r="H8182" s="6">
        <v>45061</v>
      </c>
      <c r="I8182">
        <f t="shared" si="254"/>
        <v>3</v>
      </c>
      <c r="J8182" t="str">
        <f t="shared" si="255"/>
        <v>Complete</v>
      </c>
      <c r="K8182">
        <f>COUNTIFS(RawData[Item], B8182,RawData[Quantity],C8182,RawData[Price Per Unit],D8182,RawData[Total Spent],E8182,RawData[Payment Method],F8182,RawData[Location],G8182,RawData[Transaction Date],H8182)</f>
        <v>1</v>
      </c>
      <c r="L8182"/>
    </row>
    <row r="8183" spans="1:12" x14ac:dyDescent="0.3">
      <c r="A8183" t="s">
        <v>8189</v>
      </c>
      <c r="B8183" t="s">
        <v>10012</v>
      </c>
      <c r="C8183">
        <v>3</v>
      </c>
      <c r="D8183">
        <v>4</v>
      </c>
      <c r="E8183">
        <v>12</v>
      </c>
      <c r="F8183" t="s">
        <v>10069</v>
      </c>
      <c r="G8183" t="s">
        <v>10069</v>
      </c>
      <c r="H8183" s="6" t="s">
        <v>10112</v>
      </c>
      <c r="I8183">
        <f t="shared" si="254"/>
        <v>1</v>
      </c>
      <c r="J8183" t="str">
        <f t="shared" si="255"/>
        <v>Incomplete</v>
      </c>
      <c r="K8183">
        <f>COUNTIFS(RawData[Item], B8183,RawData[Quantity],C8183,RawData[Price Per Unit],D8183,RawData[Total Spent],E8183,RawData[Payment Method],F8183,RawData[Location],G8183,RawData[Transaction Date],H8183)</f>
        <v>1</v>
      </c>
      <c r="L8183"/>
    </row>
    <row r="8184" spans="1:12" x14ac:dyDescent="0.3">
      <c r="A8184" t="s">
        <v>8190</v>
      </c>
      <c r="B8184" t="s">
        <v>10010</v>
      </c>
      <c r="C8184">
        <v>3</v>
      </c>
      <c r="D8184">
        <v>1</v>
      </c>
      <c r="E8184">
        <v>3</v>
      </c>
      <c r="F8184" t="s">
        <v>10069</v>
      </c>
      <c r="G8184" t="s">
        <v>10069</v>
      </c>
      <c r="H8184" s="6">
        <v>45180</v>
      </c>
      <c r="I8184">
        <f t="shared" si="254"/>
        <v>0</v>
      </c>
      <c r="J8184" t="str">
        <f t="shared" si="255"/>
        <v>Complete</v>
      </c>
      <c r="K8184">
        <f>COUNTIFS(RawData[Item], B8184,RawData[Quantity],C8184,RawData[Price Per Unit],D8184,RawData[Total Spent],E8184,RawData[Payment Method],F8184,RawData[Location],G8184,RawData[Transaction Date],H8184)</f>
        <v>1</v>
      </c>
      <c r="L8184"/>
    </row>
    <row r="8185" spans="1:12" x14ac:dyDescent="0.3">
      <c r="A8185" t="s">
        <v>8191</v>
      </c>
      <c r="B8185" t="s">
        <v>10017</v>
      </c>
      <c r="C8185">
        <v>1</v>
      </c>
      <c r="D8185">
        <v>1.5</v>
      </c>
      <c r="E8185">
        <v>1.5</v>
      </c>
      <c r="F8185" t="s">
        <v>10019</v>
      </c>
      <c r="G8185" t="s">
        <v>10102</v>
      </c>
      <c r="H8185" s="6">
        <v>45263</v>
      </c>
      <c r="I8185">
        <f t="shared" si="254"/>
        <v>0</v>
      </c>
      <c r="J8185" t="str">
        <f t="shared" si="255"/>
        <v>Complete</v>
      </c>
      <c r="K8185">
        <f>COUNTIFS(RawData[Item], B8185,RawData[Quantity],C8185,RawData[Price Per Unit],D8185,RawData[Total Spent],E8185,RawData[Payment Method],F8185,RawData[Location],G8185,RawData[Transaction Date],H8185)</f>
        <v>1</v>
      </c>
      <c r="L8185"/>
    </row>
    <row r="8186" spans="1:12" x14ac:dyDescent="0.3">
      <c r="A8186" t="s">
        <v>8192</v>
      </c>
      <c r="B8186" t="s">
        <v>10016</v>
      </c>
      <c r="C8186">
        <v>3</v>
      </c>
      <c r="D8186">
        <v>3</v>
      </c>
      <c r="E8186">
        <v>9</v>
      </c>
      <c r="F8186" t="s">
        <v>10018</v>
      </c>
      <c r="G8186" t="s">
        <v>10021</v>
      </c>
      <c r="H8186" s="6">
        <v>45247</v>
      </c>
      <c r="I8186">
        <f t="shared" si="254"/>
        <v>0</v>
      </c>
      <c r="J8186" t="str">
        <f t="shared" si="255"/>
        <v>Complete</v>
      </c>
      <c r="K8186">
        <f>COUNTIFS(RawData[Item], B8186,RawData[Quantity],C8186,RawData[Price Per Unit],D8186,RawData[Total Spent],E8186,RawData[Payment Method],F8186,RawData[Location],G8186,RawData[Transaction Date],H8186)</f>
        <v>2</v>
      </c>
      <c r="L8186"/>
    </row>
    <row r="8187" spans="1:12" x14ac:dyDescent="0.3">
      <c r="A8187" t="s">
        <v>8193</v>
      </c>
      <c r="B8187" t="s">
        <v>10016</v>
      </c>
      <c r="C8187">
        <v>1</v>
      </c>
      <c r="D8187">
        <v>3</v>
      </c>
      <c r="E8187">
        <v>3</v>
      </c>
      <c r="F8187" t="s">
        <v>10069</v>
      </c>
      <c r="G8187" t="s">
        <v>10102</v>
      </c>
      <c r="H8187" s="6">
        <v>45045</v>
      </c>
      <c r="I8187">
        <f t="shared" si="254"/>
        <v>0</v>
      </c>
      <c r="J8187" t="str">
        <f t="shared" si="255"/>
        <v>Complete</v>
      </c>
      <c r="K8187">
        <f>COUNTIFS(RawData[Item], B8187,RawData[Quantity],C8187,RawData[Price Per Unit],D8187,RawData[Total Spent],E8187,RawData[Payment Method],F8187,RawData[Location],G8187,RawData[Transaction Date],H8187)</f>
        <v>1</v>
      </c>
      <c r="L8187"/>
    </row>
    <row r="8188" spans="1:12" x14ac:dyDescent="0.3">
      <c r="A8188" t="s">
        <v>8194</v>
      </c>
      <c r="B8188" t="s">
        <v>10008</v>
      </c>
      <c r="C8188">
        <v>1</v>
      </c>
      <c r="D8188">
        <v>2</v>
      </c>
      <c r="E8188">
        <v>2</v>
      </c>
      <c r="F8188" t="s">
        <v>10018</v>
      </c>
      <c r="G8188" t="s">
        <v>10069</v>
      </c>
      <c r="H8188" s="6">
        <v>45060</v>
      </c>
      <c r="I8188">
        <f t="shared" si="254"/>
        <v>0</v>
      </c>
      <c r="J8188" t="str">
        <f t="shared" si="255"/>
        <v>Complete</v>
      </c>
      <c r="K8188">
        <f>COUNTIFS(RawData[Item], B8188,RawData[Quantity],C8188,RawData[Price Per Unit],D8188,RawData[Total Spent],E8188,RawData[Payment Method],F8188,RawData[Location],G8188,RawData[Transaction Date],H8188)</f>
        <v>1</v>
      </c>
      <c r="L8188"/>
    </row>
    <row r="8189" spans="1:12" x14ac:dyDescent="0.3">
      <c r="A8189" t="s">
        <v>8195</v>
      </c>
      <c r="B8189" t="s">
        <v>10012</v>
      </c>
      <c r="C8189">
        <v>1</v>
      </c>
      <c r="D8189">
        <v>4</v>
      </c>
      <c r="E8189">
        <v>4</v>
      </c>
      <c r="F8189" t="s">
        <v>10019</v>
      </c>
      <c r="G8189" t="s">
        <v>10021</v>
      </c>
      <c r="H8189" s="6">
        <v>45147</v>
      </c>
      <c r="I8189">
        <f t="shared" si="254"/>
        <v>0</v>
      </c>
      <c r="J8189" t="str">
        <f t="shared" si="255"/>
        <v>Complete</v>
      </c>
      <c r="K8189">
        <f>COUNTIFS(RawData[Item], B8189,RawData[Quantity],C8189,RawData[Price Per Unit],D8189,RawData[Total Spent],E8189,RawData[Payment Method],F8189,RawData[Location],G8189,RawData[Transaction Date],H8189)</f>
        <v>1</v>
      </c>
      <c r="L8189"/>
    </row>
    <row r="8190" spans="1:12" x14ac:dyDescent="0.3">
      <c r="A8190" t="s">
        <v>8196</v>
      </c>
      <c r="B8190" t="s">
        <v>10010</v>
      </c>
      <c r="C8190">
        <v>2</v>
      </c>
      <c r="D8190">
        <v>1</v>
      </c>
      <c r="E8190">
        <v>2</v>
      </c>
      <c r="F8190" t="s">
        <v>10069</v>
      </c>
      <c r="G8190" t="s">
        <v>10021</v>
      </c>
      <c r="H8190" s="6">
        <v>45054</v>
      </c>
      <c r="I8190">
        <f t="shared" si="254"/>
        <v>0</v>
      </c>
      <c r="J8190" t="str">
        <f t="shared" si="255"/>
        <v>Complete</v>
      </c>
      <c r="K8190">
        <f>COUNTIFS(RawData[Item], B8190,RawData[Quantity],C8190,RawData[Price Per Unit],D8190,RawData[Total Spent],E8190,RawData[Payment Method],F8190,RawData[Location],G8190,RawData[Transaction Date],H8190)</f>
        <v>1</v>
      </c>
      <c r="L8190"/>
    </row>
    <row r="8191" spans="1:12" x14ac:dyDescent="0.3">
      <c r="A8191" t="s">
        <v>8197</v>
      </c>
      <c r="B8191" t="s">
        <v>10011</v>
      </c>
      <c r="C8191">
        <v>3</v>
      </c>
      <c r="D8191">
        <v>5</v>
      </c>
      <c r="E8191">
        <v>15</v>
      </c>
      <c r="F8191" t="s">
        <v>10018</v>
      </c>
      <c r="G8191" t="s">
        <v>10021</v>
      </c>
      <c r="H8191" s="6">
        <v>44940</v>
      </c>
      <c r="I8191">
        <f t="shared" si="254"/>
        <v>0</v>
      </c>
      <c r="J8191" t="str">
        <f t="shared" si="255"/>
        <v>Complete</v>
      </c>
      <c r="K8191">
        <f>COUNTIFS(RawData[Item], B8191,RawData[Quantity],C8191,RawData[Price Per Unit],D8191,RawData[Total Spent],E8191,RawData[Payment Method],F8191,RawData[Location],G8191,RawData[Transaction Date],H8191)</f>
        <v>1</v>
      </c>
      <c r="L8191"/>
    </row>
    <row r="8192" spans="1:12" x14ac:dyDescent="0.3">
      <c r="A8192" t="s">
        <v>8198</v>
      </c>
      <c r="B8192" t="s">
        <v>10008</v>
      </c>
      <c r="C8192">
        <v>3</v>
      </c>
      <c r="D8192">
        <v>2</v>
      </c>
      <c r="E8192">
        <v>6</v>
      </c>
      <c r="F8192" t="s">
        <v>10069</v>
      </c>
      <c r="G8192" t="s">
        <v>10069</v>
      </c>
      <c r="H8192" s="6">
        <v>45100</v>
      </c>
      <c r="I8192">
        <f t="shared" si="254"/>
        <v>0</v>
      </c>
      <c r="J8192" t="str">
        <f t="shared" si="255"/>
        <v>Complete</v>
      </c>
      <c r="K8192">
        <f>COUNTIFS(RawData[Item], B8192,RawData[Quantity],C8192,RawData[Price Per Unit],D8192,RawData[Total Spent],E8192,RawData[Payment Method],F8192,RawData[Location],G8192,RawData[Transaction Date],H8192)</f>
        <v>1</v>
      </c>
      <c r="L8192"/>
    </row>
    <row r="8193" spans="1:12" x14ac:dyDescent="0.3">
      <c r="A8193" t="s">
        <v>8199</v>
      </c>
      <c r="B8193" t="s">
        <v>10008</v>
      </c>
      <c r="C8193">
        <v>4</v>
      </c>
      <c r="D8193">
        <v>2</v>
      </c>
      <c r="E8193">
        <v>8</v>
      </c>
      <c r="F8193" t="s">
        <v>10018</v>
      </c>
      <c r="G8193" t="s">
        <v>10102</v>
      </c>
      <c r="H8193" s="6">
        <v>45257</v>
      </c>
      <c r="I8193">
        <f t="shared" si="254"/>
        <v>0</v>
      </c>
      <c r="J8193" t="str">
        <f t="shared" si="255"/>
        <v>Complete</v>
      </c>
      <c r="K8193">
        <f>COUNTIFS(RawData[Item], B8193,RawData[Quantity],C8193,RawData[Price Per Unit],D8193,RawData[Total Spent],E8193,RawData[Payment Method],F8193,RawData[Location],G8193,RawData[Transaction Date],H8193)</f>
        <v>1</v>
      </c>
      <c r="L8193"/>
    </row>
    <row r="8194" spans="1:12" x14ac:dyDescent="0.3">
      <c r="A8194" t="s">
        <v>8200</v>
      </c>
      <c r="B8194" t="s">
        <v>10016</v>
      </c>
      <c r="C8194">
        <v>2</v>
      </c>
      <c r="D8194">
        <v>3</v>
      </c>
      <c r="E8194">
        <v>6</v>
      </c>
      <c r="F8194" t="s">
        <v>10069</v>
      </c>
      <c r="G8194" t="s">
        <v>10069</v>
      </c>
      <c r="H8194" s="6">
        <v>45266</v>
      </c>
      <c r="I8194">
        <f t="shared" ref="I8194:I8257" si="256">(B8194="Unknown")+(B8194="Error")+(C8194="Unknown")+(C8194="Error")+(D8194="Unknown")+(D8194="Error")+(E8194="Unknown")+(E8194="Error")+(F8194="Unknown")+(F8194="Error")+(G8194="Unknown")+(G8194="Error")+(H8194="No Date")</f>
        <v>0</v>
      </c>
      <c r="J8194" t="str">
        <f t="shared" ref="J8194:J8257" si="257">IF((H8194="No Date"),"Incomplete","Complete")</f>
        <v>Complete</v>
      </c>
      <c r="K8194">
        <f>COUNTIFS(RawData[Item], B8194,RawData[Quantity],C8194,RawData[Price Per Unit],D8194,RawData[Total Spent],E8194,RawData[Payment Method],F8194,RawData[Location],G8194,RawData[Transaction Date],H8194)</f>
        <v>1</v>
      </c>
      <c r="L8194"/>
    </row>
    <row r="8195" spans="1:12" x14ac:dyDescent="0.3">
      <c r="A8195" t="s">
        <v>8201</v>
      </c>
      <c r="B8195" t="s">
        <v>10012</v>
      </c>
      <c r="C8195">
        <v>4</v>
      </c>
      <c r="D8195">
        <v>4</v>
      </c>
      <c r="E8195">
        <v>16</v>
      </c>
      <c r="F8195" t="s">
        <v>10069</v>
      </c>
      <c r="G8195" t="s">
        <v>10069</v>
      </c>
      <c r="H8195" s="6">
        <v>45036</v>
      </c>
      <c r="I8195">
        <f t="shared" si="256"/>
        <v>0</v>
      </c>
      <c r="J8195" t="str">
        <f t="shared" si="257"/>
        <v>Complete</v>
      </c>
      <c r="K8195">
        <f>COUNTIFS(RawData[Item], B8195,RawData[Quantity],C8195,RawData[Price Per Unit],D8195,RawData[Total Spent],E8195,RawData[Payment Method],F8195,RawData[Location],G8195,RawData[Transaction Date],H8195)</f>
        <v>1</v>
      </c>
      <c r="L8195"/>
    </row>
    <row r="8196" spans="1:12" x14ac:dyDescent="0.3">
      <c r="A8196" t="s">
        <v>8202</v>
      </c>
      <c r="B8196" t="s">
        <v>10017</v>
      </c>
      <c r="C8196">
        <v>3</v>
      </c>
      <c r="D8196">
        <v>1.5</v>
      </c>
      <c r="E8196">
        <v>4.5</v>
      </c>
      <c r="F8196" t="s">
        <v>10019</v>
      </c>
      <c r="G8196" t="s">
        <v>10102</v>
      </c>
      <c r="H8196" s="6">
        <v>45016</v>
      </c>
      <c r="I8196">
        <f t="shared" si="256"/>
        <v>0</v>
      </c>
      <c r="J8196" t="str">
        <f t="shared" si="257"/>
        <v>Complete</v>
      </c>
      <c r="K8196">
        <f>COUNTIFS(RawData[Item], B8196,RawData[Quantity],C8196,RawData[Price Per Unit],D8196,RawData[Total Spent],E8196,RawData[Payment Method],F8196,RawData[Location],G8196,RawData[Transaction Date],H8196)</f>
        <v>1</v>
      </c>
      <c r="L8196"/>
    </row>
    <row r="8197" spans="1:12" x14ac:dyDescent="0.3">
      <c r="A8197" t="s">
        <v>8203</v>
      </c>
      <c r="B8197" t="s">
        <v>10011</v>
      </c>
      <c r="C8197">
        <v>1</v>
      </c>
      <c r="D8197">
        <v>5</v>
      </c>
      <c r="E8197" t="s">
        <v>10013</v>
      </c>
      <c r="F8197" t="s">
        <v>10069</v>
      </c>
      <c r="G8197" t="s">
        <v>10069</v>
      </c>
      <c r="H8197" s="6">
        <v>45149</v>
      </c>
      <c r="I8197">
        <f t="shared" si="256"/>
        <v>1</v>
      </c>
      <c r="J8197" t="str">
        <f t="shared" si="257"/>
        <v>Complete</v>
      </c>
      <c r="K8197">
        <f>COUNTIFS(RawData[Item], B8197,RawData[Quantity],C8197,RawData[Price Per Unit],D8197,RawData[Total Spent],E8197,RawData[Payment Method],F8197,RawData[Location],G8197,RawData[Transaction Date],H8197)</f>
        <v>1</v>
      </c>
      <c r="L8197"/>
    </row>
    <row r="8198" spans="1:12" x14ac:dyDescent="0.3">
      <c r="A8198" t="s">
        <v>8204</v>
      </c>
      <c r="B8198" t="s">
        <v>10011</v>
      </c>
      <c r="C8198">
        <v>1</v>
      </c>
      <c r="D8198">
        <v>5</v>
      </c>
      <c r="E8198">
        <v>5</v>
      </c>
      <c r="F8198" t="s">
        <v>10069</v>
      </c>
      <c r="G8198" t="s">
        <v>10069</v>
      </c>
      <c r="H8198" s="6">
        <v>45155</v>
      </c>
      <c r="I8198">
        <f t="shared" si="256"/>
        <v>0</v>
      </c>
      <c r="J8198" t="str">
        <f t="shared" si="257"/>
        <v>Complete</v>
      </c>
      <c r="K8198">
        <f>COUNTIFS(RawData[Item], B8198,RawData[Quantity],C8198,RawData[Price Per Unit],D8198,RawData[Total Spent],E8198,RawData[Payment Method],F8198,RawData[Location],G8198,RawData[Transaction Date],H8198)</f>
        <v>1</v>
      </c>
      <c r="L8198"/>
    </row>
    <row r="8199" spans="1:12" x14ac:dyDescent="0.3">
      <c r="A8199" t="s">
        <v>8205</v>
      </c>
      <c r="B8199" t="s">
        <v>10011</v>
      </c>
      <c r="C8199">
        <v>1</v>
      </c>
      <c r="D8199">
        <v>5</v>
      </c>
      <c r="E8199">
        <v>5</v>
      </c>
      <c r="F8199" t="s">
        <v>10019</v>
      </c>
      <c r="G8199" t="s">
        <v>10104</v>
      </c>
      <c r="H8199" s="6">
        <v>45253</v>
      </c>
      <c r="I8199">
        <f t="shared" si="256"/>
        <v>1</v>
      </c>
      <c r="J8199" t="str">
        <f t="shared" si="257"/>
        <v>Complete</v>
      </c>
      <c r="K8199">
        <f>COUNTIFS(RawData[Item], B8199,RawData[Quantity],C8199,RawData[Price Per Unit],D8199,RawData[Total Spent],E8199,RawData[Payment Method],F8199,RawData[Location],G8199,RawData[Transaction Date],H8199)</f>
        <v>1</v>
      </c>
      <c r="L8199"/>
    </row>
    <row r="8200" spans="1:12" x14ac:dyDescent="0.3">
      <c r="A8200" t="s">
        <v>8206</v>
      </c>
      <c r="B8200" t="s">
        <v>10008</v>
      </c>
      <c r="C8200">
        <v>4</v>
      </c>
      <c r="D8200">
        <v>2</v>
      </c>
      <c r="E8200">
        <v>8</v>
      </c>
      <c r="F8200" t="s">
        <v>10069</v>
      </c>
      <c r="G8200" t="s">
        <v>10021</v>
      </c>
      <c r="H8200" s="6">
        <v>45101</v>
      </c>
      <c r="I8200">
        <f t="shared" si="256"/>
        <v>0</v>
      </c>
      <c r="J8200" t="str">
        <f t="shared" si="257"/>
        <v>Complete</v>
      </c>
      <c r="K8200">
        <f>COUNTIFS(RawData[Item], B8200,RawData[Quantity],C8200,RawData[Price Per Unit],D8200,RawData[Total Spent],E8200,RawData[Payment Method],F8200,RawData[Location],G8200,RawData[Transaction Date],H8200)</f>
        <v>1</v>
      </c>
      <c r="L8200"/>
    </row>
    <row r="8201" spans="1:12" x14ac:dyDescent="0.3">
      <c r="A8201" t="s">
        <v>8207</v>
      </c>
      <c r="B8201" t="s">
        <v>10017</v>
      </c>
      <c r="C8201">
        <v>4</v>
      </c>
      <c r="D8201">
        <v>1.5</v>
      </c>
      <c r="E8201">
        <v>6</v>
      </c>
      <c r="F8201" t="s">
        <v>10020</v>
      </c>
      <c r="G8201" t="s">
        <v>10069</v>
      </c>
      <c r="H8201" s="6">
        <v>45103</v>
      </c>
      <c r="I8201">
        <f t="shared" si="256"/>
        <v>0</v>
      </c>
      <c r="J8201" t="str">
        <f t="shared" si="257"/>
        <v>Complete</v>
      </c>
      <c r="K8201">
        <f>COUNTIFS(RawData[Item], B8201,RawData[Quantity],C8201,RawData[Price Per Unit],D8201,RawData[Total Spent],E8201,RawData[Payment Method],F8201,RawData[Location],G8201,RawData[Transaction Date],H8201)</f>
        <v>1</v>
      </c>
      <c r="L8201"/>
    </row>
    <row r="8202" spans="1:12" x14ac:dyDescent="0.3">
      <c r="A8202" t="s">
        <v>8208</v>
      </c>
      <c r="B8202" t="s">
        <v>10017</v>
      </c>
      <c r="C8202">
        <v>5</v>
      </c>
      <c r="D8202" t="s">
        <v>10015</v>
      </c>
      <c r="E8202">
        <v>7.5</v>
      </c>
      <c r="F8202" t="s">
        <v>10019</v>
      </c>
      <c r="G8202" t="s">
        <v>10069</v>
      </c>
      <c r="H8202" s="6">
        <v>45189</v>
      </c>
      <c r="I8202">
        <f t="shared" si="256"/>
        <v>1</v>
      </c>
      <c r="J8202" t="str">
        <f t="shared" si="257"/>
        <v>Complete</v>
      </c>
      <c r="K8202">
        <f>COUNTIFS(RawData[Item], B8202,RawData[Quantity],C8202,RawData[Price Per Unit],D8202,RawData[Total Spent],E8202,RawData[Payment Method],F8202,RawData[Location],G8202,RawData[Transaction Date],H8202)</f>
        <v>1</v>
      </c>
      <c r="L8202"/>
    </row>
    <row r="8203" spans="1:12" x14ac:dyDescent="0.3">
      <c r="A8203" t="s">
        <v>8209</v>
      </c>
      <c r="B8203" t="s">
        <v>10008</v>
      </c>
      <c r="C8203">
        <v>2</v>
      </c>
      <c r="D8203">
        <v>2</v>
      </c>
      <c r="E8203">
        <v>4</v>
      </c>
      <c r="F8203" t="s">
        <v>10020</v>
      </c>
      <c r="G8203" t="s">
        <v>10069</v>
      </c>
      <c r="H8203" s="6">
        <v>45024</v>
      </c>
      <c r="I8203">
        <f t="shared" si="256"/>
        <v>0</v>
      </c>
      <c r="J8203" t="str">
        <f t="shared" si="257"/>
        <v>Complete</v>
      </c>
      <c r="K8203">
        <f>COUNTIFS(RawData[Item], B8203,RawData[Quantity],C8203,RawData[Price Per Unit],D8203,RawData[Total Spent],E8203,RawData[Payment Method],F8203,RawData[Location],G8203,RawData[Transaction Date],H8203)</f>
        <v>1</v>
      </c>
      <c r="L8203"/>
    </row>
    <row r="8204" spans="1:12" x14ac:dyDescent="0.3">
      <c r="A8204" t="s">
        <v>8210</v>
      </c>
      <c r="B8204" t="s">
        <v>10012</v>
      </c>
      <c r="C8204">
        <v>1</v>
      </c>
      <c r="D8204">
        <v>4</v>
      </c>
      <c r="E8204">
        <v>4</v>
      </c>
      <c r="F8204" t="s">
        <v>10018</v>
      </c>
      <c r="G8204" t="s">
        <v>10021</v>
      </c>
      <c r="H8204" s="6">
        <v>44994</v>
      </c>
      <c r="I8204">
        <f t="shared" si="256"/>
        <v>0</v>
      </c>
      <c r="J8204" t="str">
        <f t="shared" si="257"/>
        <v>Complete</v>
      </c>
      <c r="K8204">
        <f>COUNTIFS(RawData[Item], B8204,RawData[Quantity],C8204,RawData[Price Per Unit],D8204,RawData[Total Spent],E8204,RawData[Payment Method],F8204,RawData[Location],G8204,RawData[Transaction Date],H8204)</f>
        <v>1</v>
      </c>
      <c r="L8204"/>
    </row>
    <row r="8205" spans="1:12" x14ac:dyDescent="0.3">
      <c r="A8205" t="s">
        <v>8211</v>
      </c>
      <c r="B8205" t="s">
        <v>10015</v>
      </c>
      <c r="C8205">
        <v>4</v>
      </c>
      <c r="D8205">
        <v>3</v>
      </c>
      <c r="E8205">
        <v>12</v>
      </c>
      <c r="F8205" t="s">
        <v>10069</v>
      </c>
      <c r="G8205" t="s">
        <v>10021</v>
      </c>
      <c r="H8205" s="6">
        <v>44945</v>
      </c>
      <c r="I8205">
        <f t="shared" si="256"/>
        <v>1</v>
      </c>
      <c r="J8205" t="str">
        <f t="shared" si="257"/>
        <v>Complete</v>
      </c>
      <c r="K8205">
        <f>COUNTIFS(RawData[Item], B8205,RawData[Quantity],C8205,RawData[Price Per Unit],D8205,RawData[Total Spent],E8205,RawData[Payment Method],F8205,RawData[Location],G8205,RawData[Transaction Date],H8205)</f>
        <v>1</v>
      </c>
      <c r="L8205"/>
    </row>
    <row r="8206" spans="1:12" x14ac:dyDescent="0.3">
      <c r="A8206" t="s">
        <v>8212</v>
      </c>
      <c r="B8206" t="s">
        <v>10009</v>
      </c>
      <c r="C8206">
        <v>1</v>
      </c>
      <c r="D8206">
        <v>3</v>
      </c>
      <c r="E8206">
        <v>3</v>
      </c>
      <c r="F8206" t="s">
        <v>10020</v>
      </c>
      <c r="G8206" t="s">
        <v>10021</v>
      </c>
      <c r="H8206" s="6">
        <v>45006</v>
      </c>
      <c r="I8206">
        <f t="shared" si="256"/>
        <v>0</v>
      </c>
      <c r="J8206" t="str">
        <f t="shared" si="257"/>
        <v>Complete</v>
      </c>
      <c r="K8206">
        <f>COUNTIFS(RawData[Item], B8206,RawData[Quantity],C8206,RawData[Price Per Unit],D8206,RawData[Total Spent],E8206,RawData[Payment Method],F8206,RawData[Location],G8206,RawData[Transaction Date],H8206)</f>
        <v>1</v>
      </c>
      <c r="L8206"/>
    </row>
    <row r="8207" spans="1:12" x14ac:dyDescent="0.3">
      <c r="A8207" t="s">
        <v>8213</v>
      </c>
      <c r="B8207" t="s">
        <v>10008</v>
      </c>
      <c r="C8207">
        <v>4</v>
      </c>
      <c r="D8207">
        <v>2</v>
      </c>
      <c r="E8207">
        <v>8</v>
      </c>
      <c r="F8207" t="s">
        <v>10069</v>
      </c>
      <c r="G8207" t="s">
        <v>10069</v>
      </c>
      <c r="H8207" s="6">
        <v>45003</v>
      </c>
      <c r="I8207">
        <f t="shared" si="256"/>
        <v>0</v>
      </c>
      <c r="J8207" t="str">
        <f t="shared" si="257"/>
        <v>Complete</v>
      </c>
      <c r="K8207">
        <f>COUNTIFS(RawData[Item], B8207,RawData[Quantity],C8207,RawData[Price Per Unit],D8207,RawData[Total Spent],E8207,RawData[Payment Method],F8207,RawData[Location],G8207,RawData[Transaction Date],H8207)</f>
        <v>1</v>
      </c>
      <c r="L8207"/>
    </row>
    <row r="8208" spans="1:12" x14ac:dyDescent="0.3">
      <c r="A8208" t="s">
        <v>8214</v>
      </c>
      <c r="B8208" t="s">
        <v>10012</v>
      </c>
      <c r="C8208">
        <v>1</v>
      </c>
      <c r="D8208">
        <v>4</v>
      </c>
      <c r="E8208">
        <v>4</v>
      </c>
      <c r="F8208" t="s">
        <v>10019</v>
      </c>
      <c r="G8208" t="s">
        <v>10104</v>
      </c>
      <c r="H8208" s="6">
        <v>45261</v>
      </c>
      <c r="I8208">
        <f t="shared" si="256"/>
        <v>1</v>
      </c>
      <c r="J8208" t="str">
        <f t="shared" si="257"/>
        <v>Complete</v>
      </c>
      <c r="K8208">
        <f>COUNTIFS(RawData[Item], B8208,RawData[Quantity],C8208,RawData[Price Per Unit],D8208,RawData[Total Spent],E8208,RawData[Payment Method],F8208,RawData[Location],G8208,RawData[Transaction Date],H8208)</f>
        <v>1</v>
      </c>
      <c r="L8208"/>
    </row>
    <row r="8209" spans="1:12" x14ac:dyDescent="0.3">
      <c r="A8209" t="s">
        <v>8215</v>
      </c>
      <c r="B8209" t="s">
        <v>10014</v>
      </c>
      <c r="C8209">
        <v>5</v>
      </c>
      <c r="D8209">
        <v>4</v>
      </c>
      <c r="E8209">
        <v>20</v>
      </c>
      <c r="F8209" t="s">
        <v>10019</v>
      </c>
      <c r="G8209" t="s">
        <v>10021</v>
      </c>
      <c r="H8209" s="6">
        <v>45248</v>
      </c>
      <c r="I8209">
        <f t="shared" si="256"/>
        <v>0</v>
      </c>
      <c r="J8209" t="str">
        <f t="shared" si="257"/>
        <v>Complete</v>
      </c>
      <c r="K8209">
        <f>COUNTIFS(RawData[Item], B8209,RawData[Quantity],C8209,RawData[Price Per Unit],D8209,RawData[Total Spent],E8209,RawData[Payment Method],F8209,RawData[Location],G8209,RawData[Transaction Date],H8209)</f>
        <v>1</v>
      </c>
      <c r="L8209"/>
    </row>
    <row r="8210" spans="1:12" x14ac:dyDescent="0.3">
      <c r="A8210" t="s">
        <v>8216</v>
      </c>
      <c r="B8210" t="s">
        <v>10012</v>
      </c>
      <c r="C8210">
        <v>1</v>
      </c>
      <c r="D8210">
        <v>4</v>
      </c>
      <c r="E8210">
        <v>4</v>
      </c>
      <c r="F8210" t="s">
        <v>10069</v>
      </c>
      <c r="G8210" t="s">
        <v>10021</v>
      </c>
      <c r="H8210" s="6">
        <v>45109</v>
      </c>
      <c r="I8210">
        <f t="shared" si="256"/>
        <v>0</v>
      </c>
      <c r="J8210" t="str">
        <f t="shared" si="257"/>
        <v>Complete</v>
      </c>
      <c r="K8210">
        <f>COUNTIFS(RawData[Item], B8210,RawData[Quantity],C8210,RawData[Price Per Unit],D8210,RawData[Total Spent],E8210,RawData[Payment Method],F8210,RawData[Location],G8210,RawData[Transaction Date],H8210)</f>
        <v>1</v>
      </c>
      <c r="L8210"/>
    </row>
    <row r="8211" spans="1:12" x14ac:dyDescent="0.3">
      <c r="A8211" t="s">
        <v>8217</v>
      </c>
      <c r="B8211" t="s">
        <v>10008</v>
      </c>
      <c r="C8211">
        <v>2</v>
      </c>
      <c r="D8211">
        <v>2</v>
      </c>
      <c r="E8211">
        <v>4</v>
      </c>
      <c r="F8211" t="s">
        <v>10020</v>
      </c>
      <c r="G8211" t="s">
        <v>10069</v>
      </c>
      <c r="H8211" s="6">
        <v>45252</v>
      </c>
      <c r="I8211">
        <f t="shared" si="256"/>
        <v>0</v>
      </c>
      <c r="J8211" t="str">
        <f t="shared" si="257"/>
        <v>Complete</v>
      </c>
      <c r="K8211">
        <f>COUNTIFS(RawData[Item], B8211,RawData[Quantity],C8211,RawData[Price Per Unit],D8211,RawData[Total Spent],E8211,RawData[Payment Method],F8211,RawData[Location],G8211,RawData[Transaction Date],H8211)</f>
        <v>1</v>
      </c>
      <c r="L8211"/>
    </row>
    <row r="8212" spans="1:12" x14ac:dyDescent="0.3">
      <c r="A8212" t="s">
        <v>8218</v>
      </c>
      <c r="B8212" t="s">
        <v>10013</v>
      </c>
      <c r="C8212">
        <v>1</v>
      </c>
      <c r="D8212">
        <v>2</v>
      </c>
      <c r="E8212" t="s">
        <v>10015</v>
      </c>
      <c r="F8212" t="s">
        <v>10018</v>
      </c>
      <c r="G8212" t="s">
        <v>10069</v>
      </c>
      <c r="H8212" s="6">
        <v>45061</v>
      </c>
      <c r="I8212">
        <f t="shared" si="256"/>
        <v>2</v>
      </c>
      <c r="J8212" t="str">
        <f t="shared" si="257"/>
        <v>Complete</v>
      </c>
      <c r="K8212">
        <f>COUNTIFS(RawData[Item], B8212,RawData[Quantity],C8212,RawData[Price Per Unit],D8212,RawData[Total Spent],E8212,RawData[Payment Method],F8212,RawData[Location],G8212,RawData[Transaction Date],H8212)</f>
        <v>1</v>
      </c>
      <c r="L8212"/>
    </row>
    <row r="8213" spans="1:12" x14ac:dyDescent="0.3">
      <c r="A8213" t="s">
        <v>8219</v>
      </c>
      <c r="B8213" t="s">
        <v>10016</v>
      </c>
      <c r="C8213">
        <v>5</v>
      </c>
      <c r="D8213">
        <v>3</v>
      </c>
      <c r="E8213" t="s">
        <v>10013</v>
      </c>
      <c r="F8213" t="s">
        <v>10019</v>
      </c>
      <c r="G8213" t="s">
        <v>10069</v>
      </c>
      <c r="H8213" s="6">
        <v>45276</v>
      </c>
      <c r="I8213">
        <f t="shared" si="256"/>
        <v>1</v>
      </c>
      <c r="J8213" t="str">
        <f t="shared" si="257"/>
        <v>Complete</v>
      </c>
      <c r="K8213">
        <f>COUNTIFS(RawData[Item], B8213,RawData[Quantity],C8213,RawData[Price Per Unit],D8213,RawData[Total Spent],E8213,RawData[Payment Method],F8213,RawData[Location],G8213,RawData[Transaction Date],H8213)</f>
        <v>1</v>
      </c>
      <c r="L8213"/>
    </row>
    <row r="8214" spans="1:12" x14ac:dyDescent="0.3">
      <c r="A8214" t="s">
        <v>8220</v>
      </c>
      <c r="B8214" t="s">
        <v>10008</v>
      </c>
      <c r="C8214">
        <v>4</v>
      </c>
      <c r="D8214">
        <v>2</v>
      </c>
      <c r="E8214">
        <v>8</v>
      </c>
      <c r="F8214" t="s">
        <v>10020</v>
      </c>
      <c r="G8214" t="s">
        <v>10069</v>
      </c>
      <c r="H8214" s="6">
        <v>45268</v>
      </c>
      <c r="I8214">
        <f t="shared" si="256"/>
        <v>0</v>
      </c>
      <c r="J8214" t="str">
        <f t="shared" si="257"/>
        <v>Complete</v>
      </c>
      <c r="K8214">
        <f>COUNTIFS(RawData[Item], B8214,RawData[Quantity],C8214,RawData[Price Per Unit],D8214,RawData[Total Spent],E8214,RawData[Payment Method],F8214,RawData[Location],G8214,RawData[Transaction Date],H8214)</f>
        <v>1</v>
      </c>
      <c r="L8214"/>
    </row>
    <row r="8215" spans="1:12" x14ac:dyDescent="0.3">
      <c r="A8215" t="s">
        <v>8221</v>
      </c>
      <c r="B8215" t="s">
        <v>10017</v>
      </c>
      <c r="C8215">
        <v>4</v>
      </c>
      <c r="D8215">
        <v>1.5</v>
      </c>
      <c r="E8215">
        <v>6</v>
      </c>
      <c r="F8215" t="s">
        <v>10069</v>
      </c>
      <c r="G8215" t="s">
        <v>10069</v>
      </c>
      <c r="H8215" s="6">
        <v>45102</v>
      </c>
      <c r="I8215">
        <f t="shared" si="256"/>
        <v>0</v>
      </c>
      <c r="J8215" t="str">
        <f t="shared" si="257"/>
        <v>Complete</v>
      </c>
      <c r="K8215">
        <f>COUNTIFS(RawData[Item], B8215,RawData[Quantity],C8215,RawData[Price Per Unit],D8215,RawData[Total Spent],E8215,RawData[Payment Method],F8215,RawData[Location],G8215,RawData[Transaction Date],H8215)</f>
        <v>1</v>
      </c>
      <c r="L8215"/>
    </row>
    <row r="8216" spans="1:12" x14ac:dyDescent="0.3">
      <c r="A8216" t="s">
        <v>8222</v>
      </c>
      <c r="B8216" t="s">
        <v>10010</v>
      </c>
      <c r="C8216">
        <v>1</v>
      </c>
      <c r="D8216">
        <v>1</v>
      </c>
      <c r="E8216">
        <v>1</v>
      </c>
      <c r="F8216" t="s">
        <v>10069</v>
      </c>
      <c r="G8216" t="s">
        <v>10021</v>
      </c>
      <c r="H8216" s="6">
        <v>45058</v>
      </c>
      <c r="I8216">
        <f t="shared" si="256"/>
        <v>0</v>
      </c>
      <c r="J8216" t="str">
        <f t="shared" si="257"/>
        <v>Complete</v>
      </c>
      <c r="K8216">
        <f>COUNTIFS(RawData[Item], B8216,RawData[Quantity],C8216,RawData[Price Per Unit],D8216,RawData[Total Spent],E8216,RawData[Payment Method],F8216,RawData[Location],G8216,RawData[Transaction Date],H8216)</f>
        <v>1</v>
      </c>
      <c r="L8216"/>
    </row>
    <row r="8217" spans="1:12" x14ac:dyDescent="0.3">
      <c r="A8217" t="s">
        <v>8223</v>
      </c>
      <c r="B8217" t="s">
        <v>10015</v>
      </c>
      <c r="C8217">
        <v>1</v>
      </c>
      <c r="D8217">
        <v>5</v>
      </c>
      <c r="E8217">
        <v>0</v>
      </c>
      <c r="F8217" t="s">
        <v>10019</v>
      </c>
      <c r="G8217" t="s">
        <v>10103</v>
      </c>
      <c r="H8217" s="6">
        <v>44993</v>
      </c>
      <c r="I8217">
        <f t="shared" si="256"/>
        <v>2</v>
      </c>
      <c r="J8217" t="str">
        <f t="shared" si="257"/>
        <v>Complete</v>
      </c>
      <c r="K8217">
        <f>COUNTIFS(RawData[Item], B8217,RawData[Quantity],C8217,RawData[Price Per Unit],D8217,RawData[Total Spent],E8217,RawData[Payment Method],F8217,RawData[Location],G8217,RawData[Transaction Date],H8217)</f>
        <v>1</v>
      </c>
      <c r="L8217"/>
    </row>
    <row r="8218" spans="1:12" x14ac:dyDescent="0.3">
      <c r="A8218" t="s">
        <v>8224</v>
      </c>
      <c r="B8218" t="s">
        <v>10014</v>
      </c>
      <c r="C8218">
        <v>4</v>
      </c>
      <c r="D8218">
        <v>4</v>
      </c>
      <c r="E8218">
        <v>16</v>
      </c>
      <c r="F8218" t="s">
        <v>10018</v>
      </c>
      <c r="G8218" t="s">
        <v>10021</v>
      </c>
      <c r="H8218" s="6">
        <v>45139</v>
      </c>
      <c r="I8218">
        <f t="shared" si="256"/>
        <v>0</v>
      </c>
      <c r="J8218" t="str">
        <f t="shared" si="257"/>
        <v>Complete</v>
      </c>
      <c r="K8218">
        <f>COUNTIFS(RawData[Item], B8218,RawData[Quantity],C8218,RawData[Price Per Unit],D8218,RawData[Total Spent],E8218,RawData[Payment Method],F8218,RawData[Location],G8218,RawData[Transaction Date],H8218)</f>
        <v>1</v>
      </c>
      <c r="L8218"/>
    </row>
    <row r="8219" spans="1:12" x14ac:dyDescent="0.3">
      <c r="A8219" t="s">
        <v>8225</v>
      </c>
      <c r="B8219" t="s">
        <v>10016</v>
      </c>
      <c r="C8219">
        <v>2</v>
      </c>
      <c r="D8219">
        <v>3</v>
      </c>
      <c r="E8219">
        <v>6</v>
      </c>
      <c r="F8219" t="s">
        <v>10018</v>
      </c>
      <c r="G8219" t="s">
        <v>10102</v>
      </c>
      <c r="H8219" s="6">
        <v>45208</v>
      </c>
      <c r="I8219">
        <f t="shared" si="256"/>
        <v>0</v>
      </c>
      <c r="J8219" t="str">
        <f t="shared" si="257"/>
        <v>Complete</v>
      </c>
      <c r="K8219">
        <f>COUNTIFS(RawData[Item], B8219,RawData[Quantity],C8219,RawData[Price Per Unit],D8219,RawData[Total Spent],E8219,RawData[Payment Method],F8219,RawData[Location],G8219,RawData[Transaction Date],H8219)</f>
        <v>1</v>
      </c>
      <c r="L8219"/>
    </row>
    <row r="8220" spans="1:12" x14ac:dyDescent="0.3">
      <c r="A8220" t="s">
        <v>8226</v>
      </c>
      <c r="B8220" t="s">
        <v>10012</v>
      </c>
      <c r="C8220">
        <v>1</v>
      </c>
      <c r="D8220">
        <v>4</v>
      </c>
      <c r="E8220">
        <v>4</v>
      </c>
      <c r="F8220" t="s">
        <v>10104</v>
      </c>
      <c r="G8220" t="s">
        <v>10069</v>
      </c>
      <c r="H8220" s="6" t="s">
        <v>10112</v>
      </c>
      <c r="I8220">
        <f t="shared" si="256"/>
        <v>2</v>
      </c>
      <c r="J8220" t="str">
        <f t="shared" si="257"/>
        <v>Incomplete</v>
      </c>
      <c r="K8220">
        <f>COUNTIFS(RawData[Item], B8220,RawData[Quantity],C8220,RawData[Price Per Unit],D8220,RawData[Total Spent],E8220,RawData[Payment Method],F8220,RawData[Location],G8220,RawData[Transaction Date],H8220)</f>
        <v>1</v>
      </c>
      <c r="L8220"/>
    </row>
    <row r="8221" spans="1:12" x14ac:dyDescent="0.3">
      <c r="A8221" t="s">
        <v>8227</v>
      </c>
      <c r="B8221" t="s">
        <v>10010</v>
      </c>
      <c r="C8221">
        <v>1</v>
      </c>
      <c r="D8221">
        <v>1</v>
      </c>
      <c r="E8221">
        <v>1</v>
      </c>
      <c r="F8221" t="s">
        <v>10019</v>
      </c>
      <c r="G8221" t="s">
        <v>10021</v>
      </c>
      <c r="H8221" s="6" t="s">
        <v>10112</v>
      </c>
      <c r="I8221">
        <f t="shared" si="256"/>
        <v>1</v>
      </c>
      <c r="J8221" t="str">
        <f t="shared" si="257"/>
        <v>Incomplete</v>
      </c>
      <c r="K8221">
        <f>COUNTIFS(RawData[Item], B8221,RawData[Quantity],C8221,RawData[Price Per Unit],D8221,RawData[Total Spent],E8221,RawData[Payment Method],F8221,RawData[Location],G8221,RawData[Transaction Date],H8221)</f>
        <v>1</v>
      </c>
      <c r="L8221"/>
    </row>
    <row r="8222" spans="1:12" x14ac:dyDescent="0.3">
      <c r="A8222" t="s">
        <v>8228</v>
      </c>
      <c r="B8222" t="s">
        <v>10009</v>
      </c>
      <c r="C8222">
        <v>5</v>
      </c>
      <c r="D8222">
        <v>3</v>
      </c>
      <c r="E8222">
        <v>15</v>
      </c>
      <c r="F8222" t="s">
        <v>10020</v>
      </c>
      <c r="G8222" t="s">
        <v>10102</v>
      </c>
      <c r="H8222" s="6">
        <v>45141</v>
      </c>
      <c r="I8222">
        <f t="shared" si="256"/>
        <v>0</v>
      </c>
      <c r="J8222" t="str">
        <f t="shared" si="257"/>
        <v>Complete</v>
      </c>
      <c r="K8222">
        <f>COUNTIFS(RawData[Item], B8222,RawData[Quantity],C8222,RawData[Price Per Unit],D8222,RawData[Total Spent],E8222,RawData[Payment Method],F8222,RawData[Location],G8222,RawData[Transaction Date],H8222)</f>
        <v>2</v>
      </c>
      <c r="L8222"/>
    </row>
    <row r="8223" spans="1:12" x14ac:dyDescent="0.3">
      <c r="A8223" t="s">
        <v>8229</v>
      </c>
      <c r="B8223" t="s">
        <v>10009</v>
      </c>
      <c r="C8223">
        <v>1</v>
      </c>
      <c r="D8223">
        <v>3</v>
      </c>
      <c r="E8223">
        <v>3</v>
      </c>
      <c r="F8223" t="s">
        <v>10020</v>
      </c>
      <c r="G8223" t="s">
        <v>10021</v>
      </c>
      <c r="H8223" s="6">
        <v>45107</v>
      </c>
      <c r="I8223">
        <f t="shared" si="256"/>
        <v>0</v>
      </c>
      <c r="J8223" t="str">
        <f t="shared" si="257"/>
        <v>Complete</v>
      </c>
      <c r="K8223">
        <f>COUNTIFS(RawData[Item], B8223,RawData[Quantity],C8223,RawData[Price Per Unit],D8223,RawData[Total Spent],E8223,RawData[Payment Method],F8223,RawData[Location],G8223,RawData[Transaction Date],H8223)</f>
        <v>1</v>
      </c>
      <c r="L8223"/>
    </row>
    <row r="8224" spans="1:12" x14ac:dyDescent="0.3">
      <c r="A8224" t="s">
        <v>8230</v>
      </c>
      <c r="B8224" t="s">
        <v>10011</v>
      </c>
      <c r="C8224">
        <v>2</v>
      </c>
      <c r="D8224">
        <v>5</v>
      </c>
      <c r="E8224">
        <v>10</v>
      </c>
      <c r="F8224" t="s">
        <v>10018</v>
      </c>
      <c r="G8224" t="s">
        <v>10102</v>
      </c>
      <c r="H8224" s="6">
        <v>45021</v>
      </c>
      <c r="I8224">
        <f t="shared" si="256"/>
        <v>0</v>
      </c>
      <c r="J8224" t="str">
        <f t="shared" si="257"/>
        <v>Complete</v>
      </c>
      <c r="K8224">
        <f>COUNTIFS(RawData[Item], B8224,RawData[Quantity],C8224,RawData[Price Per Unit],D8224,RawData[Total Spent],E8224,RawData[Payment Method],F8224,RawData[Location],G8224,RawData[Transaction Date],H8224)</f>
        <v>1</v>
      </c>
      <c r="L8224"/>
    </row>
    <row r="8225" spans="1:12" x14ac:dyDescent="0.3">
      <c r="A8225" t="s">
        <v>8231</v>
      </c>
      <c r="B8225" t="s">
        <v>10016</v>
      </c>
      <c r="C8225">
        <v>4</v>
      </c>
      <c r="D8225">
        <v>3</v>
      </c>
      <c r="E8225">
        <v>12</v>
      </c>
      <c r="F8225" t="s">
        <v>10019</v>
      </c>
      <c r="G8225" t="s">
        <v>10021</v>
      </c>
      <c r="H8225" s="6">
        <v>45046</v>
      </c>
      <c r="I8225">
        <f t="shared" si="256"/>
        <v>0</v>
      </c>
      <c r="J8225" t="str">
        <f t="shared" si="257"/>
        <v>Complete</v>
      </c>
      <c r="K8225">
        <f>COUNTIFS(RawData[Item], B8225,RawData[Quantity],C8225,RawData[Price Per Unit],D8225,RawData[Total Spent],E8225,RawData[Payment Method],F8225,RawData[Location],G8225,RawData[Transaction Date],H8225)</f>
        <v>1</v>
      </c>
      <c r="L8225"/>
    </row>
    <row r="8226" spans="1:12" x14ac:dyDescent="0.3">
      <c r="A8226" t="s">
        <v>8232</v>
      </c>
      <c r="B8226" t="s">
        <v>10017</v>
      </c>
      <c r="C8226">
        <v>5</v>
      </c>
      <c r="D8226">
        <v>1.5</v>
      </c>
      <c r="E8226">
        <v>7.5</v>
      </c>
      <c r="F8226" t="s">
        <v>10018</v>
      </c>
      <c r="G8226" t="s">
        <v>10069</v>
      </c>
      <c r="H8226" s="6">
        <v>45029</v>
      </c>
      <c r="I8226">
        <f t="shared" si="256"/>
        <v>0</v>
      </c>
      <c r="J8226" t="str">
        <f t="shared" si="257"/>
        <v>Complete</v>
      </c>
      <c r="K8226">
        <f>COUNTIFS(RawData[Item], B8226,RawData[Quantity],C8226,RawData[Price Per Unit],D8226,RawData[Total Spent],E8226,RawData[Payment Method],F8226,RawData[Location],G8226,RawData[Transaction Date],H8226)</f>
        <v>1</v>
      </c>
      <c r="L8226"/>
    </row>
    <row r="8227" spans="1:12" x14ac:dyDescent="0.3">
      <c r="A8227" t="s">
        <v>8233</v>
      </c>
      <c r="B8227" t="s">
        <v>10011</v>
      </c>
      <c r="C8227">
        <v>5</v>
      </c>
      <c r="D8227">
        <v>5</v>
      </c>
      <c r="E8227">
        <v>25</v>
      </c>
      <c r="F8227" t="s">
        <v>10019</v>
      </c>
      <c r="G8227" t="s">
        <v>10104</v>
      </c>
      <c r="H8227" s="6">
        <v>45208</v>
      </c>
      <c r="I8227">
        <f t="shared" si="256"/>
        <v>1</v>
      </c>
      <c r="J8227" t="str">
        <f t="shared" si="257"/>
        <v>Complete</v>
      </c>
      <c r="K8227">
        <f>COUNTIFS(RawData[Item], B8227,RawData[Quantity],C8227,RawData[Price Per Unit],D8227,RawData[Total Spent],E8227,RawData[Payment Method],F8227,RawData[Location],G8227,RawData[Transaction Date],H8227)</f>
        <v>1</v>
      </c>
      <c r="L8227"/>
    </row>
    <row r="8228" spans="1:12" x14ac:dyDescent="0.3">
      <c r="A8228" t="s">
        <v>8234</v>
      </c>
      <c r="B8228" t="s">
        <v>10014</v>
      </c>
      <c r="C8228">
        <v>5</v>
      </c>
      <c r="D8228">
        <v>4</v>
      </c>
      <c r="E8228">
        <v>20</v>
      </c>
      <c r="F8228" t="s">
        <v>10019</v>
      </c>
      <c r="G8228" t="s">
        <v>10102</v>
      </c>
      <c r="H8228" s="6">
        <v>44954</v>
      </c>
      <c r="I8228">
        <f t="shared" si="256"/>
        <v>0</v>
      </c>
      <c r="J8228" t="str">
        <f t="shared" si="257"/>
        <v>Complete</v>
      </c>
      <c r="K8228">
        <f>COUNTIFS(RawData[Item], B8228,RawData[Quantity],C8228,RawData[Price Per Unit],D8228,RawData[Total Spent],E8228,RawData[Payment Method],F8228,RawData[Location],G8228,RawData[Transaction Date],H8228)</f>
        <v>1</v>
      </c>
      <c r="L8228"/>
    </row>
    <row r="8229" spans="1:12" x14ac:dyDescent="0.3">
      <c r="A8229" t="s">
        <v>8235</v>
      </c>
      <c r="B8229" t="s">
        <v>10016</v>
      </c>
      <c r="C8229">
        <v>4</v>
      </c>
      <c r="D8229">
        <v>3</v>
      </c>
      <c r="E8229">
        <v>12</v>
      </c>
      <c r="F8229" t="s">
        <v>10018</v>
      </c>
      <c r="G8229" t="s">
        <v>10021</v>
      </c>
      <c r="H8229" s="6">
        <v>45264</v>
      </c>
      <c r="I8229">
        <f t="shared" si="256"/>
        <v>0</v>
      </c>
      <c r="J8229" t="str">
        <f t="shared" si="257"/>
        <v>Complete</v>
      </c>
      <c r="K8229">
        <f>COUNTIFS(RawData[Item], B8229,RawData[Quantity],C8229,RawData[Price Per Unit],D8229,RawData[Total Spent],E8229,RawData[Payment Method],F8229,RawData[Location],G8229,RawData[Transaction Date],H8229)</f>
        <v>1</v>
      </c>
      <c r="L8229"/>
    </row>
    <row r="8230" spans="1:12" x14ac:dyDescent="0.3">
      <c r="A8230" t="s">
        <v>8236</v>
      </c>
      <c r="B8230" t="s">
        <v>10069</v>
      </c>
      <c r="C8230">
        <v>2</v>
      </c>
      <c r="D8230">
        <v>3</v>
      </c>
      <c r="E8230">
        <v>6</v>
      </c>
      <c r="F8230" t="s">
        <v>10069</v>
      </c>
      <c r="G8230" t="s">
        <v>10102</v>
      </c>
      <c r="H8230" s="6">
        <v>45021</v>
      </c>
      <c r="I8230">
        <f t="shared" si="256"/>
        <v>0</v>
      </c>
      <c r="J8230" t="str">
        <f t="shared" si="257"/>
        <v>Complete</v>
      </c>
      <c r="K8230">
        <f>COUNTIFS(RawData[Item], B8230,RawData[Quantity],C8230,RawData[Price Per Unit],D8230,RawData[Total Spent],E8230,RawData[Payment Method],F8230,RawData[Location],G8230,RawData[Transaction Date],H8230)</f>
        <v>1</v>
      </c>
      <c r="L8230"/>
    </row>
    <row r="8231" spans="1:12" x14ac:dyDescent="0.3">
      <c r="A8231" t="s">
        <v>8237</v>
      </c>
      <c r="B8231" t="s">
        <v>10010</v>
      </c>
      <c r="C8231" t="s">
        <v>10015</v>
      </c>
      <c r="D8231">
        <v>1</v>
      </c>
      <c r="E8231">
        <v>4</v>
      </c>
      <c r="F8231" t="s">
        <v>10069</v>
      </c>
      <c r="G8231" t="s">
        <v>10102</v>
      </c>
      <c r="H8231" s="6">
        <v>45194</v>
      </c>
      <c r="I8231">
        <f t="shared" si="256"/>
        <v>1</v>
      </c>
      <c r="J8231" t="str">
        <f t="shared" si="257"/>
        <v>Complete</v>
      </c>
      <c r="K8231">
        <f>COUNTIFS(RawData[Item], B8231,RawData[Quantity],C8231,RawData[Price Per Unit],D8231,RawData[Total Spent],E8231,RawData[Payment Method],F8231,RawData[Location],G8231,RawData[Transaction Date],H8231)</f>
        <v>1</v>
      </c>
      <c r="L8231"/>
    </row>
    <row r="8232" spans="1:12" x14ac:dyDescent="0.3">
      <c r="A8232" t="s">
        <v>8238</v>
      </c>
      <c r="B8232" t="s">
        <v>10016</v>
      </c>
      <c r="C8232">
        <v>2</v>
      </c>
      <c r="D8232">
        <v>3</v>
      </c>
      <c r="E8232">
        <v>6</v>
      </c>
      <c r="F8232" t="s">
        <v>10069</v>
      </c>
      <c r="G8232" t="s">
        <v>10069</v>
      </c>
      <c r="H8232" s="6">
        <v>45208</v>
      </c>
      <c r="I8232">
        <f t="shared" si="256"/>
        <v>0</v>
      </c>
      <c r="J8232" t="str">
        <f t="shared" si="257"/>
        <v>Complete</v>
      </c>
      <c r="K8232">
        <f>COUNTIFS(RawData[Item], B8232,RawData[Quantity],C8232,RawData[Price Per Unit],D8232,RawData[Total Spent],E8232,RawData[Payment Method],F8232,RawData[Location],G8232,RawData[Transaction Date],H8232)</f>
        <v>1</v>
      </c>
      <c r="L8232"/>
    </row>
    <row r="8233" spans="1:12" x14ac:dyDescent="0.3">
      <c r="A8233" t="s">
        <v>8239</v>
      </c>
      <c r="B8233" t="s">
        <v>10010</v>
      </c>
      <c r="C8233">
        <v>4</v>
      </c>
      <c r="D8233">
        <v>1</v>
      </c>
      <c r="E8233">
        <v>4</v>
      </c>
      <c r="F8233" t="s">
        <v>10019</v>
      </c>
      <c r="G8233" t="s">
        <v>10069</v>
      </c>
      <c r="H8233" s="6">
        <v>45166</v>
      </c>
      <c r="I8233">
        <f t="shared" si="256"/>
        <v>0</v>
      </c>
      <c r="J8233" t="str">
        <f t="shared" si="257"/>
        <v>Complete</v>
      </c>
      <c r="K8233">
        <f>COUNTIFS(RawData[Item], B8233,RawData[Quantity],C8233,RawData[Price Per Unit],D8233,RawData[Total Spent],E8233,RawData[Payment Method],F8233,RawData[Location],G8233,RawData[Transaction Date],H8233)</f>
        <v>1</v>
      </c>
      <c r="L8233"/>
    </row>
    <row r="8234" spans="1:12" x14ac:dyDescent="0.3">
      <c r="A8234" t="s">
        <v>8240</v>
      </c>
      <c r="B8234" t="s">
        <v>10008</v>
      </c>
      <c r="C8234">
        <v>5</v>
      </c>
      <c r="D8234">
        <v>2</v>
      </c>
      <c r="E8234">
        <v>10</v>
      </c>
      <c r="F8234" t="s">
        <v>10019</v>
      </c>
      <c r="G8234" t="s">
        <v>10102</v>
      </c>
      <c r="H8234" s="6">
        <v>45030</v>
      </c>
      <c r="I8234">
        <f t="shared" si="256"/>
        <v>0</v>
      </c>
      <c r="J8234" t="str">
        <f t="shared" si="257"/>
        <v>Complete</v>
      </c>
      <c r="K8234">
        <f>COUNTIFS(RawData[Item], B8234,RawData[Quantity],C8234,RawData[Price Per Unit],D8234,RawData[Total Spent],E8234,RawData[Payment Method],F8234,RawData[Location],G8234,RawData[Transaction Date],H8234)</f>
        <v>1</v>
      </c>
      <c r="L8234"/>
    </row>
    <row r="8235" spans="1:12" x14ac:dyDescent="0.3">
      <c r="A8235" t="s">
        <v>8241</v>
      </c>
      <c r="B8235" t="s">
        <v>10010</v>
      </c>
      <c r="C8235">
        <v>4</v>
      </c>
      <c r="D8235">
        <v>1</v>
      </c>
      <c r="E8235">
        <v>4</v>
      </c>
      <c r="F8235" t="s">
        <v>10018</v>
      </c>
      <c r="G8235" t="s">
        <v>10021</v>
      </c>
      <c r="H8235" s="6">
        <v>45144</v>
      </c>
      <c r="I8235">
        <f t="shared" si="256"/>
        <v>0</v>
      </c>
      <c r="J8235" t="str">
        <f t="shared" si="257"/>
        <v>Complete</v>
      </c>
      <c r="K8235">
        <f>COUNTIFS(RawData[Item], B8235,RawData[Quantity],C8235,RawData[Price Per Unit],D8235,RawData[Total Spent],E8235,RawData[Payment Method],F8235,RawData[Location],G8235,RawData[Transaction Date],H8235)</f>
        <v>1</v>
      </c>
      <c r="L8235"/>
    </row>
    <row r="8236" spans="1:12" x14ac:dyDescent="0.3">
      <c r="A8236" t="s">
        <v>8242</v>
      </c>
      <c r="B8236" t="s">
        <v>10069</v>
      </c>
      <c r="C8236" t="s">
        <v>10015</v>
      </c>
      <c r="D8236">
        <v>3</v>
      </c>
      <c r="E8236">
        <v>9</v>
      </c>
      <c r="F8236" t="s">
        <v>10019</v>
      </c>
      <c r="G8236" t="s">
        <v>10021</v>
      </c>
      <c r="H8236" s="6">
        <v>45004</v>
      </c>
      <c r="I8236">
        <f t="shared" si="256"/>
        <v>1</v>
      </c>
      <c r="J8236" t="str">
        <f t="shared" si="257"/>
        <v>Complete</v>
      </c>
      <c r="K8236">
        <f>COUNTIFS(RawData[Item], B8236,RawData[Quantity],C8236,RawData[Price Per Unit],D8236,RawData[Total Spent],E8236,RawData[Payment Method],F8236,RawData[Location],G8236,RawData[Transaction Date],H8236)</f>
        <v>1</v>
      </c>
      <c r="L8236"/>
    </row>
    <row r="8237" spans="1:12" x14ac:dyDescent="0.3">
      <c r="A8237" t="s">
        <v>8243</v>
      </c>
      <c r="B8237" t="s">
        <v>10009</v>
      </c>
      <c r="C8237">
        <v>3</v>
      </c>
      <c r="D8237">
        <v>3</v>
      </c>
      <c r="E8237">
        <v>9</v>
      </c>
      <c r="F8237" t="s">
        <v>10018</v>
      </c>
      <c r="G8237" t="s">
        <v>10021</v>
      </c>
      <c r="H8237" s="6">
        <v>44936</v>
      </c>
      <c r="I8237">
        <f t="shared" si="256"/>
        <v>0</v>
      </c>
      <c r="J8237" t="str">
        <f t="shared" si="257"/>
        <v>Complete</v>
      </c>
      <c r="K8237">
        <f>COUNTIFS(RawData[Item], B8237,RawData[Quantity],C8237,RawData[Price Per Unit],D8237,RawData[Total Spent],E8237,RawData[Payment Method],F8237,RawData[Location],G8237,RawData[Transaction Date],H8237)</f>
        <v>1</v>
      </c>
      <c r="L8237"/>
    </row>
    <row r="8238" spans="1:12" x14ac:dyDescent="0.3">
      <c r="A8238" t="s">
        <v>8244</v>
      </c>
      <c r="B8238" t="s">
        <v>10008</v>
      </c>
      <c r="C8238">
        <v>3</v>
      </c>
      <c r="D8238">
        <v>0</v>
      </c>
      <c r="E8238">
        <v>6</v>
      </c>
      <c r="F8238" t="s">
        <v>10019</v>
      </c>
      <c r="G8238" t="s">
        <v>10102</v>
      </c>
      <c r="H8238" s="6">
        <v>45217</v>
      </c>
      <c r="I8238">
        <f t="shared" si="256"/>
        <v>0</v>
      </c>
      <c r="J8238" t="str">
        <f t="shared" si="257"/>
        <v>Complete</v>
      </c>
      <c r="K8238">
        <f>COUNTIFS(RawData[Item], B8238,RawData[Quantity],C8238,RawData[Price Per Unit],D8238,RawData[Total Spent],E8238,RawData[Payment Method],F8238,RawData[Location],G8238,RawData[Transaction Date],H8238)</f>
        <v>1</v>
      </c>
      <c r="L8238"/>
    </row>
    <row r="8239" spans="1:12" x14ac:dyDescent="0.3">
      <c r="A8239" t="s">
        <v>8245</v>
      </c>
      <c r="B8239" t="s">
        <v>10008</v>
      </c>
      <c r="C8239">
        <v>1</v>
      </c>
      <c r="D8239">
        <v>2</v>
      </c>
      <c r="E8239">
        <v>2</v>
      </c>
      <c r="F8239" t="s">
        <v>10019</v>
      </c>
      <c r="G8239" t="s">
        <v>10102</v>
      </c>
      <c r="H8239" s="6">
        <v>45140</v>
      </c>
      <c r="I8239">
        <f t="shared" si="256"/>
        <v>0</v>
      </c>
      <c r="J8239" t="str">
        <f t="shared" si="257"/>
        <v>Complete</v>
      </c>
      <c r="K8239">
        <f>COUNTIFS(RawData[Item], B8239,RawData[Quantity],C8239,RawData[Price Per Unit],D8239,RawData[Total Spent],E8239,RawData[Payment Method],F8239,RawData[Location],G8239,RawData[Transaction Date],H8239)</f>
        <v>1</v>
      </c>
      <c r="L8239"/>
    </row>
    <row r="8240" spans="1:12" x14ac:dyDescent="0.3">
      <c r="A8240" t="s">
        <v>8246</v>
      </c>
      <c r="B8240" t="s">
        <v>10014</v>
      </c>
      <c r="C8240">
        <v>1</v>
      </c>
      <c r="D8240">
        <v>4</v>
      </c>
      <c r="E8240">
        <v>4</v>
      </c>
      <c r="F8240" t="s">
        <v>10020</v>
      </c>
      <c r="G8240" t="s">
        <v>10021</v>
      </c>
      <c r="H8240" s="6">
        <v>45167</v>
      </c>
      <c r="I8240">
        <f t="shared" si="256"/>
        <v>0</v>
      </c>
      <c r="J8240" t="str">
        <f t="shared" si="257"/>
        <v>Complete</v>
      </c>
      <c r="K8240">
        <f>COUNTIFS(RawData[Item], B8240,RawData[Quantity],C8240,RawData[Price Per Unit],D8240,RawData[Total Spent],E8240,RawData[Payment Method],F8240,RawData[Location],G8240,RawData[Transaction Date],H8240)</f>
        <v>1</v>
      </c>
      <c r="L8240"/>
    </row>
    <row r="8241" spans="1:12" x14ac:dyDescent="0.3">
      <c r="A8241" t="s">
        <v>8247</v>
      </c>
      <c r="B8241" t="s">
        <v>10010</v>
      </c>
      <c r="C8241">
        <v>5</v>
      </c>
      <c r="D8241">
        <v>1</v>
      </c>
      <c r="E8241">
        <v>5</v>
      </c>
      <c r="F8241" t="s">
        <v>10019</v>
      </c>
      <c r="G8241" t="s">
        <v>10103</v>
      </c>
      <c r="H8241" s="6">
        <v>45006</v>
      </c>
      <c r="I8241">
        <f t="shared" si="256"/>
        <v>1</v>
      </c>
      <c r="J8241" t="str">
        <f t="shared" si="257"/>
        <v>Complete</v>
      </c>
      <c r="K8241">
        <f>COUNTIFS(RawData[Item], B8241,RawData[Quantity],C8241,RawData[Price Per Unit],D8241,RawData[Total Spent],E8241,RawData[Payment Method],F8241,RawData[Location],G8241,RawData[Transaction Date],H8241)</f>
        <v>1</v>
      </c>
      <c r="L8241"/>
    </row>
    <row r="8242" spans="1:12" x14ac:dyDescent="0.3">
      <c r="A8242" t="s">
        <v>8248</v>
      </c>
      <c r="B8242" t="s">
        <v>10017</v>
      </c>
      <c r="C8242">
        <v>2</v>
      </c>
      <c r="D8242">
        <v>1.5</v>
      </c>
      <c r="E8242">
        <v>3</v>
      </c>
      <c r="F8242" t="s">
        <v>10020</v>
      </c>
      <c r="G8242" t="s">
        <v>10069</v>
      </c>
      <c r="H8242" s="6">
        <v>45110</v>
      </c>
      <c r="I8242">
        <f t="shared" si="256"/>
        <v>0</v>
      </c>
      <c r="J8242" t="str">
        <f t="shared" si="257"/>
        <v>Complete</v>
      </c>
      <c r="K8242">
        <f>COUNTIFS(RawData[Item], B8242,RawData[Quantity],C8242,RawData[Price Per Unit],D8242,RawData[Total Spent],E8242,RawData[Payment Method],F8242,RawData[Location],G8242,RawData[Transaction Date],H8242)</f>
        <v>1</v>
      </c>
      <c r="L8242"/>
    </row>
    <row r="8243" spans="1:12" x14ac:dyDescent="0.3">
      <c r="A8243" t="s">
        <v>8249</v>
      </c>
      <c r="B8243" t="s">
        <v>10009</v>
      </c>
      <c r="C8243">
        <v>2</v>
      </c>
      <c r="D8243">
        <v>3</v>
      </c>
      <c r="E8243">
        <v>0</v>
      </c>
      <c r="F8243" t="s">
        <v>10019</v>
      </c>
      <c r="G8243" t="s">
        <v>10069</v>
      </c>
      <c r="H8243" s="6">
        <v>45004</v>
      </c>
      <c r="I8243">
        <f t="shared" si="256"/>
        <v>0</v>
      </c>
      <c r="J8243" t="str">
        <f t="shared" si="257"/>
        <v>Complete</v>
      </c>
      <c r="K8243">
        <f>COUNTIFS(RawData[Item], B8243,RawData[Quantity],C8243,RawData[Price Per Unit],D8243,RawData[Total Spent],E8243,RawData[Payment Method],F8243,RawData[Location],G8243,RawData[Transaction Date],H8243)</f>
        <v>1</v>
      </c>
      <c r="L8243"/>
    </row>
    <row r="8244" spans="1:12" x14ac:dyDescent="0.3">
      <c r="A8244" t="s">
        <v>8250</v>
      </c>
      <c r="B8244" t="s">
        <v>10016</v>
      </c>
      <c r="C8244">
        <v>1</v>
      </c>
      <c r="D8244">
        <v>3</v>
      </c>
      <c r="E8244">
        <v>3</v>
      </c>
      <c r="F8244" t="s">
        <v>10069</v>
      </c>
      <c r="G8244" t="s">
        <v>10021</v>
      </c>
      <c r="H8244" s="6">
        <v>45040</v>
      </c>
      <c r="I8244">
        <f t="shared" si="256"/>
        <v>0</v>
      </c>
      <c r="J8244" t="str">
        <f t="shared" si="257"/>
        <v>Complete</v>
      </c>
      <c r="K8244">
        <f>COUNTIFS(RawData[Item], B8244,RawData[Quantity],C8244,RawData[Price Per Unit],D8244,RawData[Total Spent],E8244,RawData[Payment Method],F8244,RawData[Location],G8244,RawData[Transaction Date],H8244)</f>
        <v>1</v>
      </c>
      <c r="L8244"/>
    </row>
    <row r="8245" spans="1:12" x14ac:dyDescent="0.3">
      <c r="A8245" t="s">
        <v>8251</v>
      </c>
      <c r="B8245" t="s">
        <v>10012</v>
      </c>
      <c r="C8245">
        <v>2</v>
      </c>
      <c r="D8245">
        <v>4</v>
      </c>
      <c r="E8245">
        <v>8</v>
      </c>
      <c r="F8245" t="s">
        <v>10069</v>
      </c>
      <c r="G8245" t="s">
        <v>10069</v>
      </c>
      <c r="H8245" s="6">
        <v>45244</v>
      </c>
      <c r="I8245">
        <f t="shared" si="256"/>
        <v>0</v>
      </c>
      <c r="J8245" t="str">
        <f t="shared" si="257"/>
        <v>Complete</v>
      </c>
      <c r="K8245">
        <f>COUNTIFS(RawData[Item], B8245,RawData[Quantity],C8245,RawData[Price Per Unit],D8245,RawData[Total Spent],E8245,RawData[Payment Method],F8245,RawData[Location],G8245,RawData[Transaction Date],H8245)</f>
        <v>1</v>
      </c>
      <c r="L8245"/>
    </row>
    <row r="8246" spans="1:12" x14ac:dyDescent="0.3">
      <c r="A8246" t="s">
        <v>8252</v>
      </c>
      <c r="B8246" t="s">
        <v>10017</v>
      </c>
      <c r="C8246">
        <v>3</v>
      </c>
      <c r="D8246">
        <v>1.5</v>
      </c>
      <c r="E8246">
        <v>4.5</v>
      </c>
      <c r="F8246" t="s">
        <v>10019</v>
      </c>
      <c r="G8246" t="s">
        <v>10102</v>
      </c>
      <c r="H8246" s="6">
        <v>44983</v>
      </c>
      <c r="I8246">
        <f t="shared" si="256"/>
        <v>0</v>
      </c>
      <c r="J8246" t="str">
        <f t="shared" si="257"/>
        <v>Complete</v>
      </c>
      <c r="K8246">
        <f>COUNTIFS(RawData[Item], B8246,RawData[Quantity],C8246,RawData[Price Per Unit],D8246,RawData[Total Spent],E8246,RawData[Payment Method],F8246,RawData[Location],G8246,RawData[Transaction Date],H8246)</f>
        <v>1</v>
      </c>
      <c r="L8246"/>
    </row>
    <row r="8247" spans="1:12" x14ac:dyDescent="0.3">
      <c r="A8247" t="s">
        <v>8253</v>
      </c>
      <c r="B8247" t="s">
        <v>10014</v>
      </c>
      <c r="C8247">
        <v>4</v>
      </c>
      <c r="D8247">
        <v>4</v>
      </c>
      <c r="E8247">
        <v>16</v>
      </c>
      <c r="F8247" t="s">
        <v>10019</v>
      </c>
      <c r="G8247" t="s">
        <v>10102</v>
      </c>
      <c r="H8247" s="6">
        <v>45115</v>
      </c>
      <c r="I8247">
        <f t="shared" si="256"/>
        <v>0</v>
      </c>
      <c r="J8247" t="str">
        <f t="shared" si="257"/>
        <v>Complete</v>
      </c>
      <c r="K8247">
        <f>COUNTIFS(RawData[Item], B8247,RawData[Quantity],C8247,RawData[Price Per Unit],D8247,RawData[Total Spent],E8247,RawData[Payment Method],F8247,RawData[Location],G8247,RawData[Transaction Date],H8247)</f>
        <v>1</v>
      </c>
      <c r="L8247"/>
    </row>
    <row r="8248" spans="1:12" x14ac:dyDescent="0.3">
      <c r="A8248" t="s">
        <v>8254</v>
      </c>
      <c r="B8248" t="s">
        <v>10011</v>
      </c>
      <c r="C8248">
        <v>4</v>
      </c>
      <c r="D8248">
        <v>5</v>
      </c>
      <c r="E8248">
        <v>20</v>
      </c>
      <c r="F8248" t="s">
        <v>10069</v>
      </c>
      <c r="G8248" t="s">
        <v>10069</v>
      </c>
      <c r="H8248" s="6">
        <v>45081</v>
      </c>
      <c r="I8248">
        <f t="shared" si="256"/>
        <v>0</v>
      </c>
      <c r="J8248" t="str">
        <f t="shared" si="257"/>
        <v>Complete</v>
      </c>
      <c r="K8248">
        <f>COUNTIFS(RawData[Item], B8248,RawData[Quantity],C8248,RawData[Price Per Unit],D8248,RawData[Total Spent],E8248,RawData[Payment Method],F8248,RawData[Location],G8248,RawData[Transaction Date],H8248)</f>
        <v>1</v>
      </c>
      <c r="L8248"/>
    </row>
    <row r="8249" spans="1:12" x14ac:dyDescent="0.3">
      <c r="A8249" t="s">
        <v>8255</v>
      </c>
      <c r="B8249" t="s">
        <v>10016</v>
      </c>
      <c r="C8249">
        <v>2</v>
      </c>
      <c r="D8249">
        <v>3</v>
      </c>
      <c r="E8249">
        <v>6</v>
      </c>
      <c r="F8249" t="s">
        <v>10019</v>
      </c>
      <c r="G8249" t="s">
        <v>10102</v>
      </c>
      <c r="H8249" s="6">
        <v>44982</v>
      </c>
      <c r="I8249">
        <f t="shared" si="256"/>
        <v>0</v>
      </c>
      <c r="J8249" t="str">
        <f t="shared" si="257"/>
        <v>Complete</v>
      </c>
      <c r="K8249">
        <f>COUNTIFS(RawData[Item], B8249,RawData[Quantity],C8249,RawData[Price Per Unit],D8249,RawData[Total Spent],E8249,RawData[Payment Method],F8249,RawData[Location],G8249,RawData[Transaction Date],H8249)</f>
        <v>1</v>
      </c>
      <c r="L8249"/>
    </row>
    <row r="8250" spans="1:12" x14ac:dyDescent="0.3">
      <c r="A8250" t="s">
        <v>8256</v>
      </c>
      <c r="B8250" t="s">
        <v>10008</v>
      </c>
      <c r="C8250">
        <v>1</v>
      </c>
      <c r="D8250">
        <v>2</v>
      </c>
      <c r="E8250">
        <v>2</v>
      </c>
      <c r="F8250" t="s">
        <v>10019</v>
      </c>
      <c r="G8250" t="s">
        <v>10069</v>
      </c>
      <c r="H8250" s="6">
        <v>45047</v>
      </c>
      <c r="I8250">
        <f t="shared" si="256"/>
        <v>0</v>
      </c>
      <c r="J8250" t="str">
        <f t="shared" si="257"/>
        <v>Complete</v>
      </c>
      <c r="K8250">
        <f>COUNTIFS(RawData[Item], B8250,RawData[Quantity],C8250,RawData[Price Per Unit],D8250,RawData[Total Spent],E8250,RawData[Payment Method],F8250,RawData[Location],G8250,RawData[Transaction Date],H8250)</f>
        <v>1</v>
      </c>
      <c r="L8250"/>
    </row>
    <row r="8251" spans="1:12" x14ac:dyDescent="0.3">
      <c r="A8251" t="s">
        <v>8257</v>
      </c>
      <c r="B8251" t="s">
        <v>10010</v>
      </c>
      <c r="C8251">
        <v>2</v>
      </c>
      <c r="D8251">
        <v>1</v>
      </c>
      <c r="E8251">
        <v>2</v>
      </c>
      <c r="F8251" t="s">
        <v>10020</v>
      </c>
      <c r="G8251" t="s">
        <v>10104</v>
      </c>
      <c r="H8251" s="6">
        <v>45112</v>
      </c>
      <c r="I8251">
        <f t="shared" si="256"/>
        <v>1</v>
      </c>
      <c r="J8251" t="str">
        <f t="shared" si="257"/>
        <v>Complete</v>
      </c>
      <c r="K8251">
        <f>COUNTIFS(RawData[Item], B8251,RawData[Quantity],C8251,RawData[Price Per Unit],D8251,RawData[Total Spent],E8251,RawData[Payment Method],F8251,RawData[Location],G8251,RawData[Transaction Date],H8251)</f>
        <v>1</v>
      </c>
      <c r="L8251"/>
    </row>
    <row r="8252" spans="1:12" x14ac:dyDescent="0.3">
      <c r="A8252" t="s">
        <v>8258</v>
      </c>
      <c r="B8252" t="s">
        <v>10010</v>
      </c>
      <c r="C8252">
        <v>4</v>
      </c>
      <c r="D8252">
        <v>1</v>
      </c>
      <c r="E8252">
        <v>4</v>
      </c>
      <c r="F8252" t="s">
        <v>10069</v>
      </c>
      <c r="G8252" t="s">
        <v>10102</v>
      </c>
      <c r="H8252" s="6">
        <v>45095</v>
      </c>
      <c r="I8252">
        <f t="shared" si="256"/>
        <v>0</v>
      </c>
      <c r="J8252" t="str">
        <f t="shared" si="257"/>
        <v>Complete</v>
      </c>
      <c r="K8252">
        <f>COUNTIFS(RawData[Item], B8252,RawData[Quantity],C8252,RawData[Price Per Unit],D8252,RawData[Total Spent],E8252,RawData[Payment Method],F8252,RawData[Location],G8252,RawData[Transaction Date],H8252)</f>
        <v>1</v>
      </c>
      <c r="L8252"/>
    </row>
    <row r="8253" spans="1:12" x14ac:dyDescent="0.3">
      <c r="A8253" t="s">
        <v>8259</v>
      </c>
      <c r="B8253" t="s">
        <v>10012</v>
      </c>
      <c r="C8253">
        <v>4</v>
      </c>
      <c r="D8253">
        <v>4</v>
      </c>
      <c r="E8253">
        <v>16</v>
      </c>
      <c r="F8253" t="s">
        <v>10020</v>
      </c>
      <c r="G8253" t="s">
        <v>10102</v>
      </c>
      <c r="H8253" s="6">
        <v>45107</v>
      </c>
      <c r="I8253">
        <f t="shared" si="256"/>
        <v>0</v>
      </c>
      <c r="J8253" t="str">
        <f t="shared" si="257"/>
        <v>Complete</v>
      </c>
      <c r="K8253">
        <f>COUNTIFS(RawData[Item], B8253,RawData[Quantity],C8253,RawData[Price Per Unit],D8253,RawData[Total Spent],E8253,RawData[Payment Method],F8253,RawData[Location],G8253,RawData[Transaction Date],H8253)</f>
        <v>1</v>
      </c>
      <c r="L8253"/>
    </row>
    <row r="8254" spans="1:12" x14ac:dyDescent="0.3">
      <c r="A8254" t="s">
        <v>8260</v>
      </c>
      <c r="B8254" t="s">
        <v>10016</v>
      </c>
      <c r="C8254">
        <v>4</v>
      </c>
      <c r="D8254">
        <v>3</v>
      </c>
      <c r="E8254">
        <v>12</v>
      </c>
      <c r="F8254" t="s">
        <v>10018</v>
      </c>
      <c r="G8254" t="s">
        <v>10069</v>
      </c>
      <c r="H8254" s="6">
        <v>44960</v>
      </c>
      <c r="I8254">
        <f t="shared" si="256"/>
        <v>0</v>
      </c>
      <c r="J8254" t="str">
        <f t="shared" si="257"/>
        <v>Complete</v>
      </c>
      <c r="K8254">
        <f>COUNTIFS(RawData[Item], B8254,RawData[Quantity],C8254,RawData[Price Per Unit],D8254,RawData[Total Spent],E8254,RawData[Payment Method],F8254,RawData[Location],G8254,RawData[Transaction Date],H8254)</f>
        <v>1</v>
      </c>
      <c r="L8254"/>
    </row>
    <row r="8255" spans="1:12" x14ac:dyDescent="0.3">
      <c r="A8255" t="s">
        <v>8261</v>
      </c>
      <c r="B8255" t="s">
        <v>10008</v>
      </c>
      <c r="C8255">
        <v>1</v>
      </c>
      <c r="D8255">
        <v>2</v>
      </c>
      <c r="E8255">
        <v>2</v>
      </c>
      <c r="F8255" t="s">
        <v>10020</v>
      </c>
      <c r="G8255" t="s">
        <v>10021</v>
      </c>
      <c r="H8255" s="6">
        <v>45211</v>
      </c>
      <c r="I8255">
        <f t="shared" si="256"/>
        <v>0</v>
      </c>
      <c r="J8255" t="str">
        <f t="shared" si="257"/>
        <v>Complete</v>
      </c>
      <c r="K8255">
        <f>COUNTIFS(RawData[Item], B8255,RawData[Quantity],C8255,RawData[Price Per Unit],D8255,RawData[Total Spent],E8255,RawData[Payment Method],F8255,RawData[Location],G8255,RawData[Transaction Date],H8255)</f>
        <v>1</v>
      </c>
      <c r="L8255"/>
    </row>
    <row r="8256" spans="1:12" x14ac:dyDescent="0.3">
      <c r="A8256" t="s">
        <v>8262</v>
      </c>
      <c r="B8256" t="s">
        <v>10012</v>
      </c>
      <c r="C8256">
        <v>2</v>
      </c>
      <c r="D8256">
        <v>4</v>
      </c>
      <c r="E8256">
        <v>8</v>
      </c>
      <c r="F8256" t="s">
        <v>10019</v>
      </c>
      <c r="G8256" t="s">
        <v>10069</v>
      </c>
      <c r="H8256" s="6">
        <v>45232</v>
      </c>
      <c r="I8256">
        <f t="shared" si="256"/>
        <v>0</v>
      </c>
      <c r="J8256" t="str">
        <f t="shared" si="257"/>
        <v>Complete</v>
      </c>
      <c r="K8256">
        <f>COUNTIFS(RawData[Item], B8256,RawData[Quantity],C8256,RawData[Price Per Unit],D8256,RawData[Total Spent],E8256,RawData[Payment Method],F8256,RawData[Location],G8256,RawData[Transaction Date],H8256)</f>
        <v>1</v>
      </c>
      <c r="L8256"/>
    </row>
    <row r="8257" spans="1:12" x14ac:dyDescent="0.3">
      <c r="A8257" t="s">
        <v>8263</v>
      </c>
      <c r="B8257" t="s">
        <v>10016</v>
      </c>
      <c r="C8257">
        <v>3</v>
      </c>
      <c r="D8257">
        <v>3</v>
      </c>
      <c r="E8257">
        <v>9</v>
      </c>
      <c r="F8257" t="s">
        <v>10019</v>
      </c>
      <c r="G8257" t="s">
        <v>10021</v>
      </c>
      <c r="H8257" s="6">
        <v>45038</v>
      </c>
      <c r="I8257">
        <f t="shared" si="256"/>
        <v>0</v>
      </c>
      <c r="J8257" t="str">
        <f t="shared" si="257"/>
        <v>Complete</v>
      </c>
      <c r="K8257">
        <f>COUNTIFS(RawData[Item], B8257,RawData[Quantity],C8257,RawData[Price Per Unit],D8257,RawData[Total Spent],E8257,RawData[Payment Method],F8257,RawData[Location],G8257,RawData[Transaction Date],H8257)</f>
        <v>1</v>
      </c>
      <c r="L8257"/>
    </row>
    <row r="8258" spans="1:12" x14ac:dyDescent="0.3">
      <c r="A8258" t="s">
        <v>8264</v>
      </c>
      <c r="B8258" t="s">
        <v>10016</v>
      </c>
      <c r="C8258">
        <v>1</v>
      </c>
      <c r="D8258">
        <v>3</v>
      </c>
      <c r="E8258">
        <v>3</v>
      </c>
      <c r="F8258" t="s">
        <v>10103</v>
      </c>
      <c r="G8258" t="s">
        <v>10021</v>
      </c>
      <c r="H8258" s="6">
        <v>45244</v>
      </c>
      <c r="I8258">
        <f t="shared" ref="I8258:I8321" si="258">(B8258="Unknown")+(B8258="Error")+(C8258="Unknown")+(C8258="Error")+(D8258="Unknown")+(D8258="Error")+(E8258="Unknown")+(E8258="Error")+(F8258="Unknown")+(F8258="Error")+(G8258="Unknown")+(G8258="Error")+(H8258="No Date")</f>
        <v>1</v>
      </c>
      <c r="J8258" t="str">
        <f t="shared" ref="J8258:J8321" si="259">IF((H8258="No Date"),"Incomplete","Complete")</f>
        <v>Complete</v>
      </c>
      <c r="K8258">
        <f>COUNTIFS(RawData[Item], B8258,RawData[Quantity],C8258,RawData[Price Per Unit],D8258,RawData[Total Spent],E8258,RawData[Payment Method],F8258,RawData[Location],G8258,RawData[Transaction Date],H8258)</f>
        <v>1</v>
      </c>
      <c r="L8258"/>
    </row>
    <row r="8259" spans="1:12" x14ac:dyDescent="0.3">
      <c r="A8259" t="s">
        <v>8265</v>
      </c>
      <c r="B8259" t="s">
        <v>10016</v>
      </c>
      <c r="C8259">
        <v>3</v>
      </c>
      <c r="D8259">
        <v>3</v>
      </c>
      <c r="E8259">
        <v>9</v>
      </c>
      <c r="F8259" t="s">
        <v>10019</v>
      </c>
      <c r="G8259" t="s">
        <v>10102</v>
      </c>
      <c r="H8259" s="6">
        <v>45013</v>
      </c>
      <c r="I8259">
        <f t="shared" si="258"/>
        <v>0</v>
      </c>
      <c r="J8259" t="str">
        <f t="shared" si="259"/>
        <v>Complete</v>
      </c>
      <c r="K8259">
        <f>COUNTIFS(RawData[Item], B8259,RawData[Quantity],C8259,RawData[Price Per Unit],D8259,RawData[Total Spent],E8259,RawData[Payment Method],F8259,RawData[Location],G8259,RawData[Transaction Date],H8259)</f>
        <v>1</v>
      </c>
      <c r="L8259"/>
    </row>
    <row r="8260" spans="1:12" x14ac:dyDescent="0.3">
      <c r="A8260" t="s">
        <v>8266</v>
      </c>
      <c r="B8260" t="s">
        <v>10010</v>
      </c>
      <c r="C8260">
        <v>3</v>
      </c>
      <c r="D8260">
        <v>1</v>
      </c>
      <c r="E8260">
        <v>3</v>
      </c>
      <c r="F8260" t="s">
        <v>10018</v>
      </c>
      <c r="G8260" t="s">
        <v>10102</v>
      </c>
      <c r="H8260" s="6">
        <v>45047</v>
      </c>
      <c r="I8260">
        <f t="shared" si="258"/>
        <v>0</v>
      </c>
      <c r="J8260" t="str">
        <f t="shared" si="259"/>
        <v>Complete</v>
      </c>
      <c r="K8260">
        <f>COUNTIFS(RawData[Item], B8260,RawData[Quantity],C8260,RawData[Price Per Unit],D8260,RawData[Total Spent],E8260,RawData[Payment Method],F8260,RawData[Location],G8260,RawData[Transaction Date],H8260)</f>
        <v>1</v>
      </c>
      <c r="L8260"/>
    </row>
    <row r="8261" spans="1:12" x14ac:dyDescent="0.3">
      <c r="A8261" t="s">
        <v>8267</v>
      </c>
      <c r="B8261" t="s">
        <v>10012</v>
      </c>
      <c r="C8261">
        <v>5</v>
      </c>
      <c r="D8261">
        <v>4</v>
      </c>
      <c r="E8261">
        <v>20</v>
      </c>
      <c r="F8261" t="s">
        <v>10020</v>
      </c>
      <c r="G8261" t="s">
        <v>10069</v>
      </c>
      <c r="H8261" s="6">
        <v>45043</v>
      </c>
      <c r="I8261">
        <f t="shared" si="258"/>
        <v>0</v>
      </c>
      <c r="J8261" t="str">
        <f t="shared" si="259"/>
        <v>Complete</v>
      </c>
      <c r="K8261">
        <f>COUNTIFS(RawData[Item], B8261,RawData[Quantity],C8261,RawData[Price Per Unit],D8261,RawData[Total Spent],E8261,RawData[Payment Method],F8261,RawData[Location],G8261,RawData[Transaction Date],H8261)</f>
        <v>1</v>
      </c>
      <c r="L8261"/>
    </row>
    <row r="8262" spans="1:12" x14ac:dyDescent="0.3">
      <c r="A8262" t="s">
        <v>8268</v>
      </c>
      <c r="B8262" t="s">
        <v>10014</v>
      </c>
      <c r="C8262">
        <v>2</v>
      </c>
      <c r="D8262">
        <v>4</v>
      </c>
      <c r="E8262">
        <v>8</v>
      </c>
      <c r="F8262" t="s">
        <v>10069</v>
      </c>
      <c r="G8262" t="s">
        <v>10021</v>
      </c>
      <c r="H8262" s="6">
        <v>45073</v>
      </c>
      <c r="I8262">
        <f t="shared" si="258"/>
        <v>0</v>
      </c>
      <c r="J8262" t="str">
        <f t="shared" si="259"/>
        <v>Complete</v>
      </c>
      <c r="K8262">
        <f>COUNTIFS(RawData[Item], B8262,RawData[Quantity],C8262,RawData[Price Per Unit],D8262,RawData[Total Spent],E8262,RawData[Payment Method],F8262,RawData[Location],G8262,RawData[Transaction Date],H8262)</f>
        <v>1</v>
      </c>
      <c r="L8262"/>
    </row>
    <row r="8263" spans="1:12" x14ac:dyDescent="0.3">
      <c r="A8263" t="s">
        <v>8269</v>
      </c>
      <c r="B8263" t="s">
        <v>10014</v>
      </c>
      <c r="C8263">
        <v>3</v>
      </c>
      <c r="D8263">
        <v>4</v>
      </c>
      <c r="E8263">
        <v>12</v>
      </c>
      <c r="F8263" t="s">
        <v>10018</v>
      </c>
      <c r="G8263" t="s">
        <v>10069</v>
      </c>
      <c r="H8263" s="6">
        <v>45197</v>
      </c>
      <c r="I8263">
        <f t="shared" si="258"/>
        <v>0</v>
      </c>
      <c r="J8263" t="str">
        <f t="shared" si="259"/>
        <v>Complete</v>
      </c>
      <c r="K8263">
        <f>COUNTIFS(RawData[Item], B8263,RawData[Quantity],C8263,RawData[Price Per Unit],D8263,RawData[Total Spent],E8263,RawData[Payment Method],F8263,RawData[Location],G8263,RawData[Transaction Date],H8263)</f>
        <v>1</v>
      </c>
      <c r="L8263"/>
    </row>
    <row r="8264" spans="1:12" x14ac:dyDescent="0.3">
      <c r="A8264" t="s">
        <v>8270</v>
      </c>
      <c r="B8264" t="s">
        <v>10011</v>
      </c>
      <c r="C8264" t="s">
        <v>10013</v>
      </c>
      <c r="D8264">
        <v>5</v>
      </c>
      <c r="E8264">
        <v>20</v>
      </c>
      <c r="F8264" t="s">
        <v>10069</v>
      </c>
      <c r="G8264" t="s">
        <v>10102</v>
      </c>
      <c r="H8264" s="6">
        <v>44946</v>
      </c>
      <c r="I8264">
        <f t="shared" si="258"/>
        <v>1</v>
      </c>
      <c r="J8264" t="str">
        <f t="shared" si="259"/>
        <v>Complete</v>
      </c>
      <c r="K8264">
        <f>COUNTIFS(RawData[Item], B8264,RawData[Quantity],C8264,RawData[Price Per Unit],D8264,RawData[Total Spent],E8264,RawData[Payment Method],F8264,RawData[Location],G8264,RawData[Transaction Date],H8264)</f>
        <v>1</v>
      </c>
      <c r="L8264"/>
    </row>
    <row r="8265" spans="1:12" x14ac:dyDescent="0.3">
      <c r="A8265" t="s">
        <v>8271</v>
      </c>
      <c r="B8265" t="s">
        <v>10016</v>
      </c>
      <c r="C8265">
        <v>3</v>
      </c>
      <c r="D8265">
        <v>3</v>
      </c>
      <c r="E8265">
        <v>9</v>
      </c>
      <c r="F8265" t="s">
        <v>10019</v>
      </c>
      <c r="G8265" t="s">
        <v>10069</v>
      </c>
      <c r="H8265" s="6">
        <v>45275</v>
      </c>
      <c r="I8265">
        <f t="shared" si="258"/>
        <v>0</v>
      </c>
      <c r="J8265" t="str">
        <f t="shared" si="259"/>
        <v>Complete</v>
      </c>
      <c r="K8265">
        <f>COUNTIFS(RawData[Item], B8265,RawData[Quantity],C8265,RawData[Price Per Unit],D8265,RawData[Total Spent],E8265,RawData[Payment Method],F8265,RawData[Location],G8265,RawData[Transaction Date],H8265)</f>
        <v>1</v>
      </c>
      <c r="L8265"/>
    </row>
    <row r="8266" spans="1:12" x14ac:dyDescent="0.3">
      <c r="A8266" t="s">
        <v>8272</v>
      </c>
      <c r="B8266" t="s">
        <v>10011</v>
      </c>
      <c r="C8266">
        <v>5</v>
      </c>
      <c r="D8266">
        <v>5</v>
      </c>
      <c r="E8266">
        <v>25</v>
      </c>
      <c r="F8266" t="s">
        <v>10019</v>
      </c>
      <c r="G8266" t="s">
        <v>10021</v>
      </c>
      <c r="H8266" s="6">
        <v>45214</v>
      </c>
      <c r="I8266">
        <f t="shared" si="258"/>
        <v>0</v>
      </c>
      <c r="J8266" t="str">
        <f t="shared" si="259"/>
        <v>Complete</v>
      </c>
      <c r="K8266">
        <f>COUNTIFS(RawData[Item], B8266,RawData[Quantity],C8266,RawData[Price Per Unit],D8266,RawData[Total Spent],E8266,RawData[Payment Method],F8266,RawData[Location],G8266,RawData[Transaction Date],H8266)</f>
        <v>1</v>
      </c>
      <c r="L8266"/>
    </row>
    <row r="8267" spans="1:12" x14ac:dyDescent="0.3">
      <c r="A8267" t="s">
        <v>8273</v>
      </c>
      <c r="B8267" t="s">
        <v>10015</v>
      </c>
      <c r="C8267">
        <v>1</v>
      </c>
      <c r="D8267">
        <v>1.5</v>
      </c>
      <c r="E8267">
        <v>1.5</v>
      </c>
      <c r="F8267" t="s">
        <v>10069</v>
      </c>
      <c r="G8267" t="s">
        <v>10103</v>
      </c>
      <c r="H8267" s="6">
        <v>44993</v>
      </c>
      <c r="I8267">
        <f t="shared" si="258"/>
        <v>2</v>
      </c>
      <c r="J8267" t="str">
        <f t="shared" si="259"/>
        <v>Complete</v>
      </c>
      <c r="K8267">
        <f>COUNTIFS(RawData[Item], B8267,RawData[Quantity],C8267,RawData[Price Per Unit],D8267,RawData[Total Spent],E8267,RawData[Payment Method],F8267,RawData[Location],G8267,RawData[Transaction Date],H8267)</f>
        <v>1</v>
      </c>
      <c r="L8267"/>
    </row>
    <row r="8268" spans="1:12" x14ac:dyDescent="0.3">
      <c r="A8268" t="s">
        <v>8274</v>
      </c>
      <c r="B8268" t="s">
        <v>10009</v>
      </c>
      <c r="C8268">
        <v>3</v>
      </c>
      <c r="D8268">
        <v>3</v>
      </c>
      <c r="E8268">
        <v>9</v>
      </c>
      <c r="F8268" t="s">
        <v>10069</v>
      </c>
      <c r="G8268" t="s">
        <v>10021</v>
      </c>
      <c r="H8268" s="6">
        <v>45124</v>
      </c>
      <c r="I8268">
        <f t="shared" si="258"/>
        <v>0</v>
      </c>
      <c r="J8268" t="str">
        <f t="shared" si="259"/>
        <v>Complete</v>
      </c>
      <c r="K8268">
        <f>COUNTIFS(RawData[Item], B8268,RawData[Quantity],C8268,RawData[Price Per Unit],D8268,RawData[Total Spent],E8268,RawData[Payment Method],F8268,RawData[Location],G8268,RawData[Transaction Date],H8268)</f>
        <v>1</v>
      </c>
      <c r="L8268"/>
    </row>
    <row r="8269" spans="1:12" x14ac:dyDescent="0.3">
      <c r="A8269" t="s">
        <v>8275</v>
      </c>
      <c r="B8269" t="s">
        <v>10017</v>
      </c>
      <c r="C8269">
        <v>1</v>
      </c>
      <c r="D8269">
        <v>1.5</v>
      </c>
      <c r="E8269">
        <v>1.5</v>
      </c>
      <c r="F8269" t="s">
        <v>10069</v>
      </c>
      <c r="G8269" t="s">
        <v>10021</v>
      </c>
      <c r="H8269" s="6">
        <v>45238</v>
      </c>
      <c r="I8269">
        <f t="shared" si="258"/>
        <v>0</v>
      </c>
      <c r="J8269" t="str">
        <f t="shared" si="259"/>
        <v>Complete</v>
      </c>
      <c r="K8269">
        <f>COUNTIFS(RawData[Item], B8269,RawData[Quantity],C8269,RawData[Price Per Unit],D8269,RawData[Total Spent],E8269,RawData[Payment Method],F8269,RawData[Location],G8269,RawData[Transaction Date],H8269)</f>
        <v>1</v>
      </c>
      <c r="L8269"/>
    </row>
    <row r="8270" spans="1:12" x14ac:dyDescent="0.3">
      <c r="A8270" t="s">
        <v>8276</v>
      </c>
      <c r="B8270" t="s">
        <v>10014</v>
      </c>
      <c r="C8270">
        <v>1</v>
      </c>
      <c r="D8270">
        <v>4</v>
      </c>
      <c r="E8270">
        <v>4</v>
      </c>
      <c r="F8270" t="s">
        <v>10018</v>
      </c>
      <c r="G8270" t="s">
        <v>10102</v>
      </c>
      <c r="H8270" s="6">
        <v>45212</v>
      </c>
      <c r="I8270">
        <f t="shared" si="258"/>
        <v>0</v>
      </c>
      <c r="J8270" t="str">
        <f t="shared" si="259"/>
        <v>Complete</v>
      </c>
      <c r="K8270">
        <f>COUNTIFS(RawData[Item], B8270,RawData[Quantity],C8270,RawData[Price Per Unit],D8270,RawData[Total Spent],E8270,RawData[Payment Method],F8270,RawData[Location],G8270,RawData[Transaction Date],H8270)</f>
        <v>1</v>
      </c>
      <c r="L8270"/>
    </row>
    <row r="8271" spans="1:12" x14ac:dyDescent="0.3">
      <c r="A8271" t="s">
        <v>8277</v>
      </c>
      <c r="B8271" t="s">
        <v>10014</v>
      </c>
      <c r="C8271">
        <v>1</v>
      </c>
      <c r="D8271">
        <v>4</v>
      </c>
      <c r="E8271">
        <v>4</v>
      </c>
      <c r="F8271" t="s">
        <v>10069</v>
      </c>
      <c r="G8271" t="s">
        <v>10021</v>
      </c>
      <c r="H8271" s="6">
        <v>45109</v>
      </c>
      <c r="I8271">
        <f t="shared" si="258"/>
        <v>0</v>
      </c>
      <c r="J8271" t="str">
        <f t="shared" si="259"/>
        <v>Complete</v>
      </c>
      <c r="K8271">
        <f>COUNTIFS(RawData[Item], B8271,RawData[Quantity],C8271,RawData[Price Per Unit],D8271,RawData[Total Spent],E8271,RawData[Payment Method],F8271,RawData[Location],G8271,RawData[Transaction Date],H8271)</f>
        <v>1</v>
      </c>
      <c r="L8271"/>
    </row>
    <row r="8272" spans="1:12" x14ac:dyDescent="0.3">
      <c r="A8272" t="s">
        <v>8278</v>
      </c>
      <c r="B8272" t="s">
        <v>10017</v>
      </c>
      <c r="C8272">
        <v>2</v>
      </c>
      <c r="D8272">
        <v>1.5</v>
      </c>
      <c r="E8272">
        <v>3</v>
      </c>
      <c r="F8272" t="s">
        <v>10019</v>
      </c>
      <c r="G8272" t="s">
        <v>10069</v>
      </c>
      <c r="H8272" s="6">
        <v>45116</v>
      </c>
      <c r="I8272">
        <f t="shared" si="258"/>
        <v>0</v>
      </c>
      <c r="J8272" t="str">
        <f t="shared" si="259"/>
        <v>Complete</v>
      </c>
      <c r="K8272">
        <f>COUNTIFS(RawData[Item], B8272,RawData[Quantity],C8272,RawData[Price Per Unit],D8272,RawData[Total Spent],E8272,RawData[Payment Method],F8272,RawData[Location],G8272,RawData[Transaction Date],H8272)</f>
        <v>1</v>
      </c>
      <c r="L8272"/>
    </row>
    <row r="8273" spans="1:12" x14ac:dyDescent="0.3">
      <c r="A8273" t="s">
        <v>8279</v>
      </c>
      <c r="B8273" t="s">
        <v>10016</v>
      </c>
      <c r="C8273">
        <v>2</v>
      </c>
      <c r="D8273">
        <v>3</v>
      </c>
      <c r="E8273">
        <v>6</v>
      </c>
      <c r="F8273" t="s">
        <v>10019</v>
      </c>
      <c r="G8273" t="s">
        <v>10021</v>
      </c>
      <c r="H8273" s="6">
        <v>45051</v>
      </c>
      <c r="I8273">
        <f t="shared" si="258"/>
        <v>0</v>
      </c>
      <c r="J8273" t="str">
        <f t="shared" si="259"/>
        <v>Complete</v>
      </c>
      <c r="K8273">
        <f>COUNTIFS(RawData[Item], B8273,RawData[Quantity],C8273,RawData[Price Per Unit],D8273,RawData[Total Spent],E8273,RawData[Payment Method],F8273,RawData[Location],G8273,RawData[Transaction Date],H8273)</f>
        <v>1</v>
      </c>
      <c r="L8273"/>
    </row>
    <row r="8274" spans="1:12" x14ac:dyDescent="0.3">
      <c r="A8274" t="s">
        <v>8280</v>
      </c>
      <c r="B8274" t="s">
        <v>10011</v>
      </c>
      <c r="C8274">
        <v>3</v>
      </c>
      <c r="D8274">
        <v>5</v>
      </c>
      <c r="E8274">
        <v>15</v>
      </c>
      <c r="F8274" t="s">
        <v>10020</v>
      </c>
      <c r="G8274" t="s">
        <v>10021</v>
      </c>
      <c r="H8274" s="6">
        <v>45240</v>
      </c>
      <c r="I8274">
        <f t="shared" si="258"/>
        <v>0</v>
      </c>
      <c r="J8274" t="str">
        <f t="shared" si="259"/>
        <v>Complete</v>
      </c>
      <c r="K8274">
        <f>COUNTIFS(RawData[Item], B8274,RawData[Quantity],C8274,RawData[Price Per Unit],D8274,RawData[Total Spent],E8274,RawData[Payment Method],F8274,RawData[Location],G8274,RawData[Transaction Date],H8274)</f>
        <v>1</v>
      </c>
      <c r="L8274"/>
    </row>
    <row r="8275" spans="1:12" x14ac:dyDescent="0.3">
      <c r="A8275" t="s">
        <v>8281</v>
      </c>
      <c r="B8275" t="s">
        <v>10016</v>
      </c>
      <c r="C8275">
        <v>4</v>
      </c>
      <c r="D8275">
        <v>3</v>
      </c>
      <c r="E8275">
        <v>12</v>
      </c>
      <c r="F8275" t="s">
        <v>10069</v>
      </c>
      <c r="G8275" t="s">
        <v>10021</v>
      </c>
      <c r="H8275" s="6">
        <v>45065</v>
      </c>
      <c r="I8275">
        <f t="shared" si="258"/>
        <v>0</v>
      </c>
      <c r="J8275" t="str">
        <f t="shared" si="259"/>
        <v>Complete</v>
      </c>
      <c r="K8275">
        <f>COUNTIFS(RawData[Item], B8275,RawData[Quantity],C8275,RawData[Price Per Unit],D8275,RawData[Total Spent],E8275,RawData[Payment Method],F8275,RawData[Location],G8275,RawData[Transaction Date],H8275)</f>
        <v>1</v>
      </c>
      <c r="L8275"/>
    </row>
    <row r="8276" spans="1:12" x14ac:dyDescent="0.3">
      <c r="A8276" t="s">
        <v>8282</v>
      </c>
      <c r="B8276" t="s">
        <v>10009</v>
      </c>
      <c r="C8276">
        <v>4</v>
      </c>
      <c r="D8276">
        <v>3</v>
      </c>
      <c r="E8276">
        <v>12</v>
      </c>
      <c r="F8276" t="s">
        <v>10069</v>
      </c>
      <c r="G8276" t="s">
        <v>10102</v>
      </c>
      <c r="H8276" s="6">
        <v>44977</v>
      </c>
      <c r="I8276">
        <f t="shared" si="258"/>
        <v>0</v>
      </c>
      <c r="J8276" t="str">
        <f t="shared" si="259"/>
        <v>Complete</v>
      </c>
      <c r="K8276">
        <f>COUNTIFS(RawData[Item], B8276,RawData[Quantity],C8276,RawData[Price Per Unit],D8276,RawData[Total Spent],E8276,RawData[Payment Method],F8276,RawData[Location],G8276,RawData[Transaction Date],H8276)</f>
        <v>1</v>
      </c>
      <c r="L8276"/>
    </row>
    <row r="8277" spans="1:12" x14ac:dyDescent="0.3">
      <c r="A8277" t="s">
        <v>8283</v>
      </c>
      <c r="B8277" t="s">
        <v>10016</v>
      </c>
      <c r="C8277">
        <v>2</v>
      </c>
      <c r="D8277">
        <v>3</v>
      </c>
      <c r="E8277">
        <v>6</v>
      </c>
      <c r="F8277" t="s">
        <v>10018</v>
      </c>
      <c r="G8277" t="s">
        <v>10021</v>
      </c>
      <c r="H8277" s="6">
        <v>45175</v>
      </c>
      <c r="I8277">
        <f t="shared" si="258"/>
        <v>0</v>
      </c>
      <c r="J8277" t="str">
        <f t="shared" si="259"/>
        <v>Complete</v>
      </c>
      <c r="K8277">
        <f>COUNTIFS(RawData[Item], B8277,RawData[Quantity],C8277,RawData[Price Per Unit],D8277,RawData[Total Spent],E8277,RawData[Payment Method],F8277,RawData[Location],G8277,RawData[Transaction Date],H8277)</f>
        <v>1</v>
      </c>
      <c r="L8277"/>
    </row>
    <row r="8278" spans="1:12" x14ac:dyDescent="0.3">
      <c r="A8278" t="s">
        <v>8284</v>
      </c>
      <c r="B8278" t="s">
        <v>10016</v>
      </c>
      <c r="C8278">
        <v>1</v>
      </c>
      <c r="D8278">
        <v>3</v>
      </c>
      <c r="E8278">
        <v>3</v>
      </c>
      <c r="F8278" t="s">
        <v>10103</v>
      </c>
      <c r="G8278" t="s">
        <v>10102</v>
      </c>
      <c r="H8278" s="6">
        <v>45116</v>
      </c>
      <c r="I8278">
        <f t="shared" si="258"/>
        <v>1</v>
      </c>
      <c r="J8278" t="str">
        <f t="shared" si="259"/>
        <v>Complete</v>
      </c>
      <c r="K8278">
        <f>COUNTIFS(RawData[Item], B8278,RawData[Quantity],C8278,RawData[Price Per Unit],D8278,RawData[Total Spent],E8278,RawData[Payment Method],F8278,RawData[Location],G8278,RawData[Transaction Date],H8278)</f>
        <v>1</v>
      </c>
      <c r="L8278"/>
    </row>
    <row r="8279" spans="1:12" x14ac:dyDescent="0.3">
      <c r="A8279" t="s">
        <v>8285</v>
      </c>
      <c r="B8279" t="s">
        <v>10015</v>
      </c>
      <c r="C8279">
        <v>5</v>
      </c>
      <c r="D8279">
        <v>4</v>
      </c>
      <c r="E8279" t="s">
        <v>10015</v>
      </c>
      <c r="F8279" t="s">
        <v>10069</v>
      </c>
      <c r="G8279" t="s">
        <v>10021</v>
      </c>
      <c r="H8279" s="6">
        <v>44985</v>
      </c>
      <c r="I8279">
        <f t="shared" si="258"/>
        <v>2</v>
      </c>
      <c r="J8279" t="str">
        <f t="shared" si="259"/>
        <v>Complete</v>
      </c>
      <c r="K8279">
        <f>COUNTIFS(RawData[Item], B8279,RawData[Quantity],C8279,RawData[Price Per Unit],D8279,RawData[Total Spent],E8279,RawData[Payment Method],F8279,RawData[Location],G8279,RawData[Transaction Date],H8279)</f>
        <v>1</v>
      </c>
      <c r="L8279"/>
    </row>
    <row r="8280" spans="1:12" x14ac:dyDescent="0.3">
      <c r="A8280" t="s">
        <v>8286</v>
      </c>
      <c r="B8280" t="s">
        <v>10015</v>
      </c>
      <c r="C8280">
        <v>5</v>
      </c>
      <c r="D8280">
        <v>3</v>
      </c>
      <c r="E8280">
        <v>15</v>
      </c>
      <c r="F8280" t="s">
        <v>10020</v>
      </c>
      <c r="G8280" t="s">
        <v>10069</v>
      </c>
      <c r="H8280" s="6">
        <v>45025</v>
      </c>
      <c r="I8280">
        <f t="shared" si="258"/>
        <v>1</v>
      </c>
      <c r="J8280" t="str">
        <f t="shared" si="259"/>
        <v>Complete</v>
      </c>
      <c r="K8280">
        <f>COUNTIFS(RawData[Item], B8280,RawData[Quantity],C8280,RawData[Price Per Unit],D8280,RawData[Total Spent],E8280,RawData[Payment Method],F8280,RawData[Location],G8280,RawData[Transaction Date],H8280)</f>
        <v>1</v>
      </c>
      <c r="L8280"/>
    </row>
    <row r="8281" spans="1:12" x14ac:dyDescent="0.3">
      <c r="A8281" t="s">
        <v>8287</v>
      </c>
      <c r="B8281" t="s">
        <v>10012</v>
      </c>
      <c r="C8281">
        <v>3</v>
      </c>
      <c r="D8281">
        <v>4</v>
      </c>
      <c r="E8281">
        <v>12</v>
      </c>
      <c r="F8281" t="s">
        <v>10069</v>
      </c>
      <c r="G8281" t="s">
        <v>10021</v>
      </c>
      <c r="H8281" s="6">
        <v>45274</v>
      </c>
      <c r="I8281">
        <f t="shared" si="258"/>
        <v>0</v>
      </c>
      <c r="J8281" t="str">
        <f t="shared" si="259"/>
        <v>Complete</v>
      </c>
      <c r="K8281">
        <f>COUNTIFS(RawData[Item], B8281,RawData[Quantity],C8281,RawData[Price Per Unit],D8281,RawData[Total Spent],E8281,RawData[Payment Method],F8281,RawData[Location],G8281,RawData[Transaction Date],H8281)</f>
        <v>1</v>
      </c>
      <c r="L8281"/>
    </row>
    <row r="8282" spans="1:12" x14ac:dyDescent="0.3">
      <c r="A8282" t="s">
        <v>8288</v>
      </c>
      <c r="B8282" t="s">
        <v>10011</v>
      </c>
      <c r="C8282">
        <v>2</v>
      </c>
      <c r="D8282">
        <v>5</v>
      </c>
      <c r="E8282">
        <v>10</v>
      </c>
      <c r="F8282" t="s">
        <v>10018</v>
      </c>
      <c r="G8282" t="s">
        <v>10103</v>
      </c>
      <c r="H8282" s="6">
        <v>45211</v>
      </c>
      <c r="I8282">
        <f t="shared" si="258"/>
        <v>1</v>
      </c>
      <c r="J8282" t="str">
        <f t="shared" si="259"/>
        <v>Complete</v>
      </c>
      <c r="K8282">
        <f>COUNTIFS(RawData[Item], B8282,RawData[Quantity],C8282,RawData[Price Per Unit],D8282,RawData[Total Spent],E8282,RawData[Payment Method],F8282,RawData[Location],G8282,RawData[Transaction Date],H8282)</f>
        <v>1</v>
      </c>
      <c r="L8282"/>
    </row>
    <row r="8283" spans="1:12" x14ac:dyDescent="0.3">
      <c r="A8283" t="s">
        <v>8289</v>
      </c>
      <c r="B8283" t="s">
        <v>10069</v>
      </c>
      <c r="C8283">
        <v>1</v>
      </c>
      <c r="D8283">
        <v>3</v>
      </c>
      <c r="E8283">
        <v>3</v>
      </c>
      <c r="F8283" t="s">
        <v>10018</v>
      </c>
      <c r="G8283" t="s">
        <v>10069</v>
      </c>
      <c r="H8283" s="6">
        <v>45270</v>
      </c>
      <c r="I8283">
        <f t="shared" si="258"/>
        <v>0</v>
      </c>
      <c r="J8283" t="str">
        <f t="shared" si="259"/>
        <v>Complete</v>
      </c>
      <c r="K8283">
        <f>COUNTIFS(RawData[Item], B8283,RawData[Quantity],C8283,RawData[Price Per Unit],D8283,RawData[Total Spent],E8283,RawData[Payment Method],F8283,RawData[Location],G8283,RawData[Transaction Date],H8283)</f>
        <v>1</v>
      </c>
      <c r="L8283"/>
    </row>
    <row r="8284" spans="1:12" x14ac:dyDescent="0.3">
      <c r="A8284" t="s">
        <v>8290</v>
      </c>
      <c r="B8284" t="s">
        <v>10011</v>
      </c>
      <c r="C8284">
        <v>3</v>
      </c>
      <c r="D8284">
        <v>5</v>
      </c>
      <c r="E8284">
        <v>15</v>
      </c>
      <c r="F8284" t="s">
        <v>10018</v>
      </c>
      <c r="G8284" t="s">
        <v>10102</v>
      </c>
      <c r="H8284" s="6">
        <v>45155</v>
      </c>
      <c r="I8284">
        <f t="shared" si="258"/>
        <v>0</v>
      </c>
      <c r="J8284" t="str">
        <f t="shared" si="259"/>
        <v>Complete</v>
      </c>
      <c r="K8284">
        <f>COUNTIFS(RawData[Item], B8284,RawData[Quantity],C8284,RawData[Price Per Unit],D8284,RawData[Total Spent],E8284,RawData[Payment Method],F8284,RawData[Location],G8284,RawData[Transaction Date],H8284)</f>
        <v>1</v>
      </c>
      <c r="L8284"/>
    </row>
    <row r="8285" spans="1:12" x14ac:dyDescent="0.3">
      <c r="A8285" t="s">
        <v>8291</v>
      </c>
      <c r="B8285" t="s">
        <v>10014</v>
      </c>
      <c r="C8285">
        <v>3</v>
      </c>
      <c r="D8285">
        <v>4</v>
      </c>
      <c r="E8285">
        <v>12</v>
      </c>
      <c r="F8285" t="s">
        <v>10020</v>
      </c>
      <c r="G8285" t="s">
        <v>10021</v>
      </c>
      <c r="H8285" s="6">
        <v>45044</v>
      </c>
      <c r="I8285">
        <f t="shared" si="258"/>
        <v>0</v>
      </c>
      <c r="J8285" t="str">
        <f t="shared" si="259"/>
        <v>Complete</v>
      </c>
      <c r="K8285">
        <f>COUNTIFS(RawData[Item], B8285,RawData[Quantity],C8285,RawData[Price Per Unit],D8285,RawData[Total Spent],E8285,RawData[Payment Method],F8285,RawData[Location],G8285,RawData[Transaction Date],H8285)</f>
        <v>1</v>
      </c>
      <c r="L8285"/>
    </row>
    <row r="8286" spans="1:12" x14ac:dyDescent="0.3">
      <c r="A8286" t="s">
        <v>8292</v>
      </c>
      <c r="B8286" t="s">
        <v>10011</v>
      </c>
      <c r="C8286">
        <v>1</v>
      </c>
      <c r="D8286">
        <v>5</v>
      </c>
      <c r="E8286">
        <v>5</v>
      </c>
      <c r="F8286" t="s">
        <v>10020</v>
      </c>
      <c r="G8286" t="s">
        <v>10069</v>
      </c>
      <c r="H8286" s="6">
        <v>44963</v>
      </c>
      <c r="I8286">
        <f t="shared" si="258"/>
        <v>0</v>
      </c>
      <c r="J8286" t="str">
        <f t="shared" si="259"/>
        <v>Complete</v>
      </c>
      <c r="K8286">
        <f>COUNTIFS(RawData[Item], B8286,RawData[Quantity],C8286,RawData[Price Per Unit],D8286,RawData[Total Spent],E8286,RawData[Payment Method],F8286,RawData[Location],G8286,RawData[Transaction Date],H8286)</f>
        <v>1</v>
      </c>
      <c r="L8286"/>
    </row>
    <row r="8287" spans="1:12" x14ac:dyDescent="0.3">
      <c r="A8287" t="s">
        <v>8293</v>
      </c>
      <c r="B8287" t="s">
        <v>10010</v>
      </c>
      <c r="C8287">
        <v>5</v>
      </c>
      <c r="D8287">
        <v>1</v>
      </c>
      <c r="E8287">
        <v>5</v>
      </c>
      <c r="F8287" t="s">
        <v>10020</v>
      </c>
      <c r="G8287" t="s">
        <v>10021</v>
      </c>
      <c r="H8287" s="6">
        <v>45101</v>
      </c>
      <c r="I8287">
        <f t="shared" si="258"/>
        <v>0</v>
      </c>
      <c r="J8287" t="str">
        <f t="shared" si="259"/>
        <v>Complete</v>
      </c>
      <c r="K8287">
        <f>COUNTIFS(RawData[Item], B8287,RawData[Quantity],C8287,RawData[Price Per Unit],D8287,RawData[Total Spent],E8287,RawData[Payment Method],F8287,RawData[Location],G8287,RawData[Transaction Date],H8287)</f>
        <v>1</v>
      </c>
      <c r="L8287"/>
    </row>
    <row r="8288" spans="1:12" x14ac:dyDescent="0.3">
      <c r="A8288" t="s">
        <v>8294</v>
      </c>
      <c r="B8288" t="s">
        <v>10011</v>
      </c>
      <c r="C8288">
        <v>1</v>
      </c>
      <c r="D8288">
        <v>5</v>
      </c>
      <c r="E8288" t="s">
        <v>10015</v>
      </c>
      <c r="F8288" t="s">
        <v>10104</v>
      </c>
      <c r="G8288" t="s">
        <v>10021</v>
      </c>
      <c r="H8288" s="6">
        <v>45200</v>
      </c>
      <c r="I8288">
        <f t="shared" si="258"/>
        <v>2</v>
      </c>
      <c r="J8288" t="str">
        <f t="shared" si="259"/>
        <v>Complete</v>
      </c>
      <c r="K8288">
        <f>COUNTIFS(RawData[Item], B8288,RawData[Quantity],C8288,RawData[Price Per Unit],D8288,RawData[Total Spent],E8288,RawData[Payment Method],F8288,RawData[Location],G8288,RawData[Transaction Date],H8288)</f>
        <v>1</v>
      </c>
      <c r="L8288"/>
    </row>
    <row r="8289" spans="1:12" x14ac:dyDescent="0.3">
      <c r="A8289" t="s">
        <v>8295</v>
      </c>
      <c r="B8289" t="s">
        <v>10009</v>
      </c>
      <c r="C8289">
        <v>2</v>
      </c>
      <c r="D8289">
        <v>3</v>
      </c>
      <c r="E8289">
        <v>6</v>
      </c>
      <c r="F8289" t="s">
        <v>10018</v>
      </c>
      <c r="G8289" t="s">
        <v>10069</v>
      </c>
      <c r="H8289" s="6">
        <v>44987</v>
      </c>
      <c r="I8289">
        <f t="shared" si="258"/>
        <v>0</v>
      </c>
      <c r="J8289" t="str">
        <f t="shared" si="259"/>
        <v>Complete</v>
      </c>
      <c r="K8289">
        <f>COUNTIFS(RawData[Item], B8289,RawData[Quantity],C8289,RawData[Price Per Unit],D8289,RawData[Total Spent],E8289,RawData[Payment Method],F8289,RawData[Location],G8289,RawData[Transaction Date],H8289)</f>
        <v>1</v>
      </c>
      <c r="L8289"/>
    </row>
    <row r="8290" spans="1:12" x14ac:dyDescent="0.3">
      <c r="A8290" t="s">
        <v>8296</v>
      </c>
      <c r="B8290" t="s">
        <v>10016</v>
      </c>
      <c r="C8290">
        <v>2</v>
      </c>
      <c r="D8290">
        <v>3</v>
      </c>
      <c r="E8290">
        <v>6</v>
      </c>
      <c r="F8290" t="s">
        <v>10019</v>
      </c>
      <c r="G8290" t="s">
        <v>10021</v>
      </c>
      <c r="H8290" s="6">
        <v>44942</v>
      </c>
      <c r="I8290">
        <f t="shared" si="258"/>
        <v>0</v>
      </c>
      <c r="J8290" t="str">
        <f t="shared" si="259"/>
        <v>Complete</v>
      </c>
      <c r="K8290">
        <f>COUNTIFS(RawData[Item], B8290,RawData[Quantity],C8290,RawData[Price Per Unit],D8290,RawData[Total Spent],E8290,RawData[Payment Method],F8290,RawData[Location],G8290,RawData[Transaction Date],H8290)</f>
        <v>1</v>
      </c>
      <c r="L8290"/>
    </row>
    <row r="8291" spans="1:12" x14ac:dyDescent="0.3">
      <c r="A8291" t="s">
        <v>8297</v>
      </c>
      <c r="B8291" t="s">
        <v>10008</v>
      </c>
      <c r="C8291">
        <v>4</v>
      </c>
      <c r="D8291">
        <v>2</v>
      </c>
      <c r="E8291" t="s">
        <v>10013</v>
      </c>
      <c r="F8291" t="s">
        <v>10018</v>
      </c>
      <c r="G8291" t="s">
        <v>10102</v>
      </c>
      <c r="H8291" s="6">
        <v>45177</v>
      </c>
      <c r="I8291">
        <f t="shared" si="258"/>
        <v>1</v>
      </c>
      <c r="J8291" t="str">
        <f t="shared" si="259"/>
        <v>Complete</v>
      </c>
      <c r="K8291">
        <f>COUNTIFS(RawData[Item], B8291,RawData[Quantity],C8291,RawData[Price Per Unit],D8291,RawData[Total Spent],E8291,RawData[Payment Method],F8291,RawData[Location],G8291,RawData[Transaction Date],H8291)</f>
        <v>1</v>
      </c>
      <c r="L8291"/>
    </row>
    <row r="8292" spans="1:12" x14ac:dyDescent="0.3">
      <c r="A8292" t="s">
        <v>8298</v>
      </c>
      <c r="B8292" t="s">
        <v>10009</v>
      </c>
      <c r="C8292">
        <v>1</v>
      </c>
      <c r="D8292">
        <v>3</v>
      </c>
      <c r="E8292">
        <v>3</v>
      </c>
      <c r="F8292" t="s">
        <v>10018</v>
      </c>
      <c r="G8292" t="s">
        <v>10102</v>
      </c>
      <c r="H8292" s="6">
        <v>44959</v>
      </c>
      <c r="I8292">
        <f t="shared" si="258"/>
        <v>0</v>
      </c>
      <c r="J8292" t="str">
        <f t="shared" si="259"/>
        <v>Complete</v>
      </c>
      <c r="K8292">
        <f>COUNTIFS(RawData[Item], B8292,RawData[Quantity],C8292,RawData[Price Per Unit],D8292,RawData[Total Spent],E8292,RawData[Payment Method],F8292,RawData[Location],G8292,RawData[Transaction Date],H8292)</f>
        <v>1</v>
      </c>
      <c r="L8292"/>
    </row>
    <row r="8293" spans="1:12" x14ac:dyDescent="0.3">
      <c r="A8293" t="s">
        <v>8299</v>
      </c>
      <c r="B8293" t="s">
        <v>10010</v>
      </c>
      <c r="C8293">
        <v>1</v>
      </c>
      <c r="D8293">
        <v>1</v>
      </c>
      <c r="E8293">
        <v>1</v>
      </c>
      <c r="F8293" t="s">
        <v>10020</v>
      </c>
      <c r="G8293" t="s">
        <v>10102</v>
      </c>
      <c r="H8293" s="6" t="s">
        <v>10112</v>
      </c>
      <c r="I8293">
        <f t="shared" si="258"/>
        <v>1</v>
      </c>
      <c r="J8293" t="str">
        <f t="shared" si="259"/>
        <v>Incomplete</v>
      </c>
      <c r="K8293">
        <f>COUNTIFS(RawData[Item], B8293,RawData[Quantity],C8293,RawData[Price Per Unit],D8293,RawData[Total Spent],E8293,RawData[Payment Method],F8293,RawData[Location],G8293,RawData[Transaction Date],H8293)</f>
        <v>1</v>
      </c>
      <c r="L8293"/>
    </row>
    <row r="8294" spans="1:12" x14ac:dyDescent="0.3">
      <c r="A8294" t="s">
        <v>8300</v>
      </c>
      <c r="B8294" t="s">
        <v>10009</v>
      </c>
      <c r="C8294">
        <v>1</v>
      </c>
      <c r="D8294">
        <v>3</v>
      </c>
      <c r="E8294">
        <v>3</v>
      </c>
      <c r="F8294" t="s">
        <v>10018</v>
      </c>
      <c r="G8294" t="s">
        <v>10102</v>
      </c>
      <c r="H8294" s="6">
        <v>45192</v>
      </c>
      <c r="I8294">
        <f t="shared" si="258"/>
        <v>0</v>
      </c>
      <c r="J8294" t="str">
        <f t="shared" si="259"/>
        <v>Complete</v>
      </c>
      <c r="K8294">
        <f>COUNTIFS(RawData[Item], B8294,RawData[Quantity],C8294,RawData[Price Per Unit],D8294,RawData[Total Spent],E8294,RawData[Payment Method],F8294,RawData[Location],G8294,RawData[Transaction Date],H8294)</f>
        <v>1</v>
      </c>
      <c r="L8294"/>
    </row>
    <row r="8295" spans="1:12" x14ac:dyDescent="0.3">
      <c r="A8295" t="s">
        <v>8301</v>
      </c>
      <c r="B8295" t="s">
        <v>10011</v>
      </c>
      <c r="C8295">
        <v>1</v>
      </c>
      <c r="D8295">
        <v>5</v>
      </c>
      <c r="E8295">
        <v>5</v>
      </c>
      <c r="F8295" t="s">
        <v>10069</v>
      </c>
      <c r="G8295" t="s">
        <v>10102</v>
      </c>
      <c r="H8295" s="6">
        <v>45133</v>
      </c>
      <c r="I8295">
        <f t="shared" si="258"/>
        <v>0</v>
      </c>
      <c r="J8295" t="str">
        <f t="shared" si="259"/>
        <v>Complete</v>
      </c>
      <c r="K8295">
        <f>COUNTIFS(RawData[Item], B8295,RawData[Quantity],C8295,RawData[Price Per Unit],D8295,RawData[Total Spent],E8295,RawData[Payment Method],F8295,RawData[Location],G8295,RawData[Transaction Date],H8295)</f>
        <v>2</v>
      </c>
      <c r="L8295"/>
    </row>
    <row r="8296" spans="1:12" x14ac:dyDescent="0.3">
      <c r="A8296" t="s">
        <v>8302</v>
      </c>
      <c r="B8296" t="s">
        <v>10016</v>
      </c>
      <c r="C8296">
        <v>4</v>
      </c>
      <c r="D8296">
        <v>3</v>
      </c>
      <c r="E8296">
        <v>12</v>
      </c>
      <c r="F8296" t="s">
        <v>10069</v>
      </c>
      <c r="G8296" t="s">
        <v>10102</v>
      </c>
      <c r="H8296" s="6">
        <v>45176</v>
      </c>
      <c r="I8296">
        <f t="shared" si="258"/>
        <v>0</v>
      </c>
      <c r="J8296" t="str">
        <f t="shared" si="259"/>
        <v>Complete</v>
      </c>
      <c r="K8296">
        <f>COUNTIFS(RawData[Item], B8296,RawData[Quantity],C8296,RawData[Price Per Unit],D8296,RawData[Total Spent],E8296,RawData[Payment Method],F8296,RawData[Location],G8296,RawData[Transaction Date],H8296)</f>
        <v>1</v>
      </c>
      <c r="L8296"/>
    </row>
    <row r="8297" spans="1:12" x14ac:dyDescent="0.3">
      <c r="A8297" t="s">
        <v>8303</v>
      </c>
      <c r="B8297" t="s">
        <v>10010</v>
      </c>
      <c r="C8297">
        <v>5</v>
      </c>
      <c r="D8297">
        <v>0</v>
      </c>
      <c r="E8297">
        <v>5</v>
      </c>
      <c r="F8297" t="s">
        <v>10020</v>
      </c>
      <c r="G8297" t="s">
        <v>10069</v>
      </c>
      <c r="H8297" s="6">
        <v>45066</v>
      </c>
      <c r="I8297">
        <f t="shared" si="258"/>
        <v>0</v>
      </c>
      <c r="J8297" t="str">
        <f t="shared" si="259"/>
        <v>Complete</v>
      </c>
      <c r="K8297">
        <f>COUNTIFS(RawData[Item], B8297,RawData[Quantity],C8297,RawData[Price Per Unit],D8297,RawData[Total Spent],E8297,RawData[Payment Method],F8297,RawData[Location],G8297,RawData[Transaction Date],H8297)</f>
        <v>1</v>
      </c>
      <c r="L8297"/>
    </row>
    <row r="8298" spans="1:12" x14ac:dyDescent="0.3">
      <c r="A8298" t="s">
        <v>8304</v>
      </c>
      <c r="B8298" t="s">
        <v>10014</v>
      </c>
      <c r="C8298">
        <v>5</v>
      </c>
      <c r="D8298">
        <v>4</v>
      </c>
      <c r="E8298">
        <v>20</v>
      </c>
      <c r="F8298" t="s">
        <v>10020</v>
      </c>
      <c r="G8298" t="s">
        <v>10021</v>
      </c>
      <c r="H8298" s="6">
        <v>45083</v>
      </c>
      <c r="I8298">
        <f t="shared" si="258"/>
        <v>0</v>
      </c>
      <c r="J8298" t="str">
        <f t="shared" si="259"/>
        <v>Complete</v>
      </c>
      <c r="K8298">
        <f>COUNTIFS(RawData[Item], B8298,RawData[Quantity],C8298,RawData[Price Per Unit],D8298,RawData[Total Spent],E8298,RawData[Payment Method],F8298,RawData[Location],G8298,RawData[Transaction Date],H8298)</f>
        <v>1</v>
      </c>
      <c r="L8298"/>
    </row>
    <row r="8299" spans="1:12" x14ac:dyDescent="0.3">
      <c r="A8299" t="s">
        <v>8305</v>
      </c>
      <c r="B8299" t="s">
        <v>10009</v>
      </c>
      <c r="C8299">
        <v>3</v>
      </c>
      <c r="D8299">
        <v>3</v>
      </c>
      <c r="E8299">
        <v>9</v>
      </c>
      <c r="F8299" t="s">
        <v>10020</v>
      </c>
      <c r="G8299" t="s">
        <v>10069</v>
      </c>
      <c r="H8299" s="6">
        <v>44947</v>
      </c>
      <c r="I8299">
        <f t="shared" si="258"/>
        <v>0</v>
      </c>
      <c r="J8299" t="str">
        <f t="shared" si="259"/>
        <v>Complete</v>
      </c>
      <c r="K8299">
        <f>COUNTIFS(RawData[Item], B8299,RawData[Quantity],C8299,RawData[Price Per Unit],D8299,RawData[Total Spent],E8299,RawData[Payment Method],F8299,RawData[Location],G8299,RawData[Transaction Date],H8299)</f>
        <v>1</v>
      </c>
      <c r="L8299"/>
    </row>
    <row r="8300" spans="1:12" x14ac:dyDescent="0.3">
      <c r="A8300" t="s">
        <v>8306</v>
      </c>
      <c r="B8300" t="s">
        <v>10009</v>
      </c>
      <c r="C8300">
        <v>5</v>
      </c>
      <c r="D8300">
        <v>3</v>
      </c>
      <c r="E8300">
        <v>15</v>
      </c>
      <c r="F8300" t="s">
        <v>10018</v>
      </c>
      <c r="G8300" t="s">
        <v>10103</v>
      </c>
      <c r="H8300" s="6">
        <v>45175</v>
      </c>
      <c r="I8300">
        <f t="shared" si="258"/>
        <v>1</v>
      </c>
      <c r="J8300" t="str">
        <f t="shared" si="259"/>
        <v>Complete</v>
      </c>
      <c r="K8300">
        <f>COUNTIFS(RawData[Item], B8300,RawData[Quantity],C8300,RawData[Price Per Unit],D8300,RawData[Total Spent],E8300,RawData[Payment Method],F8300,RawData[Location],G8300,RawData[Transaction Date],H8300)</f>
        <v>1</v>
      </c>
      <c r="L8300"/>
    </row>
    <row r="8301" spans="1:12" x14ac:dyDescent="0.3">
      <c r="A8301" t="s">
        <v>8307</v>
      </c>
      <c r="B8301" t="s">
        <v>10014</v>
      </c>
      <c r="C8301">
        <v>4</v>
      </c>
      <c r="D8301">
        <v>4</v>
      </c>
      <c r="E8301">
        <v>16</v>
      </c>
      <c r="F8301" t="s">
        <v>10069</v>
      </c>
      <c r="G8301" t="s">
        <v>10069</v>
      </c>
      <c r="H8301" s="6">
        <v>45156</v>
      </c>
      <c r="I8301">
        <f t="shared" si="258"/>
        <v>0</v>
      </c>
      <c r="J8301" t="str">
        <f t="shared" si="259"/>
        <v>Complete</v>
      </c>
      <c r="K8301">
        <f>COUNTIFS(RawData[Item], B8301,RawData[Quantity],C8301,RawData[Price Per Unit],D8301,RawData[Total Spent],E8301,RawData[Payment Method],F8301,RawData[Location],G8301,RawData[Transaction Date],H8301)</f>
        <v>1</v>
      </c>
      <c r="L8301"/>
    </row>
    <row r="8302" spans="1:12" x14ac:dyDescent="0.3">
      <c r="A8302" t="s">
        <v>8308</v>
      </c>
      <c r="B8302" t="s">
        <v>10016</v>
      </c>
      <c r="C8302">
        <v>3</v>
      </c>
      <c r="D8302">
        <v>3</v>
      </c>
      <c r="E8302">
        <v>9</v>
      </c>
      <c r="F8302" t="s">
        <v>10019</v>
      </c>
      <c r="G8302" t="s">
        <v>10069</v>
      </c>
      <c r="H8302" s="6">
        <v>45019</v>
      </c>
      <c r="I8302">
        <f t="shared" si="258"/>
        <v>0</v>
      </c>
      <c r="J8302" t="str">
        <f t="shared" si="259"/>
        <v>Complete</v>
      </c>
      <c r="K8302">
        <f>COUNTIFS(RawData[Item], B8302,RawData[Quantity],C8302,RawData[Price Per Unit],D8302,RawData[Total Spent],E8302,RawData[Payment Method],F8302,RawData[Location],G8302,RawData[Transaction Date],H8302)</f>
        <v>1</v>
      </c>
      <c r="L8302"/>
    </row>
    <row r="8303" spans="1:12" x14ac:dyDescent="0.3">
      <c r="A8303" t="s">
        <v>8309</v>
      </c>
      <c r="B8303" t="s">
        <v>10017</v>
      </c>
      <c r="C8303">
        <v>2</v>
      </c>
      <c r="D8303" t="s">
        <v>10015</v>
      </c>
      <c r="E8303">
        <v>3</v>
      </c>
      <c r="F8303" t="s">
        <v>10069</v>
      </c>
      <c r="G8303" t="s">
        <v>10102</v>
      </c>
      <c r="H8303" s="6">
        <v>44976</v>
      </c>
      <c r="I8303">
        <f t="shared" si="258"/>
        <v>1</v>
      </c>
      <c r="J8303" t="str">
        <f t="shared" si="259"/>
        <v>Complete</v>
      </c>
      <c r="K8303">
        <f>COUNTIFS(RawData[Item], B8303,RawData[Quantity],C8303,RawData[Price Per Unit],D8303,RawData[Total Spent],E8303,RawData[Payment Method],F8303,RawData[Location],G8303,RawData[Transaction Date],H8303)</f>
        <v>1</v>
      </c>
      <c r="L8303"/>
    </row>
    <row r="8304" spans="1:12" x14ac:dyDescent="0.3">
      <c r="A8304" t="s">
        <v>8310</v>
      </c>
      <c r="B8304" t="s">
        <v>10012</v>
      </c>
      <c r="C8304" t="s">
        <v>10013</v>
      </c>
      <c r="D8304">
        <v>4</v>
      </c>
      <c r="E8304">
        <v>8</v>
      </c>
      <c r="F8304" t="s">
        <v>10018</v>
      </c>
      <c r="G8304" t="s">
        <v>10021</v>
      </c>
      <c r="H8304" s="6">
        <v>45008</v>
      </c>
      <c r="I8304">
        <f t="shared" si="258"/>
        <v>1</v>
      </c>
      <c r="J8304" t="str">
        <f t="shared" si="259"/>
        <v>Complete</v>
      </c>
      <c r="K8304">
        <f>COUNTIFS(RawData[Item], B8304,RawData[Quantity],C8304,RawData[Price Per Unit],D8304,RawData[Total Spent],E8304,RawData[Payment Method],F8304,RawData[Location],G8304,RawData[Transaction Date],H8304)</f>
        <v>1</v>
      </c>
      <c r="L8304"/>
    </row>
    <row r="8305" spans="1:12" x14ac:dyDescent="0.3">
      <c r="A8305" t="s">
        <v>8311</v>
      </c>
      <c r="B8305" t="s">
        <v>10012</v>
      </c>
      <c r="C8305">
        <v>3</v>
      </c>
      <c r="D8305">
        <v>4</v>
      </c>
      <c r="E8305">
        <v>12</v>
      </c>
      <c r="F8305" t="s">
        <v>10018</v>
      </c>
      <c r="G8305" t="s">
        <v>10102</v>
      </c>
      <c r="H8305" s="6">
        <v>44979</v>
      </c>
      <c r="I8305">
        <f t="shared" si="258"/>
        <v>0</v>
      </c>
      <c r="J8305" t="str">
        <f t="shared" si="259"/>
        <v>Complete</v>
      </c>
      <c r="K8305">
        <f>COUNTIFS(RawData[Item], B8305,RawData[Quantity],C8305,RawData[Price Per Unit],D8305,RawData[Total Spent],E8305,RawData[Payment Method],F8305,RawData[Location],G8305,RawData[Transaction Date],H8305)</f>
        <v>1</v>
      </c>
      <c r="L8305"/>
    </row>
    <row r="8306" spans="1:12" x14ac:dyDescent="0.3">
      <c r="A8306" t="s">
        <v>8312</v>
      </c>
      <c r="B8306" t="s">
        <v>10008</v>
      </c>
      <c r="C8306">
        <v>1</v>
      </c>
      <c r="D8306">
        <v>2</v>
      </c>
      <c r="E8306">
        <v>2</v>
      </c>
      <c r="F8306" t="s">
        <v>10069</v>
      </c>
      <c r="G8306" t="s">
        <v>10102</v>
      </c>
      <c r="H8306" s="6">
        <v>45172</v>
      </c>
      <c r="I8306">
        <f t="shared" si="258"/>
        <v>0</v>
      </c>
      <c r="J8306" t="str">
        <f t="shared" si="259"/>
        <v>Complete</v>
      </c>
      <c r="K8306">
        <f>COUNTIFS(RawData[Item], B8306,RawData[Quantity],C8306,RawData[Price Per Unit],D8306,RawData[Total Spent],E8306,RawData[Payment Method],F8306,RawData[Location],G8306,RawData[Transaction Date],H8306)</f>
        <v>1</v>
      </c>
      <c r="L8306"/>
    </row>
    <row r="8307" spans="1:12" x14ac:dyDescent="0.3">
      <c r="A8307" t="s">
        <v>8313</v>
      </c>
      <c r="B8307" t="s">
        <v>10012</v>
      </c>
      <c r="C8307">
        <v>4</v>
      </c>
      <c r="D8307">
        <v>4</v>
      </c>
      <c r="E8307">
        <v>16</v>
      </c>
      <c r="F8307" t="s">
        <v>10069</v>
      </c>
      <c r="G8307" t="s">
        <v>10069</v>
      </c>
      <c r="H8307" s="6">
        <v>45059</v>
      </c>
      <c r="I8307">
        <f t="shared" si="258"/>
        <v>0</v>
      </c>
      <c r="J8307" t="str">
        <f t="shared" si="259"/>
        <v>Complete</v>
      </c>
      <c r="K8307">
        <f>COUNTIFS(RawData[Item], B8307,RawData[Quantity],C8307,RawData[Price Per Unit],D8307,RawData[Total Spent],E8307,RawData[Payment Method],F8307,RawData[Location],G8307,RawData[Transaction Date],H8307)</f>
        <v>1</v>
      </c>
      <c r="L8307"/>
    </row>
    <row r="8308" spans="1:12" x14ac:dyDescent="0.3">
      <c r="A8308" t="s">
        <v>8314</v>
      </c>
      <c r="B8308" t="s">
        <v>10017</v>
      </c>
      <c r="C8308">
        <v>4</v>
      </c>
      <c r="D8308">
        <v>1.5</v>
      </c>
      <c r="E8308">
        <v>6</v>
      </c>
      <c r="F8308" t="s">
        <v>10019</v>
      </c>
      <c r="G8308" t="s">
        <v>10021</v>
      </c>
      <c r="H8308" s="6">
        <v>44932</v>
      </c>
      <c r="I8308">
        <f t="shared" si="258"/>
        <v>0</v>
      </c>
      <c r="J8308" t="str">
        <f t="shared" si="259"/>
        <v>Complete</v>
      </c>
      <c r="K8308">
        <f>COUNTIFS(RawData[Item], B8308,RawData[Quantity],C8308,RawData[Price Per Unit],D8308,RawData[Total Spent],E8308,RawData[Payment Method],F8308,RawData[Location],G8308,RawData[Transaction Date],H8308)</f>
        <v>1</v>
      </c>
      <c r="L8308"/>
    </row>
    <row r="8309" spans="1:12" x14ac:dyDescent="0.3">
      <c r="A8309" t="s">
        <v>8315</v>
      </c>
      <c r="B8309" t="s">
        <v>10017</v>
      </c>
      <c r="C8309">
        <v>5</v>
      </c>
      <c r="D8309">
        <v>1.5</v>
      </c>
      <c r="E8309">
        <v>7.5</v>
      </c>
      <c r="F8309" t="s">
        <v>10019</v>
      </c>
      <c r="G8309" t="s">
        <v>10021</v>
      </c>
      <c r="H8309" s="6">
        <v>44955</v>
      </c>
      <c r="I8309">
        <f t="shared" si="258"/>
        <v>0</v>
      </c>
      <c r="J8309" t="str">
        <f t="shared" si="259"/>
        <v>Complete</v>
      </c>
      <c r="K8309">
        <f>COUNTIFS(RawData[Item], B8309,RawData[Quantity],C8309,RawData[Price Per Unit],D8309,RawData[Total Spent],E8309,RawData[Payment Method],F8309,RawData[Location],G8309,RawData[Transaction Date],H8309)</f>
        <v>1</v>
      </c>
      <c r="L8309"/>
    </row>
    <row r="8310" spans="1:12" x14ac:dyDescent="0.3">
      <c r="A8310" t="s">
        <v>8316</v>
      </c>
      <c r="B8310" t="s">
        <v>10017</v>
      </c>
      <c r="C8310">
        <v>3</v>
      </c>
      <c r="D8310">
        <v>1.5</v>
      </c>
      <c r="E8310">
        <v>4.5</v>
      </c>
      <c r="F8310" t="s">
        <v>10019</v>
      </c>
      <c r="G8310" t="s">
        <v>10069</v>
      </c>
      <c r="H8310" s="6">
        <v>44932</v>
      </c>
      <c r="I8310">
        <f t="shared" si="258"/>
        <v>0</v>
      </c>
      <c r="J8310" t="str">
        <f t="shared" si="259"/>
        <v>Complete</v>
      </c>
      <c r="K8310">
        <f>COUNTIFS(RawData[Item], B8310,RawData[Quantity],C8310,RawData[Price Per Unit],D8310,RawData[Total Spent],E8310,RawData[Payment Method],F8310,RawData[Location],G8310,RawData[Transaction Date],H8310)</f>
        <v>1</v>
      </c>
      <c r="L8310"/>
    </row>
    <row r="8311" spans="1:12" x14ac:dyDescent="0.3">
      <c r="A8311" t="s">
        <v>8317</v>
      </c>
      <c r="B8311" t="s">
        <v>10008</v>
      </c>
      <c r="C8311">
        <v>3</v>
      </c>
      <c r="D8311">
        <v>2</v>
      </c>
      <c r="E8311">
        <v>6</v>
      </c>
      <c r="F8311" t="s">
        <v>10069</v>
      </c>
      <c r="G8311" t="s">
        <v>10102</v>
      </c>
      <c r="H8311" s="6">
        <v>45010</v>
      </c>
      <c r="I8311">
        <f t="shared" si="258"/>
        <v>0</v>
      </c>
      <c r="J8311" t="str">
        <f t="shared" si="259"/>
        <v>Complete</v>
      </c>
      <c r="K8311">
        <f>COUNTIFS(RawData[Item], B8311,RawData[Quantity],C8311,RawData[Price Per Unit],D8311,RawData[Total Spent],E8311,RawData[Payment Method],F8311,RawData[Location],G8311,RawData[Transaction Date],H8311)</f>
        <v>1</v>
      </c>
      <c r="L8311"/>
    </row>
    <row r="8312" spans="1:12" x14ac:dyDescent="0.3">
      <c r="A8312" t="s">
        <v>8318</v>
      </c>
      <c r="B8312" t="s">
        <v>10011</v>
      </c>
      <c r="C8312">
        <v>1</v>
      </c>
      <c r="D8312" t="s">
        <v>10013</v>
      </c>
      <c r="E8312">
        <v>5</v>
      </c>
      <c r="F8312" t="s">
        <v>10019</v>
      </c>
      <c r="G8312" t="s">
        <v>10021</v>
      </c>
      <c r="H8312" s="6">
        <v>45002</v>
      </c>
      <c r="I8312">
        <f t="shared" si="258"/>
        <v>1</v>
      </c>
      <c r="J8312" t="str">
        <f t="shared" si="259"/>
        <v>Complete</v>
      </c>
      <c r="K8312">
        <f>COUNTIFS(RawData[Item], B8312,RawData[Quantity],C8312,RawData[Price Per Unit],D8312,RawData[Total Spent],E8312,RawData[Payment Method],F8312,RawData[Location],G8312,RawData[Transaction Date],H8312)</f>
        <v>1</v>
      </c>
      <c r="L8312"/>
    </row>
    <row r="8313" spans="1:12" x14ac:dyDescent="0.3">
      <c r="A8313" t="s">
        <v>8319</v>
      </c>
      <c r="B8313" t="s">
        <v>10017</v>
      </c>
      <c r="C8313">
        <v>4</v>
      </c>
      <c r="D8313">
        <v>1.5</v>
      </c>
      <c r="E8313">
        <v>6</v>
      </c>
      <c r="F8313" t="s">
        <v>10018</v>
      </c>
      <c r="G8313" t="s">
        <v>10021</v>
      </c>
      <c r="H8313" s="6">
        <v>44941</v>
      </c>
      <c r="I8313">
        <f t="shared" si="258"/>
        <v>0</v>
      </c>
      <c r="J8313" t="str">
        <f t="shared" si="259"/>
        <v>Complete</v>
      </c>
      <c r="K8313">
        <f>COUNTIFS(RawData[Item], B8313,RawData[Quantity],C8313,RawData[Price Per Unit],D8313,RawData[Total Spent],E8313,RawData[Payment Method],F8313,RawData[Location],G8313,RawData[Transaction Date],H8313)</f>
        <v>1</v>
      </c>
      <c r="L8313"/>
    </row>
    <row r="8314" spans="1:12" x14ac:dyDescent="0.3">
      <c r="A8314" t="s">
        <v>8320</v>
      </c>
      <c r="B8314" t="s">
        <v>10014</v>
      </c>
      <c r="C8314">
        <v>4</v>
      </c>
      <c r="D8314">
        <v>4</v>
      </c>
      <c r="E8314">
        <v>16</v>
      </c>
      <c r="F8314" t="s">
        <v>10018</v>
      </c>
      <c r="G8314" t="s">
        <v>10021</v>
      </c>
      <c r="H8314" s="6">
        <v>45036</v>
      </c>
      <c r="I8314">
        <f t="shared" si="258"/>
        <v>0</v>
      </c>
      <c r="J8314" t="str">
        <f t="shared" si="259"/>
        <v>Complete</v>
      </c>
      <c r="K8314">
        <f>COUNTIFS(RawData[Item], B8314,RawData[Quantity],C8314,RawData[Price Per Unit],D8314,RawData[Total Spent],E8314,RawData[Payment Method],F8314,RawData[Location],G8314,RawData[Transaction Date],H8314)</f>
        <v>1</v>
      </c>
      <c r="L8314"/>
    </row>
    <row r="8315" spans="1:12" x14ac:dyDescent="0.3">
      <c r="A8315" t="s">
        <v>8321</v>
      </c>
      <c r="B8315" t="s">
        <v>10014</v>
      </c>
      <c r="C8315">
        <v>5</v>
      </c>
      <c r="D8315">
        <v>4</v>
      </c>
      <c r="E8315">
        <v>20</v>
      </c>
      <c r="F8315" t="s">
        <v>10069</v>
      </c>
      <c r="G8315" t="s">
        <v>10069</v>
      </c>
      <c r="H8315" s="6" t="s">
        <v>10112</v>
      </c>
      <c r="I8315">
        <f t="shared" si="258"/>
        <v>1</v>
      </c>
      <c r="J8315" t="str">
        <f t="shared" si="259"/>
        <v>Incomplete</v>
      </c>
      <c r="K8315">
        <f>COUNTIFS(RawData[Item], B8315,RawData[Quantity],C8315,RawData[Price Per Unit],D8315,RawData[Total Spent],E8315,RawData[Payment Method],F8315,RawData[Location],G8315,RawData[Transaction Date],H8315)</f>
        <v>2</v>
      </c>
      <c r="L8315"/>
    </row>
    <row r="8316" spans="1:12" x14ac:dyDescent="0.3">
      <c r="A8316" t="s">
        <v>8322</v>
      </c>
      <c r="B8316" t="s">
        <v>10016</v>
      </c>
      <c r="C8316">
        <v>3</v>
      </c>
      <c r="D8316">
        <v>3</v>
      </c>
      <c r="E8316">
        <v>9</v>
      </c>
      <c r="F8316" t="s">
        <v>10019</v>
      </c>
      <c r="G8316" t="s">
        <v>10021</v>
      </c>
      <c r="H8316" s="6">
        <v>45156</v>
      </c>
      <c r="I8316">
        <f t="shared" si="258"/>
        <v>0</v>
      </c>
      <c r="J8316" t="str">
        <f t="shared" si="259"/>
        <v>Complete</v>
      </c>
      <c r="K8316">
        <f>COUNTIFS(RawData[Item], B8316,RawData[Quantity],C8316,RawData[Price Per Unit],D8316,RawData[Total Spent],E8316,RawData[Payment Method],F8316,RawData[Location],G8316,RawData[Transaction Date],H8316)</f>
        <v>1</v>
      </c>
      <c r="L8316"/>
    </row>
    <row r="8317" spans="1:12" x14ac:dyDescent="0.3">
      <c r="A8317" t="s">
        <v>8323</v>
      </c>
      <c r="B8317" t="s">
        <v>10012</v>
      </c>
      <c r="C8317">
        <v>5</v>
      </c>
      <c r="D8317">
        <v>4</v>
      </c>
      <c r="E8317">
        <v>20</v>
      </c>
      <c r="F8317" t="s">
        <v>10019</v>
      </c>
      <c r="G8317" t="s">
        <v>10021</v>
      </c>
      <c r="H8317" s="6">
        <v>45123</v>
      </c>
      <c r="I8317">
        <f t="shared" si="258"/>
        <v>0</v>
      </c>
      <c r="J8317" t="str">
        <f t="shared" si="259"/>
        <v>Complete</v>
      </c>
      <c r="K8317">
        <f>COUNTIFS(RawData[Item], B8317,RawData[Quantity],C8317,RawData[Price Per Unit],D8317,RawData[Total Spent],E8317,RawData[Payment Method],F8317,RawData[Location],G8317,RawData[Transaction Date],H8317)</f>
        <v>1</v>
      </c>
      <c r="L8317"/>
    </row>
    <row r="8318" spans="1:12" x14ac:dyDescent="0.3">
      <c r="A8318" t="s">
        <v>8324</v>
      </c>
      <c r="B8318" t="s">
        <v>10014</v>
      </c>
      <c r="C8318">
        <v>3</v>
      </c>
      <c r="D8318">
        <v>4</v>
      </c>
      <c r="E8318">
        <v>12</v>
      </c>
      <c r="F8318" t="s">
        <v>10104</v>
      </c>
      <c r="G8318" t="s">
        <v>10069</v>
      </c>
      <c r="H8318" s="6" t="s">
        <v>10112</v>
      </c>
      <c r="I8318">
        <f t="shared" si="258"/>
        <v>2</v>
      </c>
      <c r="J8318" t="str">
        <f t="shared" si="259"/>
        <v>Incomplete</v>
      </c>
      <c r="K8318">
        <f>COUNTIFS(RawData[Item], B8318,RawData[Quantity],C8318,RawData[Price Per Unit],D8318,RawData[Total Spent],E8318,RawData[Payment Method],F8318,RawData[Location],G8318,RawData[Transaction Date],H8318)</f>
        <v>1</v>
      </c>
      <c r="L8318"/>
    </row>
    <row r="8319" spans="1:12" x14ac:dyDescent="0.3">
      <c r="A8319" t="s">
        <v>8325</v>
      </c>
      <c r="B8319" t="s">
        <v>10012</v>
      </c>
      <c r="C8319">
        <v>2</v>
      </c>
      <c r="D8319">
        <v>4</v>
      </c>
      <c r="E8319">
        <v>0</v>
      </c>
      <c r="F8319" t="s">
        <v>10103</v>
      </c>
      <c r="G8319" t="s">
        <v>10069</v>
      </c>
      <c r="H8319" s="6">
        <v>45025</v>
      </c>
      <c r="I8319">
        <f t="shared" si="258"/>
        <v>1</v>
      </c>
      <c r="J8319" t="str">
        <f t="shared" si="259"/>
        <v>Complete</v>
      </c>
      <c r="K8319">
        <f>COUNTIFS(RawData[Item], B8319,RawData[Quantity],C8319,RawData[Price Per Unit],D8319,RawData[Total Spent],E8319,RawData[Payment Method],F8319,RawData[Location],G8319,RawData[Transaction Date],H8319)</f>
        <v>1</v>
      </c>
      <c r="L8319"/>
    </row>
    <row r="8320" spans="1:12" x14ac:dyDescent="0.3">
      <c r="A8320" t="s">
        <v>8326</v>
      </c>
      <c r="B8320" t="s">
        <v>10011</v>
      </c>
      <c r="C8320">
        <v>4</v>
      </c>
      <c r="D8320">
        <v>5</v>
      </c>
      <c r="E8320">
        <v>20</v>
      </c>
      <c r="F8320" t="s">
        <v>10020</v>
      </c>
      <c r="G8320" t="s">
        <v>10102</v>
      </c>
      <c r="H8320" s="6">
        <v>45096</v>
      </c>
      <c r="I8320">
        <f t="shared" si="258"/>
        <v>0</v>
      </c>
      <c r="J8320" t="str">
        <f t="shared" si="259"/>
        <v>Complete</v>
      </c>
      <c r="K8320">
        <f>COUNTIFS(RawData[Item], B8320,RawData[Quantity],C8320,RawData[Price Per Unit],D8320,RawData[Total Spent],E8320,RawData[Payment Method],F8320,RawData[Location],G8320,RawData[Transaction Date],H8320)</f>
        <v>1</v>
      </c>
      <c r="L8320"/>
    </row>
    <row r="8321" spans="1:12" x14ac:dyDescent="0.3">
      <c r="A8321" t="s">
        <v>8327</v>
      </c>
      <c r="B8321" t="s">
        <v>10009</v>
      </c>
      <c r="C8321">
        <v>3</v>
      </c>
      <c r="D8321">
        <v>3</v>
      </c>
      <c r="E8321">
        <v>9</v>
      </c>
      <c r="F8321" t="s">
        <v>10020</v>
      </c>
      <c r="G8321" t="s">
        <v>10102</v>
      </c>
      <c r="H8321" s="6">
        <v>45258</v>
      </c>
      <c r="I8321">
        <f t="shared" si="258"/>
        <v>0</v>
      </c>
      <c r="J8321" t="str">
        <f t="shared" si="259"/>
        <v>Complete</v>
      </c>
      <c r="K8321">
        <f>COUNTIFS(RawData[Item], B8321,RawData[Quantity],C8321,RawData[Price Per Unit],D8321,RawData[Total Spent],E8321,RawData[Payment Method],F8321,RawData[Location],G8321,RawData[Transaction Date],H8321)</f>
        <v>1</v>
      </c>
      <c r="L8321"/>
    </row>
    <row r="8322" spans="1:12" x14ac:dyDescent="0.3">
      <c r="A8322" t="s">
        <v>8328</v>
      </c>
      <c r="B8322" t="s">
        <v>10014</v>
      </c>
      <c r="C8322">
        <v>3</v>
      </c>
      <c r="D8322">
        <v>4</v>
      </c>
      <c r="E8322">
        <v>12</v>
      </c>
      <c r="F8322" t="s">
        <v>10069</v>
      </c>
      <c r="G8322" t="s">
        <v>10069</v>
      </c>
      <c r="H8322" s="6">
        <v>45085</v>
      </c>
      <c r="I8322">
        <f t="shared" ref="I8322:I8385" si="260">(B8322="Unknown")+(B8322="Error")+(C8322="Unknown")+(C8322="Error")+(D8322="Unknown")+(D8322="Error")+(E8322="Unknown")+(E8322="Error")+(F8322="Unknown")+(F8322="Error")+(G8322="Unknown")+(G8322="Error")+(H8322="No Date")</f>
        <v>0</v>
      </c>
      <c r="J8322" t="str">
        <f t="shared" ref="J8322:J8385" si="261">IF((H8322="No Date"),"Incomplete","Complete")</f>
        <v>Complete</v>
      </c>
      <c r="K8322">
        <f>COUNTIFS(RawData[Item], B8322,RawData[Quantity],C8322,RawData[Price Per Unit],D8322,RawData[Total Spent],E8322,RawData[Payment Method],F8322,RawData[Location],G8322,RawData[Transaction Date],H8322)</f>
        <v>1</v>
      </c>
      <c r="L8322"/>
    </row>
    <row r="8323" spans="1:12" x14ac:dyDescent="0.3">
      <c r="A8323" t="s">
        <v>8329</v>
      </c>
      <c r="B8323" t="s">
        <v>10013</v>
      </c>
      <c r="C8323">
        <v>3</v>
      </c>
      <c r="D8323">
        <v>1.5</v>
      </c>
      <c r="E8323">
        <v>4.5</v>
      </c>
      <c r="F8323" t="s">
        <v>10019</v>
      </c>
      <c r="G8323" t="s">
        <v>10069</v>
      </c>
      <c r="H8323" s="6">
        <v>45037</v>
      </c>
      <c r="I8323">
        <f t="shared" si="260"/>
        <v>1</v>
      </c>
      <c r="J8323" t="str">
        <f t="shared" si="261"/>
        <v>Complete</v>
      </c>
      <c r="K8323">
        <f>COUNTIFS(RawData[Item], B8323,RawData[Quantity],C8323,RawData[Price Per Unit],D8323,RawData[Total Spent],E8323,RawData[Payment Method],F8323,RawData[Location],G8323,RawData[Transaction Date],H8323)</f>
        <v>1</v>
      </c>
      <c r="L8323"/>
    </row>
    <row r="8324" spans="1:12" x14ac:dyDescent="0.3">
      <c r="A8324" t="s">
        <v>8330</v>
      </c>
      <c r="B8324" t="s">
        <v>10012</v>
      </c>
      <c r="C8324">
        <v>4</v>
      </c>
      <c r="D8324">
        <v>4</v>
      </c>
      <c r="E8324">
        <v>16</v>
      </c>
      <c r="F8324" t="s">
        <v>10020</v>
      </c>
      <c r="G8324" t="s">
        <v>10069</v>
      </c>
      <c r="H8324" s="6">
        <v>44999</v>
      </c>
      <c r="I8324">
        <f t="shared" si="260"/>
        <v>0</v>
      </c>
      <c r="J8324" t="str">
        <f t="shared" si="261"/>
        <v>Complete</v>
      </c>
      <c r="K8324">
        <f>COUNTIFS(RawData[Item], B8324,RawData[Quantity],C8324,RawData[Price Per Unit],D8324,RawData[Total Spent],E8324,RawData[Payment Method],F8324,RawData[Location],G8324,RawData[Transaction Date],H8324)</f>
        <v>1</v>
      </c>
      <c r="L8324"/>
    </row>
    <row r="8325" spans="1:12" x14ac:dyDescent="0.3">
      <c r="A8325" t="s">
        <v>8331</v>
      </c>
      <c r="B8325" t="s">
        <v>10010</v>
      </c>
      <c r="C8325">
        <v>2</v>
      </c>
      <c r="D8325">
        <v>1</v>
      </c>
      <c r="E8325">
        <v>2</v>
      </c>
      <c r="F8325" t="s">
        <v>10069</v>
      </c>
      <c r="G8325" t="s">
        <v>10102</v>
      </c>
      <c r="H8325" s="6">
        <v>44981</v>
      </c>
      <c r="I8325">
        <f t="shared" si="260"/>
        <v>0</v>
      </c>
      <c r="J8325" t="str">
        <f t="shared" si="261"/>
        <v>Complete</v>
      </c>
      <c r="K8325">
        <f>COUNTIFS(RawData[Item], B8325,RawData[Quantity],C8325,RawData[Price Per Unit],D8325,RawData[Total Spent],E8325,RawData[Payment Method],F8325,RawData[Location],G8325,RawData[Transaction Date],H8325)</f>
        <v>1</v>
      </c>
      <c r="L8325"/>
    </row>
    <row r="8326" spans="1:12" x14ac:dyDescent="0.3">
      <c r="A8326" t="s">
        <v>8332</v>
      </c>
      <c r="B8326" t="s">
        <v>10011</v>
      </c>
      <c r="C8326">
        <v>5</v>
      </c>
      <c r="D8326">
        <v>5</v>
      </c>
      <c r="E8326">
        <v>25</v>
      </c>
      <c r="F8326" t="s">
        <v>10018</v>
      </c>
      <c r="G8326" t="s">
        <v>10021</v>
      </c>
      <c r="H8326" s="6">
        <v>45279</v>
      </c>
      <c r="I8326">
        <f t="shared" si="260"/>
        <v>0</v>
      </c>
      <c r="J8326" t="str">
        <f t="shared" si="261"/>
        <v>Complete</v>
      </c>
      <c r="K8326">
        <f>COUNTIFS(RawData[Item], B8326,RawData[Quantity],C8326,RawData[Price Per Unit],D8326,RawData[Total Spent],E8326,RawData[Payment Method],F8326,RawData[Location],G8326,RawData[Transaction Date],H8326)</f>
        <v>1</v>
      </c>
      <c r="L8326"/>
    </row>
    <row r="8327" spans="1:12" x14ac:dyDescent="0.3">
      <c r="A8327" t="s">
        <v>8333</v>
      </c>
      <c r="B8327" t="s">
        <v>10012</v>
      </c>
      <c r="C8327">
        <v>4</v>
      </c>
      <c r="D8327">
        <v>4</v>
      </c>
      <c r="E8327">
        <v>16</v>
      </c>
      <c r="F8327" t="s">
        <v>10020</v>
      </c>
      <c r="G8327" t="s">
        <v>10069</v>
      </c>
      <c r="H8327" s="6">
        <v>45017</v>
      </c>
      <c r="I8327">
        <f t="shared" si="260"/>
        <v>0</v>
      </c>
      <c r="J8327" t="str">
        <f t="shared" si="261"/>
        <v>Complete</v>
      </c>
      <c r="K8327">
        <f>COUNTIFS(RawData[Item], B8327,RawData[Quantity],C8327,RawData[Price Per Unit],D8327,RawData[Total Spent],E8327,RawData[Payment Method],F8327,RawData[Location],G8327,RawData[Transaction Date],H8327)</f>
        <v>2</v>
      </c>
      <c r="L8327"/>
    </row>
    <row r="8328" spans="1:12" x14ac:dyDescent="0.3">
      <c r="A8328" t="s">
        <v>8334</v>
      </c>
      <c r="B8328" t="s">
        <v>10010</v>
      </c>
      <c r="C8328">
        <v>4</v>
      </c>
      <c r="D8328">
        <v>1</v>
      </c>
      <c r="E8328">
        <v>4</v>
      </c>
      <c r="F8328" t="s">
        <v>10020</v>
      </c>
      <c r="G8328" t="s">
        <v>10021</v>
      </c>
      <c r="H8328" s="6">
        <v>45178</v>
      </c>
      <c r="I8328">
        <f t="shared" si="260"/>
        <v>0</v>
      </c>
      <c r="J8328" t="str">
        <f t="shared" si="261"/>
        <v>Complete</v>
      </c>
      <c r="K8328">
        <f>COUNTIFS(RawData[Item], B8328,RawData[Quantity],C8328,RawData[Price Per Unit],D8328,RawData[Total Spent],E8328,RawData[Payment Method],F8328,RawData[Location],G8328,RawData[Transaction Date],H8328)</f>
        <v>1</v>
      </c>
      <c r="L8328"/>
    </row>
    <row r="8329" spans="1:12" x14ac:dyDescent="0.3">
      <c r="A8329" t="s">
        <v>8335</v>
      </c>
      <c r="B8329" t="s">
        <v>10014</v>
      </c>
      <c r="C8329">
        <v>3</v>
      </c>
      <c r="D8329">
        <v>4</v>
      </c>
      <c r="E8329">
        <v>12</v>
      </c>
      <c r="F8329" t="s">
        <v>10069</v>
      </c>
      <c r="G8329" t="s">
        <v>10069</v>
      </c>
      <c r="H8329" s="6">
        <v>44932</v>
      </c>
      <c r="I8329">
        <f t="shared" si="260"/>
        <v>0</v>
      </c>
      <c r="J8329" t="str">
        <f t="shared" si="261"/>
        <v>Complete</v>
      </c>
      <c r="K8329">
        <f>COUNTIFS(RawData[Item], B8329,RawData[Quantity],C8329,RawData[Price Per Unit],D8329,RawData[Total Spent],E8329,RawData[Payment Method],F8329,RawData[Location],G8329,RawData[Transaction Date],H8329)</f>
        <v>1</v>
      </c>
      <c r="L8329"/>
    </row>
    <row r="8330" spans="1:12" x14ac:dyDescent="0.3">
      <c r="A8330" t="s">
        <v>8336</v>
      </c>
      <c r="B8330" t="s">
        <v>10009</v>
      </c>
      <c r="C8330">
        <v>1</v>
      </c>
      <c r="D8330">
        <v>3</v>
      </c>
      <c r="E8330">
        <v>3</v>
      </c>
      <c r="F8330" t="s">
        <v>10020</v>
      </c>
      <c r="G8330" t="s">
        <v>10021</v>
      </c>
      <c r="H8330" s="6">
        <v>44998</v>
      </c>
      <c r="I8330">
        <f t="shared" si="260"/>
        <v>0</v>
      </c>
      <c r="J8330" t="str">
        <f t="shared" si="261"/>
        <v>Complete</v>
      </c>
      <c r="K8330">
        <f>COUNTIFS(RawData[Item], B8330,RawData[Quantity],C8330,RawData[Price Per Unit],D8330,RawData[Total Spent],E8330,RawData[Payment Method],F8330,RawData[Location],G8330,RawData[Transaction Date],H8330)</f>
        <v>1</v>
      </c>
      <c r="L8330"/>
    </row>
    <row r="8331" spans="1:12" x14ac:dyDescent="0.3">
      <c r="A8331" t="s">
        <v>8337</v>
      </c>
      <c r="B8331" t="s">
        <v>10017</v>
      </c>
      <c r="C8331">
        <v>5</v>
      </c>
      <c r="D8331">
        <v>1.5</v>
      </c>
      <c r="E8331">
        <v>7.5</v>
      </c>
      <c r="F8331" t="s">
        <v>10069</v>
      </c>
      <c r="G8331" t="s">
        <v>10021</v>
      </c>
      <c r="H8331" s="6">
        <v>45095</v>
      </c>
      <c r="I8331">
        <f t="shared" si="260"/>
        <v>0</v>
      </c>
      <c r="J8331" t="str">
        <f t="shared" si="261"/>
        <v>Complete</v>
      </c>
      <c r="K8331">
        <f>COUNTIFS(RawData[Item], B8331,RawData[Quantity],C8331,RawData[Price Per Unit],D8331,RawData[Total Spent],E8331,RawData[Payment Method],F8331,RawData[Location],G8331,RawData[Transaction Date],H8331)</f>
        <v>1</v>
      </c>
      <c r="L8331"/>
    </row>
    <row r="8332" spans="1:12" x14ac:dyDescent="0.3">
      <c r="A8332" t="s">
        <v>8338</v>
      </c>
      <c r="B8332" t="s">
        <v>10010</v>
      </c>
      <c r="C8332">
        <v>4</v>
      </c>
      <c r="D8332">
        <v>1</v>
      </c>
      <c r="E8332">
        <v>4</v>
      </c>
      <c r="F8332" t="s">
        <v>10020</v>
      </c>
      <c r="G8332" t="s">
        <v>10069</v>
      </c>
      <c r="H8332" s="6">
        <v>44989</v>
      </c>
      <c r="I8332">
        <f t="shared" si="260"/>
        <v>0</v>
      </c>
      <c r="J8332" t="str">
        <f t="shared" si="261"/>
        <v>Complete</v>
      </c>
      <c r="K8332">
        <f>COUNTIFS(RawData[Item], B8332,RawData[Quantity],C8332,RawData[Price Per Unit],D8332,RawData[Total Spent],E8332,RawData[Payment Method],F8332,RawData[Location],G8332,RawData[Transaction Date],H8332)</f>
        <v>1</v>
      </c>
      <c r="L8332"/>
    </row>
    <row r="8333" spans="1:12" x14ac:dyDescent="0.3">
      <c r="A8333" t="s">
        <v>8339</v>
      </c>
      <c r="B8333" t="s">
        <v>10010</v>
      </c>
      <c r="C8333">
        <v>3</v>
      </c>
      <c r="D8333" t="s">
        <v>10015</v>
      </c>
      <c r="E8333">
        <v>3</v>
      </c>
      <c r="F8333" t="s">
        <v>10019</v>
      </c>
      <c r="G8333" t="s">
        <v>10069</v>
      </c>
      <c r="H8333" s="6">
        <v>45052</v>
      </c>
      <c r="I8333">
        <f t="shared" si="260"/>
        <v>1</v>
      </c>
      <c r="J8333" t="str">
        <f t="shared" si="261"/>
        <v>Complete</v>
      </c>
      <c r="K8333">
        <f>COUNTIFS(RawData[Item], B8333,RawData[Quantity],C8333,RawData[Price Per Unit],D8333,RawData[Total Spent],E8333,RawData[Payment Method],F8333,RawData[Location],G8333,RawData[Transaction Date],H8333)</f>
        <v>1</v>
      </c>
      <c r="L8333"/>
    </row>
    <row r="8334" spans="1:12" x14ac:dyDescent="0.3">
      <c r="A8334" t="s">
        <v>8340</v>
      </c>
      <c r="B8334" t="s">
        <v>10011</v>
      </c>
      <c r="C8334">
        <v>4</v>
      </c>
      <c r="D8334">
        <v>5</v>
      </c>
      <c r="E8334">
        <v>20</v>
      </c>
      <c r="F8334" t="s">
        <v>10020</v>
      </c>
      <c r="G8334" t="s">
        <v>10021</v>
      </c>
      <c r="H8334" s="6">
        <v>45020</v>
      </c>
      <c r="I8334">
        <f t="shared" si="260"/>
        <v>0</v>
      </c>
      <c r="J8334" t="str">
        <f t="shared" si="261"/>
        <v>Complete</v>
      </c>
      <c r="K8334">
        <f>COUNTIFS(RawData[Item], B8334,RawData[Quantity],C8334,RawData[Price Per Unit],D8334,RawData[Total Spent],E8334,RawData[Payment Method],F8334,RawData[Location],G8334,RawData[Transaction Date],H8334)</f>
        <v>1</v>
      </c>
      <c r="L8334"/>
    </row>
    <row r="8335" spans="1:12" x14ac:dyDescent="0.3">
      <c r="A8335" t="s">
        <v>8341</v>
      </c>
      <c r="B8335" t="s">
        <v>10012</v>
      </c>
      <c r="C8335">
        <v>3</v>
      </c>
      <c r="D8335">
        <v>4</v>
      </c>
      <c r="E8335">
        <v>12</v>
      </c>
      <c r="F8335" t="s">
        <v>10018</v>
      </c>
      <c r="G8335" t="s">
        <v>10069</v>
      </c>
      <c r="H8335" s="6">
        <v>45131</v>
      </c>
      <c r="I8335">
        <f t="shared" si="260"/>
        <v>0</v>
      </c>
      <c r="J8335" t="str">
        <f t="shared" si="261"/>
        <v>Complete</v>
      </c>
      <c r="K8335">
        <f>COUNTIFS(RawData[Item], B8335,RawData[Quantity],C8335,RawData[Price Per Unit],D8335,RawData[Total Spent],E8335,RawData[Payment Method],F8335,RawData[Location],G8335,RawData[Transaction Date],H8335)</f>
        <v>1</v>
      </c>
      <c r="L8335"/>
    </row>
    <row r="8336" spans="1:12" x14ac:dyDescent="0.3">
      <c r="A8336" t="s">
        <v>8342</v>
      </c>
      <c r="B8336" t="s">
        <v>10016</v>
      </c>
      <c r="C8336">
        <v>4</v>
      </c>
      <c r="D8336">
        <v>3</v>
      </c>
      <c r="E8336">
        <v>0</v>
      </c>
      <c r="F8336" t="s">
        <v>10019</v>
      </c>
      <c r="G8336" t="s">
        <v>10103</v>
      </c>
      <c r="H8336" s="6">
        <v>44963</v>
      </c>
      <c r="I8336">
        <f t="shared" si="260"/>
        <v>1</v>
      </c>
      <c r="J8336" t="str">
        <f t="shared" si="261"/>
        <v>Complete</v>
      </c>
      <c r="K8336">
        <f>COUNTIFS(RawData[Item], B8336,RawData[Quantity],C8336,RawData[Price Per Unit],D8336,RawData[Total Spent],E8336,RawData[Payment Method],F8336,RawData[Location],G8336,RawData[Transaction Date],H8336)</f>
        <v>1</v>
      </c>
      <c r="L8336"/>
    </row>
    <row r="8337" spans="1:12" x14ac:dyDescent="0.3">
      <c r="A8337" t="s">
        <v>8343</v>
      </c>
      <c r="B8337" t="s">
        <v>10017</v>
      </c>
      <c r="C8337">
        <v>5</v>
      </c>
      <c r="D8337">
        <v>1.5</v>
      </c>
      <c r="E8337">
        <v>7.5</v>
      </c>
      <c r="F8337" t="s">
        <v>10019</v>
      </c>
      <c r="G8337" t="s">
        <v>10102</v>
      </c>
      <c r="H8337" s="6">
        <v>45121</v>
      </c>
      <c r="I8337">
        <f t="shared" si="260"/>
        <v>0</v>
      </c>
      <c r="J8337" t="str">
        <f t="shared" si="261"/>
        <v>Complete</v>
      </c>
      <c r="K8337">
        <f>COUNTIFS(RawData[Item], B8337,RawData[Quantity],C8337,RawData[Price Per Unit],D8337,RawData[Total Spent],E8337,RawData[Payment Method],F8337,RawData[Location],G8337,RawData[Transaction Date],H8337)</f>
        <v>1</v>
      </c>
      <c r="L8337"/>
    </row>
    <row r="8338" spans="1:12" x14ac:dyDescent="0.3">
      <c r="A8338" t="s">
        <v>8344</v>
      </c>
      <c r="B8338" t="s">
        <v>10010</v>
      </c>
      <c r="C8338">
        <v>1</v>
      </c>
      <c r="D8338">
        <v>1</v>
      </c>
      <c r="E8338">
        <v>1</v>
      </c>
      <c r="F8338" t="s">
        <v>10018</v>
      </c>
      <c r="G8338" t="s">
        <v>10103</v>
      </c>
      <c r="H8338" s="6">
        <v>45103</v>
      </c>
      <c r="I8338">
        <f t="shared" si="260"/>
        <v>1</v>
      </c>
      <c r="J8338" t="str">
        <f t="shared" si="261"/>
        <v>Complete</v>
      </c>
      <c r="K8338">
        <f>COUNTIFS(RawData[Item], B8338,RawData[Quantity],C8338,RawData[Price Per Unit],D8338,RawData[Total Spent],E8338,RawData[Payment Method],F8338,RawData[Location],G8338,RawData[Transaction Date],H8338)</f>
        <v>1</v>
      </c>
      <c r="L8338"/>
    </row>
    <row r="8339" spans="1:12" x14ac:dyDescent="0.3">
      <c r="A8339" t="s">
        <v>8345</v>
      </c>
      <c r="B8339" t="s">
        <v>10017</v>
      </c>
      <c r="C8339">
        <v>2</v>
      </c>
      <c r="D8339">
        <v>1.5</v>
      </c>
      <c r="E8339">
        <v>3</v>
      </c>
      <c r="F8339" t="s">
        <v>10020</v>
      </c>
      <c r="G8339" t="s">
        <v>10069</v>
      </c>
      <c r="H8339" s="6" t="s">
        <v>10112</v>
      </c>
      <c r="I8339">
        <f t="shared" si="260"/>
        <v>1</v>
      </c>
      <c r="J8339" t="str">
        <f t="shared" si="261"/>
        <v>Incomplete</v>
      </c>
      <c r="K8339">
        <f>COUNTIFS(RawData[Item], B8339,RawData[Quantity],C8339,RawData[Price Per Unit],D8339,RawData[Total Spent],E8339,RawData[Payment Method],F8339,RawData[Location],G8339,RawData[Transaction Date],H8339)</f>
        <v>2</v>
      </c>
      <c r="L8339"/>
    </row>
    <row r="8340" spans="1:12" x14ac:dyDescent="0.3">
      <c r="A8340" t="s">
        <v>8346</v>
      </c>
      <c r="B8340" t="s">
        <v>10014</v>
      </c>
      <c r="C8340">
        <v>3</v>
      </c>
      <c r="D8340" t="s">
        <v>10013</v>
      </c>
      <c r="E8340">
        <v>12</v>
      </c>
      <c r="F8340" t="s">
        <v>10069</v>
      </c>
      <c r="G8340" t="s">
        <v>10102</v>
      </c>
      <c r="H8340" s="6">
        <v>45107</v>
      </c>
      <c r="I8340">
        <f t="shared" si="260"/>
        <v>1</v>
      </c>
      <c r="J8340" t="str">
        <f t="shared" si="261"/>
        <v>Complete</v>
      </c>
      <c r="K8340">
        <f>COUNTIFS(RawData[Item], B8340,RawData[Quantity],C8340,RawData[Price Per Unit],D8340,RawData[Total Spent],E8340,RawData[Payment Method],F8340,RawData[Location],G8340,RawData[Transaction Date],H8340)</f>
        <v>1</v>
      </c>
      <c r="L8340"/>
    </row>
    <row r="8341" spans="1:12" x14ac:dyDescent="0.3">
      <c r="A8341" t="s">
        <v>8347</v>
      </c>
      <c r="B8341" t="s">
        <v>10009</v>
      </c>
      <c r="C8341">
        <v>1</v>
      </c>
      <c r="D8341">
        <v>3</v>
      </c>
      <c r="E8341" t="s">
        <v>10013</v>
      </c>
      <c r="F8341" t="s">
        <v>10018</v>
      </c>
      <c r="G8341" t="s">
        <v>10021</v>
      </c>
      <c r="H8341" s="6">
        <v>45020</v>
      </c>
      <c r="I8341">
        <f t="shared" si="260"/>
        <v>1</v>
      </c>
      <c r="J8341" t="str">
        <f t="shared" si="261"/>
        <v>Complete</v>
      </c>
      <c r="K8341">
        <f>COUNTIFS(RawData[Item], B8341,RawData[Quantity],C8341,RawData[Price Per Unit],D8341,RawData[Total Spent],E8341,RawData[Payment Method],F8341,RawData[Location],G8341,RawData[Transaction Date],H8341)</f>
        <v>1</v>
      </c>
      <c r="L8341"/>
    </row>
    <row r="8342" spans="1:12" x14ac:dyDescent="0.3">
      <c r="A8342" t="s">
        <v>8348</v>
      </c>
      <c r="B8342" t="s">
        <v>10012</v>
      </c>
      <c r="C8342">
        <v>1</v>
      </c>
      <c r="D8342">
        <v>4</v>
      </c>
      <c r="E8342">
        <v>4</v>
      </c>
      <c r="F8342" t="s">
        <v>10018</v>
      </c>
      <c r="G8342" t="s">
        <v>10069</v>
      </c>
      <c r="H8342" s="6">
        <v>45164</v>
      </c>
      <c r="I8342">
        <f t="shared" si="260"/>
        <v>0</v>
      </c>
      <c r="J8342" t="str">
        <f t="shared" si="261"/>
        <v>Complete</v>
      </c>
      <c r="K8342">
        <f>COUNTIFS(RawData[Item], B8342,RawData[Quantity],C8342,RawData[Price Per Unit],D8342,RawData[Total Spent],E8342,RawData[Payment Method],F8342,RawData[Location],G8342,RawData[Transaction Date],H8342)</f>
        <v>1</v>
      </c>
      <c r="L8342"/>
    </row>
    <row r="8343" spans="1:12" x14ac:dyDescent="0.3">
      <c r="A8343" t="s">
        <v>8349</v>
      </c>
      <c r="B8343" t="s">
        <v>10009</v>
      </c>
      <c r="C8343">
        <v>4</v>
      </c>
      <c r="D8343">
        <v>3</v>
      </c>
      <c r="E8343">
        <v>12</v>
      </c>
      <c r="F8343" t="s">
        <v>10018</v>
      </c>
      <c r="G8343" t="s">
        <v>10069</v>
      </c>
      <c r="H8343" s="6">
        <v>45218</v>
      </c>
      <c r="I8343">
        <f t="shared" si="260"/>
        <v>0</v>
      </c>
      <c r="J8343" t="str">
        <f t="shared" si="261"/>
        <v>Complete</v>
      </c>
      <c r="K8343">
        <f>COUNTIFS(RawData[Item], B8343,RawData[Quantity],C8343,RawData[Price Per Unit],D8343,RawData[Total Spent],E8343,RawData[Payment Method],F8343,RawData[Location],G8343,RawData[Transaction Date],H8343)</f>
        <v>1</v>
      </c>
      <c r="L8343"/>
    </row>
    <row r="8344" spans="1:12" x14ac:dyDescent="0.3">
      <c r="A8344" t="s">
        <v>8350</v>
      </c>
      <c r="B8344" t="s">
        <v>10014</v>
      </c>
      <c r="C8344">
        <v>3</v>
      </c>
      <c r="D8344">
        <v>4</v>
      </c>
      <c r="E8344">
        <v>12</v>
      </c>
      <c r="F8344" t="s">
        <v>10019</v>
      </c>
      <c r="G8344" t="s">
        <v>10021</v>
      </c>
      <c r="H8344" s="6">
        <v>45031</v>
      </c>
      <c r="I8344">
        <f t="shared" si="260"/>
        <v>0</v>
      </c>
      <c r="J8344" t="str">
        <f t="shared" si="261"/>
        <v>Complete</v>
      </c>
      <c r="K8344">
        <f>COUNTIFS(RawData[Item], B8344,RawData[Quantity],C8344,RawData[Price Per Unit],D8344,RawData[Total Spent],E8344,RawData[Payment Method],F8344,RawData[Location],G8344,RawData[Transaction Date],H8344)</f>
        <v>1</v>
      </c>
      <c r="L8344"/>
    </row>
    <row r="8345" spans="1:12" x14ac:dyDescent="0.3">
      <c r="A8345" t="s">
        <v>8351</v>
      </c>
      <c r="B8345" t="s">
        <v>10008</v>
      </c>
      <c r="C8345">
        <v>2</v>
      </c>
      <c r="D8345" t="s">
        <v>10013</v>
      </c>
      <c r="E8345">
        <v>4</v>
      </c>
      <c r="F8345" t="s">
        <v>10020</v>
      </c>
      <c r="G8345" t="s">
        <v>10021</v>
      </c>
      <c r="H8345" s="6">
        <v>44946</v>
      </c>
      <c r="I8345">
        <f t="shared" si="260"/>
        <v>1</v>
      </c>
      <c r="J8345" t="str">
        <f t="shared" si="261"/>
        <v>Complete</v>
      </c>
      <c r="K8345">
        <f>COUNTIFS(RawData[Item], B8345,RawData[Quantity],C8345,RawData[Price Per Unit],D8345,RawData[Total Spent],E8345,RawData[Payment Method],F8345,RawData[Location],G8345,RawData[Transaction Date],H8345)</f>
        <v>1</v>
      </c>
      <c r="L8345"/>
    </row>
    <row r="8346" spans="1:12" x14ac:dyDescent="0.3">
      <c r="A8346" t="s">
        <v>8352</v>
      </c>
      <c r="B8346" t="s">
        <v>10009</v>
      </c>
      <c r="C8346">
        <v>4</v>
      </c>
      <c r="D8346">
        <v>3</v>
      </c>
      <c r="E8346">
        <v>12</v>
      </c>
      <c r="F8346" t="s">
        <v>10019</v>
      </c>
      <c r="G8346" t="s">
        <v>10069</v>
      </c>
      <c r="H8346" s="6">
        <v>45159</v>
      </c>
      <c r="I8346">
        <f t="shared" si="260"/>
        <v>0</v>
      </c>
      <c r="J8346" t="str">
        <f t="shared" si="261"/>
        <v>Complete</v>
      </c>
      <c r="K8346">
        <f>COUNTIFS(RawData[Item], B8346,RawData[Quantity],C8346,RawData[Price Per Unit],D8346,RawData[Total Spent],E8346,RawData[Payment Method],F8346,RawData[Location],G8346,RawData[Transaction Date],H8346)</f>
        <v>1</v>
      </c>
      <c r="L8346"/>
    </row>
    <row r="8347" spans="1:12" x14ac:dyDescent="0.3">
      <c r="A8347" t="s">
        <v>8353</v>
      </c>
      <c r="B8347" t="s">
        <v>10017</v>
      </c>
      <c r="C8347">
        <v>2</v>
      </c>
      <c r="D8347">
        <v>1.5</v>
      </c>
      <c r="E8347">
        <v>3</v>
      </c>
      <c r="F8347" t="s">
        <v>10020</v>
      </c>
      <c r="G8347" t="s">
        <v>10069</v>
      </c>
      <c r="H8347" s="6">
        <v>45248</v>
      </c>
      <c r="I8347">
        <f t="shared" si="260"/>
        <v>0</v>
      </c>
      <c r="J8347" t="str">
        <f t="shared" si="261"/>
        <v>Complete</v>
      </c>
      <c r="K8347">
        <f>COUNTIFS(RawData[Item], B8347,RawData[Quantity],C8347,RawData[Price Per Unit],D8347,RawData[Total Spent],E8347,RawData[Payment Method],F8347,RawData[Location],G8347,RawData[Transaction Date],H8347)</f>
        <v>1</v>
      </c>
      <c r="L8347"/>
    </row>
    <row r="8348" spans="1:12" x14ac:dyDescent="0.3">
      <c r="A8348" t="s">
        <v>8354</v>
      </c>
      <c r="B8348" t="s">
        <v>10016</v>
      </c>
      <c r="C8348">
        <v>1</v>
      </c>
      <c r="D8348">
        <v>3</v>
      </c>
      <c r="E8348" t="s">
        <v>10015</v>
      </c>
      <c r="F8348" t="s">
        <v>10019</v>
      </c>
      <c r="G8348" t="s">
        <v>10069</v>
      </c>
      <c r="H8348" s="6">
        <v>45176</v>
      </c>
      <c r="I8348">
        <f t="shared" si="260"/>
        <v>1</v>
      </c>
      <c r="J8348" t="str">
        <f t="shared" si="261"/>
        <v>Complete</v>
      </c>
      <c r="K8348">
        <f>COUNTIFS(RawData[Item], B8348,RawData[Quantity],C8348,RawData[Price Per Unit],D8348,RawData[Total Spent],E8348,RawData[Payment Method],F8348,RawData[Location],G8348,RawData[Transaction Date],H8348)</f>
        <v>1</v>
      </c>
      <c r="L8348"/>
    </row>
    <row r="8349" spans="1:12" x14ac:dyDescent="0.3">
      <c r="A8349" t="s">
        <v>8355</v>
      </c>
      <c r="B8349" t="s">
        <v>10009</v>
      </c>
      <c r="C8349">
        <v>4</v>
      </c>
      <c r="D8349">
        <v>3</v>
      </c>
      <c r="E8349">
        <v>12</v>
      </c>
      <c r="F8349" t="s">
        <v>10020</v>
      </c>
      <c r="G8349" t="s">
        <v>10069</v>
      </c>
      <c r="H8349" s="6">
        <v>45255</v>
      </c>
      <c r="I8349">
        <f t="shared" si="260"/>
        <v>0</v>
      </c>
      <c r="J8349" t="str">
        <f t="shared" si="261"/>
        <v>Complete</v>
      </c>
      <c r="K8349">
        <f>COUNTIFS(RawData[Item], B8349,RawData[Quantity],C8349,RawData[Price Per Unit],D8349,RawData[Total Spent],E8349,RawData[Payment Method],F8349,RawData[Location],G8349,RawData[Transaction Date],H8349)</f>
        <v>1</v>
      </c>
      <c r="L8349"/>
    </row>
    <row r="8350" spans="1:12" x14ac:dyDescent="0.3">
      <c r="A8350" t="s">
        <v>8356</v>
      </c>
      <c r="B8350" t="s">
        <v>10010</v>
      </c>
      <c r="C8350" t="s">
        <v>10013</v>
      </c>
      <c r="D8350">
        <v>1</v>
      </c>
      <c r="E8350">
        <v>5</v>
      </c>
      <c r="F8350" t="s">
        <v>10019</v>
      </c>
      <c r="G8350" t="s">
        <v>10069</v>
      </c>
      <c r="H8350" s="6">
        <v>45065</v>
      </c>
      <c r="I8350">
        <f t="shared" si="260"/>
        <v>1</v>
      </c>
      <c r="J8350" t="str">
        <f t="shared" si="261"/>
        <v>Complete</v>
      </c>
      <c r="K8350">
        <f>COUNTIFS(RawData[Item], B8350,RawData[Quantity],C8350,RawData[Price Per Unit],D8350,RawData[Total Spent],E8350,RawData[Payment Method],F8350,RawData[Location],G8350,RawData[Transaction Date],H8350)</f>
        <v>1</v>
      </c>
      <c r="L8350"/>
    </row>
    <row r="8351" spans="1:12" x14ac:dyDescent="0.3">
      <c r="A8351" t="s">
        <v>8357</v>
      </c>
      <c r="B8351" t="s">
        <v>10017</v>
      </c>
      <c r="C8351">
        <v>1</v>
      </c>
      <c r="D8351">
        <v>1.5</v>
      </c>
      <c r="E8351">
        <v>1.5</v>
      </c>
      <c r="F8351" t="s">
        <v>10020</v>
      </c>
      <c r="G8351" t="s">
        <v>10069</v>
      </c>
      <c r="H8351" s="6" t="s">
        <v>10112</v>
      </c>
      <c r="I8351">
        <f t="shared" si="260"/>
        <v>1</v>
      </c>
      <c r="J8351" t="str">
        <f t="shared" si="261"/>
        <v>Incomplete</v>
      </c>
      <c r="K8351">
        <f>COUNTIFS(RawData[Item], B8351,RawData[Quantity],C8351,RawData[Price Per Unit],D8351,RawData[Total Spent],E8351,RawData[Payment Method],F8351,RawData[Location],G8351,RawData[Transaction Date],H8351)</f>
        <v>1</v>
      </c>
      <c r="L8351"/>
    </row>
    <row r="8352" spans="1:12" x14ac:dyDescent="0.3">
      <c r="A8352" t="s">
        <v>8358</v>
      </c>
      <c r="B8352" t="s">
        <v>10013</v>
      </c>
      <c r="C8352">
        <v>2</v>
      </c>
      <c r="D8352">
        <v>1.5</v>
      </c>
      <c r="E8352">
        <v>3</v>
      </c>
      <c r="F8352" t="s">
        <v>10020</v>
      </c>
      <c r="G8352" t="s">
        <v>10021</v>
      </c>
      <c r="H8352" s="6">
        <v>45192</v>
      </c>
      <c r="I8352">
        <f t="shared" si="260"/>
        <v>1</v>
      </c>
      <c r="J8352" t="str">
        <f t="shared" si="261"/>
        <v>Complete</v>
      </c>
      <c r="K8352">
        <f>COUNTIFS(RawData[Item], B8352,RawData[Quantity],C8352,RawData[Price Per Unit],D8352,RawData[Total Spent],E8352,RawData[Payment Method],F8352,RawData[Location],G8352,RawData[Transaction Date],H8352)</f>
        <v>1</v>
      </c>
      <c r="L8352"/>
    </row>
    <row r="8353" spans="1:12" x14ac:dyDescent="0.3">
      <c r="A8353" t="s">
        <v>8359</v>
      </c>
      <c r="B8353" t="s">
        <v>10013</v>
      </c>
      <c r="C8353">
        <v>3</v>
      </c>
      <c r="D8353">
        <v>3</v>
      </c>
      <c r="E8353">
        <v>9</v>
      </c>
      <c r="F8353" t="s">
        <v>10103</v>
      </c>
      <c r="G8353" t="s">
        <v>10069</v>
      </c>
      <c r="H8353" s="6">
        <v>44999</v>
      </c>
      <c r="I8353">
        <f t="shared" si="260"/>
        <v>2</v>
      </c>
      <c r="J8353" t="str">
        <f t="shared" si="261"/>
        <v>Complete</v>
      </c>
      <c r="K8353">
        <f>COUNTIFS(RawData[Item], B8353,RawData[Quantity],C8353,RawData[Price Per Unit],D8353,RawData[Total Spent],E8353,RawData[Payment Method],F8353,RawData[Location],G8353,RawData[Transaction Date],H8353)</f>
        <v>1</v>
      </c>
      <c r="L8353"/>
    </row>
    <row r="8354" spans="1:12" x14ac:dyDescent="0.3">
      <c r="A8354" t="s">
        <v>8360</v>
      </c>
      <c r="B8354" t="s">
        <v>10012</v>
      </c>
      <c r="C8354">
        <v>2</v>
      </c>
      <c r="D8354">
        <v>4</v>
      </c>
      <c r="E8354">
        <v>8</v>
      </c>
      <c r="F8354" t="s">
        <v>10019</v>
      </c>
      <c r="G8354" t="s">
        <v>10102</v>
      </c>
      <c r="H8354" s="6">
        <v>45078</v>
      </c>
      <c r="I8354">
        <f t="shared" si="260"/>
        <v>0</v>
      </c>
      <c r="J8354" t="str">
        <f t="shared" si="261"/>
        <v>Complete</v>
      </c>
      <c r="K8354">
        <f>COUNTIFS(RawData[Item], B8354,RawData[Quantity],C8354,RawData[Price Per Unit],D8354,RawData[Total Spent],E8354,RawData[Payment Method],F8354,RawData[Location],G8354,RawData[Transaction Date],H8354)</f>
        <v>1</v>
      </c>
      <c r="L8354"/>
    </row>
    <row r="8355" spans="1:12" x14ac:dyDescent="0.3">
      <c r="A8355" t="s">
        <v>8361</v>
      </c>
      <c r="B8355" t="s">
        <v>10009</v>
      </c>
      <c r="C8355">
        <v>5</v>
      </c>
      <c r="D8355">
        <v>3</v>
      </c>
      <c r="E8355">
        <v>15</v>
      </c>
      <c r="F8355" t="s">
        <v>10018</v>
      </c>
      <c r="G8355" t="s">
        <v>10069</v>
      </c>
      <c r="H8355" s="6">
        <v>45283</v>
      </c>
      <c r="I8355">
        <f t="shared" si="260"/>
        <v>0</v>
      </c>
      <c r="J8355" t="str">
        <f t="shared" si="261"/>
        <v>Complete</v>
      </c>
      <c r="K8355">
        <f>COUNTIFS(RawData[Item], B8355,RawData[Quantity],C8355,RawData[Price Per Unit],D8355,RawData[Total Spent],E8355,RawData[Payment Method],F8355,RawData[Location],G8355,RawData[Transaction Date],H8355)</f>
        <v>1</v>
      </c>
      <c r="L8355"/>
    </row>
    <row r="8356" spans="1:12" x14ac:dyDescent="0.3">
      <c r="A8356" t="s">
        <v>8362</v>
      </c>
      <c r="B8356" t="s">
        <v>10014</v>
      </c>
      <c r="C8356">
        <v>4</v>
      </c>
      <c r="D8356">
        <v>4</v>
      </c>
      <c r="E8356">
        <v>16</v>
      </c>
      <c r="F8356" t="s">
        <v>10069</v>
      </c>
      <c r="G8356" t="s">
        <v>10069</v>
      </c>
      <c r="H8356" s="6">
        <v>44995</v>
      </c>
      <c r="I8356">
        <f t="shared" si="260"/>
        <v>0</v>
      </c>
      <c r="J8356" t="str">
        <f t="shared" si="261"/>
        <v>Complete</v>
      </c>
      <c r="K8356">
        <f>COUNTIFS(RawData[Item], B8356,RawData[Quantity],C8356,RawData[Price Per Unit],D8356,RawData[Total Spent],E8356,RawData[Payment Method],F8356,RawData[Location],G8356,RawData[Transaction Date],H8356)</f>
        <v>1</v>
      </c>
      <c r="L8356"/>
    </row>
    <row r="8357" spans="1:12" x14ac:dyDescent="0.3">
      <c r="A8357" t="s">
        <v>8363</v>
      </c>
      <c r="B8357" t="s">
        <v>10011</v>
      </c>
      <c r="C8357">
        <v>5</v>
      </c>
      <c r="D8357">
        <v>5</v>
      </c>
      <c r="E8357">
        <v>25</v>
      </c>
      <c r="F8357" t="s">
        <v>10069</v>
      </c>
      <c r="G8357" t="s">
        <v>10021</v>
      </c>
      <c r="H8357" s="6">
        <v>45282</v>
      </c>
      <c r="I8357">
        <f t="shared" si="260"/>
        <v>0</v>
      </c>
      <c r="J8357" t="str">
        <f t="shared" si="261"/>
        <v>Complete</v>
      </c>
      <c r="K8357">
        <f>COUNTIFS(RawData[Item], B8357,RawData[Quantity],C8357,RawData[Price Per Unit],D8357,RawData[Total Spent],E8357,RawData[Payment Method],F8357,RawData[Location],G8357,RawData[Transaction Date],H8357)</f>
        <v>1</v>
      </c>
      <c r="L8357"/>
    </row>
    <row r="8358" spans="1:12" x14ac:dyDescent="0.3">
      <c r="A8358" t="s">
        <v>8364</v>
      </c>
      <c r="B8358" t="s">
        <v>10008</v>
      </c>
      <c r="C8358">
        <v>2</v>
      </c>
      <c r="D8358">
        <v>2</v>
      </c>
      <c r="E8358">
        <v>4</v>
      </c>
      <c r="F8358" t="s">
        <v>10019</v>
      </c>
      <c r="G8358" t="s">
        <v>10021</v>
      </c>
      <c r="H8358" s="6">
        <v>45131</v>
      </c>
      <c r="I8358">
        <f t="shared" si="260"/>
        <v>0</v>
      </c>
      <c r="J8358" t="str">
        <f t="shared" si="261"/>
        <v>Complete</v>
      </c>
      <c r="K8358">
        <f>COUNTIFS(RawData[Item], B8358,RawData[Quantity],C8358,RawData[Price Per Unit],D8358,RawData[Total Spent],E8358,RawData[Payment Method],F8358,RawData[Location],G8358,RawData[Transaction Date],H8358)</f>
        <v>1</v>
      </c>
      <c r="L8358"/>
    </row>
    <row r="8359" spans="1:12" x14ac:dyDescent="0.3">
      <c r="A8359" t="s">
        <v>8365</v>
      </c>
      <c r="B8359" t="s">
        <v>10008</v>
      </c>
      <c r="C8359">
        <v>1</v>
      </c>
      <c r="D8359">
        <v>2</v>
      </c>
      <c r="E8359">
        <v>2</v>
      </c>
      <c r="F8359" t="s">
        <v>10020</v>
      </c>
      <c r="G8359" t="s">
        <v>10069</v>
      </c>
      <c r="H8359" s="6">
        <v>44963</v>
      </c>
      <c r="I8359">
        <f t="shared" si="260"/>
        <v>0</v>
      </c>
      <c r="J8359" t="str">
        <f t="shared" si="261"/>
        <v>Complete</v>
      </c>
      <c r="K8359">
        <f>COUNTIFS(RawData[Item], B8359,RawData[Quantity],C8359,RawData[Price Per Unit],D8359,RawData[Total Spent],E8359,RawData[Payment Method],F8359,RawData[Location],G8359,RawData[Transaction Date],H8359)</f>
        <v>1</v>
      </c>
      <c r="L8359"/>
    </row>
    <row r="8360" spans="1:12" x14ac:dyDescent="0.3">
      <c r="A8360" t="s">
        <v>8366</v>
      </c>
      <c r="B8360" t="s">
        <v>10008</v>
      </c>
      <c r="C8360">
        <v>5</v>
      </c>
      <c r="D8360">
        <v>2</v>
      </c>
      <c r="E8360">
        <v>10</v>
      </c>
      <c r="F8360" t="s">
        <v>10020</v>
      </c>
      <c r="G8360" t="s">
        <v>10021</v>
      </c>
      <c r="H8360" s="6">
        <v>45110</v>
      </c>
      <c r="I8360">
        <f t="shared" si="260"/>
        <v>0</v>
      </c>
      <c r="J8360" t="str">
        <f t="shared" si="261"/>
        <v>Complete</v>
      </c>
      <c r="K8360">
        <f>COUNTIFS(RawData[Item], B8360,RawData[Quantity],C8360,RawData[Price Per Unit],D8360,RawData[Total Spent],E8360,RawData[Payment Method],F8360,RawData[Location],G8360,RawData[Transaction Date],H8360)</f>
        <v>1</v>
      </c>
      <c r="L8360"/>
    </row>
    <row r="8361" spans="1:12" x14ac:dyDescent="0.3">
      <c r="A8361" t="s">
        <v>8367</v>
      </c>
      <c r="B8361" t="s">
        <v>10016</v>
      </c>
      <c r="C8361">
        <v>1</v>
      </c>
      <c r="D8361">
        <v>3</v>
      </c>
      <c r="E8361">
        <v>3</v>
      </c>
      <c r="F8361" t="s">
        <v>10020</v>
      </c>
      <c r="G8361" t="s">
        <v>10069</v>
      </c>
      <c r="H8361" s="6">
        <v>44988</v>
      </c>
      <c r="I8361">
        <f t="shared" si="260"/>
        <v>0</v>
      </c>
      <c r="J8361" t="str">
        <f t="shared" si="261"/>
        <v>Complete</v>
      </c>
      <c r="K8361">
        <f>COUNTIFS(RawData[Item], B8361,RawData[Quantity],C8361,RawData[Price Per Unit],D8361,RawData[Total Spent],E8361,RawData[Payment Method],F8361,RawData[Location],G8361,RawData[Transaction Date],H8361)</f>
        <v>1</v>
      </c>
      <c r="L8361"/>
    </row>
    <row r="8362" spans="1:12" x14ac:dyDescent="0.3">
      <c r="A8362" t="s">
        <v>8368</v>
      </c>
      <c r="B8362" t="s">
        <v>10013</v>
      </c>
      <c r="C8362">
        <v>1</v>
      </c>
      <c r="D8362">
        <v>3</v>
      </c>
      <c r="E8362">
        <v>3</v>
      </c>
      <c r="F8362" t="s">
        <v>10018</v>
      </c>
      <c r="G8362" t="s">
        <v>10021</v>
      </c>
      <c r="H8362" s="6">
        <v>44980</v>
      </c>
      <c r="I8362">
        <f t="shared" si="260"/>
        <v>1</v>
      </c>
      <c r="J8362" t="str">
        <f t="shared" si="261"/>
        <v>Complete</v>
      </c>
      <c r="K8362">
        <f>COUNTIFS(RawData[Item], B8362,RawData[Quantity],C8362,RawData[Price Per Unit],D8362,RawData[Total Spent],E8362,RawData[Payment Method],F8362,RawData[Location],G8362,RawData[Transaction Date],H8362)</f>
        <v>1</v>
      </c>
      <c r="L8362"/>
    </row>
    <row r="8363" spans="1:12" x14ac:dyDescent="0.3">
      <c r="A8363" t="s">
        <v>8369</v>
      </c>
      <c r="B8363" t="s">
        <v>10008</v>
      </c>
      <c r="C8363">
        <v>5</v>
      </c>
      <c r="D8363">
        <v>2</v>
      </c>
      <c r="E8363">
        <v>10</v>
      </c>
      <c r="F8363" t="s">
        <v>10020</v>
      </c>
      <c r="G8363" t="s">
        <v>10021</v>
      </c>
      <c r="H8363" s="6">
        <v>45267</v>
      </c>
      <c r="I8363">
        <f t="shared" si="260"/>
        <v>0</v>
      </c>
      <c r="J8363" t="str">
        <f t="shared" si="261"/>
        <v>Complete</v>
      </c>
      <c r="K8363">
        <f>COUNTIFS(RawData[Item], B8363,RawData[Quantity],C8363,RawData[Price Per Unit],D8363,RawData[Total Spent],E8363,RawData[Payment Method],F8363,RawData[Location],G8363,RawData[Transaction Date],H8363)</f>
        <v>1</v>
      </c>
      <c r="L8363"/>
    </row>
    <row r="8364" spans="1:12" x14ac:dyDescent="0.3">
      <c r="A8364" t="s">
        <v>8370</v>
      </c>
      <c r="B8364" t="s">
        <v>10010</v>
      </c>
      <c r="C8364">
        <v>5</v>
      </c>
      <c r="D8364">
        <v>1</v>
      </c>
      <c r="E8364">
        <v>5</v>
      </c>
      <c r="F8364" t="s">
        <v>10069</v>
      </c>
      <c r="G8364" t="s">
        <v>10102</v>
      </c>
      <c r="H8364" s="6">
        <v>45175</v>
      </c>
      <c r="I8364">
        <f t="shared" si="260"/>
        <v>0</v>
      </c>
      <c r="J8364" t="str">
        <f t="shared" si="261"/>
        <v>Complete</v>
      </c>
      <c r="K8364">
        <f>COUNTIFS(RawData[Item], B8364,RawData[Quantity],C8364,RawData[Price Per Unit],D8364,RawData[Total Spent],E8364,RawData[Payment Method],F8364,RawData[Location],G8364,RawData[Transaction Date],H8364)</f>
        <v>1</v>
      </c>
      <c r="L8364"/>
    </row>
    <row r="8365" spans="1:12" x14ac:dyDescent="0.3">
      <c r="A8365" t="s">
        <v>8371</v>
      </c>
      <c r="B8365" t="s">
        <v>10010</v>
      </c>
      <c r="C8365">
        <v>2</v>
      </c>
      <c r="D8365">
        <v>1</v>
      </c>
      <c r="E8365">
        <v>2</v>
      </c>
      <c r="F8365" t="s">
        <v>10069</v>
      </c>
      <c r="G8365" t="s">
        <v>10069</v>
      </c>
      <c r="H8365" s="6">
        <v>44975</v>
      </c>
      <c r="I8365">
        <f t="shared" si="260"/>
        <v>0</v>
      </c>
      <c r="J8365" t="str">
        <f t="shared" si="261"/>
        <v>Complete</v>
      </c>
      <c r="K8365">
        <f>COUNTIFS(RawData[Item], B8365,RawData[Quantity],C8365,RawData[Price Per Unit],D8365,RawData[Total Spent],E8365,RawData[Payment Method],F8365,RawData[Location],G8365,RawData[Transaction Date],H8365)</f>
        <v>1</v>
      </c>
      <c r="L8365"/>
    </row>
    <row r="8366" spans="1:12" x14ac:dyDescent="0.3">
      <c r="A8366" t="s">
        <v>8372</v>
      </c>
      <c r="B8366" t="s">
        <v>10014</v>
      </c>
      <c r="C8366">
        <v>5</v>
      </c>
      <c r="D8366">
        <v>4</v>
      </c>
      <c r="E8366">
        <v>20</v>
      </c>
      <c r="F8366" t="s">
        <v>10069</v>
      </c>
      <c r="G8366" t="s">
        <v>10102</v>
      </c>
      <c r="H8366" s="6">
        <v>45083</v>
      </c>
      <c r="I8366">
        <f t="shared" si="260"/>
        <v>0</v>
      </c>
      <c r="J8366" t="str">
        <f t="shared" si="261"/>
        <v>Complete</v>
      </c>
      <c r="K8366">
        <f>COUNTIFS(RawData[Item], B8366,RawData[Quantity],C8366,RawData[Price Per Unit],D8366,RawData[Total Spent],E8366,RawData[Payment Method],F8366,RawData[Location],G8366,RawData[Transaction Date],H8366)</f>
        <v>1</v>
      </c>
      <c r="L8366"/>
    </row>
    <row r="8367" spans="1:12" x14ac:dyDescent="0.3">
      <c r="A8367" t="s">
        <v>8373</v>
      </c>
      <c r="B8367" t="s">
        <v>10014</v>
      </c>
      <c r="C8367">
        <v>1</v>
      </c>
      <c r="D8367">
        <v>4</v>
      </c>
      <c r="E8367">
        <v>4</v>
      </c>
      <c r="F8367" t="s">
        <v>10018</v>
      </c>
      <c r="G8367" t="s">
        <v>10069</v>
      </c>
      <c r="H8367" s="6">
        <v>45261</v>
      </c>
      <c r="I8367">
        <f t="shared" si="260"/>
        <v>0</v>
      </c>
      <c r="J8367" t="str">
        <f t="shared" si="261"/>
        <v>Complete</v>
      </c>
      <c r="K8367">
        <f>COUNTIFS(RawData[Item], B8367,RawData[Quantity],C8367,RawData[Price Per Unit],D8367,RawData[Total Spent],E8367,RawData[Payment Method],F8367,RawData[Location],G8367,RawData[Transaction Date],H8367)</f>
        <v>1</v>
      </c>
      <c r="L8367"/>
    </row>
    <row r="8368" spans="1:12" x14ac:dyDescent="0.3">
      <c r="A8368" t="s">
        <v>8374</v>
      </c>
      <c r="B8368" t="s">
        <v>10014</v>
      </c>
      <c r="C8368">
        <v>5</v>
      </c>
      <c r="D8368">
        <v>4</v>
      </c>
      <c r="E8368">
        <v>20</v>
      </c>
      <c r="F8368" t="s">
        <v>10019</v>
      </c>
      <c r="G8368" t="s">
        <v>10069</v>
      </c>
      <c r="H8368" s="6">
        <v>45237</v>
      </c>
      <c r="I8368">
        <f t="shared" si="260"/>
        <v>0</v>
      </c>
      <c r="J8368" t="str">
        <f t="shared" si="261"/>
        <v>Complete</v>
      </c>
      <c r="K8368">
        <f>COUNTIFS(RawData[Item], B8368,RawData[Quantity],C8368,RawData[Price Per Unit],D8368,RawData[Total Spent],E8368,RawData[Payment Method],F8368,RawData[Location],G8368,RawData[Transaction Date],H8368)</f>
        <v>1</v>
      </c>
      <c r="L8368"/>
    </row>
    <row r="8369" spans="1:12" x14ac:dyDescent="0.3">
      <c r="A8369" t="s">
        <v>8375</v>
      </c>
      <c r="B8369" t="s">
        <v>10009</v>
      </c>
      <c r="C8369">
        <v>1</v>
      </c>
      <c r="D8369">
        <v>3</v>
      </c>
      <c r="E8369">
        <v>3</v>
      </c>
      <c r="F8369" t="s">
        <v>10069</v>
      </c>
      <c r="G8369" t="s">
        <v>10103</v>
      </c>
      <c r="H8369" s="6" t="s">
        <v>10112</v>
      </c>
      <c r="I8369">
        <f t="shared" si="260"/>
        <v>2</v>
      </c>
      <c r="J8369" t="str">
        <f t="shared" si="261"/>
        <v>Incomplete</v>
      </c>
      <c r="K8369">
        <f>COUNTIFS(RawData[Item], B8369,RawData[Quantity],C8369,RawData[Price Per Unit],D8369,RawData[Total Spent],E8369,RawData[Payment Method],F8369,RawData[Location],G8369,RawData[Transaction Date],H8369)</f>
        <v>1</v>
      </c>
      <c r="L8369"/>
    </row>
    <row r="8370" spans="1:12" x14ac:dyDescent="0.3">
      <c r="A8370" t="s">
        <v>8376</v>
      </c>
      <c r="B8370" t="s">
        <v>10013</v>
      </c>
      <c r="C8370">
        <v>2</v>
      </c>
      <c r="D8370">
        <v>3</v>
      </c>
      <c r="E8370">
        <v>6</v>
      </c>
      <c r="F8370" t="s">
        <v>10069</v>
      </c>
      <c r="G8370" t="s">
        <v>10069</v>
      </c>
      <c r="H8370" s="6">
        <v>45238</v>
      </c>
      <c r="I8370">
        <f t="shared" si="260"/>
        <v>1</v>
      </c>
      <c r="J8370" t="str">
        <f t="shared" si="261"/>
        <v>Complete</v>
      </c>
      <c r="K8370">
        <f>COUNTIFS(RawData[Item], B8370,RawData[Quantity],C8370,RawData[Price Per Unit],D8370,RawData[Total Spent],E8370,RawData[Payment Method],F8370,RawData[Location],G8370,RawData[Transaction Date],H8370)</f>
        <v>1</v>
      </c>
      <c r="L8370"/>
    </row>
    <row r="8371" spans="1:12" x14ac:dyDescent="0.3">
      <c r="A8371" t="s">
        <v>8377</v>
      </c>
      <c r="B8371" t="s">
        <v>10014</v>
      </c>
      <c r="C8371">
        <v>3</v>
      </c>
      <c r="D8371">
        <v>4</v>
      </c>
      <c r="E8371">
        <v>12</v>
      </c>
      <c r="F8371" t="s">
        <v>10019</v>
      </c>
      <c r="G8371" t="s">
        <v>10102</v>
      </c>
      <c r="H8371" s="6">
        <v>45265</v>
      </c>
      <c r="I8371">
        <f t="shared" si="260"/>
        <v>0</v>
      </c>
      <c r="J8371" t="str">
        <f t="shared" si="261"/>
        <v>Complete</v>
      </c>
      <c r="K8371">
        <f>COUNTIFS(RawData[Item], B8371,RawData[Quantity],C8371,RawData[Price Per Unit],D8371,RawData[Total Spent],E8371,RawData[Payment Method],F8371,RawData[Location],G8371,RawData[Transaction Date],H8371)</f>
        <v>1</v>
      </c>
      <c r="L8371"/>
    </row>
    <row r="8372" spans="1:12" x14ac:dyDescent="0.3">
      <c r="A8372" t="s">
        <v>8378</v>
      </c>
      <c r="B8372" t="s">
        <v>10017</v>
      </c>
      <c r="C8372">
        <v>2</v>
      </c>
      <c r="D8372">
        <v>1.5</v>
      </c>
      <c r="E8372">
        <v>3</v>
      </c>
      <c r="F8372" t="s">
        <v>10069</v>
      </c>
      <c r="G8372" t="s">
        <v>10069</v>
      </c>
      <c r="H8372" s="6">
        <v>44956</v>
      </c>
      <c r="I8372">
        <f t="shared" si="260"/>
        <v>0</v>
      </c>
      <c r="J8372" t="str">
        <f t="shared" si="261"/>
        <v>Complete</v>
      </c>
      <c r="K8372">
        <f>COUNTIFS(RawData[Item], B8372,RawData[Quantity],C8372,RawData[Price Per Unit],D8372,RawData[Total Spent],E8372,RawData[Payment Method],F8372,RawData[Location],G8372,RawData[Transaction Date],H8372)</f>
        <v>1</v>
      </c>
      <c r="L8372"/>
    </row>
    <row r="8373" spans="1:12" x14ac:dyDescent="0.3">
      <c r="A8373" t="s">
        <v>8379</v>
      </c>
      <c r="B8373" t="s">
        <v>10012</v>
      </c>
      <c r="C8373">
        <v>4</v>
      </c>
      <c r="D8373">
        <v>4</v>
      </c>
      <c r="E8373">
        <v>16</v>
      </c>
      <c r="F8373" t="s">
        <v>10020</v>
      </c>
      <c r="G8373" t="s">
        <v>10069</v>
      </c>
      <c r="H8373" s="6">
        <v>45216</v>
      </c>
      <c r="I8373">
        <f t="shared" si="260"/>
        <v>0</v>
      </c>
      <c r="J8373" t="str">
        <f t="shared" si="261"/>
        <v>Complete</v>
      </c>
      <c r="K8373">
        <f>COUNTIFS(RawData[Item], B8373,RawData[Quantity],C8373,RawData[Price Per Unit],D8373,RawData[Total Spent],E8373,RawData[Payment Method],F8373,RawData[Location],G8373,RawData[Transaction Date],H8373)</f>
        <v>1</v>
      </c>
      <c r="L8373"/>
    </row>
    <row r="8374" spans="1:12" x14ac:dyDescent="0.3">
      <c r="A8374" t="s">
        <v>8380</v>
      </c>
      <c r="B8374" t="s">
        <v>10009</v>
      </c>
      <c r="C8374">
        <v>4</v>
      </c>
      <c r="D8374">
        <v>3</v>
      </c>
      <c r="E8374">
        <v>12</v>
      </c>
      <c r="F8374" t="s">
        <v>10069</v>
      </c>
      <c r="G8374" t="s">
        <v>10021</v>
      </c>
      <c r="H8374" s="6">
        <v>45074</v>
      </c>
      <c r="I8374">
        <f t="shared" si="260"/>
        <v>0</v>
      </c>
      <c r="J8374" t="str">
        <f t="shared" si="261"/>
        <v>Complete</v>
      </c>
      <c r="K8374">
        <f>COUNTIFS(RawData[Item], B8374,RawData[Quantity],C8374,RawData[Price Per Unit],D8374,RawData[Total Spent],E8374,RawData[Payment Method],F8374,RawData[Location],G8374,RawData[Transaction Date],H8374)</f>
        <v>1</v>
      </c>
      <c r="L8374"/>
    </row>
    <row r="8375" spans="1:12" x14ac:dyDescent="0.3">
      <c r="A8375" t="s">
        <v>8381</v>
      </c>
      <c r="B8375" t="s">
        <v>10016</v>
      </c>
      <c r="C8375">
        <v>1</v>
      </c>
      <c r="D8375">
        <v>3</v>
      </c>
      <c r="E8375">
        <v>3</v>
      </c>
      <c r="F8375" t="s">
        <v>10018</v>
      </c>
      <c r="G8375" t="s">
        <v>10069</v>
      </c>
      <c r="H8375" s="6">
        <v>45067</v>
      </c>
      <c r="I8375">
        <f t="shared" si="260"/>
        <v>0</v>
      </c>
      <c r="J8375" t="str">
        <f t="shared" si="261"/>
        <v>Complete</v>
      </c>
      <c r="K8375">
        <f>COUNTIFS(RawData[Item], B8375,RawData[Quantity],C8375,RawData[Price Per Unit],D8375,RawData[Total Spent],E8375,RawData[Payment Method],F8375,RawData[Location],G8375,RawData[Transaction Date],H8375)</f>
        <v>1</v>
      </c>
      <c r="L8375"/>
    </row>
    <row r="8376" spans="1:12" x14ac:dyDescent="0.3">
      <c r="A8376" t="s">
        <v>8382</v>
      </c>
      <c r="B8376" t="s">
        <v>10016</v>
      </c>
      <c r="C8376">
        <v>5</v>
      </c>
      <c r="D8376">
        <v>3</v>
      </c>
      <c r="E8376">
        <v>15</v>
      </c>
      <c r="F8376" t="s">
        <v>10018</v>
      </c>
      <c r="G8376" t="s">
        <v>10103</v>
      </c>
      <c r="H8376" s="6">
        <v>44989</v>
      </c>
      <c r="I8376">
        <f t="shared" si="260"/>
        <v>1</v>
      </c>
      <c r="J8376" t="str">
        <f t="shared" si="261"/>
        <v>Complete</v>
      </c>
      <c r="K8376">
        <f>COUNTIFS(RawData[Item], B8376,RawData[Quantity],C8376,RawData[Price Per Unit],D8376,RawData[Total Spent],E8376,RawData[Payment Method],F8376,RawData[Location],G8376,RawData[Transaction Date],H8376)</f>
        <v>1</v>
      </c>
      <c r="L8376"/>
    </row>
    <row r="8377" spans="1:12" x14ac:dyDescent="0.3">
      <c r="A8377" t="s">
        <v>8383</v>
      </c>
      <c r="B8377" t="s">
        <v>10011</v>
      </c>
      <c r="C8377">
        <v>3</v>
      </c>
      <c r="D8377">
        <v>5</v>
      </c>
      <c r="E8377">
        <v>15</v>
      </c>
      <c r="F8377" t="s">
        <v>10019</v>
      </c>
      <c r="G8377" t="s">
        <v>10021</v>
      </c>
      <c r="H8377" s="6">
        <v>45290</v>
      </c>
      <c r="I8377">
        <f t="shared" si="260"/>
        <v>0</v>
      </c>
      <c r="J8377" t="str">
        <f t="shared" si="261"/>
        <v>Complete</v>
      </c>
      <c r="K8377">
        <f>COUNTIFS(RawData[Item], B8377,RawData[Quantity],C8377,RawData[Price Per Unit],D8377,RawData[Total Spent],E8377,RawData[Payment Method],F8377,RawData[Location],G8377,RawData[Transaction Date],H8377)</f>
        <v>1</v>
      </c>
      <c r="L8377"/>
    </row>
    <row r="8378" spans="1:12" x14ac:dyDescent="0.3">
      <c r="A8378" t="s">
        <v>8384</v>
      </c>
      <c r="B8378" t="s">
        <v>10013</v>
      </c>
      <c r="C8378">
        <v>2</v>
      </c>
      <c r="D8378">
        <v>3</v>
      </c>
      <c r="E8378">
        <v>6</v>
      </c>
      <c r="F8378" t="s">
        <v>10019</v>
      </c>
      <c r="G8378" t="s">
        <v>10069</v>
      </c>
      <c r="H8378" s="6">
        <v>45030</v>
      </c>
      <c r="I8378">
        <f t="shared" si="260"/>
        <v>1</v>
      </c>
      <c r="J8378" t="str">
        <f t="shared" si="261"/>
        <v>Complete</v>
      </c>
      <c r="K8378">
        <f>COUNTIFS(RawData[Item], B8378,RawData[Quantity],C8378,RawData[Price Per Unit],D8378,RawData[Total Spent],E8378,RawData[Payment Method],F8378,RawData[Location],G8378,RawData[Transaction Date],H8378)</f>
        <v>1</v>
      </c>
      <c r="L8378"/>
    </row>
    <row r="8379" spans="1:12" x14ac:dyDescent="0.3">
      <c r="A8379" t="s">
        <v>8385</v>
      </c>
      <c r="B8379" t="s">
        <v>10008</v>
      </c>
      <c r="C8379">
        <v>5</v>
      </c>
      <c r="D8379">
        <v>2</v>
      </c>
      <c r="E8379">
        <v>10</v>
      </c>
      <c r="F8379" t="s">
        <v>10019</v>
      </c>
      <c r="G8379" t="s">
        <v>10069</v>
      </c>
      <c r="H8379" s="6">
        <v>45192</v>
      </c>
      <c r="I8379">
        <f t="shared" si="260"/>
        <v>0</v>
      </c>
      <c r="J8379" t="str">
        <f t="shared" si="261"/>
        <v>Complete</v>
      </c>
      <c r="K8379">
        <f>COUNTIFS(RawData[Item], B8379,RawData[Quantity],C8379,RawData[Price Per Unit],D8379,RawData[Total Spent],E8379,RawData[Payment Method],F8379,RawData[Location],G8379,RawData[Transaction Date],H8379)</f>
        <v>1</v>
      </c>
      <c r="L8379"/>
    </row>
    <row r="8380" spans="1:12" x14ac:dyDescent="0.3">
      <c r="A8380" t="s">
        <v>8386</v>
      </c>
      <c r="B8380" t="s">
        <v>10010</v>
      </c>
      <c r="C8380">
        <v>5</v>
      </c>
      <c r="D8380">
        <v>1</v>
      </c>
      <c r="E8380">
        <v>5</v>
      </c>
      <c r="F8380" t="s">
        <v>10020</v>
      </c>
      <c r="G8380" t="s">
        <v>10069</v>
      </c>
      <c r="H8380" s="6" t="s">
        <v>10112</v>
      </c>
      <c r="I8380">
        <f t="shared" si="260"/>
        <v>1</v>
      </c>
      <c r="J8380" t="str">
        <f t="shared" si="261"/>
        <v>Incomplete</v>
      </c>
      <c r="K8380">
        <f>COUNTIFS(RawData[Item], B8380,RawData[Quantity],C8380,RawData[Price Per Unit],D8380,RawData[Total Spent],E8380,RawData[Payment Method],F8380,RawData[Location],G8380,RawData[Transaction Date],H8380)</f>
        <v>1</v>
      </c>
      <c r="L8380"/>
    </row>
    <row r="8381" spans="1:12" x14ac:dyDescent="0.3">
      <c r="A8381" t="s">
        <v>8387</v>
      </c>
      <c r="B8381" t="s">
        <v>10011</v>
      </c>
      <c r="C8381">
        <v>4</v>
      </c>
      <c r="D8381">
        <v>5</v>
      </c>
      <c r="E8381">
        <v>0</v>
      </c>
      <c r="F8381" t="s">
        <v>10020</v>
      </c>
      <c r="G8381" t="s">
        <v>10069</v>
      </c>
      <c r="H8381" s="6">
        <v>45126</v>
      </c>
      <c r="I8381">
        <f t="shared" si="260"/>
        <v>0</v>
      </c>
      <c r="J8381" t="str">
        <f t="shared" si="261"/>
        <v>Complete</v>
      </c>
      <c r="K8381">
        <f>COUNTIFS(RawData[Item], B8381,RawData[Quantity],C8381,RawData[Price Per Unit],D8381,RawData[Total Spent],E8381,RawData[Payment Method],F8381,RawData[Location],G8381,RawData[Transaction Date],H8381)</f>
        <v>1</v>
      </c>
      <c r="L8381"/>
    </row>
    <row r="8382" spans="1:12" x14ac:dyDescent="0.3">
      <c r="A8382" t="s">
        <v>8388</v>
      </c>
      <c r="B8382" t="s">
        <v>10011</v>
      </c>
      <c r="C8382">
        <v>5</v>
      </c>
      <c r="D8382">
        <v>0</v>
      </c>
      <c r="E8382">
        <v>25</v>
      </c>
      <c r="F8382" t="s">
        <v>10019</v>
      </c>
      <c r="G8382" t="s">
        <v>10102</v>
      </c>
      <c r="H8382" s="6">
        <v>45173</v>
      </c>
      <c r="I8382">
        <f t="shared" si="260"/>
        <v>0</v>
      </c>
      <c r="J8382" t="str">
        <f t="shared" si="261"/>
        <v>Complete</v>
      </c>
      <c r="K8382">
        <f>COUNTIFS(RawData[Item], B8382,RawData[Quantity],C8382,RawData[Price Per Unit],D8382,RawData[Total Spent],E8382,RawData[Payment Method],F8382,RawData[Location],G8382,RawData[Transaction Date],H8382)</f>
        <v>1</v>
      </c>
      <c r="L8382"/>
    </row>
    <row r="8383" spans="1:12" x14ac:dyDescent="0.3">
      <c r="A8383" t="s">
        <v>8389</v>
      </c>
      <c r="B8383" t="s">
        <v>10010</v>
      </c>
      <c r="C8383">
        <v>1</v>
      </c>
      <c r="D8383">
        <v>1</v>
      </c>
      <c r="E8383">
        <v>1</v>
      </c>
      <c r="F8383" t="s">
        <v>10018</v>
      </c>
      <c r="G8383" t="s">
        <v>10069</v>
      </c>
      <c r="H8383" s="6">
        <v>45086</v>
      </c>
      <c r="I8383">
        <f t="shared" si="260"/>
        <v>0</v>
      </c>
      <c r="J8383" t="str">
        <f t="shared" si="261"/>
        <v>Complete</v>
      </c>
      <c r="K8383">
        <f>COUNTIFS(RawData[Item], B8383,RawData[Quantity],C8383,RawData[Price Per Unit],D8383,RawData[Total Spent],E8383,RawData[Payment Method],F8383,RawData[Location],G8383,RawData[Transaction Date],H8383)</f>
        <v>1</v>
      </c>
      <c r="L8383"/>
    </row>
    <row r="8384" spans="1:12" x14ac:dyDescent="0.3">
      <c r="A8384" t="s">
        <v>8390</v>
      </c>
      <c r="B8384" t="s">
        <v>10011</v>
      </c>
      <c r="C8384">
        <v>2</v>
      </c>
      <c r="D8384">
        <v>5</v>
      </c>
      <c r="E8384">
        <v>10</v>
      </c>
      <c r="F8384" t="s">
        <v>10103</v>
      </c>
      <c r="G8384" t="s">
        <v>10021</v>
      </c>
      <c r="H8384" s="6">
        <v>45094</v>
      </c>
      <c r="I8384">
        <f t="shared" si="260"/>
        <v>1</v>
      </c>
      <c r="J8384" t="str">
        <f t="shared" si="261"/>
        <v>Complete</v>
      </c>
      <c r="K8384">
        <f>COUNTIFS(RawData[Item], B8384,RawData[Quantity],C8384,RawData[Price Per Unit],D8384,RawData[Total Spent],E8384,RawData[Payment Method],F8384,RawData[Location],G8384,RawData[Transaction Date],H8384)</f>
        <v>1</v>
      </c>
      <c r="L8384"/>
    </row>
    <row r="8385" spans="1:12" x14ac:dyDescent="0.3">
      <c r="A8385" t="s">
        <v>8391</v>
      </c>
      <c r="B8385" t="s">
        <v>10013</v>
      </c>
      <c r="C8385">
        <v>5</v>
      </c>
      <c r="D8385">
        <v>1.5</v>
      </c>
      <c r="E8385">
        <v>7.5</v>
      </c>
      <c r="F8385" t="s">
        <v>10069</v>
      </c>
      <c r="G8385" t="s">
        <v>10102</v>
      </c>
      <c r="H8385" s="6">
        <v>45120</v>
      </c>
      <c r="I8385">
        <f t="shared" si="260"/>
        <v>1</v>
      </c>
      <c r="J8385" t="str">
        <f t="shared" si="261"/>
        <v>Complete</v>
      </c>
      <c r="K8385">
        <f>COUNTIFS(RawData[Item], B8385,RawData[Quantity],C8385,RawData[Price Per Unit],D8385,RawData[Total Spent],E8385,RawData[Payment Method],F8385,RawData[Location],G8385,RawData[Transaction Date],H8385)</f>
        <v>1</v>
      </c>
      <c r="L8385"/>
    </row>
    <row r="8386" spans="1:12" x14ac:dyDescent="0.3">
      <c r="A8386" t="s">
        <v>8392</v>
      </c>
      <c r="B8386" t="s">
        <v>10016</v>
      </c>
      <c r="C8386">
        <v>4</v>
      </c>
      <c r="D8386">
        <v>3</v>
      </c>
      <c r="E8386">
        <v>12</v>
      </c>
      <c r="F8386" t="s">
        <v>10019</v>
      </c>
      <c r="G8386" t="s">
        <v>10102</v>
      </c>
      <c r="H8386" s="6">
        <v>45245</v>
      </c>
      <c r="I8386">
        <f t="shared" ref="I8386:I8449" si="262">(B8386="Unknown")+(B8386="Error")+(C8386="Unknown")+(C8386="Error")+(D8386="Unknown")+(D8386="Error")+(E8386="Unknown")+(E8386="Error")+(F8386="Unknown")+(F8386="Error")+(G8386="Unknown")+(G8386="Error")+(H8386="No Date")</f>
        <v>0</v>
      </c>
      <c r="J8386" t="str">
        <f t="shared" ref="J8386:J8449" si="263">IF((H8386="No Date"),"Incomplete","Complete")</f>
        <v>Complete</v>
      </c>
      <c r="K8386">
        <f>COUNTIFS(RawData[Item], B8386,RawData[Quantity],C8386,RawData[Price Per Unit],D8386,RawData[Total Spent],E8386,RawData[Payment Method],F8386,RawData[Location],G8386,RawData[Transaction Date],H8386)</f>
        <v>1</v>
      </c>
      <c r="L8386"/>
    </row>
    <row r="8387" spans="1:12" x14ac:dyDescent="0.3">
      <c r="A8387" t="s">
        <v>8393</v>
      </c>
      <c r="B8387" t="s">
        <v>10069</v>
      </c>
      <c r="C8387">
        <v>4</v>
      </c>
      <c r="D8387">
        <v>2</v>
      </c>
      <c r="E8387">
        <v>8</v>
      </c>
      <c r="F8387" t="s">
        <v>10019</v>
      </c>
      <c r="G8387" t="s">
        <v>10021</v>
      </c>
      <c r="H8387" s="6">
        <v>45016</v>
      </c>
      <c r="I8387">
        <f t="shared" si="262"/>
        <v>0</v>
      </c>
      <c r="J8387" t="str">
        <f t="shared" si="263"/>
        <v>Complete</v>
      </c>
      <c r="K8387">
        <f>COUNTIFS(RawData[Item], B8387,RawData[Quantity],C8387,RawData[Price Per Unit],D8387,RawData[Total Spent],E8387,RawData[Payment Method],F8387,RawData[Location],G8387,RawData[Transaction Date],H8387)</f>
        <v>1</v>
      </c>
      <c r="L8387"/>
    </row>
    <row r="8388" spans="1:12" x14ac:dyDescent="0.3">
      <c r="A8388" t="s">
        <v>8394</v>
      </c>
      <c r="B8388" t="s">
        <v>10012</v>
      </c>
      <c r="C8388">
        <v>2</v>
      </c>
      <c r="D8388">
        <v>4</v>
      </c>
      <c r="E8388">
        <v>8</v>
      </c>
      <c r="F8388" t="s">
        <v>10020</v>
      </c>
      <c r="G8388" t="s">
        <v>10102</v>
      </c>
      <c r="H8388" s="6">
        <v>45009</v>
      </c>
      <c r="I8388">
        <f t="shared" si="262"/>
        <v>0</v>
      </c>
      <c r="J8388" t="str">
        <f t="shared" si="263"/>
        <v>Complete</v>
      </c>
      <c r="K8388">
        <f>COUNTIFS(RawData[Item], B8388,RawData[Quantity],C8388,RawData[Price Per Unit],D8388,RawData[Total Spent],E8388,RawData[Payment Method],F8388,RawData[Location],G8388,RawData[Transaction Date],H8388)</f>
        <v>1</v>
      </c>
      <c r="L8388"/>
    </row>
    <row r="8389" spans="1:12" x14ac:dyDescent="0.3">
      <c r="A8389" t="s">
        <v>8395</v>
      </c>
      <c r="B8389" t="s">
        <v>10016</v>
      </c>
      <c r="C8389">
        <v>5</v>
      </c>
      <c r="D8389">
        <v>3</v>
      </c>
      <c r="E8389">
        <v>15</v>
      </c>
      <c r="F8389" t="s">
        <v>10020</v>
      </c>
      <c r="G8389" t="s">
        <v>10069</v>
      </c>
      <c r="H8389" s="6">
        <v>45079</v>
      </c>
      <c r="I8389">
        <f t="shared" si="262"/>
        <v>0</v>
      </c>
      <c r="J8389" t="str">
        <f t="shared" si="263"/>
        <v>Complete</v>
      </c>
      <c r="K8389">
        <f>COUNTIFS(RawData[Item], B8389,RawData[Quantity],C8389,RawData[Price Per Unit],D8389,RawData[Total Spent],E8389,RawData[Payment Method],F8389,RawData[Location],G8389,RawData[Transaction Date],H8389)</f>
        <v>1</v>
      </c>
      <c r="L8389"/>
    </row>
    <row r="8390" spans="1:12" x14ac:dyDescent="0.3">
      <c r="A8390" t="s">
        <v>8396</v>
      </c>
      <c r="B8390" t="s">
        <v>10016</v>
      </c>
      <c r="C8390">
        <v>4</v>
      </c>
      <c r="D8390">
        <v>3</v>
      </c>
      <c r="E8390">
        <v>12</v>
      </c>
      <c r="F8390" t="s">
        <v>10104</v>
      </c>
      <c r="G8390" t="s">
        <v>10102</v>
      </c>
      <c r="H8390" s="6">
        <v>44977</v>
      </c>
      <c r="I8390">
        <f t="shared" si="262"/>
        <v>1</v>
      </c>
      <c r="J8390" t="str">
        <f t="shared" si="263"/>
        <v>Complete</v>
      </c>
      <c r="K8390">
        <f>COUNTIFS(RawData[Item], B8390,RawData[Quantity],C8390,RawData[Price Per Unit],D8390,RawData[Total Spent],E8390,RawData[Payment Method],F8390,RawData[Location],G8390,RawData[Transaction Date],H8390)</f>
        <v>1</v>
      </c>
      <c r="L8390"/>
    </row>
    <row r="8391" spans="1:12" x14ac:dyDescent="0.3">
      <c r="A8391" t="s">
        <v>8397</v>
      </c>
      <c r="B8391" t="s">
        <v>10016</v>
      </c>
      <c r="C8391">
        <v>5</v>
      </c>
      <c r="D8391">
        <v>3</v>
      </c>
      <c r="E8391">
        <v>15</v>
      </c>
      <c r="F8391" t="s">
        <v>10019</v>
      </c>
      <c r="G8391" t="s">
        <v>10069</v>
      </c>
      <c r="H8391" s="6">
        <v>45284</v>
      </c>
      <c r="I8391">
        <f t="shared" si="262"/>
        <v>0</v>
      </c>
      <c r="J8391" t="str">
        <f t="shared" si="263"/>
        <v>Complete</v>
      </c>
      <c r="K8391">
        <f>COUNTIFS(RawData[Item], B8391,RawData[Quantity],C8391,RawData[Price Per Unit],D8391,RawData[Total Spent],E8391,RawData[Payment Method],F8391,RawData[Location],G8391,RawData[Transaction Date],H8391)</f>
        <v>1</v>
      </c>
      <c r="L8391"/>
    </row>
    <row r="8392" spans="1:12" x14ac:dyDescent="0.3">
      <c r="A8392" t="s">
        <v>8398</v>
      </c>
      <c r="B8392" t="s">
        <v>10008</v>
      </c>
      <c r="C8392">
        <v>4</v>
      </c>
      <c r="D8392">
        <v>2</v>
      </c>
      <c r="E8392">
        <v>8</v>
      </c>
      <c r="F8392" t="s">
        <v>10104</v>
      </c>
      <c r="G8392" t="s">
        <v>10103</v>
      </c>
      <c r="H8392" s="6">
        <v>45170</v>
      </c>
      <c r="I8392">
        <f t="shared" si="262"/>
        <v>2</v>
      </c>
      <c r="J8392" t="str">
        <f t="shared" si="263"/>
        <v>Complete</v>
      </c>
      <c r="K8392">
        <f>COUNTIFS(RawData[Item], B8392,RawData[Quantity],C8392,RawData[Price Per Unit],D8392,RawData[Total Spent],E8392,RawData[Payment Method],F8392,RawData[Location],G8392,RawData[Transaction Date],H8392)</f>
        <v>1</v>
      </c>
      <c r="L8392"/>
    </row>
    <row r="8393" spans="1:12" x14ac:dyDescent="0.3">
      <c r="A8393" t="s">
        <v>8399</v>
      </c>
      <c r="B8393" t="s">
        <v>10013</v>
      </c>
      <c r="C8393" t="s">
        <v>10013</v>
      </c>
      <c r="D8393">
        <v>3</v>
      </c>
      <c r="E8393">
        <v>3</v>
      </c>
      <c r="F8393" t="s">
        <v>10020</v>
      </c>
      <c r="G8393" t="s">
        <v>10021</v>
      </c>
      <c r="H8393" s="6">
        <v>45229</v>
      </c>
      <c r="I8393">
        <f t="shared" si="262"/>
        <v>2</v>
      </c>
      <c r="J8393" t="str">
        <f t="shared" si="263"/>
        <v>Complete</v>
      </c>
      <c r="K8393">
        <f>COUNTIFS(RawData[Item], B8393,RawData[Quantity],C8393,RawData[Price Per Unit],D8393,RawData[Total Spent],E8393,RawData[Payment Method],F8393,RawData[Location],G8393,RawData[Transaction Date],H8393)</f>
        <v>1</v>
      </c>
      <c r="L8393"/>
    </row>
    <row r="8394" spans="1:12" x14ac:dyDescent="0.3">
      <c r="A8394" t="s">
        <v>8400</v>
      </c>
      <c r="B8394" t="s">
        <v>10013</v>
      </c>
      <c r="C8394">
        <v>5</v>
      </c>
      <c r="D8394">
        <v>4</v>
      </c>
      <c r="E8394">
        <v>20</v>
      </c>
      <c r="F8394" t="s">
        <v>10069</v>
      </c>
      <c r="G8394" t="s">
        <v>10021</v>
      </c>
      <c r="H8394" s="6">
        <v>45008</v>
      </c>
      <c r="I8394">
        <f t="shared" si="262"/>
        <v>1</v>
      </c>
      <c r="J8394" t="str">
        <f t="shared" si="263"/>
        <v>Complete</v>
      </c>
      <c r="K8394">
        <f>COUNTIFS(RawData[Item], B8394,RawData[Quantity],C8394,RawData[Price Per Unit],D8394,RawData[Total Spent],E8394,RawData[Payment Method],F8394,RawData[Location],G8394,RawData[Transaction Date],H8394)</f>
        <v>1</v>
      </c>
      <c r="L8394"/>
    </row>
    <row r="8395" spans="1:12" x14ac:dyDescent="0.3">
      <c r="A8395" t="s">
        <v>8401</v>
      </c>
      <c r="B8395" t="s">
        <v>10016</v>
      </c>
      <c r="C8395">
        <v>2</v>
      </c>
      <c r="D8395">
        <v>3</v>
      </c>
      <c r="E8395">
        <v>6</v>
      </c>
      <c r="F8395" t="s">
        <v>10069</v>
      </c>
      <c r="G8395" t="s">
        <v>10021</v>
      </c>
      <c r="H8395" s="6">
        <v>45112</v>
      </c>
      <c r="I8395">
        <f t="shared" si="262"/>
        <v>0</v>
      </c>
      <c r="J8395" t="str">
        <f t="shared" si="263"/>
        <v>Complete</v>
      </c>
      <c r="K8395">
        <f>COUNTIFS(RawData[Item], B8395,RawData[Quantity],C8395,RawData[Price Per Unit],D8395,RawData[Total Spent],E8395,RawData[Payment Method],F8395,RawData[Location],G8395,RawData[Transaction Date],H8395)</f>
        <v>1</v>
      </c>
      <c r="L8395"/>
    </row>
    <row r="8396" spans="1:12" x14ac:dyDescent="0.3">
      <c r="A8396" t="s">
        <v>8402</v>
      </c>
      <c r="B8396" t="s">
        <v>10009</v>
      </c>
      <c r="C8396">
        <v>3</v>
      </c>
      <c r="D8396">
        <v>3</v>
      </c>
      <c r="E8396" t="s">
        <v>10015</v>
      </c>
      <c r="F8396" t="s">
        <v>10020</v>
      </c>
      <c r="G8396" t="s">
        <v>10069</v>
      </c>
      <c r="H8396" s="6">
        <v>45227</v>
      </c>
      <c r="I8396">
        <f t="shared" si="262"/>
        <v>1</v>
      </c>
      <c r="J8396" t="str">
        <f t="shared" si="263"/>
        <v>Complete</v>
      </c>
      <c r="K8396">
        <f>COUNTIFS(RawData[Item], B8396,RawData[Quantity],C8396,RawData[Price Per Unit],D8396,RawData[Total Spent],E8396,RawData[Payment Method],F8396,RawData[Location],G8396,RawData[Transaction Date],H8396)</f>
        <v>1</v>
      </c>
      <c r="L8396"/>
    </row>
    <row r="8397" spans="1:12" x14ac:dyDescent="0.3">
      <c r="A8397" t="s">
        <v>8403</v>
      </c>
      <c r="B8397" t="s">
        <v>10010</v>
      </c>
      <c r="C8397">
        <v>1</v>
      </c>
      <c r="D8397">
        <v>1</v>
      </c>
      <c r="E8397">
        <v>1</v>
      </c>
      <c r="F8397" t="s">
        <v>10020</v>
      </c>
      <c r="G8397" t="s">
        <v>10021</v>
      </c>
      <c r="H8397" s="6" t="s">
        <v>10112</v>
      </c>
      <c r="I8397">
        <f t="shared" si="262"/>
        <v>1</v>
      </c>
      <c r="J8397" t="str">
        <f t="shared" si="263"/>
        <v>Incomplete</v>
      </c>
      <c r="K8397">
        <f>COUNTIFS(RawData[Item], B8397,RawData[Quantity],C8397,RawData[Price Per Unit],D8397,RawData[Total Spent],E8397,RawData[Payment Method],F8397,RawData[Location],G8397,RawData[Transaction Date],H8397)</f>
        <v>2</v>
      </c>
      <c r="L8397"/>
    </row>
    <row r="8398" spans="1:12" x14ac:dyDescent="0.3">
      <c r="A8398" t="s">
        <v>8404</v>
      </c>
      <c r="B8398" t="s">
        <v>10014</v>
      </c>
      <c r="C8398">
        <v>3</v>
      </c>
      <c r="D8398">
        <v>4</v>
      </c>
      <c r="E8398">
        <v>12</v>
      </c>
      <c r="F8398" t="s">
        <v>10020</v>
      </c>
      <c r="G8398" t="s">
        <v>10021</v>
      </c>
      <c r="H8398" s="6">
        <v>45241</v>
      </c>
      <c r="I8398">
        <f t="shared" si="262"/>
        <v>0</v>
      </c>
      <c r="J8398" t="str">
        <f t="shared" si="263"/>
        <v>Complete</v>
      </c>
      <c r="K8398">
        <f>COUNTIFS(RawData[Item], B8398,RawData[Quantity],C8398,RawData[Price Per Unit],D8398,RawData[Total Spent],E8398,RawData[Payment Method],F8398,RawData[Location],G8398,RawData[Transaction Date],H8398)</f>
        <v>1</v>
      </c>
      <c r="L8398"/>
    </row>
    <row r="8399" spans="1:12" x14ac:dyDescent="0.3">
      <c r="A8399" t="s">
        <v>8405</v>
      </c>
      <c r="B8399" t="s">
        <v>10014</v>
      </c>
      <c r="C8399">
        <v>1</v>
      </c>
      <c r="D8399">
        <v>4</v>
      </c>
      <c r="E8399">
        <v>4</v>
      </c>
      <c r="F8399" t="s">
        <v>10020</v>
      </c>
      <c r="G8399" t="s">
        <v>10102</v>
      </c>
      <c r="H8399" s="6">
        <v>45028</v>
      </c>
      <c r="I8399">
        <f t="shared" si="262"/>
        <v>0</v>
      </c>
      <c r="J8399" t="str">
        <f t="shared" si="263"/>
        <v>Complete</v>
      </c>
      <c r="K8399">
        <f>COUNTIFS(RawData[Item], B8399,RawData[Quantity],C8399,RawData[Price Per Unit],D8399,RawData[Total Spent],E8399,RawData[Payment Method],F8399,RawData[Location],G8399,RawData[Transaction Date],H8399)</f>
        <v>1</v>
      </c>
      <c r="L8399"/>
    </row>
    <row r="8400" spans="1:12" x14ac:dyDescent="0.3">
      <c r="A8400" t="s">
        <v>8406</v>
      </c>
      <c r="B8400" t="s">
        <v>10014</v>
      </c>
      <c r="C8400">
        <v>1</v>
      </c>
      <c r="D8400">
        <v>4</v>
      </c>
      <c r="E8400">
        <v>4</v>
      </c>
      <c r="F8400" t="s">
        <v>10018</v>
      </c>
      <c r="G8400" t="s">
        <v>10102</v>
      </c>
      <c r="H8400" s="6">
        <v>44940</v>
      </c>
      <c r="I8400">
        <f t="shared" si="262"/>
        <v>0</v>
      </c>
      <c r="J8400" t="str">
        <f t="shared" si="263"/>
        <v>Complete</v>
      </c>
      <c r="K8400">
        <f>COUNTIFS(RawData[Item], B8400,RawData[Quantity],C8400,RawData[Price Per Unit],D8400,RawData[Total Spent],E8400,RawData[Payment Method],F8400,RawData[Location],G8400,RawData[Transaction Date],H8400)</f>
        <v>1</v>
      </c>
      <c r="L8400"/>
    </row>
    <row r="8401" spans="1:12" x14ac:dyDescent="0.3">
      <c r="A8401" t="s">
        <v>8407</v>
      </c>
      <c r="B8401" t="s">
        <v>10011</v>
      </c>
      <c r="C8401">
        <v>5</v>
      </c>
      <c r="D8401">
        <v>5</v>
      </c>
      <c r="E8401">
        <v>25</v>
      </c>
      <c r="F8401" t="s">
        <v>10069</v>
      </c>
      <c r="G8401" t="s">
        <v>10102</v>
      </c>
      <c r="H8401" s="6">
        <v>45107</v>
      </c>
      <c r="I8401">
        <f t="shared" si="262"/>
        <v>0</v>
      </c>
      <c r="J8401" t="str">
        <f t="shared" si="263"/>
        <v>Complete</v>
      </c>
      <c r="K8401">
        <f>COUNTIFS(RawData[Item], B8401,RawData[Quantity],C8401,RawData[Price Per Unit],D8401,RawData[Total Spent],E8401,RawData[Payment Method],F8401,RawData[Location],G8401,RawData[Transaction Date],H8401)</f>
        <v>1</v>
      </c>
      <c r="L8401"/>
    </row>
    <row r="8402" spans="1:12" x14ac:dyDescent="0.3">
      <c r="A8402" t="s">
        <v>8408</v>
      </c>
      <c r="B8402" t="s">
        <v>10017</v>
      </c>
      <c r="C8402">
        <v>1</v>
      </c>
      <c r="D8402">
        <v>1.5</v>
      </c>
      <c r="E8402">
        <v>1.5</v>
      </c>
      <c r="F8402" t="s">
        <v>10020</v>
      </c>
      <c r="G8402" t="s">
        <v>10021</v>
      </c>
      <c r="H8402" s="6">
        <v>44938</v>
      </c>
      <c r="I8402">
        <f t="shared" si="262"/>
        <v>0</v>
      </c>
      <c r="J8402" t="str">
        <f t="shared" si="263"/>
        <v>Complete</v>
      </c>
      <c r="K8402">
        <f>COUNTIFS(RawData[Item], B8402,RawData[Quantity],C8402,RawData[Price Per Unit],D8402,RawData[Total Spent],E8402,RawData[Payment Method],F8402,RawData[Location],G8402,RawData[Transaction Date],H8402)</f>
        <v>1</v>
      </c>
      <c r="L8402"/>
    </row>
    <row r="8403" spans="1:12" x14ac:dyDescent="0.3">
      <c r="A8403" t="s">
        <v>8409</v>
      </c>
      <c r="B8403" t="s">
        <v>10012</v>
      </c>
      <c r="C8403">
        <v>4</v>
      </c>
      <c r="D8403" t="s">
        <v>10015</v>
      </c>
      <c r="E8403">
        <v>16</v>
      </c>
      <c r="F8403" t="s">
        <v>10018</v>
      </c>
      <c r="G8403" t="s">
        <v>10069</v>
      </c>
      <c r="H8403" s="6">
        <v>45206</v>
      </c>
      <c r="I8403">
        <f t="shared" si="262"/>
        <v>1</v>
      </c>
      <c r="J8403" t="str">
        <f t="shared" si="263"/>
        <v>Complete</v>
      </c>
      <c r="K8403">
        <f>COUNTIFS(RawData[Item], B8403,RawData[Quantity],C8403,RawData[Price Per Unit],D8403,RawData[Total Spent],E8403,RawData[Payment Method],F8403,RawData[Location],G8403,RawData[Transaction Date],H8403)</f>
        <v>1</v>
      </c>
      <c r="L8403"/>
    </row>
    <row r="8404" spans="1:12" x14ac:dyDescent="0.3">
      <c r="A8404" t="s">
        <v>8410</v>
      </c>
      <c r="B8404" t="s">
        <v>10014</v>
      </c>
      <c r="C8404">
        <v>2</v>
      </c>
      <c r="D8404">
        <v>4</v>
      </c>
      <c r="E8404">
        <v>8</v>
      </c>
      <c r="F8404" t="s">
        <v>10103</v>
      </c>
      <c r="G8404" t="s">
        <v>10021</v>
      </c>
      <c r="H8404" s="6">
        <v>45160</v>
      </c>
      <c r="I8404">
        <f t="shared" si="262"/>
        <v>1</v>
      </c>
      <c r="J8404" t="str">
        <f t="shared" si="263"/>
        <v>Complete</v>
      </c>
      <c r="K8404">
        <f>COUNTIFS(RawData[Item], B8404,RawData[Quantity],C8404,RawData[Price Per Unit],D8404,RawData[Total Spent],E8404,RawData[Payment Method],F8404,RawData[Location],G8404,RawData[Transaction Date],H8404)</f>
        <v>1</v>
      </c>
      <c r="L8404"/>
    </row>
    <row r="8405" spans="1:12" x14ac:dyDescent="0.3">
      <c r="A8405" t="s">
        <v>8411</v>
      </c>
      <c r="B8405" t="s">
        <v>10008</v>
      </c>
      <c r="C8405">
        <v>2</v>
      </c>
      <c r="D8405" t="s">
        <v>10015</v>
      </c>
      <c r="E8405">
        <v>4</v>
      </c>
      <c r="F8405" t="s">
        <v>10019</v>
      </c>
      <c r="G8405" t="s">
        <v>10021</v>
      </c>
      <c r="H8405" s="6">
        <v>45148</v>
      </c>
      <c r="I8405">
        <f t="shared" si="262"/>
        <v>1</v>
      </c>
      <c r="J8405" t="str">
        <f t="shared" si="263"/>
        <v>Complete</v>
      </c>
      <c r="K8405">
        <f>COUNTIFS(RawData[Item], B8405,RawData[Quantity],C8405,RawData[Price Per Unit],D8405,RawData[Total Spent],E8405,RawData[Payment Method],F8405,RawData[Location],G8405,RawData[Transaction Date],H8405)</f>
        <v>1</v>
      </c>
      <c r="L8405"/>
    </row>
    <row r="8406" spans="1:12" x14ac:dyDescent="0.3">
      <c r="A8406" t="s">
        <v>8412</v>
      </c>
      <c r="B8406" t="s">
        <v>10017</v>
      </c>
      <c r="C8406">
        <v>3</v>
      </c>
      <c r="D8406">
        <v>1.5</v>
      </c>
      <c r="E8406">
        <v>4.5</v>
      </c>
      <c r="F8406" t="s">
        <v>10069</v>
      </c>
      <c r="G8406" t="s">
        <v>10102</v>
      </c>
      <c r="H8406" s="6">
        <v>45031</v>
      </c>
      <c r="I8406">
        <f t="shared" si="262"/>
        <v>0</v>
      </c>
      <c r="J8406" t="str">
        <f t="shared" si="263"/>
        <v>Complete</v>
      </c>
      <c r="K8406">
        <f>COUNTIFS(RawData[Item], B8406,RawData[Quantity],C8406,RawData[Price Per Unit],D8406,RawData[Total Spent],E8406,RawData[Payment Method],F8406,RawData[Location],G8406,RawData[Transaction Date],H8406)</f>
        <v>1</v>
      </c>
      <c r="L8406"/>
    </row>
    <row r="8407" spans="1:12" x14ac:dyDescent="0.3">
      <c r="A8407" t="s">
        <v>8413</v>
      </c>
      <c r="B8407" t="s">
        <v>10008</v>
      </c>
      <c r="C8407">
        <v>5</v>
      </c>
      <c r="D8407">
        <v>2</v>
      </c>
      <c r="E8407">
        <v>10</v>
      </c>
      <c r="F8407" t="s">
        <v>10069</v>
      </c>
      <c r="G8407" t="s">
        <v>10102</v>
      </c>
      <c r="H8407" s="6" t="s">
        <v>10112</v>
      </c>
      <c r="I8407">
        <f t="shared" si="262"/>
        <v>1</v>
      </c>
      <c r="J8407" t="str">
        <f t="shared" si="263"/>
        <v>Incomplete</v>
      </c>
      <c r="K8407">
        <f>COUNTIFS(RawData[Item], B8407,RawData[Quantity],C8407,RawData[Price Per Unit],D8407,RawData[Total Spent],E8407,RawData[Payment Method],F8407,RawData[Location],G8407,RawData[Transaction Date],H8407)</f>
        <v>2</v>
      </c>
      <c r="L8407"/>
    </row>
    <row r="8408" spans="1:12" x14ac:dyDescent="0.3">
      <c r="A8408" t="s">
        <v>8414</v>
      </c>
      <c r="B8408" t="s">
        <v>10016</v>
      </c>
      <c r="C8408">
        <v>2</v>
      </c>
      <c r="D8408">
        <v>3</v>
      </c>
      <c r="E8408">
        <v>6</v>
      </c>
      <c r="F8408" t="s">
        <v>10018</v>
      </c>
      <c r="G8408" t="s">
        <v>10021</v>
      </c>
      <c r="H8408" s="6">
        <v>45209</v>
      </c>
      <c r="I8408">
        <f t="shared" si="262"/>
        <v>0</v>
      </c>
      <c r="J8408" t="str">
        <f t="shared" si="263"/>
        <v>Complete</v>
      </c>
      <c r="K8408">
        <f>COUNTIFS(RawData[Item], B8408,RawData[Quantity],C8408,RawData[Price Per Unit],D8408,RawData[Total Spent],E8408,RawData[Payment Method],F8408,RawData[Location],G8408,RawData[Transaction Date],H8408)</f>
        <v>1</v>
      </c>
      <c r="L8408"/>
    </row>
    <row r="8409" spans="1:12" x14ac:dyDescent="0.3">
      <c r="A8409" t="s">
        <v>8415</v>
      </c>
      <c r="B8409" t="s">
        <v>10013</v>
      </c>
      <c r="C8409">
        <v>5</v>
      </c>
      <c r="D8409">
        <v>4</v>
      </c>
      <c r="E8409">
        <v>20</v>
      </c>
      <c r="F8409" t="s">
        <v>10020</v>
      </c>
      <c r="G8409" t="s">
        <v>10069</v>
      </c>
      <c r="H8409" s="6">
        <v>44971</v>
      </c>
      <c r="I8409">
        <f t="shared" si="262"/>
        <v>1</v>
      </c>
      <c r="J8409" t="str">
        <f t="shared" si="263"/>
        <v>Complete</v>
      </c>
      <c r="K8409">
        <f>COUNTIFS(RawData[Item], B8409,RawData[Quantity],C8409,RawData[Price Per Unit],D8409,RawData[Total Spent],E8409,RawData[Payment Method],F8409,RawData[Location],G8409,RawData[Transaction Date],H8409)</f>
        <v>1</v>
      </c>
      <c r="L8409"/>
    </row>
    <row r="8410" spans="1:12" x14ac:dyDescent="0.3">
      <c r="A8410" t="s">
        <v>8416</v>
      </c>
      <c r="B8410" t="s">
        <v>10012</v>
      </c>
      <c r="C8410">
        <v>4</v>
      </c>
      <c r="D8410">
        <v>4</v>
      </c>
      <c r="E8410">
        <v>16</v>
      </c>
      <c r="F8410" t="s">
        <v>10069</v>
      </c>
      <c r="G8410" t="s">
        <v>10104</v>
      </c>
      <c r="H8410" s="6">
        <v>45173</v>
      </c>
      <c r="I8410">
        <f t="shared" si="262"/>
        <v>1</v>
      </c>
      <c r="J8410" t="str">
        <f t="shared" si="263"/>
        <v>Complete</v>
      </c>
      <c r="K8410">
        <f>COUNTIFS(RawData[Item], B8410,RawData[Quantity],C8410,RawData[Price Per Unit],D8410,RawData[Total Spent],E8410,RawData[Payment Method],F8410,RawData[Location],G8410,RawData[Transaction Date],H8410)</f>
        <v>1</v>
      </c>
      <c r="L8410"/>
    </row>
    <row r="8411" spans="1:12" x14ac:dyDescent="0.3">
      <c r="A8411" t="s">
        <v>8417</v>
      </c>
      <c r="B8411" t="s">
        <v>10008</v>
      </c>
      <c r="C8411">
        <v>5</v>
      </c>
      <c r="D8411">
        <v>2</v>
      </c>
      <c r="E8411">
        <v>10</v>
      </c>
      <c r="F8411" t="s">
        <v>10069</v>
      </c>
      <c r="G8411" t="s">
        <v>10102</v>
      </c>
      <c r="H8411" s="6">
        <v>45097</v>
      </c>
      <c r="I8411">
        <f t="shared" si="262"/>
        <v>0</v>
      </c>
      <c r="J8411" t="str">
        <f t="shared" si="263"/>
        <v>Complete</v>
      </c>
      <c r="K8411">
        <f>COUNTIFS(RawData[Item], B8411,RawData[Quantity],C8411,RawData[Price Per Unit],D8411,RawData[Total Spent],E8411,RawData[Payment Method],F8411,RawData[Location],G8411,RawData[Transaction Date],H8411)</f>
        <v>1</v>
      </c>
      <c r="L8411"/>
    </row>
    <row r="8412" spans="1:12" x14ac:dyDescent="0.3">
      <c r="A8412" t="s">
        <v>8418</v>
      </c>
      <c r="B8412" t="s">
        <v>10010</v>
      </c>
      <c r="C8412">
        <v>2</v>
      </c>
      <c r="D8412">
        <v>1</v>
      </c>
      <c r="E8412">
        <v>2</v>
      </c>
      <c r="F8412" t="s">
        <v>10019</v>
      </c>
      <c r="G8412" t="s">
        <v>10102</v>
      </c>
      <c r="H8412" s="6">
        <v>45229</v>
      </c>
      <c r="I8412">
        <f t="shared" si="262"/>
        <v>0</v>
      </c>
      <c r="J8412" t="str">
        <f t="shared" si="263"/>
        <v>Complete</v>
      </c>
      <c r="K8412">
        <f>COUNTIFS(RawData[Item], B8412,RawData[Quantity],C8412,RawData[Price Per Unit],D8412,RawData[Total Spent],E8412,RawData[Payment Method],F8412,RawData[Location],G8412,RawData[Transaction Date],H8412)</f>
        <v>1</v>
      </c>
      <c r="L8412"/>
    </row>
    <row r="8413" spans="1:12" x14ac:dyDescent="0.3">
      <c r="A8413" t="s">
        <v>8419</v>
      </c>
      <c r="B8413" t="s">
        <v>10014</v>
      </c>
      <c r="C8413">
        <v>4</v>
      </c>
      <c r="D8413">
        <v>4</v>
      </c>
      <c r="E8413">
        <v>16</v>
      </c>
      <c r="F8413" t="s">
        <v>10069</v>
      </c>
      <c r="G8413" t="s">
        <v>10021</v>
      </c>
      <c r="H8413" s="6">
        <v>45114</v>
      </c>
      <c r="I8413">
        <f t="shared" si="262"/>
        <v>0</v>
      </c>
      <c r="J8413" t="str">
        <f t="shared" si="263"/>
        <v>Complete</v>
      </c>
      <c r="K8413">
        <f>COUNTIFS(RawData[Item], B8413,RawData[Quantity],C8413,RawData[Price Per Unit],D8413,RawData[Total Spent],E8413,RawData[Payment Method],F8413,RawData[Location],G8413,RawData[Transaction Date],H8413)</f>
        <v>1</v>
      </c>
      <c r="L8413"/>
    </row>
    <row r="8414" spans="1:12" x14ac:dyDescent="0.3">
      <c r="A8414" t="s">
        <v>8420</v>
      </c>
      <c r="B8414" t="s">
        <v>10008</v>
      </c>
      <c r="C8414">
        <v>2</v>
      </c>
      <c r="D8414">
        <v>2</v>
      </c>
      <c r="E8414">
        <v>4</v>
      </c>
      <c r="F8414" t="s">
        <v>10018</v>
      </c>
      <c r="G8414" t="s">
        <v>10102</v>
      </c>
      <c r="H8414" s="6">
        <v>45220</v>
      </c>
      <c r="I8414">
        <f t="shared" si="262"/>
        <v>0</v>
      </c>
      <c r="J8414" t="str">
        <f t="shared" si="263"/>
        <v>Complete</v>
      </c>
      <c r="K8414">
        <f>COUNTIFS(RawData[Item], B8414,RawData[Quantity],C8414,RawData[Price Per Unit],D8414,RawData[Total Spent],E8414,RawData[Payment Method],F8414,RawData[Location],G8414,RawData[Transaction Date],H8414)</f>
        <v>1</v>
      </c>
      <c r="L8414"/>
    </row>
    <row r="8415" spans="1:12" x14ac:dyDescent="0.3">
      <c r="A8415" t="s">
        <v>8421</v>
      </c>
      <c r="B8415" t="s">
        <v>10014</v>
      </c>
      <c r="C8415">
        <v>3</v>
      </c>
      <c r="D8415">
        <v>4</v>
      </c>
      <c r="E8415">
        <v>12</v>
      </c>
      <c r="F8415" t="s">
        <v>10069</v>
      </c>
      <c r="G8415" t="s">
        <v>10069</v>
      </c>
      <c r="H8415" s="6">
        <v>45202</v>
      </c>
      <c r="I8415">
        <f t="shared" si="262"/>
        <v>0</v>
      </c>
      <c r="J8415" t="str">
        <f t="shared" si="263"/>
        <v>Complete</v>
      </c>
      <c r="K8415">
        <f>COUNTIFS(RawData[Item], B8415,RawData[Quantity],C8415,RawData[Price Per Unit],D8415,RawData[Total Spent],E8415,RawData[Payment Method],F8415,RawData[Location],G8415,RawData[Transaction Date],H8415)</f>
        <v>1</v>
      </c>
      <c r="L8415"/>
    </row>
    <row r="8416" spans="1:12" x14ac:dyDescent="0.3">
      <c r="A8416" t="s">
        <v>8422</v>
      </c>
      <c r="B8416" t="s">
        <v>10017</v>
      </c>
      <c r="C8416">
        <v>2</v>
      </c>
      <c r="D8416">
        <v>1.5</v>
      </c>
      <c r="E8416">
        <v>3</v>
      </c>
      <c r="F8416" t="s">
        <v>10018</v>
      </c>
      <c r="G8416" t="s">
        <v>10102</v>
      </c>
      <c r="H8416" s="6">
        <v>45051</v>
      </c>
      <c r="I8416">
        <f t="shared" si="262"/>
        <v>0</v>
      </c>
      <c r="J8416" t="str">
        <f t="shared" si="263"/>
        <v>Complete</v>
      </c>
      <c r="K8416">
        <f>COUNTIFS(RawData[Item], B8416,RawData[Quantity],C8416,RawData[Price Per Unit],D8416,RawData[Total Spent],E8416,RawData[Payment Method],F8416,RawData[Location],G8416,RawData[Transaction Date],H8416)</f>
        <v>1</v>
      </c>
      <c r="L8416"/>
    </row>
    <row r="8417" spans="1:12" x14ac:dyDescent="0.3">
      <c r="A8417" t="s">
        <v>8423</v>
      </c>
      <c r="B8417" t="s">
        <v>10009</v>
      </c>
      <c r="C8417" t="s">
        <v>10015</v>
      </c>
      <c r="D8417">
        <v>3</v>
      </c>
      <c r="E8417">
        <v>6</v>
      </c>
      <c r="F8417" t="s">
        <v>10019</v>
      </c>
      <c r="G8417" t="s">
        <v>10102</v>
      </c>
      <c r="H8417" s="6">
        <v>45190</v>
      </c>
      <c r="I8417">
        <f t="shared" si="262"/>
        <v>1</v>
      </c>
      <c r="J8417" t="str">
        <f t="shared" si="263"/>
        <v>Complete</v>
      </c>
      <c r="K8417">
        <f>COUNTIFS(RawData[Item], B8417,RawData[Quantity],C8417,RawData[Price Per Unit],D8417,RawData[Total Spent],E8417,RawData[Payment Method],F8417,RawData[Location],G8417,RawData[Transaction Date],H8417)</f>
        <v>1</v>
      </c>
      <c r="L8417"/>
    </row>
    <row r="8418" spans="1:12" x14ac:dyDescent="0.3">
      <c r="A8418" t="s">
        <v>8424</v>
      </c>
      <c r="B8418" t="s">
        <v>10009</v>
      </c>
      <c r="C8418">
        <v>5</v>
      </c>
      <c r="D8418">
        <v>3</v>
      </c>
      <c r="E8418">
        <v>15</v>
      </c>
      <c r="F8418" t="s">
        <v>10020</v>
      </c>
      <c r="G8418" t="s">
        <v>10102</v>
      </c>
      <c r="H8418" s="6">
        <v>45184</v>
      </c>
      <c r="I8418">
        <f t="shared" si="262"/>
        <v>0</v>
      </c>
      <c r="J8418" t="str">
        <f t="shared" si="263"/>
        <v>Complete</v>
      </c>
      <c r="K8418">
        <f>COUNTIFS(RawData[Item], B8418,RawData[Quantity],C8418,RawData[Price Per Unit],D8418,RawData[Total Spent],E8418,RawData[Payment Method],F8418,RawData[Location],G8418,RawData[Transaction Date],H8418)</f>
        <v>1</v>
      </c>
      <c r="L8418"/>
    </row>
    <row r="8419" spans="1:12" x14ac:dyDescent="0.3">
      <c r="A8419" t="s">
        <v>8425</v>
      </c>
      <c r="B8419" t="s">
        <v>10017</v>
      </c>
      <c r="C8419">
        <v>3</v>
      </c>
      <c r="D8419" t="s">
        <v>10013</v>
      </c>
      <c r="E8419">
        <v>4.5</v>
      </c>
      <c r="F8419" t="s">
        <v>10019</v>
      </c>
      <c r="G8419" t="s">
        <v>10102</v>
      </c>
      <c r="H8419" s="6">
        <v>45207</v>
      </c>
      <c r="I8419">
        <f t="shared" si="262"/>
        <v>1</v>
      </c>
      <c r="J8419" t="str">
        <f t="shared" si="263"/>
        <v>Complete</v>
      </c>
      <c r="K8419">
        <f>COUNTIFS(RawData[Item], B8419,RawData[Quantity],C8419,RawData[Price Per Unit],D8419,RawData[Total Spent],E8419,RawData[Payment Method],F8419,RawData[Location],G8419,RawData[Transaction Date],H8419)</f>
        <v>1</v>
      </c>
      <c r="L8419"/>
    </row>
    <row r="8420" spans="1:12" x14ac:dyDescent="0.3">
      <c r="A8420" t="s">
        <v>8426</v>
      </c>
      <c r="B8420" t="s">
        <v>10014</v>
      </c>
      <c r="C8420">
        <v>3</v>
      </c>
      <c r="D8420">
        <v>4</v>
      </c>
      <c r="E8420">
        <v>12</v>
      </c>
      <c r="F8420" t="s">
        <v>10069</v>
      </c>
      <c r="G8420" t="s">
        <v>10021</v>
      </c>
      <c r="H8420" s="6">
        <v>45230</v>
      </c>
      <c r="I8420">
        <f t="shared" si="262"/>
        <v>0</v>
      </c>
      <c r="J8420" t="str">
        <f t="shared" si="263"/>
        <v>Complete</v>
      </c>
      <c r="K8420">
        <f>COUNTIFS(RawData[Item], B8420,RawData[Quantity],C8420,RawData[Price Per Unit],D8420,RawData[Total Spent],E8420,RawData[Payment Method],F8420,RawData[Location],G8420,RawData[Transaction Date],H8420)</f>
        <v>2</v>
      </c>
      <c r="L8420"/>
    </row>
    <row r="8421" spans="1:12" x14ac:dyDescent="0.3">
      <c r="A8421" t="s">
        <v>8427</v>
      </c>
      <c r="B8421" t="s">
        <v>10008</v>
      </c>
      <c r="C8421">
        <v>1</v>
      </c>
      <c r="D8421">
        <v>2</v>
      </c>
      <c r="E8421">
        <v>2</v>
      </c>
      <c r="F8421" t="s">
        <v>10019</v>
      </c>
      <c r="G8421" t="s">
        <v>10102</v>
      </c>
      <c r="H8421" s="6">
        <v>45123</v>
      </c>
      <c r="I8421">
        <f t="shared" si="262"/>
        <v>0</v>
      </c>
      <c r="J8421" t="str">
        <f t="shared" si="263"/>
        <v>Complete</v>
      </c>
      <c r="K8421">
        <f>COUNTIFS(RawData[Item], B8421,RawData[Quantity],C8421,RawData[Price Per Unit],D8421,RawData[Total Spent],E8421,RawData[Payment Method],F8421,RawData[Location],G8421,RawData[Transaction Date],H8421)</f>
        <v>1</v>
      </c>
      <c r="L8421"/>
    </row>
    <row r="8422" spans="1:12" x14ac:dyDescent="0.3">
      <c r="A8422" t="s">
        <v>8428</v>
      </c>
      <c r="B8422" t="s">
        <v>10016</v>
      </c>
      <c r="C8422">
        <v>4</v>
      </c>
      <c r="D8422">
        <v>3</v>
      </c>
      <c r="E8422">
        <v>12</v>
      </c>
      <c r="F8422" t="s">
        <v>10018</v>
      </c>
      <c r="G8422" t="s">
        <v>10102</v>
      </c>
      <c r="H8422" s="6">
        <v>45149</v>
      </c>
      <c r="I8422">
        <f t="shared" si="262"/>
        <v>0</v>
      </c>
      <c r="J8422" t="str">
        <f t="shared" si="263"/>
        <v>Complete</v>
      </c>
      <c r="K8422">
        <f>COUNTIFS(RawData[Item], B8422,RawData[Quantity],C8422,RawData[Price Per Unit],D8422,RawData[Total Spent],E8422,RawData[Payment Method],F8422,RawData[Location],G8422,RawData[Transaction Date],H8422)</f>
        <v>1</v>
      </c>
      <c r="L8422"/>
    </row>
    <row r="8423" spans="1:12" x14ac:dyDescent="0.3">
      <c r="A8423" t="s">
        <v>8429</v>
      </c>
      <c r="B8423" t="s">
        <v>10014</v>
      </c>
      <c r="C8423">
        <v>4</v>
      </c>
      <c r="D8423">
        <v>4</v>
      </c>
      <c r="E8423">
        <v>16</v>
      </c>
      <c r="F8423" t="s">
        <v>10020</v>
      </c>
      <c r="G8423" t="s">
        <v>10102</v>
      </c>
      <c r="H8423" s="6">
        <v>45091</v>
      </c>
      <c r="I8423">
        <f t="shared" si="262"/>
        <v>0</v>
      </c>
      <c r="J8423" t="str">
        <f t="shared" si="263"/>
        <v>Complete</v>
      </c>
      <c r="K8423">
        <f>COUNTIFS(RawData[Item], B8423,RawData[Quantity],C8423,RawData[Price Per Unit],D8423,RawData[Total Spent],E8423,RawData[Payment Method],F8423,RawData[Location],G8423,RawData[Transaction Date],H8423)</f>
        <v>1</v>
      </c>
      <c r="L8423"/>
    </row>
    <row r="8424" spans="1:12" x14ac:dyDescent="0.3">
      <c r="A8424" t="s">
        <v>8430</v>
      </c>
      <c r="B8424" t="s">
        <v>10016</v>
      </c>
      <c r="C8424">
        <v>2</v>
      </c>
      <c r="D8424">
        <v>3</v>
      </c>
      <c r="E8424">
        <v>6</v>
      </c>
      <c r="F8424" t="s">
        <v>10019</v>
      </c>
      <c r="G8424" t="s">
        <v>10021</v>
      </c>
      <c r="H8424" s="6">
        <v>44983</v>
      </c>
      <c r="I8424">
        <f t="shared" si="262"/>
        <v>0</v>
      </c>
      <c r="J8424" t="str">
        <f t="shared" si="263"/>
        <v>Complete</v>
      </c>
      <c r="K8424">
        <f>COUNTIFS(RawData[Item], B8424,RawData[Quantity],C8424,RawData[Price Per Unit],D8424,RawData[Total Spent],E8424,RawData[Payment Method],F8424,RawData[Location],G8424,RawData[Transaction Date],H8424)</f>
        <v>1</v>
      </c>
      <c r="L8424"/>
    </row>
    <row r="8425" spans="1:12" x14ac:dyDescent="0.3">
      <c r="A8425" t="s">
        <v>8431</v>
      </c>
      <c r="B8425" t="s">
        <v>10016</v>
      </c>
      <c r="C8425">
        <v>2</v>
      </c>
      <c r="D8425">
        <v>3</v>
      </c>
      <c r="E8425">
        <v>6</v>
      </c>
      <c r="F8425" t="s">
        <v>10019</v>
      </c>
      <c r="G8425" t="s">
        <v>10102</v>
      </c>
      <c r="H8425" s="6">
        <v>45256</v>
      </c>
      <c r="I8425">
        <f t="shared" si="262"/>
        <v>0</v>
      </c>
      <c r="J8425" t="str">
        <f t="shared" si="263"/>
        <v>Complete</v>
      </c>
      <c r="K8425">
        <f>COUNTIFS(RawData[Item], B8425,RawData[Quantity],C8425,RawData[Price Per Unit],D8425,RawData[Total Spent],E8425,RawData[Payment Method],F8425,RawData[Location],G8425,RawData[Transaction Date],H8425)</f>
        <v>1</v>
      </c>
      <c r="L8425"/>
    </row>
    <row r="8426" spans="1:12" x14ac:dyDescent="0.3">
      <c r="A8426" t="s">
        <v>8432</v>
      </c>
      <c r="B8426" t="s">
        <v>10012</v>
      </c>
      <c r="C8426">
        <v>3</v>
      </c>
      <c r="D8426">
        <v>4</v>
      </c>
      <c r="E8426">
        <v>12</v>
      </c>
      <c r="F8426" t="s">
        <v>10069</v>
      </c>
      <c r="G8426" t="s">
        <v>10069</v>
      </c>
      <c r="H8426" s="6">
        <v>45168</v>
      </c>
      <c r="I8426">
        <f t="shared" si="262"/>
        <v>0</v>
      </c>
      <c r="J8426" t="str">
        <f t="shared" si="263"/>
        <v>Complete</v>
      </c>
      <c r="K8426">
        <f>COUNTIFS(RawData[Item], B8426,RawData[Quantity],C8426,RawData[Price Per Unit],D8426,RawData[Total Spent],E8426,RawData[Payment Method],F8426,RawData[Location],G8426,RawData[Transaction Date],H8426)</f>
        <v>1</v>
      </c>
      <c r="L8426"/>
    </row>
    <row r="8427" spans="1:12" x14ac:dyDescent="0.3">
      <c r="A8427" t="s">
        <v>8433</v>
      </c>
      <c r="B8427" t="s">
        <v>10010</v>
      </c>
      <c r="C8427">
        <v>2</v>
      </c>
      <c r="D8427">
        <v>1</v>
      </c>
      <c r="E8427">
        <v>2</v>
      </c>
      <c r="F8427" t="s">
        <v>10020</v>
      </c>
      <c r="G8427" t="s">
        <v>10102</v>
      </c>
      <c r="H8427" s="6">
        <v>45103</v>
      </c>
      <c r="I8427">
        <f t="shared" si="262"/>
        <v>0</v>
      </c>
      <c r="J8427" t="str">
        <f t="shared" si="263"/>
        <v>Complete</v>
      </c>
      <c r="K8427">
        <f>COUNTIFS(RawData[Item], B8427,RawData[Quantity],C8427,RawData[Price Per Unit],D8427,RawData[Total Spent],E8427,RawData[Payment Method],F8427,RawData[Location],G8427,RawData[Transaction Date],H8427)</f>
        <v>1</v>
      </c>
      <c r="L8427"/>
    </row>
    <row r="8428" spans="1:12" x14ac:dyDescent="0.3">
      <c r="A8428" t="s">
        <v>8434</v>
      </c>
      <c r="B8428" t="s">
        <v>10009</v>
      </c>
      <c r="C8428">
        <v>3</v>
      </c>
      <c r="D8428">
        <v>3</v>
      </c>
      <c r="E8428">
        <v>0</v>
      </c>
      <c r="F8428" t="s">
        <v>10019</v>
      </c>
      <c r="G8428" t="s">
        <v>10021</v>
      </c>
      <c r="H8428" s="6">
        <v>45212</v>
      </c>
      <c r="I8428">
        <f t="shared" si="262"/>
        <v>0</v>
      </c>
      <c r="J8428" t="str">
        <f t="shared" si="263"/>
        <v>Complete</v>
      </c>
      <c r="K8428">
        <f>COUNTIFS(RawData[Item], B8428,RawData[Quantity],C8428,RawData[Price Per Unit],D8428,RawData[Total Spent],E8428,RawData[Payment Method],F8428,RawData[Location],G8428,RawData[Transaction Date],H8428)</f>
        <v>1</v>
      </c>
      <c r="L8428"/>
    </row>
    <row r="8429" spans="1:12" x14ac:dyDescent="0.3">
      <c r="A8429" t="s">
        <v>8435</v>
      </c>
      <c r="B8429" t="s">
        <v>10012</v>
      </c>
      <c r="C8429">
        <v>5</v>
      </c>
      <c r="D8429">
        <v>4</v>
      </c>
      <c r="E8429">
        <v>20</v>
      </c>
      <c r="F8429" t="s">
        <v>10019</v>
      </c>
      <c r="G8429" t="s">
        <v>10021</v>
      </c>
      <c r="H8429" s="6">
        <v>45060</v>
      </c>
      <c r="I8429">
        <f t="shared" si="262"/>
        <v>0</v>
      </c>
      <c r="J8429" t="str">
        <f t="shared" si="263"/>
        <v>Complete</v>
      </c>
      <c r="K8429">
        <f>COUNTIFS(RawData[Item], B8429,RawData[Quantity],C8429,RawData[Price Per Unit],D8429,RawData[Total Spent],E8429,RawData[Payment Method],F8429,RawData[Location],G8429,RawData[Transaction Date],H8429)</f>
        <v>1</v>
      </c>
      <c r="L8429"/>
    </row>
    <row r="8430" spans="1:12" x14ac:dyDescent="0.3">
      <c r="A8430" t="s">
        <v>8436</v>
      </c>
      <c r="B8430" t="s">
        <v>10016</v>
      </c>
      <c r="C8430">
        <v>3</v>
      </c>
      <c r="D8430">
        <v>3</v>
      </c>
      <c r="E8430">
        <v>9</v>
      </c>
      <c r="F8430" t="s">
        <v>10069</v>
      </c>
      <c r="G8430" t="s">
        <v>10021</v>
      </c>
      <c r="H8430" s="6">
        <v>45154</v>
      </c>
      <c r="I8430">
        <f t="shared" si="262"/>
        <v>0</v>
      </c>
      <c r="J8430" t="str">
        <f t="shared" si="263"/>
        <v>Complete</v>
      </c>
      <c r="K8430">
        <f>COUNTIFS(RawData[Item], B8430,RawData[Quantity],C8430,RawData[Price Per Unit],D8430,RawData[Total Spent],E8430,RawData[Payment Method],F8430,RawData[Location],G8430,RawData[Transaction Date],H8430)</f>
        <v>2</v>
      </c>
      <c r="L8430"/>
    </row>
    <row r="8431" spans="1:12" x14ac:dyDescent="0.3">
      <c r="A8431" t="s">
        <v>8437</v>
      </c>
      <c r="B8431" t="s">
        <v>10010</v>
      </c>
      <c r="C8431">
        <v>4</v>
      </c>
      <c r="D8431" t="s">
        <v>10013</v>
      </c>
      <c r="E8431">
        <v>4</v>
      </c>
      <c r="F8431" t="s">
        <v>10069</v>
      </c>
      <c r="G8431" t="s">
        <v>10069</v>
      </c>
      <c r="H8431" s="6">
        <v>45096</v>
      </c>
      <c r="I8431">
        <f t="shared" si="262"/>
        <v>1</v>
      </c>
      <c r="J8431" t="str">
        <f t="shared" si="263"/>
        <v>Complete</v>
      </c>
      <c r="K8431">
        <f>COUNTIFS(RawData[Item], B8431,RawData[Quantity],C8431,RawData[Price Per Unit],D8431,RawData[Total Spent],E8431,RawData[Payment Method],F8431,RawData[Location],G8431,RawData[Transaction Date],H8431)</f>
        <v>1</v>
      </c>
      <c r="L8431"/>
    </row>
    <row r="8432" spans="1:12" x14ac:dyDescent="0.3">
      <c r="A8432" t="s">
        <v>8438</v>
      </c>
      <c r="B8432" t="s">
        <v>10008</v>
      </c>
      <c r="C8432">
        <v>3</v>
      </c>
      <c r="D8432">
        <v>2</v>
      </c>
      <c r="E8432">
        <v>6</v>
      </c>
      <c r="F8432" t="s">
        <v>10020</v>
      </c>
      <c r="G8432" t="s">
        <v>10069</v>
      </c>
      <c r="H8432" s="6">
        <v>45074</v>
      </c>
      <c r="I8432">
        <f t="shared" si="262"/>
        <v>0</v>
      </c>
      <c r="J8432" t="str">
        <f t="shared" si="263"/>
        <v>Complete</v>
      </c>
      <c r="K8432">
        <f>COUNTIFS(RawData[Item], B8432,RawData[Quantity],C8432,RawData[Price Per Unit],D8432,RawData[Total Spent],E8432,RawData[Payment Method],F8432,RawData[Location],G8432,RawData[Transaction Date],H8432)</f>
        <v>1</v>
      </c>
      <c r="L8432"/>
    </row>
    <row r="8433" spans="1:12" x14ac:dyDescent="0.3">
      <c r="A8433" t="s">
        <v>8439</v>
      </c>
      <c r="B8433" t="s">
        <v>10012</v>
      </c>
      <c r="C8433">
        <v>2</v>
      </c>
      <c r="D8433">
        <v>4</v>
      </c>
      <c r="E8433">
        <v>8</v>
      </c>
      <c r="F8433" t="s">
        <v>10018</v>
      </c>
      <c r="G8433" t="s">
        <v>10069</v>
      </c>
      <c r="H8433" s="6">
        <v>44934</v>
      </c>
      <c r="I8433">
        <f t="shared" si="262"/>
        <v>0</v>
      </c>
      <c r="J8433" t="str">
        <f t="shared" si="263"/>
        <v>Complete</v>
      </c>
      <c r="K8433">
        <f>COUNTIFS(RawData[Item], B8433,RawData[Quantity],C8433,RawData[Price Per Unit],D8433,RawData[Total Spent],E8433,RawData[Payment Method],F8433,RawData[Location],G8433,RawData[Transaction Date],H8433)</f>
        <v>1</v>
      </c>
      <c r="L8433"/>
    </row>
    <row r="8434" spans="1:12" x14ac:dyDescent="0.3">
      <c r="A8434" t="s">
        <v>8440</v>
      </c>
      <c r="B8434" t="s">
        <v>10011</v>
      </c>
      <c r="C8434">
        <v>1</v>
      </c>
      <c r="D8434">
        <v>5</v>
      </c>
      <c r="E8434">
        <v>5</v>
      </c>
      <c r="F8434" t="s">
        <v>10104</v>
      </c>
      <c r="G8434" t="s">
        <v>10021</v>
      </c>
      <c r="H8434" s="6">
        <v>45095</v>
      </c>
      <c r="I8434">
        <f t="shared" si="262"/>
        <v>1</v>
      </c>
      <c r="J8434" t="str">
        <f t="shared" si="263"/>
        <v>Complete</v>
      </c>
      <c r="K8434">
        <f>COUNTIFS(RawData[Item], B8434,RawData[Quantity],C8434,RawData[Price Per Unit],D8434,RawData[Total Spent],E8434,RawData[Payment Method],F8434,RawData[Location],G8434,RawData[Transaction Date],H8434)</f>
        <v>1</v>
      </c>
      <c r="L8434"/>
    </row>
    <row r="8435" spans="1:12" x14ac:dyDescent="0.3">
      <c r="A8435" t="s">
        <v>8441</v>
      </c>
      <c r="B8435" t="s">
        <v>10017</v>
      </c>
      <c r="C8435">
        <v>1</v>
      </c>
      <c r="D8435">
        <v>1.5</v>
      </c>
      <c r="E8435">
        <v>1.5</v>
      </c>
      <c r="F8435" t="s">
        <v>10103</v>
      </c>
      <c r="G8435" t="s">
        <v>10021</v>
      </c>
      <c r="H8435" s="6">
        <v>44972</v>
      </c>
      <c r="I8435">
        <f t="shared" si="262"/>
        <v>1</v>
      </c>
      <c r="J8435" t="str">
        <f t="shared" si="263"/>
        <v>Complete</v>
      </c>
      <c r="K8435">
        <f>COUNTIFS(RawData[Item], B8435,RawData[Quantity],C8435,RawData[Price Per Unit],D8435,RawData[Total Spent],E8435,RawData[Payment Method],F8435,RawData[Location],G8435,RawData[Transaction Date],H8435)</f>
        <v>1</v>
      </c>
      <c r="L8435"/>
    </row>
    <row r="8436" spans="1:12" x14ac:dyDescent="0.3">
      <c r="A8436" t="s">
        <v>8442</v>
      </c>
      <c r="B8436" t="s">
        <v>10012</v>
      </c>
      <c r="C8436">
        <v>4</v>
      </c>
      <c r="D8436">
        <v>4</v>
      </c>
      <c r="E8436">
        <v>16</v>
      </c>
      <c r="F8436" t="s">
        <v>10020</v>
      </c>
      <c r="G8436" t="s">
        <v>10069</v>
      </c>
      <c r="H8436" s="6">
        <v>45240</v>
      </c>
      <c r="I8436">
        <f t="shared" si="262"/>
        <v>0</v>
      </c>
      <c r="J8436" t="str">
        <f t="shared" si="263"/>
        <v>Complete</v>
      </c>
      <c r="K8436">
        <f>COUNTIFS(RawData[Item], B8436,RawData[Quantity],C8436,RawData[Price Per Unit],D8436,RawData[Total Spent],E8436,RawData[Payment Method],F8436,RawData[Location],G8436,RawData[Transaction Date],H8436)</f>
        <v>1</v>
      </c>
      <c r="L8436"/>
    </row>
    <row r="8437" spans="1:12" x14ac:dyDescent="0.3">
      <c r="A8437" t="s">
        <v>8443</v>
      </c>
      <c r="B8437" t="s">
        <v>10008</v>
      </c>
      <c r="C8437">
        <v>1</v>
      </c>
      <c r="D8437">
        <v>2</v>
      </c>
      <c r="E8437">
        <v>2</v>
      </c>
      <c r="F8437" t="s">
        <v>10018</v>
      </c>
      <c r="G8437" t="s">
        <v>10069</v>
      </c>
      <c r="H8437" s="6">
        <v>45031</v>
      </c>
      <c r="I8437">
        <f t="shared" si="262"/>
        <v>0</v>
      </c>
      <c r="J8437" t="str">
        <f t="shared" si="263"/>
        <v>Complete</v>
      </c>
      <c r="K8437">
        <f>COUNTIFS(RawData[Item], B8437,RawData[Quantity],C8437,RawData[Price Per Unit],D8437,RawData[Total Spent],E8437,RawData[Payment Method],F8437,RawData[Location],G8437,RawData[Transaction Date],H8437)</f>
        <v>1</v>
      </c>
      <c r="L8437"/>
    </row>
    <row r="8438" spans="1:12" x14ac:dyDescent="0.3">
      <c r="A8438" t="s">
        <v>8444</v>
      </c>
      <c r="B8438" t="s">
        <v>10016</v>
      </c>
      <c r="C8438">
        <v>3</v>
      </c>
      <c r="D8438" t="s">
        <v>10013</v>
      </c>
      <c r="E8438">
        <v>9</v>
      </c>
      <c r="F8438" t="s">
        <v>10018</v>
      </c>
      <c r="G8438" t="s">
        <v>10102</v>
      </c>
      <c r="H8438" s="6">
        <v>45133</v>
      </c>
      <c r="I8438">
        <f t="shared" si="262"/>
        <v>1</v>
      </c>
      <c r="J8438" t="str">
        <f t="shared" si="263"/>
        <v>Complete</v>
      </c>
      <c r="K8438">
        <f>COUNTIFS(RawData[Item], B8438,RawData[Quantity],C8438,RawData[Price Per Unit],D8438,RawData[Total Spent],E8438,RawData[Payment Method],F8438,RawData[Location],G8438,RawData[Transaction Date],H8438)</f>
        <v>1</v>
      </c>
      <c r="L8438"/>
    </row>
    <row r="8439" spans="1:12" x14ac:dyDescent="0.3">
      <c r="A8439" t="s">
        <v>8445</v>
      </c>
      <c r="B8439" t="s">
        <v>10011</v>
      </c>
      <c r="C8439">
        <v>1</v>
      </c>
      <c r="D8439">
        <v>5</v>
      </c>
      <c r="E8439">
        <v>5</v>
      </c>
      <c r="F8439" t="s">
        <v>10018</v>
      </c>
      <c r="G8439" t="s">
        <v>10069</v>
      </c>
      <c r="H8439" s="6">
        <v>45001</v>
      </c>
      <c r="I8439">
        <f t="shared" si="262"/>
        <v>0</v>
      </c>
      <c r="J8439" t="str">
        <f t="shared" si="263"/>
        <v>Complete</v>
      </c>
      <c r="K8439">
        <f>COUNTIFS(RawData[Item], B8439,RawData[Quantity],C8439,RawData[Price Per Unit],D8439,RawData[Total Spent],E8439,RawData[Payment Method],F8439,RawData[Location],G8439,RawData[Transaction Date],H8439)</f>
        <v>1</v>
      </c>
      <c r="L8439"/>
    </row>
    <row r="8440" spans="1:12" x14ac:dyDescent="0.3">
      <c r="A8440" t="s">
        <v>8446</v>
      </c>
      <c r="B8440" t="s">
        <v>10069</v>
      </c>
      <c r="C8440">
        <v>1</v>
      </c>
      <c r="D8440">
        <v>1</v>
      </c>
      <c r="E8440">
        <v>1</v>
      </c>
      <c r="F8440" t="s">
        <v>10020</v>
      </c>
      <c r="G8440" t="s">
        <v>10021</v>
      </c>
      <c r="H8440" s="6">
        <v>45003</v>
      </c>
      <c r="I8440">
        <f t="shared" si="262"/>
        <v>0</v>
      </c>
      <c r="J8440" t="str">
        <f t="shared" si="263"/>
        <v>Complete</v>
      </c>
      <c r="K8440">
        <f>COUNTIFS(RawData[Item], B8440,RawData[Quantity],C8440,RawData[Price Per Unit],D8440,RawData[Total Spent],E8440,RawData[Payment Method],F8440,RawData[Location],G8440,RawData[Transaction Date],H8440)</f>
        <v>1</v>
      </c>
      <c r="L8440"/>
    </row>
    <row r="8441" spans="1:12" x14ac:dyDescent="0.3">
      <c r="A8441" t="s">
        <v>8447</v>
      </c>
      <c r="B8441" t="s">
        <v>10014</v>
      </c>
      <c r="C8441">
        <v>1</v>
      </c>
      <c r="D8441">
        <v>4</v>
      </c>
      <c r="E8441" t="s">
        <v>10013</v>
      </c>
      <c r="F8441" t="s">
        <v>10020</v>
      </c>
      <c r="G8441" t="s">
        <v>10021</v>
      </c>
      <c r="H8441" s="6">
        <v>45192</v>
      </c>
      <c r="I8441">
        <f t="shared" si="262"/>
        <v>1</v>
      </c>
      <c r="J8441" t="str">
        <f t="shared" si="263"/>
        <v>Complete</v>
      </c>
      <c r="K8441">
        <f>COUNTIFS(RawData[Item], B8441,RawData[Quantity],C8441,RawData[Price Per Unit],D8441,RawData[Total Spent],E8441,RawData[Payment Method],F8441,RawData[Location],G8441,RawData[Transaction Date],H8441)</f>
        <v>1</v>
      </c>
      <c r="L8441"/>
    </row>
    <row r="8442" spans="1:12" x14ac:dyDescent="0.3">
      <c r="A8442" t="s">
        <v>8448</v>
      </c>
      <c r="B8442" t="s">
        <v>10009</v>
      </c>
      <c r="C8442">
        <v>2</v>
      </c>
      <c r="D8442">
        <v>3</v>
      </c>
      <c r="E8442">
        <v>6</v>
      </c>
      <c r="F8442" t="s">
        <v>10020</v>
      </c>
      <c r="G8442" t="s">
        <v>10021</v>
      </c>
      <c r="H8442" s="6">
        <v>45140</v>
      </c>
      <c r="I8442">
        <f t="shared" si="262"/>
        <v>0</v>
      </c>
      <c r="J8442" t="str">
        <f t="shared" si="263"/>
        <v>Complete</v>
      </c>
      <c r="K8442">
        <f>COUNTIFS(RawData[Item], B8442,RawData[Quantity],C8442,RawData[Price Per Unit],D8442,RawData[Total Spent],E8442,RawData[Payment Method],F8442,RawData[Location],G8442,RawData[Transaction Date],H8442)</f>
        <v>1</v>
      </c>
      <c r="L8442"/>
    </row>
    <row r="8443" spans="1:12" x14ac:dyDescent="0.3">
      <c r="A8443" t="s">
        <v>8449</v>
      </c>
      <c r="B8443" t="s">
        <v>10017</v>
      </c>
      <c r="C8443">
        <v>2</v>
      </c>
      <c r="D8443">
        <v>1.5</v>
      </c>
      <c r="E8443">
        <v>3</v>
      </c>
      <c r="F8443" t="s">
        <v>10019</v>
      </c>
      <c r="G8443" t="s">
        <v>10102</v>
      </c>
      <c r="H8443" s="6">
        <v>45171</v>
      </c>
      <c r="I8443">
        <f t="shared" si="262"/>
        <v>0</v>
      </c>
      <c r="J8443" t="str">
        <f t="shared" si="263"/>
        <v>Complete</v>
      </c>
      <c r="K8443">
        <f>COUNTIFS(RawData[Item], B8443,RawData[Quantity],C8443,RawData[Price Per Unit],D8443,RawData[Total Spent],E8443,RawData[Payment Method],F8443,RawData[Location],G8443,RawData[Transaction Date],H8443)</f>
        <v>1</v>
      </c>
      <c r="L8443"/>
    </row>
    <row r="8444" spans="1:12" x14ac:dyDescent="0.3">
      <c r="A8444" t="s">
        <v>8450</v>
      </c>
      <c r="B8444" t="s">
        <v>10017</v>
      </c>
      <c r="C8444">
        <v>1</v>
      </c>
      <c r="D8444">
        <v>1.5</v>
      </c>
      <c r="E8444">
        <v>1.5</v>
      </c>
      <c r="F8444" t="s">
        <v>10018</v>
      </c>
      <c r="G8444" t="s">
        <v>10102</v>
      </c>
      <c r="H8444" s="6">
        <v>45156</v>
      </c>
      <c r="I8444">
        <f t="shared" si="262"/>
        <v>0</v>
      </c>
      <c r="J8444" t="str">
        <f t="shared" si="263"/>
        <v>Complete</v>
      </c>
      <c r="K8444">
        <f>COUNTIFS(RawData[Item], B8444,RawData[Quantity],C8444,RawData[Price Per Unit],D8444,RawData[Total Spent],E8444,RawData[Payment Method],F8444,RawData[Location],G8444,RawData[Transaction Date],H8444)</f>
        <v>1</v>
      </c>
      <c r="L8444"/>
    </row>
    <row r="8445" spans="1:12" x14ac:dyDescent="0.3">
      <c r="A8445" t="s">
        <v>8451</v>
      </c>
      <c r="B8445" t="s">
        <v>10014</v>
      </c>
      <c r="C8445">
        <v>0</v>
      </c>
      <c r="D8445">
        <v>4</v>
      </c>
      <c r="E8445" t="s">
        <v>10015</v>
      </c>
      <c r="F8445" t="s">
        <v>10019</v>
      </c>
      <c r="G8445" t="s">
        <v>10102</v>
      </c>
      <c r="H8445" s="6">
        <v>45071</v>
      </c>
      <c r="I8445">
        <f t="shared" si="262"/>
        <v>1</v>
      </c>
      <c r="J8445" t="str">
        <f t="shared" si="263"/>
        <v>Complete</v>
      </c>
      <c r="K8445">
        <f>COUNTIFS(RawData[Item], B8445,RawData[Quantity],C8445,RawData[Price Per Unit],D8445,RawData[Total Spent],E8445,RawData[Payment Method],F8445,RawData[Location],G8445,RawData[Transaction Date],H8445)</f>
        <v>1</v>
      </c>
      <c r="L8445"/>
    </row>
    <row r="8446" spans="1:12" x14ac:dyDescent="0.3">
      <c r="A8446" t="s">
        <v>8452</v>
      </c>
      <c r="B8446" t="s">
        <v>10011</v>
      </c>
      <c r="C8446">
        <v>3</v>
      </c>
      <c r="D8446">
        <v>5</v>
      </c>
      <c r="E8446">
        <v>15</v>
      </c>
      <c r="F8446" t="s">
        <v>10020</v>
      </c>
      <c r="G8446" t="s">
        <v>10069</v>
      </c>
      <c r="H8446" s="6">
        <v>45055</v>
      </c>
      <c r="I8446">
        <f t="shared" si="262"/>
        <v>0</v>
      </c>
      <c r="J8446" t="str">
        <f t="shared" si="263"/>
        <v>Complete</v>
      </c>
      <c r="K8446">
        <f>COUNTIFS(RawData[Item], B8446,RawData[Quantity],C8446,RawData[Price Per Unit],D8446,RawData[Total Spent],E8446,RawData[Payment Method],F8446,RawData[Location],G8446,RawData[Transaction Date],H8446)</f>
        <v>1</v>
      </c>
      <c r="L8446"/>
    </row>
    <row r="8447" spans="1:12" x14ac:dyDescent="0.3">
      <c r="A8447" t="s">
        <v>8453</v>
      </c>
      <c r="B8447" t="s">
        <v>10014</v>
      </c>
      <c r="C8447">
        <v>5</v>
      </c>
      <c r="D8447">
        <v>4</v>
      </c>
      <c r="E8447">
        <v>20</v>
      </c>
      <c r="F8447" t="s">
        <v>10020</v>
      </c>
      <c r="G8447" t="s">
        <v>10021</v>
      </c>
      <c r="H8447" s="6">
        <v>45008</v>
      </c>
      <c r="I8447">
        <f t="shared" si="262"/>
        <v>0</v>
      </c>
      <c r="J8447" t="str">
        <f t="shared" si="263"/>
        <v>Complete</v>
      </c>
      <c r="K8447">
        <f>COUNTIFS(RawData[Item], B8447,RawData[Quantity],C8447,RawData[Price Per Unit],D8447,RawData[Total Spent],E8447,RawData[Payment Method],F8447,RawData[Location],G8447,RawData[Transaction Date],H8447)</f>
        <v>1</v>
      </c>
      <c r="L8447"/>
    </row>
    <row r="8448" spans="1:12" x14ac:dyDescent="0.3">
      <c r="A8448" t="s">
        <v>8454</v>
      </c>
      <c r="B8448" t="s">
        <v>10008</v>
      </c>
      <c r="C8448">
        <v>1</v>
      </c>
      <c r="D8448">
        <v>2</v>
      </c>
      <c r="E8448">
        <v>2</v>
      </c>
      <c r="F8448" t="s">
        <v>10069</v>
      </c>
      <c r="G8448" t="s">
        <v>10021</v>
      </c>
      <c r="H8448" s="6">
        <v>44988</v>
      </c>
      <c r="I8448">
        <f t="shared" si="262"/>
        <v>0</v>
      </c>
      <c r="J8448" t="str">
        <f t="shared" si="263"/>
        <v>Complete</v>
      </c>
      <c r="K8448">
        <f>COUNTIFS(RawData[Item], B8448,RawData[Quantity],C8448,RawData[Price Per Unit],D8448,RawData[Total Spent],E8448,RawData[Payment Method],F8448,RawData[Location],G8448,RawData[Transaction Date],H8448)</f>
        <v>1</v>
      </c>
      <c r="L8448"/>
    </row>
    <row r="8449" spans="1:12" x14ac:dyDescent="0.3">
      <c r="A8449" t="s">
        <v>8455</v>
      </c>
      <c r="B8449" t="s">
        <v>10017</v>
      </c>
      <c r="C8449" t="s">
        <v>10015</v>
      </c>
      <c r="D8449">
        <v>1.5</v>
      </c>
      <c r="E8449">
        <v>1.5</v>
      </c>
      <c r="F8449" t="s">
        <v>10020</v>
      </c>
      <c r="G8449" t="s">
        <v>10021</v>
      </c>
      <c r="H8449" s="6">
        <v>44934</v>
      </c>
      <c r="I8449">
        <f t="shared" si="262"/>
        <v>1</v>
      </c>
      <c r="J8449" t="str">
        <f t="shared" si="263"/>
        <v>Complete</v>
      </c>
      <c r="K8449">
        <f>COUNTIFS(RawData[Item], B8449,RawData[Quantity],C8449,RawData[Price Per Unit],D8449,RawData[Total Spent],E8449,RawData[Payment Method],F8449,RawData[Location],G8449,RawData[Transaction Date],H8449)</f>
        <v>1</v>
      </c>
      <c r="L8449"/>
    </row>
    <row r="8450" spans="1:12" x14ac:dyDescent="0.3">
      <c r="A8450" t="s">
        <v>8456</v>
      </c>
      <c r="B8450" t="s">
        <v>10016</v>
      </c>
      <c r="C8450">
        <v>4</v>
      </c>
      <c r="D8450">
        <v>3</v>
      </c>
      <c r="E8450">
        <v>12</v>
      </c>
      <c r="F8450" t="s">
        <v>10103</v>
      </c>
      <c r="G8450" t="s">
        <v>10021</v>
      </c>
      <c r="H8450" s="6">
        <v>45080</v>
      </c>
      <c r="I8450">
        <f t="shared" ref="I8450:I8513" si="264">(B8450="Unknown")+(B8450="Error")+(C8450="Unknown")+(C8450="Error")+(D8450="Unknown")+(D8450="Error")+(E8450="Unknown")+(E8450="Error")+(F8450="Unknown")+(F8450="Error")+(G8450="Unknown")+(G8450="Error")+(H8450="No Date")</f>
        <v>1</v>
      </c>
      <c r="J8450" t="str">
        <f t="shared" ref="J8450:J8513" si="265">IF((H8450="No Date"),"Incomplete","Complete")</f>
        <v>Complete</v>
      </c>
      <c r="K8450">
        <f>COUNTIFS(RawData[Item], B8450,RawData[Quantity],C8450,RawData[Price Per Unit],D8450,RawData[Total Spent],E8450,RawData[Payment Method],F8450,RawData[Location],G8450,RawData[Transaction Date],H8450)</f>
        <v>1</v>
      </c>
      <c r="L8450"/>
    </row>
    <row r="8451" spans="1:12" x14ac:dyDescent="0.3">
      <c r="A8451" t="s">
        <v>8457</v>
      </c>
      <c r="B8451" t="s">
        <v>10069</v>
      </c>
      <c r="C8451">
        <v>1</v>
      </c>
      <c r="D8451">
        <v>1</v>
      </c>
      <c r="E8451">
        <v>1</v>
      </c>
      <c r="F8451" t="s">
        <v>10020</v>
      </c>
      <c r="G8451" t="s">
        <v>10102</v>
      </c>
      <c r="H8451" s="6">
        <v>45270</v>
      </c>
      <c r="I8451">
        <f t="shared" si="264"/>
        <v>0</v>
      </c>
      <c r="J8451" t="str">
        <f t="shared" si="265"/>
        <v>Complete</v>
      </c>
      <c r="K8451">
        <f>COUNTIFS(RawData[Item], B8451,RawData[Quantity],C8451,RawData[Price Per Unit],D8451,RawData[Total Spent],E8451,RawData[Payment Method],F8451,RawData[Location],G8451,RawData[Transaction Date],H8451)</f>
        <v>1</v>
      </c>
      <c r="L8451"/>
    </row>
    <row r="8452" spans="1:12" x14ac:dyDescent="0.3">
      <c r="A8452" t="s">
        <v>8458</v>
      </c>
      <c r="B8452" t="s">
        <v>10011</v>
      </c>
      <c r="C8452">
        <v>1</v>
      </c>
      <c r="D8452">
        <v>5</v>
      </c>
      <c r="E8452">
        <v>5</v>
      </c>
      <c r="F8452" t="s">
        <v>10019</v>
      </c>
      <c r="G8452" t="s">
        <v>10069</v>
      </c>
      <c r="H8452" s="6">
        <v>45031</v>
      </c>
      <c r="I8452">
        <f t="shared" si="264"/>
        <v>0</v>
      </c>
      <c r="J8452" t="str">
        <f t="shared" si="265"/>
        <v>Complete</v>
      </c>
      <c r="K8452">
        <f>COUNTIFS(RawData[Item], B8452,RawData[Quantity],C8452,RawData[Price Per Unit],D8452,RawData[Total Spent],E8452,RawData[Payment Method],F8452,RawData[Location],G8452,RawData[Transaction Date],H8452)</f>
        <v>1</v>
      </c>
      <c r="L8452"/>
    </row>
    <row r="8453" spans="1:12" x14ac:dyDescent="0.3">
      <c r="A8453" t="s">
        <v>8459</v>
      </c>
      <c r="B8453" t="s">
        <v>10008</v>
      </c>
      <c r="C8453">
        <v>4</v>
      </c>
      <c r="D8453">
        <v>2</v>
      </c>
      <c r="E8453">
        <v>8</v>
      </c>
      <c r="F8453" t="s">
        <v>10018</v>
      </c>
      <c r="G8453" t="s">
        <v>10102</v>
      </c>
      <c r="H8453" s="6">
        <v>44978</v>
      </c>
      <c r="I8453">
        <f t="shared" si="264"/>
        <v>0</v>
      </c>
      <c r="J8453" t="str">
        <f t="shared" si="265"/>
        <v>Complete</v>
      </c>
      <c r="K8453">
        <f>COUNTIFS(RawData[Item], B8453,RawData[Quantity],C8453,RawData[Price Per Unit],D8453,RawData[Total Spent],E8453,RawData[Payment Method],F8453,RawData[Location],G8453,RawData[Transaction Date],H8453)</f>
        <v>1</v>
      </c>
      <c r="L8453"/>
    </row>
    <row r="8454" spans="1:12" x14ac:dyDescent="0.3">
      <c r="A8454" t="s">
        <v>8460</v>
      </c>
      <c r="B8454" t="s">
        <v>10017</v>
      </c>
      <c r="C8454">
        <v>5</v>
      </c>
      <c r="D8454">
        <v>1.5</v>
      </c>
      <c r="E8454">
        <v>7.5</v>
      </c>
      <c r="F8454" t="s">
        <v>10018</v>
      </c>
      <c r="G8454" t="s">
        <v>10102</v>
      </c>
      <c r="H8454" s="6" t="s">
        <v>10112</v>
      </c>
      <c r="I8454">
        <f t="shared" si="264"/>
        <v>1</v>
      </c>
      <c r="J8454" t="str">
        <f t="shared" si="265"/>
        <v>Incomplete</v>
      </c>
      <c r="K8454">
        <f>COUNTIFS(RawData[Item], B8454,RawData[Quantity],C8454,RawData[Price Per Unit],D8454,RawData[Total Spent],E8454,RawData[Payment Method],F8454,RawData[Location],G8454,RawData[Transaction Date],H8454)</f>
        <v>2</v>
      </c>
      <c r="L8454"/>
    </row>
    <row r="8455" spans="1:12" x14ac:dyDescent="0.3">
      <c r="A8455" t="s">
        <v>8461</v>
      </c>
      <c r="B8455" t="s">
        <v>10010</v>
      </c>
      <c r="C8455">
        <v>3</v>
      </c>
      <c r="D8455">
        <v>1</v>
      </c>
      <c r="E8455">
        <v>3</v>
      </c>
      <c r="F8455" t="s">
        <v>10019</v>
      </c>
      <c r="G8455" t="s">
        <v>10021</v>
      </c>
      <c r="H8455" s="6">
        <v>45201</v>
      </c>
      <c r="I8455">
        <f t="shared" si="264"/>
        <v>0</v>
      </c>
      <c r="J8455" t="str">
        <f t="shared" si="265"/>
        <v>Complete</v>
      </c>
      <c r="K8455">
        <f>COUNTIFS(RawData[Item], B8455,RawData[Quantity],C8455,RawData[Price Per Unit],D8455,RawData[Total Spent],E8455,RawData[Payment Method],F8455,RawData[Location],G8455,RawData[Transaction Date],H8455)</f>
        <v>2</v>
      </c>
      <c r="L8455"/>
    </row>
    <row r="8456" spans="1:12" x14ac:dyDescent="0.3">
      <c r="A8456" t="s">
        <v>8462</v>
      </c>
      <c r="B8456" t="s">
        <v>10008</v>
      </c>
      <c r="C8456">
        <v>3</v>
      </c>
      <c r="D8456">
        <v>2</v>
      </c>
      <c r="E8456" t="s">
        <v>10015</v>
      </c>
      <c r="F8456" t="s">
        <v>10069</v>
      </c>
      <c r="G8456" t="s">
        <v>10069</v>
      </c>
      <c r="H8456" s="6">
        <v>45153</v>
      </c>
      <c r="I8456">
        <f t="shared" si="264"/>
        <v>1</v>
      </c>
      <c r="J8456" t="str">
        <f t="shared" si="265"/>
        <v>Complete</v>
      </c>
      <c r="K8456">
        <f>COUNTIFS(RawData[Item], B8456,RawData[Quantity],C8456,RawData[Price Per Unit],D8456,RawData[Total Spent],E8456,RawData[Payment Method],F8456,RawData[Location],G8456,RawData[Transaction Date],H8456)</f>
        <v>1</v>
      </c>
      <c r="L8456"/>
    </row>
    <row r="8457" spans="1:12" x14ac:dyDescent="0.3">
      <c r="A8457" t="s">
        <v>8463</v>
      </c>
      <c r="B8457" t="s">
        <v>10014</v>
      </c>
      <c r="C8457">
        <v>1</v>
      </c>
      <c r="D8457">
        <v>4</v>
      </c>
      <c r="E8457">
        <v>4</v>
      </c>
      <c r="F8457" t="s">
        <v>10019</v>
      </c>
      <c r="G8457" t="s">
        <v>10021</v>
      </c>
      <c r="H8457" s="6">
        <v>45049</v>
      </c>
      <c r="I8457">
        <f t="shared" si="264"/>
        <v>0</v>
      </c>
      <c r="J8457" t="str">
        <f t="shared" si="265"/>
        <v>Complete</v>
      </c>
      <c r="K8457">
        <f>COUNTIFS(RawData[Item], B8457,RawData[Quantity],C8457,RawData[Price Per Unit],D8457,RawData[Total Spent],E8457,RawData[Payment Method],F8457,RawData[Location],G8457,RawData[Transaction Date],H8457)</f>
        <v>1</v>
      </c>
      <c r="L8457"/>
    </row>
    <row r="8458" spans="1:12" x14ac:dyDescent="0.3">
      <c r="A8458" t="s">
        <v>8464</v>
      </c>
      <c r="B8458" t="s">
        <v>10010</v>
      </c>
      <c r="C8458">
        <v>4</v>
      </c>
      <c r="D8458">
        <v>1</v>
      </c>
      <c r="E8458">
        <v>4</v>
      </c>
      <c r="F8458" t="s">
        <v>10018</v>
      </c>
      <c r="G8458" t="s">
        <v>10104</v>
      </c>
      <c r="H8458" s="6">
        <v>45178</v>
      </c>
      <c r="I8458">
        <f t="shared" si="264"/>
        <v>1</v>
      </c>
      <c r="J8458" t="str">
        <f t="shared" si="265"/>
        <v>Complete</v>
      </c>
      <c r="K8458">
        <f>COUNTIFS(RawData[Item], B8458,RawData[Quantity],C8458,RawData[Price Per Unit],D8458,RawData[Total Spent],E8458,RawData[Payment Method],F8458,RawData[Location],G8458,RawData[Transaction Date],H8458)</f>
        <v>1</v>
      </c>
      <c r="L8458"/>
    </row>
    <row r="8459" spans="1:12" x14ac:dyDescent="0.3">
      <c r="A8459" t="s">
        <v>8465</v>
      </c>
      <c r="B8459" t="s">
        <v>10011</v>
      </c>
      <c r="C8459">
        <v>5</v>
      </c>
      <c r="D8459">
        <v>5</v>
      </c>
      <c r="E8459">
        <v>25</v>
      </c>
      <c r="F8459" t="s">
        <v>10104</v>
      </c>
      <c r="G8459" t="s">
        <v>10102</v>
      </c>
      <c r="H8459" s="6">
        <v>45002</v>
      </c>
      <c r="I8459">
        <f t="shared" si="264"/>
        <v>1</v>
      </c>
      <c r="J8459" t="str">
        <f t="shared" si="265"/>
        <v>Complete</v>
      </c>
      <c r="K8459">
        <f>COUNTIFS(RawData[Item], B8459,RawData[Quantity],C8459,RawData[Price Per Unit],D8459,RawData[Total Spent],E8459,RawData[Payment Method],F8459,RawData[Location],G8459,RawData[Transaction Date],H8459)</f>
        <v>1</v>
      </c>
      <c r="L8459"/>
    </row>
    <row r="8460" spans="1:12" x14ac:dyDescent="0.3">
      <c r="A8460" t="s">
        <v>8466</v>
      </c>
      <c r="B8460" t="s">
        <v>10069</v>
      </c>
      <c r="C8460">
        <v>5</v>
      </c>
      <c r="D8460" t="s">
        <v>10015</v>
      </c>
      <c r="E8460">
        <v>15</v>
      </c>
      <c r="F8460" t="s">
        <v>10069</v>
      </c>
      <c r="G8460" t="s">
        <v>10102</v>
      </c>
      <c r="H8460" s="6">
        <v>45040</v>
      </c>
      <c r="I8460">
        <f t="shared" si="264"/>
        <v>1</v>
      </c>
      <c r="J8460" t="str">
        <f t="shared" si="265"/>
        <v>Complete</v>
      </c>
      <c r="K8460">
        <f>COUNTIFS(RawData[Item], B8460,RawData[Quantity],C8460,RawData[Price Per Unit],D8460,RawData[Total Spent],E8460,RawData[Payment Method],F8460,RawData[Location],G8460,RawData[Transaction Date],H8460)</f>
        <v>1</v>
      </c>
      <c r="L8460"/>
    </row>
    <row r="8461" spans="1:12" x14ac:dyDescent="0.3">
      <c r="A8461" t="s">
        <v>8467</v>
      </c>
      <c r="B8461" t="s">
        <v>10011</v>
      </c>
      <c r="C8461">
        <v>1</v>
      </c>
      <c r="D8461">
        <v>5</v>
      </c>
      <c r="E8461">
        <v>5</v>
      </c>
      <c r="F8461" t="s">
        <v>10020</v>
      </c>
      <c r="G8461" t="s">
        <v>10069</v>
      </c>
      <c r="H8461" s="6">
        <v>45012</v>
      </c>
      <c r="I8461">
        <f t="shared" si="264"/>
        <v>0</v>
      </c>
      <c r="J8461" t="str">
        <f t="shared" si="265"/>
        <v>Complete</v>
      </c>
      <c r="K8461">
        <f>COUNTIFS(RawData[Item], B8461,RawData[Quantity],C8461,RawData[Price Per Unit],D8461,RawData[Total Spent],E8461,RawData[Payment Method],F8461,RawData[Location],G8461,RawData[Transaction Date],H8461)</f>
        <v>1</v>
      </c>
      <c r="L8461"/>
    </row>
    <row r="8462" spans="1:12" x14ac:dyDescent="0.3">
      <c r="A8462" t="s">
        <v>8468</v>
      </c>
      <c r="B8462" t="s">
        <v>10017</v>
      </c>
      <c r="C8462">
        <v>1</v>
      </c>
      <c r="D8462">
        <v>1.5</v>
      </c>
      <c r="E8462">
        <v>1.5</v>
      </c>
      <c r="F8462" t="s">
        <v>10104</v>
      </c>
      <c r="G8462" t="s">
        <v>10069</v>
      </c>
      <c r="H8462" s="6">
        <v>45056</v>
      </c>
      <c r="I8462">
        <f t="shared" si="264"/>
        <v>1</v>
      </c>
      <c r="J8462" t="str">
        <f t="shared" si="265"/>
        <v>Complete</v>
      </c>
      <c r="K8462">
        <f>COUNTIFS(RawData[Item], B8462,RawData[Quantity],C8462,RawData[Price Per Unit],D8462,RawData[Total Spent],E8462,RawData[Payment Method],F8462,RawData[Location],G8462,RawData[Transaction Date],H8462)</f>
        <v>1</v>
      </c>
      <c r="L8462"/>
    </row>
    <row r="8463" spans="1:12" x14ac:dyDescent="0.3">
      <c r="A8463" t="s">
        <v>8469</v>
      </c>
      <c r="B8463" t="s">
        <v>10011</v>
      </c>
      <c r="C8463">
        <v>4</v>
      </c>
      <c r="D8463">
        <v>5</v>
      </c>
      <c r="E8463">
        <v>20</v>
      </c>
      <c r="F8463" t="s">
        <v>10018</v>
      </c>
      <c r="G8463" t="s">
        <v>10021</v>
      </c>
      <c r="H8463" s="6">
        <v>45073</v>
      </c>
      <c r="I8463">
        <f t="shared" si="264"/>
        <v>0</v>
      </c>
      <c r="J8463" t="str">
        <f t="shared" si="265"/>
        <v>Complete</v>
      </c>
      <c r="K8463">
        <f>COUNTIFS(RawData[Item], B8463,RawData[Quantity],C8463,RawData[Price Per Unit],D8463,RawData[Total Spent],E8463,RawData[Payment Method],F8463,RawData[Location],G8463,RawData[Transaction Date],H8463)</f>
        <v>1</v>
      </c>
      <c r="L8463"/>
    </row>
    <row r="8464" spans="1:12" x14ac:dyDescent="0.3">
      <c r="A8464" t="s">
        <v>8470</v>
      </c>
      <c r="B8464" t="s">
        <v>10008</v>
      </c>
      <c r="C8464">
        <v>2</v>
      </c>
      <c r="D8464">
        <v>2</v>
      </c>
      <c r="E8464">
        <v>4</v>
      </c>
      <c r="F8464" t="s">
        <v>10018</v>
      </c>
      <c r="G8464" t="s">
        <v>10103</v>
      </c>
      <c r="H8464" s="6">
        <v>45200</v>
      </c>
      <c r="I8464">
        <f t="shared" si="264"/>
        <v>1</v>
      </c>
      <c r="J8464" t="str">
        <f t="shared" si="265"/>
        <v>Complete</v>
      </c>
      <c r="K8464">
        <f>COUNTIFS(RawData[Item], B8464,RawData[Quantity],C8464,RawData[Price Per Unit],D8464,RawData[Total Spent],E8464,RawData[Payment Method],F8464,RawData[Location],G8464,RawData[Transaction Date],H8464)</f>
        <v>1</v>
      </c>
      <c r="L8464"/>
    </row>
    <row r="8465" spans="1:12" x14ac:dyDescent="0.3">
      <c r="A8465" t="s">
        <v>8471</v>
      </c>
      <c r="B8465" t="s">
        <v>10013</v>
      </c>
      <c r="C8465">
        <v>5</v>
      </c>
      <c r="D8465" t="s">
        <v>10015</v>
      </c>
      <c r="E8465">
        <v>15</v>
      </c>
      <c r="F8465" t="s">
        <v>10019</v>
      </c>
      <c r="G8465" t="s">
        <v>10021</v>
      </c>
      <c r="H8465" s="6">
        <v>45003</v>
      </c>
      <c r="I8465">
        <f t="shared" si="264"/>
        <v>2</v>
      </c>
      <c r="J8465" t="str">
        <f t="shared" si="265"/>
        <v>Complete</v>
      </c>
      <c r="K8465">
        <f>COUNTIFS(RawData[Item], B8465,RawData[Quantity],C8465,RawData[Price Per Unit],D8465,RawData[Total Spent],E8465,RawData[Payment Method],F8465,RawData[Location],G8465,RawData[Transaction Date],H8465)</f>
        <v>1</v>
      </c>
      <c r="L8465"/>
    </row>
    <row r="8466" spans="1:12" x14ac:dyDescent="0.3">
      <c r="A8466" t="s">
        <v>8472</v>
      </c>
      <c r="B8466" t="s">
        <v>10016</v>
      </c>
      <c r="C8466" t="s">
        <v>10015</v>
      </c>
      <c r="D8466">
        <v>3</v>
      </c>
      <c r="E8466">
        <v>12</v>
      </c>
      <c r="F8466" t="s">
        <v>10069</v>
      </c>
      <c r="G8466" t="s">
        <v>10021</v>
      </c>
      <c r="H8466" s="6" t="s">
        <v>10112</v>
      </c>
      <c r="I8466">
        <f t="shared" si="264"/>
        <v>2</v>
      </c>
      <c r="J8466" t="str">
        <f t="shared" si="265"/>
        <v>Incomplete</v>
      </c>
      <c r="K8466">
        <f>COUNTIFS(RawData[Item], B8466,RawData[Quantity],C8466,RawData[Price Per Unit],D8466,RawData[Total Spent],E8466,RawData[Payment Method],F8466,RawData[Location],G8466,RawData[Transaction Date],H8466)</f>
        <v>1</v>
      </c>
      <c r="L8466"/>
    </row>
    <row r="8467" spans="1:12" x14ac:dyDescent="0.3">
      <c r="A8467" t="s">
        <v>8473</v>
      </c>
      <c r="B8467" t="s">
        <v>10008</v>
      </c>
      <c r="C8467" t="s">
        <v>10015</v>
      </c>
      <c r="D8467">
        <v>2</v>
      </c>
      <c r="E8467" t="s">
        <v>10013</v>
      </c>
      <c r="F8467" t="s">
        <v>10069</v>
      </c>
      <c r="G8467" t="s">
        <v>10104</v>
      </c>
      <c r="H8467" s="6">
        <v>45080</v>
      </c>
      <c r="I8467">
        <f t="shared" si="264"/>
        <v>3</v>
      </c>
      <c r="J8467" t="str">
        <f t="shared" si="265"/>
        <v>Complete</v>
      </c>
      <c r="K8467">
        <f>COUNTIFS(RawData[Item], B8467,RawData[Quantity],C8467,RawData[Price Per Unit],D8467,RawData[Total Spent],E8467,RawData[Payment Method],F8467,RawData[Location],G8467,RawData[Transaction Date],H8467)</f>
        <v>1</v>
      </c>
      <c r="L8467"/>
    </row>
    <row r="8468" spans="1:12" x14ac:dyDescent="0.3">
      <c r="A8468" t="s">
        <v>8474</v>
      </c>
      <c r="B8468" t="s">
        <v>10010</v>
      </c>
      <c r="C8468">
        <v>2</v>
      </c>
      <c r="D8468">
        <v>1</v>
      </c>
      <c r="E8468">
        <v>2</v>
      </c>
      <c r="F8468" t="s">
        <v>10019</v>
      </c>
      <c r="G8468" t="s">
        <v>10069</v>
      </c>
      <c r="H8468" s="6">
        <v>45227</v>
      </c>
      <c r="I8468">
        <f t="shared" si="264"/>
        <v>0</v>
      </c>
      <c r="J8468" t="str">
        <f t="shared" si="265"/>
        <v>Complete</v>
      </c>
      <c r="K8468">
        <f>COUNTIFS(RawData[Item], B8468,RawData[Quantity],C8468,RawData[Price Per Unit],D8468,RawData[Total Spent],E8468,RawData[Payment Method],F8468,RawData[Location],G8468,RawData[Transaction Date],H8468)</f>
        <v>1</v>
      </c>
      <c r="L8468"/>
    </row>
    <row r="8469" spans="1:12" x14ac:dyDescent="0.3">
      <c r="A8469" t="s">
        <v>8475</v>
      </c>
      <c r="B8469" t="s">
        <v>10011</v>
      </c>
      <c r="C8469">
        <v>2</v>
      </c>
      <c r="D8469">
        <v>5</v>
      </c>
      <c r="E8469">
        <v>10</v>
      </c>
      <c r="F8469" t="s">
        <v>10020</v>
      </c>
      <c r="G8469" t="s">
        <v>10021</v>
      </c>
      <c r="H8469" s="6">
        <v>45236</v>
      </c>
      <c r="I8469">
        <f t="shared" si="264"/>
        <v>0</v>
      </c>
      <c r="J8469" t="str">
        <f t="shared" si="265"/>
        <v>Complete</v>
      </c>
      <c r="K8469">
        <f>COUNTIFS(RawData[Item], B8469,RawData[Quantity],C8469,RawData[Price Per Unit],D8469,RawData[Total Spent],E8469,RawData[Payment Method],F8469,RawData[Location],G8469,RawData[Transaction Date],H8469)</f>
        <v>1</v>
      </c>
      <c r="L8469"/>
    </row>
    <row r="8470" spans="1:12" x14ac:dyDescent="0.3">
      <c r="A8470" t="s">
        <v>8476</v>
      </c>
      <c r="B8470" t="s">
        <v>10016</v>
      </c>
      <c r="C8470">
        <v>3</v>
      </c>
      <c r="D8470">
        <v>3</v>
      </c>
      <c r="E8470">
        <v>9</v>
      </c>
      <c r="F8470" t="s">
        <v>10020</v>
      </c>
      <c r="G8470" t="s">
        <v>10102</v>
      </c>
      <c r="H8470" s="6" t="s">
        <v>10112</v>
      </c>
      <c r="I8470">
        <f t="shared" si="264"/>
        <v>1</v>
      </c>
      <c r="J8470" t="str">
        <f t="shared" si="265"/>
        <v>Incomplete</v>
      </c>
      <c r="K8470">
        <f>COUNTIFS(RawData[Item], B8470,RawData[Quantity],C8470,RawData[Price Per Unit],D8470,RawData[Total Spent],E8470,RawData[Payment Method],F8470,RawData[Location],G8470,RawData[Transaction Date],H8470)</f>
        <v>2</v>
      </c>
      <c r="L8470"/>
    </row>
    <row r="8471" spans="1:12" x14ac:dyDescent="0.3">
      <c r="A8471" t="s">
        <v>8477</v>
      </c>
      <c r="B8471" t="s">
        <v>10016</v>
      </c>
      <c r="C8471">
        <v>5</v>
      </c>
      <c r="D8471">
        <v>3</v>
      </c>
      <c r="E8471">
        <v>15</v>
      </c>
      <c r="F8471" t="s">
        <v>10020</v>
      </c>
      <c r="G8471" t="s">
        <v>10069</v>
      </c>
      <c r="H8471" s="6">
        <v>45245</v>
      </c>
      <c r="I8471">
        <f t="shared" si="264"/>
        <v>0</v>
      </c>
      <c r="J8471" t="str">
        <f t="shared" si="265"/>
        <v>Complete</v>
      </c>
      <c r="K8471">
        <f>COUNTIFS(RawData[Item], B8471,RawData[Quantity],C8471,RawData[Price Per Unit],D8471,RawData[Total Spent],E8471,RawData[Payment Method],F8471,RawData[Location],G8471,RawData[Transaction Date],H8471)</f>
        <v>1</v>
      </c>
      <c r="L8471"/>
    </row>
    <row r="8472" spans="1:12" x14ac:dyDescent="0.3">
      <c r="A8472" t="s">
        <v>8478</v>
      </c>
      <c r="B8472" t="s">
        <v>10008</v>
      </c>
      <c r="C8472">
        <v>1</v>
      </c>
      <c r="D8472">
        <v>2</v>
      </c>
      <c r="E8472">
        <v>2</v>
      </c>
      <c r="F8472" t="s">
        <v>10019</v>
      </c>
      <c r="G8472" t="s">
        <v>10069</v>
      </c>
      <c r="H8472" s="6">
        <v>44933</v>
      </c>
      <c r="I8472">
        <f t="shared" si="264"/>
        <v>0</v>
      </c>
      <c r="J8472" t="str">
        <f t="shared" si="265"/>
        <v>Complete</v>
      </c>
      <c r="K8472">
        <f>COUNTIFS(RawData[Item], B8472,RawData[Quantity],C8472,RawData[Price Per Unit],D8472,RawData[Total Spent],E8472,RawData[Payment Method],F8472,RawData[Location],G8472,RawData[Transaction Date],H8472)</f>
        <v>1</v>
      </c>
      <c r="L8472"/>
    </row>
    <row r="8473" spans="1:12" x14ac:dyDescent="0.3">
      <c r="A8473" t="s">
        <v>8479</v>
      </c>
      <c r="B8473" t="s">
        <v>10012</v>
      </c>
      <c r="C8473">
        <v>1</v>
      </c>
      <c r="D8473">
        <v>4</v>
      </c>
      <c r="E8473">
        <v>4</v>
      </c>
      <c r="F8473" t="s">
        <v>10019</v>
      </c>
      <c r="G8473" t="s">
        <v>10102</v>
      </c>
      <c r="H8473" s="6">
        <v>45250</v>
      </c>
      <c r="I8473">
        <f t="shared" si="264"/>
        <v>0</v>
      </c>
      <c r="J8473" t="str">
        <f t="shared" si="265"/>
        <v>Complete</v>
      </c>
      <c r="K8473">
        <f>COUNTIFS(RawData[Item], B8473,RawData[Quantity],C8473,RawData[Price Per Unit],D8473,RawData[Total Spent],E8473,RawData[Payment Method],F8473,RawData[Location],G8473,RawData[Transaction Date],H8473)</f>
        <v>1</v>
      </c>
      <c r="L8473"/>
    </row>
    <row r="8474" spans="1:12" x14ac:dyDescent="0.3">
      <c r="A8474" t="s">
        <v>8480</v>
      </c>
      <c r="B8474" t="s">
        <v>10009</v>
      </c>
      <c r="C8474">
        <v>2</v>
      </c>
      <c r="D8474">
        <v>3</v>
      </c>
      <c r="E8474">
        <v>6</v>
      </c>
      <c r="F8474" t="s">
        <v>10020</v>
      </c>
      <c r="G8474" t="s">
        <v>10102</v>
      </c>
      <c r="H8474" s="6">
        <v>45194</v>
      </c>
      <c r="I8474">
        <f t="shared" si="264"/>
        <v>0</v>
      </c>
      <c r="J8474" t="str">
        <f t="shared" si="265"/>
        <v>Complete</v>
      </c>
      <c r="K8474">
        <f>COUNTIFS(RawData[Item], B8474,RawData[Quantity],C8474,RawData[Price Per Unit],D8474,RawData[Total Spent],E8474,RawData[Payment Method],F8474,RawData[Location],G8474,RawData[Transaction Date],H8474)</f>
        <v>1</v>
      </c>
      <c r="L8474"/>
    </row>
    <row r="8475" spans="1:12" x14ac:dyDescent="0.3">
      <c r="A8475" t="s">
        <v>8481</v>
      </c>
      <c r="B8475" t="s">
        <v>10014</v>
      </c>
      <c r="C8475">
        <v>3</v>
      </c>
      <c r="D8475">
        <v>4</v>
      </c>
      <c r="E8475">
        <v>12</v>
      </c>
      <c r="F8475" t="s">
        <v>10019</v>
      </c>
      <c r="G8475" t="s">
        <v>10103</v>
      </c>
      <c r="H8475" s="6">
        <v>45172</v>
      </c>
      <c r="I8475">
        <f t="shared" si="264"/>
        <v>1</v>
      </c>
      <c r="J8475" t="str">
        <f t="shared" si="265"/>
        <v>Complete</v>
      </c>
      <c r="K8475">
        <f>COUNTIFS(RawData[Item], B8475,RawData[Quantity],C8475,RawData[Price Per Unit],D8475,RawData[Total Spent],E8475,RawData[Payment Method],F8475,RawData[Location],G8475,RawData[Transaction Date],H8475)</f>
        <v>1</v>
      </c>
      <c r="L8475"/>
    </row>
    <row r="8476" spans="1:12" x14ac:dyDescent="0.3">
      <c r="A8476" t="s">
        <v>8482</v>
      </c>
      <c r="B8476" t="s">
        <v>10014</v>
      </c>
      <c r="C8476" t="s">
        <v>10015</v>
      </c>
      <c r="D8476">
        <v>4</v>
      </c>
      <c r="E8476">
        <v>8</v>
      </c>
      <c r="F8476" t="s">
        <v>10020</v>
      </c>
      <c r="G8476" t="s">
        <v>10069</v>
      </c>
      <c r="H8476" s="6">
        <v>44936</v>
      </c>
      <c r="I8476">
        <f t="shared" si="264"/>
        <v>1</v>
      </c>
      <c r="J8476" t="str">
        <f t="shared" si="265"/>
        <v>Complete</v>
      </c>
      <c r="K8476">
        <f>COUNTIFS(RawData[Item], B8476,RawData[Quantity],C8476,RawData[Price Per Unit],D8476,RawData[Total Spent],E8476,RawData[Payment Method],F8476,RawData[Location],G8476,RawData[Transaction Date],H8476)</f>
        <v>1</v>
      </c>
      <c r="L8476"/>
    </row>
    <row r="8477" spans="1:12" x14ac:dyDescent="0.3">
      <c r="A8477" t="s">
        <v>8483</v>
      </c>
      <c r="B8477" t="s">
        <v>10009</v>
      </c>
      <c r="C8477">
        <v>4</v>
      </c>
      <c r="D8477">
        <v>3</v>
      </c>
      <c r="E8477">
        <v>12</v>
      </c>
      <c r="F8477" t="s">
        <v>10020</v>
      </c>
      <c r="G8477" t="s">
        <v>10069</v>
      </c>
      <c r="H8477" s="6">
        <v>45021</v>
      </c>
      <c r="I8477">
        <f t="shared" si="264"/>
        <v>0</v>
      </c>
      <c r="J8477" t="str">
        <f t="shared" si="265"/>
        <v>Complete</v>
      </c>
      <c r="K8477">
        <f>COUNTIFS(RawData[Item], B8477,RawData[Quantity],C8477,RawData[Price Per Unit],D8477,RawData[Total Spent],E8477,RawData[Payment Method],F8477,RawData[Location],G8477,RawData[Transaction Date],H8477)</f>
        <v>1</v>
      </c>
      <c r="L8477"/>
    </row>
    <row r="8478" spans="1:12" x14ac:dyDescent="0.3">
      <c r="A8478" t="s">
        <v>8484</v>
      </c>
      <c r="B8478" t="s">
        <v>10016</v>
      </c>
      <c r="C8478">
        <v>1</v>
      </c>
      <c r="D8478">
        <v>3</v>
      </c>
      <c r="E8478">
        <v>3</v>
      </c>
      <c r="F8478" t="s">
        <v>10018</v>
      </c>
      <c r="G8478" t="s">
        <v>10102</v>
      </c>
      <c r="H8478" s="6">
        <v>45088</v>
      </c>
      <c r="I8478">
        <f t="shared" si="264"/>
        <v>0</v>
      </c>
      <c r="J8478" t="str">
        <f t="shared" si="265"/>
        <v>Complete</v>
      </c>
      <c r="K8478">
        <f>COUNTIFS(RawData[Item], B8478,RawData[Quantity],C8478,RawData[Price Per Unit],D8478,RawData[Total Spent],E8478,RawData[Payment Method],F8478,RawData[Location],G8478,RawData[Transaction Date],H8478)</f>
        <v>1</v>
      </c>
      <c r="L8478"/>
    </row>
    <row r="8479" spans="1:12" x14ac:dyDescent="0.3">
      <c r="A8479" t="s">
        <v>8485</v>
      </c>
      <c r="B8479" t="s">
        <v>10009</v>
      </c>
      <c r="C8479">
        <v>5</v>
      </c>
      <c r="D8479">
        <v>3</v>
      </c>
      <c r="E8479">
        <v>15</v>
      </c>
      <c r="F8479" t="s">
        <v>10069</v>
      </c>
      <c r="G8479" t="s">
        <v>10102</v>
      </c>
      <c r="H8479" s="6">
        <v>45081</v>
      </c>
      <c r="I8479">
        <f t="shared" si="264"/>
        <v>0</v>
      </c>
      <c r="J8479" t="str">
        <f t="shared" si="265"/>
        <v>Complete</v>
      </c>
      <c r="K8479">
        <f>COUNTIFS(RawData[Item], B8479,RawData[Quantity],C8479,RawData[Price Per Unit],D8479,RawData[Total Spent],E8479,RawData[Payment Method],F8479,RawData[Location],G8479,RawData[Transaction Date],H8479)</f>
        <v>1</v>
      </c>
      <c r="L8479"/>
    </row>
    <row r="8480" spans="1:12" x14ac:dyDescent="0.3">
      <c r="A8480" t="s">
        <v>8486</v>
      </c>
      <c r="B8480" t="s">
        <v>10016</v>
      </c>
      <c r="C8480">
        <v>1</v>
      </c>
      <c r="D8480">
        <v>3</v>
      </c>
      <c r="E8480">
        <v>3</v>
      </c>
      <c r="F8480" t="s">
        <v>10069</v>
      </c>
      <c r="G8480" t="s">
        <v>10021</v>
      </c>
      <c r="H8480" s="6">
        <v>45097</v>
      </c>
      <c r="I8480">
        <f t="shared" si="264"/>
        <v>0</v>
      </c>
      <c r="J8480" t="str">
        <f t="shared" si="265"/>
        <v>Complete</v>
      </c>
      <c r="K8480">
        <f>COUNTIFS(RawData[Item], B8480,RawData[Quantity],C8480,RawData[Price Per Unit],D8480,RawData[Total Spent],E8480,RawData[Payment Method],F8480,RawData[Location],G8480,RawData[Transaction Date],H8480)</f>
        <v>1</v>
      </c>
      <c r="L8480"/>
    </row>
    <row r="8481" spans="1:12" x14ac:dyDescent="0.3">
      <c r="A8481" t="s">
        <v>8487</v>
      </c>
      <c r="B8481" t="s">
        <v>10014</v>
      </c>
      <c r="C8481">
        <v>0</v>
      </c>
      <c r="D8481">
        <v>4</v>
      </c>
      <c r="E8481">
        <v>0</v>
      </c>
      <c r="F8481" t="s">
        <v>10069</v>
      </c>
      <c r="G8481" t="s">
        <v>10021</v>
      </c>
      <c r="H8481" s="6">
        <v>45180</v>
      </c>
      <c r="I8481">
        <f t="shared" si="264"/>
        <v>0</v>
      </c>
      <c r="J8481" t="str">
        <f t="shared" si="265"/>
        <v>Complete</v>
      </c>
      <c r="K8481">
        <f>COUNTIFS(RawData[Item], B8481,RawData[Quantity],C8481,RawData[Price Per Unit],D8481,RawData[Total Spent],E8481,RawData[Payment Method],F8481,RawData[Location],G8481,RawData[Transaction Date],H8481)</f>
        <v>1</v>
      </c>
      <c r="L8481"/>
    </row>
    <row r="8482" spans="1:12" x14ac:dyDescent="0.3">
      <c r="A8482" t="s">
        <v>8488</v>
      </c>
      <c r="B8482" t="s">
        <v>10017</v>
      </c>
      <c r="C8482">
        <v>3</v>
      </c>
      <c r="D8482">
        <v>1.5</v>
      </c>
      <c r="E8482">
        <v>4.5</v>
      </c>
      <c r="F8482" t="s">
        <v>10069</v>
      </c>
      <c r="G8482" t="s">
        <v>10102</v>
      </c>
      <c r="H8482" s="6">
        <v>44951</v>
      </c>
      <c r="I8482">
        <f t="shared" si="264"/>
        <v>0</v>
      </c>
      <c r="J8482" t="str">
        <f t="shared" si="265"/>
        <v>Complete</v>
      </c>
      <c r="K8482">
        <f>COUNTIFS(RawData[Item], B8482,RawData[Quantity],C8482,RawData[Price Per Unit],D8482,RawData[Total Spent],E8482,RawData[Payment Method],F8482,RawData[Location],G8482,RawData[Transaction Date],H8482)</f>
        <v>1</v>
      </c>
      <c r="L8482"/>
    </row>
    <row r="8483" spans="1:12" x14ac:dyDescent="0.3">
      <c r="A8483" t="s">
        <v>8489</v>
      </c>
      <c r="B8483" t="s">
        <v>10016</v>
      </c>
      <c r="C8483">
        <v>5</v>
      </c>
      <c r="D8483" t="s">
        <v>10013</v>
      </c>
      <c r="E8483">
        <v>15</v>
      </c>
      <c r="F8483" t="s">
        <v>10019</v>
      </c>
      <c r="G8483" t="s">
        <v>10069</v>
      </c>
      <c r="H8483" s="6">
        <v>45278</v>
      </c>
      <c r="I8483">
        <f t="shared" si="264"/>
        <v>1</v>
      </c>
      <c r="J8483" t="str">
        <f t="shared" si="265"/>
        <v>Complete</v>
      </c>
      <c r="K8483">
        <f>COUNTIFS(RawData[Item], B8483,RawData[Quantity],C8483,RawData[Price Per Unit],D8483,RawData[Total Spent],E8483,RawData[Payment Method],F8483,RawData[Location],G8483,RawData[Transaction Date],H8483)</f>
        <v>1</v>
      </c>
      <c r="L8483"/>
    </row>
    <row r="8484" spans="1:12" x14ac:dyDescent="0.3">
      <c r="A8484" t="s">
        <v>8490</v>
      </c>
      <c r="B8484" t="s">
        <v>10008</v>
      </c>
      <c r="C8484">
        <v>1</v>
      </c>
      <c r="D8484">
        <v>2</v>
      </c>
      <c r="E8484">
        <v>2</v>
      </c>
      <c r="F8484" t="s">
        <v>10018</v>
      </c>
      <c r="G8484" t="s">
        <v>10069</v>
      </c>
      <c r="H8484" s="6">
        <v>45178</v>
      </c>
      <c r="I8484">
        <f t="shared" si="264"/>
        <v>0</v>
      </c>
      <c r="J8484" t="str">
        <f t="shared" si="265"/>
        <v>Complete</v>
      </c>
      <c r="K8484">
        <f>COUNTIFS(RawData[Item], B8484,RawData[Quantity],C8484,RawData[Price Per Unit],D8484,RawData[Total Spent],E8484,RawData[Payment Method],F8484,RawData[Location],G8484,RawData[Transaction Date],H8484)</f>
        <v>1</v>
      </c>
      <c r="L8484"/>
    </row>
    <row r="8485" spans="1:12" x14ac:dyDescent="0.3">
      <c r="A8485" t="s">
        <v>8491</v>
      </c>
      <c r="B8485" t="s">
        <v>10012</v>
      </c>
      <c r="C8485">
        <v>5</v>
      </c>
      <c r="D8485">
        <v>4</v>
      </c>
      <c r="E8485">
        <v>20</v>
      </c>
      <c r="F8485" t="s">
        <v>10020</v>
      </c>
      <c r="G8485" t="s">
        <v>10102</v>
      </c>
      <c r="H8485" s="6">
        <v>45275</v>
      </c>
      <c r="I8485">
        <f t="shared" si="264"/>
        <v>0</v>
      </c>
      <c r="J8485" t="str">
        <f t="shared" si="265"/>
        <v>Complete</v>
      </c>
      <c r="K8485">
        <f>COUNTIFS(RawData[Item], B8485,RawData[Quantity],C8485,RawData[Price Per Unit],D8485,RawData[Total Spent],E8485,RawData[Payment Method],F8485,RawData[Location],G8485,RawData[Transaction Date],H8485)</f>
        <v>1</v>
      </c>
      <c r="L8485"/>
    </row>
    <row r="8486" spans="1:12" x14ac:dyDescent="0.3">
      <c r="A8486" t="s">
        <v>8492</v>
      </c>
      <c r="B8486" t="s">
        <v>10008</v>
      </c>
      <c r="C8486">
        <v>5</v>
      </c>
      <c r="D8486">
        <v>2</v>
      </c>
      <c r="E8486">
        <v>10</v>
      </c>
      <c r="F8486" t="s">
        <v>10020</v>
      </c>
      <c r="G8486" t="s">
        <v>10021</v>
      </c>
      <c r="H8486" s="6">
        <v>45253</v>
      </c>
      <c r="I8486">
        <f t="shared" si="264"/>
        <v>0</v>
      </c>
      <c r="J8486" t="str">
        <f t="shared" si="265"/>
        <v>Complete</v>
      </c>
      <c r="K8486">
        <f>COUNTIFS(RawData[Item], B8486,RawData[Quantity],C8486,RawData[Price Per Unit],D8486,RawData[Total Spent],E8486,RawData[Payment Method],F8486,RawData[Location],G8486,RawData[Transaction Date],H8486)</f>
        <v>1</v>
      </c>
      <c r="L8486"/>
    </row>
    <row r="8487" spans="1:12" x14ac:dyDescent="0.3">
      <c r="A8487" t="s">
        <v>8493</v>
      </c>
      <c r="B8487" t="s">
        <v>10010</v>
      </c>
      <c r="C8487">
        <v>1</v>
      </c>
      <c r="D8487">
        <v>1</v>
      </c>
      <c r="E8487">
        <v>1</v>
      </c>
      <c r="F8487" t="s">
        <v>10018</v>
      </c>
      <c r="G8487" t="s">
        <v>10102</v>
      </c>
      <c r="H8487" s="6">
        <v>45021</v>
      </c>
      <c r="I8487">
        <f t="shared" si="264"/>
        <v>0</v>
      </c>
      <c r="J8487" t="str">
        <f t="shared" si="265"/>
        <v>Complete</v>
      </c>
      <c r="K8487">
        <f>COUNTIFS(RawData[Item], B8487,RawData[Quantity],C8487,RawData[Price Per Unit],D8487,RawData[Total Spent],E8487,RawData[Payment Method],F8487,RawData[Location],G8487,RawData[Transaction Date],H8487)</f>
        <v>1</v>
      </c>
      <c r="L8487"/>
    </row>
    <row r="8488" spans="1:12" x14ac:dyDescent="0.3">
      <c r="A8488" t="s">
        <v>8494</v>
      </c>
      <c r="B8488" t="s">
        <v>10008</v>
      </c>
      <c r="C8488">
        <v>2</v>
      </c>
      <c r="D8488">
        <v>2</v>
      </c>
      <c r="E8488">
        <v>4</v>
      </c>
      <c r="F8488" t="s">
        <v>10019</v>
      </c>
      <c r="G8488" t="s">
        <v>10069</v>
      </c>
      <c r="H8488" s="6" t="s">
        <v>10112</v>
      </c>
      <c r="I8488">
        <f t="shared" si="264"/>
        <v>1</v>
      </c>
      <c r="J8488" t="str">
        <f t="shared" si="265"/>
        <v>Incomplete</v>
      </c>
      <c r="K8488">
        <f>COUNTIFS(RawData[Item], B8488,RawData[Quantity],C8488,RawData[Price Per Unit],D8488,RawData[Total Spent],E8488,RawData[Payment Method],F8488,RawData[Location],G8488,RawData[Transaction Date],H8488)</f>
        <v>1</v>
      </c>
      <c r="L8488"/>
    </row>
    <row r="8489" spans="1:12" x14ac:dyDescent="0.3">
      <c r="A8489" t="s">
        <v>8495</v>
      </c>
      <c r="B8489" t="s">
        <v>10014</v>
      </c>
      <c r="C8489">
        <v>2</v>
      </c>
      <c r="D8489">
        <v>4</v>
      </c>
      <c r="E8489">
        <v>8</v>
      </c>
      <c r="F8489" t="s">
        <v>10020</v>
      </c>
      <c r="G8489" t="s">
        <v>10021</v>
      </c>
      <c r="H8489" s="6">
        <v>45002</v>
      </c>
      <c r="I8489">
        <f t="shared" si="264"/>
        <v>0</v>
      </c>
      <c r="J8489" t="str">
        <f t="shared" si="265"/>
        <v>Complete</v>
      </c>
      <c r="K8489">
        <f>COUNTIFS(RawData[Item], B8489,RawData[Quantity],C8489,RawData[Price Per Unit],D8489,RawData[Total Spent],E8489,RawData[Payment Method],F8489,RawData[Location],G8489,RawData[Transaction Date],H8489)</f>
        <v>1</v>
      </c>
      <c r="L8489"/>
    </row>
    <row r="8490" spans="1:12" x14ac:dyDescent="0.3">
      <c r="A8490" t="s">
        <v>8496</v>
      </c>
      <c r="B8490" t="s">
        <v>10009</v>
      </c>
      <c r="C8490">
        <v>2</v>
      </c>
      <c r="D8490">
        <v>3</v>
      </c>
      <c r="E8490" t="s">
        <v>10013</v>
      </c>
      <c r="F8490" t="s">
        <v>10019</v>
      </c>
      <c r="G8490" t="s">
        <v>10021</v>
      </c>
      <c r="H8490" s="6">
        <v>45280</v>
      </c>
      <c r="I8490">
        <f t="shared" si="264"/>
        <v>1</v>
      </c>
      <c r="J8490" t="str">
        <f t="shared" si="265"/>
        <v>Complete</v>
      </c>
      <c r="K8490">
        <f>COUNTIFS(RawData[Item], B8490,RawData[Quantity],C8490,RawData[Price Per Unit],D8490,RawData[Total Spent],E8490,RawData[Payment Method],F8490,RawData[Location],G8490,RawData[Transaction Date],H8490)</f>
        <v>1</v>
      </c>
      <c r="L8490"/>
    </row>
    <row r="8491" spans="1:12" x14ac:dyDescent="0.3">
      <c r="A8491" t="s">
        <v>8497</v>
      </c>
      <c r="B8491" t="s">
        <v>10016</v>
      </c>
      <c r="C8491">
        <v>3</v>
      </c>
      <c r="D8491">
        <v>3</v>
      </c>
      <c r="E8491">
        <v>9</v>
      </c>
      <c r="F8491" t="s">
        <v>10018</v>
      </c>
      <c r="G8491" t="s">
        <v>10069</v>
      </c>
      <c r="H8491" s="6">
        <v>45223</v>
      </c>
      <c r="I8491">
        <f t="shared" si="264"/>
        <v>0</v>
      </c>
      <c r="J8491" t="str">
        <f t="shared" si="265"/>
        <v>Complete</v>
      </c>
      <c r="K8491">
        <f>COUNTIFS(RawData[Item], B8491,RawData[Quantity],C8491,RawData[Price Per Unit],D8491,RawData[Total Spent],E8491,RawData[Payment Method],F8491,RawData[Location],G8491,RawData[Transaction Date],H8491)</f>
        <v>1</v>
      </c>
      <c r="L8491"/>
    </row>
    <row r="8492" spans="1:12" x14ac:dyDescent="0.3">
      <c r="A8492" t="s">
        <v>8498</v>
      </c>
      <c r="B8492" t="s">
        <v>10011</v>
      </c>
      <c r="C8492">
        <v>2</v>
      </c>
      <c r="D8492">
        <v>5</v>
      </c>
      <c r="E8492">
        <v>10</v>
      </c>
      <c r="F8492" t="s">
        <v>10018</v>
      </c>
      <c r="G8492" t="s">
        <v>10069</v>
      </c>
      <c r="H8492" s="6">
        <v>45005</v>
      </c>
      <c r="I8492">
        <f t="shared" si="264"/>
        <v>0</v>
      </c>
      <c r="J8492" t="str">
        <f t="shared" si="265"/>
        <v>Complete</v>
      </c>
      <c r="K8492">
        <f>COUNTIFS(RawData[Item], B8492,RawData[Quantity],C8492,RawData[Price Per Unit],D8492,RawData[Total Spent],E8492,RawData[Payment Method],F8492,RawData[Location],G8492,RawData[Transaction Date],H8492)</f>
        <v>1</v>
      </c>
      <c r="L8492"/>
    </row>
    <row r="8493" spans="1:12" x14ac:dyDescent="0.3">
      <c r="A8493" t="s">
        <v>8499</v>
      </c>
      <c r="B8493" t="s">
        <v>10008</v>
      </c>
      <c r="C8493">
        <v>1</v>
      </c>
      <c r="D8493">
        <v>2</v>
      </c>
      <c r="E8493">
        <v>2</v>
      </c>
      <c r="F8493" t="s">
        <v>10104</v>
      </c>
      <c r="G8493" t="s">
        <v>10102</v>
      </c>
      <c r="H8493" s="6">
        <v>45224</v>
      </c>
      <c r="I8493">
        <f t="shared" si="264"/>
        <v>1</v>
      </c>
      <c r="J8493" t="str">
        <f t="shared" si="265"/>
        <v>Complete</v>
      </c>
      <c r="K8493">
        <f>COUNTIFS(RawData[Item], B8493,RawData[Quantity],C8493,RawData[Price Per Unit],D8493,RawData[Total Spent],E8493,RawData[Payment Method],F8493,RawData[Location],G8493,RawData[Transaction Date],H8493)</f>
        <v>1</v>
      </c>
      <c r="L8493"/>
    </row>
    <row r="8494" spans="1:12" x14ac:dyDescent="0.3">
      <c r="A8494" t="s">
        <v>8500</v>
      </c>
      <c r="B8494" t="s">
        <v>10010</v>
      </c>
      <c r="C8494">
        <v>5</v>
      </c>
      <c r="D8494">
        <v>1</v>
      </c>
      <c r="E8494">
        <v>5</v>
      </c>
      <c r="F8494" t="s">
        <v>10019</v>
      </c>
      <c r="G8494" t="s">
        <v>10021</v>
      </c>
      <c r="H8494" s="6">
        <v>45025</v>
      </c>
      <c r="I8494">
        <f t="shared" si="264"/>
        <v>0</v>
      </c>
      <c r="J8494" t="str">
        <f t="shared" si="265"/>
        <v>Complete</v>
      </c>
      <c r="K8494">
        <f>COUNTIFS(RawData[Item], B8494,RawData[Quantity],C8494,RawData[Price Per Unit],D8494,RawData[Total Spent],E8494,RawData[Payment Method],F8494,RawData[Location],G8494,RawData[Transaction Date],H8494)</f>
        <v>1</v>
      </c>
      <c r="L8494"/>
    </row>
    <row r="8495" spans="1:12" x14ac:dyDescent="0.3">
      <c r="A8495" t="s">
        <v>8501</v>
      </c>
      <c r="B8495" t="s">
        <v>10017</v>
      </c>
      <c r="C8495">
        <v>3</v>
      </c>
      <c r="D8495">
        <v>1.5</v>
      </c>
      <c r="E8495">
        <v>4.5</v>
      </c>
      <c r="F8495" t="s">
        <v>10020</v>
      </c>
      <c r="G8495" t="s">
        <v>10069</v>
      </c>
      <c r="H8495" s="6">
        <v>45082</v>
      </c>
      <c r="I8495">
        <f t="shared" si="264"/>
        <v>0</v>
      </c>
      <c r="J8495" t="str">
        <f t="shared" si="265"/>
        <v>Complete</v>
      </c>
      <c r="K8495">
        <f>COUNTIFS(RawData[Item], B8495,RawData[Quantity],C8495,RawData[Price Per Unit],D8495,RawData[Total Spent],E8495,RawData[Payment Method],F8495,RawData[Location],G8495,RawData[Transaction Date],H8495)</f>
        <v>1</v>
      </c>
      <c r="L8495"/>
    </row>
    <row r="8496" spans="1:12" x14ac:dyDescent="0.3">
      <c r="A8496" t="s">
        <v>8502</v>
      </c>
      <c r="B8496" t="s">
        <v>10011</v>
      </c>
      <c r="C8496">
        <v>1</v>
      </c>
      <c r="D8496" t="s">
        <v>10015</v>
      </c>
      <c r="E8496">
        <v>5</v>
      </c>
      <c r="F8496" t="s">
        <v>10019</v>
      </c>
      <c r="G8496" t="s">
        <v>10102</v>
      </c>
      <c r="H8496" s="6">
        <v>45147</v>
      </c>
      <c r="I8496">
        <f t="shared" si="264"/>
        <v>1</v>
      </c>
      <c r="J8496" t="str">
        <f t="shared" si="265"/>
        <v>Complete</v>
      </c>
      <c r="K8496">
        <f>COUNTIFS(RawData[Item], B8496,RawData[Quantity],C8496,RawData[Price Per Unit],D8496,RawData[Total Spent],E8496,RawData[Payment Method],F8496,RawData[Location],G8496,RawData[Transaction Date],H8496)</f>
        <v>1</v>
      </c>
      <c r="L8496"/>
    </row>
    <row r="8497" spans="1:12" x14ac:dyDescent="0.3">
      <c r="A8497" t="s">
        <v>8503</v>
      </c>
      <c r="B8497" t="s">
        <v>10014</v>
      </c>
      <c r="C8497">
        <v>1</v>
      </c>
      <c r="D8497">
        <v>4</v>
      </c>
      <c r="E8497">
        <v>4</v>
      </c>
      <c r="F8497" t="s">
        <v>10069</v>
      </c>
      <c r="G8497" t="s">
        <v>10069</v>
      </c>
      <c r="H8497" s="6">
        <v>45061</v>
      </c>
      <c r="I8497">
        <f t="shared" si="264"/>
        <v>0</v>
      </c>
      <c r="J8497" t="str">
        <f t="shared" si="265"/>
        <v>Complete</v>
      </c>
      <c r="K8497">
        <f>COUNTIFS(RawData[Item], B8497,RawData[Quantity],C8497,RawData[Price Per Unit],D8497,RawData[Total Spent],E8497,RawData[Payment Method],F8497,RawData[Location],G8497,RawData[Transaction Date],H8497)</f>
        <v>1</v>
      </c>
      <c r="L8497"/>
    </row>
    <row r="8498" spans="1:12" x14ac:dyDescent="0.3">
      <c r="A8498" t="s">
        <v>8504</v>
      </c>
      <c r="B8498" t="s">
        <v>10012</v>
      </c>
      <c r="C8498">
        <v>4</v>
      </c>
      <c r="D8498">
        <v>4</v>
      </c>
      <c r="E8498">
        <v>16</v>
      </c>
      <c r="F8498" t="s">
        <v>10019</v>
      </c>
      <c r="G8498" t="s">
        <v>10102</v>
      </c>
      <c r="H8498" s="6">
        <v>45257</v>
      </c>
      <c r="I8498">
        <f t="shared" si="264"/>
        <v>0</v>
      </c>
      <c r="J8498" t="str">
        <f t="shared" si="265"/>
        <v>Complete</v>
      </c>
      <c r="K8498">
        <f>COUNTIFS(RawData[Item], B8498,RawData[Quantity],C8498,RawData[Price Per Unit],D8498,RawData[Total Spent],E8498,RawData[Payment Method],F8498,RawData[Location],G8498,RawData[Transaction Date],H8498)</f>
        <v>1</v>
      </c>
      <c r="L8498"/>
    </row>
    <row r="8499" spans="1:12" x14ac:dyDescent="0.3">
      <c r="A8499" t="s">
        <v>8505</v>
      </c>
      <c r="B8499" t="s">
        <v>10014</v>
      </c>
      <c r="C8499">
        <v>3</v>
      </c>
      <c r="D8499" t="s">
        <v>10013</v>
      </c>
      <c r="E8499" t="s">
        <v>10013</v>
      </c>
      <c r="F8499" t="s">
        <v>10019</v>
      </c>
      <c r="G8499" t="s">
        <v>10021</v>
      </c>
      <c r="H8499" s="6">
        <v>45066</v>
      </c>
      <c r="I8499">
        <f t="shared" si="264"/>
        <v>2</v>
      </c>
      <c r="J8499" t="str">
        <f t="shared" si="265"/>
        <v>Complete</v>
      </c>
      <c r="K8499">
        <f>COUNTIFS(RawData[Item], B8499,RawData[Quantity],C8499,RawData[Price Per Unit],D8499,RawData[Total Spent],E8499,RawData[Payment Method],F8499,RawData[Location],G8499,RawData[Transaction Date],H8499)</f>
        <v>1</v>
      </c>
      <c r="L8499"/>
    </row>
    <row r="8500" spans="1:12" x14ac:dyDescent="0.3">
      <c r="A8500" t="s">
        <v>8506</v>
      </c>
      <c r="B8500" t="s">
        <v>10017</v>
      </c>
      <c r="C8500" t="s">
        <v>10015</v>
      </c>
      <c r="D8500">
        <v>1.5</v>
      </c>
      <c r="E8500">
        <v>7.5</v>
      </c>
      <c r="F8500" t="s">
        <v>10069</v>
      </c>
      <c r="G8500" t="s">
        <v>10021</v>
      </c>
      <c r="H8500" s="6">
        <v>44967</v>
      </c>
      <c r="I8500">
        <f t="shared" si="264"/>
        <v>1</v>
      </c>
      <c r="J8500" t="str">
        <f t="shared" si="265"/>
        <v>Complete</v>
      </c>
      <c r="K8500">
        <f>COUNTIFS(RawData[Item], B8500,RawData[Quantity],C8500,RawData[Price Per Unit],D8500,RawData[Total Spent],E8500,RawData[Payment Method],F8500,RawData[Location],G8500,RawData[Transaction Date],H8500)</f>
        <v>1</v>
      </c>
      <c r="L8500"/>
    </row>
    <row r="8501" spans="1:12" x14ac:dyDescent="0.3">
      <c r="A8501" t="s">
        <v>8507</v>
      </c>
      <c r="B8501" t="s">
        <v>10014</v>
      </c>
      <c r="C8501">
        <v>3</v>
      </c>
      <c r="D8501">
        <v>4</v>
      </c>
      <c r="E8501">
        <v>12</v>
      </c>
      <c r="F8501" t="s">
        <v>10020</v>
      </c>
      <c r="G8501" t="s">
        <v>10021</v>
      </c>
      <c r="H8501" s="6">
        <v>45185</v>
      </c>
      <c r="I8501">
        <f t="shared" si="264"/>
        <v>0</v>
      </c>
      <c r="J8501" t="str">
        <f t="shared" si="265"/>
        <v>Complete</v>
      </c>
      <c r="K8501">
        <f>COUNTIFS(RawData[Item], B8501,RawData[Quantity],C8501,RawData[Price Per Unit],D8501,RawData[Total Spent],E8501,RawData[Payment Method],F8501,RawData[Location],G8501,RawData[Transaction Date],H8501)</f>
        <v>1</v>
      </c>
      <c r="L8501"/>
    </row>
    <row r="8502" spans="1:12" x14ac:dyDescent="0.3">
      <c r="A8502" t="s">
        <v>8508</v>
      </c>
      <c r="B8502" t="s">
        <v>10012</v>
      </c>
      <c r="C8502">
        <v>2</v>
      </c>
      <c r="D8502">
        <v>4</v>
      </c>
      <c r="E8502">
        <v>8</v>
      </c>
      <c r="F8502" t="s">
        <v>10020</v>
      </c>
      <c r="G8502" t="s">
        <v>10021</v>
      </c>
      <c r="H8502" s="6">
        <v>44942</v>
      </c>
      <c r="I8502">
        <f t="shared" si="264"/>
        <v>0</v>
      </c>
      <c r="J8502" t="str">
        <f t="shared" si="265"/>
        <v>Complete</v>
      </c>
      <c r="K8502">
        <f>COUNTIFS(RawData[Item], B8502,RawData[Quantity],C8502,RawData[Price Per Unit],D8502,RawData[Total Spent],E8502,RawData[Payment Method],F8502,RawData[Location],G8502,RawData[Transaction Date],H8502)</f>
        <v>1</v>
      </c>
      <c r="L8502"/>
    </row>
    <row r="8503" spans="1:12" x14ac:dyDescent="0.3">
      <c r="A8503" t="s">
        <v>8509</v>
      </c>
      <c r="B8503" t="s">
        <v>10010</v>
      </c>
      <c r="C8503">
        <v>2</v>
      </c>
      <c r="D8503">
        <v>1</v>
      </c>
      <c r="E8503">
        <v>2</v>
      </c>
      <c r="F8503" t="s">
        <v>10069</v>
      </c>
      <c r="G8503" t="s">
        <v>10069</v>
      </c>
      <c r="H8503" s="6">
        <v>45051</v>
      </c>
      <c r="I8503">
        <f t="shared" si="264"/>
        <v>0</v>
      </c>
      <c r="J8503" t="str">
        <f t="shared" si="265"/>
        <v>Complete</v>
      </c>
      <c r="K8503">
        <f>COUNTIFS(RawData[Item], B8503,RawData[Quantity],C8503,RawData[Price Per Unit],D8503,RawData[Total Spent],E8503,RawData[Payment Method],F8503,RawData[Location],G8503,RawData[Transaction Date],H8503)</f>
        <v>1</v>
      </c>
      <c r="L8503"/>
    </row>
    <row r="8504" spans="1:12" x14ac:dyDescent="0.3">
      <c r="A8504" t="s">
        <v>8510</v>
      </c>
      <c r="B8504" t="s">
        <v>10014</v>
      </c>
      <c r="C8504" t="s">
        <v>10015</v>
      </c>
      <c r="D8504">
        <v>4</v>
      </c>
      <c r="E8504">
        <v>20</v>
      </c>
      <c r="F8504" t="s">
        <v>10020</v>
      </c>
      <c r="G8504" t="s">
        <v>10102</v>
      </c>
      <c r="H8504" s="6">
        <v>45275</v>
      </c>
      <c r="I8504">
        <f t="shared" si="264"/>
        <v>1</v>
      </c>
      <c r="J8504" t="str">
        <f t="shared" si="265"/>
        <v>Complete</v>
      </c>
      <c r="K8504">
        <f>COUNTIFS(RawData[Item], B8504,RawData[Quantity],C8504,RawData[Price Per Unit],D8504,RawData[Total Spent],E8504,RawData[Payment Method],F8504,RawData[Location],G8504,RawData[Transaction Date],H8504)</f>
        <v>1</v>
      </c>
      <c r="L8504"/>
    </row>
    <row r="8505" spans="1:12" x14ac:dyDescent="0.3">
      <c r="A8505" t="s">
        <v>8511</v>
      </c>
      <c r="B8505" t="s">
        <v>10014</v>
      </c>
      <c r="C8505">
        <v>2</v>
      </c>
      <c r="D8505">
        <v>4</v>
      </c>
      <c r="E8505">
        <v>8</v>
      </c>
      <c r="F8505" t="s">
        <v>10104</v>
      </c>
      <c r="G8505" t="s">
        <v>10102</v>
      </c>
      <c r="H8505" s="6">
        <v>45059</v>
      </c>
      <c r="I8505">
        <f t="shared" si="264"/>
        <v>1</v>
      </c>
      <c r="J8505" t="str">
        <f t="shared" si="265"/>
        <v>Complete</v>
      </c>
      <c r="K8505">
        <f>COUNTIFS(RawData[Item], B8505,RawData[Quantity],C8505,RawData[Price Per Unit],D8505,RawData[Total Spent],E8505,RawData[Payment Method],F8505,RawData[Location],G8505,RawData[Transaction Date],H8505)</f>
        <v>1</v>
      </c>
      <c r="L8505"/>
    </row>
    <row r="8506" spans="1:12" x14ac:dyDescent="0.3">
      <c r="A8506" t="s">
        <v>8512</v>
      </c>
      <c r="B8506" t="s">
        <v>10009</v>
      </c>
      <c r="C8506">
        <v>5</v>
      </c>
      <c r="D8506">
        <v>3</v>
      </c>
      <c r="E8506">
        <v>15</v>
      </c>
      <c r="F8506" t="s">
        <v>10020</v>
      </c>
      <c r="G8506" t="s">
        <v>10069</v>
      </c>
      <c r="H8506" s="6">
        <v>45128</v>
      </c>
      <c r="I8506">
        <f t="shared" si="264"/>
        <v>0</v>
      </c>
      <c r="J8506" t="str">
        <f t="shared" si="265"/>
        <v>Complete</v>
      </c>
      <c r="K8506">
        <f>COUNTIFS(RawData[Item], B8506,RawData[Quantity],C8506,RawData[Price Per Unit],D8506,RawData[Total Spent],E8506,RawData[Payment Method],F8506,RawData[Location],G8506,RawData[Transaction Date],H8506)</f>
        <v>1</v>
      </c>
      <c r="L8506"/>
    </row>
    <row r="8507" spans="1:12" x14ac:dyDescent="0.3">
      <c r="A8507" t="s">
        <v>8513</v>
      </c>
      <c r="B8507" t="s">
        <v>10012</v>
      </c>
      <c r="C8507">
        <v>1</v>
      </c>
      <c r="D8507">
        <v>4</v>
      </c>
      <c r="E8507">
        <v>4</v>
      </c>
      <c r="F8507" t="s">
        <v>10018</v>
      </c>
      <c r="G8507" t="s">
        <v>10021</v>
      </c>
      <c r="H8507" s="6">
        <v>45158</v>
      </c>
      <c r="I8507">
        <f t="shared" si="264"/>
        <v>0</v>
      </c>
      <c r="J8507" t="str">
        <f t="shared" si="265"/>
        <v>Complete</v>
      </c>
      <c r="K8507">
        <f>COUNTIFS(RawData[Item], B8507,RawData[Quantity],C8507,RawData[Price Per Unit],D8507,RawData[Total Spent],E8507,RawData[Payment Method],F8507,RawData[Location],G8507,RawData[Transaction Date],H8507)</f>
        <v>1</v>
      </c>
      <c r="L8507"/>
    </row>
    <row r="8508" spans="1:12" x14ac:dyDescent="0.3">
      <c r="A8508" t="s">
        <v>8514</v>
      </c>
      <c r="B8508" t="s">
        <v>10016</v>
      </c>
      <c r="C8508">
        <v>5</v>
      </c>
      <c r="D8508">
        <v>3</v>
      </c>
      <c r="E8508">
        <v>15</v>
      </c>
      <c r="F8508" t="s">
        <v>10103</v>
      </c>
      <c r="G8508" t="s">
        <v>10069</v>
      </c>
      <c r="H8508" s="6">
        <v>44940</v>
      </c>
      <c r="I8508">
        <f t="shared" si="264"/>
        <v>1</v>
      </c>
      <c r="J8508" t="str">
        <f t="shared" si="265"/>
        <v>Complete</v>
      </c>
      <c r="K8508">
        <f>COUNTIFS(RawData[Item], B8508,RawData[Quantity],C8508,RawData[Price Per Unit],D8508,RawData[Total Spent],E8508,RawData[Payment Method],F8508,RawData[Location],G8508,RawData[Transaction Date],H8508)</f>
        <v>1</v>
      </c>
      <c r="L8508"/>
    </row>
    <row r="8509" spans="1:12" x14ac:dyDescent="0.3">
      <c r="A8509" t="s">
        <v>8515</v>
      </c>
      <c r="B8509" t="s">
        <v>10016</v>
      </c>
      <c r="C8509">
        <v>2</v>
      </c>
      <c r="D8509">
        <v>3</v>
      </c>
      <c r="E8509">
        <v>6</v>
      </c>
      <c r="F8509" t="s">
        <v>10020</v>
      </c>
      <c r="G8509" t="s">
        <v>10069</v>
      </c>
      <c r="H8509" s="6">
        <v>45136</v>
      </c>
      <c r="I8509">
        <f t="shared" si="264"/>
        <v>0</v>
      </c>
      <c r="J8509" t="str">
        <f t="shared" si="265"/>
        <v>Complete</v>
      </c>
      <c r="K8509">
        <f>COUNTIFS(RawData[Item], B8509,RawData[Quantity],C8509,RawData[Price Per Unit],D8509,RawData[Total Spent],E8509,RawData[Payment Method],F8509,RawData[Location],G8509,RawData[Transaction Date],H8509)</f>
        <v>1</v>
      </c>
      <c r="L8509"/>
    </row>
    <row r="8510" spans="1:12" x14ac:dyDescent="0.3">
      <c r="A8510" t="s">
        <v>8516</v>
      </c>
      <c r="B8510" t="s">
        <v>10016</v>
      </c>
      <c r="C8510">
        <v>1</v>
      </c>
      <c r="D8510">
        <v>3</v>
      </c>
      <c r="E8510">
        <v>3</v>
      </c>
      <c r="F8510" t="s">
        <v>10069</v>
      </c>
      <c r="G8510" t="s">
        <v>10104</v>
      </c>
      <c r="H8510" s="6">
        <v>45036</v>
      </c>
      <c r="I8510">
        <f t="shared" si="264"/>
        <v>1</v>
      </c>
      <c r="J8510" t="str">
        <f t="shared" si="265"/>
        <v>Complete</v>
      </c>
      <c r="K8510">
        <f>COUNTIFS(RawData[Item], B8510,RawData[Quantity],C8510,RawData[Price Per Unit],D8510,RawData[Total Spent],E8510,RawData[Payment Method],F8510,RawData[Location],G8510,RawData[Transaction Date],H8510)</f>
        <v>1</v>
      </c>
      <c r="L8510"/>
    </row>
    <row r="8511" spans="1:12" x14ac:dyDescent="0.3">
      <c r="A8511" t="s">
        <v>8517</v>
      </c>
      <c r="B8511" t="s">
        <v>10010</v>
      </c>
      <c r="C8511">
        <v>2</v>
      </c>
      <c r="D8511">
        <v>1</v>
      </c>
      <c r="E8511">
        <v>2</v>
      </c>
      <c r="F8511" t="s">
        <v>10103</v>
      </c>
      <c r="G8511" t="s">
        <v>10021</v>
      </c>
      <c r="H8511" s="6">
        <v>45173</v>
      </c>
      <c r="I8511">
        <f t="shared" si="264"/>
        <v>1</v>
      </c>
      <c r="J8511" t="str">
        <f t="shared" si="265"/>
        <v>Complete</v>
      </c>
      <c r="K8511">
        <f>COUNTIFS(RawData[Item], B8511,RawData[Quantity],C8511,RawData[Price Per Unit],D8511,RawData[Total Spent],E8511,RawData[Payment Method],F8511,RawData[Location],G8511,RawData[Transaction Date],H8511)</f>
        <v>1</v>
      </c>
      <c r="L8511"/>
    </row>
    <row r="8512" spans="1:12" x14ac:dyDescent="0.3">
      <c r="A8512" t="s">
        <v>8518</v>
      </c>
      <c r="B8512" t="s">
        <v>10009</v>
      </c>
      <c r="C8512">
        <v>0</v>
      </c>
      <c r="D8512">
        <v>3</v>
      </c>
      <c r="E8512">
        <v>3</v>
      </c>
      <c r="F8512" t="s">
        <v>10104</v>
      </c>
      <c r="G8512" t="s">
        <v>10021</v>
      </c>
      <c r="H8512" s="6">
        <v>44998</v>
      </c>
      <c r="I8512">
        <f t="shared" si="264"/>
        <v>1</v>
      </c>
      <c r="J8512" t="str">
        <f t="shared" si="265"/>
        <v>Complete</v>
      </c>
      <c r="K8512">
        <f>COUNTIFS(RawData[Item], B8512,RawData[Quantity],C8512,RawData[Price Per Unit],D8512,RawData[Total Spent],E8512,RawData[Payment Method],F8512,RawData[Location],G8512,RawData[Transaction Date],H8512)</f>
        <v>1</v>
      </c>
      <c r="L8512"/>
    </row>
    <row r="8513" spans="1:12" x14ac:dyDescent="0.3">
      <c r="A8513" t="s">
        <v>8519</v>
      </c>
      <c r="B8513" t="s">
        <v>10009</v>
      </c>
      <c r="C8513">
        <v>5</v>
      </c>
      <c r="D8513">
        <v>3</v>
      </c>
      <c r="E8513">
        <v>15</v>
      </c>
      <c r="F8513" t="s">
        <v>10019</v>
      </c>
      <c r="G8513" t="s">
        <v>10069</v>
      </c>
      <c r="H8513" s="6">
        <v>45061</v>
      </c>
      <c r="I8513">
        <f t="shared" si="264"/>
        <v>0</v>
      </c>
      <c r="J8513" t="str">
        <f t="shared" si="265"/>
        <v>Complete</v>
      </c>
      <c r="K8513">
        <f>COUNTIFS(RawData[Item], B8513,RawData[Quantity],C8513,RawData[Price Per Unit],D8513,RawData[Total Spent],E8513,RawData[Payment Method],F8513,RawData[Location],G8513,RawData[Transaction Date],H8513)</f>
        <v>1</v>
      </c>
      <c r="L8513"/>
    </row>
    <row r="8514" spans="1:12" x14ac:dyDescent="0.3">
      <c r="A8514" t="s">
        <v>8520</v>
      </c>
      <c r="B8514" t="s">
        <v>10008</v>
      </c>
      <c r="C8514">
        <v>2</v>
      </c>
      <c r="D8514">
        <v>2</v>
      </c>
      <c r="E8514">
        <v>4</v>
      </c>
      <c r="F8514" t="s">
        <v>10069</v>
      </c>
      <c r="G8514" t="s">
        <v>10102</v>
      </c>
      <c r="H8514" s="6">
        <v>45245</v>
      </c>
      <c r="I8514">
        <f t="shared" ref="I8514:I8577" si="266">(B8514="Unknown")+(B8514="Error")+(C8514="Unknown")+(C8514="Error")+(D8514="Unknown")+(D8514="Error")+(E8514="Unknown")+(E8514="Error")+(F8514="Unknown")+(F8514="Error")+(G8514="Unknown")+(G8514="Error")+(H8514="No Date")</f>
        <v>0</v>
      </c>
      <c r="J8514" t="str">
        <f t="shared" ref="J8514:J8577" si="267">IF((H8514="No Date"),"Incomplete","Complete")</f>
        <v>Complete</v>
      </c>
      <c r="K8514">
        <f>COUNTIFS(RawData[Item], B8514,RawData[Quantity],C8514,RawData[Price Per Unit],D8514,RawData[Total Spent],E8514,RawData[Payment Method],F8514,RawData[Location],G8514,RawData[Transaction Date],H8514)</f>
        <v>1</v>
      </c>
      <c r="L8514"/>
    </row>
    <row r="8515" spans="1:12" x14ac:dyDescent="0.3">
      <c r="A8515" t="s">
        <v>8521</v>
      </c>
      <c r="B8515" t="s">
        <v>10011</v>
      </c>
      <c r="C8515">
        <v>4</v>
      </c>
      <c r="D8515">
        <v>5</v>
      </c>
      <c r="E8515">
        <v>20</v>
      </c>
      <c r="F8515" t="s">
        <v>10069</v>
      </c>
      <c r="G8515" t="s">
        <v>10069</v>
      </c>
      <c r="H8515" s="6">
        <v>45259</v>
      </c>
      <c r="I8515">
        <f t="shared" si="266"/>
        <v>0</v>
      </c>
      <c r="J8515" t="str">
        <f t="shared" si="267"/>
        <v>Complete</v>
      </c>
      <c r="K8515">
        <f>COUNTIFS(RawData[Item], B8515,RawData[Quantity],C8515,RawData[Price Per Unit],D8515,RawData[Total Spent],E8515,RawData[Payment Method],F8515,RawData[Location],G8515,RawData[Transaction Date],H8515)</f>
        <v>1</v>
      </c>
      <c r="L8515"/>
    </row>
    <row r="8516" spans="1:12" x14ac:dyDescent="0.3">
      <c r="A8516" t="s">
        <v>8522</v>
      </c>
      <c r="B8516" t="s">
        <v>10008</v>
      </c>
      <c r="C8516">
        <v>4</v>
      </c>
      <c r="D8516">
        <v>2</v>
      </c>
      <c r="E8516">
        <v>8</v>
      </c>
      <c r="F8516" t="s">
        <v>10018</v>
      </c>
      <c r="G8516" t="s">
        <v>10102</v>
      </c>
      <c r="H8516" s="6">
        <v>45268</v>
      </c>
      <c r="I8516">
        <f t="shared" si="266"/>
        <v>0</v>
      </c>
      <c r="J8516" t="str">
        <f t="shared" si="267"/>
        <v>Complete</v>
      </c>
      <c r="K8516">
        <f>COUNTIFS(RawData[Item], B8516,RawData[Quantity],C8516,RawData[Price Per Unit],D8516,RawData[Total Spent],E8516,RawData[Payment Method],F8516,RawData[Location],G8516,RawData[Transaction Date],H8516)</f>
        <v>1</v>
      </c>
      <c r="L8516"/>
    </row>
    <row r="8517" spans="1:12" x14ac:dyDescent="0.3">
      <c r="A8517" t="s">
        <v>8523</v>
      </c>
      <c r="B8517" t="s">
        <v>10016</v>
      </c>
      <c r="C8517">
        <v>2</v>
      </c>
      <c r="D8517">
        <v>3</v>
      </c>
      <c r="E8517">
        <v>6</v>
      </c>
      <c r="F8517" t="s">
        <v>10069</v>
      </c>
      <c r="G8517" t="s">
        <v>10021</v>
      </c>
      <c r="H8517" s="6">
        <v>45254</v>
      </c>
      <c r="I8517">
        <f t="shared" si="266"/>
        <v>0</v>
      </c>
      <c r="J8517" t="str">
        <f t="shared" si="267"/>
        <v>Complete</v>
      </c>
      <c r="K8517">
        <f>COUNTIFS(RawData[Item], B8517,RawData[Quantity],C8517,RawData[Price Per Unit],D8517,RawData[Total Spent],E8517,RawData[Payment Method],F8517,RawData[Location],G8517,RawData[Transaction Date],H8517)</f>
        <v>1</v>
      </c>
      <c r="L8517"/>
    </row>
    <row r="8518" spans="1:12" x14ac:dyDescent="0.3">
      <c r="A8518" t="s">
        <v>8524</v>
      </c>
      <c r="B8518" t="s">
        <v>10015</v>
      </c>
      <c r="C8518">
        <v>1</v>
      </c>
      <c r="D8518">
        <v>4</v>
      </c>
      <c r="E8518">
        <v>4</v>
      </c>
      <c r="F8518" t="s">
        <v>10018</v>
      </c>
      <c r="G8518" t="s">
        <v>10069</v>
      </c>
      <c r="H8518" s="6">
        <v>45018</v>
      </c>
      <c r="I8518">
        <f t="shared" si="266"/>
        <v>1</v>
      </c>
      <c r="J8518" t="str">
        <f t="shared" si="267"/>
        <v>Complete</v>
      </c>
      <c r="K8518">
        <f>COUNTIFS(RawData[Item], B8518,RawData[Quantity],C8518,RawData[Price Per Unit],D8518,RawData[Total Spent],E8518,RawData[Payment Method],F8518,RawData[Location],G8518,RawData[Transaction Date],H8518)</f>
        <v>1</v>
      </c>
      <c r="L8518"/>
    </row>
    <row r="8519" spans="1:12" x14ac:dyDescent="0.3">
      <c r="A8519" t="s">
        <v>8525</v>
      </c>
      <c r="B8519" t="s">
        <v>10013</v>
      </c>
      <c r="C8519" t="s">
        <v>10013</v>
      </c>
      <c r="D8519">
        <v>4</v>
      </c>
      <c r="E8519">
        <v>4</v>
      </c>
      <c r="F8519" t="s">
        <v>10069</v>
      </c>
      <c r="G8519" t="s">
        <v>10102</v>
      </c>
      <c r="H8519" s="6">
        <v>44957</v>
      </c>
      <c r="I8519">
        <f t="shared" si="266"/>
        <v>2</v>
      </c>
      <c r="J8519" t="str">
        <f t="shared" si="267"/>
        <v>Complete</v>
      </c>
      <c r="K8519">
        <f>COUNTIFS(RawData[Item], B8519,RawData[Quantity],C8519,RawData[Price Per Unit],D8519,RawData[Total Spent],E8519,RawData[Payment Method],F8519,RawData[Location],G8519,RawData[Transaction Date],H8519)</f>
        <v>1</v>
      </c>
      <c r="L8519"/>
    </row>
    <row r="8520" spans="1:12" x14ac:dyDescent="0.3">
      <c r="A8520" t="s">
        <v>8526</v>
      </c>
      <c r="B8520" t="s">
        <v>10008</v>
      </c>
      <c r="C8520">
        <v>5</v>
      </c>
      <c r="D8520">
        <v>2</v>
      </c>
      <c r="E8520">
        <v>10</v>
      </c>
      <c r="F8520" t="s">
        <v>10019</v>
      </c>
      <c r="G8520" t="s">
        <v>10069</v>
      </c>
      <c r="H8520" s="6">
        <v>45137</v>
      </c>
      <c r="I8520">
        <f t="shared" si="266"/>
        <v>0</v>
      </c>
      <c r="J8520" t="str">
        <f t="shared" si="267"/>
        <v>Complete</v>
      </c>
      <c r="K8520">
        <f>COUNTIFS(RawData[Item], B8520,RawData[Quantity],C8520,RawData[Price Per Unit],D8520,RawData[Total Spent],E8520,RawData[Payment Method],F8520,RawData[Location],G8520,RawData[Transaction Date],H8520)</f>
        <v>1</v>
      </c>
      <c r="L8520"/>
    </row>
    <row r="8521" spans="1:12" x14ac:dyDescent="0.3">
      <c r="A8521" t="s">
        <v>8527</v>
      </c>
      <c r="B8521" t="s">
        <v>10012</v>
      </c>
      <c r="C8521">
        <v>4</v>
      </c>
      <c r="D8521">
        <v>4</v>
      </c>
      <c r="E8521">
        <v>16</v>
      </c>
      <c r="F8521" t="s">
        <v>10069</v>
      </c>
      <c r="G8521" t="s">
        <v>10069</v>
      </c>
      <c r="H8521" s="6">
        <v>45116</v>
      </c>
      <c r="I8521">
        <f t="shared" si="266"/>
        <v>0</v>
      </c>
      <c r="J8521" t="str">
        <f t="shared" si="267"/>
        <v>Complete</v>
      </c>
      <c r="K8521">
        <f>COUNTIFS(RawData[Item], B8521,RawData[Quantity],C8521,RawData[Price Per Unit],D8521,RawData[Total Spent],E8521,RawData[Payment Method],F8521,RawData[Location],G8521,RawData[Transaction Date],H8521)</f>
        <v>1</v>
      </c>
      <c r="L8521"/>
    </row>
    <row r="8522" spans="1:12" x14ac:dyDescent="0.3">
      <c r="A8522" t="s">
        <v>8528</v>
      </c>
      <c r="B8522" t="s">
        <v>10016</v>
      </c>
      <c r="C8522">
        <v>3</v>
      </c>
      <c r="D8522">
        <v>3</v>
      </c>
      <c r="E8522">
        <v>9</v>
      </c>
      <c r="F8522" t="s">
        <v>10018</v>
      </c>
      <c r="G8522" t="s">
        <v>10102</v>
      </c>
      <c r="H8522" s="6">
        <v>45244</v>
      </c>
      <c r="I8522">
        <f t="shared" si="266"/>
        <v>0</v>
      </c>
      <c r="J8522" t="str">
        <f t="shared" si="267"/>
        <v>Complete</v>
      </c>
      <c r="K8522">
        <f>COUNTIFS(RawData[Item], B8522,RawData[Quantity],C8522,RawData[Price Per Unit],D8522,RawData[Total Spent],E8522,RawData[Payment Method],F8522,RawData[Location],G8522,RawData[Transaction Date],H8522)</f>
        <v>1</v>
      </c>
      <c r="L8522"/>
    </row>
    <row r="8523" spans="1:12" x14ac:dyDescent="0.3">
      <c r="A8523" t="s">
        <v>8529</v>
      </c>
      <c r="B8523" t="s">
        <v>10009</v>
      </c>
      <c r="C8523">
        <v>1</v>
      </c>
      <c r="D8523">
        <v>3</v>
      </c>
      <c r="E8523">
        <v>3</v>
      </c>
      <c r="F8523" t="s">
        <v>10019</v>
      </c>
      <c r="G8523" t="s">
        <v>10069</v>
      </c>
      <c r="H8523" s="6">
        <v>45128</v>
      </c>
      <c r="I8523">
        <f t="shared" si="266"/>
        <v>0</v>
      </c>
      <c r="J8523" t="str">
        <f t="shared" si="267"/>
        <v>Complete</v>
      </c>
      <c r="K8523">
        <f>COUNTIFS(RawData[Item], B8523,RawData[Quantity],C8523,RawData[Price Per Unit],D8523,RawData[Total Spent],E8523,RawData[Payment Method],F8523,RawData[Location],G8523,RawData[Transaction Date],H8523)</f>
        <v>1</v>
      </c>
      <c r="L8523"/>
    </row>
    <row r="8524" spans="1:12" x14ac:dyDescent="0.3">
      <c r="A8524" t="s">
        <v>8530</v>
      </c>
      <c r="B8524" t="s">
        <v>10012</v>
      </c>
      <c r="C8524">
        <v>5</v>
      </c>
      <c r="D8524">
        <v>4</v>
      </c>
      <c r="E8524" t="s">
        <v>10013</v>
      </c>
      <c r="F8524" t="s">
        <v>10019</v>
      </c>
      <c r="G8524" t="s">
        <v>10102</v>
      </c>
      <c r="H8524" s="6">
        <v>45135</v>
      </c>
      <c r="I8524">
        <f t="shared" si="266"/>
        <v>1</v>
      </c>
      <c r="J8524" t="str">
        <f t="shared" si="267"/>
        <v>Complete</v>
      </c>
      <c r="K8524">
        <f>COUNTIFS(RawData[Item], B8524,RawData[Quantity],C8524,RawData[Price Per Unit],D8524,RawData[Total Spent],E8524,RawData[Payment Method],F8524,RawData[Location],G8524,RawData[Transaction Date],H8524)</f>
        <v>1</v>
      </c>
      <c r="L8524"/>
    </row>
    <row r="8525" spans="1:12" x14ac:dyDescent="0.3">
      <c r="A8525" t="s">
        <v>8531</v>
      </c>
      <c r="B8525" t="s">
        <v>10008</v>
      </c>
      <c r="C8525">
        <v>4</v>
      </c>
      <c r="D8525">
        <v>2</v>
      </c>
      <c r="E8525">
        <v>8</v>
      </c>
      <c r="F8525" t="s">
        <v>10019</v>
      </c>
      <c r="G8525" t="s">
        <v>10103</v>
      </c>
      <c r="H8525" s="6">
        <v>44998</v>
      </c>
      <c r="I8525">
        <f t="shared" si="266"/>
        <v>1</v>
      </c>
      <c r="J8525" t="str">
        <f t="shared" si="267"/>
        <v>Complete</v>
      </c>
      <c r="K8525">
        <f>COUNTIFS(RawData[Item], B8525,RawData[Quantity],C8525,RawData[Price Per Unit],D8525,RawData[Total Spent],E8525,RawData[Payment Method],F8525,RawData[Location],G8525,RawData[Transaction Date],H8525)</f>
        <v>1</v>
      </c>
      <c r="L8525"/>
    </row>
    <row r="8526" spans="1:12" x14ac:dyDescent="0.3">
      <c r="A8526" t="s">
        <v>8532</v>
      </c>
      <c r="B8526" t="s">
        <v>10012</v>
      </c>
      <c r="C8526">
        <v>3</v>
      </c>
      <c r="D8526">
        <v>4</v>
      </c>
      <c r="E8526">
        <v>12</v>
      </c>
      <c r="F8526" t="s">
        <v>10018</v>
      </c>
      <c r="G8526" t="s">
        <v>10069</v>
      </c>
      <c r="H8526" s="6">
        <v>45179</v>
      </c>
      <c r="I8526">
        <f t="shared" si="266"/>
        <v>0</v>
      </c>
      <c r="J8526" t="str">
        <f t="shared" si="267"/>
        <v>Complete</v>
      </c>
      <c r="K8526">
        <f>COUNTIFS(RawData[Item], B8526,RawData[Quantity],C8526,RawData[Price Per Unit],D8526,RawData[Total Spent],E8526,RawData[Payment Method],F8526,RawData[Location],G8526,RawData[Transaction Date],H8526)</f>
        <v>1</v>
      </c>
      <c r="L8526"/>
    </row>
    <row r="8527" spans="1:12" x14ac:dyDescent="0.3">
      <c r="A8527" t="s">
        <v>8533</v>
      </c>
      <c r="B8527" t="s">
        <v>10011</v>
      </c>
      <c r="C8527">
        <v>5</v>
      </c>
      <c r="D8527">
        <v>5</v>
      </c>
      <c r="E8527">
        <v>25</v>
      </c>
      <c r="F8527" t="s">
        <v>10020</v>
      </c>
      <c r="G8527" t="s">
        <v>10102</v>
      </c>
      <c r="H8527" s="6">
        <v>44979</v>
      </c>
      <c r="I8527">
        <f t="shared" si="266"/>
        <v>0</v>
      </c>
      <c r="J8527" t="str">
        <f t="shared" si="267"/>
        <v>Complete</v>
      </c>
      <c r="K8527">
        <f>COUNTIFS(RawData[Item], B8527,RawData[Quantity],C8527,RawData[Price Per Unit],D8527,RawData[Total Spent],E8527,RawData[Payment Method],F8527,RawData[Location],G8527,RawData[Transaction Date],H8527)</f>
        <v>1</v>
      </c>
      <c r="L8527"/>
    </row>
    <row r="8528" spans="1:12" x14ac:dyDescent="0.3">
      <c r="A8528" t="s">
        <v>8534</v>
      </c>
      <c r="B8528" t="s">
        <v>10016</v>
      </c>
      <c r="C8528">
        <v>2</v>
      </c>
      <c r="D8528">
        <v>3</v>
      </c>
      <c r="E8528">
        <v>6</v>
      </c>
      <c r="F8528" t="s">
        <v>10020</v>
      </c>
      <c r="G8528" t="s">
        <v>10102</v>
      </c>
      <c r="H8528" s="6">
        <v>44973</v>
      </c>
      <c r="I8528">
        <f t="shared" si="266"/>
        <v>0</v>
      </c>
      <c r="J8528" t="str">
        <f t="shared" si="267"/>
        <v>Complete</v>
      </c>
      <c r="K8528">
        <f>COUNTIFS(RawData[Item], B8528,RawData[Quantity],C8528,RawData[Price Per Unit],D8528,RawData[Total Spent],E8528,RawData[Payment Method],F8528,RawData[Location],G8528,RawData[Transaction Date],H8528)</f>
        <v>1</v>
      </c>
      <c r="L8528"/>
    </row>
    <row r="8529" spans="1:12" x14ac:dyDescent="0.3">
      <c r="A8529" t="s">
        <v>8535</v>
      </c>
      <c r="B8529" t="s">
        <v>10012</v>
      </c>
      <c r="C8529">
        <v>5</v>
      </c>
      <c r="D8529">
        <v>4</v>
      </c>
      <c r="E8529">
        <v>20</v>
      </c>
      <c r="F8529" t="s">
        <v>10069</v>
      </c>
      <c r="G8529" t="s">
        <v>10069</v>
      </c>
      <c r="H8529" s="6">
        <v>45219</v>
      </c>
      <c r="I8529">
        <f t="shared" si="266"/>
        <v>0</v>
      </c>
      <c r="J8529" t="str">
        <f t="shared" si="267"/>
        <v>Complete</v>
      </c>
      <c r="K8529">
        <f>COUNTIFS(RawData[Item], B8529,RawData[Quantity],C8529,RawData[Price Per Unit],D8529,RawData[Total Spent],E8529,RawData[Payment Method],F8529,RawData[Location],G8529,RawData[Transaction Date],H8529)</f>
        <v>1</v>
      </c>
      <c r="L8529"/>
    </row>
    <row r="8530" spans="1:12" x14ac:dyDescent="0.3">
      <c r="A8530" t="s">
        <v>8536</v>
      </c>
      <c r="B8530" t="s">
        <v>10015</v>
      </c>
      <c r="C8530">
        <v>3</v>
      </c>
      <c r="D8530">
        <v>3</v>
      </c>
      <c r="E8530">
        <v>9</v>
      </c>
      <c r="F8530" t="s">
        <v>10020</v>
      </c>
      <c r="G8530" t="s">
        <v>10102</v>
      </c>
      <c r="H8530" s="6">
        <v>44939</v>
      </c>
      <c r="I8530">
        <f t="shared" si="266"/>
        <v>1</v>
      </c>
      <c r="J8530" t="str">
        <f t="shared" si="267"/>
        <v>Complete</v>
      </c>
      <c r="K8530">
        <f>COUNTIFS(RawData[Item], B8530,RawData[Quantity],C8530,RawData[Price Per Unit],D8530,RawData[Total Spent],E8530,RawData[Payment Method],F8530,RawData[Location],G8530,RawData[Transaction Date],H8530)</f>
        <v>1</v>
      </c>
      <c r="L8530"/>
    </row>
    <row r="8531" spans="1:12" x14ac:dyDescent="0.3">
      <c r="A8531" t="s">
        <v>8537</v>
      </c>
      <c r="B8531" t="s">
        <v>10008</v>
      </c>
      <c r="C8531" t="s">
        <v>10013</v>
      </c>
      <c r="D8531">
        <v>2</v>
      </c>
      <c r="E8531">
        <v>10</v>
      </c>
      <c r="F8531" t="s">
        <v>10019</v>
      </c>
      <c r="G8531" t="s">
        <v>10069</v>
      </c>
      <c r="H8531" s="6">
        <v>45132</v>
      </c>
      <c r="I8531">
        <f t="shared" si="266"/>
        <v>1</v>
      </c>
      <c r="J8531" t="str">
        <f t="shared" si="267"/>
        <v>Complete</v>
      </c>
      <c r="K8531">
        <f>COUNTIFS(RawData[Item], B8531,RawData[Quantity],C8531,RawData[Price Per Unit],D8531,RawData[Total Spent],E8531,RawData[Payment Method],F8531,RawData[Location],G8531,RawData[Transaction Date],H8531)</f>
        <v>1</v>
      </c>
      <c r="L8531"/>
    </row>
    <row r="8532" spans="1:12" x14ac:dyDescent="0.3">
      <c r="A8532" t="s">
        <v>8538</v>
      </c>
      <c r="B8532" t="s">
        <v>10017</v>
      </c>
      <c r="C8532">
        <v>1</v>
      </c>
      <c r="D8532">
        <v>1.5</v>
      </c>
      <c r="E8532">
        <v>1.5</v>
      </c>
      <c r="F8532" t="s">
        <v>10020</v>
      </c>
      <c r="G8532" t="s">
        <v>10102</v>
      </c>
      <c r="H8532" s="6">
        <v>45269</v>
      </c>
      <c r="I8532">
        <f t="shared" si="266"/>
        <v>0</v>
      </c>
      <c r="J8532" t="str">
        <f t="shared" si="267"/>
        <v>Complete</v>
      </c>
      <c r="K8532">
        <f>COUNTIFS(RawData[Item], B8532,RawData[Quantity],C8532,RawData[Price Per Unit],D8532,RawData[Total Spent],E8532,RawData[Payment Method],F8532,RawData[Location],G8532,RawData[Transaction Date],H8532)</f>
        <v>1</v>
      </c>
      <c r="L8532"/>
    </row>
    <row r="8533" spans="1:12" x14ac:dyDescent="0.3">
      <c r="A8533" t="s">
        <v>8539</v>
      </c>
      <c r="B8533" t="s">
        <v>10014</v>
      </c>
      <c r="C8533">
        <v>5</v>
      </c>
      <c r="D8533">
        <v>4</v>
      </c>
      <c r="E8533">
        <v>20</v>
      </c>
      <c r="F8533" t="s">
        <v>10020</v>
      </c>
      <c r="G8533" t="s">
        <v>10102</v>
      </c>
      <c r="H8533" s="6">
        <v>44950</v>
      </c>
      <c r="I8533">
        <f t="shared" si="266"/>
        <v>0</v>
      </c>
      <c r="J8533" t="str">
        <f t="shared" si="267"/>
        <v>Complete</v>
      </c>
      <c r="K8533">
        <f>COUNTIFS(RawData[Item], B8533,RawData[Quantity],C8533,RawData[Price Per Unit],D8533,RawData[Total Spent],E8533,RawData[Payment Method],F8533,RawData[Location],G8533,RawData[Transaction Date],H8533)</f>
        <v>1</v>
      </c>
      <c r="L8533"/>
    </row>
    <row r="8534" spans="1:12" x14ac:dyDescent="0.3">
      <c r="A8534" t="s">
        <v>8540</v>
      </c>
      <c r="B8534" t="s">
        <v>10011</v>
      </c>
      <c r="C8534">
        <v>3</v>
      </c>
      <c r="D8534">
        <v>5</v>
      </c>
      <c r="E8534">
        <v>15</v>
      </c>
      <c r="F8534" t="s">
        <v>10018</v>
      </c>
      <c r="G8534" t="s">
        <v>10069</v>
      </c>
      <c r="H8534" s="6">
        <v>45161</v>
      </c>
      <c r="I8534">
        <f t="shared" si="266"/>
        <v>0</v>
      </c>
      <c r="J8534" t="str">
        <f t="shared" si="267"/>
        <v>Complete</v>
      </c>
      <c r="K8534">
        <f>COUNTIFS(RawData[Item], B8534,RawData[Quantity],C8534,RawData[Price Per Unit],D8534,RawData[Total Spent],E8534,RawData[Payment Method],F8534,RawData[Location],G8534,RawData[Transaction Date],H8534)</f>
        <v>1</v>
      </c>
      <c r="L8534"/>
    </row>
    <row r="8535" spans="1:12" x14ac:dyDescent="0.3">
      <c r="A8535" t="s">
        <v>8541</v>
      </c>
      <c r="B8535" t="s">
        <v>10014</v>
      </c>
      <c r="C8535">
        <v>1</v>
      </c>
      <c r="D8535">
        <v>4</v>
      </c>
      <c r="E8535">
        <v>4</v>
      </c>
      <c r="F8535" t="s">
        <v>10020</v>
      </c>
      <c r="G8535" t="s">
        <v>10069</v>
      </c>
      <c r="H8535" s="6">
        <v>45128</v>
      </c>
      <c r="I8535">
        <f t="shared" si="266"/>
        <v>0</v>
      </c>
      <c r="J8535" t="str">
        <f t="shared" si="267"/>
        <v>Complete</v>
      </c>
      <c r="K8535">
        <f>COUNTIFS(RawData[Item], B8535,RawData[Quantity],C8535,RawData[Price Per Unit],D8535,RawData[Total Spent],E8535,RawData[Payment Method],F8535,RawData[Location],G8535,RawData[Transaction Date],H8535)</f>
        <v>1</v>
      </c>
      <c r="L8535"/>
    </row>
    <row r="8536" spans="1:12" x14ac:dyDescent="0.3">
      <c r="A8536" t="s">
        <v>8542</v>
      </c>
      <c r="B8536" t="s">
        <v>10016</v>
      </c>
      <c r="C8536">
        <v>3</v>
      </c>
      <c r="D8536">
        <v>3</v>
      </c>
      <c r="E8536">
        <v>9</v>
      </c>
      <c r="F8536" t="s">
        <v>10069</v>
      </c>
      <c r="G8536" t="s">
        <v>10102</v>
      </c>
      <c r="H8536" s="6">
        <v>45108</v>
      </c>
      <c r="I8536">
        <f t="shared" si="266"/>
        <v>0</v>
      </c>
      <c r="J8536" t="str">
        <f t="shared" si="267"/>
        <v>Complete</v>
      </c>
      <c r="K8536">
        <f>COUNTIFS(RawData[Item], B8536,RawData[Quantity],C8536,RawData[Price Per Unit],D8536,RawData[Total Spent],E8536,RawData[Payment Method],F8536,RawData[Location],G8536,RawData[Transaction Date],H8536)</f>
        <v>1</v>
      </c>
      <c r="L8536"/>
    </row>
    <row r="8537" spans="1:12" x14ac:dyDescent="0.3">
      <c r="A8537" t="s">
        <v>8543</v>
      </c>
      <c r="B8537" t="s">
        <v>10012</v>
      </c>
      <c r="C8537">
        <v>2</v>
      </c>
      <c r="D8537">
        <v>4</v>
      </c>
      <c r="E8537">
        <v>8</v>
      </c>
      <c r="F8537" t="s">
        <v>10018</v>
      </c>
      <c r="G8537" t="s">
        <v>10102</v>
      </c>
      <c r="H8537" s="6">
        <v>45149</v>
      </c>
      <c r="I8537">
        <f t="shared" si="266"/>
        <v>0</v>
      </c>
      <c r="J8537" t="str">
        <f t="shared" si="267"/>
        <v>Complete</v>
      </c>
      <c r="K8537">
        <f>COUNTIFS(RawData[Item], B8537,RawData[Quantity],C8537,RawData[Price Per Unit],D8537,RawData[Total Spent],E8537,RawData[Payment Method],F8537,RawData[Location],G8537,RawData[Transaction Date],H8537)</f>
        <v>1</v>
      </c>
      <c r="L8537"/>
    </row>
    <row r="8538" spans="1:12" x14ac:dyDescent="0.3">
      <c r="A8538" t="s">
        <v>8544</v>
      </c>
      <c r="B8538" t="s">
        <v>10017</v>
      </c>
      <c r="C8538">
        <v>5</v>
      </c>
      <c r="D8538">
        <v>1.5</v>
      </c>
      <c r="E8538">
        <v>7.5</v>
      </c>
      <c r="F8538" t="s">
        <v>10019</v>
      </c>
      <c r="G8538" t="s">
        <v>10069</v>
      </c>
      <c r="H8538" s="6">
        <v>45169</v>
      </c>
      <c r="I8538">
        <f t="shared" si="266"/>
        <v>0</v>
      </c>
      <c r="J8538" t="str">
        <f t="shared" si="267"/>
        <v>Complete</v>
      </c>
      <c r="K8538">
        <f>COUNTIFS(RawData[Item], B8538,RawData[Quantity],C8538,RawData[Price Per Unit],D8538,RawData[Total Spent],E8538,RawData[Payment Method],F8538,RawData[Location],G8538,RawData[Transaction Date],H8538)</f>
        <v>1</v>
      </c>
      <c r="L8538"/>
    </row>
    <row r="8539" spans="1:12" x14ac:dyDescent="0.3">
      <c r="A8539" t="s">
        <v>8545</v>
      </c>
      <c r="B8539" t="s">
        <v>10011</v>
      </c>
      <c r="C8539">
        <v>2</v>
      </c>
      <c r="D8539">
        <v>5</v>
      </c>
      <c r="E8539">
        <v>10</v>
      </c>
      <c r="F8539" t="s">
        <v>10020</v>
      </c>
      <c r="G8539" t="s">
        <v>10069</v>
      </c>
      <c r="H8539" s="6">
        <v>45287</v>
      </c>
      <c r="I8539">
        <f t="shared" si="266"/>
        <v>0</v>
      </c>
      <c r="J8539" t="str">
        <f t="shared" si="267"/>
        <v>Complete</v>
      </c>
      <c r="K8539">
        <f>COUNTIFS(RawData[Item], B8539,RawData[Quantity],C8539,RawData[Price Per Unit],D8539,RawData[Total Spent],E8539,RawData[Payment Method],F8539,RawData[Location],G8539,RawData[Transaction Date],H8539)</f>
        <v>1</v>
      </c>
      <c r="L8539"/>
    </row>
    <row r="8540" spans="1:12" x14ac:dyDescent="0.3">
      <c r="A8540" t="s">
        <v>8546</v>
      </c>
      <c r="B8540" t="s">
        <v>10016</v>
      </c>
      <c r="C8540">
        <v>1</v>
      </c>
      <c r="D8540">
        <v>3</v>
      </c>
      <c r="E8540">
        <v>3</v>
      </c>
      <c r="F8540" t="s">
        <v>10018</v>
      </c>
      <c r="G8540" t="s">
        <v>10021</v>
      </c>
      <c r="H8540" s="6">
        <v>45179</v>
      </c>
      <c r="I8540">
        <f t="shared" si="266"/>
        <v>0</v>
      </c>
      <c r="J8540" t="str">
        <f t="shared" si="267"/>
        <v>Complete</v>
      </c>
      <c r="K8540">
        <f>COUNTIFS(RawData[Item], B8540,RawData[Quantity],C8540,RawData[Price Per Unit],D8540,RawData[Total Spent],E8540,RawData[Payment Method],F8540,RawData[Location],G8540,RawData[Transaction Date],H8540)</f>
        <v>1</v>
      </c>
      <c r="L8540"/>
    </row>
    <row r="8541" spans="1:12" x14ac:dyDescent="0.3">
      <c r="A8541" t="s">
        <v>8547</v>
      </c>
      <c r="B8541" t="s">
        <v>10009</v>
      </c>
      <c r="C8541">
        <v>3</v>
      </c>
      <c r="D8541">
        <v>3</v>
      </c>
      <c r="E8541">
        <v>9</v>
      </c>
      <c r="F8541" t="s">
        <v>10103</v>
      </c>
      <c r="G8541" t="s">
        <v>10069</v>
      </c>
      <c r="H8541" s="6">
        <v>45276</v>
      </c>
      <c r="I8541">
        <f t="shared" si="266"/>
        <v>1</v>
      </c>
      <c r="J8541" t="str">
        <f t="shared" si="267"/>
        <v>Complete</v>
      </c>
      <c r="K8541">
        <f>COUNTIFS(RawData[Item], B8541,RawData[Quantity],C8541,RawData[Price Per Unit],D8541,RawData[Total Spent],E8541,RawData[Payment Method],F8541,RawData[Location],G8541,RawData[Transaction Date],H8541)</f>
        <v>1</v>
      </c>
      <c r="L8541"/>
    </row>
    <row r="8542" spans="1:12" x14ac:dyDescent="0.3">
      <c r="A8542" t="s">
        <v>8548</v>
      </c>
      <c r="B8542" t="s">
        <v>10012</v>
      </c>
      <c r="C8542">
        <v>3</v>
      </c>
      <c r="D8542">
        <v>4</v>
      </c>
      <c r="E8542">
        <v>12</v>
      </c>
      <c r="F8542" t="s">
        <v>10069</v>
      </c>
      <c r="G8542" t="s">
        <v>10102</v>
      </c>
      <c r="H8542" s="6">
        <v>45093</v>
      </c>
      <c r="I8542">
        <f t="shared" si="266"/>
        <v>0</v>
      </c>
      <c r="J8542" t="str">
        <f t="shared" si="267"/>
        <v>Complete</v>
      </c>
      <c r="K8542">
        <f>COUNTIFS(RawData[Item], B8542,RawData[Quantity],C8542,RawData[Price Per Unit],D8542,RawData[Total Spent],E8542,RawData[Payment Method],F8542,RawData[Location],G8542,RawData[Transaction Date],H8542)</f>
        <v>1</v>
      </c>
      <c r="L8542"/>
    </row>
    <row r="8543" spans="1:12" x14ac:dyDescent="0.3">
      <c r="A8543" t="s">
        <v>8549</v>
      </c>
      <c r="B8543" t="s">
        <v>10011</v>
      </c>
      <c r="C8543">
        <v>4</v>
      </c>
      <c r="D8543">
        <v>5</v>
      </c>
      <c r="E8543">
        <v>20</v>
      </c>
      <c r="F8543" t="s">
        <v>10069</v>
      </c>
      <c r="G8543" t="s">
        <v>10069</v>
      </c>
      <c r="H8543" s="6">
        <v>45119</v>
      </c>
      <c r="I8543">
        <f t="shared" si="266"/>
        <v>0</v>
      </c>
      <c r="J8543" t="str">
        <f t="shared" si="267"/>
        <v>Complete</v>
      </c>
      <c r="K8543">
        <f>COUNTIFS(RawData[Item], B8543,RawData[Quantity],C8543,RawData[Price Per Unit],D8543,RawData[Total Spent],E8543,RawData[Payment Method],F8543,RawData[Location],G8543,RawData[Transaction Date],H8543)</f>
        <v>1</v>
      </c>
      <c r="L8543"/>
    </row>
    <row r="8544" spans="1:12" x14ac:dyDescent="0.3">
      <c r="A8544" t="s">
        <v>8550</v>
      </c>
      <c r="B8544" t="s">
        <v>10013</v>
      </c>
      <c r="C8544">
        <v>2</v>
      </c>
      <c r="D8544">
        <v>3</v>
      </c>
      <c r="E8544">
        <v>6</v>
      </c>
      <c r="F8544" t="s">
        <v>10020</v>
      </c>
      <c r="G8544" t="s">
        <v>10069</v>
      </c>
      <c r="H8544" s="6">
        <v>45163</v>
      </c>
      <c r="I8544">
        <f t="shared" si="266"/>
        <v>1</v>
      </c>
      <c r="J8544" t="str">
        <f t="shared" si="267"/>
        <v>Complete</v>
      </c>
      <c r="K8544">
        <f>COUNTIFS(RawData[Item], B8544,RawData[Quantity],C8544,RawData[Price Per Unit],D8544,RawData[Total Spent],E8544,RawData[Payment Method],F8544,RawData[Location],G8544,RawData[Transaction Date],H8544)</f>
        <v>1</v>
      </c>
      <c r="L8544"/>
    </row>
    <row r="8545" spans="1:12" x14ac:dyDescent="0.3">
      <c r="A8545" t="s">
        <v>8551</v>
      </c>
      <c r="B8545" t="s">
        <v>10011</v>
      </c>
      <c r="C8545">
        <v>2</v>
      </c>
      <c r="D8545">
        <v>5</v>
      </c>
      <c r="E8545">
        <v>10</v>
      </c>
      <c r="F8545" t="s">
        <v>10069</v>
      </c>
      <c r="G8545" t="s">
        <v>10021</v>
      </c>
      <c r="H8545" s="6">
        <v>45109</v>
      </c>
      <c r="I8545">
        <f t="shared" si="266"/>
        <v>0</v>
      </c>
      <c r="J8545" t="str">
        <f t="shared" si="267"/>
        <v>Complete</v>
      </c>
      <c r="K8545">
        <f>COUNTIFS(RawData[Item], B8545,RawData[Quantity],C8545,RawData[Price Per Unit],D8545,RawData[Total Spent],E8545,RawData[Payment Method],F8545,RawData[Location],G8545,RawData[Transaction Date],H8545)</f>
        <v>1</v>
      </c>
      <c r="L8545"/>
    </row>
    <row r="8546" spans="1:12" x14ac:dyDescent="0.3">
      <c r="A8546" t="s">
        <v>8552</v>
      </c>
      <c r="B8546" t="s">
        <v>10015</v>
      </c>
      <c r="C8546">
        <v>3</v>
      </c>
      <c r="D8546">
        <v>1</v>
      </c>
      <c r="E8546">
        <v>3</v>
      </c>
      <c r="F8546" t="s">
        <v>10019</v>
      </c>
      <c r="G8546" t="s">
        <v>10021</v>
      </c>
      <c r="H8546" s="6">
        <v>44977</v>
      </c>
      <c r="I8546">
        <f t="shared" si="266"/>
        <v>1</v>
      </c>
      <c r="J8546" t="str">
        <f t="shared" si="267"/>
        <v>Complete</v>
      </c>
      <c r="K8546">
        <f>COUNTIFS(RawData[Item], B8546,RawData[Quantity],C8546,RawData[Price Per Unit],D8546,RawData[Total Spent],E8546,RawData[Payment Method],F8546,RawData[Location],G8546,RawData[Transaction Date],H8546)</f>
        <v>1</v>
      </c>
      <c r="L8546"/>
    </row>
    <row r="8547" spans="1:12" x14ac:dyDescent="0.3">
      <c r="A8547" t="s">
        <v>8553</v>
      </c>
      <c r="B8547" t="s">
        <v>10009</v>
      </c>
      <c r="C8547">
        <v>4</v>
      </c>
      <c r="D8547">
        <v>3</v>
      </c>
      <c r="E8547">
        <v>12</v>
      </c>
      <c r="F8547" t="s">
        <v>10069</v>
      </c>
      <c r="G8547" t="s">
        <v>10021</v>
      </c>
      <c r="H8547" s="6">
        <v>44954</v>
      </c>
      <c r="I8547">
        <f t="shared" si="266"/>
        <v>0</v>
      </c>
      <c r="J8547" t="str">
        <f t="shared" si="267"/>
        <v>Complete</v>
      </c>
      <c r="K8547">
        <f>COUNTIFS(RawData[Item], B8547,RawData[Quantity],C8547,RawData[Price Per Unit],D8547,RawData[Total Spent],E8547,RawData[Payment Method],F8547,RawData[Location],G8547,RawData[Transaction Date],H8547)</f>
        <v>1</v>
      </c>
      <c r="L8547"/>
    </row>
    <row r="8548" spans="1:12" x14ac:dyDescent="0.3">
      <c r="A8548" t="s">
        <v>8554</v>
      </c>
      <c r="B8548" t="s">
        <v>10012</v>
      </c>
      <c r="C8548">
        <v>3</v>
      </c>
      <c r="D8548">
        <v>4</v>
      </c>
      <c r="E8548">
        <v>12</v>
      </c>
      <c r="F8548" t="s">
        <v>10018</v>
      </c>
      <c r="G8548" t="s">
        <v>10069</v>
      </c>
      <c r="H8548" s="6">
        <v>45063</v>
      </c>
      <c r="I8548">
        <f t="shared" si="266"/>
        <v>0</v>
      </c>
      <c r="J8548" t="str">
        <f t="shared" si="267"/>
        <v>Complete</v>
      </c>
      <c r="K8548">
        <f>COUNTIFS(RawData[Item], B8548,RawData[Quantity],C8548,RawData[Price Per Unit],D8548,RawData[Total Spent],E8548,RawData[Payment Method],F8548,RawData[Location],G8548,RawData[Transaction Date],H8548)</f>
        <v>1</v>
      </c>
      <c r="L8548"/>
    </row>
    <row r="8549" spans="1:12" x14ac:dyDescent="0.3">
      <c r="A8549" t="s">
        <v>8555</v>
      </c>
      <c r="B8549" t="s">
        <v>10013</v>
      </c>
      <c r="C8549">
        <v>3</v>
      </c>
      <c r="D8549">
        <v>1.5</v>
      </c>
      <c r="E8549">
        <v>4.5</v>
      </c>
      <c r="F8549" t="s">
        <v>10020</v>
      </c>
      <c r="G8549" t="s">
        <v>10102</v>
      </c>
      <c r="H8549" s="6">
        <v>44961</v>
      </c>
      <c r="I8549">
        <f t="shared" si="266"/>
        <v>1</v>
      </c>
      <c r="J8549" t="str">
        <f t="shared" si="267"/>
        <v>Complete</v>
      </c>
      <c r="K8549">
        <f>COUNTIFS(RawData[Item], B8549,RawData[Quantity],C8549,RawData[Price Per Unit],D8549,RawData[Total Spent],E8549,RawData[Payment Method],F8549,RawData[Location],G8549,RawData[Transaction Date],H8549)</f>
        <v>1</v>
      </c>
      <c r="L8549"/>
    </row>
    <row r="8550" spans="1:12" x14ac:dyDescent="0.3">
      <c r="A8550" t="s">
        <v>8556</v>
      </c>
      <c r="B8550" t="s">
        <v>10011</v>
      </c>
      <c r="C8550">
        <v>3</v>
      </c>
      <c r="D8550">
        <v>5</v>
      </c>
      <c r="E8550">
        <v>15</v>
      </c>
      <c r="F8550" t="s">
        <v>10103</v>
      </c>
      <c r="G8550" t="s">
        <v>10069</v>
      </c>
      <c r="H8550" s="6">
        <v>44942</v>
      </c>
      <c r="I8550">
        <f t="shared" si="266"/>
        <v>1</v>
      </c>
      <c r="J8550" t="str">
        <f t="shared" si="267"/>
        <v>Complete</v>
      </c>
      <c r="K8550">
        <f>COUNTIFS(RawData[Item], B8550,RawData[Quantity],C8550,RawData[Price Per Unit],D8550,RawData[Total Spent],E8550,RawData[Payment Method],F8550,RawData[Location],G8550,RawData[Transaction Date],H8550)</f>
        <v>1</v>
      </c>
      <c r="L8550"/>
    </row>
    <row r="8551" spans="1:12" x14ac:dyDescent="0.3">
      <c r="A8551" t="s">
        <v>8557</v>
      </c>
      <c r="B8551" t="s">
        <v>10008</v>
      </c>
      <c r="C8551">
        <v>5</v>
      </c>
      <c r="D8551">
        <v>2</v>
      </c>
      <c r="E8551">
        <v>10</v>
      </c>
      <c r="F8551" t="s">
        <v>10018</v>
      </c>
      <c r="G8551" t="s">
        <v>10021</v>
      </c>
      <c r="H8551" s="6">
        <v>44963</v>
      </c>
      <c r="I8551">
        <f t="shared" si="266"/>
        <v>0</v>
      </c>
      <c r="J8551" t="str">
        <f t="shared" si="267"/>
        <v>Complete</v>
      </c>
      <c r="K8551">
        <f>COUNTIFS(RawData[Item], B8551,RawData[Quantity],C8551,RawData[Price Per Unit],D8551,RawData[Total Spent],E8551,RawData[Payment Method],F8551,RawData[Location],G8551,RawData[Transaction Date],H8551)</f>
        <v>1</v>
      </c>
      <c r="L8551"/>
    </row>
    <row r="8552" spans="1:12" x14ac:dyDescent="0.3">
      <c r="A8552" t="s">
        <v>8558</v>
      </c>
      <c r="B8552" t="s">
        <v>10012</v>
      </c>
      <c r="C8552">
        <v>1</v>
      </c>
      <c r="D8552">
        <v>4</v>
      </c>
      <c r="E8552">
        <v>4</v>
      </c>
      <c r="F8552" t="s">
        <v>10020</v>
      </c>
      <c r="G8552" t="s">
        <v>10069</v>
      </c>
      <c r="H8552" s="6">
        <v>45201</v>
      </c>
      <c r="I8552">
        <f t="shared" si="266"/>
        <v>0</v>
      </c>
      <c r="J8552" t="str">
        <f t="shared" si="267"/>
        <v>Complete</v>
      </c>
      <c r="K8552">
        <f>COUNTIFS(RawData[Item], B8552,RawData[Quantity],C8552,RawData[Price Per Unit],D8552,RawData[Total Spent],E8552,RawData[Payment Method],F8552,RawData[Location],G8552,RawData[Transaction Date],H8552)</f>
        <v>1</v>
      </c>
      <c r="L8552"/>
    </row>
    <row r="8553" spans="1:12" x14ac:dyDescent="0.3">
      <c r="A8553" t="s">
        <v>8559</v>
      </c>
      <c r="B8553" t="s">
        <v>10011</v>
      </c>
      <c r="C8553">
        <v>3</v>
      </c>
      <c r="D8553">
        <v>5</v>
      </c>
      <c r="E8553">
        <v>15</v>
      </c>
      <c r="F8553" t="s">
        <v>10069</v>
      </c>
      <c r="G8553" t="s">
        <v>10102</v>
      </c>
      <c r="H8553" s="6">
        <v>45208</v>
      </c>
      <c r="I8553">
        <f t="shared" si="266"/>
        <v>0</v>
      </c>
      <c r="J8553" t="str">
        <f t="shared" si="267"/>
        <v>Complete</v>
      </c>
      <c r="K8553">
        <f>COUNTIFS(RawData[Item], B8553,RawData[Quantity],C8553,RawData[Price Per Unit],D8553,RawData[Total Spent],E8553,RawData[Payment Method],F8553,RawData[Location],G8553,RawData[Transaction Date],H8553)</f>
        <v>1</v>
      </c>
      <c r="L8553"/>
    </row>
    <row r="8554" spans="1:12" x14ac:dyDescent="0.3">
      <c r="A8554" t="s">
        <v>8560</v>
      </c>
      <c r="B8554" t="s">
        <v>10008</v>
      </c>
      <c r="C8554">
        <v>4</v>
      </c>
      <c r="D8554">
        <v>2</v>
      </c>
      <c r="E8554">
        <v>8</v>
      </c>
      <c r="F8554" t="s">
        <v>10020</v>
      </c>
      <c r="G8554" t="s">
        <v>10102</v>
      </c>
      <c r="H8554" s="6">
        <v>45039</v>
      </c>
      <c r="I8554">
        <f t="shared" si="266"/>
        <v>0</v>
      </c>
      <c r="J8554" t="str">
        <f t="shared" si="267"/>
        <v>Complete</v>
      </c>
      <c r="K8554">
        <f>COUNTIFS(RawData[Item], B8554,RawData[Quantity],C8554,RawData[Price Per Unit],D8554,RawData[Total Spent],E8554,RawData[Payment Method],F8554,RawData[Location],G8554,RawData[Transaction Date],H8554)</f>
        <v>1</v>
      </c>
      <c r="L8554"/>
    </row>
    <row r="8555" spans="1:12" x14ac:dyDescent="0.3">
      <c r="A8555" t="s">
        <v>8561</v>
      </c>
      <c r="B8555" t="s">
        <v>10009</v>
      </c>
      <c r="C8555">
        <v>5</v>
      </c>
      <c r="D8555">
        <v>3</v>
      </c>
      <c r="E8555">
        <v>15</v>
      </c>
      <c r="F8555" t="s">
        <v>10069</v>
      </c>
      <c r="G8555" t="s">
        <v>10021</v>
      </c>
      <c r="H8555" s="6">
        <v>45073</v>
      </c>
      <c r="I8555">
        <f t="shared" si="266"/>
        <v>0</v>
      </c>
      <c r="J8555" t="str">
        <f t="shared" si="267"/>
        <v>Complete</v>
      </c>
      <c r="K8555">
        <f>COUNTIFS(RawData[Item], B8555,RawData[Quantity],C8555,RawData[Price Per Unit],D8555,RawData[Total Spent],E8555,RawData[Payment Method],F8555,RawData[Location],G8555,RawData[Transaction Date],H8555)</f>
        <v>1</v>
      </c>
      <c r="L8555"/>
    </row>
    <row r="8556" spans="1:12" x14ac:dyDescent="0.3">
      <c r="A8556" t="s">
        <v>8562</v>
      </c>
      <c r="B8556" t="s">
        <v>10069</v>
      </c>
      <c r="C8556">
        <v>4</v>
      </c>
      <c r="D8556">
        <v>4</v>
      </c>
      <c r="E8556">
        <v>16</v>
      </c>
      <c r="F8556" t="s">
        <v>10069</v>
      </c>
      <c r="G8556" t="s">
        <v>10021</v>
      </c>
      <c r="H8556" s="6">
        <v>45105</v>
      </c>
      <c r="I8556">
        <f t="shared" si="266"/>
        <v>0</v>
      </c>
      <c r="J8556" t="str">
        <f t="shared" si="267"/>
        <v>Complete</v>
      </c>
      <c r="K8556">
        <f>COUNTIFS(RawData[Item], B8556,RawData[Quantity],C8556,RawData[Price Per Unit],D8556,RawData[Total Spent],E8556,RawData[Payment Method],F8556,RawData[Location],G8556,RawData[Transaction Date],H8556)</f>
        <v>1</v>
      </c>
      <c r="L8556"/>
    </row>
    <row r="8557" spans="1:12" x14ac:dyDescent="0.3">
      <c r="A8557" t="s">
        <v>8563</v>
      </c>
      <c r="B8557" t="s">
        <v>10009</v>
      </c>
      <c r="C8557">
        <v>2</v>
      </c>
      <c r="D8557">
        <v>3</v>
      </c>
      <c r="E8557">
        <v>6</v>
      </c>
      <c r="F8557" t="s">
        <v>10019</v>
      </c>
      <c r="G8557" t="s">
        <v>10069</v>
      </c>
      <c r="H8557" s="6">
        <v>44999</v>
      </c>
      <c r="I8557">
        <f t="shared" si="266"/>
        <v>0</v>
      </c>
      <c r="J8557" t="str">
        <f t="shared" si="267"/>
        <v>Complete</v>
      </c>
      <c r="K8557">
        <f>COUNTIFS(RawData[Item], B8557,RawData[Quantity],C8557,RawData[Price Per Unit],D8557,RawData[Total Spent],E8557,RawData[Payment Method],F8557,RawData[Location],G8557,RawData[Transaction Date],H8557)</f>
        <v>1</v>
      </c>
      <c r="L8557"/>
    </row>
    <row r="8558" spans="1:12" x14ac:dyDescent="0.3">
      <c r="A8558" t="s">
        <v>8564</v>
      </c>
      <c r="B8558" t="s">
        <v>10016</v>
      </c>
      <c r="C8558">
        <v>3</v>
      </c>
      <c r="D8558">
        <v>3</v>
      </c>
      <c r="E8558">
        <v>9</v>
      </c>
      <c r="F8558" t="s">
        <v>10020</v>
      </c>
      <c r="G8558" t="s">
        <v>10021</v>
      </c>
      <c r="H8558" s="6">
        <v>45145</v>
      </c>
      <c r="I8558">
        <f t="shared" si="266"/>
        <v>0</v>
      </c>
      <c r="J8558" t="str">
        <f t="shared" si="267"/>
        <v>Complete</v>
      </c>
      <c r="K8558">
        <f>COUNTIFS(RawData[Item], B8558,RawData[Quantity],C8558,RawData[Price Per Unit],D8558,RawData[Total Spent],E8558,RawData[Payment Method],F8558,RawData[Location],G8558,RawData[Transaction Date],H8558)</f>
        <v>1</v>
      </c>
      <c r="L8558"/>
    </row>
    <row r="8559" spans="1:12" x14ac:dyDescent="0.3">
      <c r="A8559" t="s">
        <v>8565</v>
      </c>
      <c r="B8559" t="s">
        <v>10010</v>
      </c>
      <c r="C8559">
        <v>2</v>
      </c>
      <c r="D8559">
        <v>1</v>
      </c>
      <c r="E8559">
        <v>2</v>
      </c>
      <c r="F8559" t="s">
        <v>10018</v>
      </c>
      <c r="G8559" t="s">
        <v>10021</v>
      </c>
      <c r="H8559" s="6">
        <v>45116</v>
      </c>
      <c r="I8559">
        <f t="shared" si="266"/>
        <v>0</v>
      </c>
      <c r="J8559" t="str">
        <f t="shared" si="267"/>
        <v>Complete</v>
      </c>
      <c r="K8559">
        <f>COUNTIFS(RawData[Item], B8559,RawData[Quantity],C8559,RawData[Price Per Unit],D8559,RawData[Total Spent],E8559,RawData[Payment Method],F8559,RawData[Location],G8559,RawData[Transaction Date],H8559)</f>
        <v>2</v>
      </c>
      <c r="L8559"/>
    </row>
    <row r="8560" spans="1:12" x14ac:dyDescent="0.3">
      <c r="A8560" t="s">
        <v>8566</v>
      </c>
      <c r="B8560" t="s">
        <v>10011</v>
      </c>
      <c r="C8560">
        <v>3</v>
      </c>
      <c r="D8560">
        <v>5</v>
      </c>
      <c r="E8560">
        <v>15</v>
      </c>
      <c r="F8560" t="s">
        <v>10018</v>
      </c>
      <c r="G8560" t="s">
        <v>10069</v>
      </c>
      <c r="H8560" s="6">
        <v>45231</v>
      </c>
      <c r="I8560">
        <f t="shared" si="266"/>
        <v>0</v>
      </c>
      <c r="J8560" t="str">
        <f t="shared" si="267"/>
        <v>Complete</v>
      </c>
      <c r="K8560">
        <f>COUNTIFS(RawData[Item], B8560,RawData[Quantity],C8560,RawData[Price Per Unit],D8560,RawData[Total Spent],E8560,RawData[Payment Method],F8560,RawData[Location],G8560,RawData[Transaction Date],H8560)</f>
        <v>1</v>
      </c>
      <c r="L8560"/>
    </row>
    <row r="8561" spans="1:12" x14ac:dyDescent="0.3">
      <c r="A8561" t="s">
        <v>8567</v>
      </c>
      <c r="B8561" t="s">
        <v>10017</v>
      </c>
      <c r="C8561">
        <v>3</v>
      </c>
      <c r="D8561">
        <v>1.5</v>
      </c>
      <c r="E8561">
        <v>4.5</v>
      </c>
      <c r="F8561" t="s">
        <v>10020</v>
      </c>
      <c r="G8561" t="s">
        <v>10102</v>
      </c>
      <c r="H8561" s="6">
        <v>44970</v>
      </c>
      <c r="I8561">
        <f t="shared" si="266"/>
        <v>0</v>
      </c>
      <c r="J8561" t="str">
        <f t="shared" si="267"/>
        <v>Complete</v>
      </c>
      <c r="K8561">
        <f>COUNTIFS(RawData[Item], B8561,RawData[Quantity],C8561,RawData[Price Per Unit],D8561,RawData[Total Spent],E8561,RawData[Payment Method],F8561,RawData[Location],G8561,RawData[Transaction Date],H8561)</f>
        <v>1</v>
      </c>
      <c r="L8561"/>
    </row>
    <row r="8562" spans="1:12" x14ac:dyDescent="0.3">
      <c r="A8562" t="s">
        <v>8568</v>
      </c>
      <c r="B8562" t="s">
        <v>10009</v>
      </c>
      <c r="C8562">
        <v>3</v>
      </c>
      <c r="D8562">
        <v>3</v>
      </c>
      <c r="E8562">
        <v>9</v>
      </c>
      <c r="F8562" t="s">
        <v>10018</v>
      </c>
      <c r="G8562" t="s">
        <v>10102</v>
      </c>
      <c r="H8562" s="6">
        <v>45099</v>
      </c>
      <c r="I8562">
        <f t="shared" si="266"/>
        <v>0</v>
      </c>
      <c r="J8562" t="str">
        <f t="shared" si="267"/>
        <v>Complete</v>
      </c>
      <c r="K8562">
        <f>COUNTIFS(RawData[Item], B8562,RawData[Quantity],C8562,RawData[Price Per Unit],D8562,RawData[Total Spent],E8562,RawData[Payment Method],F8562,RawData[Location],G8562,RawData[Transaction Date],H8562)</f>
        <v>1</v>
      </c>
      <c r="L8562"/>
    </row>
    <row r="8563" spans="1:12" x14ac:dyDescent="0.3">
      <c r="A8563" t="s">
        <v>8569</v>
      </c>
      <c r="B8563" t="s">
        <v>10008</v>
      </c>
      <c r="C8563">
        <v>3</v>
      </c>
      <c r="D8563">
        <v>2</v>
      </c>
      <c r="E8563">
        <v>6</v>
      </c>
      <c r="F8563" t="s">
        <v>10020</v>
      </c>
      <c r="G8563" t="s">
        <v>10069</v>
      </c>
      <c r="H8563" s="6">
        <v>45054</v>
      </c>
      <c r="I8563">
        <f t="shared" si="266"/>
        <v>0</v>
      </c>
      <c r="J8563" t="str">
        <f t="shared" si="267"/>
        <v>Complete</v>
      </c>
      <c r="K8563">
        <f>COUNTIFS(RawData[Item], B8563,RawData[Quantity],C8563,RawData[Price Per Unit],D8563,RawData[Total Spent],E8563,RawData[Payment Method],F8563,RawData[Location],G8563,RawData[Transaction Date],H8563)</f>
        <v>1</v>
      </c>
      <c r="L8563"/>
    </row>
    <row r="8564" spans="1:12" x14ac:dyDescent="0.3">
      <c r="A8564" t="s">
        <v>8570</v>
      </c>
      <c r="B8564" t="s">
        <v>10010</v>
      </c>
      <c r="C8564">
        <v>4</v>
      </c>
      <c r="D8564">
        <v>1</v>
      </c>
      <c r="E8564">
        <v>4</v>
      </c>
      <c r="F8564" t="s">
        <v>10019</v>
      </c>
      <c r="G8564" t="s">
        <v>10069</v>
      </c>
      <c r="H8564" s="6">
        <v>45111</v>
      </c>
      <c r="I8564">
        <f t="shared" si="266"/>
        <v>0</v>
      </c>
      <c r="J8564" t="str">
        <f t="shared" si="267"/>
        <v>Complete</v>
      </c>
      <c r="K8564">
        <f>COUNTIFS(RawData[Item], B8564,RawData[Quantity],C8564,RawData[Price Per Unit],D8564,RawData[Total Spent],E8564,RawData[Payment Method],F8564,RawData[Location],G8564,RawData[Transaction Date],H8564)</f>
        <v>1</v>
      </c>
      <c r="L8564"/>
    </row>
    <row r="8565" spans="1:12" x14ac:dyDescent="0.3">
      <c r="A8565" t="s">
        <v>8571</v>
      </c>
      <c r="B8565" t="s">
        <v>10011</v>
      </c>
      <c r="C8565">
        <v>5</v>
      </c>
      <c r="D8565">
        <v>5</v>
      </c>
      <c r="E8565">
        <v>25</v>
      </c>
      <c r="F8565" t="s">
        <v>10018</v>
      </c>
      <c r="G8565" t="s">
        <v>10069</v>
      </c>
      <c r="H8565" s="6">
        <v>45091</v>
      </c>
      <c r="I8565">
        <f t="shared" si="266"/>
        <v>0</v>
      </c>
      <c r="J8565" t="str">
        <f t="shared" si="267"/>
        <v>Complete</v>
      </c>
      <c r="K8565">
        <f>COUNTIFS(RawData[Item], B8565,RawData[Quantity],C8565,RawData[Price Per Unit],D8565,RawData[Total Spent],E8565,RawData[Payment Method],F8565,RawData[Location],G8565,RawData[Transaction Date],H8565)</f>
        <v>1</v>
      </c>
      <c r="L8565"/>
    </row>
    <row r="8566" spans="1:12" x14ac:dyDescent="0.3">
      <c r="A8566" t="s">
        <v>8572</v>
      </c>
      <c r="B8566" t="s">
        <v>10017</v>
      </c>
      <c r="C8566">
        <v>1</v>
      </c>
      <c r="D8566">
        <v>1.5</v>
      </c>
      <c r="E8566">
        <v>1.5</v>
      </c>
      <c r="F8566" t="s">
        <v>10020</v>
      </c>
      <c r="G8566" t="s">
        <v>10069</v>
      </c>
      <c r="H8566" s="6">
        <v>44940</v>
      </c>
      <c r="I8566">
        <f t="shared" si="266"/>
        <v>0</v>
      </c>
      <c r="J8566" t="str">
        <f t="shared" si="267"/>
        <v>Complete</v>
      </c>
      <c r="K8566">
        <f>COUNTIFS(RawData[Item], B8566,RawData[Quantity],C8566,RawData[Price Per Unit],D8566,RawData[Total Spent],E8566,RawData[Payment Method],F8566,RawData[Location],G8566,RawData[Transaction Date],H8566)</f>
        <v>1</v>
      </c>
      <c r="L8566"/>
    </row>
    <row r="8567" spans="1:12" x14ac:dyDescent="0.3">
      <c r="A8567" t="s">
        <v>8573</v>
      </c>
      <c r="B8567" t="s">
        <v>10009</v>
      </c>
      <c r="C8567">
        <v>4</v>
      </c>
      <c r="D8567">
        <v>3</v>
      </c>
      <c r="E8567">
        <v>12</v>
      </c>
      <c r="F8567" t="s">
        <v>10020</v>
      </c>
      <c r="G8567" t="s">
        <v>10021</v>
      </c>
      <c r="H8567" s="6">
        <v>45234</v>
      </c>
      <c r="I8567">
        <f t="shared" si="266"/>
        <v>0</v>
      </c>
      <c r="J8567" t="str">
        <f t="shared" si="267"/>
        <v>Complete</v>
      </c>
      <c r="K8567">
        <f>COUNTIFS(RawData[Item], B8567,RawData[Quantity],C8567,RawData[Price Per Unit],D8567,RawData[Total Spent],E8567,RawData[Payment Method],F8567,RawData[Location],G8567,RawData[Transaction Date],H8567)</f>
        <v>1</v>
      </c>
      <c r="L8567"/>
    </row>
    <row r="8568" spans="1:12" x14ac:dyDescent="0.3">
      <c r="A8568" t="s">
        <v>8574</v>
      </c>
      <c r="B8568" t="s">
        <v>10009</v>
      </c>
      <c r="C8568">
        <v>1</v>
      </c>
      <c r="D8568" t="s">
        <v>10015</v>
      </c>
      <c r="E8568">
        <v>3</v>
      </c>
      <c r="F8568" t="s">
        <v>10020</v>
      </c>
      <c r="G8568" t="s">
        <v>10104</v>
      </c>
      <c r="H8568" s="6">
        <v>45061</v>
      </c>
      <c r="I8568">
        <f t="shared" si="266"/>
        <v>2</v>
      </c>
      <c r="J8568" t="str">
        <f t="shared" si="267"/>
        <v>Complete</v>
      </c>
      <c r="K8568">
        <f>COUNTIFS(RawData[Item], B8568,RawData[Quantity],C8568,RawData[Price Per Unit],D8568,RawData[Total Spent],E8568,RawData[Payment Method],F8568,RawData[Location],G8568,RawData[Transaction Date],H8568)</f>
        <v>1</v>
      </c>
      <c r="L8568"/>
    </row>
    <row r="8569" spans="1:12" x14ac:dyDescent="0.3">
      <c r="A8569" t="s">
        <v>8575</v>
      </c>
      <c r="B8569" t="s">
        <v>10017</v>
      </c>
      <c r="C8569">
        <v>4</v>
      </c>
      <c r="D8569">
        <v>0</v>
      </c>
      <c r="E8569">
        <v>6</v>
      </c>
      <c r="F8569" t="s">
        <v>10069</v>
      </c>
      <c r="G8569" t="s">
        <v>10102</v>
      </c>
      <c r="H8569" s="6">
        <v>45222</v>
      </c>
      <c r="I8569">
        <f t="shared" si="266"/>
        <v>0</v>
      </c>
      <c r="J8569" t="str">
        <f t="shared" si="267"/>
        <v>Complete</v>
      </c>
      <c r="K8569">
        <f>COUNTIFS(RawData[Item], B8569,RawData[Quantity],C8569,RawData[Price Per Unit],D8569,RawData[Total Spent],E8569,RawData[Payment Method],F8569,RawData[Location],G8569,RawData[Transaction Date],H8569)</f>
        <v>1</v>
      </c>
      <c r="L8569"/>
    </row>
    <row r="8570" spans="1:12" x14ac:dyDescent="0.3">
      <c r="A8570" t="s">
        <v>8576</v>
      </c>
      <c r="B8570" t="s">
        <v>10013</v>
      </c>
      <c r="C8570">
        <v>3</v>
      </c>
      <c r="D8570">
        <v>4</v>
      </c>
      <c r="E8570">
        <v>12</v>
      </c>
      <c r="F8570" t="s">
        <v>10020</v>
      </c>
      <c r="G8570" t="s">
        <v>10021</v>
      </c>
      <c r="H8570" s="6">
        <v>44984</v>
      </c>
      <c r="I8570">
        <f t="shared" si="266"/>
        <v>1</v>
      </c>
      <c r="J8570" t="str">
        <f t="shared" si="267"/>
        <v>Complete</v>
      </c>
      <c r="K8570">
        <f>COUNTIFS(RawData[Item], B8570,RawData[Quantity],C8570,RawData[Price Per Unit],D8570,RawData[Total Spent],E8570,RawData[Payment Method],F8570,RawData[Location],G8570,RawData[Transaction Date],H8570)</f>
        <v>1</v>
      </c>
      <c r="L8570"/>
    </row>
    <row r="8571" spans="1:12" x14ac:dyDescent="0.3">
      <c r="A8571" t="s">
        <v>8577</v>
      </c>
      <c r="B8571" t="s">
        <v>10008</v>
      </c>
      <c r="C8571">
        <v>1</v>
      </c>
      <c r="D8571" t="s">
        <v>10015</v>
      </c>
      <c r="E8571">
        <v>2</v>
      </c>
      <c r="F8571" t="s">
        <v>10020</v>
      </c>
      <c r="G8571" t="s">
        <v>10021</v>
      </c>
      <c r="H8571" s="6">
        <v>45011</v>
      </c>
      <c r="I8571">
        <f t="shared" si="266"/>
        <v>1</v>
      </c>
      <c r="J8571" t="str">
        <f t="shared" si="267"/>
        <v>Complete</v>
      </c>
      <c r="K8571">
        <f>COUNTIFS(RawData[Item], B8571,RawData[Quantity],C8571,RawData[Price Per Unit],D8571,RawData[Total Spent],E8571,RawData[Payment Method],F8571,RawData[Location],G8571,RawData[Transaction Date],H8571)</f>
        <v>1</v>
      </c>
      <c r="L8571"/>
    </row>
    <row r="8572" spans="1:12" x14ac:dyDescent="0.3">
      <c r="A8572" t="s">
        <v>8578</v>
      </c>
      <c r="B8572" t="s">
        <v>10010</v>
      </c>
      <c r="C8572">
        <v>4</v>
      </c>
      <c r="D8572">
        <v>1</v>
      </c>
      <c r="E8572">
        <v>4</v>
      </c>
      <c r="F8572" t="s">
        <v>10069</v>
      </c>
      <c r="G8572" t="s">
        <v>10102</v>
      </c>
      <c r="H8572" s="6">
        <v>45133</v>
      </c>
      <c r="I8572">
        <f t="shared" si="266"/>
        <v>0</v>
      </c>
      <c r="J8572" t="str">
        <f t="shared" si="267"/>
        <v>Complete</v>
      </c>
      <c r="K8572">
        <f>COUNTIFS(RawData[Item], B8572,RawData[Quantity],C8572,RawData[Price Per Unit],D8572,RawData[Total Spent],E8572,RawData[Payment Method],F8572,RawData[Location],G8572,RawData[Transaction Date],H8572)</f>
        <v>1</v>
      </c>
      <c r="L8572"/>
    </row>
    <row r="8573" spans="1:12" x14ac:dyDescent="0.3">
      <c r="A8573" t="s">
        <v>8579</v>
      </c>
      <c r="B8573" t="s">
        <v>10008</v>
      </c>
      <c r="C8573">
        <v>5</v>
      </c>
      <c r="D8573">
        <v>2</v>
      </c>
      <c r="E8573">
        <v>10</v>
      </c>
      <c r="F8573" t="s">
        <v>10019</v>
      </c>
      <c r="G8573" t="s">
        <v>10102</v>
      </c>
      <c r="H8573" s="6">
        <v>45137</v>
      </c>
      <c r="I8573">
        <f t="shared" si="266"/>
        <v>0</v>
      </c>
      <c r="J8573" t="str">
        <f t="shared" si="267"/>
        <v>Complete</v>
      </c>
      <c r="K8573">
        <f>COUNTIFS(RawData[Item], B8573,RawData[Quantity],C8573,RawData[Price Per Unit],D8573,RawData[Total Spent],E8573,RawData[Payment Method],F8573,RawData[Location],G8573,RawData[Transaction Date],H8573)</f>
        <v>1</v>
      </c>
      <c r="L8573"/>
    </row>
    <row r="8574" spans="1:12" x14ac:dyDescent="0.3">
      <c r="A8574" t="s">
        <v>8580</v>
      </c>
      <c r="B8574" t="s">
        <v>10012</v>
      </c>
      <c r="C8574">
        <v>3</v>
      </c>
      <c r="D8574">
        <v>4</v>
      </c>
      <c r="E8574">
        <v>12</v>
      </c>
      <c r="F8574" t="s">
        <v>10069</v>
      </c>
      <c r="G8574" t="s">
        <v>10103</v>
      </c>
      <c r="H8574" s="6">
        <v>45071</v>
      </c>
      <c r="I8574">
        <f t="shared" si="266"/>
        <v>1</v>
      </c>
      <c r="J8574" t="str">
        <f t="shared" si="267"/>
        <v>Complete</v>
      </c>
      <c r="K8574">
        <f>COUNTIFS(RawData[Item], B8574,RawData[Quantity],C8574,RawData[Price Per Unit],D8574,RawData[Total Spent],E8574,RawData[Payment Method],F8574,RawData[Location],G8574,RawData[Transaction Date],H8574)</f>
        <v>1</v>
      </c>
      <c r="L8574"/>
    </row>
    <row r="8575" spans="1:12" x14ac:dyDescent="0.3">
      <c r="A8575" t="s">
        <v>8581</v>
      </c>
      <c r="B8575" t="s">
        <v>10014</v>
      </c>
      <c r="C8575">
        <v>5</v>
      </c>
      <c r="D8575">
        <v>4</v>
      </c>
      <c r="E8575">
        <v>20</v>
      </c>
      <c r="F8575" t="s">
        <v>10069</v>
      </c>
      <c r="G8575" t="s">
        <v>10104</v>
      </c>
      <c r="H8575" s="6">
        <v>45087</v>
      </c>
      <c r="I8575">
        <f t="shared" si="266"/>
        <v>1</v>
      </c>
      <c r="J8575" t="str">
        <f t="shared" si="267"/>
        <v>Complete</v>
      </c>
      <c r="K8575">
        <f>COUNTIFS(RawData[Item], B8575,RawData[Quantity],C8575,RawData[Price Per Unit],D8575,RawData[Total Spent],E8575,RawData[Payment Method],F8575,RawData[Location],G8575,RawData[Transaction Date],H8575)</f>
        <v>1</v>
      </c>
      <c r="L8575"/>
    </row>
    <row r="8576" spans="1:12" x14ac:dyDescent="0.3">
      <c r="A8576" t="s">
        <v>8582</v>
      </c>
      <c r="B8576" t="s">
        <v>10016</v>
      </c>
      <c r="C8576" t="s">
        <v>10015</v>
      </c>
      <c r="D8576">
        <v>3</v>
      </c>
      <c r="E8576" t="s">
        <v>10013</v>
      </c>
      <c r="F8576" t="s">
        <v>10020</v>
      </c>
      <c r="G8576" t="s">
        <v>10021</v>
      </c>
      <c r="H8576" s="6">
        <v>45024</v>
      </c>
      <c r="I8576">
        <f t="shared" si="266"/>
        <v>2</v>
      </c>
      <c r="J8576" t="str">
        <f t="shared" si="267"/>
        <v>Complete</v>
      </c>
      <c r="K8576">
        <f>COUNTIFS(RawData[Item], B8576,RawData[Quantity],C8576,RawData[Price Per Unit],D8576,RawData[Total Spent],E8576,RawData[Payment Method],F8576,RawData[Location],G8576,RawData[Transaction Date],H8576)</f>
        <v>1</v>
      </c>
      <c r="L8576"/>
    </row>
    <row r="8577" spans="1:12" x14ac:dyDescent="0.3">
      <c r="A8577" t="s">
        <v>8583</v>
      </c>
      <c r="B8577" t="s">
        <v>10008</v>
      </c>
      <c r="C8577">
        <v>5</v>
      </c>
      <c r="D8577">
        <v>2</v>
      </c>
      <c r="E8577">
        <v>10</v>
      </c>
      <c r="F8577" t="s">
        <v>10018</v>
      </c>
      <c r="G8577" t="s">
        <v>10021</v>
      </c>
      <c r="H8577" s="6" t="s">
        <v>10112</v>
      </c>
      <c r="I8577">
        <f t="shared" si="266"/>
        <v>1</v>
      </c>
      <c r="J8577" t="str">
        <f t="shared" si="267"/>
        <v>Incomplete</v>
      </c>
      <c r="K8577">
        <f>COUNTIFS(RawData[Item], B8577,RawData[Quantity],C8577,RawData[Price Per Unit],D8577,RawData[Total Spent],E8577,RawData[Payment Method],F8577,RawData[Location],G8577,RawData[Transaction Date],H8577)</f>
        <v>1</v>
      </c>
      <c r="L8577"/>
    </row>
    <row r="8578" spans="1:12" x14ac:dyDescent="0.3">
      <c r="A8578" t="s">
        <v>8584</v>
      </c>
      <c r="B8578" t="s">
        <v>10010</v>
      </c>
      <c r="C8578">
        <v>1</v>
      </c>
      <c r="D8578">
        <v>1</v>
      </c>
      <c r="E8578">
        <v>1</v>
      </c>
      <c r="F8578" t="s">
        <v>10069</v>
      </c>
      <c r="G8578" t="s">
        <v>10021</v>
      </c>
      <c r="H8578" s="6">
        <v>45079</v>
      </c>
      <c r="I8578">
        <f t="shared" ref="I8578:I8641" si="268">(B8578="Unknown")+(B8578="Error")+(C8578="Unknown")+(C8578="Error")+(D8578="Unknown")+(D8578="Error")+(E8578="Unknown")+(E8578="Error")+(F8578="Unknown")+(F8578="Error")+(G8578="Unknown")+(G8578="Error")+(H8578="No Date")</f>
        <v>0</v>
      </c>
      <c r="J8578" t="str">
        <f t="shared" ref="J8578:J8641" si="269">IF((H8578="No Date"),"Incomplete","Complete")</f>
        <v>Complete</v>
      </c>
      <c r="K8578">
        <f>COUNTIFS(RawData[Item], B8578,RawData[Quantity],C8578,RawData[Price Per Unit],D8578,RawData[Total Spent],E8578,RawData[Payment Method],F8578,RawData[Location],G8578,RawData[Transaction Date],H8578)</f>
        <v>1</v>
      </c>
      <c r="L8578"/>
    </row>
    <row r="8579" spans="1:12" x14ac:dyDescent="0.3">
      <c r="A8579" t="s">
        <v>8585</v>
      </c>
      <c r="B8579" t="s">
        <v>10016</v>
      </c>
      <c r="C8579">
        <v>4</v>
      </c>
      <c r="D8579">
        <v>3</v>
      </c>
      <c r="E8579">
        <v>12</v>
      </c>
      <c r="F8579" t="s">
        <v>10019</v>
      </c>
      <c r="G8579" t="s">
        <v>10102</v>
      </c>
      <c r="H8579" s="6">
        <v>44950</v>
      </c>
      <c r="I8579">
        <f t="shared" si="268"/>
        <v>0</v>
      </c>
      <c r="J8579" t="str">
        <f t="shared" si="269"/>
        <v>Complete</v>
      </c>
      <c r="K8579">
        <f>COUNTIFS(RawData[Item], B8579,RawData[Quantity],C8579,RawData[Price Per Unit],D8579,RawData[Total Spent],E8579,RawData[Payment Method],F8579,RawData[Location],G8579,RawData[Transaction Date],H8579)</f>
        <v>1</v>
      </c>
      <c r="L8579"/>
    </row>
    <row r="8580" spans="1:12" x14ac:dyDescent="0.3">
      <c r="A8580" t="s">
        <v>8586</v>
      </c>
      <c r="B8580" t="s">
        <v>10017</v>
      </c>
      <c r="C8580">
        <v>5</v>
      </c>
      <c r="D8580">
        <v>1.5</v>
      </c>
      <c r="E8580">
        <v>7.5</v>
      </c>
      <c r="F8580" t="s">
        <v>10018</v>
      </c>
      <c r="G8580" t="s">
        <v>10102</v>
      </c>
      <c r="H8580" s="6">
        <v>45059</v>
      </c>
      <c r="I8580">
        <f t="shared" si="268"/>
        <v>0</v>
      </c>
      <c r="J8580" t="str">
        <f t="shared" si="269"/>
        <v>Complete</v>
      </c>
      <c r="K8580">
        <f>COUNTIFS(RawData[Item], B8580,RawData[Quantity],C8580,RawData[Price Per Unit],D8580,RawData[Total Spent],E8580,RawData[Payment Method],F8580,RawData[Location],G8580,RawData[Transaction Date],H8580)</f>
        <v>1</v>
      </c>
      <c r="L8580"/>
    </row>
    <row r="8581" spans="1:12" x14ac:dyDescent="0.3">
      <c r="A8581" t="s">
        <v>8587</v>
      </c>
      <c r="B8581" t="s">
        <v>10011</v>
      </c>
      <c r="C8581">
        <v>5</v>
      </c>
      <c r="D8581">
        <v>5</v>
      </c>
      <c r="E8581">
        <v>25</v>
      </c>
      <c r="F8581" t="s">
        <v>10020</v>
      </c>
      <c r="G8581" t="s">
        <v>10102</v>
      </c>
      <c r="H8581" s="6" t="s">
        <v>10112</v>
      </c>
      <c r="I8581">
        <f t="shared" si="268"/>
        <v>1</v>
      </c>
      <c r="J8581" t="str">
        <f t="shared" si="269"/>
        <v>Incomplete</v>
      </c>
      <c r="K8581">
        <f>COUNTIFS(RawData[Item], B8581,RawData[Quantity],C8581,RawData[Price Per Unit],D8581,RawData[Total Spent],E8581,RawData[Payment Method],F8581,RawData[Location],G8581,RawData[Transaction Date],H8581)</f>
        <v>1</v>
      </c>
      <c r="L8581"/>
    </row>
    <row r="8582" spans="1:12" x14ac:dyDescent="0.3">
      <c r="A8582" t="s">
        <v>8588</v>
      </c>
      <c r="B8582" t="s">
        <v>10009</v>
      </c>
      <c r="C8582">
        <v>5</v>
      </c>
      <c r="D8582">
        <v>3</v>
      </c>
      <c r="E8582">
        <v>15</v>
      </c>
      <c r="F8582" t="s">
        <v>10020</v>
      </c>
      <c r="G8582" t="s">
        <v>10069</v>
      </c>
      <c r="H8582" s="6">
        <v>45202</v>
      </c>
      <c r="I8582">
        <f t="shared" si="268"/>
        <v>0</v>
      </c>
      <c r="J8582" t="str">
        <f t="shared" si="269"/>
        <v>Complete</v>
      </c>
      <c r="K8582">
        <f>COUNTIFS(RawData[Item], B8582,RawData[Quantity],C8582,RawData[Price Per Unit],D8582,RawData[Total Spent],E8582,RawData[Payment Method],F8582,RawData[Location],G8582,RawData[Transaction Date],H8582)</f>
        <v>2</v>
      </c>
      <c r="L8582"/>
    </row>
    <row r="8583" spans="1:12" x14ac:dyDescent="0.3">
      <c r="A8583" t="s">
        <v>8589</v>
      </c>
      <c r="B8583" t="s">
        <v>10014</v>
      </c>
      <c r="C8583">
        <v>4</v>
      </c>
      <c r="D8583">
        <v>4</v>
      </c>
      <c r="E8583" t="s">
        <v>10013</v>
      </c>
      <c r="F8583" t="s">
        <v>10103</v>
      </c>
      <c r="G8583" t="s">
        <v>10069</v>
      </c>
      <c r="H8583" s="6">
        <v>44945</v>
      </c>
      <c r="I8583">
        <f t="shared" si="268"/>
        <v>2</v>
      </c>
      <c r="J8583" t="str">
        <f t="shared" si="269"/>
        <v>Complete</v>
      </c>
      <c r="K8583">
        <f>COUNTIFS(RawData[Item], B8583,RawData[Quantity],C8583,RawData[Price Per Unit],D8583,RawData[Total Spent],E8583,RawData[Payment Method],F8583,RawData[Location],G8583,RawData[Transaction Date],H8583)</f>
        <v>1</v>
      </c>
      <c r="L8583"/>
    </row>
    <row r="8584" spans="1:12" x14ac:dyDescent="0.3">
      <c r="A8584" t="s">
        <v>8590</v>
      </c>
      <c r="B8584" t="s">
        <v>10014</v>
      </c>
      <c r="C8584">
        <v>3</v>
      </c>
      <c r="D8584">
        <v>4</v>
      </c>
      <c r="E8584">
        <v>12</v>
      </c>
      <c r="F8584" t="s">
        <v>10019</v>
      </c>
      <c r="G8584" t="s">
        <v>10021</v>
      </c>
      <c r="H8584" s="6">
        <v>44938</v>
      </c>
      <c r="I8584">
        <f t="shared" si="268"/>
        <v>0</v>
      </c>
      <c r="J8584" t="str">
        <f t="shared" si="269"/>
        <v>Complete</v>
      </c>
      <c r="K8584">
        <f>COUNTIFS(RawData[Item], B8584,RawData[Quantity],C8584,RawData[Price Per Unit],D8584,RawData[Total Spent],E8584,RawData[Payment Method],F8584,RawData[Location],G8584,RawData[Transaction Date],H8584)</f>
        <v>1</v>
      </c>
      <c r="L8584"/>
    </row>
    <row r="8585" spans="1:12" x14ac:dyDescent="0.3">
      <c r="A8585" t="s">
        <v>8591</v>
      </c>
      <c r="B8585" t="s">
        <v>10009</v>
      </c>
      <c r="C8585">
        <v>2</v>
      </c>
      <c r="D8585">
        <v>3</v>
      </c>
      <c r="E8585">
        <v>6</v>
      </c>
      <c r="F8585" t="s">
        <v>10020</v>
      </c>
      <c r="G8585" t="s">
        <v>10021</v>
      </c>
      <c r="H8585" s="6">
        <v>45202</v>
      </c>
      <c r="I8585">
        <f t="shared" si="268"/>
        <v>0</v>
      </c>
      <c r="J8585" t="str">
        <f t="shared" si="269"/>
        <v>Complete</v>
      </c>
      <c r="K8585">
        <f>COUNTIFS(RawData[Item], B8585,RawData[Quantity],C8585,RawData[Price Per Unit],D8585,RawData[Total Spent],E8585,RawData[Payment Method],F8585,RawData[Location],G8585,RawData[Transaction Date],H8585)</f>
        <v>1</v>
      </c>
      <c r="L8585"/>
    </row>
    <row r="8586" spans="1:12" x14ac:dyDescent="0.3">
      <c r="A8586" t="s">
        <v>8592</v>
      </c>
      <c r="B8586" t="s">
        <v>10017</v>
      </c>
      <c r="C8586">
        <v>2</v>
      </c>
      <c r="D8586">
        <v>1.5</v>
      </c>
      <c r="E8586">
        <v>3</v>
      </c>
      <c r="F8586" t="s">
        <v>10103</v>
      </c>
      <c r="G8586" t="s">
        <v>10069</v>
      </c>
      <c r="H8586" s="6">
        <v>45080</v>
      </c>
      <c r="I8586">
        <f t="shared" si="268"/>
        <v>1</v>
      </c>
      <c r="J8586" t="str">
        <f t="shared" si="269"/>
        <v>Complete</v>
      </c>
      <c r="K8586">
        <f>COUNTIFS(RawData[Item], B8586,RawData[Quantity],C8586,RawData[Price Per Unit],D8586,RawData[Total Spent],E8586,RawData[Payment Method],F8586,RawData[Location],G8586,RawData[Transaction Date],H8586)</f>
        <v>1</v>
      </c>
      <c r="L8586"/>
    </row>
    <row r="8587" spans="1:12" x14ac:dyDescent="0.3">
      <c r="A8587" t="s">
        <v>8593</v>
      </c>
      <c r="B8587" t="s">
        <v>10008</v>
      </c>
      <c r="C8587">
        <v>3</v>
      </c>
      <c r="D8587">
        <v>2</v>
      </c>
      <c r="E8587">
        <v>6</v>
      </c>
      <c r="F8587" t="s">
        <v>10069</v>
      </c>
      <c r="G8587" t="s">
        <v>10069</v>
      </c>
      <c r="H8587" s="6">
        <v>45140</v>
      </c>
      <c r="I8587">
        <f t="shared" si="268"/>
        <v>0</v>
      </c>
      <c r="J8587" t="str">
        <f t="shared" si="269"/>
        <v>Complete</v>
      </c>
      <c r="K8587">
        <f>COUNTIFS(RawData[Item], B8587,RawData[Quantity],C8587,RawData[Price Per Unit],D8587,RawData[Total Spent],E8587,RawData[Payment Method],F8587,RawData[Location],G8587,RawData[Transaction Date],H8587)</f>
        <v>1</v>
      </c>
      <c r="L8587"/>
    </row>
    <row r="8588" spans="1:12" x14ac:dyDescent="0.3">
      <c r="A8588" t="s">
        <v>8594</v>
      </c>
      <c r="B8588" t="s">
        <v>10008</v>
      </c>
      <c r="C8588">
        <v>2</v>
      </c>
      <c r="D8588">
        <v>2</v>
      </c>
      <c r="E8588">
        <v>4</v>
      </c>
      <c r="F8588" t="s">
        <v>10020</v>
      </c>
      <c r="G8588" t="s">
        <v>10021</v>
      </c>
      <c r="H8588" s="6">
        <v>45050</v>
      </c>
      <c r="I8588">
        <f t="shared" si="268"/>
        <v>0</v>
      </c>
      <c r="J8588" t="str">
        <f t="shared" si="269"/>
        <v>Complete</v>
      </c>
      <c r="K8588">
        <f>COUNTIFS(RawData[Item], B8588,RawData[Quantity],C8588,RawData[Price Per Unit],D8588,RawData[Total Spent],E8588,RawData[Payment Method],F8588,RawData[Location],G8588,RawData[Transaction Date],H8588)</f>
        <v>1</v>
      </c>
      <c r="L8588"/>
    </row>
    <row r="8589" spans="1:12" x14ac:dyDescent="0.3">
      <c r="A8589" t="s">
        <v>8595</v>
      </c>
      <c r="B8589" t="s">
        <v>10009</v>
      </c>
      <c r="C8589">
        <v>2</v>
      </c>
      <c r="D8589">
        <v>3</v>
      </c>
      <c r="E8589" t="s">
        <v>10013</v>
      </c>
      <c r="F8589" t="s">
        <v>10069</v>
      </c>
      <c r="G8589" t="s">
        <v>10069</v>
      </c>
      <c r="H8589" s="6">
        <v>44986</v>
      </c>
      <c r="I8589">
        <f t="shared" si="268"/>
        <v>1</v>
      </c>
      <c r="J8589" t="str">
        <f t="shared" si="269"/>
        <v>Complete</v>
      </c>
      <c r="K8589">
        <f>COUNTIFS(RawData[Item], B8589,RawData[Quantity],C8589,RawData[Price Per Unit],D8589,RawData[Total Spent],E8589,RawData[Payment Method],F8589,RawData[Location],G8589,RawData[Transaction Date],H8589)</f>
        <v>1</v>
      </c>
      <c r="L8589"/>
    </row>
    <row r="8590" spans="1:12" x14ac:dyDescent="0.3">
      <c r="A8590" t="s">
        <v>8596</v>
      </c>
      <c r="B8590" t="s">
        <v>10012</v>
      </c>
      <c r="C8590">
        <v>2</v>
      </c>
      <c r="D8590">
        <v>4</v>
      </c>
      <c r="E8590">
        <v>8</v>
      </c>
      <c r="F8590" t="s">
        <v>10019</v>
      </c>
      <c r="G8590" t="s">
        <v>10102</v>
      </c>
      <c r="H8590" s="6">
        <v>45271</v>
      </c>
      <c r="I8590">
        <f t="shared" si="268"/>
        <v>0</v>
      </c>
      <c r="J8590" t="str">
        <f t="shared" si="269"/>
        <v>Complete</v>
      </c>
      <c r="K8590">
        <f>COUNTIFS(RawData[Item], B8590,RawData[Quantity],C8590,RawData[Price Per Unit],D8590,RawData[Total Spent],E8590,RawData[Payment Method],F8590,RawData[Location],G8590,RawData[Transaction Date],H8590)</f>
        <v>1</v>
      </c>
      <c r="L8590"/>
    </row>
    <row r="8591" spans="1:12" x14ac:dyDescent="0.3">
      <c r="A8591" t="s">
        <v>8597</v>
      </c>
      <c r="B8591" t="s">
        <v>10010</v>
      </c>
      <c r="C8591">
        <v>3</v>
      </c>
      <c r="D8591">
        <v>1</v>
      </c>
      <c r="E8591">
        <v>3</v>
      </c>
      <c r="F8591" t="s">
        <v>10019</v>
      </c>
      <c r="G8591" t="s">
        <v>10102</v>
      </c>
      <c r="H8591" s="6">
        <v>45014</v>
      </c>
      <c r="I8591">
        <f t="shared" si="268"/>
        <v>0</v>
      </c>
      <c r="J8591" t="str">
        <f t="shared" si="269"/>
        <v>Complete</v>
      </c>
      <c r="K8591">
        <f>COUNTIFS(RawData[Item], B8591,RawData[Quantity],C8591,RawData[Price Per Unit],D8591,RawData[Total Spent],E8591,RawData[Payment Method],F8591,RawData[Location],G8591,RawData[Transaction Date],H8591)</f>
        <v>1</v>
      </c>
      <c r="L8591"/>
    </row>
    <row r="8592" spans="1:12" x14ac:dyDescent="0.3">
      <c r="A8592" t="s">
        <v>8598</v>
      </c>
      <c r="B8592" t="s">
        <v>10011</v>
      </c>
      <c r="C8592">
        <v>4</v>
      </c>
      <c r="D8592">
        <v>5</v>
      </c>
      <c r="E8592">
        <v>20</v>
      </c>
      <c r="F8592" t="s">
        <v>10019</v>
      </c>
      <c r="G8592" t="s">
        <v>10021</v>
      </c>
      <c r="H8592" s="6">
        <v>45273</v>
      </c>
      <c r="I8592">
        <f t="shared" si="268"/>
        <v>0</v>
      </c>
      <c r="J8592" t="str">
        <f t="shared" si="269"/>
        <v>Complete</v>
      </c>
      <c r="K8592">
        <f>COUNTIFS(RawData[Item], B8592,RawData[Quantity],C8592,RawData[Price Per Unit],D8592,RawData[Total Spent],E8592,RawData[Payment Method],F8592,RawData[Location],G8592,RawData[Transaction Date],H8592)</f>
        <v>1</v>
      </c>
      <c r="L8592"/>
    </row>
    <row r="8593" spans="1:12" x14ac:dyDescent="0.3">
      <c r="A8593" t="s">
        <v>8599</v>
      </c>
      <c r="B8593" t="s">
        <v>10016</v>
      </c>
      <c r="C8593">
        <v>2</v>
      </c>
      <c r="D8593">
        <v>3</v>
      </c>
      <c r="E8593">
        <v>6</v>
      </c>
      <c r="F8593" t="s">
        <v>10069</v>
      </c>
      <c r="G8593" t="s">
        <v>10069</v>
      </c>
      <c r="H8593" s="6">
        <v>44947</v>
      </c>
      <c r="I8593">
        <f t="shared" si="268"/>
        <v>0</v>
      </c>
      <c r="J8593" t="str">
        <f t="shared" si="269"/>
        <v>Complete</v>
      </c>
      <c r="K8593">
        <f>COUNTIFS(RawData[Item], B8593,RawData[Quantity],C8593,RawData[Price Per Unit],D8593,RawData[Total Spent],E8593,RawData[Payment Method],F8593,RawData[Location],G8593,RawData[Transaction Date],H8593)</f>
        <v>1</v>
      </c>
      <c r="L8593"/>
    </row>
    <row r="8594" spans="1:12" x14ac:dyDescent="0.3">
      <c r="A8594" t="s">
        <v>8600</v>
      </c>
      <c r="B8594" t="s">
        <v>10012</v>
      </c>
      <c r="C8594">
        <v>4</v>
      </c>
      <c r="D8594">
        <v>4</v>
      </c>
      <c r="E8594">
        <v>16</v>
      </c>
      <c r="F8594" t="s">
        <v>10019</v>
      </c>
      <c r="G8594" t="s">
        <v>10069</v>
      </c>
      <c r="H8594" s="6">
        <v>44966</v>
      </c>
      <c r="I8594">
        <f t="shared" si="268"/>
        <v>0</v>
      </c>
      <c r="J8594" t="str">
        <f t="shared" si="269"/>
        <v>Complete</v>
      </c>
      <c r="K8594">
        <f>COUNTIFS(RawData[Item], B8594,RawData[Quantity],C8594,RawData[Price Per Unit],D8594,RawData[Total Spent],E8594,RawData[Payment Method],F8594,RawData[Location],G8594,RawData[Transaction Date],H8594)</f>
        <v>1</v>
      </c>
      <c r="L8594"/>
    </row>
    <row r="8595" spans="1:12" x14ac:dyDescent="0.3">
      <c r="A8595" t="s">
        <v>8601</v>
      </c>
      <c r="B8595" t="s">
        <v>10010</v>
      </c>
      <c r="C8595">
        <v>4</v>
      </c>
      <c r="D8595">
        <v>1</v>
      </c>
      <c r="E8595">
        <v>4</v>
      </c>
      <c r="F8595" t="s">
        <v>10069</v>
      </c>
      <c r="G8595" t="s">
        <v>10069</v>
      </c>
      <c r="H8595" s="6">
        <v>45025</v>
      </c>
      <c r="I8595">
        <f t="shared" si="268"/>
        <v>0</v>
      </c>
      <c r="J8595" t="str">
        <f t="shared" si="269"/>
        <v>Complete</v>
      </c>
      <c r="K8595">
        <f>COUNTIFS(RawData[Item], B8595,RawData[Quantity],C8595,RawData[Price Per Unit],D8595,RawData[Total Spent],E8595,RawData[Payment Method],F8595,RawData[Location],G8595,RawData[Transaction Date],H8595)</f>
        <v>1</v>
      </c>
      <c r="L8595"/>
    </row>
    <row r="8596" spans="1:12" x14ac:dyDescent="0.3">
      <c r="A8596" t="s">
        <v>8602</v>
      </c>
      <c r="B8596" t="s">
        <v>10017</v>
      </c>
      <c r="C8596">
        <v>4</v>
      </c>
      <c r="D8596">
        <v>1.5</v>
      </c>
      <c r="E8596">
        <v>6</v>
      </c>
      <c r="F8596" t="s">
        <v>10019</v>
      </c>
      <c r="G8596" t="s">
        <v>10102</v>
      </c>
      <c r="H8596" s="6">
        <v>44954</v>
      </c>
      <c r="I8596">
        <f t="shared" si="268"/>
        <v>0</v>
      </c>
      <c r="J8596" t="str">
        <f t="shared" si="269"/>
        <v>Complete</v>
      </c>
      <c r="K8596">
        <f>COUNTIFS(RawData[Item], B8596,RawData[Quantity],C8596,RawData[Price Per Unit],D8596,RawData[Total Spent],E8596,RawData[Payment Method],F8596,RawData[Location],G8596,RawData[Transaction Date],H8596)</f>
        <v>1</v>
      </c>
      <c r="L8596"/>
    </row>
    <row r="8597" spans="1:12" x14ac:dyDescent="0.3">
      <c r="A8597" t="s">
        <v>8603</v>
      </c>
      <c r="B8597" t="s">
        <v>10008</v>
      </c>
      <c r="C8597">
        <v>5</v>
      </c>
      <c r="D8597">
        <v>2</v>
      </c>
      <c r="E8597">
        <v>10</v>
      </c>
      <c r="F8597" t="s">
        <v>10018</v>
      </c>
      <c r="G8597" t="s">
        <v>10069</v>
      </c>
      <c r="H8597" s="6">
        <v>45091</v>
      </c>
      <c r="I8597">
        <f t="shared" si="268"/>
        <v>0</v>
      </c>
      <c r="J8597" t="str">
        <f t="shared" si="269"/>
        <v>Complete</v>
      </c>
      <c r="K8597">
        <f>COUNTIFS(RawData[Item], B8597,RawData[Quantity],C8597,RawData[Price Per Unit],D8597,RawData[Total Spent],E8597,RawData[Payment Method],F8597,RawData[Location],G8597,RawData[Transaction Date],H8597)</f>
        <v>1</v>
      </c>
      <c r="L8597"/>
    </row>
    <row r="8598" spans="1:12" x14ac:dyDescent="0.3">
      <c r="A8598" t="s">
        <v>8604</v>
      </c>
      <c r="B8598" t="s">
        <v>10011</v>
      </c>
      <c r="C8598">
        <v>1</v>
      </c>
      <c r="D8598">
        <v>5</v>
      </c>
      <c r="E8598">
        <v>5</v>
      </c>
      <c r="F8598" t="s">
        <v>10020</v>
      </c>
      <c r="G8598" t="s">
        <v>10103</v>
      </c>
      <c r="H8598" s="6">
        <v>44978</v>
      </c>
      <c r="I8598">
        <f t="shared" si="268"/>
        <v>1</v>
      </c>
      <c r="J8598" t="str">
        <f t="shared" si="269"/>
        <v>Complete</v>
      </c>
      <c r="K8598">
        <f>COUNTIFS(RawData[Item], B8598,RawData[Quantity],C8598,RawData[Price Per Unit],D8598,RawData[Total Spent],E8598,RawData[Payment Method],F8598,RawData[Location],G8598,RawData[Transaction Date],H8598)</f>
        <v>1</v>
      </c>
      <c r="L8598"/>
    </row>
    <row r="8599" spans="1:12" x14ac:dyDescent="0.3">
      <c r="A8599" t="s">
        <v>8605</v>
      </c>
      <c r="B8599" t="s">
        <v>10010</v>
      </c>
      <c r="C8599">
        <v>5</v>
      </c>
      <c r="D8599">
        <v>1</v>
      </c>
      <c r="E8599" t="s">
        <v>10015</v>
      </c>
      <c r="F8599" t="s">
        <v>10020</v>
      </c>
      <c r="G8599" t="s">
        <v>10069</v>
      </c>
      <c r="H8599" s="6">
        <v>45118</v>
      </c>
      <c r="I8599">
        <f t="shared" si="268"/>
        <v>1</v>
      </c>
      <c r="J8599" t="str">
        <f t="shared" si="269"/>
        <v>Complete</v>
      </c>
      <c r="K8599">
        <f>COUNTIFS(RawData[Item], B8599,RawData[Quantity],C8599,RawData[Price Per Unit],D8599,RawData[Total Spent],E8599,RawData[Payment Method],F8599,RawData[Location],G8599,RawData[Transaction Date],H8599)</f>
        <v>1</v>
      </c>
      <c r="L8599"/>
    </row>
    <row r="8600" spans="1:12" x14ac:dyDescent="0.3">
      <c r="A8600" t="s">
        <v>8606</v>
      </c>
      <c r="B8600" t="s">
        <v>10009</v>
      </c>
      <c r="C8600">
        <v>1</v>
      </c>
      <c r="D8600">
        <v>3</v>
      </c>
      <c r="E8600">
        <v>3</v>
      </c>
      <c r="F8600" t="s">
        <v>10069</v>
      </c>
      <c r="G8600" t="s">
        <v>10021</v>
      </c>
      <c r="H8600" s="6">
        <v>45079</v>
      </c>
      <c r="I8600">
        <f t="shared" si="268"/>
        <v>0</v>
      </c>
      <c r="J8600" t="str">
        <f t="shared" si="269"/>
        <v>Complete</v>
      </c>
      <c r="K8600">
        <f>COUNTIFS(RawData[Item], B8600,RawData[Quantity],C8600,RawData[Price Per Unit],D8600,RawData[Total Spent],E8600,RawData[Payment Method],F8600,RawData[Location],G8600,RawData[Transaction Date],H8600)</f>
        <v>1</v>
      </c>
      <c r="L8600"/>
    </row>
    <row r="8601" spans="1:12" x14ac:dyDescent="0.3">
      <c r="A8601" t="s">
        <v>8607</v>
      </c>
      <c r="B8601" t="s">
        <v>10011</v>
      </c>
      <c r="C8601">
        <v>5</v>
      </c>
      <c r="D8601">
        <v>5</v>
      </c>
      <c r="E8601">
        <v>25</v>
      </c>
      <c r="F8601" t="s">
        <v>10018</v>
      </c>
      <c r="G8601" t="s">
        <v>10102</v>
      </c>
      <c r="H8601" s="6">
        <v>45127</v>
      </c>
      <c r="I8601">
        <f t="shared" si="268"/>
        <v>0</v>
      </c>
      <c r="J8601" t="str">
        <f t="shared" si="269"/>
        <v>Complete</v>
      </c>
      <c r="K8601">
        <f>COUNTIFS(RawData[Item], B8601,RawData[Quantity],C8601,RawData[Price Per Unit],D8601,RawData[Total Spent],E8601,RawData[Payment Method],F8601,RawData[Location],G8601,RawData[Transaction Date],H8601)</f>
        <v>1</v>
      </c>
      <c r="L8601"/>
    </row>
    <row r="8602" spans="1:12" x14ac:dyDescent="0.3">
      <c r="A8602" t="s">
        <v>8608</v>
      </c>
      <c r="B8602" t="s">
        <v>10012</v>
      </c>
      <c r="C8602">
        <v>2</v>
      </c>
      <c r="D8602">
        <v>4</v>
      </c>
      <c r="E8602">
        <v>8</v>
      </c>
      <c r="F8602" t="s">
        <v>10020</v>
      </c>
      <c r="G8602" t="s">
        <v>10104</v>
      </c>
      <c r="H8602" s="6">
        <v>45003</v>
      </c>
      <c r="I8602">
        <f t="shared" si="268"/>
        <v>1</v>
      </c>
      <c r="J8602" t="str">
        <f t="shared" si="269"/>
        <v>Complete</v>
      </c>
      <c r="K8602">
        <f>COUNTIFS(RawData[Item], B8602,RawData[Quantity],C8602,RawData[Price Per Unit],D8602,RawData[Total Spent],E8602,RawData[Payment Method],F8602,RawData[Location],G8602,RawData[Transaction Date],H8602)</f>
        <v>1</v>
      </c>
      <c r="L8602"/>
    </row>
    <row r="8603" spans="1:12" x14ac:dyDescent="0.3">
      <c r="A8603" t="s">
        <v>8609</v>
      </c>
      <c r="B8603" t="s">
        <v>10014</v>
      </c>
      <c r="C8603">
        <v>2</v>
      </c>
      <c r="D8603">
        <v>4</v>
      </c>
      <c r="E8603">
        <v>8</v>
      </c>
      <c r="F8603" t="s">
        <v>10069</v>
      </c>
      <c r="G8603" t="s">
        <v>10102</v>
      </c>
      <c r="H8603" s="6">
        <v>44992</v>
      </c>
      <c r="I8603">
        <f t="shared" si="268"/>
        <v>0</v>
      </c>
      <c r="J8603" t="str">
        <f t="shared" si="269"/>
        <v>Complete</v>
      </c>
      <c r="K8603">
        <f>COUNTIFS(RawData[Item], B8603,RawData[Quantity],C8603,RawData[Price Per Unit],D8603,RawData[Total Spent],E8603,RawData[Payment Method],F8603,RawData[Location],G8603,RawData[Transaction Date],H8603)</f>
        <v>1</v>
      </c>
      <c r="L8603"/>
    </row>
    <row r="8604" spans="1:12" x14ac:dyDescent="0.3">
      <c r="A8604" t="s">
        <v>8610</v>
      </c>
      <c r="B8604" t="s">
        <v>10017</v>
      </c>
      <c r="C8604">
        <v>3</v>
      </c>
      <c r="D8604">
        <v>1.5</v>
      </c>
      <c r="E8604">
        <v>4.5</v>
      </c>
      <c r="F8604" t="s">
        <v>10019</v>
      </c>
      <c r="G8604" t="s">
        <v>10102</v>
      </c>
      <c r="H8604" s="6">
        <v>45090</v>
      </c>
      <c r="I8604">
        <f t="shared" si="268"/>
        <v>0</v>
      </c>
      <c r="J8604" t="str">
        <f t="shared" si="269"/>
        <v>Complete</v>
      </c>
      <c r="K8604">
        <f>COUNTIFS(RawData[Item], B8604,RawData[Quantity],C8604,RawData[Price Per Unit],D8604,RawData[Total Spent],E8604,RawData[Payment Method],F8604,RawData[Location],G8604,RawData[Transaction Date],H8604)</f>
        <v>1</v>
      </c>
      <c r="L8604"/>
    </row>
    <row r="8605" spans="1:12" x14ac:dyDescent="0.3">
      <c r="A8605" t="s">
        <v>8611</v>
      </c>
      <c r="B8605" t="s">
        <v>10012</v>
      </c>
      <c r="C8605">
        <v>4</v>
      </c>
      <c r="D8605">
        <v>4</v>
      </c>
      <c r="E8605">
        <v>16</v>
      </c>
      <c r="F8605" t="s">
        <v>10103</v>
      </c>
      <c r="G8605" t="s">
        <v>10069</v>
      </c>
      <c r="H8605" s="6">
        <v>45077</v>
      </c>
      <c r="I8605">
        <f t="shared" si="268"/>
        <v>1</v>
      </c>
      <c r="J8605" t="str">
        <f t="shared" si="269"/>
        <v>Complete</v>
      </c>
      <c r="K8605">
        <f>COUNTIFS(RawData[Item], B8605,RawData[Quantity],C8605,RawData[Price Per Unit],D8605,RawData[Total Spent],E8605,RawData[Payment Method],F8605,RawData[Location],G8605,RawData[Transaction Date],H8605)</f>
        <v>1</v>
      </c>
      <c r="L8605"/>
    </row>
    <row r="8606" spans="1:12" x14ac:dyDescent="0.3">
      <c r="A8606" t="s">
        <v>8612</v>
      </c>
      <c r="B8606" t="s">
        <v>10012</v>
      </c>
      <c r="C8606">
        <v>3</v>
      </c>
      <c r="D8606">
        <v>4</v>
      </c>
      <c r="E8606">
        <v>12</v>
      </c>
      <c r="F8606" t="s">
        <v>10019</v>
      </c>
      <c r="G8606" t="s">
        <v>10069</v>
      </c>
      <c r="H8606" s="6">
        <v>45082</v>
      </c>
      <c r="I8606">
        <f t="shared" si="268"/>
        <v>0</v>
      </c>
      <c r="J8606" t="str">
        <f t="shared" si="269"/>
        <v>Complete</v>
      </c>
      <c r="K8606">
        <f>COUNTIFS(RawData[Item], B8606,RawData[Quantity],C8606,RawData[Price Per Unit],D8606,RawData[Total Spent],E8606,RawData[Payment Method],F8606,RawData[Location],G8606,RawData[Transaction Date],H8606)</f>
        <v>1</v>
      </c>
      <c r="L8606"/>
    </row>
    <row r="8607" spans="1:12" x14ac:dyDescent="0.3">
      <c r="A8607" t="s">
        <v>8613</v>
      </c>
      <c r="B8607" t="s">
        <v>10011</v>
      </c>
      <c r="C8607">
        <v>3</v>
      </c>
      <c r="D8607">
        <v>5</v>
      </c>
      <c r="E8607">
        <v>15</v>
      </c>
      <c r="F8607" t="s">
        <v>10069</v>
      </c>
      <c r="G8607" t="s">
        <v>10069</v>
      </c>
      <c r="H8607" s="6">
        <v>44962</v>
      </c>
      <c r="I8607">
        <f t="shared" si="268"/>
        <v>0</v>
      </c>
      <c r="J8607" t="str">
        <f t="shared" si="269"/>
        <v>Complete</v>
      </c>
      <c r="K8607">
        <f>COUNTIFS(RawData[Item], B8607,RawData[Quantity],C8607,RawData[Price Per Unit],D8607,RawData[Total Spent],E8607,RawData[Payment Method],F8607,RawData[Location],G8607,RawData[Transaction Date],H8607)</f>
        <v>1</v>
      </c>
      <c r="L8607"/>
    </row>
    <row r="8608" spans="1:12" x14ac:dyDescent="0.3">
      <c r="A8608" t="s">
        <v>8614</v>
      </c>
      <c r="B8608" t="s">
        <v>10009</v>
      </c>
      <c r="C8608">
        <v>3</v>
      </c>
      <c r="D8608">
        <v>3</v>
      </c>
      <c r="E8608">
        <v>9</v>
      </c>
      <c r="F8608" t="s">
        <v>10019</v>
      </c>
      <c r="G8608" t="s">
        <v>10069</v>
      </c>
      <c r="H8608" s="6">
        <v>45233</v>
      </c>
      <c r="I8608">
        <f t="shared" si="268"/>
        <v>0</v>
      </c>
      <c r="J8608" t="str">
        <f t="shared" si="269"/>
        <v>Complete</v>
      </c>
      <c r="K8608">
        <f>COUNTIFS(RawData[Item], B8608,RawData[Quantity],C8608,RawData[Price Per Unit],D8608,RawData[Total Spent],E8608,RawData[Payment Method],F8608,RawData[Location],G8608,RawData[Transaction Date],H8608)</f>
        <v>1</v>
      </c>
      <c r="L8608"/>
    </row>
    <row r="8609" spans="1:12" x14ac:dyDescent="0.3">
      <c r="A8609" t="s">
        <v>8615</v>
      </c>
      <c r="B8609" t="s">
        <v>10017</v>
      </c>
      <c r="C8609">
        <v>3</v>
      </c>
      <c r="D8609">
        <v>1.5</v>
      </c>
      <c r="E8609">
        <v>4.5</v>
      </c>
      <c r="F8609" t="s">
        <v>10018</v>
      </c>
      <c r="G8609" t="s">
        <v>10021</v>
      </c>
      <c r="H8609" s="6">
        <v>44963</v>
      </c>
      <c r="I8609">
        <f t="shared" si="268"/>
        <v>0</v>
      </c>
      <c r="J8609" t="str">
        <f t="shared" si="269"/>
        <v>Complete</v>
      </c>
      <c r="K8609">
        <f>COUNTIFS(RawData[Item], B8609,RawData[Quantity],C8609,RawData[Price Per Unit],D8609,RawData[Total Spent],E8609,RawData[Payment Method],F8609,RawData[Location],G8609,RawData[Transaction Date],H8609)</f>
        <v>1</v>
      </c>
      <c r="L8609"/>
    </row>
    <row r="8610" spans="1:12" x14ac:dyDescent="0.3">
      <c r="A8610" t="s">
        <v>8616</v>
      </c>
      <c r="B8610" t="s">
        <v>10014</v>
      </c>
      <c r="C8610">
        <v>2</v>
      </c>
      <c r="D8610">
        <v>4</v>
      </c>
      <c r="E8610">
        <v>8</v>
      </c>
      <c r="F8610" t="s">
        <v>10019</v>
      </c>
      <c r="G8610" t="s">
        <v>10021</v>
      </c>
      <c r="H8610" s="6">
        <v>45176</v>
      </c>
      <c r="I8610">
        <f t="shared" si="268"/>
        <v>0</v>
      </c>
      <c r="J8610" t="str">
        <f t="shared" si="269"/>
        <v>Complete</v>
      </c>
      <c r="K8610">
        <f>COUNTIFS(RawData[Item], B8610,RawData[Quantity],C8610,RawData[Price Per Unit],D8610,RawData[Total Spent],E8610,RawData[Payment Method],F8610,RawData[Location],G8610,RawData[Transaction Date],H8610)</f>
        <v>1</v>
      </c>
      <c r="L8610"/>
    </row>
    <row r="8611" spans="1:12" x14ac:dyDescent="0.3">
      <c r="A8611" t="s">
        <v>8617</v>
      </c>
      <c r="B8611" t="s">
        <v>10017</v>
      </c>
      <c r="C8611">
        <v>5</v>
      </c>
      <c r="D8611">
        <v>1.5</v>
      </c>
      <c r="E8611">
        <v>7.5</v>
      </c>
      <c r="F8611" t="s">
        <v>10018</v>
      </c>
      <c r="G8611" t="s">
        <v>10021</v>
      </c>
      <c r="H8611" s="6">
        <v>45039</v>
      </c>
      <c r="I8611">
        <f t="shared" si="268"/>
        <v>0</v>
      </c>
      <c r="J8611" t="str">
        <f t="shared" si="269"/>
        <v>Complete</v>
      </c>
      <c r="K8611">
        <f>COUNTIFS(RawData[Item], B8611,RawData[Quantity],C8611,RawData[Price Per Unit],D8611,RawData[Total Spent],E8611,RawData[Payment Method],F8611,RawData[Location],G8611,RawData[Transaction Date],H8611)</f>
        <v>1</v>
      </c>
      <c r="L8611"/>
    </row>
    <row r="8612" spans="1:12" x14ac:dyDescent="0.3">
      <c r="A8612" t="s">
        <v>8618</v>
      </c>
      <c r="B8612" t="s">
        <v>10014</v>
      </c>
      <c r="C8612">
        <v>2</v>
      </c>
      <c r="D8612">
        <v>4</v>
      </c>
      <c r="E8612">
        <v>8</v>
      </c>
      <c r="F8612" t="s">
        <v>10018</v>
      </c>
      <c r="G8612" t="s">
        <v>10069</v>
      </c>
      <c r="H8612" s="6">
        <v>45090</v>
      </c>
      <c r="I8612">
        <f t="shared" si="268"/>
        <v>0</v>
      </c>
      <c r="J8612" t="str">
        <f t="shared" si="269"/>
        <v>Complete</v>
      </c>
      <c r="K8612">
        <f>COUNTIFS(RawData[Item], B8612,RawData[Quantity],C8612,RawData[Price Per Unit],D8612,RawData[Total Spent],E8612,RawData[Payment Method],F8612,RawData[Location],G8612,RawData[Transaction Date],H8612)</f>
        <v>1</v>
      </c>
      <c r="L8612"/>
    </row>
    <row r="8613" spans="1:12" x14ac:dyDescent="0.3">
      <c r="A8613" t="s">
        <v>8619</v>
      </c>
      <c r="B8613" t="s">
        <v>10016</v>
      </c>
      <c r="C8613">
        <v>0</v>
      </c>
      <c r="D8613">
        <v>3</v>
      </c>
      <c r="E8613">
        <v>3</v>
      </c>
      <c r="F8613" t="s">
        <v>10069</v>
      </c>
      <c r="G8613" t="s">
        <v>10069</v>
      </c>
      <c r="H8613" s="6">
        <v>45032</v>
      </c>
      <c r="I8613">
        <f t="shared" si="268"/>
        <v>0</v>
      </c>
      <c r="J8613" t="str">
        <f t="shared" si="269"/>
        <v>Complete</v>
      </c>
      <c r="K8613">
        <f>COUNTIFS(RawData[Item], B8613,RawData[Quantity],C8613,RawData[Price Per Unit],D8613,RawData[Total Spent],E8613,RawData[Payment Method],F8613,RawData[Location],G8613,RawData[Transaction Date],H8613)</f>
        <v>1</v>
      </c>
      <c r="L8613"/>
    </row>
    <row r="8614" spans="1:12" x14ac:dyDescent="0.3">
      <c r="A8614" t="s">
        <v>8620</v>
      </c>
      <c r="B8614" t="s">
        <v>10010</v>
      </c>
      <c r="C8614">
        <v>3</v>
      </c>
      <c r="D8614">
        <v>1</v>
      </c>
      <c r="E8614">
        <v>3</v>
      </c>
      <c r="F8614" t="s">
        <v>10019</v>
      </c>
      <c r="G8614" t="s">
        <v>10021</v>
      </c>
      <c r="H8614" s="6">
        <v>44935</v>
      </c>
      <c r="I8614">
        <f t="shared" si="268"/>
        <v>0</v>
      </c>
      <c r="J8614" t="str">
        <f t="shared" si="269"/>
        <v>Complete</v>
      </c>
      <c r="K8614">
        <f>COUNTIFS(RawData[Item], B8614,RawData[Quantity],C8614,RawData[Price Per Unit],D8614,RawData[Total Spent],E8614,RawData[Payment Method],F8614,RawData[Location],G8614,RawData[Transaction Date],H8614)</f>
        <v>1</v>
      </c>
      <c r="L8614"/>
    </row>
    <row r="8615" spans="1:12" x14ac:dyDescent="0.3">
      <c r="A8615" t="s">
        <v>8621</v>
      </c>
      <c r="B8615" t="s">
        <v>10010</v>
      </c>
      <c r="C8615">
        <v>1</v>
      </c>
      <c r="D8615">
        <v>1</v>
      </c>
      <c r="E8615">
        <v>1</v>
      </c>
      <c r="F8615" t="s">
        <v>10018</v>
      </c>
      <c r="G8615" t="s">
        <v>10102</v>
      </c>
      <c r="H8615" s="6">
        <v>45119</v>
      </c>
      <c r="I8615">
        <f t="shared" si="268"/>
        <v>0</v>
      </c>
      <c r="J8615" t="str">
        <f t="shared" si="269"/>
        <v>Complete</v>
      </c>
      <c r="K8615">
        <f>COUNTIFS(RawData[Item], B8615,RawData[Quantity],C8615,RawData[Price Per Unit],D8615,RawData[Total Spent],E8615,RawData[Payment Method],F8615,RawData[Location],G8615,RawData[Transaction Date],H8615)</f>
        <v>1</v>
      </c>
      <c r="L8615"/>
    </row>
    <row r="8616" spans="1:12" x14ac:dyDescent="0.3">
      <c r="A8616" t="s">
        <v>8622</v>
      </c>
      <c r="B8616" t="s">
        <v>10008</v>
      </c>
      <c r="C8616">
        <v>5</v>
      </c>
      <c r="D8616">
        <v>2</v>
      </c>
      <c r="E8616">
        <v>10</v>
      </c>
      <c r="F8616" t="s">
        <v>10019</v>
      </c>
      <c r="G8616" t="s">
        <v>10021</v>
      </c>
      <c r="H8616" s="6">
        <v>45207</v>
      </c>
      <c r="I8616">
        <f t="shared" si="268"/>
        <v>0</v>
      </c>
      <c r="J8616" t="str">
        <f t="shared" si="269"/>
        <v>Complete</v>
      </c>
      <c r="K8616">
        <f>COUNTIFS(RawData[Item], B8616,RawData[Quantity],C8616,RawData[Price Per Unit],D8616,RawData[Total Spent],E8616,RawData[Payment Method],F8616,RawData[Location],G8616,RawData[Transaction Date],H8616)</f>
        <v>1</v>
      </c>
      <c r="L8616"/>
    </row>
    <row r="8617" spans="1:12" x14ac:dyDescent="0.3">
      <c r="A8617" t="s">
        <v>8623</v>
      </c>
      <c r="B8617" t="s">
        <v>10017</v>
      </c>
      <c r="C8617">
        <v>5</v>
      </c>
      <c r="D8617">
        <v>1.5</v>
      </c>
      <c r="E8617">
        <v>7.5</v>
      </c>
      <c r="F8617" t="s">
        <v>10020</v>
      </c>
      <c r="G8617" t="s">
        <v>10102</v>
      </c>
      <c r="H8617" s="6">
        <v>45210</v>
      </c>
      <c r="I8617">
        <f t="shared" si="268"/>
        <v>0</v>
      </c>
      <c r="J8617" t="str">
        <f t="shared" si="269"/>
        <v>Complete</v>
      </c>
      <c r="K8617">
        <f>COUNTIFS(RawData[Item], B8617,RawData[Quantity],C8617,RawData[Price Per Unit],D8617,RawData[Total Spent],E8617,RawData[Payment Method],F8617,RawData[Location],G8617,RawData[Transaction Date],H8617)</f>
        <v>1</v>
      </c>
      <c r="L8617"/>
    </row>
    <row r="8618" spans="1:12" x14ac:dyDescent="0.3">
      <c r="A8618" t="s">
        <v>8624</v>
      </c>
      <c r="B8618" t="s">
        <v>10010</v>
      </c>
      <c r="C8618">
        <v>1</v>
      </c>
      <c r="D8618">
        <v>1</v>
      </c>
      <c r="E8618">
        <v>1</v>
      </c>
      <c r="F8618" t="s">
        <v>10019</v>
      </c>
      <c r="G8618" t="s">
        <v>10069</v>
      </c>
      <c r="H8618" s="6">
        <v>44982</v>
      </c>
      <c r="I8618">
        <f t="shared" si="268"/>
        <v>0</v>
      </c>
      <c r="J8618" t="str">
        <f t="shared" si="269"/>
        <v>Complete</v>
      </c>
      <c r="K8618">
        <f>COUNTIFS(RawData[Item], B8618,RawData[Quantity],C8618,RawData[Price Per Unit],D8618,RawData[Total Spent],E8618,RawData[Payment Method],F8618,RawData[Location],G8618,RawData[Transaction Date],H8618)</f>
        <v>1</v>
      </c>
      <c r="L8618"/>
    </row>
    <row r="8619" spans="1:12" x14ac:dyDescent="0.3">
      <c r="A8619" t="s">
        <v>8625</v>
      </c>
      <c r="B8619" t="s">
        <v>10009</v>
      </c>
      <c r="C8619">
        <v>2</v>
      </c>
      <c r="D8619">
        <v>3</v>
      </c>
      <c r="E8619">
        <v>6</v>
      </c>
      <c r="F8619" t="s">
        <v>10069</v>
      </c>
      <c r="G8619" t="s">
        <v>10021</v>
      </c>
      <c r="H8619" s="6" t="s">
        <v>10112</v>
      </c>
      <c r="I8619">
        <f t="shared" si="268"/>
        <v>1</v>
      </c>
      <c r="J8619" t="str">
        <f t="shared" si="269"/>
        <v>Incomplete</v>
      </c>
      <c r="K8619">
        <f>COUNTIFS(RawData[Item], B8619,RawData[Quantity],C8619,RawData[Price Per Unit],D8619,RawData[Total Spent],E8619,RawData[Payment Method],F8619,RawData[Location],G8619,RawData[Transaction Date],H8619)</f>
        <v>2</v>
      </c>
      <c r="L8619"/>
    </row>
    <row r="8620" spans="1:12" x14ac:dyDescent="0.3">
      <c r="A8620" t="s">
        <v>8626</v>
      </c>
      <c r="B8620" t="s">
        <v>10011</v>
      </c>
      <c r="C8620">
        <v>5</v>
      </c>
      <c r="D8620">
        <v>5</v>
      </c>
      <c r="E8620">
        <v>25</v>
      </c>
      <c r="F8620" t="s">
        <v>10018</v>
      </c>
      <c r="G8620" t="s">
        <v>10021</v>
      </c>
      <c r="H8620" s="6">
        <v>45031</v>
      </c>
      <c r="I8620">
        <f t="shared" si="268"/>
        <v>0</v>
      </c>
      <c r="J8620" t="str">
        <f t="shared" si="269"/>
        <v>Complete</v>
      </c>
      <c r="K8620">
        <f>COUNTIFS(RawData[Item], B8620,RawData[Quantity],C8620,RawData[Price Per Unit],D8620,RawData[Total Spent],E8620,RawData[Payment Method],F8620,RawData[Location],G8620,RawData[Transaction Date],H8620)</f>
        <v>1</v>
      </c>
      <c r="L8620"/>
    </row>
    <row r="8621" spans="1:12" x14ac:dyDescent="0.3">
      <c r="A8621" t="s">
        <v>8627</v>
      </c>
      <c r="B8621" t="s">
        <v>10010</v>
      </c>
      <c r="C8621">
        <v>5</v>
      </c>
      <c r="D8621">
        <v>1</v>
      </c>
      <c r="E8621">
        <v>0</v>
      </c>
      <c r="F8621" t="s">
        <v>10069</v>
      </c>
      <c r="G8621" t="s">
        <v>10021</v>
      </c>
      <c r="H8621" s="6">
        <v>45245</v>
      </c>
      <c r="I8621">
        <f t="shared" si="268"/>
        <v>0</v>
      </c>
      <c r="J8621" t="str">
        <f t="shared" si="269"/>
        <v>Complete</v>
      </c>
      <c r="K8621">
        <f>COUNTIFS(RawData[Item], B8621,RawData[Quantity],C8621,RawData[Price Per Unit],D8621,RawData[Total Spent],E8621,RawData[Payment Method],F8621,RawData[Location],G8621,RawData[Transaction Date],H8621)</f>
        <v>1</v>
      </c>
      <c r="L8621"/>
    </row>
    <row r="8622" spans="1:12" x14ac:dyDescent="0.3">
      <c r="A8622" t="s">
        <v>8628</v>
      </c>
      <c r="B8622" t="s">
        <v>10010</v>
      </c>
      <c r="C8622">
        <v>1</v>
      </c>
      <c r="D8622">
        <v>1</v>
      </c>
      <c r="E8622">
        <v>1</v>
      </c>
      <c r="F8622" t="s">
        <v>10069</v>
      </c>
      <c r="G8622" t="s">
        <v>10021</v>
      </c>
      <c r="H8622" s="6">
        <v>45092</v>
      </c>
      <c r="I8622">
        <f t="shared" si="268"/>
        <v>0</v>
      </c>
      <c r="J8622" t="str">
        <f t="shared" si="269"/>
        <v>Complete</v>
      </c>
      <c r="K8622">
        <f>COUNTIFS(RawData[Item], B8622,RawData[Quantity],C8622,RawData[Price Per Unit],D8622,RawData[Total Spent],E8622,RawData[Payment Method],F8622,RawData[Location],G8622,RawData[Transaction Date],H8622)</f>
        <v>1</v>
      </c>
      <c r="L8622"/>
    </row>
    <row r="8623" spans="1:12" x14ac:dyDescent="0.3">
      <c r="A8623" t="s">
        <v>8629</v>
      </c>
      <c r="B8623" t="s">
        <v>10010</v>
      </c>
      <c r="C8623">
        <v>1</v>
      </c>
      <c r="D8623">
        <v>1</v>
      </c>
      <c r="E8623">
        <v>1</v>
      </c>
      <c r="F8623" t="s">
        <v>10069</v>
      </c>
      <c r="G8623" t="s">
        <v>10069</v>
      </c>
      <c r="H8623" s="6">
        <v>45142</v>
      </c>
      <c r="I8623">
        <f t="shared" si="268"/>
        <v>0</v>
      </c>
      <c r="J8623" t="str">
        <f t="shared" si="269"/>
        <v>Complete</v>
      </c>
      <c r="K8623">
        <f>COUNTIFS(RawData[Item], B8623,RawData[Quantity],C8623,RawData[Price Per Unit],D8623,RawData[Total Spent],E8623,RawData[Payment Method],F8623,RawData[Location],G8623,RawData[Transaction Date],H8623)</f>
        <v>1</v>
      </c>
      <c r="L8623"/>
    </row>
    <row r="8624" spans="1:12" x14ac:dyDescent="0.3">
      <c r="A8624" t="s">
        <v>8630</v>
      </c>
      <c r="B8624" t="s">
        <v>10011</v>
      </c>
      <c r="C8624">
        <v>0</v>
      </c>
      <c r="D8624">
        <v>5</v>
      </c>
      <c r="E8624">
        <v>5</v>
      </c>
      <c r="F8624" t="s">
        <v>10020</v>
      </c>
      <c r="G8624" t="s">
        <v>10021</v>
      </c>
      <c r="H8624" s="6">
        <v>44938</v>
      </c>
      <c r="I8624">
        <f t="shared" si="268"/>
        <v>0</v>
      </c>
      <c r="J8624" t="str">
        <f t="shared" si="269"/>
        <v>Complete</v>
      </c>
      <c r="K8624">
        <f>COUNTIFS(RawData[Item], B8624,RawData[Quantity],C8624,RawData[Price Per Unit],D8624,RawData[Total Spent],E8624,RawData[Payment Method],F8624,RawData[Location],G8624,RawData[Transaction Date],H8624)</f>
        <v>1</v>
      </c>
      <c r="L8624"/>
    </row>
    <row r="8625" spans="1:12" x14ac:dyDescent="0.3">
      <c r="A8625" t="s">
        <v>8631</v>
      </c>
      <c r="B8625" t="s">
        <v>10016</v>
      </c>
      <c r="C8625">
        <v>1</v>
      </c>
      <c r="D8625">
        <v>3</v>
      </c>
      <c r="E8625">
        <v>3</v>
      </c>
      <c r="F8625" t="s">
        <v>10019</v>
      </c>
      <c r="G8625" t="s">
        <v>10102</v>
      </c>
      <c r="H8625" s="6">
        <v>45072</v>
      </c>
      <c r="I8625">
        <f t="shared" si="268"/>
        <v>0</v>
      </c>
      <c r="J8625" t="str">
        <f t="shared" si="269"/>
        <v>Complete</v>
      </c>
      <c r="K8625">
        <f>COUNTIFS(RawData[Item], B8625,RawData[Quantity],C8625,RawData[Price Per Unit],D8625,RawData[Total Spent],E8625,RawData[Payment Method],F8625,RawData[Location],G8625,RawData[Transaction Date],H8625)</f>
        <v>1</v>
      </c>
      <c r="L8625"/>
    </row>
    <row r="8626" spans="1:12" x14ac:dyDescent="0.3">
      <c r="A8626" t="s">
        <v>8632</v>
      </c>
      <c r="B8626" t="s">
        <v>10009</v>
      </c>
      <c r="C8626">
        <v>5</v>
      </c>
      <c r="D8626">
        <v>3</v>
      </c>
      <c r="E8626">
        <v>15</v>
      </c>
      <c r="F8626" t="s">
        <v>10019</v>
      </c>
      <c r="G8626" t="s">
        <v>10021</v>
      </c>
      <c r="H8626" s="6">
        <v>44943</v>
      </c>
      <c r="I8626">
        <f t="shared" si="268"/>
        <v>0</v>
      </c>
      <c r="J8626" t="str">
        <f t="shared" si="269"/>
        <v>Complete</v>
      </c>
      <c r="K8626">
        <f>COUNTIFS(RawData[Item], B8626,RawData[Quantity],C8626,RawData[Price Per Unit],D8626,RawData[Total Spent],E8626,RawData[Payment Method],F8626,RawData[Location],G8626,RawData[Transaction Date],H8626)</f>
        <v>1</v>
      </c>
      <c r="L8626"/>
    </row>
    <row r="8627" spans="1:12" x14ac:dyDescent="0.3">
      <c r="A8627" t="s">
        <v>8633</v>
      </c>
      <c r="B8627" t="s">
        <v>10017</v>
      </c>
      <c r="C8627">
        <v>1</v>
      </c>
      <c r="D8627" t="s">
        <v>10013</v>
      </c>
      <c r="E8627">
        <v>1.5</v>
      </c>
      <c r="F8627" t="s">
        <v>10019</v>
      </c>
      <c r="G8627" t="s">
        <v>10021</v>
      </c>
      <c r="H8627" s="6">
        <v>45127</v>
      </c>
      <c r="I8627">
        <f t="shared" si="268"/>
        <v>1</v>
      </c>
      <c r="J8627" t="str">
        <f t="shared" si="269"/>
        <v>Complete</v>
      </c>
      <c r="K8627">
        <f>COUNTIFS(RawData[Item], B8627,RawData[Quantity],C8627,RawData[Price Per Unit],D8627,RawData[Total Spent],E8627,RawData[Payment Method],F8627,RawData[Location],G8627,RawData[Transaction Date],H8627)</f>
        <v>1</v>
      </c>
      <c r="L8627"/>
    </row>
    <row r="8628" spans="1:12" x14ac:dyDescent="0.3">
      <c r="A8628" t="s">
        <v>8634</v>
      </c>
      <c r="B8628" t="s">
        <v>10012</v>
      </c>
      <c r="C8628">
        <v>5</v>
      </c>
      <c r="D8628">
        <v>4</v>
      </c>
      <c r="E8628">
        <v>20</v>
      </c>
      <c r="F8628" t="s">
        <v>10018</v>
      </c>
      <c r="G8628" t="s">
        <v>10069</v>
      </c>
      <c r="H8628" s="6">
        <v>44973</v>
      </c>
      <c r="I8628">
        <f t="shared" si="268"/>
        <v>0</v>
      </c>
      <c r="J8628" t="str">
        <f t="shared" si="269"/>
        <v>Complete</v>
      </c>
      <c r="K8628">
        <f>COUNTIFS(RawData[Item], B8628,RawData[Quantity],C8628,RawData[Price Per Unit],D8628,RawData[Total Spent],E8628,RawData[Payment Method],F8628,RawData[Location],G8628,RawData[Transaction Date],H8628)</f>
        <v>1</v>
      </c>
      <c r="L8628"/>
    </row>
    <row r="8629" spans="1:12" x14ac:dyDescent="0.3">
      <c r="A8629" t="s">
        <v>8635</v>
      </c>
      <c r="B8629" t="s">
        <v>10010</v>
      </c>
      <c r="C8629">
        <v>2</v>
      </c>
      <c r="D8629" t="s">
        <v>10015</v>
      </c>
      <c r="E8629">
        <v>2</v>
      </c>
      <c r="F8629" t="s">
        <v>10069</v>
      </c>
      <c r="G8629" t="s">
        <v>10069</v>
      </c>
      <c r="H8629" s="6">
        <v>44965</v>
      </c>
      <c r="I8629">
        <f t="shared" si="268"/>
        <v>1</v>
      </c>
      <c r="J8629" t="str">
        <f t="shared" si="269"/>
        <v>Complete</v>
      </c>
      <c r="K8629">
        <f>COUNTIFS(RawData[Item], B8629,RawData[Quantity],C8629,RawData[Price Per Unit],D8629,RawData[Total Spent],E8629,RawData[Payment Method],F8629,RawData[Location],G8629,RawData[Transaction Date],H8629)</f>
        <v>1</v>
      </c>
      <c r="L8629"/>
    </row>
    <row r="8630" spans="1:12" x14ac:dyDescent="0.3">
      <c r="A8630" t="s">
        <v>8636</v>
      </c>
      <c r="B8630" t="s">
        <v>10009</v>
      </c>
      <c r="C8630">
        <v>4</v>
      </c>
      <c r="D8630">
        <v>3</v>
      </c>
      <c r="E8630">
        <v>12</v>
      </c>
      <c r="F8630" t="s">
        <v>10069</v>
      </c>
      <c r="G8630" t="s">
        <v>10103</v>
      </c>
      <c r="H8630" s="6">
        <v>44977</v>
      </c>
      <c r="I8630">
        <f t="shared" si="268"/>
        <v>1</v>
      </c>
      <c r="J8630" t="str">
        <f t="shared" si="269"/>
        <v>Complete</v>
      </c>
      <c r="K8630">
        <f>COUNTIFS(RawData[Item], B8630,RawData[Quantity],C8630,RawData[Price Per Unit],D8630,RawData[Total Spent],E8630,RawData[Payment Method],F8630,RawData[Location],G8630,RawData[Transaction Date],H8630)</f>
        <v>1</v>
      </c>
      <c r="L8630"/>
    </row>
    <row r="8631" spans="1:12" x14ac:dyDescent="0.3">
      <c r="A8631" t="s">
        <v>8637</v>
      </c>
      <c r="B8631" t="s">
        <v>10011</v>
      </c>
      <c r="C8631">
        <v>3</v>
      </c>
      <c r="D8631">
        <v>5</v>
      </c>
      <c r="E8631">
        <v>15</v>
      </c>
      <c r="F8631" t="s">
        <v>10069</v>
      </c>
      <c r="G8631" t="s">
        <v>10069</v>
      </c>
      <c r="H8631" s="6" t="s">
        <v>10112</v>
      </c>
      <c r="I8631">
        <f t="shared" si="268"/>
        <v>1</v>
      </c>
      <c r="J8631" t="str">
        <f t="shared" si="269"/>
        <v>Incomplete</v>
      </c>
      <c r="K8631">
        <f>COUNTIFS(RawData[Item], B8631,RawData[Quantity],C8631,RawData[Price Per Unit],D8631,RawData[Total Spent],E8631,RawData[Payment Method],F8631,RawData[Location],G8631,RawData[Transaction Date],H8631)</f>
        <v>1</v>
      </c>
      <c r="L8631"/>
    </row>
    <row r="8632" spans="1:12" x14ac:dyDescent="0.3">
      <c r="A8632" t="s">
        <v>8638</v>
      </c>
      <c r="B8632" t="s">
        <v>10011</v>
      </c>
      <c r="C8632">
        <v>1</v>
      </c>
      <c r="D8632">
        <v>5</v>
      </c>
      <c r="E8632">
        <v>5</v>
      </c>
      <c r="F8632" t="s">
        <v>10103</v>
      </c>
      <c r="G8632" t="s">
        <v>10069</v>
      </c>
      <c r="H8632" s="6">
        <v>45156</v>
      </c>
      <c r="I8632">
        <f t="shared" si="268"/>
        <v>1</v>
      </c>
      <c r="J8632" t="str">
        <f t="shared" si="269"/>
        <v>Complete</v>
      </c>
      <c r="K8632">
        <f>COUNTIFS(RawData[Item], B8632,RawData[Quantity],C8632,RawData[Price Per Unit],D8632,RawData[Total Spent],E8632,RawData[Payment Method],F8632,RawData[Location],G8632,RawData[Transaction Date],H8632)</f>
        <v>1</v>
      </c>
      <c r="L8632"/>
    </row>
    <row r="8633" spans="1:12" x14ac:dyDescent="0.3">
      <c r="A8633" t="s">
        <v>8639</v>
      </c>
      <c r="B8633" t="s">
        <v>10017</v>
      </c>
      <c r="C8633">
        <v>5</v>
      </c>
      <c r="D8633">
        <v>1.5</v>
      </c>
      <c r="E8633">
        <v>7.5</v>
      </c>
      <c r="F8633" t="s">
        <v>10020</v>
      </c>
      <c r="G8633" t="s">
        <v>10102</v>
      </c>
      <c r="H8633" s="6">
        <v>45257</v>
      </c>
      <c r="I8633">
        <f t="shared" si="268"/>
        <v>0</v>
      </c>
      <c r="J8633" t="str">
        <f t="shared" si="269"/>
        <v>Complete</v>
      </c>
      <c r="K8633">
        <f>COUNTIFS(RawData[Item], B8633,RawData[Quantity],C8633,RawData[Price Per Unit],D8633,RawData[Total Spent],E8633,RawData[Payment Method],F8633,RawData[Location],G8633,RawData[Transaction Date],H8633)</f>
        <v>1</v>
      </c>
      <c r="L8633"/>
    </row>
    <row r="8634" spans="1:12" x14ac:dyDescent="0.3">
      <c r="A8634" t="s">
        <v>8640</v>
      </c>
      <c r="B8634" t="s">
        <v>10008</v>
      </c>
      <c r="C8634">
        <v>4</v>
      </c>
      <c r="D8634">
        <v>2</v>
      </c>
      <c r="E8634">
        <v>8</v>
      </c>
      <c r="F8634" t="s">
        <v>10020</v>
      </c>
      <c r="G8634" t="s">
        <v>10102</v>
      </c>
      <c r="H8634" s="6">
        <v>45276</v>
      </c>
      <c r="I8634">
        <f t="shared" si="268"/>
        <v>0</v>
      </c>
      <c r="J8634" t="str">
        <f t="shared" si="269"/>
        <v>Complete</v>
      </c>
      <c r="K8634">
        <f>COUNTIFS(RawData[Item], B8634,RawData[Quantity],C8634,RawData[Price Per Unit],D8634,RawData[Total Spent],E8634,RawData[Payment Method],F8634,RawData[Location],G8634,RawData[Transaction Date],H8634)</f>
        <v>1</v>
      </c>
      <c r="L8634"/>
    </row>
    <row r="8635" spans="1:12" x14ac:dyDescent="0.3">
      <c r="A8635" t="s">
        <v>8641</v>
      </c>
      <c r="B8635" t="s">
        <v>10009</v>
      </c>
      <c r="C8635">
        <v>5</v>
      </c>
      <c r="D8635">
        <v>3</v>
      </c>
      <c r="E8635">
        <v>15</v>
      </c>
      <c r="F8635" t="s">
        <v>10069</v>
      </c>
      <c r="G8635" t="s">
        <v>10102</v>
      </c>
      <c r="H8635" s="6">
        <v>45092</v>
      </c>
      <c r="I8635">
        <f t="shared" si="268"/>
        <v>0</v>
      </c>
      <c r="J8635" t="str">
        <f t="shared" si="269"/>
        <v>Complete</v>
      </c>
      <c r="K8635">
        <f>COUNTIFS(RawData[Item], B8635,RawData[Quantity],C8635,RawData[Price Per Unit],D8635,RawData[Total Spent],E8635,RawData[Payment Method],F8635,RawData[Location],G8635,RawData[Transaction Date],H8635)</f>
        <v>1</v>
      </c>
      <c r="L8635"/>
    </row>
    <row r="8636" spans="1:12" x14ac:dyDescent="0.3">
      <c r="A8636" t="s">
        <v>8642</v>
      </c>
      <c r="B8636" t="s">
        <v>10015</v>
      </c>
      <c r="C8636">
        <v>2</v>
      </c>
      <c r="D8636">
        <v>5</v>
      </c>
      <c r="E8636">
        <v>10</v>
      </c>
      <c r="F8636" t="s">
        <v>10020</v>
      </c>
      <c r="G8636" t="s">
        <v>10102</v>
      </c>
      <c r="H8636" s="6">
        <v>45243</v>
      </c>
      <c r="I8636">
        <f t="shared" si="268"/>
        <v>1</v>
      </c>
      <c r="J8636" t="str">
        <f t="shared" si="269"/>
        <v>Complete</v>
      </c>
      <c r="K8636">
        <f>COUNTIFS(RawData[Item], B8636,RawData[Quantity],C8636,RawData[Price Per Unit],D8636,RawData[Total Spent],E8636,RawData[Payment Method],F8636,RawData[Location],G8636,RawData[Transaction Date],H8636)</f>
        <v>1</v>
      </c>
      <c r="L8636"/>
    </row>
    <row r="8637" spans="1:12" x14ac:dyDescent="0.3">
      <c r="A8637" t="s">
        <v>8643</v>
      </c>
      <c r="B8637" t="s">
        <v>10011</v>
      </c>
      <c r="C8637">
        <v>4</v>
      </c>
      <c r="D8637">
        <v>5</v>
      </c>
      <c r="E8637">
        <v>20</v>
      </c>
      <c r="F8637" t="s">
        <v>10019</v>
      </c>
      <c r="G8637" t="s">
        <v>10021</v>
      </c>
      <c r="H8637" s="6">
        <v>45083</v>
      </c>
      <c r="I8637">
        <f t="shared" si="268"/>
        <v>0</v>
      </c>
      <c r="J8637" t="str">
        <f t="shared" si="269"/>
        <v>Complete</v>
      </c>
      <c r="K8637">
        <f>COUNTIFS(RawData[Item], B8637,RawData[Quantity],C8637,RawData[Price Per Unit],D8637,RawData[Total Spent],E8637,RawData[Payment Method],F8637,RawData[Location],G8637,RawData[Transaction Date],H8637)</f>
        <v>1</v>
      </c>
      <c r="L8637"/>
    </row>
    <row r="8638" spans="1:12" x14ac:dyDescent="0.3">
      <c r="A8638" t="s">
        <v>8644</v>
      </c>
      <c r="B8638" t="s">
        <v>10014</v>
      </c>
      <c r="C8638" t="s">
        <v>10015</v>
      </c>
      <c r="D8638">
        <v>4</v>
      </c>
      <c r="E8638">
        <v>20</v>
      </c>
      <c r="F8638" t="s">
        <v>10018</v>
      </c>
      <c r="G8638" t="s">
        <v>10102</v>
      </c>
      <c r="H8638" s="6">
        <v>45290</v>
      </c>
      <c r="I8638">
        <f t="shared" si="268"/>
        <v>1</v>
      </c>
      <c r="J8638" t="str">
        <f t="shared" si="269"/>
        <v>Complete</v>
      </c>
      <c r="K8638">
        <f>COUNTIFS(RawData[Item], B8638,RawData[Quantity],C8638,RawData[Price Per Unit],D8638,RawData[Total Spent],E8638,RawData[Payment Method],F8638,RawData[Location],G8638,RawData[Transaction Date],H8638)</f>
        <v>1</v>
      </c>
      <c r="L8638"/>
    </row>
    <row r="8639" spans="1:12" x14ac:dyDescent="0.3">
      <c r="A8639" t="s">
        <v>8645</v>
      </c>
      <c r="B8639" t="s">
        <v>10017</v>
      </c>
      <c r="C8639">
        <v>5</v>
      </c>
      <c r="D8639">
        <v>1.5</v>
      </c>
      <c r="E8639">
        <v>7.5</v>
      </c>
      <c r="F8639" t="s">
        <v>10019</v>
      </c>
      <c r="G8639" t="s">
        <v>10102</v>
      </c>
      <c r="H8639" s="6">
        <v>45060</v>
      </c>
      <c r="I8639">
        <f t="shared" si="268"/>
        <v>0</v>
      </c>
      <c r="J8639" t="str">
        <f t="shared" si="269"/>
        <v>Complete</v>
      </c>
      <c r="K8639">
        <f>COUNTIFS(RawData[Item], B8639,RawData[Quantity],C8639,RawData[Price Per Unit],D8639,RawData[Total Spent],E8639,RawData[Payment Method],F8639,RawData[Location],G8639,RawData[Transaction Date],H8639)</f>
        <v>1</v>
      </c>
      <c r="L8639"/>
    </row>
    <row r="8640" spans="1:12" x14ac:dyDescent="0.3">
      <c r="A8640" t="s">
        <v>8646</v>
      </c>
      <c r="B8640" t="s">
        <v>10017</v>
      </c>
      <c r="C8640">
        <v>4</v>
      </c>
      <c r="D8640">
        <v>1.5</v>
      </c>
      <c r="E8640">
        <v>6</v>
      </c>
      <c r="F8640" t="s">
        <v>10019</v>
      </c>
      <c r="G8640" t="s">
        <v>10021</v>
      </c>
      <c r="H8640" s="6">
        <v>45248</v>
      </c>
      <c r="I8640">
        <f t="shared" si="268"/>
        <v>0</v>
      </c>
      <c r="J8640" t="str">
        <f t="shared" si="269"/>
        <v>Complete</v>
      </c>
      <c r="K8640">
        <f>COUNTIFS(RawData[Item], B8640,RawData[Quantity],C8640,RawData[Price Per Unit],D8640,RawData[Total Spent],E8640,RawData[Payment Method],F8640,RawData[Location],G8640,RawData[Transaction Date],H8640)</f>
        <v>1</v>
      </c>
      <c r="L8640"/>
    </row>
    <row r="8641" spans="1:12" x14ac:dyDescent="0.3">
      <c r="A8641" t="s">
        <v>8647</v>
      </c>
      <c r="B8641" t="s">
        <v>10016</v>
      </c>
      <c r="C8641">
        <v>4</v>
      </c>
      <c r="D8641">
        <v>3</v>
      </c>
      <c r="E8641">
        <v>12</v>
      </c>
      <c r="F8641" t="s">
        <v>10020</v>
      </c>
      <c r="G8641" t="s">
        <v>10102</v>
      </c>
      <c r="H8641" s="6">
        <v>45287</v>
      </c>
      <c r="I8641">
        <f t="shared" si="268"/>
        <v>0</v>
      </c>
      <c r="J8641" t="str">
        <f t="shared" si="269"/>
        <v>Complete</v>
      </c>
      <c r="K8641">
        <f>COUNTIFS(RawData[Item], B8641,RawData[Quantity],C8641,RawData[Price Per Unit],D8641,RawData[Total Spent],E8641,RawData[Payment Method],F8641,RawData[Location],G8641,RawData[Transaction Date],H8641)</f>
        <v>1</v>
      </c>
      <c r="L8641"/>
    </row>
    <row r="8642" spans="1:12" x14ac:dyDescent="0.3">
      <c r="A8642" t="s">
        <v>8648</v>
      </c>
      <c r="B8642" t="s">
        <v>10016</v>
      </c>
      <c r="C8642">
        <v>1</v>
      </c>
      <c r="D8642">
        <v>3</v>
      </c>
      <c r="E8642">
        <v>3</v>
      </c>
      <c r="F8642" t="s">
        <v>10020</v>
      </c>
      <c r="G8642" t="s">
        <v>10021</v>
      </c>
      <c r="H8642" s="6">
        <v>45066</v>
      </c>
      <c r="I8642">
        <f t="shared" ref="I8642:I8705" si="270">(B8642="Unknown")+(B8642="Error")+(C8642="Unknown")+(C8642="Error")+(D8642="Unknown")+(D8642="Error")+(E8642="Unknown")+(E8642="Error")+(F8642="Unknown")+(F8642="Error")+(G8642="Unknown")+(G8642="Error")+(H8642="No Date")</f>
        <v>0</v>
      </c>
      <c r="J8642" t="str">
        <f t="shared" ref="J8642:J8705" si="271">IF((H8642="No Date"),"Incomplete","Complete")</f>
        <v>Complete</v>
      </c>
      <c r="K8642">
        <f>COUNTIFS(RawData[Item], B8642,RawData[Quantity],C8642,RawData[Price Per Unit],D8642,RawData[Total Spent],E8642,RawData[Payment Method],F8642,RawData[Location],G8642,RawData[Transaction Date],H8642)</f>
        <v>1</v>
      </c>
      <c r="L8642"/>
    </row>
    <row r="8643" spans="1:12" x14ac:dyDescent="0.3">
      <c r="A8643" t="s">
        <v>8649</v>
      </c>
      <c r="B8643" t="s">
        <v>10014</v>
      </c>
      <c r="C8643">
        <v>5</v>
      </c>
      <c r="D8643">
        <v>4</v>
      </c>
      <c r="E8643">
        <v>20</v>
      </c>
      <c r="F8643" t="s">
        <v>10069</v>
      </c>
      <c r="G8643" t="s">
        <v>10102</v>
      </c>
      <c r="H8643" s="6">
        <v>45192</v>
      </c>
      <c r="I8643">
        <f t="shared" si="270"/>
        <v>0</v>
      </c>
      <c r="J8643" t="str">
        <f t="shared" si="271"/>
        <v>Complete</v>
      </c>
      <c r="K8643">
        <f>COUNTIFS(RawData[Item], B8643,RawData[Quantity],C8643,RawData[Price Per Unit],D8643,RawData[Total Spent],E8643,RawData[Payment Method],F8643,RawData[Location],G8643,RawData[Transaction Date],H8643)</f>
        <v>1</v>
      </c>
      <c r="L8643"/>
    </row>
    <row r="8644" spans="1:12" x14ac:dyDescent="0.3">
      <c r="A8644" t="s">
        <v>8650</v>
      </c>
      <c r="B8644" t="s">
        <v>10011</v>
      </c>
      <c r="C8644">
        <v>4</v>
      </c>
      <c r="D8644">
        <v>5</v>
      </c>
      <c r="E8644">
        <v>20</v>
      </c>
      <c r="F8644" t="s">
        <v>10019</v>
      </c>
      <c r="G8644" t="s">
        <v>10104</v>
      </c>
      <c r="H8644" s="6">
        <v>45246</v>
      </c>
      <c r="I8644">
        <f t="shared" si="270"/>
        <v>1</v>
      </c>
      <c r="J8644" t="str">
        <f t="shared" si="271"/>
        <v>Complete</v>
      </c>
      <c r="K8644">
        <f>COUNTIFS(RawData[Item], B8644,RawData[Quantity],C8644,RawData[Price Per Unit],D8644,RawData[Total Spent],E8644,RawData[Payment Method],F8644,RawData[Location],G8644,RawData[Transaction Date],H8644)</f>
        <v>1</v>
      </c>
      <c r="L8644"/>
    </row>
    <row r="8645" spans="1:12" x14ac:dyDescent="0.3">
      <c r="A8645" t="s">
        <v>8651</v>
      </c>
      <c r="B8645" t="s">
        <v>10012</v>
      </c>
      <c r="C8645">
        <v>3</v>
      </c>
      <c r="D8645">
        <v>4</v>
      </c>
      <c r="E8645">
        <v>12</v>
      </c>
      <c r="F8645" t="s">
        <v>10018</v>
      </c>
      <c r="G8645" t="s">
        <v>10104</v>
      </c>
      <c r="H8645" s="6">
        <v>45110</v>
      </c>
      <c r="I8645">
        <f t="shared" si="270"/>
        <v>1</v>
      </c>
      <c r="J8645" t="str">
        <f t="shared" si="271"/>
        <v>Complete</v>
      </c>
      <c r="K8645">
        <f>COUNTIFS(RawData[Item], B8645,RawData[Quantity],C8645,RawData[Price Per Unit],D8645,RawData[Total Spent],E8645,RawData[Payment Method],F8645,RawData[Location],G8645,RawData[Transaction Date],H8645)</f>
        <v>1</v>
      </c>
      <c r="L8645"/>
    </row>
    <row r="8646" spans="1:12" x14ac:dyDescent="0.3">
      <c r="A8646" t="s">
        <v>8652</v>
      </c>
      <c r="B8646" t="s">
        <v>10011</v>
      </c>
      <c r="C8646">
        <v>1</v>
      </c>
      <c r="D8646">
        <v>5</v>
      </c>
      <c r="E8646">
        <v>5</v>
      </c>
      <c r="F8646" t="s">
        <v>10069</v>
      </c>
      <c r="G8646" t="s">
        <v>10069</v>
      </c>
      <c r="H8646" s="6">
        <v>45163</v>
      </c>
      <c r="I8646">
        <f t="shared" si="270"/>
        <v>0</v>
      </c>
      <c r="J8646" t="str">
        <f t="shared" si="271"/>
        <v>Complete</v>
      </c>
      <c r="K8646">
        <f>COUNTIFS(RawData[Item], B8646,RawData[Quantity],C8646,RawData[Price Per Unit],D8646,RawData[Total Spent],E8646,RawData[Payment Method],F8646,RawData[Location],G8646,RawData[Transaction Date],H8646)</f>
        <v>1</v>
      </c>
      <c r="L8646"/>
    </row>
    <row r="8647" spans="1:12" x14ac:dyDescent="0.3">
      <c r="A8647" t="s">
        <v>8653</v>
      </c>
      <c r="B8647" t="s">
        <v>10010</v>
      </c>
      <c r="C8647">
        <v>1</v>
      </c>
      <c r="D8647">
        <v>1</v>
      </c>
      <c r="E8647">
        <v>1</v>
      </c>
      <c r="F8647" t="s">
        <v>10020</v>
      </c>
      <c r="G8647" t="s">
        <v>10102</v>
      </c>
      <c r="H8647" s="6">
        <v>44933</v>
      </c>
      <c r="I8647">
        <f t="shared" si="270"/>
        <v>0</v>
      </c>
      <c r="J8647" t="str">
        <f t="shared" si="271"/>
        <v>Complete</v>
      </c>
      <c r="K8647">
        <f>COUNTIFS(RawData[Item], B8647,RawData[Quantity],C8647,RawData[Price Per Unit],D8647,RawData[Total Spent],E8647,RawData[Payment Method],F8647,RawData[Location],G8647,RawData[Transaction Date],H8647)</f>
        <v>1</v>
      </c>
      <c r="L8647"/>
    </row>
    <row r="8648" spans="1:12" x14ac:dyDescent="0.3">
      <c r="A8648" t="s">
        <v>8654</v>
      </c>
      <c r="B8648" t="s">
        <v>10014</v>
      </c>
      <c r="C8648">
        <v>4</v>
      </c>
      <c r="D8648">
        <v>4</v>
      </c>
      <c r="E8648">
        <v>16</v>
      </c>
      <c r="F8648" t="s">
        <v>10019</v>
      </c>
      <c r="G8648" t="s">
        <v>10102</v>
      </c>
      <c r="H8648" s="6">
        <v>45239</v>
      </c>
      <c r="I8648">
        <f t="shared" si="270"/>
        <v>0</v>
      </c>
      <c r="J8648" t="str">
        <f t="shared" si="271"/>
        <v>Complete</v>
      </c>
      <c r="K8648">
        <f>COUNTIFS(RawData[Item], B8648,RawData[Quantity],C8648,RawData[Price Per Unit],D8648,RawData[Total Spent],E8648,RawData[Payment Method],F8648,RawData[Location],G8648,RawData[Transaction Date],H8648)</f>
        <v>1</v>
      </c>
      <c r="L8648"/>
    </row>
    <row r="8649" spans="1:12" x14ac:dyDescent="0.3">
      <c r="A8649" t="s">
        <v>8655</v>
      </c>
      <c r="B8649" t="s">
        <v>10010</v>
      </c>
      <c r="C8649" t="s">
        <v>10015</v>
      </c>
      <c r="D8649">
        <v>1</v>
      </c>
      <c r="E8649">
        <v>3</v>
      </c>
      <c r="F8649" t="s">
        <v>10018</v>
      </c>
      <c r="G8649" t="s">
        <v>10102</v>
      </c>
      <c r="H8649" s="6">
        <v>44941</v>
      </c>
      <c r="I8649">
        <f t="shared" si="270"/>
        <v>1</v>
      </c>
      <c r="J8649" t="str">
        <f t="shared" si="271"/>
        <v>Complete</v>
      </c>
      <c r="K8649">
        <f>COUNTIFS(RawData[Item], B8649,RawData[Quantity],C8649,RawData[Price Per Unit],D8649,RawData[Total Spent],E8649,RawData[Payment Method],F8649,RawData[Location],G8649,RawData[Transaction Date],H8649)</f>
        <v>1</v>
      </c>
      <c r="L8649"/>
    </row>
    <row r="8650" spans="1:12" x14ac:dyDescent="0.3">
      <c r="A8650" t="s">
        <v>8656</v>
      </c>
      <c r="B8650" t="s">
        <v>10011</v>
      </c>
      <c r="C8650">
        <v>2</v>
      </c>
      <c r="D8650">
        <v>5</v>
      </c>
      <c r="E8650">
        <v>10</v>
      </c>
      <c r="F8650" t="s">
        <v>10019</v>
      </c>
      <c r="G8650" t="s">
        <v>10102</v>
      </c>
      <c r="H8650" s="6">
        <v>45026</v>
      </c>
      <c r="I8650">
        <f t="shared" si="270"/>
        <v>0</v>
      </c>
      <c r="J8650" t="str">
        <f t="shared" si="271"/>
        <v>Complete</v>
      </c>
      <c r="K8650">
        <f>COUNTIFS(RawData[Item], B8650,RawData[Quantity],C8650,RawData[Price Per Unit],D8650,RawData[Total Spent],E8650,RawData[Payment Method],F8650,RawData[Location],G8650,RawData[Transaction Date],H8650)</f>
        <v>1</v>
      </c>
      <c r="L8650"/>
    </row>
    <row r="8651" spans="1:12" x14ac:dyDescent="0.3">
      <c r="A8651" t="s">
        <v>8657</v>
      </c>
      <c r="B8651" t="s">
        <v>10013</v>
      </c>
      <c r="C8651">
        <v>1</v>
      </c>
      <c r="D8651">
        <v>5</v>
      </c>
      <c r="E8651">
        <v>5</v>
      </c>
      <c r="F8651" t="s">
        <v>10019</v>
      </c>
      <c r="G8651" t="s">
        <v>10102</v>
      </c>
      <c r="H8651" s="6">
        <v>45092</v>
      </c>
      <c r="I8651">
        <f t="shared" si="270"/>
        <v>1</v>
      </c>
      <c r="J8651" t="str">
        <f t="shared" si="271"/>
        <v>Complete</v>
      </c>
      <c r="K8651">
        <f>COUNTIFS(RawData[Item], B8651,RawData[Quantity],C8651,RawData[Price Per Unit],D8651,RawData[Total Spent],E8651,RawData[Payment Method],F8651,RawData[Location],G8651,RawData[Transaction Date],H8651)</f>
        <v>1</v>
      </c>
      <c r="L8651"/>
    </row>
    <row r="8652" spans="1:12" x14ac:dyDescent="0.3">
      <c r="A8652" t="s">
        <v>8658</v>
      </c>
      <c r="B8652" t="s">
        <v>10009</v>
      </c>
      <c r="C8652">
        <v>2</v>
      </c>
      <c r="D8652">
        <v>3</v>
      </c>
      <c r="E8652">
        <v>6</v>
      </c>
      <c r="F8652" t="s">
        <v>10019</v>
      </c>
      <c r="G8652" t="s">
        <v>10069</v>
      </c>
      <c r="H8652" s="6">
        <v>45142</v>
      </c>
      <c r="I8652">
        <f t="shared" si="270"/>
        <v>0</v>
      </c>
      <c r="J8652" t="str">
        <f t="shared" si="271"/>
        <v>Complete</v>
      </c>
      <c r="K8652">
        <f>COUNTIFS(RawData[Item], B8652,RawData[Quantity],C8652,RawData[Price Per Unit],D8652,RawData[Total Spent],E8652,RawData[Payment Method],F8652,RawData[Location],G8652,RawData[Transaction Date],H8652)</f>
        <v>1</v>
      </c>
      <c r="L8652"/>
    </row>
    <row r="8653" spans="1:12" x14ac:dyDescent="0.3">
      <c r="A8653" t="s">
        <v>8659</v>
      </c>
      <c r="B8653" t="s">
        <v>10015</v>
      </c>
      <c r="C8653">
        <v>3</v>
      </c>
      <c r="D8653">
        <v>3</v>
      </c>
      <c r="E8653">
        <v>9</v>
      </c>
      <c r="F8653" t="s">
        <v>10018</v>
      </c>
      <c r="G8653" t="s">
        <v>10069</v>
      </c>
      <c r="H8653" s="6">
        <v>45265</v>
      </c>
      <c r="I8653">
        <f t="shared" si="270"/>
        <v>1</v>
      </c>
      <c r="J8653" t="str">
        <f t="shared" si="271"/>
        <v>Complete</v>
      </c>
      <c r="K8653">
        <f>COUNTIFS(RawData[Item], B8653,RawData[Quantity],C8653,RawData[Price Per Unit],D8653,RawData[Total Spent],E8653,RawData[Payment Method],F8653,RawData[Location],G8653,RawData[Transaction Date],H8653)</f>
        <v>1</v>
      </c>
      <c r="L8653"/>
    </row>
    <row r="8654" spans="1:12" x14ac:dyDescent="0.3">
      <c r="A8654" t="s">
        <v>8660</v>
      </c>
      <c r="B8654" t="s">
        <v>10008</v>
      </c>
      <c r="C8654">
        <v>1</v>
      </c>
      <c r="D8654">
        <v>2</v>
      </c>
      <c r="E8654">
        <v>2</v>
      </c>
      <c r="F8654" t="s">
        <v>10069</v>
      </c>
      <c r="G8654" t="s">
        <v>10069</v>
      </c>
      <c r="H8654" s="6">
        <v>45143</v>
      </c>
      <c r="I8654">
        <f t="shared" si="270"/>
        <v>0</v>
      </c>
      <c r="J8654" t="str">
        <f t="shared" si="271"/>
        <v>Complete</v>
      </c>
      <c r="K8654">
        <f>COUNTIFS(RawData[Item], B8654,RawData[Quantity],C8654,RawData[Price Per Unit],D8654,RawData[Total Spent],E8654,RawData[Payment Method],F8654,RawData[Location],G8654,RawData[Transaction Date],H8654)</f>
        <v>1</v>
      </c>
      <c r="L8654"/>
    </row>
    <row r="8655" spans="1:12" x14ac:dyDescent="0.3">
      <c r="A8655" t="s">
        <v>8661</v>
      </c>
      <c r="B8655" t="s">
        <v>10016</v>
      </c>
      <c r="C8655">
        <v>1</v>
      </c>
      <c r="D8655">
        <v>3</v>
      </c>
      <c r="E8655">
        <v>3</v>
      </c>
      <c r="F8655" t="s">
        <v>10020</v>
      </c>
      <c r="G8655" t="s">
        <v>10069</v>
      </c>
      <c r="H8655" s="6">
        <v>45084</v>
      </c>
      <c r="I8655">
        <f t="shared" si="270"/>
        <v>0</v>
      </c>
      <c r="J8655" t="str">
        <f t="shared" si="271"/>
        <v>Complete</v>
      </c>
      <c r="K8655">
        <f>COUNTIFS(RawData[Item], B8655,RawData[Quantity],C8655,RawData[Price Per Unit],D8655,RawData[Total Spent],E8655,RawData[Payment Method],F8655,RawData[Location],G8655,RawData[Transaction Date],H8655)</f>
        <v>1</v>
      </c>
      <c r="L8655"/>
    </row>
    <row r="8656" spans="1:12" x14ac:dyDescent="0.3">
      <c r="A8656" t="s">
        <v>8662</v>
      </c>
      <c r="B8656" t="s">
        <v>10013</v>
      </c>
      <c r="C8656">
        <v>2</v>
      </c>
      <c r="D8656">
        <v>3</v>
      </c>
      <c r="E8656">
        <v>6</v>
      </c>
      <c r="F8656" t="s">
        <v>10069</v>
      </c>
      <c r="G8656" t="s">
        <v>10021</v>
      </c>
      <c r="H8656" s="6">
        <v>44934</v>
      </c>
      <c r="I8656">
        <f t="shared" si="270"/>
        <v>1</v>
      </c>
      <c r="J8656" t="str">
        <f t="shared" si="271"/>
        <v>Complete</v>
      </c>
      <c r="K8656">
        <f>COUNTIFS(RawData[Item], B8656,RawData[Quantity],C8656,RawData[Price Per Unit],D8656,RawData[Total Spent],E8656,RawData[Payment Method],F8656,RawData[Location],G8656,RawData[Transaction Date],H8656)</f>
        <v>1</v>
      </c>
      <c r="L8656"/>
    </row>
    <row r="8657" spans="1:12" x14ac:dyDescent="0.3">
      <c r="A8657" t="s">
        <v>8663</v>
      </c>
      <c r="B8657" t="s">
        <v>10010</v>
      </c>
      <c r="C8657">
        <v>3</v>
      </c>
      <c r="D8657">
        <v>1</v>
      </c>
      <c r="E8657">
        <v>3</v>
      </c>
      <c r="F8657" t="s">
        <v>10103</v>
      </c>
      <c r="G8657" t="s">
        <v>10021</v>
      </c>
      <c r="H8657" s="6">
        <v>45291</v>
      </c>
      <c r="I8657">
        <f t="shared" si="270"/>
        <v>1</v>
      </c>
      <c r="J8657" t="str">
        <f t="shared" si="271"/>
        <v>Complete</v>
      </c>
      <c r="K8657">
        <f>COUNTIFS(RawData[Item], B8657,RawData[Quantity],C8657,RawData[Price Per Unit],D8657,RawData[Total Spent],E8657,RawData[Payment Method],F8657,RawData[Location],G8657,RawData[Transaction Date],H8657)</f>
        <v>1</v>
      </c>
      <c r="L8657"/>
    </row>
    <row r="8658" spans="1:12" x14ac:dyDescent="0.3">
      <c r="A8658" t="s">
        <v>8664</v>
      </c>
      <c r="B8658" t="s">
        <v>10069</v>
      </c>
      <c r="C8658">
        <v>1</v>
      </c>
      <c r="D8658">
        <v>5</v>
      </c>
      <c r="E8658">
        <v>5</v>
      </c>
      <c r="F8658" t="s">
        <v>10018</v>
      </c>
      <c r="G8658" t="s">
        <v>10021</v>
      </c>
      <c r="H8658" s="6">
        <v>45193</v>
      </c>
      <c r="I8658">
        <f t="shared" si="270"/>
        <v>0</v>
      </c>
      <c r="J8658" t="str">
        <f t="shared" si="271"/>
        <v>Complete</v>
      </c>
      <c r="K8658">
        <f>COUNTIFS(RawData[Item], B8658,RawData[Quantity],C8658,RawData[Price Per Unit],D8658,RawData[Total Spent],E8658,RawData[Payment Method],F8658,RawData[Location],G8658,RawData[Transaction Date],H8658)</f>
        <v>1</v>
      </c>
      <c r="L8658"/>
    </row>
    <row r="8659" spans="1:12" x14ac:dyDescent="0.3">
      <c r="A8659" t="s">
        <v>8665</v>
      </c>
      <c r="B8659" t="s">
        <v>10012</v>
      </c>
      <c r="C8659">
        <v>3</v>
      </c>
      <c r="D8659">
        <v>4</v>
      </c>
      <c r="E8659">
        <v>12</v>
      </c>
      <c r="F8659" t="s">
        <v>10019</v>
      </c>
      <c r="G8659" t="s">
        <v>10021</v>
      </c>
      <c r="H8659" s="6">
        <v>45126</v>
      </c>
      <c r="I8659">
        <f t="shared" si="270"/>
        <v>0</v>
      </c>
      <c r="J8659" t="str">
        <f t="shared" si="271"/>
        <v>Complete</v>
      </c>
      <c r="K8659">
        <f>COUNTIFS(RawData[Item], B8659,RawData[Quantity],C8659,RawData[Price Per Unit],D8659,RawData[Total Spent],E8659,RawData[Payment Method],F8659,RawData[Location],G8659,RawData[Transaction Date],H8659)</f>
        <v>1</v>
      </c>
      <c r="L8659"/>
    </row>
    <row r="8660" spans="1:12" x14ac:dyDescent="0.3">
      <c r="A8660" t="s">
        <v>8666</v>
      </c>
      <c r="B8660" t="s">
        <v>10008</v>
      </c>
      <c r="C8660">
        <v>1</v>
      </c>
      <c r="D8660">
        <v>2</v>
      </c>
      <c r="E8660">
        <v>2</v>
      </c>
      <c r="F8660" t="s">
        <v>10020</v>
      </c>
      <c r="G8660" t="s">
        <v>10021</v>
      </c>
      <c r="H8660" s="6">
        <v>45262</v>
      </c>
      <c r="I8660">
        <f t="shared" si="270"/>
        <v>0</v>
      </c>
      <c r="J8660" t="str">
        <f t="shared" si="271"/>
        <v>Complete</v>
      </c>
      <c r="K8660">
        <f>COUNTIFS(RawData[Item], B8660,RawData[Quantity],C8660,RawData[Price Per Unit],D8660,RawData[Total Spent],E8660,RawData[Payment Method],F8660,RawData[Location],G8660,RawData[Transaction Date],H8660)</f>
        <v>1</v>
      </c>
      <c r="L8660"/>
    </row>
    <row r="8661" spans="1:12" x14ac:dyDescent="0.3">
      <c r="A8661" t="s">
        <v>8667</v>
      </c>
      <c r="B8661" t="s">
        <v>10017</v>
      </c>
      <c r="C8661">
        <v>1</v>
      </c>
      <c r="D8661">
        <v>1.5</v>
      </c>
      <c r="E8661">
        <v>1.5</v>
      </c>
      <c r="F8661" t="s">
        <v>10018</v>
      </c>
      <c r="G8661" t="s">
        <v>10021</v>
      </c>
      <c r="H8661" s="6">
        <v>44937</v>
      </c>
      <c r="I8661">
        <f t="shared" si="270"/>
        <v>0</v>
      </c>
      <c r="J8661" t="str">
        <f t="shared" si="271"/>
        <v>Complete</v>
      </c>
      <c r="K8661">
        <f>COUNTIFS(RawData[Item], B8661,RawData[Quantity],C8661,RawData[Price Per Unit],D8661,RawData[Total Spent],E8661,RawData[Payment Method],F8661,RawData[Location],G8661,RawData[Transaction Date],H8661)</f>
        <v>1</v>
      </c>
      <c r="L8661"/>
    </row>
    <row r="8662" spans="1:12" x14ac:dyDescent="0.3">
      <c r="A8662" t="s">
        <v>8668</v>
      </c>
      <c r="B8662" t="s">
        <v>10010</v>
      </c>
      <c r="C8662">
        <v>1</v>
      </c>
      <c r="D8662">
        <v>1</v>
      </c>
      <c r="E8662">
        <v>1</v>
      </c>
      <c r="F8662" t="s">
        <v>10020</v>
      </c>
      <c r="G8662" t="s">
        <v>10104</v>
      </c>
      <c r="H8662" s="6">
        <v>45047</v>
      </c>
      <c r="I8662">
        <f t="shared" si="270"/>
        <v>1</v>
      </c>
      <c r="J8662" t="str">
        <f t="shared" si="271"/>
        <v>Complete</v>
      </c>
      <c r="K8662">
        <f>COUNTIFS(RawData[Item], B8662,RawData[Quantity],C8662,RawData[Price Per Unit],D8662,RawData[Total Spent],E8662,RawData[Payment Method],F8662,RawData[Location],G8662,RawData[Transaction Date],H8662)</f>
        <v>1</v>
      </c>
      <c r="L8662"/>
    </row>
    <row r="8663" spans="1:12" x14ac:dyDescent="0.3">
      <c r="A8663" t="s">
        <v>8669</v>
      </c>
      <c r="B8663" t="s">
        <v>10009</v>
      </c>
      <c r="C8663">
        <v>4</v>
      </c>
      <c r="D8663">
        <v>3</v>
      </c>
      <c r="E8663">
        <v>12</v>
      </c>
      <c r="F8663" t="s">
        <v>10019</v>
      </c>
      <c r="G8663" t="s">
        <v>10102</v>
      </c>
      <c r="H8663" s="6">
        <v>45190</v>
      </c>
      <c r="I8663">
        <f t="shared" si="270"/>
        <v>0</v>
      </c>
      <c r="J8663" t="str">
        <f t="shared" si="271"/>
        <v>Complete</v>
      </c>
      <c r="K8663">
        <f>COUNTIFS(RawData[Item], B8663,RawData[Quantity],C8663,RawData[Price Per Unit],D8663,RawData[Total Spent],E8663,RawData[Payment Method],F8663,RawData[Location],G8663,RawData[Transaction Date],H8663)</f>
        <v>1</v>
      </c>
      <c r="L8663"/>
    </row>
    <row r="8664" spans="1:12" x14ac:dyDescent="0.3">
      <c r="A8664" t="s">
        <v>8670</v>
      </c>
      <c r="B8664" t="s">
        <v>10014</v>
      </c>
      <c r="C8664">
        <v>3</v>
      </c>
      <c r="D8664">
        <v>4</v>
      </c>
      <c r="E8664">
        <v>12</v>
      </c>
      <c r="F8664" t="s">
        <v>10020</v>
      </c>
      <c r="G8664" t="s">
        <v>10069</v>
      </c>
      <c r="H8664" s="6">
        <v>44967</v>
      </c>
      <c r="I8664">
        <f t="shared" si="270"/>
        <v>0</v>
      </c>
      <c r="J8664" t="str">
        <f t="shared" si="271"/>
        <v>Complete</v>
      </c>
      <c r="K8664">
        <f>COUNTIFS(RawData[Item], B8664,RawData[Quantity],C8664,RawData[Price Per Unit],D8664,RawData[Total Spent],E8664,RawData[Payment Method],F8664,RawData[Location],G8664,RawData[Transaction Date],H8664)</f>
        <v>1</v>
      </c>
      <c r="L8664"/>
    </row>
    <row r="8665" spans="1:12" x14ac:dyDescent="0.3">
      <c r="A8665" t="s">
        <v>8671</v>
      </c>
      <c r="B8665" t="s">
        <v>10016</v>
      </c>
      <c r="C8665">
        <v>5</v>
      </c>
      <c r="D8665">
        <v>3</v>
      </c>
      <c r="E8665">
        <v>15</v>
      </c>
      <c r="F8665" t="s">
        <v>10018</v>
      </c>
      <c r="G8665" t="s">
        <v>10069</v>
      </c>
      <c r="H8665" s="6">
        <v>45012</v>
      </c>
      <c r="I8665">
        <f t="shared" si="270"/>
        <v>0</v>
      </c>
      <c r="J8665" t="str">
        <f t="shared" si="271"/>
        <v>Complete</v>
      </c>
      <c r="K8665">
        <f>COUNTIFS(RawData[Item], B8665,RawData[Quantity],C8665,RawData[Price Per Unit],D8665,RawData[Total Spent],E8665,RawData[Payment Method],F8665,RawData[Location],G8665,RawData[Transaction Date],H8665)</f>
        <v>1</v>
      </c>
      <c r="L8665"/>
    </row>
    <row r="8666" spans="1:12" x14ac:dyDescent="0.3">
      <c r="A8666" t="s">
        <v>8672</v>
      </c>
      <c r="B8666" t="s">
        <v>10069</v>
      </c>
      <c r="C8666">
        <v>3</v>
      </c>
      <c r="D8666">
        <v>2</v>
      </c>
      <c r="E8666" t="s">
        <v>10015</v>
      </c>
      <c r="F8666" t="s">
        <v>10019</v>
      </c>
      <c r="G8666" t="s">
        <v>10021</v>
      </c>
      <c r="H8666" s="6">
        <v>44953</v>
      </c>
      <c r="I8666">
        <f t="shared" si="270"/>
        <v>1</v>
      </c>
      <c r="J8666" t="str">
        <f t="shared" si="271"/>
        <v>Complete</v>
      </c>
      <c r="K8666">
        <f>COUNTIFS(RawData[Item], B8666,RawData[Quantity],C8666,RawData[Price Per Unit],D8666,RawData[Total Spent],E8666,RawData[Payment Method],F8666,RawData[Location],G8666,RawData[Transaction Date],H8666)</f>
        <v>1</v>
      </c>
      <c r="L8666"/>
    </row>
    <row r="8667" spans="1:12" x14ac:dyDescent="0.3">
      <c r="A8667" t="s">
        <v>8673</v>
      </c>
      <c r="B8667" t="s">
        <v>10009</v>
      </c>
      <c r="C8667">
        <v>2</v>
      </c>
      <c r="D8667">
        <v>3</v>
      </c>
      <c r="E8667">
        <v>6</v>
      </c>
      <c r="F8667" t="s">
        <v>10069</v>
      </c>
      <c r="G8667" t="s">
        <v>10069</v>
      </c>
      <c r="H8667" s="6">
        <v>45171</v>
      </c>
      <c r="I8667">
        <f t="shared" si="270"/>
        <v>0</v>
      </c>
      <c r="J8667" t="str">
        <f t="shared" si="271"/>
        <v>Complete</v>
      </c>
      <c r="K8667">
        <f>COUNTIFS(RawData[Item], B8667,RawData[Quantity],C8667,RawData[Price Per Unit],D8667,RawData[Total Spent],E8667,RawData[Payment Method],F8667,RawData[Location],G8667,RawData[Transaction Date],H8667)</f>
        <v>1</v>
      </c>
      <c r="L8667"/>
    </row>
    <row r="8668" spans="1:12" x14ac:dyDescent="0.3">
      <c r="A8668" t="s">
        <v>8674</v>
      </c>
      <c r="B8668" t="s">
        <v>10009</v>
      </c>
      <c r="C8668">
        <v>2</v>
      </c>
      <c r="D8668">
        <v>3</v>
      </c>
      <c r="E8668">
        <v>6</v>
      </c>
      <c r="F8668" t="s">
        <v>10018</v>
      </c>
      <c r="G8668" t="s">
        <v>10021</v>
      </c>
      <c r="H8668" s="6">
        <v>44937</v>
      </c>
      <c r="I8668">
        <f t="shared" si="270"/>
        <v>0</v>
      </c>
      <c r="J8668" t="str">
        <f t="shared" si="271"/>
        <v>Complete</v>
      </c>
      <c r="K8668">
        <f>COUNTIFS(RawData[Item], B8668,RawData[Quantity],C8668,RawData[Price Per Unit],D8668,RawData[Total Spent],E8668,RawData[Payment Method],F8668,RawData[Location],G8668,RawData[Transaction Date],H8668)</f>
        <v>1</v>
      </c>
      <c r="L8668"/>
    </row>
    <row r="8669" spans="1:12" x14ac:dyDescent="0.3">
      <c r="A8669" t="s">
        <v>8675</v>
      </c>
      <c r="B8669" t="s">
        <v>10008</v>
      </c>
      <c r="C8669">
        <v>5</v>
      </c>
      <c r="D8669" t="s">
        <v>10013</v>
      </c>
      <c r="E8669">
        <v>10</v>
      </c>
      <c r="F8669" t="s">
        <v>10019</v>
      </c>
      <c r="G8669" t="s">
        <v>10069</v>
      </c>
      <c r="H8669" s="6">
        <v>45203</v>
      </c>
      <c r="I8669">
        <f t="shared" si="270"/>
        <v>1</v>
      </c>
      <c r="J8669" t="str">
        <f t="shared" si="271"/>
        <v>Complete</v>
      </c>
      <c r="K8669">
        <f>COUNTIFS(RawData[Item], B8669,RawData[Quantity],C8669,RawData[Price Per Unit],D8669,RawData[Total Spent],E8669,RawData[Payment Method],F8669,RawData[Location],G8669,RawData[Transaction Date],H8669)</f>
        <v>1</v>
      </c>
      <c r="L8669"/>
    </row>
    <row r="8670" spans="1:12" x14ac:dyDescent="0.3">
      <c r="A8670" t="s">
        <v>8676</v>
      </c>
      <c r="B8670" t="s">
        <v>10011</v>
      </c>
      <c r="C8670">
        <v>3</v>
      </c>
      <c r="D8670">
        <v>5</v>
      </c>
      <c r="E8670">
        <v>15</v>
      </c>
      <c r="F8670" t="s">
        <v>10019</v>
      </c>
      <c r="G8670" t="s">
        <v>10102</v>
      </c>
      <c r="H8670" s="6">
        <v>45177</v>
      </c>
      <c r="I8670">
        <f t="shared" si="270"/>
        <v>0</v>
      </c>
      <c r="J8670" t="str">
        <f t="shared" si="271"/>
        <v>Complete</v>
      </c>
      <c r="K8670">
        <f>COUNTIFS(RawData[Item], B8670,RawData[Quantity],C8670,RawData[Price Per Unit],D8670,RawData[Total Spent],E8670,RawData[Payment Method],F8670,RawData[Location],G8670,RawData[Transaction Date],H8670)</f>
        <v>1</v>
      </c>
      <c r="L8670"/>
    </row>
    <row r="8671" spans="1:12" x14ac:dyDescent="0.3">
      <c r="A8671" t="s">
        <v>8677</v>
      </c>
      <c r="B8671" t="s">
        <v>10009</v>
      </c>
      <c r="C8671" t="s">
        <v>10015</v>
      </c>
      <c r="D8671" t="s">
        <v>10015</v>
      </c>
      <c r="E8671">
        <v>3</v>
      </c>
      <c r="F8671" t="s">
        <v>10018</v>
      </c>
      <c r="G8671" t="s">
        <v>10021</v>
      </c>
      <c r="H8671" s="6">
        <v>44935</v>
      </c>
      <c r="I8671">
        <f t="shared" si="270"/>
        <v>2</v>
      </c>
      <c r="J8671" t="str">
        <f t="shared" si="271"/>
        <v>Complete</v>
      </c>
      <c r="K8671">
        <f>COUNTIFS(RawData[Item], B8671,RawData[Quantity],C8671,RawData[Price Per Unit],D8671,RawData[Total Spent],E8671,RawData[Payment Method],F8671,RawData[Location],G8671,RawData[Transaction Date],H8671)</f>
        <v>1</v>
      </c>
      <c r="L8671"/>
    </row>
    <row r="8672" spans="1:12" x14ac:dyDescent="0.3">
      <c r="A8672" t="s">
        <v>8678</v>
      </c>
      <c r="B8672" t="s">
        <v>10010</v>
      </c>
      <c r="C8672">
        <v>3</v>
      </c>
      <c r="D8672">
        <v>1</v>
      </c>
      <c r="E8672">
        <v>3</v>
      </c>
      <c r="F8672" t="s">
        <v>10069</v>
      </c>
      <c r="G8672" t="s">
        <v>10021</v>
      </c>
      <c r="H8672" s="6">
        <v>45131</v>
      </c>
      <c r="I8672">
        <f t="shared" si="270"/>
        <v>0</v>
      </c>
      <c r="J8672" t="str">
        <f t="shared" si="271"/>
        <v>Complete</v>
      </c>
      <c r="K8672">
        <f>COUNTIFS(RawData[Item], B8672,RawData[Quantity],C8672,RawData[Price Per Unit],D8672,RawData[Total Spent],E8672,RawData[Payment Method],F8672,RawData[Location],G8672,RawData[Transaction Date],H8672)</f>
        <v>1</v>
      </c>
      <c r="L8672"/>
    </row>
    <row r="8673" spans="1:12" x14ac:dyDescent="0.3">
      <c r="A8673" t="s">
        <v>8679</v>
      </c>
      <c r="B8673" t="s">
        <v>10069</v>
      </c>
      <c r="C8673">
        <v>3</v>
      </c>
      <c r="D8673">
        <v>4</v>
      </c>
      <c r="E8673">
        <v>12</v>
      </c>
      <c r="F8673" t="s">
        <v>10018</v>
      </c>
      <c r="G8673" t="s">
        <v>10069</v>
      </c>
      <c r="H8673" s="6">
        <v>45188</v>
      </c>
      <c r="I8673">
        <f t="shared" si="270"/>
        <v>0</v>
      </c>
      <c r="J8673" t="str">
        <f t="shared" si="271"/>
        <v>Complete</v>
      </c>
      <c r="K8673">
        <f>COUNTIFS(RawData[Item], B8673,RawData[Quantity],C8673,RawData[Price Per Unit],D8673,RawData[Total Spent],E8673,RawData[Payment Method],F8673,RawData[Location],G8673,RawData[Transaction Date],H8673)</f>
        <v>1</v>
      </c>
      <c r="L8673"/>
    </row>
    <row r="8674" spans="1:12" x14ac:dyDescent="0.3">
      <c r="A8674" t="s">
        <v>8680</v>
      </c>
      <c r="B8674" t="s">
        <v>10010</v>
      </c>
      <c r="C8674">
        <v>2</v>
      </c>
      <c r="D8674">
        <v>1</v>
      </c>
      <c r="E8674">
        <v>2</v>
      </c>
      <c r="F8674" t="s">
        <v>10020</v>
      </c>
      <c r="G8674" t="s">
        <v>10069</v>
      </c>
      <c r="H8674" s="6">
        <v>45072</v>
      </c>
      <c r="I8674">
        <f t="shared" si="270"/>
        <v>0</v>
      </c>
      <c r="J8674" t="str">
        <f t="shared" si="271"/>
        <v>Complete</v>
      </c>
      <c r="K8674">
        <f>COUNTIFS(RawData[Item], B8674,RawData[Quantity],C8674,RawData[Price Per Unit],D8674,RawData[Total Spent],E8674,RawData[Payment Method],F8674,RawData[Location],G8674,RawData[Transaction Date],H8674)</f>
        <v>1</v>
      </c>
      <c r="L8674"/>
    </row>
    <row r="8675" spans="1:12" x14ac:dyDescent="0.3">
      <c r="A8675" t="s">
        <v>8681</v>
      </c>
      <c r="B8675" t="s">
        <v>10011</v>
      </c>
      <c r="C8675">
        <v>2</v>
      </c>
      <c r="D8675">
        <v>5</v>
      </c>
      <c r="E8675">
        <v>10</v>
      </c>
      <c r="F8675" t="s">
        <v>10104</v>
      </c>
      <c r="G8675" t="s">
        <v>10069</v>
      </c>
      <c r="H8675" s="6">
        <v>45030</v>
      </c>
      <c r="I8675">
        <f t="shared" si="270"/>
        <v>1</v>
      </c>
      <c r="J8675" t="str">
        <f t="shared" si="271"/>
        <v>Complete</v>
      </c>
      <c r="K8675">
        <f>COUNTIFS(RawData[Item], B8675,RawData[Quantity],C8675,RawData[Price Per Unit],D8675,RawData[Total Spent],E8675,RawData[Payment Method],F8675,RawData[Location],G8675,RawData[Transaction Date],H8675)</f>
        <v>1</v>
      </c>
      <c r="L8675"/>
    </row>
    <row r="8676" spans="1:12" x14ac:dyDescent="0.3">
      <c r="A8676" t="s">
        <v>8682</v>
      </c>
      <c r="B8676" t="s">
        <v>10008</v>
      </c>
      <c r="C8676">
        <v>4</v>
      </c>
      <c r="D8676">
        <v>2</v>
      </c>
      <c r="E8676">
        <v>8</v>
      </c>
      <c r="F8676" t="s">
        <v>10018</v>
      </c>
      <c r="G8676" t="s">
        <v>10021</v>
      </c>
      <c r="H8676" s="6">
        <v>45065</v>
      </c>
      <c r="I8676">
        <f t="shared" si="270"/>
        <v>0</v>
      </c>
      <c r="J8676" t="str">
        <f t="shared" si="271"/>
        <v>Complete</v>
      </c>
      <c r="K8676">
        <f>COUNTIFS(RawData[Item], B8676,RawData[Quantity],C8676,RawData[Price Per Unit],D8676,RawData[Total Spent],E8676,RawData[Payment Method],F8676,RawData[Location],G8676,RawData[Transaction Date],H8676)</f>
        <v>1</v>
      </c>
      <c r="L8676"/>
    </row>
    <row r="8677" spans="1:12" x14ac:dyDescent="0.3">
      <c r="A8677" t="s">
        <v>8683</v>
      </c>
      <c r="B8677" t="s">
        <v>10008</v>
      </c>
      <c r="C8677">
        <v>4</v>
      </c>
      <c r="D8677">
        <v>2</v>
      </c>
      <c r="E8677">
        <v>8</v>
      </c>
      <c r="F8677" t="s">
        <v>10020</v>
      </c>
      <c r="G8677" t="s">
        <v>10069</v>
      </c>
      <c r="H8677" s="6">
        <v>45192</v>
      </c>
      <c r="I8677">
        <f t="shared" si="270"/>
        <v>0</v>
      </c>
      <c r="J8677" t="str">
        <f t="shared" si="271"/>
        <v>Complete</v>
      </c>
      <c r="K8677">
        <f>COUNTIFS(RawData[Item], B8677,RawData[Quantity],C8677,RawData[Price Per Unit],D8677,RawData[Total Spent],E8677,RawData[Payment Method],F8677,RawData[Location],G8677,RawData[Transaction Date],H8677)</f>
        <v>1</v>
      </c>
      <c r="L8677"/>
    </row>
    <row r="8678" spans="1:12" x14ac:dyDescent="0.3">
      <c r="A8678" t="s">
        <v>8684</v>
      </c>
      <c r="B8678" t="s">
        <v>10016</v>
      </c>
      <c r="C8678">
        <v>5</v>
      </c>
      <c r="D8678" t="s">
        <v>10015</v>
      </c>
      <c r="E8678">
        <v>15</v>
      </c>
      <c r="F8678" t="s">
        <v>10019</v>
      </c>
      <c r="G8678" t="s">
        <v>10021</v>
      </c>
      <c r="H8678" s="6">
        <v>45016</v>
      </c>
      <c r="I8678">
        <f t="shared" si="270"/>
        <v>1</v>
      </c>
      <c r="J8678" t="str">
        <f t="shared" si="271"/>
        <v>Complete</v>
      </c>
      <c r="K8678">
        <f>COUNTIFS(RawData[Item], B8678,RawData[Quantity],C8678,RawData[Price Per Unit],D8678,RawData[Total Spent],E8678,RawData[Payment Method],F8678,RawData[Location],G8678,RawData[Transaction Date],H8678)</f>
        <v>1</v>
      </c>
      <c r="L8678"/>
    </row>
    <row r="8679" spans="1:12" x14ac:dyDescent="0.3">
      <c r="A8679" t="s">
        <v>8685</v>
      </c>
      <c r="B8679" t="s">
        <v>10011</v>
      </c>
      <c r="C8679">
        <v>1</v>
      </c>
      <c r="D8679">
        <v>5</v>
      </c>
      <c r="E8679">
        <v>0</v>
      </c>
      <c r="F8679" t="s">
        <v>10069</v>
      </c>
      <c r="G8679" t="s">
        <v>10102</v>
      </c>
      <c r="H8679" s="6">
        <v>45176</v>
      </c>
      <c r="I8679">
        <f t="shared" si="270"/>
        <v>0</v>
      </c>
      <c r="J8679" t="str">
        <f t="shared" si="271"/>
        <v>Complete</v>
      </c>
      <c r="K8679">
        <f>COUNTIFS(RawData[Item], B8679,RawData[Quantity],C8679,RawData[Price Per Unit],D8679,RawData[Total Spent],E8679,RawData[Payment Method],F8679,RawData[Location],G8679,RawData[Transaction Date],H8679)</f>
        <v>1</v>
      </c>
      <c r="L8679"/>
    </row>
    <row r="8680" spans="1:12" x14ac:dyDescent="0.3">
      <c r="A8680" t="s">
        <v>8686</v>
      </c>
      <c r="B8680" t="s">
        <v>10013</v>
      </c>
      <c r="C8680">
        <v>3</v>
      </c>
      <c r="D8680">
        <v>1</v>
      </c>
      <c r="E8680">
        <v>3</v>
      </c>
      <c r="F8680" t="s">
        <v>10019</v>
      </c>
      <c r="G8680" t="s">
        <v>10069</v>
      </c>
      <c r="H8680" s="6">
        <v>45170</v>
      </c>
      <c r="I8680">
        <f t="shared" si="270"/>
        <v>1</v>
      </c>
      <c r="J8680" t="str">
        <f t="shared" si="271"/>
        <v>Complete</v>
      </c>
      <c r="K8680">
        <f>COUNTIFS(RawData[Item], B8680,RawData[Quantity],C8680,RawData[Price Per Unit],D8680,RawData[Total Spent],E8680,RawData[Payment Method],F8680,RawData[Location],G8680,RawData[Transaction Date],H8680)</f>
        <v>1</v>
      </c>
      <c r="L8680"/>
    </row>
    <row r="8681" spans="1:12" x14ac:dyDescent="0.3">
      <c r="A8681" t="s">
        <v>8687</v>
      </c>
      <c r="B8681" t="s">
        <v>10012</v>
      </c>
      <c r="C8681">
        <v>5</v>
      </c>
      <c r="D8681">
        <v>4</v>
      </c>
      <c r="E8681">
        <v>20</v>
      </c>
      <c r="F8681" t="s">
        <v>10019</v>
      </c>
      <c r="G8681" t="s">
        <v>10103</v>
      </c>
      <c r="H8681" s="6">
        <v>45267</v>
      </c>
      <c r="I8681">
        <f t="shared" si="270"/>
        <v>1</v>
      </c>
      <c r="J8681" t="str">
        <f t="shared" si="271"/>
        <v>Complete</v>
      </c>
      <c r="K8681">
        <f>COUNTIFS(RawData[Item], B8681,RawData[Quantity],C8681,RawData[Price Per Unit],D8681,RawData[Total Spent],E8681,RawData[Payment Method],F8681,RawData[Location],G8681,RawData[Transaction Date],H8681)</f>
        <v>1</v>
      </c>
      <c r="L8681"/>
    </row>
    <row r="8682" spans="1:12" x14ac:dyDescent="0.3">
      <c r="A8682" t="s">
        <v>8688</v>
      </c>
      <c r="B8682" t="s">
        <v>10017</v>
      </c>
      <c r="C8682">
        <v>4</v>
      </c>
      <c r="D8682">
        <v>1.5</v>
      </c>
      <c r="E8682">
        <v>6</v>
      </c>
      <c r="F8682" t="s">
        <v>10018</v>
      </c>
      <c r="G8682" t="s">
        <v>10102</v>
      </c>
      <c r="H8682" s="6">
        <v>45012</v>
      </c>
      <c r="I8682">
        <f t="shared" si="270"/>
        <v>0</v>
      </c>
      <c r="J8682" t="str">
        <f t="shared" si="271"/>
        <v>Complete</v>
      </c>
      <c r="K8682">
        <f>COUNTIFS(RawData[Item], B8682,RawData[Quantity],C8682,RawData[Price Per Unit],D8682,RawData[Total Spent],E8682,RawData[Payment Method],F8682,RawData[Location],G8682,RawData[Transaction Date],H8682)</f>
        <v>1</v>
      </c>
      <c r="L8682"/>
    </row>
    <row r="8683" spans="1:12" x14ac:dyDescent="0.3">
      <c r="A8683" t="s">
        <v>8689</v>
      </c>
      <c r="B8683" t="s">
        <v>10016</v>
      </c>
      <c r="C8683">
        <v>3</v>
      </c>
      <c r="D8683" t="s">
        <v>10013</v>
      </c>
      <c r="E8683">
        <v>9</v>
      </c>
      <c r="F8683" t="s">
        <v>10104</v>
      </c>
      <c r="G8683" t="s">
        <v>10021</v>
      </c>
      <c r="H8683" s="6">
        <v>45032</v>
      </c>
      <c r="I8683">
        <f t="shared" si="270"/>
        <v>2</v>
      </c>
      <c r="J8683" t="str">
        <f t="shared" si="271"/>
        <v>Complete</v>
      </c>
      <c r="K8683">
        <f>COUNTIFS(RawData[Item], B8683,RawData[Quantity],C8683,RawData[Price Per Unit],D8683,RawData[Total Spent],E8683,RawData[Payment Method],F8683,RawData[Location],G8683,RawData[Transaction Date],H8683)</f>
        <v>1</v>
      </c>
      <c r="L8683"/>
    </row>
    <row r="8684" spans="1:12" x14ac:dyDescent="0.3">
      <c r="A8684" t="s">
        <v>8690</v>
      </c>
      <c r="B8684" t="s">
        <v>10011</v>
      </c>
      <c r="C8684">
        <v>4</v>
      </c>
      <c r="D8684">
        <v>5</v>
      </c>
      <c r="E8684">
        <v>20</v>
      </c>
      <c r="F8684" t="s">
        <v>10019</v>
      </c>
      <c r="G8684" t="s">
        <v>10021</v>
      </c>
      <c r="H8684" s="6">
        <v>45174</v>
      </c>
      <c r="I8684">
        <f t="shared" si="270"/>
        <v>0</v>
      </c>
      <c r="J8684" t="str">
        <f t="shared" si="271"/>
        <v>Complete</v>
      </c>
      <c r="K8684">
        <f>COUNTIFS(RawData[Item], B8684,RawData[Quantity],C8684,RawData[Price Per Unit],D8684,RawData[Total Spent],E8684,RawData[Payment Method],F8684,RawData[Location],G8684,RawData[Transaction Date],H8684)</f>
        <v>1</v>
      </c>
      <c r="L8684"/>
    </row>
    <row r="8685" spans="1:12" x14ac:dyDescent="0.3">
      <c r="A8685" t="s">
        <v>8691</v>
      </c>
      <c r="B8685" t="s">
        <v>10014</v>
      </c>
      <c r="C8685">
        <v>3</v>
      </c>
      <c r="D8685">
        <v>4</v>
      </c>
      <c r="E8685">
        <v>12</v>
      </c>
      <c r="F8685" t="s">
        <v>10018</v>
      </c>
      <c r="G8685" t="s">
        <v>10069</v>
      </c>
      <c r="H8685" s="6">
        <v>45265</v>
      </c>
      <c r="I8685">
        <f t="shared" si="270"/>
        <v>0</v>
      </c>
      <c r="J8685" t="str">
        <f t="shared" si="271"/>
        <v>Complete</v>
      </c>
      <c r="K8685">
        <f>COUNTIFS(RawData[Item], B8685,RawData[Quantity],C8685,RawData[Price Per Unit],D8685,RawData[Total Spent],E8685,RawData[Payment Method],F8685,RawData[Location],G8685,RawData[Transaction Date],H8685)</f>
        <v>1</v>
      </c>
      <c r="L8685"/>
    </row>
    <row r="8686" spans="1:12" x14ac:dyDescent="0.3">
      <c r="A8686" t="s">
        <v>8692</v>
      </c>
      <c r="B8686" t="s">
        <v>10014</v>
      </c>
      <c r="C8686">
        <v>4</v>
      </c>
      <c r="D8686">
        <v>4</v>
      </c>
      <c r="E8686">
        <v>16</v>
      </c>
      <c r="F8686" t="s">
        <v>10019</v>
      </c>
      <c r="G8686" t="s">
        <v>10069</v>
      </c>
      <c r="H8686" s="6">
        <v>45278</v>
      </c>
      <c r="I8686">
        <f t="shared" si="270"/>
        <v>0</v>
      </c>
      <c r="J8686" t="str">
        <f t="shared" si="271"/>
        <v>Complete</v>
      </c>
      <c r="K8686">
        <f>COUNTIFS(RawData[Item], B8686,RawData[Quantity],C8686,RawData[Price Per Unit],D8686,RawData[Total Spent],E8686,RawData[Payment Method],F8686,RawData[Location],G8686,RawData[Transaction Date],H8686)</f>
        <v>1</v>
      </c>
      <c r="L8686"/>
    </row>
    <row r="8687" spans="1:12" x14ac:dyDescent="0.3">
      <c r="A8687" t="s">
        <v>8693</v>
      </c>
      <c r="B8687" t="s">
        <v>10012</v>
      </c>
      <c r="C8687">
        <v>4</v>
      </c>
      <c r="D8687">
        <v>4</v>
      </c>
      <c r="E8687">
        <v>16</v>
      </c>
      <c r="F8687" t="s">
        <v>10069</v>
      </c>
      <c r="G8687" t="s">
        <v>10021</v>
      </c>
      <c r="H8687" s="6">
        <v>45060</v>
      </c>
      <c r="I8687">
        <f t="shared" si="270"/>
        <v>0</v>
      </c>
      <c r="J8687" t="str">
        <f t="shared" si="271"/>
        <v>Complete</v>
      </c>
      <c r="K8687">
        <f>COUNTIFS(RawData[Item], B8687,RawData[Quantity],C8687,RawData[Price Per Unit],D8687,RawData[Total Spent],E8687,RawData[Payment Method],F8687,RawData[Location],G8687,RawData[Transaction Date],H8687)</f>
        <v>2</v>
      </c>
      <c r="L8687"/>
    </row>
    <row r="8688" spans="1:12" x14ac:dyDescent="0.3">
      <c r="A8688" t="s">
        <v>8694</v>
      </c>
      <c r="B8688" t="s">
        <v>10010</v>
      </c>
      <c r="C8688">
        <v>5</v>
      </c>
      <c r="D8688">
        <v>1</v>
      </c>
      <c r="E8688" t="s">
        <v>10015</v>
      </c>
      <c r="F8688" t="s">
        <v>10019</v>
      </c>
      <c r="G8688" t="s">
        <v>10102</v>
      </c>
      <c r="H8688" s="6">
        <v>45100</v>
      </c>
      <c r="I8688">
        <f t="shared" si="270"/>
        <v>1</v>
      </c>
      <c r="J8688" t="str">
        <f t="shared" si="271"/>
        <v>Complete</v>
      </c>
      <c r="K8688">
        <f>COUNTIFS(RawData[Item], B8688,RawData[Quantity],C8688,RawData[Price Per Unit],D8688,RawData[Total Spent],E8688,RawData[Payment Method],F8688,RawData[Location],G8688,RawData[Transaction Date],H8688)</f>
        <v>1</v>
      </c>
      <c r="L8688"/>
    </row>
    <row r="8689" spans="1:12" x14ac:dyDescent="0.3">
      <c r="A8689" t="s">
        <v>8695</v>
      </c>
      <c r="B8689" t="s">
        <v>10016</v>
      </c>
      <c r="C8689">
        <v>5</v>
      </c>
      <c r="D8689">
        <v>3</v>
      </c>
      <c r="E8689">
        <v>15</v>
      </c>
      <c r="F8689" t="s">
        <v>10019</v>
      </c>
      <c r="G8689" t="s">
        <v>10021</v>
      </c>
      <c r="H8689" s="6">
        <v>45200</v>
      </c>
      <c r="I8689">
        <f t="shared" si="270"/>
        <v>0</v>
      </c>
      <c r="J8689" t="str">
        <f t="shared" si="271"/>
        <v>Complete</v>
      </c>
      <c r="K8689">
        <f>COUNTIFS(RawData[Item], B8689,RawData[Quantity],C8689,RawData[Price Per Unit],D8689,RawData[Total Spent],E8689,RawData[Payment Method],F8689,RawData[Location],G8689,RawData[Transaction Date],H8689)</f>
        <v>1</v>
      </c>
      <c r="L8689"/>
    </row>
    <row r="8690" spans="1:12" x14ac:dyDescent="0.3">
      <c r="A8690" t="s">
        <v>8696</v>
      </c>
      <c r="B8690" t="s">
        <v>10008</v>
      </c>
      <c r="C8690">
        <v>3</v>
      </c>
      <c r="D8690">
        <v>2</v>
      </c>
      <c r="E8690">
        <v>6</v>
      </c>
      <c r="F8690" t="s">
        <v>10018</v>
      </c>
      <c r="G8690" t="s">
        <v>10021</v>
      </c>
      <c r="H8690" s="6">
        <v>44975</v>
      </c>
      <c r="I8690">
        <f t="shared" si="270"/>
        <v>0</v>
      </c>
      <c r="J8690" t="str">
        <f t="shared" si="271"/>
        <v>Complete</v>
      </c>
      <c r="K8690">
        <f>COUNTIFS(RawData[Item], B8690,RawData[Quantity],C8690,RawData[Price Per Unit],D8690,RawData[Total Spent],E8690,RawData[Payment Method],F8690,RawData[Location],G8690,RawData[Transaction Date],H8690)</f>
        <v>1</v>
      </c>
      <c r="L8690"/>
    </row>
    <row r="8691" spans="1:12" x14ac:dyDescent="0.3">
      <c r="A8691" t="s">
        <v>8697</v>
      </c>
      <c r="B8691" t="s">
        <v>10016</v>
      </c>
      <c r="C8691" t="s">
        <v>10015</v>
      </c>
      <c r="D8691">
        <v>3</v>
      </c>
      <c r="E8691">
        <v>3</v>
      </c>
      <c r="F8691" t="s">
        <v>10069</v>
      </c>
      <c r="G8691" t="s">
        <v>10069</v>
      </c>
      <c r="H8691" s="6">
        <v>45199</v>
      </c>
      <c r="I8691">
        <f t="shared" si="270"/>
        <v>1</v>
      </c>
      <c r="J8691" t="str">
        <f t="shared" si="271"/>
        <v>Complete</v>
      </c>
      <c r="K8691">
        <f>COUNTIFS(RawData[Item], B8691,RawData[Quantity],C8691,RawData[Price Per Unit],D8691,RawData[Total Spent],E8691,RawData[Payment Method],F8691,RawData[Location],G8691,RawData[Transaction Date],H8691)</f>
        <v>1</v>
      </c>
      <c r="L8691"/>
    </row>
    <row r="8692" spans="1:12" x14ac:dyDescent="0.3">
      <c r="A8692" t="s">
        <v>8698</v>
      </c>
      <c r="B8692" t="s">
        <v>10012</v>
      </c>
      <c r="C8692">
        <v>5</v>
      </c>
      <c r="D8692">
        <v>4</v>
      </c>
      <c r="E8692">
        <v>20</v>
      </c>
      <c r="F8692" t="s">
        <v>10018</v>
      </c>
      <c r="G8692" t="s">
        <v>10069</v>
      </c>
      <c r="H8692" s="6">
        <v>45167</v>
      </c>
      <c r="I8692">
        <f t="shared" si="270"/>
        <v>0</v>
      </c>
      <c r="J8692" t="str">
        <f t="shared" si="271"/>
        <v>Complete</v>
      </c>
      <c r="K8692">
        <f>COUNTIFS(RawData[Item], B8692,RawData[Quantity],C8692,RawData[Price Per Unit],D8692,RawData[Total Spent],E8692,RawData[Payment Method],F8692,RawData[Location],G8692,RawData[Transaction Date],H8692)</f>
        <v>1</v>
      </c>
      <c r="L8692"/>
    </row>
    <row r="8693" spans="1:12" x14ac:dyDescent="0.3">
      <c r="A8693" t="s">
        <v>8699</v>
      </c>
      <c r="B8693" t="s">
        <v>10014</v>
      </c>
      <c r="C8693">
        <v>2</v>
      </c>
      <c r="D8693">
        <v>4</v>
      </c>
      <c r="E8693">
        <v>8</v>
      </c>
      <c r="F8693" t="s">
        <v>10069</v>
      </c>
      <c r="G8693" t="s">
        <v>10102</v>
      </c>
      <c r="H8693" s="6">
        <v>45279</v>
      </c>
      <c r="I8693">
        <f t="shared" si="270"/>
        <v>0</v>
      </c>
      <c r="J8693" t="str">
        <f t="shared" si="271"/>
        <v>Complete</v>
      </c>
      <c r="K8693">
        <f>COUNTIFS(RawData[Item], B8693,RawData[Quantity],C8693,RawData[Price Per Unit],D8693,RawData[Total Spent],E8693,RawData[Payment Method],F8693,RawData[Location],G8693,RawData[Transaction Date],H8693)</f>
        <v>1</v>
      </c>
      <c r="L8693"/>
    </row>
    <row r="8694" spans="1:12" x14ac:dyDescent="0.3">
      <c r="A8694" t="s">
        <v>8700</v>
      </c>
      <c r="B8694" t="s">
        <v>10012</v>
      </c>
      <c r="C8694">
        <v>4</v>
      </c>
      <c r="D8694">
        <v>4</v>
      </c>
      <c r="E8694">
        <v>16</v>
      </c>
      <c r="F8694" t="s">
        <v>10019</v>
      </c>
      <c r="G8694" t="s">
        <v>10021</v>
      </c>
      <c r="H8694" s="6">
        <v>45250</v>
      </c>
      <c r="I8694">
        <f t="shared" si="270"/>
        <v>0</v>
      </c>
      <c r="J8694" t="str">
        <f t="shared" si="271"/>
        <v>Complete</v>
      </c>
      <c r="K8694">
        <f>COUNTIFS(RawData[Item], B8694,RawData[Quantity],C8694,RawData[Price Per Unit],D8694,RawData[Total Spent],E8694,RawData[Payment Method],F8694,RawData[Location],G8694,RawData[Transaction Date],H8694)</f>
        <v>1</v>
      </c>
      <c r="L8694"/>
    </row>
    <row r="8695" spans="1:12" x14ac:dyDescent="0.3">
      <c r="A8695" t="s">
        <v>8701</v>
      </c>
      <c r="B8695" t="s">
        <v>10012</v>
      </c>
      <c r="C8695">
        <v>5</v>
      </c>
      <c r="D8695">
        <v>4</v>
      </c>
      <c r="E8695">
        <v>20</v>
      </c>
      <c r="F8695" t="s">
        <v>10069</v>
      </c>
      <c r="G8695" t="s">
        <v>10021</v>
      </c>
      <c r="H8695" s="6">
        <v>44956</v>
      </c>
      <c r="I8695">
        <f t="shared" si="270"/>
        <v>0</v>
      </c>
      <c r="J8695" t="str">
        <f t="shared" si="271"/>
        <v>Complete</v>
      </c>
      <c r="K8695">
        <f>COUNTIFS(RawData[Item], B8695,RawData[Quantity],C8695,RawData[Price Per Unit],D8695,RawData[Total Spent],E8695,RawData[Payment Method],F8695,RawData[Location],G8695,RawData[Transaction Date],H8695)</f>
        <v>1</v>
      </c>
      <c r="L8695"/>
    </row>
    <row r="8696" spans="1:12" x14ac:dyDescent="0.3">
      <c r="A8696" t="s">
        <v>8702</v>
      </c>
      <c r="B8696" t="s">
        <v>10011</v>
      </c>
      <c r="C8696">
        <v>2</v>
      </c>
      <c r="D8696">
        <v>5</v>
      </c>
      <c r="E8696">
        <v>10</v>
      </c>
      <c r="F8696" t="s">
        <v>10019</v>
      </c>
      <c r="G8696" t="s">
        <v>10069</v>
      </c>
      <c r="H8696" s="6">
        <v>44981</v>
      </c>
      <c r="I8696">
        <f t="shared" si="270"/>
        <v>0</v>
      </c>
      <c r="J8696" t="str">
        <f t="shared" si="271"/>
        <v>Complete</v>
      </c>
      <c r="K8696">
        <f>COUNTIFS(RawData[Item], B8696,RawData[Quantity],C8696,RawData[Price Per Unit],D8696,RawData[Total Spent],E8696,RawData[Payment Method],F8696,RawData[Location],G8696,RawData[Transaction Date],H8696)</f>
        <v>1</v>
      </c>
      <c r="L8696"/>
    </row>
    <row r="8697" spans="1:12" x14ac:dyDescent="0.3">
      <c r="A8697" t="s">
        <v>8703</v>
      </c>
      <c r="B8697" t="s">
        <v>10008</v>
      </c>
      <c r="C8697">
        <v>2</v>
      </c>
      <c r="D8697">
        <v>2</v>
      </c>
      <c r="E8697">
        <v>4</v>
      </c>
      <c r="F8697" t="s">
        <v>10019</v>
      </c>
      <c r="G8697" t="s">
        <v>10021</v>
      </c>
      <c r="H8697" s="6">
        <v>44960</v>
      </c>
      <c r="I8697">
        <f t="shared" si="270"/>
        <v>0</v>
      </c>
      <c r="J8697" t="str">
        <f t="shared" si="271"/>
        <v>Complete</v>
      </c>
      <c r="K8697">
        <f>COUNTIFS(RawData[Item], B8697,RawData[Quantity],C8697,RawData[Price Per Unit],D8697,RawData[Total Spent],E8697,RawData[Payment Method],F8697,RawData[Location],G8697,RawData[Transaction Date],H8697)</f>
        <v>1</v>
      </c>
      <c r="L8697"/>
    </row>
    <row r="8698" spans="1:12" x14ac:dyDescent="0.3">
      <c r="A8698" t="s">
        <v>8704</v>
      </c>
      <c r="B8698" t="s">
        <v>10013</v>
      </c>
      <c r="C8698">
        <v>3</v>
      </c>
      <c r="D8698">
        <v>5</v>
      </c>
      <c r="E8698">
        <v>15</v>
      </c>
      <c r="F8698" t="s">
        <v>10020</v>
      </c>
      <c r="G8698" t="s">
        <v>10104</v>
      </c>
      <c r="H8698" s="6">
        <v>45174</v>
      </c>
      <c r="I8698">
        <f t="shared" si="270"/>
        <v>2</v>
      </c>
      <c r="J8698" t="str">
        <f t="shared" si="271"/>
        <v>Complete</v>
      </c>
      <c r="K8698">
        <f>COUNTIFS(RawData[Item], B8698,RawData[Quantity],C8698,RawData[Price Per Unit],D8698,RawData[Total Spent],E8698,RawData[Payment Method],F8698,RawData[Location],G8698,RawData[Transaction Date],H8698)</f>
        <v>1</v>
      </c>
      <c r="L8698"/>
    </row>
    <row r="8699" spans="1:12" x14ac:dyDescent="0.3">
      <c r="A8699" t="s">
        <v>8705</v>
      </c>
      <c r="B8699" t="s">
        <v>10009</v>
      </c>
      <c r="C8699">
        <v>1</v>
      </c>
      <c r="D8699">
        <v>3</v>
      </c>
      <c r="E8699">
        <v>3</v>
      </c>
      <c r="F8699" t="s">
        <v>10020</v>
      </c>
      <c r="G8699" t="s">
        <v>10021</v>
      </c>
      <c r="H8699" s="6">
        <v>45120</v>
      </c>
      <c r="I8699">
        <f t="shared" si="270"/>
        <v>0</v>
      </c>
      <c r="J8699" t="str">
        <f t="shared" si="271"/>
        <v>Complete</v>
      </c>
      <c r="K8699">
        <f>COUNTIFS(RawData[Item], B8699,RawData[Quantity],C8699,RawData[Price Per Unit],D8699,RawData[Total Spent],E8699,RawData[Payment Method],F8699,RawData[Location],G8699,RawData[Transaction Date],H8699)</f>
        <v>1</v>
      </c>
      <c r="L8699"/>
    </row>
    <row r="8700" spans="1:12" x14ac:dyDescent="0.3">
      <c r="A8700" t="s">
        <v>8706</v>
      </c>
      <c r="B8700" t="s">
        <v>10015</v>
      </c>
      <c r="C8700">
        <v>3</v>
      </c>
      <c r="D8700">
        <v>4</v>
      </c>
      <c r="E8700">
        <v>12</v>
      </c>
      <c r="F8700" t="s">
        <v>10020</v>
      </c>
      <c r="G8700" t="s">
        <v>10102</v>
      </c>
      <c r="H8700" s="6">
        <v>45263</v>
      </c>
      <c r="I8700">
        <f t="shared" si="270"/>
        <v>1</v>
      </c>
      <c r="J8700" t="str">
        <f t="shared" si="271"/>
        <v>Complete</v>
      </c>
      <c r="K8700">
        <f>COUNTIFS(RawData[Item], B8700,RawData[Quantity],C8700,RawData[Price Per Unit],D8700,RawData[Total Spent],E8700,RawData[Payment Method],F8700,RawData[Location],G8700,RawData[Transaction Date],H8700)</f>
        <v>1</v>
      </c>
      <c r="L8700"/>
    </row>
    <row r="8701" spans="1:12" x14ac:dyDescent="0.3">
      <c r="A8701" t="s">
        <v>8707</v>
      </c>
      <c r="B8701" t="s">
        <v>10012</v>
      </c>
      <c r="C8701">
        <v>3</v>
      </c>
      <c r="D8701">
        <v>4</v>
      </c>
      <c r="E8701">
        <v>12</v>
      </c>
      <c r="F8701" t="s">
        <v>10020</v>
      </c>
      <c r="G8701" t="s">
        <v>10102</v>
      </c>
      <c r="H8701" s="6">
        <v>45048</v>
      </c>
      <c r="I8701">
        <f t="shared" si="270"/>
        <v>0</v>
      </c>
      <c r="J8701" t="str">
        <f t="shared" si="271"/>
        <v>Complete</v>
      </c>
      <c r="K8701">
        <f>COUNTIFS(RawData[Item], B8701,RawData[Quantity],C8701,RawData[Price Per Unit],D8701,RawData[Total Spent],E8701,RawData[Payment Method],F8701,RawData[Location],G8701,RawData[Transaction Date],H8701)</f>
        <v>1</v>
      </c>
      <c r="L8701"/>
    </row>
    <row r="8702" spans="1:12" x14ac:dyDescent="0.3">
      <c r="A8702" t="s">
        <v>8708</v>
      </c>
      <c r="B8702" t="s">
        <v>10014</v>
      </c>
      <c r="C8702">
        <v>3</v>
      </c>
      <c r="D8702">
        <v>4</v>
      </c>
      <c r="E8702">
        <v>12</v>
      </c>
      <c r="F8702" t="s">
        <v>10020</v>
      </c>
      <c r="G8702" t="s">
        <v>10069</v>
      </c>
      <c r="H8702" s="6">
        <v>45202</v>
      </c>
      <c r="I8702">
        <f t="shared" si="270"/>
        <v>0</v>
      </c>
      <c r="J8702" t="str">
        <f t="shared" si="271"/>
        <v>Complete</v>
      </c>
      <c r="K8702">
        <f>COUNTIFS(RawData[Item], B8702,RawData[Quantity],C8702,RawData[Price Per Unit],D8702,RawData[Total Spent],E8702,RawData[Payment Method],F8702,RawData[Location],G8702,RawData[Transaction Date],H8702)</f>
        <v>1</v>
      </c>
      <c r="L8702"/>
    </row>
    <row r="8703" spans="1:12" x14ac:dyDescent="0.3">
      <c r="A8703" t="s">
        <v>8709</v>
      </c>
      <c r="B8703" t="s">
        <v>10016</v>
      </c>
      <c r="C8703">
        <v>5</v>
      </c>
      <c r="D8703">
        <v>3</v>
      </c>
      <c r="E8703">
        <v>15</v>
      </c>
      <c r="F8703" t="s">
        <v>10020</v>
      </c>
      <c r="G8703" t="s">
        <v>10102</v>
      </c>
      <c r="H8703" s="6">
        <v>45264</v>
      </c>
      <c r="I8703">
        <f t="shared" si="270"/>
        <v>0</v>
      </c>
      <c r="J8703" t="str">
        <f t="shared" si="271"/>
        <v>Complete</v>
      </c>
      <c r="K8703">
        <f>COUNTIFS(RawData[Item], B8703,RawData[Quantity],C8703,RawData[Price Per Unit],D8703,RawData[Total Spent],E8703,RawData[Payment Method],F8703,RawData[Location],G8703,RawData[Transaction Date],H8703)</f>
        <v>1</v>
      </c>
      <c r="L8703"/>
    </row>
    <row r="8704" spans="1:12" x14ac:dyDescent="0.3">
      <c r="A8704" t="s">
        <v>8710</v>
      </c>
      <c r="B8704" t="s">
        <v>10016</v>
      </c>
      <c r="C8704">
        <v>3</v>
      </c>
      <c r="D8704">
        <v>3</v>
      </c>
      <c r="E8704">
        <v>9</v>
      </c>
      <c r="F8704" t="s">
        <v>10019</v>
      </c>
      <c r="G8704" t="s">
        <v>10069</v>
      </c>
      <c r="H8704" s="6">
        <v>45110</v>
      </c>
      <c r="I8704">
        <f t="shared" si="270"/>
        <v>0</v>
      </c>
      <c r="J8704" t="str">
        <f t="shared" si="271"/>
        <v>Complete</v>
      </c>
      <c r="K8704">
        <f>COUNTIFS(RawData[Item], B8704,RawData[Quantity],C8704,RawData[Price Per Unit],D8704,RawData[Total Spent],E8704,RawData[Payment Method],F8704,RawData[Location],G8704,RawData[Transaction Date],H8704)</f>
        <v>1</v>
      </c>
      <c r="L8704"/>
    </row>
    <row r="8705" spans="1:12" x14ac:dyDescent="0.3">
      <c r="A8705" t="s">
        <v>8711</v>
      </c>
      <c r="B8705" t="s">
        <v>10069</v>
      </c>
      <c r="C8705">
        <v>1</v>
      </c>
      <c r="D8705">
        <v>2</v>
      </c>
      <c r="E8705">
        <v>2</v>
      </c>
      <c r="F8705" t="s">
        <v>10018</v>
      </c>
      <c r="G8705" t="s">
        <v>10021</v>
      </c>
      <c r="H8705" s="6">
        <v>45141</v>
      </c>
      <c r="I8705">
        <f t="shared" si="270"/>
        <v>0</v>
      </c>
      <c r="J8705" t="str">
        <f t="shared" si="271"/>
        <v>Complete</v>
      </c>
      <c r="K8705">
        <f>COUNTIFS(RawData[Item], B8705,RawData[Quantity],C8705,RawData[Price Per Unit],D8705,RawData[Total Spent],E8705,RawData[Payment Method],F8705,RawData[Location],G8705,RawData[Transaction Date],H8705)</f>
        <v>1</v>
      </c>
      <c r="L8705"/>
    </row>
    <row r="8706" spans="1:12" x14ac:dyDescent="0.3">
      <c r="A8706" t="s">
        <v>8712</v>
      </c>
      <c r="B8706" t="s">
        <v>10012</v>
      </c>
      <c r="C8706">
        <v>2</v>
      </c>
      <c r="D8706">
        <v>4</v>
      </c>
      <c r="E8706">
        <v>8</v>
      </c>
      <c r="F8706" t="s">
        <v>10018</v>
      </c>
      <c r="G8706" t="s">
        <v>10102</v>
      </c>
      <c r="H8706" s="6">
        <v>45179</v>
      </c>
      <c r="I8706">
        <f t="shared" ref="I8706:I8769" si="272">(B8706="Unknown")+(B8706="Error")+(C8706="Unknown")+(C8706="Error")+(D8706="Unknown")+(D8706="Error")+(E8706="Unknown")+(E8706="Error")+(F8706="Unknown")+(F8706="Error")+(G8706="Unknown")+(G8706="Error")+(H8706="No Date")</f>
        <v>0</v>
      </c>
      <c r="J8706" t="str">
        <f t="shared" ref="J8706:J8769" si="273">IF((H8706="No Date"),"Incomplete","Complete")</f>
        <v>Complete</v>
      </c>
      <c r="K8706">
        <f>COUNTIFS(RawData[Item], B8706,RawData[Quantity],C8706,RawData[Price Per Unit],D8706,RawData[Total Spent],E8706,RawData[Payment Method],F8706,RawData[Location],G8706,RawData[Transaction Date],H8706)</f>
        <v>1</v>
      </c>
      <c r="L8706"/>
    </row>
    <row r="8707" spans="1:12" x14ac:dyDescent="0.3">
      <c r="A8707" t="s">
        <v>8713</v>
      </c>
      <c r="B8707" t="s">
        <v>10017</v>
      </c>
      <c r="C8707">
        <v>2</v>
      </c>
      <c r="D8707">
        <v>1.5</v>
      </c>
      <c r="E8707">
        <v>3</v>
      </c>
      <c r="F8707" t="s">
        <v>10019</v>
      </c>
      <c r="G8707" t="s">
        <v>10104</v>
      </c>
      <c r="H8707" s="6">
        <v>45151</v>
      </c>
      <c r="I8707">
        <f t="shared" si="272"/>
        <v>1</v>
      </c>
      <c r="J8707" t="str">
        <f t="shared" si="273"/>
        <v>Complete</v>
      </c>
      <c r="K8707">
        <f>COUNTIFS(RawData[Item], B8707,RawData[Quantity],C8707,RawData[Price Per Unit],D8707,RawData[Total Spent],E8707,RawData[Payment Method],F8707,RawData[Location],G8707,RawData[Transaction Date],H8707)</f>
        <v>1</v>
      </c>
      <c r="L8707"/>
    </row>
    <row r="8708" spans="1:12" x14ac:dyDescent="0.3">
      <c r="A8708" t="s">
        <v>8714</v>
      </c>
      <c r="B8708" t="s">
        <v>10015</v>
      </c>
      <c r="C8708">
        <v>3</v>
      </c>
      <c r="D8708">
        <v>1.5</v>
      </c>
      <c r="E8708">
        <v>4.5</v>
      </c>
      <c r="F8708" t="s">
        <v>10069</v>
      </c>
      <c r="G8708" t="s">
        <v>10021</v>
      </c>
      <c r="H8708" s="6">
        <v>44959</v>
      </c>
      <c r="I8708">
        <f t="shared" si="272"/>
        <v>1</v>
      </c>
      <c r="J8708" t="str">
        <f t="shared" si="273"/>
        <v>Complete</v>
      </c>
      <c r="K8708">
        <f>COUNTIFS(RawData[Item], B8708,RawData[Quantity],C8708,RawData[Price Per Unit],D8708,RawData[Total Spent],E8708,RawData[Payment Method],F8708,RawData[Location],G8708,RawData[Transaction Date],H8708)</f>
        <v>1</v>
      </c>
      <c r="L8708"/>
    </row>
    <row r="8709" spans="1:12" x14ac:dyDescent="0.3">
      <c r="A8709" t="s">
        <v>8715</v>
      </c>
      <c r="B8709" t="s">
        <v>10011</v>
      </c>
      <c r="C8709">
        <v>2</v>
      </c>
      <c r="D8709">
        <v>5</v>
      </c>
      <c r="E8709">
        <v>10</v>
      </c>
      <c r="F8709" t="s">
        <v>10018</v>
      </c>
      <c r="G8709" t="s">
        <v>10069</v>
      </c>
      <c r="H8709" s="6">
        <v>44947</v>
      </c>
      <c r="I8709">
        <f t="shared" si="272"/>
        <v>0</v>
      </c>
      <c r="J8709" t="str">
        <f t="shared" si="273"/>
        <v>Complete</v>
      </c>
      <c r="K8709">
        <f>COUNTIFS(RawData[Item], B8709,RawData[Quantity],C8709,RawData[Price Per Unit],D8709,RawData[Total Spent],E8709,RawData[Payment Method],F8709,RawData[Location],G8709,RawData[Transaction Date],H8709)</f>
        <v>1</v>
      </c>
      <c r="L8709"/>
    </row>
    <row r="8710" spans="1:12" x14ac:dyDescent="0.3">
      <c r="A8710" t="s">
        <v>8716</v>
      </c>
      <c r="B8710" t="s">
        <v>10017</v>
      </c>
      <c r="C8710">
        <v>1</v>
      </c>
      <c r="D8710">
        <v>1.5</v>
      </c>
      <c r="E8710">
        <v>1.5</v>
      </c>
      <c r="F8710" t="s">
        <v>10020</v>
      </c>
      <c r="G8710" t="s">
        <v>10102</v>
      </c>
      <c r="H8710" s="6">
        <v>45147</v>
      </c>
      <c r="I8710">
        <f t="shared" si="272"/>
        <v>0</v>
      </c>
      <c r="J8710" t="str">
        <f t="shared" si="273"/>
        <v>Complete</v>
      </c>
      <c r="K8710">
        <f>COUNTIFS(RawData[Item], B8710,RawData[Quantity],C8710,RawData[Price Per Unit],D8710,RawData[Total Spent],E8710,RawData[Payment Method],F8710,RawData[Location],G8710,RawData[Transaction Date],H8710)</f>
        <v>1</v>
      </c>
      <c r="L8710"/>
    </row>
    <row r="8711" spans="1:12" x14ac:dyDescent="0.3">
      <c r="A8711" t="s">
        <v>8717</v>
      </c>
      <c r="B8711" t="s">
        <v>10013</v>
      </c>
      <c r="C8711">
        <v>3</v>
      </c>
      <c r="D8711">
        <v>3</v>
      </c>
      <c r="E8711">
        <v>9</v>
      </c>
      <c r="F8711" t="s">
        <v>10069</v>
      </c>
      <c r="G8711" t="s">
        <v>10069</v>
      </c>
      <c r="H8711" s="6">
        <v>45013</v>
      </c>
      <c r="I8711">
        <f t="shared" si="272"/>
        <v>1</v>
      </c>
      <c r="J8711" t="str">
        <f t="shared" si="273"/>
        <v>Complete</v>
      </c>
      <c r="K8711">
        <f>COUNTIFS(RawData[Item], B8711,RawData[Quantity],C8711,RawData[Price Per Unit],D8711,RawData[Total Spent],E8711,RawData[Payment Method],F8711,RawData[Location],G8711,RawData[Transaction Date],H8711)</f>
        <v>1</v>
      </c>
      <c r="L8711"/>
    </row>
    <row r="8712" spans="1:12" x14ac:dyDescent="0.3">
      <c r="A8712" t="s">
        <v>8718</v>
      </c>
      <c r="B8712" t="s">
        <v>10016</v>
      </c>
      <c r="C8712">
        <v>4</v>
      </c>
      <c r="D8712">
        <v>3</v>
      </c>
      <c r="E8712">
        <v>12</v>
      </c>
      <c r="F8712" t="s">
        <v>10020</v>
      </c>
      <c r="G8712" t="s">
        <v>10021</v>
      </c>
      <c r="H8712" s="6">
        <v>45176</v>
      </c>
      <c r="I8712">
        <f t="shared" si="272"/>
        <v>0</v>
      </c>
      <c r="J8712" t="str">
        <f t="shared" si="273"/>
        <v>Complete</v>
      </c>
      <c r="K8712">
        <f>COUNTIFS(RawData[Item], B8712,RawData[Quantity],C8712,RawData[Price Per Unit],D8712,RawData[Total Spent],E8712,RawData[Payment Method],F8712,RawData[Location],G8712,RawData[Transaction Date],H8712)</f>
        <v>1</v>
      </c>
      <c r="L8712"/>
    </row>
    <row r="8713" spans="1:12" x14ac:dyDescent="0.3">
      <c r="A8713" t="s">
        <v>8719</v>
      </c>
      <c r="B8713" t="s">
        <v>10008</v>
      </c>
      <c r="C8713">
        <v>5</v>
      </c>
      <c r="D8713">
        <v>2</v>
      </c>
      <c r="E8713">
        <v>10</v>
      </c>
      <c r="F8713" t="s">
        <v>10019</v>
      </c>
      <c r="G8713" t="s">
        <v>10069</v>
      </c>
      <c r="H8713" s="6">
        <v>45246</v>
      </c>
      <c r="I8713">
        <f t="shared" si="272"/>
        <v>0</v>
      </c>
      <c r="J8713" t="str">
        <f t="shared" si="273"/>
        <v>Complete</v>
      </c>
      <c r="K8713">
        <f>COUNTIFS(RawData[Item], B8713,RawData[Quantity],C8713,RawData[Price Per Unit],D8713,RawData[Total Spent],E8713,RawData[Payment Method],F8713,RawData[Location],G8713,RawData[Transaction Date],H8713)</f>
        <v>1</v>
      </c>
      <c r="L8713"/>
    </row>
    <row r="8714" spans="1:12" x14ac:dyDescent="0.3">
      <c r="A8714" t="s">
        <v>8720</v>
      </c>
      <c r="B8714" t="s">
        <v>10008</v>
      </c>
      <c r="C8714">
        <v>1</v>
      </c>
      <c r="D8714">
        <v>2</v>
      </c>
      <c r="E8714">
        <v>2</v>
      </c>
      <c r="F8714" t="s">
        <v>10069</v>
      </c>
      <c r="G8714" t="s">
        <v>10021</v>
      </c>
      <c r="H8714" s="6">
        <v>45012</v>
      </c>
      <c r="I8714">
        <f t="shared" si="272"/>
        <v>0</v>
      </c>
      <c r="J8714" t="str">
        <f t="shared" si="273"/>
        <v>Complete</v>
      </c>
      <c r="K8714">
        <f>COUNTIFS(RawData[Item], B8714,RawData[Quantity],C8714,RawData[Price Per Unit],D8714,RawData[Total Spent],E8714,RawData[Payment Method],F8714,RawData[Location],G8714,RawData[Transaction Date],H8714)</f>
        <v>1</v>
      </c>
      <c r="L8714"/>
    </row>
    <row r="8715" spans="1:12" x14ac:dyDescent="0.3">
      <c r="A8715" t="s">
        <v>8721</v>
      </c>
      <c r="B8715" t="s">
        <v>10012</v>
      </c>
      <c r="C8715">
        <v>5</v>
      </c>
      <c r="D8715">
        <v>4</v>
      </c>
      <c r="E8715">
        <v>20</v>
      </c>
      <c r="F8715" t="s">
        <v>10069</v>
      </c>
      <c r="G8715" t="s">
        <v>10021</v>
      </c>
      <c r="H8715" s="6">
        <v>45205</v>
      </c>
      <c r="I8715">
        <f t="shared" si="272"/>
        <v>0</v>
      </c>
      <c r="J8715" t="str">
        <f t="shared" si="273"/>
        <v>Complete</v>
      </c>
      <c r="K8715">
        <f>COUNTIFS(RawData[Item], B8715,RawData[Quantity],C8715,RawData[Price Per Unit],D8715,RawData[Total Spent],E8715,RawData[Payment Method],F8715,RawData[Location],G8715,RawData[Transaction Date],H8715)</f>
        <v>1</v>
      </c>
      <c r="L8715"/>
    </row>
    <row r="8716" spans="1:12" x14ac:dyDescent="0.3">
      <c r="A8716" t="s">
        <v>8722</v>
      </c>
      <c r="B8716" t="s">
        <v>10010</v>
      </c>
      <c r="C8716">
        <v>4</v>
      </c>
      <c r="D8716">
        <v>1</v>
      </c>
      <c r="E8716">
        <v>4</v>
      </c>
      <c r="F8716" t="s">
        <v>10018</v>
      </c>
      <c r="G8716" t="s">
        <v>10069</v>
      </c>
      <c r="H8716" s="6">
        <v>45241</v>
      </c>
      <c r="I8716">
        <f t="shared" si="272"/>
        <v>0</v>
      </c>
      <c r="J8716" t="str">
        <f t="shared" si="273"/>
        <v>Complete</v>
      </c>
      <c r="K8716">
        <f>COUNTIFS(RawData[Item], B8716,RawData[Quantity],C8716,RawData[Price Per Unit],D8716,RawData[Total Spent],E8716,RawData[Payment Method],F8716,RawData[Location],G8716,RawData[Transaction Date],H8716)</f>
        <v>1</v>
      </c>
      <c r="L8716"/>
    </row>
    <row r="8717" spans="1:12" x14ac:dyDescent="0.3">
      <c r="A8717" t="s">
        <v>8723</v>
      </c>
      <c r="B8717" t="s">
        <v>10016</v>
      </c>
      <c r="C8717">
        <v>1</v>
      </c>
      <c r="D8717">
        <v>0</v>
      </c>
      <c r="E8717">
        <v>3</v>
      </c>
      <c r="F8717" t="s">
        <v>10069</v>
      </c>
      <c r="G8717" t="s">
        <v>10069</v>
      </c>
      <c r="H8717" s="6">
        <v>45219</v>
      </c>
      <c r="I8717">
        <f t="shared" si="272"/>
        <v>0</v>
      </c>
      <c r="J8717" t="str">
        <f t="shared" si="273"/>
        <v>Complete</v>
      </c>
      <c r="K8717">
        <f>COUNTIFS(RawData[Item], B8717,RawData[Quantity],C8717,RawData[Price Per Unit],D8717,RawData[Total Spent],E8717,RawData[Payment Method],F8717,RawData[Location],G8717,RawData[Transaction Date],H8717)</f>
        <v>1</v>
      </c>
      <c r="L8717"/>
    </row>
    <row r="8718" spans="1:12" x14ac:dyDescent="0.3">
      <c r="A8718" t="s">
        <v>8724</v>
      </c>
      <c r="B8718" t="s">
        <v>10011</v>
      </c>
      <c r="C8718">
        <v>1</v>
      </c>
      <c r="D8718">
        <v>5</v>
      </c>
      <c r="E8718">
        <v>5</v>
      </c>
      <c r="F8718" t="s">
        <v>10019</v>
      </c>
      <c r="G8718" t="s">
        <v>10021</v>
      </c>
      <c r="H8718" s="6">
        <v>44951</v>
      </c>
      <c r="I8718">
        <f t="shared" si="272"/>
        <v>0</v>
      </c>
      <c r="J8718" t="str">
        <f t="shared" si="273"/>
        <v>Complete</v>
      </c>
      <c r="K8718">
        <f>COUNTIFS(RawData[Item], B8718,RawData[Quantity],C8718,RawData[Price Per Unit],D8718,RawData[Total Spent],E8718,RawData[Payment Method],F8718,RawData[Location],G8718,RawData[Transaction Date],H8718)</f>
        <v>1</v>
      </c>
      <c r="L8718"/>
    </row>
    <row r="8719" spans="1:12" x14ac:dyDescent="0.3">
      <c r="A8719" t="s">
        <v>8725</v>
      </c>
      <c r="B8719" t="s">
        <v>10014</v>
      </c>
      <c r="C8719">
        <v>5</v>
      </c>
      <c r="D8719">
        <v>4</v>
      </c>
      <c r="E8719">
        <v>20</v>
      </c>
      <c r="F8719" t="s">
        <v>10069</v>
      </c>
      <c r="G8719" t="s">
        <v>10069</v>
      </c>
      <c r="H8719" s="6">
        <v>44972</v>
      </c>
      <c r="I8719">
        <f t="shared" si="272"/>
        <v>0</v>
      </c>
      <c r="J8719" t="str">
        <f t="shared" si="273"/>
        <v>Complete</v>
      </c>
      <c r="K8719">
        <f>COUNTIFS(RawData[Item], B8719,RawData[Quantity],C8719,RawData[Price Per Unit],D8719,RawData[Total Spent],E8719,RawData[Payment Method],F8719,RawData[Location],G8719,RawData[Transaction Date],H8719)</f>
        <v>1</v>
      </c>
      <c r="L8719"/>
    </row>
    <row r="8720" spans="1:12" x14ac:dyDescent="0.3">
      <c r="A8720" t="s">
        <v>8726</v>
      </c>
      <c r="B8720" t="s">
        <v>10012</v>
      </c>
      <c r="C8720">
        <v>5</v>
      </c>
      <c r="D8720">
        <v>4</v>
      </c>
      <c r="E8720">
        <v>20</v>
      </c>
      <c r="F8720" t="s">
        <v>10018</v>
      </c>
      <c r="G8720" t="s">
        <v>10069</v>
      </c>
      <c r="H8720" s="6">
        <v>45016</v>
      </c>
      <c r="I8720">
        <f t="shared" si="272"/>
        <v>0</v>
      </c>
      <c r="J8720" t="str">
        <f t="shared" si="273"/>
        <v>Complete</v>
      </c>
      <c r="K8720">
        <f>COUNTIFS(RawData[Item], B8720,RawData[Quantity],C8720,RawData[Price Per Unit],D8720,RawData[Total Spent],E8720,RawData[Payment Method],F8720,RawData[Location],G8720,RawData[Transaction Date],H8720)</f>
        <v>2</v>
      </c>
      <c r="L8720"/>
    </row>
    <row r="8721" spans="1:12" x14ac:dyDescent="0.3">
      <c r="A8721" t="s">
        <v>8727</v>
      </c>
      <c r="B8721" t="s">
        <v>10009</v>
      </c>
      <c r="C8721">
        <v>3</v>
      </c>
      <c r="D8721">
        <v>3</v>
      </c>
      <c r="E8721">
        <v>9</v>
      </c>
      <c r="F8721" t="s">
        <v>10020</v>
      </c>
      <c r="G8721" t="s">
        <v>10103</v>
      </c>
      <c r="H8721" s="6">
        <v>44994</v>
      </c>
      <c r="I8721">
        <f t="shared" si="272"/>
        <v>1</v>
      </c>
      <c r="J8721" t="str">
        <f t="shared" si="273"/>
        <v>Complete</v>
      </c>
      <c r="K8721">
        <f>COUNTIFS(RawData[Item], B8721,RawData[Quantity],C8721,RawData[Price Per Unit],D8721,RawData[Total Spent],E8721,RawData[Payment Method],F8721,RawData[Location],G8721,RawData[Transaction Date],H8721)</f>
        <v>1</v>
      </c>
      <c r="L8721"/>
    </row>
    <row r="8722" spans="1:12" x14ac:dyDescent="0.3">
      <c r="A8722" t="s">
        <v>8728</v>
      </c>
      <c r="B8722" t="s">
        <v>10017</v>
      </c>
      <c r="C8722">
        <v>1</v>
      </c>
      <c r="D8722">
        <v>1.5</v>
      </c>
      <c r="E8722">
        <v>1.5</v>
      </c>
      <c r="F8722" t="s">
        <v>10069</v>
      </c>
      <c r="G8722" t="s">
        <v>10069</v>
      </c>
      <c r="H8722" s="6">
        <v>44928</v>
      </c>
      <c r="I8722">
        <f t="shared" si="272"/>
        <v>0</v>
      </c>
      <c r="J8722" t="str">
        <f t="shared" si="273"/>
        <v>Complete</v>
      </c>
      <c r="K8722">
        <f>COUNTIFS(RawData[Item], B8722,RawData[Quantity],C8722,RawData[Price Per Unit],D8722,RawData[Total Spent],E8722,RawData[Payment Method],F8722,RawData[Location],G8722,RawData[Transaction Date],H8722)</f>
        <v>1</v>
      </c>
      <c r="L8722"/>
    </row>
    <row r="8723" spans="1:12" x14ac:dyDescent="0.3">
      <c r="A8723" t="s">
        <v>8729</v>
      </c>
      <c r="B8723" t="s">
        <v>10009</v>
      </c>
      <c r="C8723">
        <v>1</v>
      </c>
      <c r="D8723">
        <v>3</v>
      </c>
      <c r="E8723">
        <v>3</v>
      </c>
      <c r="F8723" t="s">
        <v>10020</v>
      </c>
      <c r="G8723" t="s">
        <v>10102</v>
      </c>
      <c r="H8723" s="6">
        <v>44966</v>
      </c>
      <c r="I8723">
        <f t="shared" si="272"/>
        <v>0</v>
      </c>
      <c r="J8723" t="str">
        <f t="shared" si="273"/>
        <v>Complete</v>
      </c>
      <c r="K8723">
        <f>COUNTIFS(RawData[Item], B8723,RawData[Quantity],C8723,RawData[Price Per Unit],D8723,RawData[Total Spent],E8723,RawData[Payment Method],F8723,RawData[Location],G8723,RawData[Transaction Date],H8723)</f>
        <v>1</v>
      </c>
      <c r="L8723"/>
    </row>
    <row r="8724" spans="1:12" x14ac:dyDescent="0.3">
      <c r="A8724" t="s">
        <v>8730</v>
      </c>
      <c r="B8724" t="s">
        <v>10014</v>
      </c>
      <c r="C8724">
        <v>1</v>
      </c>
      <c r="D8724">
        <v>4</v>
      </c>
      <c r="E8724">
        <v>4</v>
      </c>
      <c r="F8724" t="s">
        <v>10069</v>
      </c>
      <c r="G8724" t="s">
        <v>10021</v>
      </c>
      <c r="H8724" s="6">
        <v>44939</v>
      </c>
      <c r="I8724">
        <f t="shared" si="272"/>
        <v>0</v>
      </c>
      <c r="J8724" t="str">
        <f t="shared" si="273"/>
        <v>Complete</v>
      </c>
      <c r="K8724">
        <f>COUNTIFS(RawData[Item], B8724,RawData[Quantity],C8724,RawData[Price Per Unit],D8724,RawData[Total Spent],E8724,RawData[Payment Method],F8724,RawData[Location],G8724,RawData[Transaction Date],H8724)</f>
        <v>1</v>
      </c>
      <c r="L8724"/>
    </row>
    <row r="8725" spans="1:12" x14ac:dyDescent="0.3">
      <c r="A8725" t="s">
        <v>8731</v>
      </c>
      <c r="B8725" t="s">
        <v>10009</v>
      </c>
      <c r="C8725">
        <v>3</v>
      </c>
      <c r="D8725">
        <v>3</v>
      </c>
      <c r="E8725">
        <v>9</v>
      </c>
      <c r="F8725" t="s">
        <v>10019</v>
      </c>
      <c r="G8725" t="s">
        <v>10021</v>
      </c>
      <c r="H8725" s="6">
        <v>45022</v>
      </c>
      <c r="I8725">
        <f t="shared" si="272"/>
        <v>0</v>
      </c>
      <c r="J8725" t="str">
        <f t="shared" si="273"/>
        <v>Complete</v>
      </c>
      <c r="K8725">
        <f>COUNTIFS(RawData[Item], B8725,RawData[Quantity],C8725,RawData[Price Per Unit],D8725,RawData[Total Spent],E8725,RawData[Payment Method],F8725,RawData[Location],G8725,RawData[Transaction Date],H8725)</f>
        <v>1</v>
      </c>
      <c r="L8725"/>
    </row>
    <row r="8726" spans="1:12" x14ac:dyDescent="0.3">
      <c r="A8726" t="s">
        <v>8732</v>
      </c>
      <c r="B8726" t="s">
        <v>10012</v>
      </c>
      <c r="C8726">
        <v>3</v>
      </c>
      <c r="D8726">
        <v>4</v>
      </c>
      <c r="E8726">
        <v>12</v>
      </c>
      <c r="F8726" t="s">
        <v>10019</v>
      </c>
      <c r="G8726" t="s">
        <v>10069</v>
      </c>
      <c r="H8726" s="6">
        <v>44973</v>
      </c>
      <c r="I8726">
        <f t="shared" si="272"/>
        <v>0</v>
      </c>
      <c r="J8726" t="str">
        <f t="shared" si="273"/>
        <v>Complete</v>
      </c>
      <c r="K8726">
        <f>COUNTIFS(RawData[Item], B8726,RawData[Quantity],C8726,RawData[Price Per Unit],D8726,RawData[Total Spent],E8726,RawData[Payment Method],F8726,RawData[Location],G8726,RawData[Transaction Date],H8726)</f>
        <v>1</v>
      </c>
      <c r="L8726"/>
    </row>
    <row r="8727" spans="1:12" x14ac:dyDescent="0.3">
      <c r="A8727" t="s">
        <v>8733</v>
      </c>
      <c r="B8727" t="s">
        <v>10010</v>
      </c>
      <c r="C8727">
        <v>5</v>
      </c>
      <c r="D8727">
        <v>1</v>
      </c>
      <c r="E8727">
        <v>5</v>
      </c>
      <c r="F8727" t="s">
        <v>10019</v>
      </c>
      <c r="G8727" t="s">
        <v>10021</v>
      </c>
      <c r="H8727" s="6">
        <v>44943</v>
      </c>
      <c r="I8727">
        <f t="shared" si="272"/>
        <v>0</v>
      </c>
      <c r="J8727" t="str">
        <f t="shared" si="273"/>
        <v>Complete</v>
      </c>
      <c r="K8727">
        <f>COUNTIFS(RawData[Item], B8727,RawData[Quantity],C8727,RawData[Price Per Unit],D8727,RawData[Total Spent],E8727,RawData[Payment Method],F8727,RawData[Location],G8727,RawData[Transaction Date],H8727)</f>
        <v>1</v>
      </c>
      <c r="L8727"/>
    </row>
    <row r="8728" spans="1:12" x14ac:dyDescent="0.3">
      <c r="A8728" t="s">
        <v>8734</v>
      </c>
      <c r="B8728" t="s">
        <v>10010</v>
      </c>
      <c r="C8728">
        <v>1</v>
      </c>
      <c r="D8728">
        <v>1</v>
      </c>
      <c r="E8728">
        <v>1</v>
      </c>
      <c r="F8728" t="s">
        <v>10069</v>
      </c>
      <c r="G8728" t="s">
        <v>10102</v>
      </c>
      <c r="H8728" s="6">
        <v>44968</v>
      </c>
      <c r="I8728">
        <f t="shared" si="272"/>
        <v>0</v>
      </c>
      <c r="J8728" t="str">
        <f t="shared" si="273"/>
        <v>Complete</v>
      </c>
      <c r="K8728">
        <f>COUNTIFS(RawData[Item], B8728,RawData[Quantity],C8728,RawData[Price Per Unit],D8728,RawData[Total Spent],E8728,RawData[Payment Method],F8728,RawData[Location],G8728,RawData[Transaction Date],H8728)</f>
        <v>1</v>
      </c>
      <c r="L8728"/>
    </row>
    <row r="8729" spans="1:12" x14ac:dyDescent="0.3">
      <c r="A8729" t="s">
        <v>8735</v>
      </c>
      <c r="B8729" t="s">
        <v>10017</v>
      </c>
      <c r="C8729">
        <v>5</v>
      </c>
      <c r="D8729">
        <v>1.5</v>
      </c>
      <c r="E8729">
        <v>7.5</v>
      </c>
      <c r="F8729" t="s">
        <v>10020</v>
      </c>
      <c r="G8729" t="s">
        <v>10102</v>
      </c>
      <c r="H8729" s="6">
        <v>45155</v>
      </c>
      <c r="I8729">
        <f t="shared" si="272"/>
        <v>0</v>
      </c>
      <c r="J8729" t="str">
        <f t="shared" si="273"/>
        <v>Complete</v>
      </c>
      <c r="K8729">
        <f>COUNTIFS(RawData[Item], B8729,RawData[Quantity],C8729,RawData[Price Per Unit],D8729,RawData[Total Spent],E8729,RawData[Payment Method],F8729,RawData[Location],G8729,RawData[Transaction Date],H8729)</f>
        <v>1</v>
      </c>
      <c r="L8729"/>
    </row>
    <row r="8730" spans="1:12" x14ac:dyDescent="0.3">
      <c r="A8730" t="s">
        <v>8736</v>
      </c>
      <c r="B8730" t="s">
        <v>10014</v>
      </c>
      <c r="C8730">
        <v>1</v>
      </c>
      <c r="D8730">
        <v>4</v>
      </c>
      <c r="E8730">
        <v>4</v>
      </c>
      <c r="F8730" t="s">
        <v>10069</v>
      </c>
      <c r="G8730" t="s">
        <v>10102</v>
      </c>
      <c r="H8730" s="6">
        <v>45224</v>
      </c>
      <c r="I8730">
        <f t="shared" si="272"/>
        <v>0</v>
      </c>
      <c r="J8730" t="str">
        <f t="shared" si="273"/>
        <v>Complete</v>
      </c>
      <c r="K8730">
        <f>COUNTIFS(RawData[Item], B8730,RawData[Quantity],C8730,RawData[Price Per Unit],D8730,RawData[Total Spent],E8730,RawData[Payment Method],F8730,RawData[Location],G8730,RawData[Transaction Date],H8730)</f>
        <v>1</v>
      </c>
      <c r="L8730"/>
    </row>
    <row r="8731" spans="1:12" x14ac:dyDescent="0.3">
      <c r="A8731" t="s">
        <v>8737</v>
      </c>
      <c r="B8731" t="s">
        <v>10012</v>
      </c>
      <c r="C8731">
        <v>4</v>
      </c>
      <c r="D8731">
        <v>4</v>
      </c>
      <c r="E8731">
        <v>16</v>
      </c>
      <c r="F8731" t="s">
        <v>10104</v>
      </c>
      <c r="G8731" t="s">
        <v>10069</v>
      </c>
      <c r="H8731" s="6">
        <v>44997</v>
      </c>
      <c r="I8731">
        <f t="shared" si="272"/>
        <v>1</v>
      </c>
      <c r="J8731" t="str">
        <f t="shared" si="273"/>
        <v>Complete</v>
      </c>
      <c r="K8731">
        <f>COUNTIFS(RawData[Item], B8731,RawData[Quantity],C8731,RawData[Price Per Unit],D8731,RawData[Total Spent],E8731,RawData[Payment Method],F8731,RawData[Location],G8731,RawData[Transaction Date],H8731)</f>
        <v>1</v>
      </c>
      <c r="L8731"/>
    </row>
    <row r="8732" spans="1:12" x14ac:dyDescent="0.3">
      <c r="A8732" t="s">
        <v>8738</v>
      </c>
      <c r="B8732" t="s">
        <v>10016</v>
      </c>
      <c r="C8732">
        <v>1</v>
      </c>
      <c r="D8732">
        <v>3</v>
      </c>
      <c r="E8732">
        <v>3</v>
      </c>
      <c r="F8732" t="s">
        <v>10069</v>
      </c>
      <c r="G8732" t="s">
        <v>10102</v>
      </c>
      <c r="H8732" s="6">
        <v>45131</v>
      </c>
      <c r="I8732">
        <f t="shared" si="272"/>
        <v>0</v>
      </c>
      <c r="J8732" t="str">
        <f t="shared" si="273"/>
        <v>Complete</v>
      </c>
      <c r="K8732">
        <f>COUNTIFS(RawData[Item], B8732,RawData[Quantity],C8732,RawData[Price Per Unit],D8732,RawData[Total Spent],E8732,RawData[Payment Method],F8732,RawData[Location],G8732,RawData[Transaction Date],H8732)</f>
        <v>1</v>
      </c>
      <c r="L8732"/>
    </row>
    <row r="8733" spans="1:12" x14ac:dyDescent="0.3">
      <c r="A8733" t="s">
        <v>8739</v>
      </c>
      <c r="B8733" t="s">
        <v>10015</v>
      </c>
      <c r="C8733">
        <v>5</v>
      </c>
      <c r="D8733">
        <v>3</v>
      </c>
      <c r="E8733">
        <v>15</v>
      </c>
      <c r="F8733" t="s">
        <v>10019</v>
      </c>
      <c r="G8733" t="s">
        <v>10021</v>
      </c>
      <c r="H8733" s="6">
        <v>44932</v>
      </c>
      <c r="I8733">
        <f t="shared" si="272"/>
        <v>1</v>
      </c>
      <c r="J8733" t="str">
        <f t="shared" si="273"/>
        <v>Complete</v>
      </c>
      <c r="K8733">
        <f>COUNTIFS(RawData[Item], B8733,RawData[Quantity],C8733,RawData[Price Per Unit],D8733,RawData[Total Spent],E8733,RawData[Payment Method],F8733,RawData[Location],G8733,RawData[Transaction Date],H8733)</f>
        <v>1</v>
      </c>
      <c r="L8733"/>
    </row>
    <row r="8734" spans="1:12" x14ac:dyDescent="0.3">
      <c r="A8734" t="s">
        <v>8740</v>
      </c>
      <c r="B8734" t="s">
        <v>10010</v>
      </c>
      <c r="C8734">
        <v>0</v>
      </c>
      <c r="D8734">
        <v>1</v>
      </c>
      <c r="E8734">
        <v>0</v>
      </c>
      <c r="F8734" t="s">
        <v>10018</v>
      </c>
      <c r="G8734" t="s">
        <v>10102</v>
      </c>
      <c r="H8734" s="6">
        <v>45142</v>
      </c>
      <c r="I8734">
        <f t="shared" si="272"/>
        <v>0</v>
      </c>
      <c r="J8734" t="str">
        <f t="shared" si="273"/>
        <v>Complete</v>
      </c>
      <c r="K8734">
        <f>COUNTIFS(RawData[Item], B8734,RawData[Quantity],C8734,RawData[Price Per Unit],D8734,RawData[Total Spent],E8734,RawData[Payment Method],F8734,RawData[Location],G8734,RawData[Transaction Date],H8734)</f>
        <v>1</v>
      </c>
      <c r="L8734"/>
    </row>
    <row r="8735" spans="1:12" x14ac:dyDescent="0.3">
      <c r="A8735" t="s">
        <v>8741</v>
      </c>
      <c r="B8735" t="s">
        <v>10015</v>
      </c>
      <c r="C8735">
        <v>3</v>
      </c>
      <c r="D8735">
        <v>4</v>
      </c>
      <c r="E8735">
        <v>12</v>
      </c>
      <c r="F8735" t="s">
        <v>10018</v>
      </c>
      <c r="G8735" t="s">
        <v>10069</v>
      </c>
      <c r="H8735" s="6">
        <v>45190</v>
      </c>
      <c r="I8735">
        <f t="shared" si="272"/>
        <v>1</v>
      </c>
      <c r="J8735" t="str">
        <f t="shared" si="273"/>
        <v>Complete</v>
      </c>
      <c r="K8735">
        <f>COUNTIFS(RawData[Item], B8735,RawData[Quantity],C8735,RawData[Price Per Unit],D8735,RawData[Total Spent],E8735,RawData[Payment Method],F8735,RawData[Location],G8735,RawData[Transaction Date],H8735)</f>
        <v>1</v>
      </c>
      <c r="L8735"/>
    </row>
    <row r="8736" spans="1:12" x14ac:dyDescent="0.3">
      <c r="A8736" t="s">
        <v>8742</v>
      </c>
      <c r="B8736" t="s">
        <v>10016</v>
      </c>
      <c r="C8736">
        <v>2</v>
      </c>
      <c r="D8736">
        <v>3</v>
      </c>
      <c r="E8736">
        <v>6</v>
      </c>
      <c r="F8736" t="s">
        <v>10019</v>
      </c>
      <c r="G8736" t="s">
        <v>10069</v>
      </c>
      <c r="H8736" s="6">
        <v>45267</v>
      </c>
      <c r="I8736">
        <f t="shared" si="272"/>
        <v>0</v>
      </c>
      <c r="J8736" t="str">
        <f t="shared" si="273"/>
        <v>Complete</v>
      </c>
      <c r="K8736">
        <f>COUNTIFS(RawData[Item], B8736,RawData[Quantity],C8736,RawData[Price Per Unit],D8736,RawData[Total Spent],E8736,RawData[Payment Method],F8736,RawData[Location],G8736,RawData[Transaction Date],H8736)</f>
        <v>1</v>
      </c>
      <c r="L8736"/>
    </row>
    <row r="8737" spans="1:12" x14ac:dyDescent="0.3">
      <c r="A8737" t="s">
        <v>8743</v>
      </c>
      <c r="B8737" t="s">
        <v>10008</v>
      </c>
      <c r="C8737">
        <v>1</v>
      </c>
      <c r="D8737">
        <v>2</v>
      </c>
      <c r="E8737">
        <v>2</v>
      </c>
      <c r="F8737" t="s">
        <v>10020</v>
      </c>
      <c r="G8737" t="s">
        <v>10102</v>
      </c>
      <c r="H8737" s="6">
        <v>45245</v>
      </c>
      <c r="I8737">
        <f t="shared" si="272"/>
        <v>0</v>
      </c>
      <c r="J8737" t="str">
        <f t="shared" si="273"/>
        <v>Complete</v>
      </c>
      <c r="K8737">
        <f>COUNTIFS(RawData[Item], B8737,RawData[Quantity],C8737,RawData[Price Per Unit],D8737,RawData[Total Spent],E8737,RawData[Payment Method],F8737,RawData[Location],G8737,RawData[Transaction Date],H8737)</f>
        <v>1</v>
      </c>
      <c r="L8737"/>
    </row>
    <row r="8738" spans="1:12" x14ac:dyDescent="0.3">
      <c r="A8738" t="s">
        <v>8744</v>
      </c>
      <c r="B8738" t="s">
        <v>10013</v>
      </c>
      <c r="C8738">
        <v>4</v>
      </c>
      <c r="D8738">
        <v>4</v>
      </c>
      <c r="E8738">
        <v>16</v>
      </c>
      <c r="F8738" t="s">
        <v>10019</v>
      </c>
      <c r="G8738" t="s">
        <v>10021</v>
      </c>
      <c r="H8738" s="6">
        <v>45078</v>
      </c>
      <c r="I8738">
        <f t="shared" si="272"/>
        <v>1</v>
      </c>
      <c r="J8738" t="str">
        <f t="shared" si="273"/>
        <v>Complete</v>
      </c>
      <c r="K8738">
        <f>COUNTIFS(RawData[Item], B8738,RawData[Quantity],C8738,RawData[Price Per Unit],D8738,RawData[Total Spent],E8738,RawData[Payment Method],F8738,RawData[Location],G8738,RawData[Transaction Date],H8738)</f>
        <v>1</v>
      </c>
      <c r="L8738"/>
    </row>
    <row r="8739" spans="1:12" x14ac:dyDescent="0.3">
      <c r="A8739" t="s">
        <v>8745</v>
      </c>
      <c r="B8739" t="s">
        <v>10016</v>
      </c>
      <c r="C8739">
        <v>2</v>
      </c>
      <c r="D8739">
        <v>3</v>
      </c>
      <c r="E8739">
        <v>6</v>
      </c>
      <c r="F8739" t="s">
        <v>10069</v>
      </c>
      <c r="G8739" t="s">
        <v>10069</v>
      </c>
      <c r="H8739" s="6">
        <v>45285</v>
      </c>
      <c r="I8739">
        <f t="shared" si="272"/>
        <v>0</v>
      </c>
      <c r="J8739" t="str">
        <f t="shared" si="273"/>
        <v>Complete</v>
      </c>
      <c r="K8739">
        <f>COUNTIFS(RawData[Item], B8739,RawData[Quantity],C8739,RawData[Price Per Unit],D8739,RawData[Total Spent],E8739,RawData[Payment Method],F8739,RawData[Location],G8739,RawData[Transaction Date],H8739)</f>
        <v>1</v>
      </c>
      <c r="L8739"/>
    </row>
    <row r="8740" spans="1:12" x14ac:dyDescent="0.3">
      <c r="A8740" t="s">
        <v>8746</v>
      </c>
      <c r="B8740" t="s">
        <v>10012</v>
      </c>
      <c r="C8740">
        <v>2</v>
      </c>
      <c r="D8740">
        <v>4</v>
      </c>
      <c r="E8740">
        <v>8</v>
      </c>
      <c r="F8740" t="s">
        <v>10019</v>
      </c>
      <c r="G8740" t="s">
        <v>10102</v>
      </c>
      <c r="H8740" s="6">
        <v>44963</v>
      </c>
      <c r="I8740">
        <f t="shared" si="272"/>
        <v>0</v>
      </c>
      <c r="J8740" t="str">
        <f t="shared" si="273"/>
        <v>Complete</v>
      </c>
      <c r="K8740">
        <f>COUNTIFS(RawData[Item], B8740,RawData[Quantity],C8740,RawData[Price Per Unit],D8740,RawData[Total Spent],E8740,RawData[Payment Method],F8740,RawData[Location],G8740,RawData[Transaction Date],H8740)</f>
        <v>1</v>
      </c>
      <c r="L8740"/>
    </row>
    <row r="8741" spans="1:12" x14ac:dyDescent="0.3">
      <c r="A8741" t="s">
        <v>8747</v>
      </c>
      <c r="B8741" t="s">
        <v>10010</v>
      </c>
      <c r="C8741">
        <v>1</v>
      </c>
      <c r="D8741">
        <v>1</v>
      </c>
      <c r="E8741">
        <v>1</v>
      </c>
      <c r="F8741" t="s">
        <v>10018</v>
      </c>
      <c r="G8741" t="s">
        <v>10102</v>
      </c>
      <c r="H8741" s="6">
        <v>45185</v>
      </c>
      <c r="I8741">
        <f t="shared" si="272"/>
        <v>0</v>
      </c>
      <c r="J8741" t="str">
        <f t="shared" si="273"/>
        <v>Complete</v>
      </c>
      <c r="K8741">
        <f>COUNTIFS(RawData[Item], B8741,RawData[Quantity],C8741,RawData[Price Per Unit],D8741,RawData[Total Spent],E8741,RawData[Payment Method],F8741,RawData[Location],G8741,RawData[Transaction Date],H8741)</f>
        <v>1</v>
      </c>
      <c r="L8741"/>
    </row>
    <row r="8742" spans="1:12" x14ac:dyDescent="0.3">
      <c r="A8742" t="s">
        <v>8748</v>
      </c>
      <c r="B8742" t="s">
        <v>10008</v>
      </c>
      <c r="C8742">
        <v>1</v>
      </c>
      <c r="D8742">
        <v>2</v>
      </c>
      <c r="E8742">
        <v>2</v>
      </c>
      <c r="F8742" t="s">
        <v>10020</v>
      </c>
      <c r="G8742" t="s">
        <v>10102</v>
      </c>
      <c r="H8742" s="6" t="s">
        <v>10112</v>
      </c>
      <c r="I8742">
        <f t="shared" si="272"/>
        <v>1</v>
      </c>
      <c r="J8742" t="str">
        <f t="shared" si="273"/>
        <v>Incomplete</v>
      </c>
      <c r="K8742">
        <f>COUNTIFS(RawData[Item], B8742,RawData[Quantity],C8742,RawData[Price Per Unit],D8742,RawData[Total Spent],E8742,RawData[Payment Method],F8742,RawData[Location],G8742,RawData[Transaction Date],H8742)</f>
        <v>1</v>
      </c>
      <c r="L8742"/>
    </row>
    <row r="8743" spans="1:12" x14ac:dyDescent="0.3">
      <c r="A8743" t="s">
        <v>8749</v>
      </c>
      <c r="B8743" t="s">
        <v>10012</v>
      </c>
      <c r="C8743">
        <v>5</v>
      </c>
      <c r="D8743">
        <v>0</v>
      </c>
      <c r="E8743">
        <v>20</v>
      </c>
      <c r="F8743" t="s">
        <v>10020</v>
      </c>
      <c r="G8743" t="s">
        <v>10021</v>
      </c>
      <c r="H8743" s="6">
        <v>45209</v>
      </c>
      <c r="I8743">
        <f t="shared" si="272"/>
        <v>0</v>
      </c>
      <c r="J8743" t="str">
        <f t="shared" si="273"/>
        <v>Complete</v>
      </c>
      <c r="K8743">
        <f>COUNTIFS(RawData[Item], B8743,RawData[Quantity],C8743,RawData[Price Per Unit],D8743,RawData[Total Spent],E8743,RawData[Payment Method],F8743,RawData[Location],G8743,RawData[Transaction Date],H8743)</f>
        <v>1</v>
      </c>
      <c r="L8743"/>
    </row>
    <row r="8744" spans="1:12" x14ac:dyDescent="0.3">
      <c r="A8744" t="s">
        <v>8750</v>
      </c>
      <c r="B8744" t="s">
        <v>10014</v>
      </c>
      <c r="C8744">
        <v>2</v>
      </c>
      <c r="D8744">
        <v>4</v>
      </c>
      <c r="E8744">
        <v>8</v>
      </c>
      <c r="F8744" t="s">
        <v>10069</v>
      </c>
      <c r="G8744" t="s">
        <v>10021</v>
      </c>
      <c r="H8744" s="6">
        <v>44968</v>
      </c>
      <c r="I8744">
        <f t="shared" si="272"/>
        <v>0</v>
      </c>
      <c r="J8744" t="str">
        <f t="shared" si="273"/>
        <v>Complete</v>
      </c>
      <c r="K8744">
        <f>COUNTIFS(RawData[Item], B8744,RawData[Quantity],C8744,RawData[Price Per Unit],D8744,RawData[Total Spent],E8744,RawData[Payment Method],F8744,RawData[Location],G8744,RawData[Transaction Date],H8744)</f>
        <v>1</v>
      </c>
      <c r="L8744"/>
    </row>
    <row r="8745" spans="1:12" x14ac:dyDescent="0.3">
      <c r="A8745" t="s">
        <v>8751</v>
      </c>
      <c r="B8745" t="s">
        <v>10017</v>
      </c>
      <c r="C8745">
        <v>1</v>
      </c>
      <c r="D8745">
        <v>1.5</v>
      </c>
      <c r="E8745">
        <v>1.5</v>
      </c>
      <c r="F8745" t="s">
        <v>10019</v>
      </c>
      <c r="G8745" t="s">
        <v>10102</v>
      </c>
      <c r="H8745" s="6">
        <v>44948</v>
      </c>
      <c r="I8745">
        <f t="shared" si="272"/>
        <v>0</v>
      </c>
      <c r="J8745" t="str">
        <f t="shared" si="273"/>
        <v>Complete</v>
      </c>
      <c r="K8745">
        <f>COUNTIFS(RawData[Item], B8745,RawData[Quantity],C8745,RawData[Price Per Unit],D8745,RawData[Total Spent],E8745,RawData[Payment Method],F8745,RawData[Location],G8745,RawData[Transaction Date],H8745)</f>
        <v>1</v>
      </c>
      <c r="L8745"/>
    </row>
    <row r="8746" spans="1:12" x14ac:dyDescent="0.3">
      <c r="A8746" t="s">
        <v>8752</v>
      </c>
      <c r="B8746" t="s">
        <v>10011</v>
      </c>
      <c r="C8746">
        <v>3</v>
      </c>
      <c r="D8746">
        <v>5</v>
      </c>
      <c r="E8746">
        <v>15</v>
      </c>
      <c r="F8746" t="s">
        <v>10019</v>
      </c>
      <c r="G8746" t="s">
        <v>10021</v>
      </c>
      <c r="H8746" s="6">
        <v>45203</v>
      </c>
      <c r="I8746">
        <f t="shared" si="272"/>
        <v>0</v>
      </c>
      <c r="J8746" t="str">
        <f t="shared" si="273"/>
        <v>Complete</v>
      </c>
      <c r="K8746">
        <f>COUNTIFS(RawData[Item], B8746,RawData[Quantity],C8746,RawData[Price Per Unit],D8746,RawData[Total Spent],E8746,RawData[Payment Method],F8746,RawData[Location],G8746,RawData[Transaction Date],H8746)</f>
        <v>1</v>
      </c>
      <c r="L8746"/>
    </row>
    <row r="8747" spans="1:12" x14ac:dyDescent="0.3">
      <c r="A8747" t="s">
        <v>8753</v>
      </c>
      <c r="B8747" t="s">
        <v>10013</v>
      </c>
      <c r="C8747">
        <v>5</v>
      </c>
      <c r="D8747">
        <v>5</v>
      </c>
      <c r="E8747">
        <v>25</v>
      </c>
      <c r="F8747" t="s">
        <v>10020</v>
      </c>
      <c r="G8747" t="s">
        <v>10102</v>
      </c>
      <c r="H8747" s="6">
        <v>45213</v>
      </c>
      <c r="I8747">
        <f t="shared" si="272"/>
        <v>1</v>
      </c>
      <c r="J8747" t="str">
        <f t="shared" si="273"/>
        <v>Complete</v>
      </c>
      <c r="K8747">
        <f>COUNTIFS(RawData[Item], B8747,RawData[Quantity],C8747,RawData[Price Per Unit],D8747,RawData[Total Spent],E8747,RawData[Payment Method],F8747,RawData[Location],G8747,RawData[Transaction Date],H8747)</f>
        <v>1</v>
      </c>
      <c r="L8747"/>
    </row>
    <row r="8748" spans="1:12" x14ac:dyDescent="0.3">
      <c r="A8748" t="s">
        <v>8754</v>
      </c>
      <c r="B8748" t="s">
        <v>10016</v>
      </c>
      <c r="C8748">
        <v>3</v>
      </c>
      <c r="D8748">
        <v>3</v>
      </c>
      <c r="E8748">
        <v>9</v>
      </c>
      <c r="F8748" t="s">
        <v>10018</v>
      </c>
      <c r="G8748" t="s">
        <v>10069</v>
      </c>
      <c r="H8748" s="6">
        <v>45059</v>
      </c>
      <c r="I8748">
        <f t="shared" si="272"/>
        <v>0</v>
      </c>
      <c r="J8748" t="str">
        <f t="shared" si="273"/>
        <v>Complete</v>
      </c>
      <c r="K8748">
        <f>COUNTIFS(RawData[Item], B8748,RawData[Quantity],C8748,RawData[Price Per Unit],D8748,RawData[Total Spent],E8748,RawData[Payment Method],F8748,RawData[Location],G8748,RawData[Transaction Date],H8748)</f>
        <v>2</v>
      </c>
      <c r="L8748"/>
    </row>
    <row r="8749" spans="1:12" x14ac:dyDescent="0.3">
      <c r="A8749" t="s">
        <v>8755</v>
      </c>
      <c r="B8749" t="s">
        <v>10013</v>
      </c>
      <c r="C8749">
        <v>1</v>
      </c>
      <c r="D8749">
        <v>2</v>
      </c>
      <c r="E8749">
        <v>2</v>
      </c>
      <c r="F8749" t="s">
        <v>10069</v>
      </c>
      <c r="G8749" t="s">
        <v>10021</v>
      </c>
      <c r="H8749" s="6">
        <v>45273</v>
      </c>
      <c r="I8749">
        <f t="shared" si="272"/>
        <v>1</v>
      </c>
      <c r="J8749" t="str">
        <f t="shared" si="273"/>
        <v>Complete</v>
      </c>
      <c r="K8749">
        <f>COUNTIFS(RawData[Item], B8749,RawData[Quantity],C8749,RawData[Price Per Unit],D8749,RawData[Total Spent],E8749,RawData[Payment Method],F8749,RawData[Location],G8749,RawData[Transaction Date],H8749)</f>
        <v>1</v>
      </c>
      <c r="L8749"/>
    </row>
    <row r="8750" spans="1:12" x14ac:dyDescent="0.3">
      <c r="A8750" t="s">
        <v>8756</v>
      </c>
      <c r="B8750" t="s">
        <v>10012</v>
      </c>
      <c r="C8750">
        <v>5</v>
      </c>
      <c r="D8750">
        <v>4</v>
      </c>
      <c r="E8750">
        <v>20</v>
      </c>
      <c r="F8750" t="s">
        <v>10019</v>
      </c>
      <c r="G8750" t="s">
        <v>10069</v>
      </c>
      <c r="H8750" s="6">
        <v>45162</v>
      </c>
      <c r="I8750">
        <f t="shared" si="272"/>
        <v>0</v>
      </c>
      <c r="J8750" t="str">
        <f t="shared" si="273"/>
        <v>Complete</v>
      </c>
      <c r="K8750">
        <f>COUNTIFS(RawData[Item], B8750,RawData[Quantity],C8750,RawData[Price Per Unit],D8750,RawData[Total Spent],E8750,RawData[Payment Method],F8750,RawData[Location],G8750,RawData[Transaction Date],H8750)</f>
        <v>2</v>
      </c>
      <c r="L8750"/>
    </row>
    <row r="8751" spans="1:12" x14ac:dyDescent="0.3">
      <c r="A8751" t="s">
        <v>8757</v>
      </c>
      <c r="B8751" t="s">
        <v>10011</v>
      </c>
      <c r="C8751">
        <v>3</v>
      </c>
      <c r="D8751">
        <v>5</v>
      </c>
      <c r="E8751">
        <v>15</v>
      </c>
      <c r="F8751" t="s">
        <v>10103</v>
      </c>
      <c r="G8751" t="s">
        <v>10021</v>
      </c>
      <c r="H8751" s="6">
        <v>45072</v>
      </c>
      <c r="I8751">
        <f t="shared" si="272"/>
        <v>1</v>
      </c>
      <c r="J8751" t="str">
        <f t="shared" si="273"/>
        <v>Complete</v>
      </c>
      <c r="K8751">
        <f>COUNTIFS(RawData[Item], B8751,RawData[Quantity],C8751,RawData[Price Per Unit],D8751,RawData[Total Spent],E8751,RawData[Payment Method],F8751,RawData[Location],G8751,RawData[Transaction Date],H8751)</f>
        <v>1</v>
      </c>
      <c r="L8751"/>
    </row>
    <row r="8752" spans="1:12" x14ac:dyDescent="0.3">
      <c r="A8752" t="s">
        <v>8758</v>
      </c>
      <c r="B8752" t="s">
        <v>10011</v>
      </c>
      <c r="C8752">
        <v>2</v>
      </c>
      <c r="D8752">
        <v>0</v>
      </c>
      <c r="E8752">
        <v>10</v>
      </c>
      <c r="F8752" t="s">
        <v>10018</v>
      </c>
      <c r="G8752" t="s">
        <v>10021</v>
      </c>
      <c r="H8752" s="6">
        <v>45207</v>
      </c>
      <c r="I8752">
        <f t="shared" si="272"/>
        <v>0</v>
      </c>
      <c r="J8752" t="str">
        <f t="shared" si="273"/>
        <v>Complete</v>
      </c>
      <c r="K8752">
        <f>COUNTIFS(RawData[Item], B8752,RawData[Quantity],C8752,RawData[Price Per Unit],D8752,RawData[Total Spent],E8752,RawData[Payment Method],F8752,RawData[Location],G8752,RawData[Transaction Date],H8752)</f>
        <v>1</v>
      </c>
      <c r="L8752"/>
    </row>
    <row r="8753" spans="1:12" x14ac:dyDescent="0.3">
      <c r="A8753" t="s">
        <v>8759</v>
      </c>
      <c r="B8753" t="s">
        <v>10014</v>
      </c>
      <c r="C8753">
        <v>2</v>
      </c>
      <c r="D8753">
        <v>4</v>
      </c>
      <c r="E8753">
        <v>8</v>
      </c>
      <c r="F8753" t="s">
        <v>10020</v>
      </c>
      <c r="G8753" t="s">
        <v>10102</v>
      </c>
      <c r="H8753" s="6">
        <v>45222</v>
      </c>
      <c r="I8753">
        <f t="shared" si="272"/>
        <v>0</v>
      </c>
      <c r="J8753" t="str">
        <f t="shared" si="273"/>
        <v>Complete</v>
      </c>
      <c r="K8753">
        <f>COUNTIFS(RawData[Item], B8753,RawData[Quantity],C8753,RawData[Price Per Unit],D8753,RawData[Total Spent],E8753,RawData[Payment Method],F8753,RawData[Location],G8753,RawData[Transaction Date],H8753)</f>
        <v>1</v>
      </c>
      <c r="L8753"/>
    </row>
    <row r="8754" spans="1:12" x14ac:dyDescent="0.3">
      <c r="A8754" t="s">
        <v>8760</v>
      </c>
      <c r="B8754" t="s">
        <v>10011</v>
      </c>
      <c r="C8754" t="s">
        <v>10013</v>
      </c>
      <c r="D8754">
        <v>5</v>
      </c>
      <c r="E8754">
        <v>20</v>
      </c>
      <c r="F8754" t="s">
        <v>10069</v>
      </c>
      <c r="G8754" t="s">
        <v>10021</v>
      </c>
      <c r="H8754" s="6">
        <v>44951</v>
      </c>
      <c r="I8754">
        <f t="shared" si="272"/>
        <v>1</v>
      </c>
      <c r="J8754" t="str">
        <f t="shared" si="273"/>
        <v>Complete</v>
      </c>
      <c r="K8754">
        <f>COUNTIFS(RawData[Item], B8754,RawData[Quantity],C8754,RawData[Price Per Unit],D8754,RawData[Total Spent],E8754,RawData[Payment Method],F8754,RawData[Location],G8754,RawData[Transaction Date],H8754)</f>
        <v>1</v>
      </c>
      <c r="L8754"/>
    </row>
    <row r="8755" spans="1:12" x14ac:dyDescent="0.3">
      <c r="A8755" t="s">
        <v>8761</v>
      </c>
      <c r="B8755" t="s">
        <v>10008</v>
      </c>
      <c r="C8755">
        <v>5</v>
      </c>
      <c r="D8755">
        <v>2</v>
      </c>
      <c r="E8755">
        <v>10</v>
      </c>
      <c r="F8755" t="s">
        <v>10018</v>
      </c>
      <c r="G8755" t="s">
        <v>10069</v>
      </c>
      <c r="H8755" s="6">
        <v>44970</v>
      </c>
      <c r="I8755">
        <f t="shared" si="272"/>
        <v>0</v>
      </c>
      <c r="J8755" t="str">
        <f t="shared" si="273"/>
        <v>Complete</v>
      </c>
      <c r="K8755">
        <f>COUNTIFS(RawData[Item], B8755,RawData[Quantity],C8755,RawData[Price Per Unit],D8755,RawData[Total Spent],E8755,RawData[Payment Method],F8755,RawData[Location],G8755,RawData[Transaction Date],H8755)</f>
        <v>1</v>
      </c>
      <c r="L8755"/>
    </row>
    <row r="8756" spans="1:12" x14ac:dyDescent="0.3">
      <c r="A8756" t="s">
        <v>8762</v>
      </c>
      <c r="B8756" t="s">
        <v>10012</v>
      </c>
      <c r="C8756">
        <v>4</v>
      </c>
      <c r="D8756">
        <v>4</v>
      </c>
      <c r="E8756">
        <v>16</v>
      </c>
      <c r="F8756" t="s">
        <v>10020</v>
      </c>
      <c r="G8756" t="s">
        <v>10069</v>
      </c>
      <c r="H8756" s="6">
        <v>45131</v>
      </c>
      <c r="I8756">
        <f t="shared" si="272"/>
        <v>0</v>
      </c>
      <c r="J8756" t="str">
        <f t="shared" si="273"/>
        <v>Complete</v>
      </c>
      <c r="K8756">
        <f>COUNTIFS(RawData[Item], B8756,RawData[Quantity],C8756,RawData[Price Per Unit],D8756,RawData[Total Spent],E8756,RawData[Payment Method],F8756,RawData[Location],G8756,RawData[Transaction Date],H8756)</f>
        <v>1</v>
      </c>
      <c r="L8756"/>
    </row>
    <row r="8757" spans="1:12" x14ac:dyDescent="0.3">
      <c r="A8757" t="s">
        <v>8763</v>
      </c>
      <c r="B8757" t="s">
        <v>10014</v>
      </c>
      <c r="C8757">
        <v>1</v>
      </c>
      <c r="D8757">
        <v>4</v>
      </c>
      <c r="E8757">
        <v>4</v>
      </c>
      <c r="F8757" t="s">
        <v>10019</v>
      </c>
      <c r="G8757" t="s">
        <v>10102</v>
      </c>
      <c r="H8757" s="6">
        <v>45078</v>
      </c>
      <c r="I8757">
        <f t="shared" si="272"/>
        <v>0</v>
      </c>
      <c r="J8757" t="str">
        <f t="shared" si="273"/>
        <v>Complete</v>
      </c>
      <c r="K8757">
        <f>COUNTIFS(RawData[Item], B8757,RawData[Quantity],C8757,RawData[Price Per Unit],D8757,RawData[Total Spent],E8757,RawData[Payment Method],F8757,RawData[Location],G8757,RawData[Transaction Date],H8757)</f>
        <v>1</v>
      </c>
      <c r="L8757"/>
    </row>
    <row r="8758" spans="1:12" x14ac:dyDescent="0.3">
      <c r="A8758" t="s">
        <v>8764</v>
      </c>
      <c r="B8758" t="s">
        <v>10008</v>
      </c>
      <c r="C8758">
        <v>3</v>
      </c>
      <c r="D8758">
        <v>2</v>
      </c>
      <c r="E8758">
        <v>6</v>
      </c>
      <c r="F8758" t="s">
        <v>10020</v>
      </c>
      <c r="G8758" t="s">
        <v>10103</v>
      </c>
      <c r="H8758" s="6">
        <v>45238</v>
      </c>
      <c r="I8758">
        <f t="shared" si="272"/>
        <v>1</v>
      </c>
      <c r="J8758" t="str">
        <f t="shared" si="273"/>
        <v>Complete</v>
      </c>
      <c r="K8758">
        <f>COUNTIFS(RawData[Item], B8758,RawData[Quantity],C8758,RawData[Price Per Unit],D8758,RawData[Total Spent],E8758,RawData[Payment Method],F8758,RawData[Location],G8758,RawData[Transaction Date],H8758)</f>
        <v>1</v>
      </c>
      <c r="L8758"/>
    </row>
    <row r="8759" spans="1:12" x14ac:dyDescent="0.3">
      <c r="A8759" t="s">
        <v>8765</v>
      </c>
      <c r="B8759" t="s">
        <v>10009</v>
      </c>
      <c r="C8759" t="s">
        <v>10013</v>
      </c>
      <c r="D8759">
        <v>3</v>
      </c>
      <c r="E8759">
        <v>9</v>
      </c>
      <c r="F8759" t="s">
        <v>10019</v>
      </c>
      <c r="G8759" t="s">
        <v>10021</v>
      </c>
      <c r="H8759" s="6">
        <v>44955</v>
      </c>
      <c r="I8759">
        <f t="shared" si="272"/>
        <v>1</v>
      </c>
      <c r="J8759" t="str">
        <f t="shared" si="273"/>
        <v>Complete</v>
      </c>
      <c r="K8759">
        <f>COUNTIFS(RawData[Item], B8759,RawData[Quantity],C8759,RawData[Price Per Unit],D8759,RawData[Total Spent],E8759,RawData[Payment Method],F8759,RawData[Location],G8759,RawData[Transaction Date],H8759)</f>
        <v>1</v>
      </c>
      <c r="L8759"/>
    </row>
    <row r="8760" spans="1:12" x14ac:dyDescent="0.3">
      <c r="A8760" t="s">
        <v>8766</v>
      </c>
      <c r="B8760" t="s">
        <v>10010</v>
      </c>
      <c r="C8760">
        <v>1</v>
      </c>
      <c r="D8760">
        <v>1</v>
      </c>
      <c r="E8760">
        <v>1</v>
      </c>
      <c r="F8760" t="s">
        <v>10019</v>
      </c>
      <c r="G8760" t="s">
        <v>10069</v>
      </c>
      <c r="H8760" s="6">
        <v>45186</v>
      </c>
      <c r="I8760">
        <f t="shared" si="272"/>
        <v>0</v>
      </c>
      <c r="J8760" t="str">
        <f t="shared" si="273"/>
        <v>Complete</v>
      </c>
      <c r="K8760">
        <f>COUNTIFS(RawData[Item], B8760,RawData[Quantity],C8760,RawData[Price Per Unit],D8760,RawData[Total Spent],E8760,RawData[Payment Method],F8760,RawData[Location],G8760,RawData[Transaction Date],H8760)</f>
        <v>1</v>
      </c>
      <c r="L8760"/>
    </row>
    <row r="8761" spans="1:12" x14ac:dyDescent="0.3">
      <c r="A8761" t="s">
        <v>8767</v>
      </c>
      <c r="B8761" t="s">
        <v>10008</v>
      </c>
      <c r="C8761">
        <v>5</v>
      </c>
      <c r="D8761">
        <v>2</v>
      </c>
      <c r="E8761">
        <v>10</v>
      </c>
      <c r="F8761" t="s">
        <v>10018</v>
      </c>
      <c r="G8761" t="s">
        <v>10021</v>
      </c>
      <c r="H8761" s="6">
        <v>45101</v>
      </c>
      <c r="I8761">
        <f t="shared" si="272"/>
        <v>0</v>
      </c>
      <c r="J8761" t="str">
        <f t="shared" si="273"/>
        <v>Complete</v>
      </c>
      <c r="K8761">
        <f>COUNTIFS(RawData[Item], B8761,RawData[Quantity],C8761,RawData[Price Per Unit],D8761,RawData[Total Spent],E8761,RawData[Payment Method],F8761,RawData[Location],G8761,RawData[Transaction Date],H8761)</f>
        <v>1</v>
      </c>
      <c r="L8761"/>
    </row>
    <row r="8762" spans="1:12" x14ac:dyDescent="0.3">
      <c r="A8762" t="s">
        <v>8768</v>
      </c>
      <c r="B8762" t="s">
        <v>10011</v>
      </c>
      <c r="C8762">
        <v>4</v>
      </c>
      <c r="D8762">
        <v>5</v>
      </c>
      <c r="E8762">
        <v>20</v>
      </c>
      <c r="F8762" t="s">
        <v>10019</v>
      </c>
      <c r="G8762" t="s">
        <v>10104</v>
      </c>
      <c r="H8762" s="6">
        <v>45062</v>
      </c>
      <c r="I8762">
        <f t="shared" si="272"/>
        <v>1</v>
      </c>
      <c r="J8762" t="str">
        <f t="shared" si="273"/>
        <v>Complete</v>
      </c>
      <c r="K8762">
        <f>COUNTIFS(RawData[Item], B8762,RawData[Quantity],C8762,RawData[Price Per Unit],D8762,RawData[Total Spent],E8762,RawData[Payment Method],F8762,RawData[Location],G8762,RawData[Transaction Date],H8762)</f>
        <v>1</v>
      </c>
      <c r="L8762"/>
    </row>
    <row r="8763" spans="1:12" x14ac:dyDescent="0.3">
      <c r="A8763" t="s">
        <v>8769</v>
      </c>
      <c r="B8763" t="s">
        <v>10069</v>
      </c>
      <c r="C8763">
        <v>1</v>
      </c>
      <c r="D8763">
        <v>4</v>
      </c>
      <c r="E8763">
        <v>4</v>
      </c>
      <c r="F8763" t="s">
        <v>10069</v>
      </c>
      <c r="G8763" t="s">
        <v>10102</v>
      </c>
      <c r="H8763" s="6">
        <v>45261</v>
      </c>
      <c r="I8763">
        <f t="shared" si="272"/>
        <v>0</v>
      </c>
      <c r="J8763" t="str">
        <f t="shared" si="273"/>
        <v>Complete</v>
      </c>
      <c r="K8763">
        <f>COUNTIFS(RawData[Item], B8763,RawData[Quantity],C8763,RawData[Price Per Unit],D8763,RawData[Total Spent],E8763,RawData[Payment Method],F8763,RawData[Location],G8763,RawData[Transaction Date],H8763)</f>
        <v>1</v>
      </c>
      <c r="L8763"/>
    </row>
    <row r="8764" spans="1:12" x14ac:dyDescent="0.3">
      <c r="A8764" t="s">
        <v>8770</v>
      </c>
      <c r="B8764" t="s">
        <v>10014</v>
      </c>
      <c r="C8764">
        <v>2</v>
      </c>
      <c r="D8764">
        <v>4</v>
      </c>
      <c r="E8764">
        <v>8</v>
      </c>
      <c r="F8764" t="s">
        <v>10069</v>
      </c>
      <c r="G8764" t="s">
        <v>10069</v>
      </c>
      <c r="H8764" s="6">
        <v>45161</v>
      </c>
      <c r="I8764">
        <f t="shared" si="272"/>
        <v>0</v>
      </c>
      <c r="J8764" t="str">
        <f t="shared" si="273"/>
        <v>Complete</v>
      </c>
      <c r="K8764">
        <f>COUNTIFS(RawData[Item], B8764,RawData[Quantity],C8764,RawData[Price Per Unit],D8764,RawData[Total Spent],E8764,RawData[Payment Method],F8764,RawData[Location],G8764,RawData[Transaction Date],H8764)</f>
        <v>1</v>
      </c>
      <c r="L8764"/>
    </row>
    <row r="8765" spans="1:12" x14ac:dyDescent="0.3">
      <c r="A8765" t="s">
        <v>8771</v>
      </c>
      <c r="B8765" t="s">
        <v>10017</v>
      </c>
      <c r="C8765">
        <v>5</v>
      </c>
      <c r="D8765">
        <v>1.5</v>
      </c>
      <c r="E8765">
        <v>7.5</v>
      </c>
      <c r="F8765" t="s">
        <v>10018</v>
      </c>
      <c r="G8765" t="s">
        <v>10021</v>
      </c>
      <c r="H8765" s="6">
        <v>44967</v>
      </c>
      <c r="I8765">
        <f t="shared" si="272"/>
        <v>0</v>
      </c>
      <c r="J8765" t="str">
        <f t="shared" si="273"/>
        <v>Complete</v>
      </c>
      <c r="K8765">
        <f>COUNTIFS(RawData[Item], B8765,RawData[Quantity],C8765,RawData[Price Per Unit],D8765,RawData[Total Spent],E8765,RawData[Payment Method],F8765,RawData[Location],G8765,RawData[Transaction Date],H8765)</f>
        <v>1</v>
      </c>
      <c r="L8765"/>
    </row>
    <row r="8766" spans="1:12" x14ac:dyDescent="0.3">
      <c r="A8766" t="s">
        <v>8772</v>
      </c>
      <c r="B8766" t="s">
        <v>10008</v>
      </c>
      <c r="C8766">
        <v>1</v>
      </c>
      <c r="D8766">
        <v>2</v>
      </c>
      <c r="E8766">
        <v>2</v>
      </c>
      <c r="F8766" t="s">
        <v>10020</v>
      </c>
      <c r="G8766" t="s">
        <v>10069</v>
      </c>
      <c r="H8766" s="6">
        <v>45082</v>
      </c>
      <c r="I8766">
        <f t="shared" si="272"/>
        <v>0</v>
      </c>
      <c r="J8766" t="str">
        <f t="shared" si="273"/>
        <v>Complete</v>
      </c>
      <c r="K8766">
        <f>COUNTIFS(RawData[Item], B8766,RawData[Quantity],C8766,RawData[Price Per Unit],D8766,RawData[Total Spent],E8766,RawData[Payment Method],F8766,RawData[Location],G8766,RawData[Transaction Date],H8766)</f>
        <v>1</v>
      </c>
      <c r="L8766"/>
    </row>
    <row r="8767" spans="1:12" x14ac:dyDescent="0.3">
      <c r="A8767" t="s">
        <v>8773</v>
      </c>
      <c r="B8767" t="s">
        <v>10008</v>
      </c>
      <c r="C8767">
        <v>4</v>
      </c>
      <c r="D8767">
        <v>2</v>
      </c>
      <c r="E8767">
        <v>8</v>
      </c>
      <c r="F8767" t="s">
        <v>10020</v>
      </c>
      <c r="G8767" t="s">
        <v>10069</v>
      </c>
      <c r="H8767" s="6">
        <v>45109</v>
      </c>
      <c r="I8767">
        <f t="shared" si="272"/>
        <v>0</v>
      </c>
      <c r="J8767" t="str">
        <f t="shared" si="273"/>
        <v>Complete</v>
      </c>
      <c r="K8767">
        <f>COUNTIFS(RawData[Item], B8767,RawData[Quantity],C8767,RawData[Price Per Unit],D8767,RawData[Total Spent],E8767,RawData[Payment Method],F8767,RawData[Location],G8767,RawData[Transaction Date],H8767)</f>
        <v>1</v>
      </c>
      <c r="L8767"/>
    </row>
    <row r="8768" spans="1:12" x14ac:dyDescent="0.3">
      <c r="A8768" t="s">
        <v>8774</v>
      </c>
      <c r="B8768" t="s">
        <v>10008</v>
      </c>
      <c r="C8768">
        <v>1</v>
      </c>
      <c r="D8768">
        <v>2</v>
      </c>
      <c r="E8768">
        <v>2</v>
      </c>
      <c r="F8768" t="s">
        <v>10019</v>
      </c>
      <c r="G8768" t="s">
        <v>10069</v>
      </c>
      <c r="H8768" s="6">
        <v>45122</v>
      </c>
      <c r="I8768">
        <f t="shared" si="272"/>
        <v>0</v>
      </c>
      <c r="J8768" t="str">
        <f t="shared" si="273"/>
        <v>Complete</v>
      </c>
      <c r="K8768">
        <f>COUNTIFS(RawData[Item], B8768,RawData[Quantity],C8768,RawData[Price Per Unit],D8768,RawData[Total Spent],E8768,RawData[Payment Method],F8768,RawData[Location],G8768,RawData[Transaction Date],H8768)</f>
        <v>1</v>
      </c>
      <c r="L8768"/>
    </row>
    <row r="8769" spans="1:12" x14ac:dyDescent="0.3">
      <c r="A8769" t="s">
        <v>8775</v>
      </c>
      <c r="B8769" t="s">
        <v>10009</v>
      </c>
      <c r="C8769">
        <v>4</v>
      </c>
      <c r="D8769">
        <v>3</v>
      </c>
      <c r="E8769">
        <v>12</v>
      </c>
      <c r="F8769" t="s">
        <v>10019</v>
      </c>
      <c r="G8769" t="s">
        <v>10102</v>
      </c>
      <c r="H8769" s="6">
        <v>45259</v>
      </c>
      <c r="I8769">
        <f t="shared" si="272"/>
        <v>0</v>
      </c>
      <c r="J8769" t="str">
        <f t="shared" si="273"/>
        <v>Complete</v>
      </c>
      <c r="K8769">
        <f>COUNTIFS(RawData[Item], B8769,RawData[Quantity],C8769,RawData[Price Per Unit],D8769,RawData[Total Spent],E8769,RawData[Payment Method],F8769,RawData[Location],G8769,RawData[Transaction Date],H8769)</f>
        <v>1</v>
      </c>
      <c r="L8769"/>
    </row>
    <row r="8770" spans="1:12" x14ac:dyDescent="0.3">
      <c r="A8770" t="s">
        <v>8776</v>
      </c>
      <c r="B8770" t="s">
        <v>10017</v>
      </c>
      <c r="C8770">
        <v>5</v>
      </c>
      <c r="D8770">
        <v>1.5</v>
      </c>
      <c r="E8770">
        <v>7.5</v>
      </c>
      <c r="F8770" t="s">
        <v>10019</v>
      </c>
      <c r="G8770" t="s">
        <v>10069</v>
      </c>
      <c r="H8770" s="6">
        <v>45220</v>
      </c>
      <c r="I8770">
        <f t="shared" ref="I8770:I8833" si="274">(B8770="Unknown")+(B8770="Error")+(C8770="Unknown")+(C8770="Error")+(D8770="Unknown")+(D8770="Error")+(E8770="Unknown")+(E8770="Error")+(F8770="Unknown")+(F8770="Error")+(G8770="Unknown")+(G8770="Error")+(H8770="No Date")</f>
        <v>0</v>
      </c>
      <c r="J8770" t="str">
        <f t="shared" ref="J8770:J8833" si="275">IF((H8770="No Date"),"Incomplete","Complete")</f>
        <v>Complete</v>
      </c>
      <c r="K8770">
        <f>COUNTIFS(RawData[Item], B8770,RawData[Quantity],C8770,RawData[Price Per Unit],D8770,RawData[Total Spent],E8770,RawData[Payment Method],F8770,RawData[Location],G8770,RawData[Transaction Date],H8770)</f>
        <v>1</v>
      </c>
      <c r="L8770"/>
    </row>
    <row r="8771" spans="1:12" x14ac:dyDescent="0.3">
      <c r="A8771" t="s">
        <v>8777</v>
      </c>
      <c r="B8771" t="s">
        <v>10017</v>
      </c>
      <c r="C8771">
        <v>1</v>
      </c>
      <c r="D8771">
        <v>1.5</v>
      </c>
      <c r="E8771">
        <v>1.5</v>
      </c>
      <c r="F8771" t="s">
        <v>10069</v>
      </c>
      <c r="G8771" t="s">
        <v>10069</v>
      </c>
      <c r="H8771" s="6">
        <v>45138</v>
      </c>
      <c r="I8771">
        <f t="shared" si="274"/>
        <v>0</v>
      </c>
      <c r="J8771" t="str">
        <f t="shared" si="275"/>
        <v>Complete</v>
      </c>
      <c r="K8771">
        <f>COUNTIFS(RawData[Item], B8771,RawData[Quantity],C8771,RawData[Price Per Unit],D8771,RawData[Total Spent],E8771,RawData[Payment Method],F8771,RawData[Location],G8771,RawData[Transaction Date],H8771)</f>
        <v>1</v>
      </c>
      <c r="L8771"/>
    </row>
    <row r="8772" spans="1:12" x14ac:dyDescent="0.3">
      <c r="A8772" t="s">
        <v>8778</v>
      </c>
      <c r="B8772" t="s">
        <v>10014</v>
      </c>
      <c r="C8772">
        <v>1</v>
      </c>
      <c r="D8772">
        <v>4</v>
      </c>
      <c r="E8772">
        <v>4</v>
      </c>
      <c r="F8772" t="s">
        <v>10018</v>
      </c>
      <c r="G8772" t="s">
        <v>10103</v>
      </c>
      <c r="H8772" s="6">
        <v>45256</v>
      </c>
      <c r="I8772">
        <f t="shared" si="274"/>
        <v>1</v>
      </c>
      <c r="J8772" t="str">
        <f t="shared" si="275"/>
        <v>Complete</v>
      </c>
      <c r="K8772">
        <f>COUNTIFS(RawData[Item], B8772,RawData[Quantity],C8772,RawData[Price Per Unit],D8772,RawData[Total Spent],E8772,RawData[Payment Method],F8772,RawData[Location],G8772,RawData[Transaction Date],H8772)</f>
        <v>1</v>
      </c>
      <c r="L8772"/>
    </row>
    <row r="8773" spans="1:12" x14ac:dyDescent="0.3">
      <c r="A8773" t="s">
        <v>8779</v>
      </c>
      <c r="B8773" t="s">
        <v>10009</v>
      </c>
      <c r="C8773">
        <v>2</v>
      </c>
      <c r="D8773">
        <v>3</v>
      </c>
      <c r="E8773">
        <v>6</v>
      </c>
      <c r="F8773" t="s">
        <v>10069</v>
      </c>
      <c r="G8773" t="s">
        <v>10021</v>
      </c>
      <c r="H8773" s="6">
        <v>45222</v>
      </c>
      <c r="I8773">
        <f t="shared" si="274"/>
        <v>0</v>
      </c>
      <c r="J8773" t="str">
        <f t="shared" si="275"/>
        <v>Complete</v>
      </c>
      <c r="K8773">
        <f>COUNTIFS(RawData[Item], B8773,RawData[Quantity],C8773,RawData[Price Per Unit],D8773,RawData[Total Spent],E8773,RawData[Payment Method],F8773,RawData[Location],G8773,RawData[Transaction Date],H8773)</f>
        <v>1</v>
      </c>
      <c r="L8773"/>
    </row>
    <row r="8774" spans="1:12" x14ac:dyDescent="0.3">
      <c r="A8774" t="s">
        <v>8780</v>
      </c>
      <c r="B8774" t="s">
        <v>10012</v>
      </c>
      <c r="C8774">
        <v>3</v>
      </c>
      <c r="D8774">
        <v>4</v>
      </c>
      <c r="E8774">
        <v>0</v>
      </c>
      <c r="F8774" t="s">
        <v>10019</v>
      </c>
      <c r="G8774" t="s">
        <v>10069</v>
      </c>
      <c r="H8774" s="6">
        <v>45060</v>
      </c>
      <c r="I8774">
        <f t="shared" si="274"/>
        <v>0</v>
      </c>
      <c r="J8774" t="str">
        <f t="shared" si="275"/>
        <v>Complete</v>
      </c>
      <c r="K8774">
        <f>COUNTIFS(RawData[Item], B8774,RawData[Quantity],C8774,RawData[Price Per Unit],D8774,RawData[Total Spent],E8774,RawData[Payment Method],F8774,RawData[Location],G8774,RawData[Transaction Date],H8774)</f>
        <v>1</v>
      </c>
      <c r="L8774"/>
    </row>
    <row r="8775" spans="1:12" x14ac:dyDescent="0.3">
      <c r="A8775" t="s">
        <v>8781</v>
      </c>
      <c r="B8775" t="s">
        <v>10012</v>
      </c>
      <c r="C8775">
        <v>2</v>
      </c>
      <c r="D8775">
        <v>4</v>
      </c>
      <c r="E8775">
        <v>8</v>
      </c>
      <c r="F8775" t="s">
        <v>10018</v>
      </c>
      <c r="G8775" t="s">
        <v>10069</v>
      </c>
      <c r="H8775" s="6">
        <v>45008</v>
      </c>
      <c r="I8775">
        <f t="shared" si="274"/>
        <v>0</v>
      </c>
      <c r="J8775" t="str">
        <f t="shared" si="275"/>
        <v>Complete</v>
      </c>
      <c r="K8775">
        <f>COUNTIFS(RawData[Item], B8775,RawData[Quantity],C8775,RawData[Price Per Unit],D8775,RawData[Total Spent],E8775,RawData[Payment Method],F8775,RawData[Location],G8775,RawData[Transaction Date],H8775)</f>
        <v>1</v>
      </c>
      <c r="L8775"/>
    </row>
    <row r="8776" spans="1:12" x14ac:dyDescent="0.3">
      <c r="A8776" t="s">
        <v>8782</v>
      </c>
      <c r="B8776" t="s">
        <v>10016</v>
      </c>
      <c r="C8776">
        <v>4</v>
      </c>
      <c r="D8776">
        <v>3</v>
      </c>
      <c r="E8776" t="s">
        <v>10015</v>
      </c>
      <c r="F8776" t="s">
        <v>10020</v>
      </c>
      <c r="G8776" t="s">
        <v>10102</v>
      </c>
      <c r="H8776" s="6">
        <v>45062</v>
      </c>
      <c r="I8776">
        <f t="shared" si="274"/>
        <v>1</v>
      </c>
      <c r="J8776" t="str">
        <f t="shared" si="275"/>
        <v>Complete</v>
      </c>
      <c r="K8776">
        <f>COUNTIFS(RawData[Item], B8776,RawData[Quantity],C8776,RawData[Price Per Unit],D8776,RawData[Total Spent],E8776,RawData[Payment Method],F8776,RawData[Location],G8776,RawData[Transaction Date],H8776)</f>
        <v>1</v>
      </c>
      <c r="L8776"/>
    </row>
    <row r="8777" spans="1:12" x14ac:dyDescent="0.3">
      <c r="A8777" t="s">
        <v>8783</v>
      </c>
      <c r="B8777" t="s">
        <v>10008</v>
      </c>
      <c r="C8777">
        <v>1</v>
      </c>
      <c r="D8777">
        <v>2</v>
      </c>
      <c r="E8777">
        <v>2</v>
      </c>
      <c r="F8777" t="s">
        <v>10020</v>
      </c>
      <c r="G8777" t="s">
        <v>10102</v>
      </c>
      <c r="H8777" s="6">
        <v>45081</v>
      </c>
      <c r="I8777">
        <f t="shared" si="274"/>
        <v>0</v>
      </c>
      <c r="J8777" t="str">
        <f t="shared" si="275"/>
        <v>Complete</v>
      </c>
      <c r="K8777">
        <f>COUNTIFS(RawData[Item], B8777,RawData[Quantity],C8777,RawData[Price Per Unit],D8777,RawData[Total Spent],E8777,RawData[Payment Method],F8777,RawData[Location],G8777,RawData[Transaction Date],H8777)</f>
        <v>1</v>
      </c>
      <c r="L8777"/>
    </row>
    <row r="8778" spans="1:12" x14ac:dyDescent="0.3">
      <c r="A8778" t="s">
        <v>8784</v>
      </c>
      <c r="B8778" t="s">
        <v>10016</v>
      </c>
      <c r="C8778">
        <v>3</v>
      </c>
      <c r="D8778">
        <v>3</v>
      </c>
      <c r="E8778">
        <v>9</v>
      </c>
      <c r="F8778" t="s">
        <v>10018</v>
      </c>
      <c r="G8778" t="s">
        <v>10021</v>
      </c>
      <c r="H8778" s="6" t="s">
        <v>10112</v>
      </c>
      <c r="I8778">
        <f t="shared" si="274"/>
        <v>1</v>
      </c>
      <c r="J8778" t="str">
        <f t="shared" si="275"/>
        <v>Incomplete</v>
      </c>
      <c r="K8778">
        <f>COUNTIFS(RawData[Item], B8778,RawData[Quantity],C8778,RawData[Price Per Unit],D8778,RawData[Total Spent],E8778,RawData[Payment Method],F8778,RawData[Location],G8778,RawData[Transaction Date],H8778)</f>
        <v>1</v>
      </c>
      <c r="L8778"/>
    </row>
    <row r="8779" spans="1:12" x14ac:dyDescent="0.3">
      <c r="A8779" t="s">
        <v>8785</v>
      </c>
      <c r="B8779" t="s">
        <v>10008</v>
      </c>
      <c r="C8779">
        <v>5</v>
      </c>
      <c r="D8779">
        <v>2</v>
      </c>
      <c r="E8779">
        <v>10</v>
      </c>
      <c r="F8779" t="s">
        <v>10018</v>
      </c>
      <c r="G8779" t="s">
        <v>10102</v>
      </c>
      <c r="H8779" s="6">
        <v>45248</v>
      </c>
      <c r="I8779">
        <f t="shared" si="274"/>
        <v>0</v>
      </c>
      <c r="J8779" t="str">
        <f t="shared" si="275"/>
        <v>Complete</v>
      </c>
      <c r="K8779">
        <f>COUNTIFS(RawData[Item], B8779,RawData[Quantity],C8779,RawData[Price Per Unit],D8779,RawData[Total Spent],E8779,RawData[Payment Method],F8779,RawData[Location],G8779,RawData[Transaction Date],H8779)</f>
        <v>1</v>
      </c>
      <c r="L8779"/>
    </row>
    <row r="8780" spans="1:12" x14ac:dyDescent="0.3">
      <c r="A8780" t="s">
        <v>8786</v>
      </c>
      <c r="B8780" t="s">
        <v>10069</v>
      </c>
      <c r="C8780">
        <v>2</v>
      </c>
      <c r="D8780">
        <v>4</v>
      </c>
      <c r="E8780">
        <v>8</v>
      </c>
      <c r="F8780" t="s">
        <v>10018</v>
      </c>
      <c r="G8780" t="s">
        <v>10102</v>
      </c>
      <c r="H8780" s="6">
        <v>44942</v>
      </c>
      <c r="I8780">
        <f t="shared" si="274"/>
        <v>0</v>
      </c>
      <c r="J8780" t="str">
        <f t="shared" si="275"/>
        <v>Complete</v>
      </c>
      <c r="K8780">
        <f>COUNTIFS(RawData[Item], B8780,RawData[Quantity],C8780,RawData[Price Per Unit],D8780,RawData[Total Spent],E8780,RawData[Payment Method],F8780,RawData[Location],G8780,RawData[Transaction Date],H8780)</f>
        <v>1</v>
      </c>
      <c r="L8780"/>
    </row>
    <row r="8781" spans="1:12" x14ac:dyDescent="0.3">
      <c r="A8781" t="s">
        <v>8787</v>
      </c>
      <c r="B8781" t="s">
        <v>10010</v>
      </c>
      <c r="C8781">
        <v>5</v>
      </c>
      <c r="D8781">
        <v>1</v>
      </c>
      <c r="E8781">
        <v>5</v>
      </c>
      <c r="F8781" t="s">
        <v>10018</v>
      </c>
      <c r="G8781" t="s">
        <v>10069</v>
      </c>
      <c r="H8781" s="6">
        <v>44940</v>
      </c>
      <c r="I8781">
        <f t="shared" si="274"/>
        <v>0</v>
      </c>
      <c r="J8781" t="str">
        <f t="shared" si="275"/>
        <v>Complete</v>
      </c>
      <c r="K8781">
        <f>COUNTIFS(RawData[Item], B8781,RawData[Quantity],C8781,RawData[Price Per Unit],D8781,RawData[Total Spent],E8781,RawData[Payment Method],F8781,RawData[Location],G8781,RawData[Transaction Date],H8781)</f>
        <v>1</v>
      </c>
      <c r="L8781"/>
    </row>
    <row r="8782" spans="1:12" x14ac:dyDescent="0.3">
      <c r="A8782" t="s">
        <v>8788</v>
      </c>
      <c r="B8782" t="s">
        <v>10011</v>
      </c>
      <c r="C8782">
        <v>4</v>
      </c>
      <c r="D8782">
        <v>5</v>
      </c>
      <c r="E8782">
        <v>20</v>
      </c>
      <c r="F8782" t="s">
        <v>10020</v>
      </c>
      <c r="G8782" t="s">
        <v>10021</v>
      </c>
      <c r="H8782" s="6">
        <v>45017</v>
      </c>
      <c r="I8782">
        <f t="shared" si="274"/>
        <v>0</v>
      </c>
      <c r="J8782" t="str">
        <f t="shared" si="275"/>
        <v>Complete</v>
      </c>
      <c r="K8782">
        <f>COUNTIFS(RawData[Item], B8782,RawData[Quantity],C8782,RawData[Price Per Unit],D8782,RawData[Total Spent],E8782,RawData[Payment Method],F8782,RawData[Location],G8782,RawData[Transaction Date],H8782)</f>
        <v>1</v>
      </c>
      <c r="L8782"/>
    </row>
    <row r="8783" spans="1:12" x14ac:dyDescent="0.3">
      <c r="A8783" t="s">
        <v>8789</v>
      </c>
      <c r="B8783" t="s">
        <v>10017</v>
      </c>
      <c r="C8783">
        <v>1</v>
      </c>
      <c r="D8783">
        <v>1.5</v>
      </c>
      <c r="E8783">
        <v>1.5</v>
      </c>
      <c r="F8783" t="s">
        <v>10018</v>
      </c>
      <c r="G8783" t="s">
        <v>10102</v>
      </c>
      <c r="H8783" s="6">
        <v>45140</v>
      </c>
      <c r="I8783">
        <f t="shared" si="274"/>
        <v>0</v>
      </c>
      <c r="J8783" t="str">
        <f t="shared" si="275"/>
        <v>Complete</v>
      </c>
      <c r="K8783">
        <f>COUNTIFS(RawData[Item], B8783,RawData[Quantity],C8783,RawData[Price Per Unit],D8783,RawData[Total Spent],E8783,RawData[Payment Method],F8783,RawData[Location],G8783,RawData[Transaction Date],H8783)</f>
        <v>1</v>
      </c>
      <c r="L8783"/>
    </row>
    <row r="8784" spans="1:12" x14ac:dyDescent="0.3">
      <c r="A8784" t="s">
        <v>8790</v>
      </c>
      <c r="B8784" t="s">
        <v>10008</v>
      </c>
      <c r="C8784">
        <v>4</v>
      </c>
      <c r="D8784">
        <v>2</v>
      </c>
      <c r="E8784">
        <v>8</v>
      </c>
      <c r="F8784" t="s">
        <v>10069</v>
      </c>
      <c r="G8784" t="s">
        <v>10069</v>
      </c>
      <c r="H8784" s="6">
        <v>45157</v>
      </c>
      <c r="I8784">
        <f t="shared" si="274"/>
        <v>0</v>
      </c>
      <c r="J8784" t="str">
        <f t="shared" si="275"/>
        <v>Complete</v>
      </c>
      <c r="K8784">
        <f>COUNTIFS(RawData[Item], B8784,RawData[Quantity],C8784,RawData[Price Per Unit],D8784,RawData[Total Spent],E8784,RawData[Payment Method],F8784,RawData[Location],G8784,RawData[Transaction Date],H8784)</f>
        <v>1</v>
      </c>
      <c r="L8784"/>
    </row>
    <row r="8785" spans="1:12" x14ac:dyDescent="0.3">
      <c r="A8785" t="s">
        <v>8791</v>
      </c>
      <c r="B8785" t="s">
        <v>10010</v>
      </c>
      <c r="C8785">
        <v>4</v>
      </c>
      <c r="D8785">
        <v>1</v>
      </c>
      <c r="E8785">
        <v>4</v>
      </c>
      <c r="F8785" t="s">
        <v>10020</v>
      </c>
      <c r="G8785" t="s">
        <v>10021</v>
      </c>
      <c r="H8785" s="6" t="s">
        <v>10112</v>
      </c>
      <c r="I8785">
        <f t="shared" si="274"/>
        <v>1</v>
      </c>
      <c r="J8785" t="str">
        <f t="shared" si="275"/>
        <v>Incomplete</v>
      </c>
      <c r="K8785">
        <f>COUNTIFS(RawData[Item], B8785,RawData[Quantity],C8785,RawData[Price Per Unit],D8785,RawData[Total Spent],E8785,RawData[Payment Method],F8785,RawData[Location],G8785,RawData[Transaction Date],H8785)</f>
        <v>1</v>
      </c>
      <c r="L8785"/>
    </row>
    <row r="8786" spans="1:12" x14ac:dyDescent="0.3">
      <c r="A8786" t="s">
        <v>8792</v>
      </c>
      <c r="B8786" t="s">
        <v>10008</v>
      </c>
      <c r="C8786">
        <v>4</v>
      </c>
      <c r="D8786">
        <v>2</v>
      </c>
      <c r="E8786">
        <v>8</v>
      </c>
      <c r="F8786" t="s">
        <v>10019</v>
      </c>
      <c r="G8786" t="s">
        <v>10069</v>
      </c>
      <c r="H8786" s="6">
        <v>44940</v>
      </c>
      <c r="I8786">
        <f t="shared" si="274"/>
        <v>0</v>
      </c>
      <c r="J8786" t="str">
        <f t="shared" si="275"/>
        <v>Complete</v>
      </c>
      <c r="K8786">
        <f>COUNTIFS(RawData[Item], B8786,RawData[Quantity],C8786,RawData[Price Per Unit],D8786,RawData[Total Spent],E8786,RawData[Payment Method],F8786,RawData[Location],G8786,RawData[Transaction Date],H8786)</f>
        <v>1</v>
      </c>
      <c r="L8786"/>
    </row>
    <row r="8787" spans="1:12" x14ac:dyDescent="0.3">
      <c r="A8787" t="s">
        <v>8793</v>
      </c>
      <c r="B8787" t="s">
        <v>10011</v>
      </c>
      <c r="C8787">
        <v>3</v>
      </c>
      <c r="D8787">
        <v>5</v>
      </c>
      <c r="E8787">
        <v>15</v>
      </c>
      <c r="F8787" t="s">
        <v>10019</v>
      </c>
      <c r="G8787" t="s">
        <v>10069</v>
      </c>
      <c r="H8787" s="6">
        <v>45181</v>
      </c>
      <c r="I8787">
        <f t="shared" si="274"/>
        <v>0</v>
      </c>
      <c r="J8787" t="str">
        <f t="shared" si="275"/>
        <v>Complete</v>
      </c>
      <c r="K8787">
        <f>COUNTIFS(RawData[Item], B8787,RawData[Quantity],C8787,RawData[Price Per Unit],D8787,RawData[Total Spent],E8787,RawData[Payment Method],F8787,RawData[Location],G8787,RawData[Transaction Date],H8787)</f>
        <v>1</v>
      </c>
      <c r="L8787"/>
    </row>
    <row r="8788" spans="1:12" x14ac:dyDescent="0.3">
      <c r="A8788" t="s">
        <v>8794</v>
      </c>
      <c r="B8788" t="s">
        <v>10016</v>
      </c>
      <c r="C8788" t="s">
        <v>10013</v>
      </c>
      <c r="D8788">
        <v>3</v>
      </c>
      <c r="E8788">
        <v>15</v>
      </c>
      <c r="F8788" t="s">
        <v>10020</v>
      </c>
      <c r="G8788" t="s">
        <v>10102</v>
      </c>
      <c r="H8788" s="6">
        <v>45227</v>
      </c>
      <c r="I8788">
        <f t="shared" si="274"/>
        <v>1</v>
      </c>
      <c r="J8788" t="str">
        <f t="shared" si="275"/>
        <v>Complete</v>
      </c>
      <c r="K8788">
        <f>COUNTIFS(RawData[Item], B8788,RawData[Quantity],C8788,RawData[Price Per Unit],D8788,RawData[Total Spent],E8788,RawData[Payment Method],F8788,RawData[Location],G8788,RawData[Transaction Date],H8788)</f>
        <v>1</v>
      </c>
      <c r="L8788"/>
    </row>
    <row r="8789" spans="1:12" x14ac:dyDescent="0.3">
      <c r="A8789" t="s">
        <v>8795</v>
      </c>
      <c r="B8789" t="s">
        <v>10015</v>
      </c>
      <c r="C8789">
        <v>5</v>
      </c>
      <c r="D8789">
        <v>4</v>
      </c>
      <c r="E8789">
        <v>20</v>
      </c>
      <c r="F8789" t="s">
        <v>10020</v>
      </c>
      <c r="G8789" t="s">
        <v>10069</v>
      </c>
      <c r="H8789" s="6" t="s">
        <v>10112</v>
      </c>
      <c r="I8789">
        <f t="shared" si="274"/>
        <v>2</v>
      </c>
      <c r="J8789" t="str">
        <f t="shared" si="275"/>
        <v>Incomplete</v>
      </c>
      <c r="K8789">
        <f>COUNTIFS(RawData[Item], B8789,RawData[Quantity],C8789,RawData[Price Per Unit],D8789,RawData[Total Spent],E8789,RawData[Payment Method],F8789,RawData[Location],G8789,RawData[Transaction Date],H8789)</f>
        <v>1</v>
      </c>
      <c r="L8789"/>
    </row>
    <row r="8790" spans="1:12" x14ac:dyDescent="0.3">
      <c r="A8790" t="s">
        <v>8796</v>
      </c>
      <c r="B8790" t="s">
        <v>10013</v>
      </c>
      <c r="C8790">
        <v>1</v>
      </c>
      <c r="D8790">
        <v>4</v>
      </c>
      <c r="E8790">
        <v>4</v>
      </c>
      <c r="F8790" t="s">
        <v>10069</v>
      </c>
      <c r="G8790" t="s">
        <v>10069</v>
      </c>
      <c r="H8790" s="6" t="s">
        <v>10112</v>
      </c>
      <c r="I8790">
        <f t="shared" si="274"/>
        <v>2</v>
      </c>
      <c r="J8790" t="str">
        <f t="shared" si="275"/>
        <v>Incomplete</v>
      </c>
      <c r="K8790">
        <f>COUNTIFS(RawData[Item], B8790,RawData[Quantity],C8790,RawData[Price Per Unit],D8790,RawData[Total Spent],E8790,RawData[Payment Method],F8790,RawData[Location],G8790,RawData[Transaction Date],H8790)</f>
        <v>1</v>
      </c>
      <c r="L8790"/>
    </row>
    <row r="8791" spans="1:12" x14ac:dyDescent="0.3">
      <c r="A8791" t="s">
        <v>8797</v>
      </c>
      <c r="B8791" t="s">
        <v>10016</v>
      </c>
      <c r="C8791">
        <v>2</v>
      </c>
      <c r="D8791">
        <v>3</v>
      </c>
      <c r="E8791">
        <v>6</v>
      </c>
      <c r="F8791" t="s">
        <v>10018</v>
      </c>
      <c r="G8791" t="s">
        <v>10102</v>
      </c>
      <c r="H8791" s="6">
        <v>45071</v>
      </c>
      <c r="I8791">
        <f t="shared" si="274"/>
        <v>0</v>
      </c>
      <c r="J8791" t="str">
        <f t="shared" si="275"/>
        <v>Complete</v>
      </c>
      <c r="K8791">
        <f>COUNTIFS(RawData[Item], B8791,RawData[Quantity],C8791,RawData[Price Per Unit],D8791,RawData[Total Spent],E8791,RawData[Payment Method],F8791,RawData[Location],G8791,RawData[Transaction Date],H8791)</f>
        <v>1</v>
      </c>
      <c r="L8791"/>
    </row>
    <row r="8792" spans="1:12" x14ac:dyDescent="0.3">
      <c r="A8792" t="s">
        <v>8798</v>
      </c>
      <c r="B8792" t="s">
        <v>10008</v>
      </c>
      <c r="C8792">
        <v>1</v>
      </c>
      <c r="D8792">
        <v>2</v>
      </c>
      <c r="E8792">
        <v>2</v>
      </c>
      <c r="F8792" t="s">
        <v>10069</v>
      </c>
      <c r="G8792" t="s">
        <v>10102</v>
      </c>
      <c r="H8792" s="6">
        <v>44981</v>
      </c>
      <c r="I8792">
        <f t="shared" si="274"/>
        <v>0</v>
      </c>
      <c r="J8792" t="str">
        <f t="shared" si="275"/>
        <v>Complete</v>
      </c>
      <c r="K8792">
        <f>COUNTIFS(RawData[Item], B8792,RawData[Quantity],C8792,RawData[Price Per Unit],D8792,RawData[Total Spent],E8792,RawData[Payment Method],F8792,RawData[Location],G8792,RawData[Transaction Date],H8792)</f>
        <v>1</v>
      </c>
      <c r="L8792"/>
    </row>
    <row r="8793" spans="1:12" x14ac:dyDescent="0.3">
      <c r="A8793" t="s">
        <v>8799</v>
      </c>
      <c r="B8793" t="s">
        <v>10009</v>
      </c>
      <c r="C8793">
        <v>2</v>
      </c>
      <c r="D8793">
        <v>3</v>
      </c>
      <c r="E8793" t="s">
        <v>10015</v>
      </c>
      <c r="F8793" t="s">
        <v>10069</v>
      </c>
      <c r="G8793" t="s">
        <v>10021</v>
      </c>
      <c r="H8793" s="6" t="s">
        <v>10112</v>
      </c>
      <c r="I8793">
        <f t="shared" si="274"/>
        <v>2</v>
      </c>
      <c r="J8793" t="str">
        <f t="shared" si="275"/>
        <v>Incomplete</v>
      </c>
      <c r="K8793">
        <f>COUNTIFS(RawData[Item], B8793,RawData[Quantity],C8793,RawData[Price Per Unit],D8793,RawData[Total Spent],E8793,RawData[Payment Method],F8793,RawData[Location],G8793,RawData[Transaction Date],H8793)</f>
        <v>1</v>
      </c>
      <c r="L8793"/>
    </row>
    <row r="8794" spans="1:12" x14ac:dyDescent="0.3">
      <c r="A8794" t="s">
        <v>8800</v>
      </c>
      <c r="B8794" t="s">
        <v>10011</v>
      </c>
      <c r="C8794" t="s">
        <v>10013</v>
      </c>
      <c r="D8794">
        <v>5</v>
      </c>
      <c r="E8794">
        <v>5</v>
      </c>
      <c r="F8794" t="s">
        <v>10103</v>
      </c>
      <c r="G8794" t="s">
        <v>10104</v>
      </c>
      <c r="H8794" s="6">
        <v>44962</v>
      </c>
      <c r="I8794">
        <f t="shared" si="274"/>
        <v>3</v>
      </c>
      <c r="J8794" t="str">
        <f t="shared" si="275"/>
        <v>Complete</v>
      </c>
      <c r="K8794">
        <f>COUNTIFS(RawData[Item], B8794,RawData[Quantity],C8794,RawData[Price Per Unit],D8794,RawData[Total Spent],E8794,RawData[Payment Method],F8794,RawData[Location],G8794,RawData[Transaction Date],H8794)</f>
        <v>1</v>
      </c>
      <c r="L8794"/>
    </row>
    <row r="8795" spans="1:12" x14ac:dyDescent="0.3">
      <c r="A8795" t="s">
        <v>8801</v>
      </c>
      <c r="B8795" t="s">
        <v>10069</v>
      </c>
      <c r="C8795">
        <v>5</v>
      </c>
      <c r="D8795">
        <v>3</v>
      </c>
      <c r="E8795">
        <v>15</v>
      </c>
      <c r="F8795" t="s">
        <v>10020</v>
      </c>
      <c r="G8795" t="s">
        <v>10102</v>
      </c>
      <c r="H8795" s="6">
        <v>45088</v>
      </c>
      <c r="I8795">
        <f t="shared" si="274"/>
        <v>0</v>
      </c>
      <c r="J8795" t="str">
        <f t="shared" si="275"/>
        <v>Complete</v>
      </c>
      <c r="K8795">
        <f>COUNTIFS(RawData[Item], B8795,RawData[Quantity],C8795,RawData[Price Per Unit],D8795,RawData[Total Spent],E8795,RawData[Payment Method],F8795,RawData[Location],G8795,RawData[Transaction Date],H8795)</f>
        <v>1</v>
      </c>
      <c r="L8795"/>
    </row>
    <row r="8796" spans="1:12" x14ac:dyDescent="0.3">
      <c r="A8796" t="s">
        <v>8802</v>
      </c>
      <c r="B8796" t="s">
        <v>10015</v>
      </c>
      <c r="C8796">
        <v>1</v>
      </c>
      <c r="D8796">
        <v>3</v>
      </c>
      <c r="E8796">
        <v>3</v>
      </c>
      <c r="F8796" t="s">
        <v>10018</v>
      </c>
      <c r="G8796" t="s">
        <v>10069</v>
      </c>
      <c r="H8796" s="6">
        <v>44997</v>
      </c>
      <c r="I8796">
        <f t="shared" si="274"/>
        <v>1</v>
      </c>
      <c r="J8796" t="str">
        <f t="shared" si="275"/>
        <v>Complete</v>
      </c>
      <c r="K8796">
        <f>COUNTIFS(RawData[Item], B8796,RawData[Quantity],C8796,RawData[Price Per Unit],D8796,RawData[Total Spent],E8796,RawData[Payment Method],F8796,RawData[Location],G8796,RawData[Transaction Date],H8796)</f>
        <v>1</v>
      </c>
      <c r="L8796"/>
    </row>
    <row r="8797" spans="1:12" x14ac:dyDescent="0.3">
      <c r="A8797" t="s">
        <v>8803</v>
      </c>
      <c r="B8797" t="s">
        <v>10012</v>
      </c>
      <c r="C8797">
        <v>3</v>
      </c>
      <c r="D8797">
        <v>4</v>
      </c>
      <c r="E8797">
        <v>12</v>
      </c>
      <c r="F8797" t="s">
        <v>10069</v>
      </c>
      <c r="G8797" t="s">
        <v>10102</v>
      </c>
      <c r="H8797" s="6">
        <v>44955</v>
      </c>
      <c r="I8797">
        <f t="shared" si="274"/>
        <v>0</v>
      </c>
      <c r="J8797" t="str">
        <f t="shared" si="275"/>
        <v>Complete</v>
      </c>
      <c r="K8797">
        <f>COUNTIFS(RawData[Item], B8797,RawData[Quantity],C8797,RawData[Price Per Unit],D8797,RawData[Total Spent],E8797,RawData[Payment Method],F8797,RawData[Location],G8797,RawData[Transaction Date],H8797)</f>
        <v>1</v>
      </c>
      <c r="L8797"/>
    </row>
    <row r="8798" spans="1:12" x14ac:dyDescent="0.3">
      <c r="A8798" t="s">
        <v>8804</v>
      </c>
      <c r="B8798" t="s">
        <v>10011</v>
      </c>
      <c r="C8798">
        <v>1</v>
      </c>
      <c r="D8798">
        <v>5</v>
      </c>
      <c r="E8798">
        <v>5</v>
      </c>
      <c r="F8798" t="s">
        <v>10019</v>
      </c>
      <c r="G8798" t="s">
        <v>10102</v>
      </c>
      <c r="H8798" s="6">
        <v>45236</v>
      </c>
      <c r="I8798">
        <f t="shared" si="274"/>
        <v>0</v>
      </c>
      <c r="J8798" t="str">
        <f t="shared" si="275"/>
        <v>Complete</v>
      </c>
      <c r="K8798">
        <f>COUNTIFS(RawData[Item], B8798,RawData[Quantity],C8798,RawData[Price Per Unit],D8798,RawData[Total Spent],E8798,RawData[Payment Method],F8798,RawData[Location],G8798,RawData[Transaction Date],H8798)</f>
        <v>1</v>
      </c>
      <c r="L8798"/>
    </row>
    <row r="8799" spans="1:12" x14ac:dyDescent="0.3">
      <c r="A8799" t="s">
        <v>8805</v>
      </c>
      <c r="B8799" t="s">
        <v>10012</v>
      </c>
      <c r="C8799">
        <v>2</v>
      </c>
      <c r="D8799">
        <v>4</v>
      </c>
      <c r="E8799">
        <v>8</v>
      </c>
      <c r="F8799" t="s">
        <v>10069</v>
      </c>
      <c r="G8799" t="s">
        <v>10021</v>
      </c>
      <c r="H8799" s="6">
        <v>45060</v>
      </c>
      <c r="I8799">
        <f t="shared" si="274"/>
        <v>0</v>
      </c>
      <c r="J8799" t="str">
        <f t="shared" si="275"/>
        <v>Complete</v>
      </c>
      <c r="K8799">
        <f>COUNTIFS(RawData[Item], B8799,RawData[Quantity],C8799,RawData[Price Per Unit],D8799,RawData[Total Spent],E8799,RawData[Payment Method],F8799,RawData[Location],G8799,RawData[Transaction Date],H8799)</f>
        <v>1</v>
      </c>
      <c r="L8799"/>
    </row>
    <row r="8800" spans="1:12" x14ac:dyDescent="0.3">
      <c r="A8800" t="s">
        <v>8806</v>
      </c>
      <c r="B8800" t="s">
        <v>10012</v>
      </c>
      <c r="C8800">
        <v>1</v>
      </c>
      <c r="D8800">
        <v>4</v>
      </c>
      <c r="E8800">
        <v>4</v>
      </c>
      <c r="F8800" t="s">
        <v>10019</v>
      </c>
      <c r="G8800" t="s">
        <v>10021</v>
      </c>
      <c r="H8800" s="6">
        <v>45240</v>
      </c>
      <c r="I8800">
        <f t="shared" si="274"/>
        <v>0</v>
      </c>
      <c r="J8800" t="str">
        <f t="shared" si="275"/>
        <v>Complete</v>
      </c>
      <c r="K8800">
        <f>COUNTIFS(RawData[Item], B8800,RawData[Quantity],C8800,RawData[Price Per Unit],D8800,RawData[Total Spent],E8800,RawData[Payment Method],F8800,RawData[Location],G8800,RawData[Transaction Date],H8800)</f>
        <v>1</v>
      </c>
      <c r="L8800"/>
    </row>
    <row r="8801" spans="1:12" x14ac:dyDescent="0.3">
      <c r="A8801" t="s">
        <v>8807</v>
      </c>
      <c r="B8801" t="s">
        <v>10010</v>
      </c>
      <c r="C8801" t="s">
        <v>10015</v>
      </c>
      <c r="D8801">
        <v>1</v>
      </c>
      <c r="E8801">
        <v>4</v>
      </c>
      <c r="F8801" t="s">
        <v>10069</v>
      </c>
      <c r="G8801" t="s">
        <v>10021</v>
      </c>
      <c r="H8801" s="6">
        <v>45125</v>
      </c>
      <c r="I8801">
        <f t="shared" si="274"/>
        <v>1</v>
      </c>
      <c r="J8801" t="str">
        <f t="shared" si="275"/>
        <v>Complete</v>
      </c>
      <c r="K8801">
        <f>COUNTIFS(RawData[Item], B8801,RawData[Quantity],C8801,RawData[Price Per Unit],D8801,RawData[Total Spent],E8801,RawData[Payment Method],F8801,RawData[Location],G8801,RawData[Transaction Date],H8801)</f>
        <v>1</v>
      </c>
      <c r="L8801"/>
    </row>
    <row r="8802" spans="1:12" x14ac:dyDescent="0.3">
      <c r="A8802" t="s">
        <v>8808</v>
      </c>
      <c r="B8802" t="s">
        <v>10016</v>
      </c>
      <c r="C8802">
        <v>4</v>
      </c>
      <c r="D8802">
        <v>3</v>
      </c>
      <c r="E8802">
        <v>12</v>
      </c>
      <c r="F8802" t="s">
        <v>10020</v>
      </c>
      <c r="G8802" t="s">
        <v>10102</v>
      </c>
      <c r="H8802" s="6">
        <v>45219</v>
      </c>
      <c r="I8802">
        <f t="shared" si="274"/>
        <v>0</v>
      </c>
      <c r="J8802" t="str">
        <f t="shared" si="275"/>
        <v>Complete</v>
      </c>
      <c r="K8802">
        <f>COUNTIFS(RawData[Item], B8802,RawData[Quantity],C8802,RawData[Price Per Unit],D8802,RawData[Total Spent],E8802,RawData[Payment Method],F8802,RawData[Location],G8802,RawData[Transaction Date],H8802)</f>
        <v>1</v>
      </c>
      <c r="L8802"/>
    </row>
    <row r="8803" spans="1:12" x14ac:dyDescent="0.3">
      <c r="A8803" t="s">
        <v>8809</v>
      </c>
      <c r="B8803" t="s">
        <v>10012</v>
      </c>
      <c r="C8803">
        <v>1</v>
      </c>
      <c r="D8803">
        <v>4</v>
      </c>
      <c r="E8803">
        <v>4</v>
      </c>
      <c r="F8803" t="s">
        <v>10019</v>
      </c>
      <c r="G8803" t="s">
        <v>10102</v>
      </c>
      <c r="H8803" s="6">
        <v>45104</v>
      </c>
      <c r="I8803">
        <f t="shared" si="274"/>
        <v>0</v>
      </c>
      <c r="J8803" t="str">
        <f t="shared" si="275"/>
        <v>Complete</v>
      </c>
      <c r="K8803">
        <f>COUNTIFS(RawData[Item], B8803,RawData[Quantity],C8803,RawData[Price Per Unit],D8803,RawData[Total Spent],E8803,RawData[Payment Method],F8803,RawData[Location],G8803,RawData[Transaction Date],H8803)</f>
        <v>1</v>
      </c>
      <c r="L8803"/>
    </row>
    <row r="8804" spans="1:12" x14ac:dyDescent="0.3">
      <c r="A8804" t="s">
        <v>8810</v>
      </c>
      <c r="B8804" t="s">
        <v>10009</v>
      </c>
      <c r="C8804">
        <v>4</v>
      </c>
      <c r="D8804">
        <v>3</v>
      </c>
      <c r="E8804">
        <v>12</v>
      </c>
      <c r="F8804" t="s">
        <v>10069</v>
      </c>
      <c r="G8804" t="s">
        <v>10104</v>
      </c>
      <c r="H8804" s="6">
        <v>45027</v>
      </c>
      <c r="I8804">
        <f t="shared" si="274"/>
        <v>1</v>
      </c>
      <c r="J8804" t="str">
        <f t="shared" si="275"/>
        <v>Complete</v>
      </c>
      <c r="K8804">
        <f>COUNTIFS(RawData[Item], B8804,RawData[Quantity],C8804,RawData[Price Per Unit],D8804,RawData[Total Spent],E8804,RawData[Payment Method],F8804,RawData[Location],G8804,RawData[Transaction Date],H8804)</f>
        <v>1</v>
      </c>
      <c r="L8804"/>
    </row>
    <row r="8805" spans="1:12" x14ac:dyDescent="0.3">
      <c r="A8805" t="s">
        <v>8811</v>
      </c>
      <c r="B8805" t="s">
        <v>10011</v>
      </c>
      <c r="C8805">
        <v>2</v>
      </c>
      <c r="D8805">
        <v>5</v>
      </c>
      <c r="E8805">
        <v>10</v>
      </c>
      <c r="F8805" t="s">
        <v>10018</v>
      </c>
      <c r="G8805" t="s">
        <v>10021</v>
      </c>
      <c r="H8805" s="6">
        <v>44985</v>
      </c>
      <c r="I8805">
        <f t="shared" si="274"/>
        <v>0</v>
      </c>
      <c r="J8805" t="str">
        <f t="shared" si="275"/>
        <v>Complete</v>
      </c>
      <c r="K8805">
        <f>COUNTIFS(RawData[Item], B8805,RawData[Quantity],C8805,RawData[Price Per Unit],D8805,RawData[Total Spent],E8805,RawData[Payment Method],F8805,RawData[Location],G8805,RawData[Transaction Date],H8805)</f>
        <v>1</v>
      </c>
      <c r="L8805"/>
    </row>
    <row r="8806" spans="1:12" x14ac:dyDescent="0.3">
      <c r="A8806" t="s">
        <v>8812</v>
      </c>
      <c r="B8806" t="s">
        <v>10012</v>
      </c>
      <c r="C8806">
        <v>2</v>
      </c>
      <c r="D8806">
        <v>4</v>
      </c>
      <c r="E8806">
        <v>8</v>
      </c>
      <c r="F8806" t="s">
        <v>10020</v>
      </c>
      <c r="G8806" t="s">
        <v>10069</v>
      </c>
      <c r="H8806" s="6">
        <v>45041</v>
      </c>
      <c r="I8806">
        <f t="shared" si="274"/>
        <v>0</v>
      </c>
      <c r="J8806" t="str">
        <f t="shared" si="275"/>
        <v>Complete</v>
      </c>
      <c r="K8806">
        <f>COUNTIFS(RawData[Item], B8806,RawData[Quantity],C8806,RawData[Price Per Unit],D8806,RawData[Total Spent],E8806,RawData[Payment Method],F8806,RawData[Location],G8806,RawData[Transaction Date],H8806)</f>
        <v>1</v>
      </c>
      <c r="L8806"/>
    </row>
    <row r="8807" spans="1:12" x14ac:dyDescent="0.3">
      <c r="A8807" t="s">
        <v>8813</v>
      </c>
      <c r="B8807" t="s">
        <v>10009</v>
      </c>
      <c r="C8807">
        <v>5</v>
      </c>
      <c r="D8807">
        <v>3</v>
      </c>
      <c r="E8807">
        <v>15</v>
      </c>
      <c r="F8807" t="s">
        <v>10019</v>
      </c>
      <c r="G8807" t="s">
        <v>10102</v>
      </c>
      <c r="H8807" s="6">
        <v>44960</v>
      </c>
      <c r="I8807">
        <f t="shared" si="274"/>
        <v>0</v>
      </c>
      <c r="J8807" t="str">
        <f t="shared" si="275"/>
        <v>Complete</v>
      </c>
      <c r="K8807">
        <f>COUNTIFS(RawData[Item], B8807,RawData[Quantity],C8807,RawData[Price Per Unit],D8807,RawData[Total Spent],E8807,RawData[Payment Method],F8807,RawData[Location],G8807,RawData[Transaction Date],H8807)</f>
        <v>1</v>
      </c>
      <c r="L8807"/>
    </row>
    <row r="8808" spans="1:12" x14ac:dyDescent="0.3">
      <c r="A8808" t="s">
        <v>8814</v>
      </c>
      <c r="B8808" t="s">
        <v>10014</v>
      </c>
      <c r="C8808">
        <v>4</v>
      </c>
      <c r="D8808">
        <v>4</v>
      </c>
      <c r="E8808">
        <v>16</v>
      </c>
      <c r="F8808" t="s">
        <v>10069</v>
      </c>
      <c r="G8808" t="s">
        <v>10021</v>
      </c>
      <c r="H8808" s="6">
        <v>45164</v>
      </c>
      <c r="I8808">
        <f t="shared" si="274"/>
        <v>0</v>
      </c>
      <c r="J8808" t="str">
        <f t="shared" si="275"/>
        <v>Complete</v>
      </c>
      <c r="K8808">
        <f>COUNTIFS(RawData[Item], B8808,RawData[Quantity],C8808,RawData[Price Per Unit],D8808,RawData[Total Spent],E8808,RawData[Payment Method],F8808,RawData[Location],G8808,RawData[Transaction Date],H8808)</f>
        <v>1</v>
      </c>
      <c r="L8808"/>
    </row>
    <row r="8809" spans="1:12" x14ac:dyDescent="0.3">
      <c r="A8809" t="s">
        <v>8815</v>
      </c>
      <c r="B8809" t="s">
        <v>10008</v>
      </c>
      <c r="C8809">
        <v>1</v>
      </c>
      <c r="D8809">
        <v>2</v>
      </c>
      <c r="E8809">
        <v>2</v>
      </c>
      <c r="F8809" t="s">
        <v>10018</v>
      </c>
      <c r="G8809" t="s">
        <v>10021</v>
      </c>
      <c r="H8809" s="6">
        <v>44995</v>
      </c>
      <c r="I8809">
        <f t="shared" si="274"/>
        <v>0</v>
      </c>
      <c r="J8809" t="str">
        <f t="shared" si="275"/>
        <v>Complete</v>
      </c>
      <c r="K8809">
        <f>COUNTIFS(RawData[Item], B8809,RawData[Quantity],C8809,RawData[Price Per Unit],D8809,RawData[Total Spent],E8809,RawData[Payment Method],F8809,RawData[Location],G8809,RawData[Transaction Date],H8809)</f>
        <v>1</v>
      </c>
      <c r="L8809"/>
    </row>
    <row r="8810" spans="1:12" x14ac:dyDescent="0.3">
      <c r="A8810" t="s">
        <v>8816</v>
      </c>
      <c r="B8810" t="s">
        <v>10011</v>
      </c>
      <c r="C8810">
        <v>5</v>
      </c>
      <c r="D8810">
        <v>5</v>
      </c>
      <c r="E8810">
        <v>25</v>
      </c>
      <c r="F8810" t="s">
        <v>10069</v>
      </c>
      <c r="G8810" t="s">
        <v>10102</v>
      </c>
      <c r="H8810" s="6">
        <v>45270</v>
      </c>
      <c r="I8810">
        <f t="shared" si="274"/>
        <v>0</v>
      </c>
      <c r="J8810" t="str">
        <f t="shared" si="275"/>
        <v>Complete</v>
      </c>
      <c r="K8810">
        <f>COUNTIFS(RawData[Item], B8810,RawData[Quantity],C8810,RawData[Price Per Unit],D8810,RawData[Total Spent],E8810,RawData[Payment Method],F8810,RawData[Location],G8810,RawData[Transaction Date],H8810)</f>
        <v>1</v>
      </c>
      <c r="L8810"/>
    </row>
    <row r="8811" spans="1:12" x14ac:dyDescent="0.3">
      <c r="A8811" t="s">
        <v>8817</v>
      </c>
      <c r="B8811" t="s">
        <v>10008</v>
      </c>
      <c r="C8811">
        <v>2</v>
      </c>
      <c r="D8811">
        <v>2</v>
      </c>
      <c r="E8811">
        <v>4</v>
      </c>
      <c r="F8811" t="s">
        <v>10019</v>
      </c>
      <c r="G8811" t="s">
        <v>10021</v>
      </c>
      <c r="H8811" s="6">
        <v>44974</v>
      </c>
      <c r="I8811">
        <f t="shared" si="274"/>
        <v>0</v>
      </c>
      <c r="J8811" t="str">
        <f t="shared" si="275"/>
        <v>Complete</v>
      </c>
      <c r="K8811">
        <f>COUNTIFS(RawData[Item], B8811,RawData[Quantity],C8811,RawData[Price Per Unit],D8811,RawData[Total Spent],E8811,RawData[Payment Method],F8811,RawData[Location],G8811,RawData[Transaction Date],H8811)</f>
        <v>1</v>
      </c>
      <c r="L8811"/>
    </row>
    <row r="8812" spans="1:12" x14ac:dyDescent="0.3">
      <c r="A8812" t="s">
        <v>8818</v>
      </c>
      <c r="B8812" t="s">
        <v>10010</v>
      </c>
      <c r="C8812">
        <v>1</v>
      </c>
      <c r="D8812">
        <v>1</v>
      </c>
      <c r="E8812">
        <v>1</v>
      </c>
      <c r="F8812" t="s">
        <v>10069</v>
      </c>
      <c r="G8812" t="s">
        <v>10021</v>
      </c>
      <c r="H8812" s="6">
        <v>45256</v>
      </c>
      <c r="I8812">
        <f t="shared" si="274"/>
        <v>0</v>
      </c>
      <c r="J8812" t="str">
        <f t="shared" si="275"/>
        <v>Complete</v>
      </c>
      <c r="K8812">
        <f>COUNTIFS(RawData[Item], B8812,RawData[Quantity],C8812,RawData[Price Per Unit],D8812,RawData[Total Spent],E8812,RawData[Payment Method],F8812,RawData[Location],G8812,RawData[Transaction Date],H8812)</f>
        <v>1</v>
      </c>
      <c r="L8812"/>
    </row>
    <row r="8813" spans="1:12" x14ac:dyDescent="0.3">
      <c r="A8813" t="s">
        <v>8819</v>
      </c>
      <c r="B8813" t="s">
        <v>10016</v>
      </c>
      <c r="C8813">
        <v>3</v>
      </c>
      <c r="D8813">
        <v>3</v>
      </c>
      <c r="E8813">
        <v>9</v>
      </c>
      <c r="F8813" t="s">
        <v>10018</v>
      </c>
      <c r="G8813" t="s">
        <v>10021</v>
      </c>
      <c r="H8813" s="6">
        <v>45254</v>
      </c>
      <c r="I8813">
        <f t="shared" si="274"/>
        <v>0</v>
      </c>
      <c r="J8813" t="str">
        <f t="shared" si="275"/>
        <v>Complete</v>
      </c>
      <c r="K8813">
        <f>COUNTIFS(RawData[Item], B8813,RawData[Quantity],C8813,RawData[Price Per Unit],D8813,RawData[Total Spent],E8813,RawData[Payment Method],F8813,RawData[Location],G8813,RawData[Transaction Date],H8813)</f>
        <v>1</v>
      </c>
      <c r="L8813"/>
    </row>
    <row r="8814" spans="1:12" x14ac:dyDescent="0.3">
      <c r="A8814" t="s">
        <v>8820</v>
      </c>
      <c r="B8814" t="s">
        <v>10016</v>
      </c>
      <c r="C8814">
        <v>4</v>
      </c>
      <c r="D8814">
        <v>3</v>
      </c>
      <c r="E8814">
        <v>12</v>
      </c>
      <c r="F8814" t="s">
        <v>10104</v>
      </c>
      <c r="G8814" t="s">
        <v>10069</v>
      </c>
      <c r="H8814" s="6">
        <v>45002</v>
      </c>
      <c r="I8814">
        <f t="shared" si="274"/>
        <v>1</v>
      </c>
      <c r="J8814" t="str">
        <f t="shared" si="275"/>
        <v>Complete</v>
      </c>
      <c r="K8814">
        <f>COUNTIFS(RawData[Item], B8814,RawData[Quantity],C8814,RawData[Price Per Unit],D8814,RawData[Total Spent],E8814,RawData[Payment Method],F8814,RawData[Location],G8814,RawData[Transaction Date],H8814)</f>
        <v>1</v>
      </c>
      <c r="L8814"/>
    </row>
    <row r="8815" spans="1:12" x14ac:dyDescent="0.3">
      <c r="A8815" t="s">
        <v>8821</v>
      </c>
      <c r="B8815" t="s">
        <v>10014</v>
      </c>
      <c r="C8815">
        <v>3</v>
      </c>
      <c r="D8815" t="s">
        <v>10013</v>
      </c>
      <c r="E8815">
        <v>12</v>
      </c>
      <c r="F8815" t="s">
        <v>10018</v>
      </c>
      <c r="G8815" t="s">
        <v>10069</v>
      </c>
      <c r="H8815" s="6">
        <v>45126</v>
      </c>
      <c r="I8815">
        <f t="shared" si="274"/>
        <v>1</v>
      </c>
      <c r="J8815" t="str">
        <f t="shared" si="275"/>
        <v>Complete</v>
      </c>
      <c r="K8815">
        <f>COUNTIFS(RawData[Item], B8815,RawData[Quantity],C8815,RawData[Price Per Unit],D8815,RawData[Total Spent],E8815,RawData[Payment Method],F8815,RawData[Location],G8815,RawData[Transaction Date],H8815)</f>
        <v>1</v>
      </c>
      <c r="L8815"/>
    </row>
    <row r="8816" spans="1:12" x14ac:dyDescent="0.3">
      <c r="A8816" t="s">
        <v>8822</v>
      </c>
      <c r="B8816" t="s">
        <v>10011</v>
      </c>
      <c r="C8816">
        <v>5</v>
      </c>
      <c r="D8816">
        <v>5</v>
      </c>
      <c r="E8816">
        <v>25</v>
      </c>
      <c r="F8816" t="s">
        <v>10069</v>
      </c>
      <c r="G8816" t="s">
        <v>10102</v>
      </c>
      <c r="H8816" s="6">
        <v>45058</v>
      </c>
      <c r="I8816">
        <f t="shared" si="274"/>
        <v>0</v>
      </c>
      <c r="J8816" t="str">
        <f t="shared" si="275"/>
        <v>Complete</v>
      </c>
      <c r="K8816">
        <f>COUNTIFS(RawData[Item], B8816,RawData[Quantity],C8816,RawData[Price Per Unit],D8816,RawData[Total Spent],E8816,RawData[Payment Method],F8816,RawData[Location],G8816,RawData[Transaction Date],H8816)</f>
        <v>1</v>
      </c>
      <c r="L8816"/>
    </row>
    <row r="8817" spans="1:12" x14ac:dyDescent="0.3">
      <c r="A8817" t="s">
        <v>8823</v>
      </c>
      <c r="B8817" t="s">
        <v>10011</v>
      </c>
      <c r="C8817">
        <v>4</v>
      </c>
      <c r="D8817">
        <v>5</v>
      </c>
      <c r="E8817">
        <v>20</v>
      </c>
      <c r="F8817" t="s">
        <v>10069</v>
      </c>
      <c r="G8817" t="s">
        <v>10069</v>
      </c>
      <c r="H8817" s="6">
        <v>45127</v>
      </c>
      <c r="I8817">
        <f t="shared" si="274"/>
        <v>0</v>
      </c>
      <c r="J8817" t="str">
        <f t="shared" si="275"/>
        <v>Complete</v>
      </c>
      <c r="K8817">
        <f>COUNTIFS(RawData[Item], B8817,RawData[Quantity],C8817,RawData[Price Per Unit],D8817,RawData[Total Spent],E8817,RawData[Payment Method],F8817,RawData[Location],G8817,RawData[Transaction Date],H8817)</f>
        <v>1</v>
      </c>
      <c r="L8817"/>
    </row>
    <row r="8818" spans="1:12" x14ac:dyDescent="0.3">
      <c r="A8818" t="s">
        <v>8824</v>
      </c>
      <c r="B8818" t="s">
        <v>10010</v>
      </c>
      <c r="C8818">
        <v>2</v>
      </c>
      <c r="D8818">
        <v>1</v>
      </c>
      <c r="E8818">
        <v>2</v>
      </c>
      <c r="F8818" t="s">
        <v>10069</v>
      </c>
      <c r="G8818" t="s">
        <v>10102</v>
      </c>
      <c r="H8818" s="6">
        <v>45254</v>
      </c>
      <c r="I8818">
        <f t="shared" si="274"/>
        <v>0</v>
      </c>
      <c r="J8818" t="str">
        <f t="shared" si="275"/>
        <v>Complete</v>
      </c>
      <c r="K8818">
        <f>COUNTIFS(RawData[Item], B8818,RawData[Quantity],C8818,RawData[Price Per Unit],D8818,RawData[Total Spent],E8818,RawData[Payment Method],F8818,RawData[Location],G8818,RawData[Transaction Date],H8818)</f>
        <v>1</v>
      </c>
      <c r="L8818"/>
    </row>
    <row r="8819" spans="1:12" x14ac:dyDescent="0.3">
      <c r="A8819" t="s">
        <v>8825</v>
      </c>
      <c r="B8819" t="s">
        <v>10069</v>
      </c>
      <c r="C8819">
        <v>4</v>
      </c>
      <c r="D8819" t="s">
        <v>10013</v>
      </c>
      <c r="E8819">
        <v>16</v>
      </c>
      <c r="F8819" t="s">
        <v>10069</v>
      </c>
      <c r="G8819" t="s">
        <v>10021</v>
      </c>
      <c r="H8819" s="6">
        <v>44995</v>
      </c>
      <c r="I8819">
        <f t="shared" si="274"/>
        <v>1</v>
      </c>
      <c r="J8819" t="str">
        <f t="shared" si="275"/>
        <v>Complete</v>
      </c>
      <c r="K8819">
        <f>COUNTIFS(RawData[Item], B8819,RawData[Quantity],C8819,RawData[Price Per Unit],D8819,RawData[Total Spent],E8819,RawData[Payment Method],F8819,RawData[Location],G8819,RawData[Transaction Date],H8819)</f>
        <v>1</v>
      </c>
      <c r="L8819"/>
    </row>
    <row r="8820" spans="1:12" x14ac:dyDescent="0.3">
      <c r="A8820" t="s">
        <v>8826</v>
      </c>
      <c r="B8820" t="s">
        <v>10014</v>
      </c>
      <c r="C8820">
        <v>1</v>
      </c>
      <c r="D8820">
        <v>4</v>
      </c>
      <c r="E8820">
        <v>4</v>
      </c>
      <c r="F8820" t="s">
        <v>10069</v>
      </c>
      <c r="G8820" t="s">
        <v>10102</v>
      </c>
      <c r="H8820" s="6">
        <v>45112</v>
      </c>
      <c r="I8820">
        <f t="shared" si="274"/>
        <v>0</v>
      </c>
      <c r="J8820" t="str">
        <f t="shared" si="275"/>
        <v>Complete</v>
      </c>
      <c r="K8820">
        <f>COUNTIFS(RawData[Item], B8820,RawData[Quantity],C8820,RawData[Price Per Unit],D8820,RawData[Total Spent],E8820,RawData[Payment Method],F8820,RawData[Location],G8820,RawData[Transaction Date],H8820)</f>
        <v>1</v>
      </c>
      <c r="L8820"/>
    </row>
    <row r="8821" spans="1:12" x14ac:dyDescent="0.3">
      <c r="A8821" t="s">
        <v>8827</v>
      </c>
      <c r="B8821" t="s">
        <v>10010</v>
      </c>
      <c r="C8821">
        <v>2</v>
      </c>
      <c r="D8821">
        <v>1</v>
      </c>
      <c r="E8821">
        <v>2</v>
      </c>
      <c r="F8821" t="s">
        <v>10069</v>
      </c>
      <c r="G8821" t="s">
        <v>10021</v>
      </c>
      <c r="H8821" s="6">
        <v>44999</v>
      </c>
      <c r="I8821">
        <f t="shared" si="274"/>
        <v>0</v>
      </c>
      <c r="J8821" t="str">
        <f t="shared" si="275"/>
        <v>Complete</v>
      </c>
      <c r="K8821">
        <f>COUNTIFS(RawData[Item], B8821,RawData[Quantity],C8821,RawData[Price Per Unit],D8821,RawData[Total Spent],E8821,RawData[Payment Method],F8821,RawData[Location],G8821,RawData[Transaction Date],H8821)</f>
        <v>1</v>
      </c>
      <c r="L8821"/>
    </row>
    <row r="8822" spans="1:12" x14ac:dyDescent="0.3">
      <c r="A8822" t="s">
        <v>8828</v>
      </c>
      <c r="B8822" t="s">
        <v>10015</v>
      </c>
      <c r="C8822">
        <v>5</v>
      </c>
      <c r="D8822">
        <v>5</v>
      </c>
      <c r="E8822">
        <v>25</v>
      </c>
      <c r="F8822" t="s">
        <v>10018</v>
      </c>
      <c r="G8822" t="s">
        <v>10021</v>
      </c>
      <c r="H8822" s="6">
        <v>45164</v>
      </c>
      <c r="I8822">
        <f t="shared" si="274"/>
        <v>1</v>
      </c>
      <c r="J8822" t="str">
        <f t="shared" si="275"/>
        <v>Complete</v>
      </c>
      <c r="K8822">
        <f>COUNTIFS(RawData[Item], B8822,RawData[Quantity],C8822,RawData[Price Per Unit],D8822,RawData[Total Spent],E8822,RawData[Payment Method],F8822,RawData[Location],G8822,RawData[Transaction Date],H8822)</f>
        <v>1</v>
      </c>
      <c r="L8822"/>
    </row>
    <row r="8823" spans="1:12" x14ac:dyDescent="0.3">
      <c r="A8823" t="s">
        <v>8829</v>
      </c>
      <c r="B8823" t="s">
        <v>10008</v>
      </c>
      <c r="C8823">
        <v>1</v>
      </c>
      <c r="D8823">
        <v>2</v>
      </c>
      <c r="E8823">
        <v>2</v>
      </c>
      <c r="F8823" t="s">
        <v>10069</v>
      </c>
      <c r="G8823" t="s">
        <v>10069</v>
      </c>
      <c r="H8823" s="6">
        <v>45032</v>
      </c>
      <c r="I8823">
        <f t="shared" si="274"/>
        <v>0</v>
      </c>
      <c r="J8823" t="str">
        <f t="shared" si="275"/>
        <v>Complete</v>
      </c>
      <c r="K8823">
        <f>COUNTIFS(RawData[Item], B8823,RawData[Quantity],C8823,RawData[Price Per Unit],D8823,RawData[Total Spent],E8823,RawData[Payment Method],F8823,RawData[Location],G8823,RawData[Transaction Date],H8823)</f>
        <v>1</v>
      </c>
      <c r="L8823"/>
    </row>
    <row r="8824" spans="1:12" x14ac:dyDescent="0.3">
      <c r="A8824" t="s">
        <v>8830</v>
      </c>
      <c r="B8824" t="s">
        <v>10010</v>
      </c>
      <c r="C8824">
        <v>2</v>
      </c>
      <c r="D8824">
        <v>1</v>
      </c>
      <c r="E8824">
        <v>2</v>
      </c>
      <c r="F8824" t="s">
        <v>10020</v>
      </c>
      <c r="G8824" t="s">
        <v>10102</v>
      </c>
      <c r="H8824" s="6">
        <v>45163</v>
      </c>
      <c r="I8824">
        <f t="shared" si="274"/>
        <v>0</v>
      </c>
      <c r="J8824" t="str">
        <f t="shared" si="275"/>
        <v>Complete</v>
      </c>
      <c r="K8824">
        <f>COUNTIFS(RawData[Item], B8824,RawData[Quantity],C8824,RawData[Price Per Unit],D8824,RawData[Total Spent],E8824,RawData[Payment Method],F8824,RawData[Location],G8824,RawData[Transaction Date],H8824)</f>
        <v>1</v>
      </c>
      <c r="L8824"/>
    </row>
    <row r="8825" spans="1:12" x14ac:dyDescent="0.3">
      <c r="A8825" t="s">
        <v>8831</v>
      </c>
      <c r="B8825" t="s">
        <v>10017</v>
      </c>
      <c r="C8825">
        <v>1</v>
      </c>
      <c r="D8825">
        <v>1.5</v>
      </c>
      <c r="E8825">
        <v>1.5</v>
      </c>
      <c r="F8825" t="s">
        <v>10069</v>
      </c>
      <c r="G8825" t="s">
        <v>10102</v>
      </c>
      <c r="H8825" s="6">
        <v>44928</v>
      </c>
      <c r="I8825">
        <f t="shared" si="274"/>
        <v>0</v>
      </c>
      <c r="J8825" t="str">
        <f t="shared" si="275"/>
        <v>Complete</v>
      </c>
      <c r="K8825">
        <f>COUNTIFS(RawData[Item], B8825,RawData[Quantity],C8825,RawData[Price Per Unit],D8825,RawData[Total Spent],E8825,RawData[Payment Method],F8825,RawData[Location],G8825,RawData[Transaction Date],H8825)</f>
        <v>1</v>
      </c>
      <c r="L8825"/>
    </row>
    <row r="8826" spans="1:12" x14ac:dyDescent="0.3">
      <c r="A8826" t="s">
        <v>8832</v>
      </c>
      <c r="B8826" t="s">
        <v>10017</v>
      </c>
      <c r="C8826">
        <v>1</v>
      </c>
      <c r="D8826">
        <v>1.5</v>
      </c>
      <c r="E8826">
        <v>1.5</v>
      </c>
      <c r="F8826" t="s">
        <v>10018</v>
      </c>
      <c r="G8826" t="s">
        <v>10021</v>
      </c>
      <c r="H8826" s="6">
        <v>44978</v>
      </c>
      <c r="I8826">
        <f t="shared" si="274"/>
        <v>0</v>
      </c>
      <c r="J8826" t="str">
        <f t="shared" si="275"/>
        <v>Complete</v>
      </c>
      <c r="K8826">
        <f>COUNTIFS(RawData[Item], B8826,RawData[Quantity],C8826,RawData[Price Per Unit],D8826,RawData[Total Spent],E8826,RawData[Payment Method],F8826,RawData[Location],G8826,RawData[Transaction Date],H8826)</f>
        <v>1</v>
      </c>
      <c r="L8826"/>
    </row>
    <row r="8827" spans="1:12" x14ac:dyDescent="0.3">
      <c r="A8827" t="s">
        <v>8833</v>
      </c>
      <c r="B8827" t="s">
        <v>10014</v>
      </c>
      <c r="C8827">
        <v>5</v>
      </c>
      <c r="D8827">
        <v>4</v>
      </c>
      <c r="E8827">
        <v>20</v>
      </c>
      <c r="F8827" t="s">
        <v>10069</v>
      </c>
      <c r="G8827" t="s">
        <v>10069</v>
      </c>
      <c r="H8827" s="6">
        <v>44947</v>
      </c>
      <c r="I8827">
        <f t="shared" si="274"/>
        <v>0</v>
      </c>
      <c r="J8827" t="str">
        <f t="shared" si="275"/>
        <v>Complete</v>
      </c>
      <c r="K8827">
        <f>COUNTIFS(RawData[Item], B8827,RawData[Quantity],C8827,RawData[Price Per Unit],D8827,RawData[Total Spent],E8827,RawData[Payment Method],F8827,RawData[Location],G8827,RawData[Transaction Date],H8827)</f>
        <v>1</v>
      </c>
      <c r="L8827"/>
    </row>
    <row r="8828" spans="1:12" x14ac:dyDescent="0.3">
      <c r="A8828" t="s">
        <v>8834</v>
      </c>
      <c r="B8828" t="s">
        <v>10008</v>
      </c>
      <c r="C8828">
        <v>4</v>
      </c>
      <c r="D8828">
        <v>2</v>
      </c>
      <c r="E8828">
        <v>8</v>
      </c>
      <c r="F8828" t="s">
        <v>10018</v>
      </c>
      <c r="G8828" t="s">
        <v>10102</v>
      </c>
      <c r="H8828" s="6">
        <v>45001</v>
      </c>
      <c r="I8828">
        <f t="shared" si="274"/>
        <v>0</v>
      </c>
      <c r="J8828" t="str">
        <f t="shared" si="275"/>
        <v>Complete</v>
      </c>
      <c r="K8828">
        <f>COUNTIFS(RawData[Item], B8828,RawData[Quantity],C8828,RawData[Price Per Unit],D8828,RawData[Total Spent],E8828,RawData[Payment Method],F8828,RawData[Location],G8828,RawData[Transaction Date],H8828)</f>
        <v>1</v>
      </c>
      <c r="L8828"/>
    </row>
    <row r="8829" spans="1:12" x14ac:dyDescent="0.3">
      <c r="A8829" t="s">
        <v>8835</v>
      </c>
      <c r="B8829" t="s">
        <v>10013</v>
      </c>
      <c r="C8829">
        <v>5</v>
      </c>
      <c r="D8829">
        <v>1.5</v>
      </c>
      <c r="E8829">
        <v>7.5</v>
      </c>
      <c r="F8829" t="s">
        <v>10069</v>
      </c>
      <c r="G8829" t="s">
        <v>10102</v>
      </c>
      <c r="H8829" s="6">
        <v>45147</v>
      </c>
      <c r="I8829">
        <f t="shared" si="274"/>
        <v>1</v>
      </c>
      <c r="J8829" t="str">
        <f t="shared" si="275"/>
        <v>Complete</v>
      </c>
      <c r="K8829">
        <f>COUNTIFS(RawData[Item], B8829,RawData[Quantity],C8829,RawData[Price Per Unit],D8829,RawData[Total Spent],E8829,RawData[Payment Method],F8829,RawData[Location],G8829,RawData[Transaction Date],H8829)</f>
        <v>1</v>
      </c>
      <c r="L8829"/>
    </row>
    <row r="8830" spans="1:12" x14ac:dyDescent="0.3">
      <c r="A8830" t="s">
        <v>8836</v>
      </c>
      <c r="B8830" t="s">
        <v>10013</v>
      </c>
      <c r="C8830" t="s">
        <v>10013</v>
      </c>
      <c r="D8830">
        <v>1</v>
      </c>
      <c r="E8830">
        <v>4</v>
      </c>
      <c r="F8830" t="s">
        <v>10020</v>
      </c>
      <c r="G8830" t="s">
        <v>10069</v>
      </c>
      <c r="H8830" s="6">
        <v>45188</v>
      </c>
      <c r="I8830">
        <f t="shared" si="274"/>
        <v>2</v>
      </c>
      <c r="J8830" t="str">
        <f t="shared" si="275"/>
        <v>Complete</v>
      </c>
      <c r="K8830">
        <f>COUNTIFS(RawData[Item], B8830,RawData[Quantity],C8830,RawData[Price Per Unit],D8830,RawData[Total Spent],E8830,RawData[Payment Method],F8830,RawData[Location],G8830,RawData[Transaction Date],H8830)</f>
        <v>1</v>
      </c>
      <c r="L8830"/>
    </row>
    <row r="8831" spans="1:12" x14ac:dyDescent="0.3">
      <c r="A8831" t="s">
        <v>8837</v>
      </c>
      <c r="B8831" t="s">
        <v>10014</v>
      </c>
      <c r="C8831">
        <v>5</v>
      </c>
      <c r="D8831">
        <v>4</v>
      </c>
      <c r="E8831">
        <v>20</v>
      </c>
      <c r="F8831" t="s">
        <v>10069</v>
      </c>
      <c r="G8831" t="s">
        <v>10069</v>
      </c>
      <c r="H8831" s="6">
        <v>45093</v>
      </c>
      <c r="I8831">
        <f t="shared" si="274"/>
        <v>0</v>
      </c>
      <c r="J8831" t="str">
        <f t="shared" si="275"/>
        <v>Complete</v>
      </c>
      <c r="K8831">
        <f>COUNTIFS(RawData[Item], B8831,RawData[Quantity],C8831,RawData[Price Per Unit],D8831,RawData[Total Spent],E8831,RawData[Payment Method],F8831,RawData[Location],G8831,RawData[Transaction Date],H8831)</f>
        <v>1</v>
      </c>
      <c r="L8831"/>
    </row>
    <row r="8832" spans="1:12" x14ac:dyDescent="0.3">
      <c r="A8832" t="s">
        <v>8838</v>
      </c>
      <c r="B8832" t="s">
        <v>10009</v>
      </c>
      <c r="C8832">
        <v>2</v>
      </c>
      <c r="D8832">
        <v>3</v>
      </c>
      <c r="E8832">
        <v>6</v>
      </c>
      <c r="F8832" t="s">
        <v>10018</v>
      </c>
      <c r="G8832" t="s">
        <v>10102</v>
      </c>
      <c r="H8832" s="6">
        <v>45255</v>
      </c>
      <c r="I8832">
        <f t="shared" si="274"/>
        <v>0</v>
      </c>
      <c r="J8832" t="str">
        <f t="shared" si="275"/>
        <v>Complete</v>
      </c>
      <c r="K8832">
        <f>COUNTIFS(RawData[Item], B8832,RawData[Quantity],C8832,RawData[Price Per Unit],D8832,RawData[Total Spent],E8832,RawData[Payment Method],F8832,RawData[Location],G8832,RawData[Transaction Date],H8832)</f>
        <v>1</v>
      </c>
      <c r="L8832"/>
    </row>
    <row r="8833" spans="1:12" x14ac:dyDescent="0.3">
      <c r="A8833" t="s">
        <v>8839</v>
      </c>
      <c r="B8833" t="s">
        <v>10011</v>
      </c>
      <c r="C8833">
        <v>4</v>
      </c>
      <c r="D8833">
        <v>5</v>
      </c>
      <c r="E8833">
        <v>20</v>
      </c>
      <c r="F8833" t="s">
        <v>10069</v>
      </c>
      <c r="G8833" t="s">
        <v>10069</v>
      </c>
      <c r="H8833" s="6">
        <v>45053</v>
      </c>
      <c r="I8833">
        <f t="shared" si="274"/>
        <v>0</v>
      </c>
      <c r="J8833" t="str">
        <f t="shared" si="275"/>
        <v>Complete</v>
      </c>
      <c r="K8833">
        <f>COUNTIFS(RawData[Item], B8833,RawData[Quantity],C8833,RawData[Price Per Unit],D8833,RawData[Total Spent],E8833,RawData[Payment Method],F8833,RawData[Location],G8833,RawData[Transaction Date],H8833)</f>
        <v>1</v>
      </c>
      <c r="L8833"/>
    </row>
    <row r="8834" spans="1:12" x14ac:dyDescent="0.3">
      <c r="A8834" t="s">
        <v>8840</v>
      </c>
      <c r="B8834" t="s">
        <v>10008</v>
      </c>
      <c r="C8834">
        <v>2</v>
      </c>
      <c r="D8834">
        <v>2</v>
      </c>
      <c r="E8834">
        <v>4</v>
      </c>
      <c r="F8834" t="s">
        <v>10019</v>
      </c>
      <c r="G8834" t="s">
        <v>10021</v>
      </c>
      <c r="H8834" s="6">
        <v>45198</v>
      </c>
      <c r="I8834">
        <f t="shared" ref="I8834:I8897" si="276">(B8834="Unknown")+(B8834="Error")+(C8834="Unknown")+(C8834="Error")+(D8834="Unknown")+(D8834="Error")+(E8834="Unknown")+(E8834="Error")+(F8834="Unknown")+(F8834="Error")+(G8834="Unknown")+(G8834="Error")+(H8834="No Date")</f>
        <v>0</v>
      </c>
      <c r="J8834" t="str">
        <f t="shared" ref="J8834:J8897" si="277">IF((H8834="No Date"),"Incomplete","Complete")</f>
        <v>Complete</v>
      </c>
      <c r="K8834">
        <f>COUNTIFS(RawData[Item], B8834,RawData[Quantity],C8834,RawData[Price Per Unit],D8834,RawData[Total Spent],E8834,RawData[Payment Method],F8834,RawData[Location],G8834,RawData[Transaction Date],H8834)</f>
        <v>1</v>
      </c>
      <c r="L8834"/>
    </row>
    <row r="8835" spans="1:12" x14ac:dyDescent="0.3">
      <c r="A8835" t="s">
        <v>8841</v>
      </c>
      <c r="B8835" t="s">
        <v>10011</v>
      </c>
      <c r="C8835">
        <v>4</v>
      </c>
      <c r="D8835">
        <v>5</v>
      </c>
      <c r="E8835">
        <v>20</v>
      </c>
      <c r="F8835" t="s">
        <v>10069</v>
      </c>
      <c r="G8835" t="s">
        <v>10021</v>
      </c>
      <c r="H8835" s="6">
        <v>45040</v>
      </c>
      <c r="I8835">
        <f t="shared" si="276"/>
        <v>0</v>
      </c>
      <c r="J8835" t="str">
        <f t="shared" si="277"/>
        <v>Complete</v>
      </c>
      <c r="K8835">
        <f>COUNTIFS(RawData[Item], B8835,RawData[Quantity],C8835,RawData[Price Per Unit],D8835,RawData[Total Spent],E8835,RawData[Payment Method],F8835,RawData[Location],G8835,RawData[Transaction Date],H8835)</f>
        <v>1</v>
      </c>
      <c r="L8835"/>
    </row>
    <row r="8836" spans="1:12" x14ac:dyDescent="0.3">
      <c r="A8836" t="s">
        <v>8842</v>
      </c>
      <c r="B8836" t="s">
        <v>10008</v>
      </c>
      <c r="C8836">
        <v>4</v>
      </c>
      <c r="D8836">
        <v>2</v>
      </c>
      <c r="E8836">
        <v>8</v>
      </c>
      <c r="F8836" t="s">
        <v>10069</v>
      </c>
      <c r="G8836" t="s">
        <v>10102</v>
      </c>
      <c r="H8836" s="6">
        <v>45119</v>
      </c>
      <c r="I8836">
        <f t="shared" si="276"/>
        <v>0</v>
      </c>
      <c r="J8836" t="str">
        <f t="shared" si="277"/>
        <v>Complete</v>
      </c>
      <c r="K8836">
        <f>COUNTIFS(RawData[Item], B8836,RawData[Quantity],C8836,RawData[Price Per Unit],D8836,RawData[Total Spent],E8836,RawData[Payment Method],F8836,RawData[Location],G8836,RawData[Transaction Date],H8836)</f>
        <v>1</v>
      </c>
      <c r="L8836"/>
    </row>
    <row r="8837" spans="1:12" x14ac:dyDescent="0.3">
      <c r="A8837" t="s">
        <v>8843</v>
      </c>
      <c r="B8837" t="s">
        <v>10017</v>
      </c>
      <c r="C8837">
        <v>3</v>
      </c>
      <c r="D8837">
        <v>1.5</v>
      </c>
      <c r="E8837" t="s">
        <v>10015</v>
      </c>
      <c r="F8837" t="s">
        <v>10018</v>
      </c>
      <c r="G8837" t="s">
        <v>10069</v>
      </c>
      <c r="H8837" s="6">
        <v>45133</v>
      </c>
      <c r="I8837">
        <f t="shared" si="276"/>
        <v>1</v>
      </c>
      <c r="J8837" t="str">
        <f t="shared" si="277"/>
        <v>Complete</v>
      </c>
      <c r="K8837">
        <f>COUNTIFS(RawData[Item], B8837,RawData[Quantity],C8837,RawData[Price Per Unit],D8837,RawData[Total Spent],E8837,RawData[Payment Method],F8837,RawData[Location],G8837,RawData[Transaction Date],H8837)</f>
        <v>1</v>
      </c>
      <c r="L8837"/>
    </row>
    <row r="8838" spans="1:12" x14ac:dyDescent="0.3">
      <c r="A8838" t="s">
        <v>8844</v>
      </c>
      <c r="B8838" t="s">
        <v>10008</v>
      </c>
      <c r="C8838">
        <v>1</v>
      </c>
      <c r="D8838">
        <v>2</v>
      </c>
      <c r="E8838">
        <v>0</v>
      </c>
      <c r="F8838" t="s">
        <v>10020</v>
      </c>
      <c r="G8838" t="s">
        <v>10069</v>
      </c>
      <c r="H8838" s="6">
        <v>44986</v>
      </c>
      <c r="I8838">
        <f t="shared" si="276"/>
        <v>0</v>
      </c>
      <c r="J8838" t="str">
        <f t="shared" si="277"/>
        <v>Complete</v>
      </c>
      <c r="K8838">
        <f>COUNTIFS(RawData[Item], B8838,RawData[Quantity],C8838,RawData[Price Per Unit],D8838,RawData[Total Spent],E8838,RawData[Payment Method],F8838,RawData[Location],G8838,RawData[Transaction Date],H8838)</f>
        <v>1</v>
      </c>
      <c r="L8838"/>
    </row>
    <row r="8839" spans="1:12" x14ac:dyDescent="0.3">
      <c r="A8839" t="s">
        <v>8845</v>
      </c>
      <c r="B8839" t="s">
        <v>10016</v>
      </c>
      <c r="C8839">
        <v>4</v>
      </c>
      <c r="D8839">
        <v>3</v>
      </c>
      <c r="E8839">
        <v>12</v>
      </c>
      <c r="F8839" t="s">
        <v>10020</v>
      </c>
      <c r="G8839" t="s">
        <v>10069</v>
      </c>
      <c r="H8839" s="6">
        <v>45237</v>
      </c>
      <c r="I8839">
        <f t="shared" si="276"/>
        <v>0</v>
      </c>
      <c r="J8839" t="str">
        <f t="shared" si="277"/>
        <v>Complete</v>
      </c>
      <c r="K8839">
        <f>COUNTIFS(RawData[Item], B8839,RawData[Quantity],C8839,RawData[Price Per Unit],D8839,RawData[Total Spent],E8839,RawData[Payment Method],F8839,RawData[Location],G8839,RawData[Transaction Date],H8839)</f>
        <v>1</v>
      </c>
      <c r="L8839"/>
    </row>
    <row r="8840" spans="1:12" x14ac:dyDescent="0.3">
      <c r="A8840" t="s">
        <v>8846</v>
      </c>
      <c r="B8840" t="s">
        <v>10017</v>
      </c>
      <c r="C8840">
        <v>5</v>
      </c>
      <c r="D8840" t="s">
        <v>10015</v>
      </c>
      <c r="E8840">
        <v>7.5</v>
      </c>
      <c r="F8840" t="s">
        <v>10020</v>
      </c>
      <c r="G8840" t="s">
        <v>10102</v>
      </c>
      <c r="H8840" s="6">
        <v>45011</v>
      </c>
      <c r="I8840">
        <f t="shared" si="276"/>
        <v>1</v>
      </c>
      <c r="J8840" t="str">
        <f t="shared" si="277"/>
        <v>Complete</v>
      </c>
      <c r="K8840">
        <f>COUNTIFS(RawData[Item], B8840,RawData[Quantity],C8840,RawData[Price Per Unit],D8840,RawData[Total Spent],E8840,RawData[Payment Method],F8840,RawData[Location],G8840,RawData[Transaction Date],H8840)</f>
        <v>1</v>
      </c>
      <c r="L8840"/>
    </row>
    <row r="8841" spans="1:12" x14ac:dyDescent="0.3">
      <c r="A8841" t="s">
        <v>8847</v>
      </c>
      <c r="B8841" t="s">
        <v>10010</v>
      </c>
      <c r="C8841">
        <v>1</v>
      </c>
      <c r="D8841">
        <v>1</v>
      </c>
      <c r="E8841">
        <v>1</v>
      </c>
      <c r="F8841" t="s">
        <v>10069</v>
      </c>
      <c r="G8841" t="s">
        <v>10069</v>
      </c>
      <c r="H8841" s="6">
        <v>45254</v>
      </c>
      <c r="I8841">
        <f t="shared" si="276"/>
        <v>0</v>
      </c>
      <c r="J8841" t="str">
        <f t="shared" si="277"/>
        <v>Complete</v>
      </c>
      <c r="K8841">
        <f>COUNTIFS(RawData[Item], B8841,RawData[Quantity],C8841,RawData[Price Per Unit],D8841,RawData[Total Spent],E8841,RawData[Payment Method],F8841,RawData[Location],G8841,RawData[Transaction Date],H8841)</f>
        <v>1</v>
      </c>
      <c r="L8841"/>
    </row>
    <row r="8842" spans="1:12" x14ac:dyDescent="0.3">
      <c r="A8842" t="s">
        <v>8848</v>
      </c>
      <c r="B8842" t="s">
        <v>10011</v>
      </c>
      <c r="C8842">
        <v>3</v>
      </c>
      <c r="D8842">
        <v>5</v>
      </c>
      <c r="E8842">
        <v>15</v>
      </c>
      <c r="F8842" t="s">
        <v>10020</v>
      </c>
      <c r="G8842" t="s">
        <v>10102</v>
      </c>
      <c r="H8842" s="6">
        <v>45264</v>
      </c>
      <c r="I8842">
        <f t="shared" si="276"/>
        <v>0</v>
      </c>
      <c r="J8842" t="str">
        <f t="shared" si="277"/>
        <v>Complete</v>
      </c>
      <c r="K8842">
        <f>COUNTIFS(RawData[Item], B8842,RawData[Quantity],C8842,RawData[Price Per Unit],D8842,RawData[Total Spent],E8842,RawData[Payment Method],F8842,RawData[Location],G8842,RawData[Transaction Date],H8842)</f>
        <v>1</v>
      </c>
      <c r="L8842"/>
    </row>
    <row r="8843" spans="1:12" x14ac:dyDescent="0.3">
      <c r="A8843" t="s">
        <v>8849</v>
      </c>
      <c r="B8843" t="s">
        <v>10010</v>
      </c>
      <c r="C8843">
        <v>1</v>
      </c>
      <c r="D8843">
        <v>1</v>
      </c>
      <c r="E8843">
        <v>1</v>
      </c>
      <c r="F8843" t="s">
        <v>10020</v>
      </c>
      <c r="G8843" t="s">
        <v>10102</v>
      </c>
      <c r="H8843" s="6">
        <v>45252</v>
      </c>
      <c r="I8843">
        <f t="shared" si="276"/>
        <v>0</v>
      </c>
      <c r="J8843" t="str">
        <f t="shared" si="277"/>
        <v>Complete</v>
      </c>
      <c r="K8843">
        <f>COUNTIFS(RawData[Item], B8843,RawData[Quantity],C8843,RawData[Price Per Unit],D8843,RawData[Total Spent],E8843,RawData[Payment Method],F8843,RawData[Location],G8843,RawData[Transaction Date],H8843)</f>
        <v>1</v>
      </c>
      <c r="L8843"/>
    </row>
    <row r="8844" spans="1:12" x14ac:dyDescent="0.3">
      <c r="A8844" t="s">
        <v>8850</v>
      </c>
      <c r="B8844" t="s">
        <v>10017</v>
      </c>
      <c r="C8844">
        <v>2</v>
      </c>
      <c r="D8844">
        <v>1.5</v>
      </c>
      <c r="E8844">
        <v>3</v>
      </c>
      <c r="F8844" t="s">
        <v>10069</v>
      </c>
      <c r="G8844" t="s">
        <v>10069</v>
      </c>
      <c r="H8844" s="6">
        <v>45079</v>
      </c>
      <c r="I8844">
        <f t="shared" si="276"/>
        <v>0</v>
      </c>
      <c r="J8844" t="str">
        <f t="shared" si="277"/>
        <v>Complete</v>
      </c>
      <c r="K8844">
        <f>COUNTIFS(RawData[Item], B8844,RawData[Quantity],C8844,RawData[Price Per Unit],D8844,RawData[Total Spent],E8844,RawData[Payment Method],F8844,RawData[Location],G8844,RawData[Transaction Date],H8844)</f>
        <v>1</v>
      </c>
      <c r="L8844"/>
    </row>
    <row r="8845" spans="1:12" x14ac:dyDescent="0.3">
      <c r="A8845" t="s">
        <v>8851</v>
      </c>
      <c r="B8845" t="s">
        <v>10017</v>
      </c>
      <c r="C8845">
        <v>4</v>
      </c>
      <c r="D8845">
        <v>1.5</v>
      </c>
      <c r="E8845">
        <v>6</v>
      </c>
      <c r="F8845" t="s">
        <v>10069</v>
      </c>
      <c r="G8845" t="s">
        <v>10021</v>
      </c>
      <c r="H8845" s="6">
        <v>45003</v>
      </c>
      <c r="I8845">
        <f t="shared" si="276"/>
        <v>0</v>
      </c>
      <c r="J8845" t="str">
        <f t="shared" si="277"/>
        <v>Complete</v>
      </c>
      <c r="K8845">
        <f>COUNTIFS(RawData[Item], B8845,RawData[Quantity],C8845,RawData[Price Per Unit],D8845,RawData[Total Spent],E8845,RawData[Payment Method],F8845,RawData[Location],G8845,RawData[Transaction Date],H8845)</f>
        <v>1</v>
      </c>
      <c r="L8845"/>
    </row>
    <row r="8846" spans="1:12" x14ac:dyDescent="0.3">
      <c r="A8846" t="s">
        <v>8852</v>
      </c>
      <c r="B8846" t="s">
        <v>10011</v>
      </c>
      <c r="C8846">
        <v>1</v>
      </c>
      <c r="D8846">
        <v>5</v>
      </c>
      <c r="E8846">
        <v>5</v>
      </c>
      <c r="F8846" t="s">
        <v>10020</v>
      </c>
      <c r="G8846" t="s">
        <v>10102</v>
      </c>
      <c r="H8846" s="6">
        <v>45235</v>
      </c>
      <c r="I8846">
        <f t="shared" si="276"/>
        <v>0</v>
      </c>
      <c r="J8846" t="str">
        <f t="shared" si="277"/>
        <v>Complete</v>
      </c>
      <c r="K8846">
        <f>COUNTIFS(RawData[Item], B8846,RawData[Quantity],C8846,RawData[Price Per Unit],D8846,RawData[Total Spent],E8846,RawData[Payment Method],F8846,RawData[Location],G8846,RawData[Transaction Date],H8846)</f>
        <v>1</v>
      </c>
      <c r="L8846"/>
    </row>
    <row r="8847" spans="1:12" x14ac:dyDescent="0.3">
      <c r="A8847" t="s">
        <v>8853</v>
      </c>
      <c r="B8847" t="s">
        <v>10011</v>
      </c>
      <c r="C8847">
        <v>2</v>
      </c>
      <c r="D8847">
        <v>5</v>
      </c>
      <c r="E8847">
        <v>10</v>
      </c>
      <c r="F8847" t="s">
        <v>10069</v>
      </c>
      <c r="G8847" t="s">
        <v>10021</v>
      </c>
      <c r="H8847" s="6">
        <v>45195</v>
      </c>
      <c r="I8847">
        <f t="shared" si="276"/>
        <v>0</v>
      </c>
      <c r="J8847" t="str">
        <f t="shared" si="277"/>
        <v>Complete</v>
      </c>
      <c r="K8847">
        <f>COUNTIFS(RawData[Item], B8847,RawData[Quantity],C8847,RawData[Price Per Unit],D8847,RawData[Total Spent],E8847,RawData[Payment Method],F8847,RawData[Location],G8847,RawData[Transaction Date],H8847)</f>
        <v>1</v>
      </c>
      <c r="L8847"/>
    </row>
    <row r="8848" spans="1:12" x14ac:dyDescent="0.3">
      <c r="A8848" t="s">
        <v>8854</v>
      </c>
      <c r="B8848" t="s">
        <v>10008</v>
      </c>
      <c r="C8848">
        <v>4</v>
      </c>
      <c r="D8848">
        <v>2</v>
      </c>
      <c r="E8848">
        <v>8</v>
      </c>
      <c r="F8848" t="s">
        <v>10020</v>
      </c>
      <c r="G8848" t="s">
        <v>10102</v>
      </c>
      <c r="H8848" s="6">
        <v>45290</v>
      </c>
      <c r="I8848">
        <f t="shared" si="276"/>
        <v>0</v>
      </c>
      <c r="J8848" t="str">
        <f t="shared" si="277"/>
        <v>Complete</v>
      </c>
      <c r="K8848">
        <f>COUNTIFS(RawData[Item], B8848,RawData[Quantity],C8848,RawData[Price Per Unit],D8848,RawData[Total Spent],E8848,RawData[Payment Method],F8848,RawData[Location],G8848,RawData[Transaction Date],H8848)</f>
        <v>1</v>
      </c>
      <c r="L8848"/>
    </row>
    <row r="8849" spans="1:12" x14ac:dyDescent="0.3">
      <c r="A8849" t="s">
        <v>8855</v>
      </c>
      <c r="B8849" t="s">
        <v>10008</v>
      </c>
      <c r="C8849">
        <v>5</v>
      </c>
      <c r="D8849">
        <v>2</v>
      </c>
      <c r="E8849">
        <v>10</v>
      </c>
      <c r="F8849" t="s">
        <v>10069</v>
      </c>
      <c r="G8849" t="s">
        <v>10021</v>
      </c>
      <c r="H8849" s="6">
        <v>44964</v>
      </c>
      <c r="I8849">
        <f t="shared" si="276"/>
        <v>0</v>
      </c>
      <c r="J8849" t="str">
        <f t="shared" si="277"/>
        <v>Complete</v>
      </c>
      <c r="K8849">
        <f>COUNTIFS(RawData[Item], B8849,RawData[Quantity],C8849,RawData[Price Per Unit],D8849,RawData[Total Spent],E8849,RawData[Payment Method],F8849,RawData[Location],G8849,RawData[Transaction Date],H8849)</f>
        <v>1</v>
      </c>
      <c r="L8849"/>
    </row>
    <row r="8850" spans="1:12" x14ac:dyDescent="0.3">
      <c r="A8850" t="s">
        <v>8856</v>
      </c>
      <c r="B8850" t="s">
        <v>10012</v>
      </c>
      <c r="C8850">
        <v>0</v>
      </c>
      <c r="D8850">
        <v>4</v>
      </c>
      <c r="E8850">
        <v>16</v>
      </c>
      <c r="F8850" t="s">
        <v>10018</v>
      </c>
      <c r="G8850" t="s">
        <v>10104</v>
      </c>
      <c r="H8850" s="6">
        <v>45169</v>
      </c>
      <c r="I8850">
        <f t="shared" si="276"/>
        <v>1</v>
      </c>
      <c r="J8850" t="str">
        <f t="shared" si="277"/>
        <v>Complete</v>
      </c>
      <c r="K8850">
        <f>COUNTIFS(RawData[Item], B8850,RawData[Quantity],C8850,RawData[Price Per Unit],D8850,RawData[Total Spent],E8850,RawData[Payment Method],F8850,RawData[Location],G8850,RawData[Transaction Date],H8850)</f>
        <v>1</v>
      </c>
      <c r="L8850"/>
    </row>
    <row r="8851" spans="1:12" x14ac:dyDescent="0.3">
      <c r="A8851" t="s">
        <v>8857</v>
      </c>
      <c r="B8851" t="s">
        <v>10010</v>
      </c>
      <c r="C8851">
        <v>1</v>
      </c>
      <c r="D8851">
        <v>1</v>
      </c>
      <c r="E8851">
        <v>1</v>
      </c>
      <c r="F8851" t="s">
        <v>10020</v>
      </c>
      <c r="G8851" t="s">
        <v>10021</v>
      </c>
      <c r="H8851" s="6">
        <v>44993</v>
      </c>
      <c r="I8851">
        <f t="shared" si="276"/>
        <v>0</v>
      </c>
      <c r="J8851" t="str">
        <f t="shared" si="277"/>
        <v>Complete</v>
      </c>
      <c r="K8851">
        <f>COUNTIFS(RawData[Item], B8851,RawData[Quantity],C8851,RawData[Price Per Unit],D8851,RawData[Total Spent],E8851,RawData[Payment Method],F8851,RawData[Location],G8851,RawData[Transaction Date],H8851)</f>
        <v>1</v>
      </c>
      <c r="L8851"/>
    </row>
    <row r="8852" spans="1:12" x14ac:dyDescent="0.3">
      <c r="A8852" t="s">
        <v>8858</v>
      </c>
      <c r="B8852" t="s">
        <v>10017</v>
      </c>
      <c r="C8852">
        <v>5</v>
      </c>
      <c r="D8852">
        <v>1.5</v>
      </c>
      <c r="E8852">
        <v>7.5</v>
      </c>
      <c r="F8852" t="s">
        <v>10069</v>
      </c>
      <c r="G8852" t="s">
        <v>10103</v>
      </c>
      <c r="H8852" s="6">
        <v>44928</v>
      </c>
      <c r="I8852">
        <f t="shared" si="276"/>
        <v>1</v>
      </c>
      <c r="J8852" t="str">
        <f t="shared" si="277"/>
        <v>Complete</v>
      </c>
      <c r="K8852">
        <f>COUNTIFS(RawData[Item], B8852,RawData[Quantity],C8852,RawData[Price Per Unit],D8852,RawData[Total Spent],E8852,RawData[Payment Method],F8852,RawData[Location],G8852,RawData[Transaction Date],H8852)</f>
        <v>1</v>
      </c>
      <c r="L8852"/>
    </row>
    <row r="8853" spans="1:12" x14ac:dyDescent="0.3">
      <c r="A8853" t="s">
        <v>8859</v>
      </c>
      <c r="B8853" t="s">
        <v>10014</v>
      </c>
      <c r="C8853">
        <v>1</v>
      </c>
      <c r="D8853">
        <v>4</v>
      </c>
      <c r="E8853">
        <v>4</v>
      </c>
      <c r="F8853" t="s">
        <v>10069</v>
      </c>
      <c r="G8853" t="s">
        <v>10069</v>
      </c>
      <c r="H8853" s="6">
        <v>45020</v>
      </c>
      <c r="I8853">
        <f t="shared" si="276"/>
        <v>0</v>
      </c>
      <c r="J8853" t="str">
        <f t="shared" si="277"/>
        <v>Complete</v>
      </c>
      <c r="K8853">
        <f>COUNTIFS(RawData[Item], B8853,RawData[Quantity],C8853,RawData[Price Per Unit],D8853,RawData[Total Spent],E8853,RawData[Payment Method],F8853,RawData[Location],G8853,RawData[Transaction Date],H8853)</f>
        <v>1</v>
      </c>
      <c r="L8853"/>
    </row>
    <row r="8854" spans="1:12" x14ac:dyDescent="0.3">
      <c r="A8854" t="s">
        <v>8860</v>
      </c>
      <c r="B8854" t="s">
        <v>10014</v>
      </c>
      <c r="C8854">
        <v>5</v>
      </c>
      <c r="D8854">
        <v>4</v>
      </c>
      <c r="E8854">
        <v>20</v>
      </c>
      <c r="F8854" t="s">
        <v>10020</v>
      </c>
      <c r="G8854" t="s">
        <v>10102</v>
      </c>
      <c r="H8854" s="6">
        <v>45191</v>
      </c>
      <c r="I8854">
        <f t="shared" si="276"/>
        <v>0</v>
      </c>
      <c r="J8854" t="str">
        <f t="shared" si="277"/>
        <v>Complete</v>
      </c>
      <c r="K8854">
        <f>COUNTIFS(RawData[Item], B8854,RawData[Quantity],C8854,RawData[Price Per Unit],D8854,RawData[Total Spent],E8854,RawData[Payment Method],F8854,RawData[Location],G8854,RawData[Transaction Date],H8854)</f>
        <v>1</v>
      </c>
      <c r="L8854"/>
    </row>
    <row r="8855" spans="1:12" x14ac:dyDescent="0.3">
      <c r="A8855" t="s">
        <v>8861</v>
      </c>
      <c r="B8855" t="s">
        <v>10016</v>
      </c>
      <c r="C8855">
        <v>3</v>
      </c>
      <c r="D8855">
        <v>3</v>
      </c>
      <c r="E8855">
        <v>9</v>
      </c>
      <c r="F8855" t="s">
        <v>10069</v>
      </c>
      <c r="G8855" t="s">
        <v>10021</v>
      </c>
      <c r="H8855" s="6">
        <v>45128</v>
      </c>
      <c r="I8855">
        <f t="shared" si="276"/>
        <v>0</v>
      </c>
      <c r="J8855" t="str">
        <f t="shared" si="277"/>
        <v>Complete</v>
      </c>
      <c r="K8855">
        <f>COUNTIFS(RawData[Item], B8855,RawData[Quantity],C8855,RawData[Price Per Unit],D8855,RawData[Total Spent],E8855,RawData[Payment Method],F8855,RawData[Location],G8855,RawData[Transaction Date],H8855)</f>
        <v>1</v>
      </c>
      <c r="L8855"/>
    </row>
    <row r="8856" spans="1:12" x14ac:dyDescent="0.3">
      <c r="A8856" t="s">
        <v>8862</v>
      </c>
      <c r="B8856" t="s">
        <v>10017</v>
      </c>
      <c r="C8856">
        <v>4</v>
      </c>
      <c r="D8856">
        <v>1.5</v>
      </c>
      <c r="E8856">
        <v>6</v>
      </c>
      <c r="F8856" t="s">
        <v>10020</v>
      </c>
      <c r="G8856" t="s">
        <v>10069</v>
      </c>
      <c r="H8856" s="6">
        <v>45175</v>
      </c>
      <c r="I8856">
        <f t="shared" si="276"/>
        <v>0</v>
      </c>
      <c r="J8856" t="str">
        <f t="shared" si="277"/>
        <v>Complete</v>
      </c>
      <c r="K8856">
        <f>COUNTIFS(RawData[Item], B8856,RawData[Quantity],C8856,RawData[Price Per Unit],D8856,RawData[Total Spent],E8856,RawData[Payment Method],F8856,RawData[Location],G8856,RawData[Transaction Date],H8856)</f>
        <v>1</v>
      </c>
      <c r="L8856"/>
    </row>
    <row r="8857" spans="1:12" x14ac:dyDescent="0.3">
      <c r="A8857" t="s">
        <v>8863</v>
      </c>
      <c r="B8857" t="s">
        <v>10011</v>
      </c>
      <c r="C8857">
        <v>2</v>
      </c>
      <c r="D8857">
        <v>5</v>
      </c>
      <c r="E8857">
        <v>10</v>
      </c>
      <c r="F8857" t="s">
        <v>10018</v>
      </c>
      <c r="G8857" t="s">
        <v>10102</v>
      </c>
      <c r="H8857" s="6">
        <v>44949</v>
      </c>
      <c r="I8857">
        <f t="shared" si="276"/>
        <v>0</v>
      </c>
      <c r="J8857" t="str">
        <f t="shared" si="277"/>
        <v>Complete</v>
      </c>
      <c r="K8857">
        <f>COUNTIFS(RawData[Item], B8857,RawData[Quantity],C8857,RawData[Price Per Unit],D8857,RawData[Total Spent],E8857,RawData[Payment Method],F8857,RawData[Location],G8857,RawData[Transaction Date],H8857)</f>
        <v>1</v>
      </c>
      <c r="L8857"/>
    </row>
    <row r="8858" spans="1:12" x14ac:dyDescent="0.3">
      <c r="A8858" t="s">
        <v>8864</v>
      </c>
      <c r="B8858" t="s">
        <v>10009</v>
      </c>
      <c r="C8858">
        <v>5</v>
      </c>
      <c r="D8858">
        <v>3</v>
      </c>
      <c r="E8858">
        <v>15</v>
      </c>
      <c r="F8858" t="s">
        <v>10020</v>
      </c>
      <c r="G8858" t="s">
        <v>10102</v>
      </c>
      <c r="H8858" s="6">
        <v>45073</v>
      </c>
      <c r="I8858">
        <f t="shared" si="276"/>
        <v>0</v>
      </c>
      <c r="J8858" t="str">
        <f t="shared" si="277"/>
        <v>Complete</v>
      </c>
      <c r="K8858">
        <f>COUNTIFS(RawData[Item], B8858,RawData[Quantity],C8858,RawData[Price Per Unit],D8858,RawData[Total Spent],E8858,RawData[Payment Method],F8858,RawData[Location],G8858,RawData[Transaction Date],H8858)</f>
        <v>1</v>
      </c>
      <c r="L8858"/>
    </row>
    <row r="8859" spans="1:12" x14ac:dyDescent="0.3">
      <c r="A8859" t="s">
        <v>8865</v>
      </c>
      <c r="B8859" t="s">
        <v>10011</v>
      </c>
      <c r="C8859">
        <v>4</v>
      </c>
      <c r="D8859">
        <v>5</v>
      </c>
      <c r="E8859">
        <v>20</v>
      </c>
      <c r="F8859" t="s">
        <v>10020</v>
      </c>
      <c r="G8859" t="s">
        <v>10021</v>
      </c>
      <c r="H8859" s="6">
        <v>45150</v>
      </c>
      <c r="I8859">
        <f t="shared" si="276"/>
        <v>0</v>
      </c>
      <c r="J8859" t="str">
        <f t="shared" si="277"/>
        <v>Complete</v>
      </c>
      <c r="K8859">
        <f>COUNTIFS(RawData[Item], B8859,RawData[Quantity],C8859,RawData[Price Per Unit],D8859,RawData[Total Spent],E8859,RawData[Payment Method],F8859,RawData[Location],G8859,RawData[Transaction Date],H8859)</f>
        <v>1</v>
      </c>
      <c r="L8859"/>
    </row>
    <row r="8860" spans="1:12" x14ac:dyDescent="0.3">
      <c r="A8860" t="s">
        <v>8866</v>
      </c>
      <c r="B8860" t="s">
        <v>10016</v>
      </c>
      <c r="C8860">
        <v>4</v>
      </c>
      <c r="D8860">
        <v>3</v>
      </c>
      <c r="E8860">
        <v>12</v>
      </c>
      <c r="F8860" t="s">
        <v>10020</v>
      </c>
      <c r="G8860" t="s">
        <v>10021</v>
      </c>
      <c r="H8860" s="6">
        <v>45205</v>
      </c>
      <c r="I8860">
        <f t="shared" si="276"/>
        <v>0</v>
      </c>
      <c r="J8860" t="str">
        <f t="shared" si="277"/>
        <v>Complete</v>
      </c>
      <c r="K8860">
        <f>COUNTIFS(RawData[Item], B8860,RawData[Quantity],C8860,RawData[Price Per Unit],D8860,RawData[Total Spent],E8860,RawData[Payment Method],F8860,RawData[Location],G8860,RawData[Transaction Date],H8860)</f>
        <v>1</v>
      </c>
      <c r="L8860"/>
    </row>
    <row r="8861" spans="1:12" x14ac:dyDescent="0.3">
      <c r="A8861" t="s">
        <v>8867</v>
      </c>
      <c r="B8861" t="s">
        <v>10017</v>
      </c>
      <c r="C8861">
        <v>4</v>
      </c>
      <c r="D8861">
        <v>1.5</v>
      </c>
      <c r="E8861">
        <v>6</v>
      </c>
      <c r="F8861" t="s">
        <v>10020</v>
      </c>
      <c r="G8861" t="s">
        <v>10102</v>
      </c>
      <c r="H8861" s="6">
        <v>45188</v>
      </c>
      <c r="I8861">
        <f t="shared" si="276"/>
        <v>0</v>
      </c>
      <c r="J8861" t="str">
        <f t="shared" si="277"/>
        <v>Complete</v>
      </c>
      <c r="K8861">
        <f>COUNTIFS(RawData[Item], B8861,RawData[Quantity],C8861,RawData[Price Per Unit],D8861,RawData[Total Spent],E8861,RawData[Payment Method],F8861,RawData[Location],G8861,RawData[Transaction Date],H8861)</f>
        <v>1</v>
      </c>
      <c r="L8861"/>
    </row>
    <row r="8862" spans="1:12" x14ac:dyDescent="0.3">
      <c r="A8862" t="s">
        <v>8868</v>
      </c>
      <c r="B8862" t="s">
        <v>10016</v>
      </c>
      <c r="C8862">
        <v>2</v>
      </c>
      <c r="D8862">
        <v>3</v>
      </c>
      <c r="E8862">
        <v>6</v>
      </c>
      <c r="F8862" t="s">
        <v>10018</v>
      </c>
      <c r="G8862" t="s">
        <v>10021</v>
      </c>
      <c r="H8862" s="6">
        <v>45265</v>
      </c>
      <c r="I8862">
        <f t="shared" si="276"/>
        <v>0</v>
      </c>
      <c r="J8862" t="str">
        <f t="shared" si="277"/>
        <v>Complete</v>
      </c>
      <c r="K8862">
        <f>COUNTIFS(RawData[Item], B8862,RawData[Quantity],C8862,RawData[Price Per Unit],D8862,RawData[Total Spent],E8862,RawData[Payment Method],F8862,RawData[Location],G8862,RawData[Transaction Date],H8862)</f>
        <v>1</v>
      </c>
      <c r="L8862"/>
    </row>
    <row r="8863" spans="1:12" x14ac:dyDescent="0.3">
      <c r="A8863" t="s">
        <v>8869</v>
      </c>
      <c r="B8863" t="s">
        <v>10014</v>
      </c>
      <c r="C8863">
        <v>3</v>
      </c>
      <c r="D8863">
        <v>4</v>
      </c>
      <c r="E8863">
        <v>12</v>
      </c>
      <c r="F8863" t="s">
        <v>10069</v>
      </c>
      <c r="G8863" t="s">
        <v>10102</v>
      </c>
      <c r="H8863" s="6" t="s">
        <v>10112</v>
      </c>
      <c r="I8863">
        <f t="shared" si="276"/>
        <v>1</v>
      </c>
      <c r="J8863" t="str">
        <f t="shared" si="277"/>
        <v>Incomplete</v>
      </c>
      <c r="K8863">
        <f>COUNTIFS(RawData[Item], B8863,RawData[Quantity],C8863,RawData[Price Per Unit],D8863,RawData[Total Spent],E8863,RawData[Payment Method],F8863,RawData[Location],G8863,RawData[Transaction Date],H8863)</f>
        <v>1</v>
      </c>
      <c r="L8863"/>
    </row>
    <row r="8864" spans="1:12" x14ac:dyDescent="0.3">
      <c r="A8864" t="s">
        <v>8870</v>
      </c>
      <c r="B8864" t="s">
        <v>10016</v>
      </c>
      <c r="C8864">
        <v>1</v>
      </c>
      <c r="D8864">
        <v>3</v>
      </c>
      <c r="E8864">
        <v>3</v>
      </c>
      <c r="F8864" t="s">
        <v>10019</v>
      </c>
      <c r="G8864" t="s">
        <v>10102</v>
      </c>
      <c r="H8864" s="6">
        <v>45104</v>
      </c>
      <c r="I8864">
        <f t="shared" si="276"/>
        <v>0</v>
      </c>
      <c r="J8864" t="str">
        <f t="shared" si="277"/>
        <v>Complete</v>
      </c>
      <c r="K8864">
        <f>COUNTIFS(RawData[Item], B8864,RawData[Quantity],C8864,RawData[Price Per Unit],D8864,RawData[Total Spent],E8864,RawData[Payment Method],F8864,RawData[Location],G8864,RawData[Transaction Date],H8864)</f>
        <v>1</v>
      </c>
      <c r="L8864"/>
    </row>
    <row r="8865" spans="1:12" x14ac:dyDescent="0.3">
      <c r="A8865" t="s">
        <v>8871</v>
      </c>
      <c r="B8865" t="s">
        <v>10009</v>
      </c>
      <c r="C8865">
        <v>3</v>
      </c>
      <c r="D8865">
        <v>3</v>
      </c>
      <c r="E8865">
        <v>9</v>
      </c>
      <c r="F8865" t="s">
        <v>10069</v>
      </c>
      <c r="G8865" t="s">
        <v>10069</v>
      </c>
      <c r="H8865" s="6">
        <v>45178</v>
      </c>
      <c r="I8865">
        <f t="shared" si="276"/>
        <v>0</v>
      </c>
      <c r="J8865" t="str">
        <f t="shared" si="277"/>
        <v>Complete</v>
      </c>
      <c r="K8865">
        <f>COUNTIFS(RawData[Item], B8865,RawData[Quantity],C8865,RawData[Price Per Unit],D8865,RawData[Total Spent],E8865,RawData[Payment Method],F8865,RawData[Location],G8865,RawData[Transaction Date],H8865)</f>
        <v>1</v>
      </c>
      <c r="L8865"/>
    </row>
    <row r="8866" spans="1:12" x14ac:dyDescent="0.3">
      <c r="A8866" t="s">
        <v>8872</v>
      </c>
      <c r="B8866" t="s">
        <v>10013</v>
      </c>
      <c r="C8866">
        <v>4</v>
      </c>
      <c r="D8866">
        <v>2</v>
      </c>
      <c r="E8866">
        <v>8</v>
      </c>
      <c r="F8866" t="s">
        <v>10019</v>
      </c>
      <c r="G8866" t="s">
        <v>10021</v>
      </c>
      <c r="H8866" s="6">
        <v>45269</v>
      </c>
      <c r="I8866">
        <f t="shared" si="276"/>
        <v>1</v>
      </c>
      <c r="J8866" t="str">
        <f t="shared" si="277"/>
        <v>Complete</v>
      </c>
      <c r="K8866">
        <f>COUNTIFS(RawData[Item], B8866,RawData[Quantity],C8866,RawData[Price Per Unit],D8866,RawData[Total Spent],E8866,RawData[Payment Method],F8866,RawData[Location],G8866,RawData[Transaction Date],H8866)</f>
        <v>1</v>
      </c>
      <c r="L8866"/>
    </row>
    <row r="8867" spans="1:12" x14ac:dyDescent="0.3">
      <c r="A8867" t="s">
        <v>8873</v>
      </c>
      <c r="B8867" t="s">
        <v>10008</v>
      </c>
      <c r="C8867">
        <v>3</v>
      </c>
      <c r="D8867">
        <v>2</v>
      </c>
      <c r="E8867">
        <v>6</v>
      </c>
      <c r="F8867" t="s">
        <v>10069</v>
      </c>
      <c r="G8867" t="s">
        <v>10021</v>
      </c>
      <c r="H8867" s="6">
        <v>45001</v>
      </c>
      <c r="I8867">
        <f t="shared" si="276"/>
        <v>0</v>
      </c>
      <c r="J8867" t="str">
        <f t="shared" si="277"/>
        <v>Complete</v>
      </c>
      <c r="K8867">
        <f>COUNTIFS(RawData[Item], B8867,RawData[Quantity],C8867,RawData[Price Per Unit],D8867,RawData[Total Spent],E8867,RawData[Payment Method],F8867,RawData[Location],G8867,RawData[Transaction Date],H8867)</f>
        <v>1</v>
      </c>
      <c r="L8867"/>
    </row>
    <row r="8868" spans="1:12" x14ac:dyDescent="0.3">
      <c r="A8868" t="s">
        <v>8874</v>
      </c>
      <c r="B8868" t="s">
        <v>10009</v>
      </c>
      <c r="C8868">
        <v>4</v>
      </c>
      <c r="D8868">
        <v>0</v>
      </c>
      <c r="E8868">
        <v>12</v>
      </c>
      <c r="F8868" t="s">
        <v>10019</v>
      </c>
      <c r="G8868" t="s">
        <v>10102</v>
      </c>
      <c r="H8868" s="6">
        <v>45070</v>
      </c>
      <c r="I8868">
        <f t="shared" si="276"/>
        <v>0</v>
      </c>
      <c r="J8868" t="str">
        <f t="shared" si="277"/>
        <v>Complete</v>
      </c>
      <c r="K8868">
        <f>COUNTIFS(RawData[Item], B8868,RawData[Quantity],C8868,RawData[Price Per Unit],D8868,RawData[Total Spent],E8868,RawData[Payment Method],F8868,RawData[Location],G8868,RawData[Transaction Date],H8868)</f>
        <v>1</v>
      </c>
      <c r="L8868"/>
    </row>
    <row r="8869" spans="1:12" x14ac:dyDescent="0.3">
      <c r="A8869" t="s">
        <v>8875</v>
      </c>
      <c r="B8869" t="s">
        <v>10009</v>
      </c>
      <c r="C8869">
        <v>1</v>
      </c>
      <c r="D8869">
        <v>3</v>
      </c>
      <c r="E8869">
        <v>3</v>
      </c>
      <c r="F8869" t="s">
        <v>10019</v>
      </c>
      <c r="G8869" t="s">
        <v>10069</v>
      </c>
      <c r="H8869" s="6">
        <v>44981</v>
      </c>
      <c r="I8869">
        <f t="shared" si="276"/>
        <v>0</v>
      </c>
      <c r="J8869" t="str">
        <f t="shared" si="277"/>
        <v>Complete</v>
      </c>
      <c r="K8869">
        <f>COUNTIFS(RawData[Item], B8869,RawData[Quantity],C8869,RawData[Price Per Unit],D8869,RawData[Total Spent],E8869,RawData[Payment Method],F8869,RawData[Location],G8869,RawData[Transaction Date],H8869)</f>
        <v>1</v>
      </c>
      <c r="L8869"/>
    </row>
    <row r="8870" spans="1:12" x14ac:dyDescent="0.3">
      <c r="A8870" t="s">
        <v>8876</v>
      </c>
      <c r="B8870" t="s">
        <v>10017</v>
      </c>
      <c r="C8870">
        <v>4</v>
      </c>
      <c r="D8870">
        <v>1.5</v>
      </c>
      <c r="E8870">
        <v>6</v>
      </c>
      <c r="F8870" t="s">
        <v>10020</v>
      </c>
      <c r="G8870" t="s">
        <v>10102</v>
      </c>
      <c r="H8870" s="6" t="s">
        <v>10112</v>
      </c>
      <c r="I8870">
        <f t="shared" si="276"/>
        <v>1</v>
      </c>
      <c r="J8870" t="str">
        <f t="shared" si="277"/>
        <v>Incomplete</v>
      </c>
      <c r="K8870">
        <f>COUNTIFS(RawData[Item], B8870,RawData[Quantity],C8870,RawData[Price Per Unit],D8870,RawData[Total Spent],E8870,RawData[Payment Method],F8870,RawData[Location],G8870,RawData[Transaction Date],H8870)</f>
        <v>3</v>
      </c>
      <c r="L8870"/>
    </row>
    <row r="8871" spans="1:12" x14ac:dyDescent="0.3">
      <c r="A8871" t="s">
        <v>8877</v>
      </c>
      <c r="B8871" t="s">
        <v>10014</v>
      </c>
      <c r="C8871">
        <v>1</v>
      </c>
      <c r="D8871">
        <v>4</v>
      </c>
      <c r="E8871">
        <v>4</v>
      </c>
      <c r="F8871" t="s">
        <v>10069</v>
      </c>
      <c r="G8871" t="s">
        <v>10102</v>
      </c>
      <c r="H8871" s="6">
        <v>45005</v>
      </c>
      <c r="I8871">
        <f t="shared" si="276"/>
        <v>0</v>
      </c>
      <c r="J8871" t="str">
        <f t="shared" si="277"/>
        <v>Complete</v>
      </c>
      <c r="K8871">
        <f>COUNTIFS(RawData[Item], B8871,RawData[Quantity],C8871,RawData[Price Per Unit],D8871,RawData[Total Spent],E8871,RawData[Payment Method],F8871,RawData[Location],G8871,RawData[Transaction Date],H8871)</f>
        <v>1</v>
      </c>
      <c r="L8871"/>
    </row>
    <row r="8872" spans="1:12" x14ac:dyDescent="0.3">
      <c r="A8872" t="s">
        <v>8878</v>
      </c>
      <c r="B8872" t="s">
        <v>10069</v>
      </c>
      <c r="C8872">
        <v>5</v>
      </c>
      <c r="D8872">
        <v>2</v>
      </c>
      <c r="E8872">
        <v>10</v>
      </c>
      <c r="F8872" t="s">
        <v>10020</v>
      </c>
      <c r="G8872" t="s">
        <v>10102</v>
      </c>
      <c r="H8872" s="6">
        <v>45135</v>
      </c>
      <c r="I8872">
        <f t="shared" si="276"/>
        <v>0</v>
      </c>
      <c r="J8872" t="str">
        <f t="shared" si="277"/>
        <v>Complete</v>
      </c>
      <c r="K8872">
        <f>COUNTIFS(RawData[Item], B8872,RawData[Quantity],C8872,RawData[Price Per Unit],D8872,RawData[Total Spent],E8872,RawData[Payment Method],F8872,RawData[Location],G8872,RawData[Transaction Date],H8872)</f>
        <v>1</v>
      </c>
      <c r="L8872"/>
    </row>
    <row r="8873" spans="1:12" x14ac:dyDescent="0.3">
      <c r="A8873" t="s">
        <v>8879</v>
      </c>
      <c r="B8873" t="s">
        <v>10008</v>
      </c>
      <c r="C8873">
        <v>5</v>
      </c>
      <c r="D8873">
        <v>2</v>
      </c>
      <c r="E8873">
        <v>10</v>
      </c>
      <c r="F8873" t="s">
        <v>10069</v>
      </c>
      <c r="G8873" t="s">
        <v>10069</v>
      </c>
      <c r="H8873" s="6">
        <v>44999</v>
      </c>
      <c r="I8873">
        <f t="shared" si="276"/>
        <v>0</v>
      </c>
      <c r="J8873" t="str">
        <f t="shared" si="277"/>
        <v>Complete</v>
      </c>
      <c r="K8873">
        <f>COUNTIFS(RawData[Item], B8873,RawData[Quantity],C8873,RawData[Price Per Unit],D8873,RawData[Total Spent],E8873,RawData[Payment Method],F8873,RawData[Location],G8873,RawData[Transaction Date],H8873)</f>
        <v>1</v>
      </c>
      <c r="L8873"/>
    </row>
    <row r="8874" spans="1:12" x14ac:dyDescent="0.3">
      <c r="A8874" t="s">
        <v>8880</v>
      </c>
      <c r="B8874" t="s">
        <v>10010</v>
      </c>
      <c r="C8874">
        <v>5</v>
      </c>
      <c r="D8874">
        <v>1</v>
      </c>
      <c r="E8874">
        <v>5</v>
      </c>
      <c r="F8874" t="s">
        <v>10019</v>
      </c>
      <c r="G8874" t="s">
        <v>10102</v>
      </c>
      <c r="H8874" s="6">
        <v>45130</v>
      </c>
      <c r="I8874">
        <f t="shared" si="276"/>
        <v>0</v>
      </c>
      <c r="J8874" t="str">
        <f t="shared" si="277"/>
        <v>Complete</v>
      </c>
      <c r="K8874">
        <f>COUNTIFS(RawData[Item], B8874,RawData[Quantity],C8874,RawData[Price Per Unit],D8874,RawData[Total Spent],E8874,RawData[Payment Method],F8874,RawData[Location],G8874,RawData[Transaction Date],H8874)</f>
        <v>1</v>
      </c>
      <c r="L8874"/>
    </row>
    <row r="8875" spans="1:12" x14ac:dyDescent="0.3">
      <c r="A8875" t="s">
        <v>8881</v>
      </c>
      <c r="B8875" t="s">
        <v>10011</v>
      </c>
      <c r="C8875">
        <v>1</v>
      </c>
      <c r="D8875">
        <v>5</v>
      </c>
      <c r="E8875">
        <v>5</v>
      </c>
      <c r="F8875" t="s">
        <v>10018</v>
      </c>
      <c r="G8875" t="s">
        <v>10069</v>
      </c>
      <c r="H8875" s="6">
        <v>45041</v>
      </c>
      <c r="I8875">
        <f t="shared" si="276"/>
        <v>0</v>
      </c>
      <c r="J8875" t="str">
        <f t="shared" si="277"/>
        <v>Complete</v>
      </c>
      <c r="K8875">
        <f>COUNTIFS(RawData[Item], B8875,RawData[Quantity],C8875,RawData[Price Per Unit],D8875,RawData[Total Spent],E8875,RawData[Payment Method],F8875,RawData[Location],G8875,RawData[Transaction Date],H8875)</f>
        <v>1</v>
      </c>
      <c r="L8875"/>
    </row>
    <row r="8876" spans="1:12" x14ac:dyDescent="0.3">
      <c r="A8876" t="s">
        <v>8882</v>
      </c>
      <c r="B8876" t="s">
        <v>10012</v>
      </c>
      <c r="C8876" t="s">
        <v>10013</v>
      </c>
      <c r="D8876">
        <v>4</v>
      </c>
      <c r="E8876">
        <v>4</v>
      </c>
      <c r="F8876" t="s">
        <v>10103</v>
      </c>
      <c r="G8876" t="s">
        <v>10102</v>
      </c>
      <c r="H8876" s="6">
        <v>45023</v>
      </c>
      <c r="I8876">
        <f t="shared" si="276"/>
        <v>2</v>
      </c>
      <c r="J8876" t="str">
        <f t="shared" si="277"/>
        <v>Complete</v>
      </c>
      <c r="K8876">
        <f>COUNTIFS(RawData[Item], B8876,RawData[Quantity],C8876,RawData[Price Per Unit],D8876,RawData[Total Spent],E8876,RawData[Payment Method],F8876,RawData[Location],G8876,RawData[Transaction Date],H8876)</f>
        <v>1</v>
      </c>
      <c r="L8876"/>
    </row>
    <row r="8877" spans="1:12" x14ac:dyDescent="0.3">
      <c r="A8877" t="s">
        <v>8883</v>
      </c>
      <c r="B8877" t="s">
        <v>10008</v>
      </c>
      <c r="C8877" t="s">
        <v>10013</v>
      </c>
      <c r="D8877">
        <v>2</v>
      </c>
      <c r="E8877">
        <v>2</v>
      </c>
      <c r="F8877" t="s">
        <v>10018</v>
      </c>
      <c r="G8877" t="s">
        <v>10069</v>
      </c>
      <c r="H8877" s="6">
        <v>45101</v>
      </c>
      <c r="I8877">
        <f t="shared" si="276"/>
        <v>1</v>
      </c>
      <c r="J8877" t="str">
        <f t="shared" si="277"/>
        <v>Complete</v>
      </c>
      <c r="K8877">
        <f>COUNTIFS(RawData[Item], B8877,RawData[Quantity],C8877,RawData[Price Per Unit],D8877,RawData[Total Spent],E8877,RawData[Payment Method],F8877,RawData[Location],G8877,RawData[Transaction Date],H8877)</f>
        <v>1</v>
      </c>
      <c r="L8877"/>
    </row>
    <row r="8878" spans="1:12" x14ac:dyDescent="0.3">
      <c r="A8878" t="s">
        <v>8884</v>
      </c>
      <c r="B8878" t="s">
        <v>10015</v>
      </c>
      <c r="C8878">
        <v>1</v>
      </c>
      <c r="D8878">
        <v>2</v>
      </c>
      <c r="E8878">
        <v>2</v>
      </c>
      <c r="F8878" t="s">
        <v>10069</v>
      </c>
      <c r="G8878" t="s">
        <v>10021</v>
      </c>
      <c r="H8878" s="6">
        <v>45169</v>
      </c>
      <c r="I8878">
        <f t="shared" si="276"/>
        <v>1</v>
      </c>
      <c r="J8878" t="str">
        <f t="shared" si="277"/>
        <v>Complete</v>
      </c>
      <c r="K8878">
        <f>COUNTIFS(RawData[Item], B8878,RawData[Quantity],C8878,RawData[Price Per Unit],D8878,RawData[Total Spent],E8878,RawData[Payment Method],F8878,RawData[Location],G8878,RawData[Transaction Date],H8878)</f>
        <v>1</v>
      </c>
      <c r="L8878"/>
    </row>
    <row r="8879" spans="1:12" x14ac:dyDescent="0.3">
      <c r="A8879" t="s">
        <v>8885</v>
      </c>
      <c r="B8879" t="s">
        <v>10009</v>
      </c>
      <c r="C8879">
        <v>5</v>
      </c>
      <c r="D8879">
        <v>3</v>
      </c>
      <c r="E8879">
        <v>15</v>
      </c>
      <c r="F8879" t="s">
        <v>10020</v>
      </c>
      <c r="G8879" t="s">
        <v>10104</v>
      </c>
      <c r="H8879" s="6">
        <v>45001</v>
      </c>
      <c r="I8879">
        <f t="shared" si="276"/>
        <v>1</v>
      </c>
      <c r="J8879" t="str">
        <f t="shared" si="277"/>
        <v>Complete</v>
      </c>
      <c r="K8879">
        <f>COUNTIFS(RawData[Item], B8879,RawData[Quantity],C8879,RawData[Price Per Unit],D8879,RawData[Total Spent],E8879,RawData[Payment Method],F8879,RawData[Location],G8879,RawData[Transaction Date],H8879)</f>
        <v>1</v>
      </c>
      <c r="L8879"/>
    </row>
    <row r="8880" spans="1:12" x14ac:dyDescent="0.3">
      <c r="A8880" t="s">
        <v>8886</v>
      </c>
      <c r="B8880" t="s">
        <v>10017</v>
      </c>
      <c r="C8880">
        <v>1</v>
      </c>
      <c r="D8880">
        <v>1.5</v>
      </c>
      <c r="E8880">
        <v>1.5</v>
      </c>
      <c r="F8880" t="s">
        <v>10018</v>
      </c>
      <c r="G8880" t="s">
        <v>10021</v>
      </c>
      <c r="H8880" s="6">
        <v>45028</v>
      </c>
      <c r="I8880">
        <f t="shared" si="276"/>
        <v>0</v>
      </c>
      <c r="J8880" t="str">
        <f t="shared" si="277"/>
        <v>Complete</v>
      </c>
      <c r="K8880">
        <f>COUNTIFS(RawData[Item], B8880,RawData[Quantity],C8880,RawData[Price Per Unit],D8880,RawData[Total Spent],E8880,RawData[Payment Method],F8880,RawData[Location],G8880,RawData[Transaction Date],H8880)</f>
        <v>1</v>
      </c>
      <c r="L8880"/>
    </row>
    <row r="8881" spans="1:12" x14ac:dyDescent="0.3">
      <c r="A8881" t="s">
        <v>8887</v>
      </c>
      <c r="B8881" t="s">
        <v>10017</v>
      </c>
      <c r="C8881">
        <v>5</v>
      </c>
      <c r="D8881" t="s">
        <v>10015</v>
      </c>
      <c r="E8881">
        <v>7.5</v>
      </c>
      <c r="F8881" t="s">
        <v>10069</v>
      </c>
      <c r="G8881" t="s">
        <v>10021</v>
      </c>
      <c r="H8881" s="6">
        <v>45046</v>
      </c>
      <c r="I8881">
        <f t="shared" si="276"/>
        <v>1</v>
      </c>
      <c r="J8881" t="str">
        <f t="shared" si="277"/>
        <v>Complete</v>
      </c>
      <c r="K8881">
        <f>COUNTIFS(RawData[Item], B8881,RawData[Quantity],C8881,RawData[Price Per Unit],D8881,RawData[Total Spent],E8881,RawData[Payment Method],F8881,RawData[Location],G8881,RawData[Transaction Date],H8881)</f>
        <v>1</v>
      </c>
      <c r="L8881"/>
    </row>
    <row r="8882" spans="1:12" x14ac:dyDescent="0.3">
      <c r="A8882" t="s">
        <v>8888</v>
      </c>
      <c r="B8882" t="s">
        <v>10011</v>
      </c>
      <c r="C8882">
        <v>5</v>
      </c>
      <c r="D8882">
        <v>5</v>
      </c>
      <c r="E8882">
        <v>25</v>
      </c>
      <c r="F8882" t="s">
        <v>10019</v>
      </c>
      <c r="G8882" t="s">
        <v>10069</v>
      </c>
      <c r="H8882" s="6">
        <v>45229</v>
      </c>
      <c r="I8882">
        <f t="shared" si="276"/>
        <v>0</v>
      </c>
      <c r="J8882" t="str">
        <f t="shared" si="277"/>
        <v>Complete</v>
      </c>
      <c r="K8882">
        <f>COUNTIFS(RawData[Item], B8882,RawData[Quantity],C8882,RawData[Price Per Unit],D8882,RawData[Total Spent],E8882,RawData[Payment Method],F8882,RawData[Location],G8882,RawData[Transaction Date],H8882)</f>
        <v>1</v>
      </c>
      <c r="L8882"/>
    </row>
    <row r="8883" spans="1:12" x14ac:dyDescent="0.3">
      <c r="A8883" t="s">
        <v>8889</v>
      </c>
      <c r="B8883" t="s">
        <v>10008</v>
      </c>
      <c r="C8883">
        <v>4</v>
      </c>
      <c r="D8883">
        <v>2</v>
      </c>
      <c r="E8883">
        <v>8</v>
      </c>
      <c r="F8883" t="s">
        <v>10020</v>
      </c>
      <c r="G8883" t="s">
        <v>10069</v>
      </c>
      <c r="H8883" s="6">
        <v>45225</v>
      </c>
      <c r="I8883">
        <f t="shared" si="276"/>
        <v>0</v>
      </c>
      <c r="J8883" t="str">
        <f t="shared" si="277"/>
        <v>Complete</v>
      </c>
      <c r="K8883">
        <f>COUNTIFS(RawData[Item], B8883,RawData[Quantity],C8883,RawData[Price Per Unit],D8883,RawData[Total Spent],E8883,RawData[Payment Method],F8883,RawData[Location],G8883,RawData[Transaction Date],H8883)</f>
        <v>1</v>
      </c>
      <c r="L8883"/>
    </row>
    <row r="8884" spans="1:12" x14ac:dyDescent="0.3">
      <c r="A8884" t="s">
        <v>8890</v>
      </c>
      <c r="B8884" t="s">
        <v>10011</v>
      </c>
      <c r="C8884">
        <v>4</v>
      </c>
      <c r="D8884">
        <v>5</v>
      </c>
      <c r="E8884">
        <v>20</v>
      </c>
      <c r="F8884" t="s">
        <v>10069</v>
      </c>
      <c r="G8884" t="s">
        <v>10069</v>
      </c>
      <c r="H8884" s="6">
        <v>44981</v>
      </c>
      <c r="I8884">
        <f t="shared" si="276"/>
        <v>0</v>
      </c>
      <c r="J8884" t="str">
        <f t="shared" si="277"/>
        <v>Complete</v>
      </c>
      <c r="K8884">
        <f>COUNTIFS(RawData[Item], B8884,RawData[Quantity],C8884,RawData[Price Per Unit],D8884,RawData[Total Spent],E8884,RawData[Payment Method],F8884,RawData[Location],G8884,RawData[Transaction Date],H8884)</f>
        <v>1</v>
      </c>
      <c r="L8884"/>
    </row>
    <row r="8885" spans="1:12" x14ac:dyDescent="0.3">
      <c r="A8885" t="s">
        <v>8891</v>
      </c>
      <c r="B8885" t="s">
        <v>10013</v>
      </c>
      <c r="C8885">
        <v>4</v>
      </c>
      <c r="D8885">
        <v>3</v>
      </c>
      <c r="E8885">
        <v>12</v>
      </c>
      <c r="F8885" t="s">
        <v>10019</v>
      </c>
      <c r="G8885" t="s">
        <v>10102</v>
      </c>
      <c r="H8885" s="6">
        <v>45115</v>
      </c>
      <c r="I8885">
        <f t="shared" si="276"/>
        <v>1</v>
      </c>
      <c r="J8885" t="str">
        <f t="shared" si="277"/>
        <v>Complete</v>
      </c>
      <c r="K8885">
        <f>COUNTIFS(RawData[Item], B8885,RawData[Quantity],C8885,RawData[Price Per Unit],D8885,RawData[Total Spent],E8885,RawData[Payment Method],F8885,RawData[Location],G8885,RawData[Transaction Date],H8885)</f>
        <v>1</v>
      </c>
      <c r="L8885"/>
    </row>
    <row r="8886" spans="1:12" x14ac:dyDescent="0.3">
      <c r="A8886" t="s">
        <v>8892</v>
      </c>
      <c r="B8886" t="s">
        <v>10012</v>
      </c>
      <c r="C8886">
        <v>2</v>
      </c>
      <c r="D8886">
        <v>4</v>
      </c>
      <c r="E8886" t="s">
        <v>10015</v>
      </c>
      <c r="F8886" t="s">
        <v>10069</v>
      </c>
      <c r="G8886" t="s">
        <v>10069</v>
      </c>
      <c r="H8886" s="6" t="s">
        <v>10112</v>
      </c>
      <c r="I8886">
        <f t="shared" si="276"/>
        <v>2</v>
      </c>
      <c r="J8886" t="str">
        <f t="shared" si="277"/>
        <v>Incomplete</v>
      </c>
      <c r="K8886">
        <f>COUNTIFS(RawData[Item], B8886,RawData[Quantity],C8886,RawData[Price Per Unit],D8886,RawData[Total Spent],E8886,RawData[Payment Method],F8886,RawData[Location],G8886,RawData[Transaction Date],H8886)</f>
        <v>1</v>
      </c>
      <c r="L8886"/>
    </row>
    <row r="8887" spans="1:12" x14ac:dyDescent="0.3">
      <c r="A8887" t="s">
        <v>8893</v>
      </c>
      <c r="B8887" t="s">
        <v>10008</v>
      </c>
      <c r="C8887">
        <v>2</v>
      </c>
      <c r="D8887">
        <v>2</v>
      </c>
      <c r="E8887">
        <v>4</v>
      </c>
      <c r="F8887" t="s">
        <v>10019</v>
      </c>
      <c r="G8887" t="s">
        <v>10102</v>
      </c>
      <c r="H8887" s="6">
        <v>44927</v>
      </c>
      <c r="I8887">
        <f t="shared" si="276"/>
        <v>0</v>
      </c>
      <c r="J8887" t="str">
        <f t="shared" si="277"/>
        <v>Complete</v>
      </c>
      <c r="K8887">
        <f>COUNTIFS(RawData[Item], B8887,RawData[Quantity],C8887,RawData[Price Per Unit],D8887,RawData[Total Spent],E8887,RawData[Payment Method],F8887,RawData[Location],G8887,RawData[Transaction Date],H8887)</f>
        <v>1</v>
      </c>
      <c r="L8887"/>
    </row>
    <row r="8888" spans="1:12" x14ac:dyDescent="0.3">
      <c r="A8888" t="s">
        <v>8894</v>
      </c>
      <c r="B8888" t="s">
        <v>10016</v>
      </c>
      <c r="C8888">
        <v>4</v>
      </c>
      <c r="D8888">
        <v>3</v>
      </c>
      <c r="E8888">
        <v>12</v>
      </c>
      <c r="F8888" t="s">
        <v>10103</v>
      </c>
      <c r="G8888" t="s">
        <v>10102</v>
      </c>
      <c r="H8888" s="6">
        <v>44943</v>
      </c>
      <c r="I8888">
        <f t="shared" si="276"/>
        <v>1</v>
      </c>
      <c r="J8888" t="str">
        <f t="shared" si="277"/>
        <v>Complete</v>
      </c>
      <c r="K8888">
        <f>COUNTIFS(RawData[Item], B8888,RawData[Quantity],C8888,RawData[Price Per Unit],D8888,RawData[Total Spent],E8888,RawData[Payment Method],F8888,RawData[Location],G8888,RawData[Transaction Date],H8888)</f>
        <v>1</v>
      </c>
      <c r="L8888"/>
    </row>
    <row r="8889" spans="1:12" x14ac:dyDescent="0.3">
      <c r="A8889" t="s">
        <v>8895</v>
      </c>
      <c r="B8889" t="s">
        <v>10010</v>
      </c>
      <c r="C8889">
        <v>5</v>
      </c>
      <c r="D8889">
        <v>1</v>
      </c>
      <c r="E8889">
        <v>5</v>
      </c>
      <c r="F8889" t="s">
        <v>10069</v>
      </c>
      <c r="G8889" t="s">
        <v>10069</v>
      </c>
      <c r="H8889" s="6">
        <v>45147</v>
      </c>
      <c r="I8889">
        <f t="shared" si="276"/>
        <v>0</v>
      </c>
      <c r="J8889" t="str">
        <f t="shared" si="277"/>
        <v>Complete</v>
      </c>
      <c r="K8889">
        <f>COUNTIFS(RawData[Item], B8889,RawData[Quantity],C8889,RawData[Price Per Unit],D8889,RawData[Total Spent],E8889,RawData[Payment Method],F8889,RawData[Location],G8889,RawData[Transaction Date],H8889)</f>
        <v>1</v>
      </c>
      <c r="L8889"/>
    </row>
    <row r="8890" spans="1:12" x14ac:dyDescent="0.3">
      <c r="A8890" t="s">
        <v>8896</v>
      </c>
      <c r="B8890" t="s">
        <v>10069</v>
      </c>
      <c r="C8890">
        <v>5</v>
      </c>
      <c r="D8890">
        <v>2</v>
      </c>
      <c r="E8890">
        <v>10</v>
      </c>
      <c r="F8890" t="s">
        <v>10018</v>
      </c>
      <c r="G8890" t="s">
        <v>10021</v>
      </c>
      <c r="H8890" s="6">
        <v>45224</v>
      </c>
      <c r="I8890">
        <f t="shared" si="276"/>
        <v>0</v>
      </c>
      <c r="J8890" t="str">
        <f t="shared" si="277"/>
        <v>Complete</v>
      </c>
      <c r="K8890">
        <f>COUNTIFS(RawData[Item], B8890,RawData[Quantity],C8890,RawData[Price Per Unit],D8890,RawData[Total Spent],E8890,RawData[Payment Method],F8890,RawData[Location],G8890,RawData[Transaction Date],H8890)</f>
        <v>1</v>
      </c>
      <c r="L8890"/>
    </row>
    <row r="8891" spans="1:12" x14ac:dyDescent="0.3">
      <c r="A8891" t="s">
        <v>8897</v>
      </c>
      <c r="B8891" t="s">
        <v>10013</v>
      </c>
      <c r="C8891">
        <v>2</v>
      </c>
      <c r="D8891">
        <v>3</v>
      </c>
      <c r="E8891">
        <v>6</v>
      </c>
      <c r="F8891" t="s">
        <v>10019</v>
      </c>
      <c r="G8891" t="s">
        <v>10102</v>
      </c>
      <c r="H8891" s="6">
        <v>45084</v>
      </c>
      <c r="I8891">
        <f t="shared" si="276"/>
        <v>1</v>
      </c>
      <c r="J8891" t="str">
        <f t="shared" si="277"/>
        <v>Complete</v>
      </c>
      <c r="K8891">
        <f>COUNTIFS(RawData[Item], B8891,RawData[Quantity],C8891,RawData[Price Per Unit],D8891,RawData[Total Spent],E8891,RawData[Payment Method],F8891,RawData[Location],G8891,RawData[Transaction Date],H8891)</f>
        <v>1</v>
      </c>
      <c r="L8891"/>
    </row>
    <row r="8892" spans="1:12" x14ac:dyDescent="0.3">
      <c r="A8892" t="s">
        <v>8898</v>
      </c>
      <c r="B8892" t="s">
        <v>10015</v>
      </c>
      <c r="C8892">
        <v>2</v>
      </c>
      <c r="D8892">
        <v>2</v>
      </c>
      <c r="E8892">
        <v>4</v>
      </c>
      <c r="F8892" t="s">
        <v>10018</v>
      </c>
      <c r="G8892" t="s">
        <v>10021</v>
      </c>
      <c r="H8892" s="6">
        <v>45016</v>
      </c>
      <c r="I8892">
        <f t="shared" si="276"/>
        <v>1</v>
      </c>
      <c r="J8892" t="str">
        <f t="shared" si="277"/>
        <v>Complete</v>
      </c>
      <c r="K8892">
        <f>COUNTIFS(RawData[Item], B8892,RawData[Quantity],C8892,RawData[Price Per Unit],D8892,RawData[Total Spent],E8892,RawData[Payment Method],F8892,RawData[Location],G8892,RawData[Transaction Date],H8892)</f>
        <v>1</v>
      </c>
      <c r="L8892"/>
    </row>
    <row r="8893" spans="1:12" x14ac:dyDescent="0.3">
      <c r="A8893" t="s">
        <v>8899</v>
      </c>
      <c r="B8893" t="s">
        <v>10014</v>
      </c>
      <c r="C8893">
        <v>4</v>
      </c>
      <c r="D8893">
        <v>4</v>
      </c>
      <c r="E8893">
        <v>16</v>
      </c>
      <c r="F8893" t="s">
        <v>10018</v>
      </c>
      <c r="G8893" t="s">
        <v>10021</v>
      </c>
      <c r="H8893" s="6">
        <v>45167</v>
      </c>
      <c r="I8893">
        <f t="shared" si="276"/>
        <v>0</v>
      </c>
      <c r="J8893" t="str">
        <f t="shared" si="277"/>
        <v>Complete</v>
      </c>
      <c r="K8893">
        <f>COUNTIFS(RawData[Item], B8893,RawData[Quantity],C8893,RawData[Price Per Unit],D8893,RawData[Total Spent],E8893,RawData[Payment Method],F8893,RawData[Location],G8893,RawData[Transaction Date],H8893)</f>
        <v>1</v>
      </c>
      <c r="L8893"/>
    </row>
    <row r="8894" spans="1:12" x14ac:dyDescent="0.3">
      <c r="A8894" t="s">
        <v>8900</v>
      </c>
      <c r="B8894" t="s">
        <v>10008</v>
      </c>
      <c r="C8894">
        <v>2</v>
      </c>
      <c r="D8894">
        <v>2</v>
      </c>
      <c r="E8894">
        <v>4</v>
      </c>
      <c r="F8894" t="s">
        <v>10020</v>
      </c>
      <c r="G8894" t="s">
        <v>10102</v>
      </c>
      <c r="H8894" s="6">
        <v>45064</v>
      </c>
      <c r="I8894">
        <f t="shared" si="276"/>
        <v>0</v>
      </c>
      <c r="J8894" t="str">
        <f t="shared" si="277"/>
        <v>Complete</v>
      </c>
      <c r="K8894">
        <f>COUNTIFS(RawData[Item], B8894,RawData[Quantity],C8894,RawData[Price Per Unit],D8894,RawData[Total Spent],E8894,RawData[Payment Method],F8894,RawData[Location],G8894,RawData[Transaction Date],H8894)</f>
        <v>1</v>
      </c>
      <c r="L8894"/>
    </row>
    <row r="8895" spans="1:12" x14ac:dyDescent="0.3">
      <c r="A8895" t="s">
        <v>8901</v>
      </c>
      <c r="B8895" t="s">
        <v>10069</v>
      </c>
      <c r="C8895">
        <v>3</v>
      </c>
      <c r="D8895">
        <v>1.5</v>
      </c>
      <c r="E8895">
        <v>4.5</v>
      </c>
      <c r="F8895" t="s">
        <v>10020</v>
      </c>
      <c r="G8895" t="s">
        <v>10021</v>
      </c>
      <c r="H8895" s="6">
        <v>45163</v>
      </c>
      <c r="I8895">
        <f t="shared" si="276"/>
        <v>0</v>
      </c>
      <c r="J8895" t="str">
        <f t="shared" si="277"/>
        <v>Complete</v>
      </c>
      <c r="K8895">
        <f>COUNTIFS(RawData[Item], B8895,RawData[Quantity],C8895,RawData[Price Per Unit],D8895,RawData[Total Spent],E8895,RawData[Payment Method],F8895,RawData[Location],G8895,RawData[Transaction Date],H8895)</f>
        <v>1</v>
      </c>
      <c r="L8895"/>
    </row>
    <row r="8896" spans="1:12" x14ac:dyDescent="0.3">
      <c r="A8896" t="s">
        <v>8902</v>
      </c>
      <c r="B8896" t="s">
        <v>10016</v>
      </c>
      <c r="C8896">
        <v>4</v>
      </c>
      <c r="D8896">
        <v>3</v>
      </c>
      <c r="E8896">
        <v>12</v>
      </c>
      <c r="F8896" t="s">
        <v>10020</v>
      </c>
      <c r="G8896" t="s">
        <v>10069</v>
      </c>
      <c r="H8896" s="6">
        <v>45046</v>
      </c>
      <c r="I8896">
        <f t="shared" si="276"/>
        <v>0</v>
      </c>
      <c r="J8896" t="str">
        <f t="shared" si="277"/>
        <v>Complete</v>
      </c>
      <c r="K8896">
        <f>COUNTIFS(RawData[Item], B8896,RawData[Quantity],C8896,RawData[Price Per Unit],D8896,RawData[Total Spent],E8896,RawData[Payment Method],F8896,RawData[Location],G8896,RawData[Transaction Date],H8896)</f>
        <v>1</v>
      </c>
      <c r="L8896"/>
    </row>
    <row r="8897" spans="1:12" x14ac:dyDescent="0.3">
      <c r="A8897" t="s">
        <v>8903</v>
      </c>
      <c r="B8897" t="s">
        <v>10014</v>
      </c>
      <c r="C8897">
        <v>3</v>
      </c>
      <c r="D8897">
        <v>4</v>
      </c>
      <c r="E8897">
        <v>12</v>
      </c>
      <c r="F8897" t="s">
        <v>10019</v>
      </c>
      <c r="G8897" t="s">
        <v>10069</v>
      </c>
      <c r="H8897" s="6">
        <v>45140</v>
      </c>
      <c r="I8897">
        <f t="shared" si="276"/>
        <v>0</v>
      </c>
      <c r="J8897" t="str">
        <f t="shared" si="277"/>
        <v>Complete</v>
      </c>
      <c r="K8897">
        <f>COUNTIFS(RawData[Item], B8897,RawData[Quantity],C8897,RawData[Price Per Unit],D8897,RawData[Total Spent],E8897,RawData[Payment Method],F8897,RawData[Location],G8897,RawData[Transaction Date],H8897)</f>
        <v>1</v>
      </c>
      <c r="L8897"/>
    </row>
    <row r="8898" spans="1:12" x14ac:dyDescent="0.3">
      <c r="A8898" t="s">
        <v>8904</v>
      </c>
      <c r="B8898" t="s">
        <v>10016</v>
      </c>
      <c r="C8898">
        <v>1</v>
      </c>
      <c r="D8898">
        <v>3</v>
      </c>
      <c r="E8898">
        <v>3</v>
      </c>
      <c r="F8898" t="s">
        <v>10019</v>
      </c>
      <c r="G8898" t="s">
        <v>10069</v>
      </c>
      <c r="H8898" s="6">
        <v>45156</v>
      </c>
      <c r="I8898">
        <f t="shared" ref="I8898:I8961" si="278">(B8898="Unknown")+(B8898="Error")+(C8898="Unknown")+(C8898="Error")+(D8898="Unknown")+(D8898="Error")+(E8898="Unknown")+(E8898="Error")+(F8898="Unknown")+(F8898="Error")+(G8898="Unknown")+(G8898="Error")+(H8898="No Date")</f>
        <v>0</v>
      </c>
      <c r="J8898" t="str">
        <f t="shared" ref="J8898:J8961" si="279">IF((H8898="No Date"),"Incomplete","Complete")</f>
        <v>Complete</v>
      </c>
      <c r="K8898">
        <f>COUNTIFS(RawData[Item], B8898,RawData[Quantity],C8898,RawData[Price Per Unit],D8898,RawData[Total Spent],E8898,RawData[Payment Method],F8898,RawData[Location],G8898,RawData[Transaction Date],H8898)</f>
        <v>1</v>
      </c>
      <c r="L8898"/>
    </row>
    <row r="8899" spans="1:12" x14ac:dyDescent="0.3">
      <c r="A8899" t="s">
        <v>8905</v>
      </c>
      <c r="B8899" t="s">
        <v>10012</v>
      </c>
      <c r="C8899">
        <v>2</v>
      </c>
      <c r="D8899">
        <v>4</v>
      </c>
      <c r="E8899">
        <v>8</v>
      </c>
      <c r="F8899" t="s">
        <v>10018</v>
      </c>
      <c r="G8899" t="s">
        <v>10021</v>
      </c>
      <c r="H8899" s="6">
        <v>45239</v>
      </c>
      <c r="I8899">
        <f t="shared" si="278"/>
        <v>0</v>
      </c>
      <c r="J8899" t="str">
        <f t="shared" si="279"/>
        <v>Complete</v>
      </c>
      <c r="K8899">
        <f>COUNTIFS(RawData[Item], B8899,RawData[Quantity],C8899,RawData[Price Per Unit],D8899,RawData[Total Spent],E8899,RawData[Payment Method],F8899,RawData[Location],G8899,RawData[Transaction Date],H8899)</f>
        <v>1</v>
      </c>
      <c r="L8899"/>
    </row>
    <row r="8900" spans="1:12" x14ac:dyDescent="0.3">
      <c r="A8900" t="s">
        <v>8906</v>
      </c>
      <c r="B8900" t="s">
        <v>10011</v>
      </c>
      <c r="C8900">
        <v>4</v>
      </c>
      <c r="D8900">
        <v>5</v>
      </c>
      <c r="E8900">
        <v>20</v>
      </c>
      <c r="F8900" t="s">
        <v>10018</v>
      </c>
      <c r="G8900" t="s">
        <v>10102</v>
      </c>
      <c r="H8900" s="6">
        <v>45108</v>
      </c>
      <c r="I8900">
        <f t="shared" si="278"/>
        <v>0</v>
      </c>
      <c r="J8900" t="str">
        <f t="shared" si="279"/>
        <v>Complete</v>
      </c>
      <c r="K8900">
        <f>COUNTIFS(RawData[Item], B8900,RawData[Quantity],C8900,RawData[Price Per Unit],D8900,RawData[Total Spent],E8900,RawData[Payment Method],F8900,RawData[Location],G8900,RawData[Transaction Date],H8900)</f>
        <v>1</v>
      </c>
      <c r="L8900"/>
    </row>
    <row r="8901" spans="1:12" x14ac:dyDescent="0.3">
      <c r="A8901" t="s">
        <v>8907</v>
      </c>
      <c r="B8901" t="s">
        <v>10014</v>
      </c>
      <c r="C8901" t="s">
        <v>10015</v>
      </c>
      <c r="D8901">
        <v>4</v>
      </c>
      <c r="E8901">
        <v>20</v>
      </c>
      <c r="F8901" t="s">
        <v>10069</v>
      </c>
      <c r="G8901" t="s">
        <v>10069</v>
      </c>
      <c r="H8901" s="6">
        <v>45200</v>
      </c>
      <c r="I8901">
        <f t="shared" si="278"/>
        <v>1</v>
      </c>
      <c r="J8901" t="str">
        <f t="shared" si="279"/>
        <v>Complete</v>
      </c>
      <c r="K8901">
        <f>COUNTIFS(RawData[Item], B8901,RawData[Quantity],C8901,RawData[Price Per Unit],D8901,RawData[Total Spent],E8901,RawData[Payment Method],F8901,RawData[Location],G8901,RawData[Transaction Date],H8901)</f>
        <v>1</v>
      </c>
      <c r="L8901"/>
    </row>
    <row r="8902" spans="1:12" x14ac:dyDescent="0.3">
      <c r="A8902" t="s">
        <v>8908</v>
      </c>
      <c r="B8902" t="s">
        <v>10012</v>
      </c>
      <c r="C8902">
        <v>3</v>
      </c>
      <c r="D8902">
        <v>4</v>
      </c>
      <c r="E8902">
        <v>12</v>
      </c>
      <c r="F8902" t="s">
        <v>10020</v>
      </c>
      <c r="G8902" t="s">
        <v>10104</v>
      </c>
      <c r="H8902" s="6">
        <v>45282</v>
      </c>
      <c r="I8902">
        <f t="shared" si="278"/>
        <v>1</v>
      </c>
      <c r="J8902" t="str">
        <f t="shared" si="279"/>
        <v>Complete</v>
      </c>
      <c r="K8902">
        <f>COUNTIFS(RawData[Item], B8902,RawData[Quantity],C8902,RawData[Price Per Unit],D8902,RawData[Total Spent],E8902,RawData[Payment Method],F8902,RawData[Location],G8902,RawData[Transaction Date],H8902)</f>
        <v>1</v>
      </c>
      <c r="L8902"/>
    </row>
    <row r="8903" spans="1:12" x14ac:dyDescent="0.3">
      <c r="A8903" t="s">
        <v>8909</v>
      </c>
      <c r="B8903" t="s">
        <v>10008</v>
      </c>
      <c r="C8903">
        <v>5</v>
      </c>
      <c r="D8903">
        <v>2</v>
      </c>
      <c r="E8903">
        <v>10</v>
      </c>
      <c r="F8903" t="s">
        <v>10018</v>
      </c>
      <c r="G8903" t="s">
        <v>10102</v>
      </c>
      <c r="H8903" s="6">
        <v>45281</v>
      </c>
      <c r="I8903">
        <f t="shared" si="278"/>
        <v>0</v>
      </c>
      <c r="J8903" t="str">
        <f t="shared" si="279"/>
        <v>Complete</v>
      </c>
      <c r="K8903">
        <f>COUNTIFS(RawData[Item], B8903,RawData[Quantity],C8903,RawData[Price Per Unit],D8903,RawData[Total Spent],E8903,RawData[Payment Method],F8903,RawData[Location],G8903,RawData[Transaction Date],H8903)</f>
        <v>1</v>
      </c>
      <c r="L8903"/>
    </row>
    <row r="8904" spans="1:12" x14ac:dyDescent="0.3">
      <c r="A8904" t="s">
        <v>8910</v>
      </c>
      <c r="B8904" t="s">
        <v>10014</v>
      </c>
      <c r="C8904">
        <v>1</v>
      </c>
      <c r="D8904">
        <v>4</v>
      </c>
      <c r="E8904">
        <v>4</v>
      </c>
      <c r="F8904" t="s">
        <v>10019</v>
      </c>
      <c r="G8904" t="s">
        <v>10021</v>
      </c>
      <c r="H8904" s="6">
        <v>45284</v>
      </c>
      <c r="I8904">
        <f t="shared" si="278"/>
        <v>0</v>
      </c>
      <c r="J8904" t="str">
        <f t="shared" si="279"/>
        <v>Complete</v>
      </c>
      <c r="K8904">
        <f>COUNTIFS(RawData[Item], B8904,RawData[Quantity],C8904,RawData[Price Per Unit],D8904,RawData[Total Spent],E8904,RawData[Payment Method],F8904,RawData[Location],G8904,RawData[Transaction Date],H8904)</f>
        <v>1</v>
      </c>
      <c r="L8904"/>
    </row>
    <row r="8905" spans="1:12" x14ac:dyDescent="0.3">
      <c r="A8905" t="s">
        <v>8911</v>
      </c>
      <c r="B8905" t="s">
        <v>10010</v>
      </c>
      <c r="C8905">
        <v>4</v>
      </c>
      <c r="D8905">
        <v>1</v>
      </c>
      <c r="E8905">
        <v>4</v>
      </c>
      <c r="F8905" t="s">
        <v>10069</v>
      </c>
      <c r="G8905" t="s">
        <v>10103</v>
      </c>
      <c r="H8905" s="6">
        <v>45162</v>
      </c>
      <c r="I8905">
        <f t="shared" si="278"/>
        <v>1</v>
      </c>
      <c r="J8905" t="str">
        <f t="shared" si="279"/>
        <v>Complete</v>
      </c>
      <c r="K8905">
        <f>COUNTIFS(RawData[Item], B8905,RawData[Quantity],C8905,RawData[Price Per Unit],D8905,RawData[Total Spent],E8905,RawData[Payment Method],F8905,RawData[Location],G8905,RawData[Transaction Date],H8905)</f>
        <v>1</v>
      </c>
      <c r="L8905"/>
    </row>
    <row r="8906" spans="1:12" x14ac:dyDescent="0.3">
      <c r="A8906" t="s">
        <v>8912</v>
      </c>
      <c r="B8906" t="s">
        <v>10011</v>
      </c>
      <c r="C8906">
        <v>4</v>
      </c>
      <c r="D8906">
        <v>5</v>
      </c>
      <c r="E8906">
        <v>20</v>
      </c>
      <c r="F8906" t="s">
        <v>10019</v>
      </c>
      <c r="G8906" t="s">
        <v>10102</v>
      </c>
      <c r="H8906" s="6">
        <v>44948</v>
      </c>
      <c r="I8906">
        <f t="shared" si="278"/>
        <v>0</v>
      </c>
      <c r="J8906" t="str">
        <f t="shared" si="279"/>
        <v>Complete</v>
      </c>
      <c r="K8906">
        <f>COUNTIFS(RawData[Item], B8906,RawData[Quantity],C8906,RawData[Price Per Unit],D8906,RawData[Total Spent],E8906,RawData[Payment Method],F8906,RawData[Location],G8906,RawData[Transaction Date],H8906)</f>
        <v>1</v>
      </c>
      <c r="L8906"/>
    </row>
    <row r="8907" spans="1:12" x14ac:dyDescent="0.3">
      <c r="A8907" t="s">
        <v>8913</v>
      </c>
      <c r="B8907" t="s">
        <v>10008</v>
      </c>
      <c r="C8907">
        <v>4</v>
      </c>
      <c r="D8907">
        <v>2</v>
      </c>
      <c r="E8907">
        <v>8</v>
      </c>
      <c r="F8907" t="s">
        <v>10069</v>
      </c>
      <c r="G8907" t="s">
        <v>10021</v>
      </c>
      <c r="H8907" s="6">
        <v>45025</v>
      </c>
      <c r="I8907">
        <f t="shared" si="278"/>
        <v>0</v>
      </c>
      <c r="J8907" t="str">
        <f t="shared" si="279"/>
        <v>Complete</v>
      </c>
      <c r="K8907">
        <f>COUNTIFS(RawData[Item], B8907,RawData[Quantity],C8907,RawData[Price Per Unit],D8907,RawData[Total Spent],E8907,RawData[Payment Method],F8907,RawData[Location],G8907,RawData[Transaction Date],H8907)</f>
        <v>1</v>
      </c>
      <c r="L8907"/>
    </row>
    <row r="8908" spans="1:12" x14ac:dyDescent="0.3">
      <c r="A8908" t="s">
        <v>8914</v>
      </c>
      <c r="B8908" t="s">
        <v>10011</v>
      </c>
      <c r="C8908">
        <v>5</v>
      </c>
      <c r="D8908">
        <v>5</v>
      </c>
      <c r="E8908">
        <v>25</v>
      </c>
      <c r="F8908" t="s">
        <v>10019</v>
      </c>
      <c r="G8908" t="s">
        <v>10021</v>
      </c>
      <c r="H8908" s="6">
        <v>45091</v>
      </c>
      <c r="I8908">
        <f t="shared" si="278"/>
        <v>0</v>
      </c>
      <c r="J8908" t="str">
        <f t="shared" si="279"/>
        <v>Complete</v>
      </c>
      <c r="K8908">
        <f>COUNTIFS(RawData[Item], B8908,RawData[Quantity],C8908,RawData[Price Per Unit],D8908,RawData[Total Spent],E8908,RawData[Payment Method],F8908,RawData[Location],G8908,RawData[Transaction Date],H8908)</f>
        <v>1</v>
      </c>
      <c r="L8908"/>
    </row>
    <row r="8909" spans="1:12" x14ac:dyDescent="0.3">
      <c r="A8909" t="s">
        <v>8915</v>
      </c>
      <c r="B8909" t="s">
        <v>10012</v>
      </c>
      <c r="C8909">
        <v>1</v>
      </c>
      <c r="D8909">
        <v>4</v>
      </c>
      <c r="E8909">
        <v>4</v>
      </c>
      <c r="F8909" t="s">
        <v>10069</v>
      </c>
      <c r="G8909" t="s">
        <v>10103</v>
      </c>
      <c r="H8909" s="6">
        <v>45010</v>
      </c>
      <c r="I8909">
        <f t="shared" si="278"/>
        <v>1</v>
      </c>
      <c r="J8909" t="str">
        <f t="shared" si="279"/>
        <v>Complete</v>
      </c>
      <c r="K8909">
        <f>COUNTIFS(RawData[Item], B8909,RawData[Quantity],C8909,RawData[Price Per Unit],D8909,RawData[Total Spent],E8909,RawData[Payment Method],F8909,RawData[Location],G8909,RawData[Transaction Date],H8909)</f>
        <v>1</v>
      </c>
      <c r="L8909"/>
    </row>
    <row r="8910" spans="1:12" x14ac:dyDescent="0.3">
      <c r="A8910" t="s">
        <v>8916</v>
      </c>
      <c r="B8910" t="s">
        <v>10013</v>
      </c>
      <c r="C8910">
        <v>5</v>
      </c>
      <c r="D8910">
        <v>4</v>
      </c>
      <c r="E8910">
        <v>20</v>
      </c>
      <c r="F8910" t="s">
        <v>10103</v>
      </c>
      <c r="G8910" t="s">
        <v>10069</v>
      </c>
      <c r="H8910" s="6">
        <v>45264</v>
      </c>
      <c r="I8910">
        <f t="shared" si="278"/>
        <v>2</v>
      </c>
      <c r="J8910" t="str">
        <f t="shared" si="279"/>
        <v>Complete</v>
      </c>
      <c r="K8910">
        <f>COUNTIFS(RawData[Item], B8910,RawData[Quantity],C8910,RawData[Price Per Unit],D8910,RawData[Total Spent],E8910,RawData[Payment Method],F8910,RawData[Location],G8910,RawData[Transaction Date],H8910)</f>
        <v>1</v>
      </c>
      <c r="L8910"/>
    </row>
    <row r="8911" spans="1:12" x14ac:dyDescent="0.3">
      <c r="A8911" t="s">
        <v>8917</v>
      </c>
      <c r="B8911" t="s">
        <v>10017</v>
      </c>
      <c r="C8911">
        <v>4</v>
      </c>
      <c r="D8911">
        <v>1.5</v>
      </c>
      <c r="E8911">
        <v>6</v>
      </c>
      <c r="F8911" t="s">
        <v>10069</v>
      </c>
      <c r="G8911" t="s">
        <v>10102</v>
      </c>
      <c r="H8911" s="6" t="s">
        <v>10112</v>
      </c>
      <c r="I8911">
        <f t="shared" si="278"/>
        <v>1</v>
      </c>
      <c r="J8911" t="str">
        <f t="shared" si="279"/>
        <v>Incomplete</v>
      </c>
      <c r="K8911">
        <f>COUNTIFS(RawData[Item], B8911,RawData[Quantity],C8911,RawData[Price Per Unit],D8911,RawData[Total Spent],E8911,RawData[Payment Method],F8911,RawData[Location],G8911,RawData[Transaction Date],H8911)</f>
        <v>3</v>
      </c>
      <c r="L8911"/>
    </row>
    <row r="8912" spans="1:12" x14ac:dyDescent="0.3">
      <c r="A8912" t="s">
        <v>8918</v>
      </c>
      <c r="B8912" t="s">
        <v>10011</v>
      </c>
      <c r="C8912">
        <v>3</v>
      </c>
      <c r="D8912">
        <v>5</v>
      </c>
      <c r="E8912">
        <v>15</v>
      </c>
      <c r="F8912" t="s">
        <v>10018</v>
      </c>
      <c r="G8912" t="s">
        <v>10021</v>
      </c>
      <c r="H8912" s="6">
        <v>45221</v>
      </c>
      <c r="I8912">
        <f t="shared" si="278"/>
        <v>0</v>
      </c>
      <c r="J8912" t="str">
        <f t="shared" si="279"/>
        <v>Complete</v>
      </c>
      <c r="K8912">
        <f>COUNTIFS(RawData[Item], B8912,RawData[Quantity],C8912,RawData[Price Per Unit],D8912,RawData[Total Spent],E8912,RawData[Payment Method],F8912,RawData[Location],G8912,RawData[Transaction Date],H8912)</f>
        <v>1</v>
      </c>
      <c r="L8912"/>
    </row>
    <row r="8913" spans="1:12" x14ac:dyDescent="0.3">
      <c r="A8913" t="s">
        <v>8919</v>
      </c>
      <c r="B8913" t="s">
        <v>10011</v>
      </c>
      <c r="C8913">
        <v>3</v>
      </c>
      <c r="D8913">
        <v>5</v>
      </c>
      <c r="E8913">
        <v>15</v>
      </c>
      <c r="F8913" t="s">
        <v>10019</v>
      </c>
      <c r="G8913" t="s">
        <v>10069</v>
      </c>
      <c r="H8913" s="6">
        <v>44930</v>
      </c>
      <c r="I8913">
        <f t="shared" si="278"/>
        <v>0</v>
      </c>
      <c r="J8913" t="str">
        <f t="shared" si="279"/>
        <v>Complete</v>
      </c>
      <c r="K8913">
        <f>COUNTIFS(RawData[Item], B8913,RawData[Quantity],C8913,RawData[Price Per Unit],D8913,RawData[Total Spent],E8913,RawData[Payment Method],F8913,RawData[Location],G8913,RawData[Transaction Date],H8913)</f>
        <v>1</v>
      </c>
      <c r="L8913"/>
    </row>
    <row r="8914" spans="1:12" x14ac:dyDescent="0.3">
      <c r="A8914" t="s">
        <v>8920</v>
      </c>
      <c r="B8914" t="s">
        <v>10017</v>
      </c>
      <c r="C8914">
        <v>2</v>
      </c>
      <c r="D8914">
        <v>1.5</v>
      </c>
      <c r="E8914">
        <v>3</v>
      </c>
      <c r="F8914" t="s">
        <v>10069</v>
      </c>
      <c r="G8914" t="s">
        <v>10021</v>
      </c>
      <c r="H8914" s="6">
        <v>45122</v>
      </c>
      <c r="I8914">
        <f t="shared" si="278"/>
        <v>0</v>
      </c>
      <c r="J8914" t="str">
        <f t="shared" si="279"/>
        <v>Complete</v>
      </c>
      <c r="K8914">
        <f>COUNTIFS(RawData[Item], B8914,RawData[Quantity],C8914,RawData[Price Per Unit],D8914,RawData[Total Spent],E8914,RawData[Payment Method],F8914,RawData[Location],G8914,RawData[Transaction Date],H8914)</f>
        <v>1</v>
      </c>
      <c r="L8914"/>
    </row>
    <row r="8915" spans="1:12" x14ac:dyDescent="0.3">
      <c r="A8915" t="s">
        <v>8921</v>
      </c>
      <c r="B8915" t="s">
        <v>10011</v>
      </c>
      <c r="C8915">
        <v>2</v>
      </c>
      <c r="D8915">
        <v>5</v>
      </c>
      <c r="E8915">
        <v>10</v>
      </c>
      <c r="F8915" t="s">
        <v>10018</v>
      </c>
      <c r="G8915" t="s">
        <v>10102</v>
      </c>
      <c r="H8915" s="6">
        <v>44950</v>
      </c>
      <c r="I8915">
        <f t="shared" si="278"/>
        <v>0</v>
      </c>
      <c r="J8915" t="str">
        <f t="shared" si="279"/>
        <v>Complete</v>
      </c>
      <c r="K8915">
        <f>COUNTIFS(RawData[Item], B8915,RawData[Quantity],C8915,RawData[Price Per Unit],D8915,RawData[Total Spent],E8915,RawData[Payment Method],F8915,RawData[Location],G8915,RawData[Transaction Date],H8915)</f>
        <v>1</v>
      </c>
      <c r="L8915"/>
    </row>
    <row r="8916" spans="1:12" x14ac:dyDescent="0.3">
      <c r="A8916" t="s">
        <v>8922</v>
      </c>
      <c r="B8916" t="s">
        <v>10014</v>
      </c>
      <c r="C8916">
        <v>4</v>
      </c>
      <c r="D8916">
        <v>4</v>
      </c>
      <c r="E8916">
        <v>16</v>
      </c>
      <c r="F8916" t="s">
        <v>10020</v>
      </c>
      <c r="G8916" t="s">
        <v>10102</v>
      </c>
      <c r="H8916" s="6">
        <v>45145</v>
      </c>
      <c r="I8916">
        <f t="shared" si="278"/>
        <v>0</v>
      </c>
      <c r="J8916" t="str">
        <f t="shared" si="279"/>
        <v>Complete</v>
      </c>
      <c r="K8916">
        <f>COUNTIFS(RawData[Item], B8916,RawData[Quantity],C8916,RawData[Price Per Unit],D8916,RawData[Total Spent],E8916,RawData[Payment Method],F8916,RawData[Location],G8916,RawData[Transaction Date],H8916)</f>
        <v>1</v>
      </c>
      <c r="L8916"/>
    </row>
    <row r="8917" spans="1:12" x14ac:dyDescent="0.3">
      <c r="A8917" t="s">
        <v>8923</v>
      </c>
      <c r="B8917" t="s">
        <v>10008</v>
      </c>
      <c r="C8917">
        <v>1</v>
      </c>
      <c r="D8917">
        <v>2</v>
      </c>
      <c r="E8917">
        <v>2</v>
      </c>
      <c r="F8917" t="s">
        <v>10020</v>
      </c>
      <c r="G8917" t="s">
        <v>10102</v>
      </c>
      <c r="H8917" s="6">
        <v>45212</v>
      </c>
      <c r="I8917">
        <f t="shared" si="278"/>
        <v>0</v>
      </c>
      <c r="J8917" t="str">
        <f t="shared" si="279"/>
        <v>Complete</v>
      </c>
      <c r="K8917">
        <f>COUNTIFS(RawData[Item], B8917,RawData[Quantity],C8917,RawData[Price Per Unit],D8917,RawData[Total Spent],E8917,RawData[Payment Method],F8917,RawData[Location],G8917,RawData[Transaction Date],H8917)</f>
        <v>1</v>
      </c>
      <c r="L8917"/>
    </row>
    <row r="8918" spans="1:12" x14ac:dyDescent="0.3">
      <c r="A8918" t="s">
        <v>8924</v>
      </c>
      <c r="B8918" t="s">
        <v>10014</v>
      </c>
      <c r="C8918">
        <v>1</v>
      </c>
      <c r="D8918">
        <v>4</v>
      </c>
      <c r="E8918">
        <v>4</v>
      </c>
      <c r="F8918" t="s">
        <v>10104</v>
      </c>
      <c r="G8918" t="s">
        <v>10102</v>
      </c>
      <c r="H8918" s="6">
        <v>45118</v>
      </c>
      <c r="I8918">
        <f t="shared" si="278"/>
        <v>1</v>
      </c>
      <c r="J8918" t="str">
        <f t="shared" si="279"/>
        <v>Complete</v>
      </c>
      <c r="K8918">
        <f>COUNTIFS(RawData[Item], B8918,RawData[Quantity],C8918,RawData[Price Per Unit],D8918,RawData[Total Spent],E8918,RawData[Payment Method],F8918,RawData[Location],G8918,RawData[Transaction Date],H8918)</f>
        <v>1</v>
      </c>
      <c r="L8918"/>
    </row>
    <row r="8919" spans="1:12" x14ac:dyDescent="0.3">
      <c r="A8919" t="s">
        <v>8925</v>
      </c>
      <c r="B8919" t="s">
        <v>10017</v>
      </c>
      <c r="C8919">
        <v>3</v>
      </c>
      <c r="D8919">
        <v>1.5</v>
      </c>
      <c r="E8919">
        <v>4.5</v>
      </c>
      <c r="F8919" t="s">
        <v>10069</v>
      </c>
      <c r="G8919" t="s">
        <v>10069</v>
      </c>
      <c r="H8919" s="6">
        <v>45149</v>
      </c>
      <c r="I8919">
        <f t="shared" si="278"/>
        <v>0</v>
      </c>
      <c r="J8919" t="str">
        <f t="shared" si="279"/>
        <v>Complete</v>
      </c>
      <c r="K8919">
        <f>COUNTIFS(RawData[Item], B8919,RawData[Quantity],C8919,RawData[Price Per Unit],D8919,RawData[Total Spent],E8919,RawData[Payment Method],F8919,RawData[Location],G8919,RawData[Transaction Date],H8919)</f>
        <v>1</v>
      </c>
      <c r="L8919"/>
    </row>
    <row r="8920" spans="1:12" x14ac:dyDescent="0.3">
      <c r="A8920" t="s">
        <v>8926</v>
      </c>
      <c r="B8920" t="s">
        <v>10017</v>
      </c>
      <c r="C8920">
        <v>5</v>
      </c>
      <c r="D8920">
        <v>1.5</v>
      </c>
      <c r="E8920">
        <v>7.5</v>
      </c>
      <c r="F8920" t="s">
        <v>10020</v>
      </c>
      <c r="G8920" t="s">
        <v>10069</v>
      </c>
      <c r="H8920" s="6">
        <v>45127</v>
      </c>
      <c r="I8920">
        <f t="shared" si="278"/>
        <v>0</v>
      </c>
      <c r="J8920" t="str">
        <f t="shared" si="279"/>
        <v>Complete</v>
      </c>
      <c r="K8920">
        <f>COUNTIFS(RawData[Item], B8920,RawData[Quantity],C8920,RawData[Price Per Unit],D8920,RawData[Total Spent],E8920,RawData[Payment Method],F8920,RawData[Location],G8920,RawData[Transaction Date],H8920)</f>
        <v>1</v>
      </c>
      <c r="L8920"/>
    </row>
    <row r="8921" spans="1:12" x14ac:dyDescent="0.3">
      <c r="A8921" t="s">
        <v>8927</v>
      </c>
      <c r="B8921" t="s">
        <v>10008</v>
      </c>
      <c r="C8921">
        <v>5</v>
      </c>
      <c r="D8921">
        <v>2</v>
      </c>
      <c r="E8921">
        <v>10</v>
      </c>
      <c r="F8921" t="s">
        <v>10069</v>
      </c>
      <c r="G8921" t="s">
        <v>10069</v>
      </c>
      <c r="H8921" s="6">
        <v>44984</v>
      </c>
      <c r="I8921">
        <f t="shared" si="278"/>
        <v>0</v>
      </c>
      <c r="J8921" t="str">
        <f t="shared" si="279"/>
        <v>Complete</v>
      </c>
      <c r="K8921">
        <f>COUNTIFS(RawData[Item], B8921,RawData[Quantity],C8921,RawData[Price Per Unit],D8921,RawData[Total Spent],E8921,RawData[Payment Method],F8921,RawData[Location],G8921,RawData[Transaction Date],H8921)</f>
        <v>1</v>
      </c>
      <c r="L8921"/>
    </row>
    <row r="8922" spans="1:12" x14ac:dyDescent="0.3">
      <c r="A8922" t="s">
        <v>8928</v>
      </c>
      <c r="B8922" t="s">
        <v>10014</v>
      </c>
      <c r="C8922">
        <v>3</v>
      </c>
      <c r="D8922">
        <v>4</v>
      </c>
      <c r="E8922">
        <v>12</v>
      </c>
      <c r="F8922" t="s">
        <v>10019</v>
      </c>
      <c r="G8922" t="s">
        <v>10102</v>
      </c>
      <c r="H8922" s="6">
        <v>45038</v>
      </c>
      <c r="I8922">
        <f t="shared" si="278"/>
        <v>0</v>
      </c>
      <c r="J8922" t="str">
        <f t="shared" si="279"/>
        <v>Complete</v>
      </c>
      <c r="K8922">
        <f>COUNTIFS(RawData[Item], B8922,RawData[Quantity],C8922,RawData[Price Per Unit],D8922,RawData[Total Spent],E8922,RawData[Payment Method],F8922,RawData[Location],G8922,RawData[Transaction Date],H8922)</f>
        <v>1</v>
      </c>
      <c r="L8922"/>
    </row>
    <row r="8923" spans="1:12" x14ac:dyDescent="0.3">
      <c r="A8923" t="s">
        <v>8929</v>
      </c>
      <c r="B8923" t="s">
        <v>10017</v>
      </c>
      <c r="C8923">
        <v>2</v>
      </c>
      <c r="D8923">
        <v>1.5</v>
      </c>
      <c r="E8923">
        <v>3</v>
      </c>
      <c r="F8923" t="s">
        <v>10104</v>
      </c>
      <c r="G8923" t="s">
        <v>10069</v>
      </c>
      <c r="H8923" s="6">
        <v>45206</v>
      </c>
      <c r="I8923">
        <f t="shared" si="278"/>
        <v>1</v>
      </c>
      <c r="J8923" t="str">
        <f t="shared" si="279"/>
        <v>Complete</v>
      </c>
      <c r="K8923">
        <f>COUNTIFS(RawData[Item], B8923,RawData[Quantity],C8923,RawData[Price Per Unit],D8923,RawData[Total Spent],E8923,RawData[Payment Method],F8923,RawData[Location],G8923,RawData[Transaction Date],H8923)</f>
        <v>1</v>
      </c>
      <c r="L8923"/>
    </row>
    <row r="8924" spans="1:12" x14ac:dyDescent="0.3">
      <c r="A8924" t="s">
        <v>8930</v>
      </c>
      <c r="B8924" t="s">
        <v>10012</v>
      </c>
      <c r="C8924">
        <v>1</v>
      </c>
      <c r="D8924">
        <v>4</v>
      </c>
      <c r="E8924">
        <v>4</v>
      </c>
      <c r="F8924" t="s">
        <v>10018</v>
      </c>
      <c r="G8924" t="s">
        <v>10104</v>
      </c>
      <c r="H8924" s="6">
        <v>45124</v>
      </c>
      <c r="I8924">
        <f t="shared" si="278"/>
        <v>1</v>
      </c>
      <c r="J8924" t="str">
        <f t="shared" si="279"/>
        <v>Complete</v>
      </c>
      <c r="K8924">
        <f>COUNTIFS(RawData[Item], B8924,RawData[Quantity],C8924,RawData[Price Per Unit],D8924,RawData[Total Spent],E8924,RawData[Payment Method],F8924,RawData[Location],G8924,RawData[Transaction Date],H8924)</f>
        <v>1</v>
      </c>
      <c r="L8924"/>
    </row>
    <row r="8925" spans="1:12" x14ac:dyDescent="0.3">
      <c r="A8925" t="s">
        <v>8931</v>
      </c>
      <c r="B8925" t="s">
        <v>10008</v>
      </c>
      <c r="C8925">
        <v>3</v>
      </c>
      <c r="D8925">
        <v>2</v>
      </c>
      <c r="E8925">
        <v>6</v>
      </c>
      <c r="F8925" t="s">
        <v>10020</v>
      </c>
      <c r="G8925" t="s">
        <v>10069</v>
      </c>
      <c r="H8925" s="6">
        <v>45013</v>
      </c>
      <c r="I8925">
        <f t="shared" si="278"/>
        <v>0</v>
      </c>
      <c r="J8925" t="str">
        <f t="shared" si="279"/>
        <v>Complete</v>
      </c>
      <c r="K8925">
        <f>COUNTIFS(RawData[Item], B8925,RawData[Quantity],C8925,RawData[Price Per Unit],D8925,RawData[Total Spent],E8925,RawData[Payment Method],F8925,RawData[Location],G8925,RawData[Transaction Date],H8925)</f>
        <v>1</v>
      </c>
      <c r="L8925"/>
    </row>
    <row r="8926" spans="1:12" x14ac:dyDescent="0.3">
      <c r="A8926" t="s">
        <v>8932</v>
      </c>
      <c r="B8926" t="s">
        <v>10009</v>
      </c>
      <c r="C8926">
        <v>2</v>
      </c>
      <c r="D8926">
        <v>3</v>
      </c>
      <c r="E8926">
        <v>6</v>
      </c>
      <c r="F8926" t="s">
        <v>10019</v>
      </c>
      <c r="G8926" t="s">
        <v>10102</v>
      </c>
      <c r="H8926" s="6" t="s">
        <v>10112</v>
      </c>
      <c r="I8926">
        <f t="shared" si="278"/>
        <v>1</v>
      </c>
      <c r="J8926" t="str">
        <f t="shared" si="279"/>
        <v>Incomplete</v>
      </c>
      <c r="K8926">
        <f>COUNTIFS(RawData[Item], B8926,RawData[Quantity],C8926,RawData[Price Per Unit],D8926,RawData[Total Spent],E8926,RawData[Payment Method],F8926,RawData[Location],G8926,RawData[Transaction Date],H8926)</f>
        <v>3</v>
      </c>
      <c r="L8926"/>
    </row>
    <row r="8927" spans="1:12" x14ac:dyDescent="0.3">
      <c r="A8927" t="s">
        <v>8933</v>
      </c>
      <c r="B8927" t="s">
        <v>10011</v>
      </c>
      <c r="C8927" t="s">
        <v>10015</v>
      </c>
      <c r="D8927">
        <v>5</v>
      </c>
      <c r="E8927">
        <v>5</v>
      </c>
      <c r="F8927" t="s">
        <v>10019</v>
      </c>
      <c r="G8927" t="s">
        <v>10069</v>
      </c>
      <c r="H8927" s="6">
        <v>45007</v>
      </c>
      <c r="I8927">
        <f t="shared" si="278"/>
        <v>1</v>
      </c>
      <c r="J8927" t="str">
        <f t="shared" si="279"/>
        <v>Complete</v>
      </c>
      <c r="K8927">
        <f>COUNTIFS(RawData[Item], B8927,RawData[Quantity],C8927,RawData[Price Per Unit],D8927,RawData[Total Spent],E8927,RawData[Payment Method],F8927,RawData[Location],G8927,RawData[Transaction Date],H8927)</f>
        <v>1</v>
      </c>
      <c r="L8927"/>
    </row>
    <row r="8928" spans="1:12" x14ac:dyDescent="0.3">
      <c r="A8928" t="s">
        <v>8934</v>
      </c>
      <c r="B8928" t="s">
        <v>10016</v>
      </c>
      <c r="C8928">
        <v>4</v>
      </c>
      <c r="D8928">
        <v>3</v>
      </c>
      <c r="E8928">
        <v>12</v>
      </c>
      <c r="F8928" t="s">
        <v>10018</v>
      </c>
      <c r="G8928" t="s">
        <v>10102</v>
      </c>
      <c r="H8928" s="6">
        <v>45030</v>
      </c>
      <c r="I8928">
        <f t="shared" si="278"/>
        <v>0</v>
      </c>
      <c r="J8928" t="str">
        <f t="shared" si="279"/>
        <v>Complete</v>
      </c>
      <c r="K8928">
        <f>COUNTIFS(RawData[Item], B8928,RawData[Quantity],C8928,RawData[Price Per Unit],D8928,RawData[Total Spent],E8928,RawData[Payment Method],F8928,RawData[Location],G8928,RawData[Transaction Date],H8928)</f>
        <v>1</v>
      </c>
      <c r="L8928"/>
    </row>
    <row r="8929" spans="1:12" x14ac:dyDescent="0.3">
      <c r="A8929" t="s">
        <v>8935</v>
      </c>
      <c r="B8929" t="s">
        <v>10012</v>
      </c>
      <c r="C8929">
        <v>5</v>
      </c>
      <c r="D8929">
        <v>4</v>
      </c>
      <c r="E8929">
        <v>20</v>
      </c>
      <c r="F8929" t="s">
        <v>10069</v>
      </c>
      <c r="G8929" t="s">
        <v>10102</v>
      </c>
      <c r="H8929" s="6">
        <v>45205</v>
      </c>
      <c r="I8929">
        <f t="shared" si="278"/>
        <v>0</v>
      </c>
      <c r="J8929" t="str">
        <f t="shared" si="279"/>
        <v>Complete</v>
      </c>
      <c r="K8929">
        <f>COUNTIFS(RawData[Item], B8929,RawData[Quantity],C8929,RawData[Price Per Unit],D8929,RawData[Total Spent],E8929,RawData[Payment Method],F8929,RawData[Location],G8929,RawData[Transaction Date],H8929)</f>
        <v>1</v>
      </c>
      <c r="L8929"/>
    </row>
    <row r="8930" spans="1:12" x14ac:dyDescent="0.3">
      <c r="A8930" t="s">
        <v>8936</v>
      </c>
      <c r="B8930" t="s">
        <v>10008</v>
      </c>
      <c r="C8930">
        <v>3</v>
      </c>
      <c r="D8930">
        <v>2</v>
      </c>
      <c r="E8930">
        <v>6</v>
      </c>
      <c r="F8930" t="s">
        <v>10020</v>
      </c>
      <c r="G8930" t="s">
        <v>10069</v>
      </c>
      <c r="H8930" s="6">
        <v>44971</v>
      </c>
      <c r="I8930">
        <f t="shared" si="278"/>
        <v>0</v>
      </c>
      <c r="J8930" t="str">
        <f t="shared" si="279"/>
        <v>Complete</v>
      </c>
      <c r="K8930">
        <f>COUNTIFS(RawData[Item], B8930,RawData[Quantity],C8930,RawData[Price Per Unit],D8930,RawData[Total Spent],E8930,RawData[Payment Method],F8930,RawData[Location],G8930,RawData[Transaction Date],H8930)</f>
        <v>1</v>
      </c>
      <c r="L8930"/>
    </row>
    <row r="8931" spans="1:12" x14ac:dyDescent="0.3">
      <c r="A8931" t="s">
        <v>8937</v>
      </c>
      <c r="B8931" t="s">
        <v>10009</v>
      </c>
      <c r="C8931">
        <v>1</v>
      </c>
      <c r="D8931">
        <v>0</v>
      </c>
      <c r="E8931">
        <v>3</v>
      </c>
      <c r="F8931" t="s">
        <v>10018</v>
      </c>
      <c r="G8931" t="s">
        <v>10104</v>
      </c>
      <c r="H8931" s="6" t="s">
        <v>10112</v>
      </c>
      <c r="I8931">
        <f t="shared" si="278"/>
        <v>2</v>
      </c>
      <c r="J8931" t="str">
        <f t="shared" si="279"/>
        <v>Incomplete</v>
      </c>
      <c r="K8931">
        <f>COUNTIFS(RawData[Item], B8931,RawData[Quantity],C8931,RawData[Price Per Unit],D8931,RawData[Total Spent],E8931,RawData[Payment Method],F8931,RawData[Location],G8931,RawData[Transaction Date],H8931)</f>
        <v>1</v>
      </c>
      <c r="L8931"/>
    </row>
    <row r="8932" spans="1:12" x14ac:dyDescent="0.3">
      <c r="A8932" t="s">
        <v>8938</v>
      </c>
      <c r="B8932" t="s">
        <v>10017</v>
      </c>
      <c r="C8932">
        <v>2</v>
      </c>
      <c r="D8932">
        <v>1.5</v>
      </c>
      <c r="E8932">
        <v>3</v>
      </c>
      <c r="F8932" t="s">
        <v>10019</v>
      </c>
      <c r="G8932" t="s">
        <v>10104</v>
      </c>
      <c r="H8932" s="6">
        <v>45167</v>
      </c>
      <c r="I8932">
        <f t="shared" si="278"/>
        <v>1</v>
      </c>
      <c r="J8932" t="str">
        <f t="shared" si="279"/>
        <v>Complete</v>
      </c>
      <c r="K8932">
        <f>COUNTIFS(RawData[Item], B8932,RawData[Quantity],C8932,RawData[Price Per Unit],D8932,RawData[Total Spent],E8932,RawData[Payment Method],F8932,RawData[Location],G8932,RawData[Transaction Date],H8932)</f>
        <v>1</v>
      </c>
      <c r="L8932"/>
    </row>
    <row r="8933" spans="1:12" x14ac:dyDescent="0.3">
      <c r="A8933" t="s">
        <v>8939</v>
      </c>
      <c r="B8933" t="s">
        <v>10009</v>
      </c>
      <c r="C8933">
        <v>5</v>
      </c>
      <c r="D8933" t="s">
        <v>10013</v>
      </c>
      <c r="E8933">
        <v>15</v>
      </c>
      <c r="F8933" t="s">
        <v>10020</v>
      </c>
      <c r="G8933" t="s">
        <v>10102</v>
      </c>
      <c r="H8933" s="6" t="s">
        <v>10112</v>
      </c>
      <c r="I8933">
        <f t="shared" si="278"/>
        <v>2</v>
      </c>
      <c r="J8933" t="str">
        <f t="shared" si="279"/>
        <v>Incomplete</v>
      </c>
      <c r="K8933">
        <f>COUNTIFS(RawData[Item], B8933,RawData[Quantity],C8933,RawData[Price Per Unit],D8933,RawData[Total Spent],E8933,RawData[Payment Method],F8933,RawData[Location],G8933,RawData[Transaction Date],H8933)</f>
        <v>1</v>
      </c>
      <c r="L8933"/>
    </row>
    <row r="8934" spans="1:12" x14ac:dyDescent="0.3">
      <c r="A8934" t="s">
        <v>8940</v>
      </c>
      <c r="B8934" t="s">
        <v>10010</v>
      </c>
      <c r="C8934">
        <v>1</v>
      </c>
      <c r="D8934">
        <v>1</v>
      </c>
      <c r="E8934">
        <v>1</v>
      </c>
      <c r="F8934" t="s">
        <v>10020</v>
      </c>
      <c r="G8934" t="s">
        <v>10102</v>
      </c>
      <c r="H8934" s="6">
        <v>45145</v>
      </c>
      <c r="I8934">
        <f t="shared" si="278"/>
        <v>0</v>
      </c>
      <c r="J8934" t="str">
        <f t="shared" si="279"/>
        <v>Complete</v>
      </c>
      <c r="K8934">
        <f>COUNTIFS(RawData[Item], B8934,RawData[Quantity],C8934,RawData[Price Per Unit],D8934,RawData[Total Spent],E8934,RawData[Payment Method],F8934,RawData[Location],G8934,RawData[Transaction Date],H8934)</f>
        <v>1</v>
      </c>
      <c r="L8934"/>
    </row>
    <row r="8935" spans="1:12" x14ac:dyDescent="0.3">
      <c r="A8935" t="s">
        <v>8941</v>
      </c>
      <c r="B8935" t="s">
        <v>10013</v>
      </c>
      <c r="C8935">
        <v>1</v>
      </c>
      <c r="D8935">
        <v>4</v>
      </c>
      <c r="E8935">
        <v>4</v>
      </c>
      <c r="F8935" t="s">
        <v>10069</v>
      </c>
      <c r="G8935" t="s">
        <v>10102</v>
      </c>
      <c r="H8935" s="6">
        <v>45089</v>
      </c>
      <c r="I8935">
        <f t="shared" si="278"/>
        <v>1</v>
      </c>
      <c r="J8935" t="str">
        <f t="shared" si="279"/>
        <v>Complete</v>
      </c>
      <c r="K8935">
        <f>COUNTIFS(RawData[Item], B8935,RawData[Quantity],C8935,RawData[Price Per Unit],D8935,RawData[Total Spent],E8935,RawData[Payment Method],F8935,RawData[Location],G8935,RawData[Transaction Date],H8935)</f>
        <v>1</v>
      </c>
      <c r="L8935"/>
    </row>
    <row r="8936" spans="1:12" x14ac:dyDescent="0.3">
      <c r="A8936" t="s">
        <v>8942</v>
      </c>
      <c r="B8936" t="s">
        <v>10008</v>
      </c>
      <c r="C8936">
        <v>2</v>
      </c>
      <c r="D8936">
        <v>2</v>
      </c>
      <c r="E8936">
        <v>4</v>
      </c>
      <c r="F8936" t="s">
        <v>10069</v>
      </c>
      <c r="G8936" t="s">
        <v>10021</v>
      </c>
      <c r="H8936" s="6">
        <v>45133</v>
      </c>
      <c r="I8936">
        <f t="shared" si="278"/>
        <v>0</v>
      </c>
      <c r="J8936" t="str">
        <f t="shared" si="279"/>
        <v>Complete</v>
      </c>
      <c r="K8936">
        <f>COUNTIFS(RawData[Item], B8936,RawData[Quantity],C8936,RawData[Price Per Unit],D8936,RawData[Total Spent],E8936,RawData[Payment Method],F8936,RawData[Location],G8936,RawData[Transaction Date],H8936)</f>
        <v>1</v>
      </c>
      <c r="L8936"/>
    </row>
    <row r="8937" spans="1:12" x14ac:dyDescent="0.3">
      <c r="A8937" t="s">
        <v>8943</v>
      </c>
      <c r="B8937" t="s">
        <v>10008</v>
      </c>
      <c r="C8937">
        <v>1</v>
      </c>
      <c r="D8937">
        <v>2</v>
      </c>
      <c r="E8937">
        <v>2</v>
      </c>
      <c r="F8937" t="s">
        <v>10069</v>
      </c>
      <c r="G8937" t="s">
        <v>10021</v>
      </c>
      <c r="H8937" s="6">
        <v>45110</v>
      </c>
      <c r="I8937">
        <f t="shared" si="278"/>
        <v>0</v>
      </c>
      <c r="J8937" t="str">
        <f t="shared" si="279"/>
        <v>Complete</v>
      </c>
      <c r="K8937">
        <f>COUNTIFS(RawData[Item], B8937,RawData[Quantity],C8937,RawData[Price Per Unit],D8937,RawData[Total Spent],E8937,RawData[Payment Method],F8937,RawData[Location],G8937,RawData[Transaction Date],H8937)</f>
        <v>1</v>
      </c>
      <c r="L8937"/>
    </row>
    <row r="8938" spans="1:12" x14ac:dyDescent="0.3">
      <c r="A8938" t="s">
        <v>8944</v>
      </c>
      <c r="B8938" t="s">
        <v>10014</v>
      </c>
      <c r="C8938">
        <v>2</v>
      </c>
      <c r="D8938">
        <v>4</v>
      </c>
      <c r="E8938">
        <v>8</v>
      </c>
      <c r="F8938" t="s">
        <v>10018</v>
      </c>
      <c r="G8938" t="s">
        <v>10069</v>
      </c>
      <c r="H8938" s="6">
        <v>45255</v>
      </c>
      <c r="I8938">
        <f t="shared" si="278"/>
        <v>0</v>
      </c>
      <c r="J8938" t="str">
        <f t="shared" si="279"/>
        <v>Complete</v>
      </c>
      <c r="K8938">
        <f>COUNTIFS(RawData[Item], B8938,RawData[Quantity],C8938,RawData[Price Per Unit],D8938,RawData[Total Spent],E8938,RawData[Payment Method],F8938,RawData[Location],G8938,RawData[Transaction Date],H8938)</f>
        <v>1</v>
      </c>
      <c r="L8938"/>
    </row>
    <row r="8939" spans="1:12" x14ac:dyDescent="0.3">
      <c r="A8939" t="s">
        <v>8945</v>
      </c>
      <c r="B8939" t="s">
        <v>10017</v>
      </c>
      <c r="C8939">
        <v>4</v>
      </c>
      <c r="D8939">
        <v>1.5</v>
      </c>
      <c r="E8939">
        <v>6</v>
      </c>
      <c r="F8939" t="s">
        <v>10020</v>
      </c>
      <c r="G8939" t="s">
        <v>10069</v>
      </c>
      <c r="H8939" s="6">
        <v>45145</v>
      </c>
      <c r="I8939">
        <f t="shared" si="278"/>
        <v>0</v>
      </c>
      <c r="J8939" t="str">
        <f t="shared" si="279"/>
        <v>Complete</v>
      </c>
      <c r="K8939">
        <f>COUNTIFS(RawData[Item], B8939,RawData[Quantity],C8939,RawData[Price Per Unit],D8939,RawData[Total Spent],E8939,RawData[Payment Method],F8939,RawData[Location],G8939,RawData[Transaction Date],H8939)</f>
        <v>1</v>
      </c>
      <c r="L8939"/>
    </row>
    <row r="8940" spans="1:12" x14ac:dyDescent="0.3">
      <c r="A8940" t="s">
        <v>8946</v>
      </c>
      <c r="B8940" t="s">
        <v>10011</v>
      </c>
      <c r="C8940">
        <v>1</v>
      </c>
      <c r="D8940">
        <v>5</v>
      </c>
      <c r="E8940">
        <v>5</v>
      </c>
      <c r="F8940" t="s">
        <v>10019</v>
      </c>
      <c r="G8940" t="s">
        <v>10102</v>
      </c>
      <c r="H8940" s="6">
        <v>45138</v>
      </c>
      <c r="I8940">
        <f t="shared" si="278"/>
        <v>0</v>
      </c>
      <c r="J8940" t="str">
        <f t="shared" si="279"/>
        <v>Complete</v>
      </c>
      <c r="K8940">
        <f>COUNTIFS(RawData[Item], B8940,RawData[Quantity],C8940,RawData[Price Per Unit],D8940,RawData[Total Spent],E8940,RawData[Payment Method],F8940,RawData[Location],G8940,RawData[Transaction Date],H8940)</f>
        <v>1</v>
      </c>
      <c r="L8940"/>
    </row>
    <row r="8941" spans="1:12" x14ac:dyDescent="0.3">
      <c r="A8941" t="s">
        <v>8947</v>
      </c>
      <c r="B8941" t="s">
        <v>10016</v>
      </c>
      <c r="C8941">
        <v>2</v>
      </c>
      <c r="D8941">
        <v>3</v>
      </c>
      <c r="E8941">
        <v>6</v>
      </c>
      <c r="F8941" t="s">
        <v>10018</v>
      </c>
      <c r="G8941" t="s">
        <v>10069</v>
      </c>
      <c r="H8941" s="6">
        <v>45007</v>
      </c>
      <c r="I8941">
        <f t="shared" si="278"/>
        <v>0</v>
      </c>
      <c r="J8941" t="str">
        <f t="shared" si="279"/>
        <v>Complete</v>
      </c>
      <c r="K8941">
        <f>COUNTIFS(RawData[Item], B8941,RawData[Quantity],C8941,RawData[Price Per Unit],D8941,RawData[Total Spent],E8941,RawData[Payment Method],F8941,RawData[Location],G8941,RawData[Transaction Date],H8941)</f>
        <v>1</v>
      </c>
      <c r="L8941"/>
    </row>
    <row r="8942" spans="1:12" x14ac:dyDescent="0.3">
      <c r="A8942" t="s">
        <v>8948</v>
      </c>
      <c r="B8942" t="s">
        <v>10011</v>
      </c>
      <c r="C8942">
        <v>4</v>
      </c>
      <c r="D8942">
        <v>5</v>
      </c>
      <c r="E8942">
        <v>20</v>
      </c>
      <c r="F8942" t="s">
        <v>10018</v>
      </c>
      <c r="G8942" t="s">
        <v>10069</v>
      </c>
      <c r="H8942" s="6">
        <v>45077</v>
      </c>
      <c r="I8942">
        <f t="shared" si="278"/>
        <v>0</v>
      </c>
      <c r="J8942" t="str">
        <f t="shared" si="279"/>
        <v>Complete</v>
      </c>
      <c r="K8942">
        <f>COUNTIFS(RawData[Item], B8942,RawData[Quantity],C8942,RawData[Price Per Unit],D8942,RawData[Total Spent],E8942,RawData[Payment Method],F8942,RawData[Location],G8942,RawData[Transaction Date],H8942)</f>
        <v>1</v>
      </c>
      <c r="L8942"/>
    </row>
    <row r="8943" spans="1:12" x14ac:dyDescent="0.3">
      <c r="A8943" t="s">
        <v>8949</v>
      </c>
      <c r="B8943" t="s">
        <v>10014</v>
      </c>
      <c r="C8943">
        <v>2</v>
      </c>
      <c r="D8943">
        <v>4</v>
      </c>
      <c r="E8943" t="s">
        <v>10015</v>
      </c>
      <c r="F8943" t="s">
        <v>10019</v>
      </c>
      <c r="G8943" t="s">
        <v>10102</v>
      </c>
      <c r="H8943" s="6">
        <v>45201</v>
      </c>
      <c r="I8943">
        <f t="shared" si="278"/>
        <v>1</v>
      </c>
      <c r="J8943" t="str">
        <f t="shared" si="279"/>
        <v>Complete</v>
      </c>
      <c r="K8943">
        <f>COUNTIFS(RawData[Item], B8943,RawData[Quantity],C8943,RawData[Price Per Unit],D8943,RawData[Total Spent],E8943,RawData[Payment Method],F8943,RawData[Location],G8943,RawData[Transaction Date],H8943)</f>
        <v>1</v>
      </c>
      <c r="L8943"/>
    </row>
    <row r="8944" spans="1:12" x14ac:dyDescent="0.3">
      <c r="A8944" t="s">
        <v>8950</v>
      </c>
      <c r="B8944" t="s">
        <v>10017</v>
      </c>
      <c r="C8944">
        <v>2</v>
      </c>
      <c r="D8944">
        <v>1.5</v>
      </c>
      <c r="E8944">
        <v>0</v>
      </c>
      <c r="F8944" t="s">
        <v>10018</v>
      </c>
      <c r="G8944" t="s">
        <v>10021</v>
      </c>
      <c r="H8944" s="6">
        <v>45102</v>
      </c>
      <c r="I8944">
        <f t="shared" si="278"/>
        <v>0</v>
      </c>
      <c r="J8944" t="str">
        <f t="shared" si="279"/>
        <v>Complete</v>
      </c>
      <c r="K8944">
        <f>COUNTIFS(RawData[Item], B8944,RawData[Quantity],C8944,RawData[Price Per Unit],D8944,RawData[Total Spent],E8944,RawData[Payment Method],F8944,RawData[Location],G8944,RawData[Transaction Date],H8944)</f>
        <v>1</v>
      </c>
      <c r="L8944"/>
    </row>
    <row r="8945" spans="1:12" x14ac:dyDescent="0.3">
      <c r="A8945" t="s">
        <v>8951</v>
      </c>
      <c r="B8945" t="s">
        <v>10008</v>
      </c>
      <c r="C8945">
        <v>5</v>
      </c>
      <c r="D8945">
        <v>2</v>
      </c>
      <c r="E8945">
        <v>10</v>
      </c>
      <c r="F8945" t="s">
        <v>10069</v>
      </c>
      <c r="G8945" t="s">
        <v>10103</v>
      </c>
      <c r="H8945" s="6">
        <v>45040</v>
      </c>
      <c r="I8945">
        <f t="shared" si="278"/>
        <v>1</v>
      </c>
      <c r="J8945" t="str">
        <f t="shared" si="279"/>
        <v>Complete</v>
      </c>
      <c r="K8945">
        <f>COUNTIFS(RawData[Item], B8945,RawData[Quantity],C8945,RawData[Price Per Unit],D8945,RawData[Total Spent],E8945,RawData[Payment Method],F8945,RawData[Location],G8945,RawData[Transaction Date],H8945)</f>
        <v>1</v>
      </c>
      <c r="L8945"/>
    </row>
    <row r="8946" spans="1:12" x14ac:dyDescent="0.3">
      <c r="A8946" t="s">
        <v>8952</v>
      </c>
      <c r="B8946" t="s">
        <v>10010</v>
      </c>
      <c r="C8946">
        <v>5</v>
      </c>
      <c r="D8946">
        <v>1</v>
      </c>
      <c r="E8946">
        <v>5</v>
      </c>
      <c r="F8946" t="s">
        <v>10018</v>
      </c>
      <c r="G8946" t="s">
        <v>10102</v>
      </c>
      <c r="H8946" s="6">
        <v>45128</v>
      </c>
      <c r="I8946">
        <f t="shared" si="278"/>
        <v>0</v>
      </c>
      <c r="J8946" t="str">
        <f t="shared" si="279"/>
        <v>Complete</v>
      </c>
      <c r="K8946">
        <f>COUNTIFS(RawData[Item], B8946,RawData[Quantity],C8946,RawData[Price Per Unit],D8946,RawData[Total Spent],E8946,RawData[Payment Method],F8946,RawData[Location],G8946,RawData[Transaction Date],H8946)</f>
        <v>1</v>
      </c>
      <c r="L8946"/>
    </row>
    <row r="8947" spans="1:12" x14ac:dyDescent="0.3">
      <c r="A8947" t="s">
        <v>8953</v>
      </c>
      <c r="B8947" t="s">
        <v>10010</v>
      </c>
      <c r="C8947">
        <v>2</v>
      </c>
      <c r="D8947">
        <v>1</v>
      </c>
      <c r="E8947">
        <v>2</v>
      </c>
      <c r="F8947" t="s">
        <v>10019</v>
      </c>
      <c r="G8947" t="s">
        <v>10021</v>
      </c>
      <c r="H8947" s="6">
        <v>44982</v>
      </c>
      <c r="I8947">
        <f t="shared" si="278"/>
        <v>0</v>
      </c>
      <c r="J8947" t="str">
        <f t="shared" si="279"/>
        <v>Complete</v>
      </c>
      <c r="K8947">
        <f>COUNTIFS(RawData[Item], B8947,RawData[Quantity],C8947,RawData[Price Per Unit],D8947,RawData[Total Spent],E8947,RawData[Payment Method],F8947,RawData[Location],G8947,RawData[Transaction Date],H8947)</f>
        <v>1</v>
      </c>
      <c r="L8947"/>
    </row>
    <row r="8948" spans="1:12" x14ac:dyDescent="0.3">
      <c r="A8948" t="s">
        <v>8954</v>
      </c>
      <c r="B8948" t="s">
        <v>10014</v>
      </c>
      <c r="C8948">
        <v>3</v>
      </c>
      <c r="D8948">
        <v>4</v>
      </c>
      <c r="E8948">
        <v>12</v>
      </c>
      <c r="F8948" t="s">
        <v>10018</v>
      </c>
      <c r="G8948" t="s">
        <v>10102</v>
      </c>
      <c r="H8948" s="6">
        <v>45072</v>
      </c>
      <c r="I8948">
        <f t="shared" si="278"/>
        <v>0</v>
      </c>
      <c r="J8948" t="str">
        <f t="shared" si="279"/>
        <v>Complete</v>
      </c>
      <c r="K8948">
        <f>COUNTIFS(RawData[Item], B8948,RawData[Quantity],C8948,RawData[Price Per Unit],D8948,RawData[Total Spent],E8948,RawData[Payment Method],F8948,RawData[Location],G8948,RawData[Transaction Date],H8948)</f>
        <v>1</v>
      </c>
      <c r="L8948"/>
    </row>
    <row r="8949" spans="1:12" x14ac:dyDescent="0.3">
      <c r="A8949" t="s">
        <v>8955</v>
      </c>
      <c r="B8949" t="s">
        <v>10069</v>
      </c>
      <c r="C8949">
        <v>2</v>
      </c>
      <c r="D8949">
        <v>2</v>
      </c>
      <c r="E8949">
        <v>4</v>
      </c>
      <c r="F8949" t="s">
        <v>10018</v>
      </c>
      <c r="G8949" t="s">
        <v>10104</v>
      </c>
      <c r="H8949" s="6">
        <v>45247</v>
      </c>
      <c r="I8949">
        <f t="shared" si="278"/>
        <v>1</v>
      </c>
      <c r="J8949" t="str">
        <f t="shared" si="279"/>
        <v>Complete</v>
      </c>
      <c r="K8949">
        <f>COUNTIFS(RawData[Item], B8949,RawData[Quantity],C8949,RawData[Price Per Unit],D8949,RawData[Total Spent],E8949,RawData[Payment Method],F8949,RawData[Location],G8949,RawData[Transaction Date],H8949)</f>
        <v>1</v>
      </c>
      <c r="L8949"/>
    </row>
    <row r="8950" spans="1:12" x14ac:dyDescent="0.3">
      <c r="A8950" t="s">
        <v>8956</v>
      </c>
      <c r="B8950" t="s">
        <v>10009</v>
      </c>
      <c r="C8950">
        <v>0</v>
      </c>
      <c r="D8950">
        <v>3</v>
      </c>
      <c r="E8950">
        <v>6</v>
      </c>
      <c r="F8950" t="s">
        <v>10069</v>
      </c>
      <c r="G8950" t="s">
        <v>10021</v>
      </c>
      <c r="H8950" s="6">
        <v>45013</v>
      </c>
      <c r="I8950">
        <f t="shared" si="278"/>
        <v>0</v>
      </c>
      <c r="J8950" t="str">
        <f t="shared" si="279"/>
        <v>Complete</v>
      </c>
      <c r="K8950">
        <f>COUNTIFS(RawData[Item], B8950,RawData[Quantity],C8950,RawData[Price Per Unit],D8950,RawData[Total Spent],E8950,RawData[Payment Method],F8950,RawData[Location],G8950,RawData[Transaction Date],H8950)</f>
        <v>1</v>
      </c>
      <c r="L8950"/>
    </row>
    <row r="8951" spans="1:12" x14ac:dyDescent="0.3">
      <c r="A8951" t="s">
        <v>8957</v>
      </c>
      <c r="B8951" t="s">
        <v>10017</v>
      </c>
      <c r="C8951">
        <v>2</v>
      </c>
      <c r="D8951">
        <v>1.5</v>
      </c>
      <c r="E8951">
        <v>3</v>
      </c>
      <c r="F8951" t="s">
        <v>10018</v>
      </c>
      <c r="G8951" t="s">
        <v>10021</v>
      </c>
      <c r="H8951" s="6">
        <v>45029</v>
      </c>
      <c r="I8951">
        <f t="shared" si="278"/>
        <v>0</v>
      </c>
      <c r="J8951" t="str">
        <f t="shared" si="279"/>
        <v>Complete</v>
      </c>
      <c r="K8951">
        <f>COUNTIFS(RawData[Item], B8951,RawData[Quantity],C8951,RawData[Price Per Unit],D8951,RawData[Total Spent],E8951,RawData[Payment Method],F8951,RawData[Location],G8951,RawData[Transaction Date],H8951)</f>
        <v>1</v>
      </c>
      <c r="L8951"/>
    </row>
    <row r="8952" spans="1:12" x14ac:dyDescent="0.3">
      <c r="A8952" t="s">
        <v>8958</v>
      </c>
      <c r="B8952" t="s">
        <v>10011</v>
      </c>
      <c r="C8952">
        <v>2</v>
      </c>
      <c r="D8952">
        <v>5</v>
      </c>
      <c r="E8952">
        <v>10</v>
      </c>
      <c r="F8952" t="s">
        <v>10018</v>
      </c>
      <c r="G8952" t="s">
        <v>10104</v>
      </c>
      <c r="H8952" s="6">
        <v>45015</v>
      </c>
      <c r="I8952">
        <f t="shared" si="278"/>
        <v>1</v>
      </c>
      <c r="J8952" t="str">
        <f t="shared" si="279"/>
        <v>Complete</v>
      </c>
      <c r="K8952">
        <f>COUNTIFS(RawData[Item], B8952,RawData[Quantity],C8952,RawData[Price Per Unit],D8952,RawData[Total Spent],E8952,RawData[Payment Method],F8952,RawData[Location],G8952,RawData[Transaction Date],H8952)</f>
        <v>1</v>
      </c>
      <c r="L8952"/>
    </row>
    <row r="8953" spans="1:12" x14ac:dyDescent="0.3">
      <c r="A8953" t="s">
        <v>8959</v>
      </c>
      <c r="B8953" t="s">
        <v>10012</v>
      </c>
      <c r="C8953">
        <v>1</v>
      </c>
      <c r="D8953">
        <v>0</v>
      </c>
      <c r="E8953">
        <v>4</v>
      </c>
      <c r="F8953" t="s">
        <v>10069</v>
      </c>
      <c r="G8953" t="s">
        <v>10069</v>
      </c>
      <c r="H8953" s="6">
        <v>45170</v>
      </c>
      <c r="I8953">
        <f t="shared" si="278"/>
        <v>0</v>
      </c>
      <c r="J8953" t="str">
        <f t="shared" si="279"/>
        <v>Complete</v>
      </c>
      <c r="K8953">
        <f>COUNTIFS(RawData[Item], B8953,RawData[Quantity],C8953,RawData[Price Per Unit],D8953,RawData[Total Spent],E8953,RawData[Payment Method],F8953,RawData[Location],G8953,RawData[Transaction Date],H8953)</f>
        <v>1</v>
      </c>
      <c r="L8953"/>
    </row>
    <row r="8954" spans="1:12" x14ac:dyDescent="0.3">
      <c r="A8954" t="s">
        <v>8960</v>
      </c>
      <c r="B8954" t="s">
        <v>10011</v>
      </c>
      <c r="C8954">
        <v>3</v>
      </c>
      <c r="D8954">
        <v>5</v>
      </c>
      <c r="E8954">
        <v>15</v>
      </c>
      <c r="F8954" t="s">
        <v>10018</v>
      </c>
      <c r="G8954" t="s">
        <v>10069</v>
      </c>
      <c r="H8954" s="6">
        <v>45142</v>
      </c>
      <c r="I8954">
        <f t="shared" si="278"/>
        <v>0</v>
      </c>
      <c r="J8954" t="str">
        <f t="shared" si="279"/>
        <v>Complete</v>
      </c>
      <c r="K8954">
        <f>COUNTIFS(RawData[Item], B8954,RawData[Quantity],C8954,RawData[Price Per Unit],D8954,RawData[Total Spent],E8954,RawData[Payment Method],F8954,RawData[Location],G8954,RawData[Transaction Date],H8954)</f>
        <v>1</v>
      </c>
      <c r="L8954"/>
    </row>
    <row r="8955" spans="1:12" x14ac:dyDescent="0.3">
      <c r="A8955" t="s">
        <v>8961</v>
      </c>
      <c r="B8955" t="s">
        <v>10014</v>
      </c>
      <c r="C8955">
        <v>2</v>
      </c>
      <c r="D8955">
        <v>4</v>
      </c>
      <c r="E8955">
        <v>8</v>
      </c>
      <c r="F8955" t="s">
        <v>10018</v>
      </c>
      <c r="G8955" t="s">
        <v>10069</v>
      </c>
      <c r="H8955" s="6">
        <v>45173</v>
      </c>
      <c r="I8955">
        <f t="shared" si="278"/>
        <v>0</v>
      </c>
      <c r="J8955" t="str">
        <f t="shared" si="279"/>
        <v>Complete</v>
      </c>
      <c r="K8955">
        <f>COUNTIFS(RawData[Item], B8955,RawData[Quantity],C8955,RawData[Price Per Unit],D8955,RawData[Total Spent],E8955,RawData[Payment Method],F8955,RawData[Location],G8955,RawData[Transaction Date],H8955)</f>
        <v>1</v>
      </c>
      <c r="L8955"/>
    </row>
    <row r="8956" spans="1:12" x14ac:dyDescent="0.3">
      <c r="A8956" t="s">
        <v>8962</v>
      </c>
      <c r="B8956" t="s">
        <v>10012</v>
      </c>
      <c r="C8956">
        <v>5</v>
      </c>
      <c r="D8956">
        <v>4</v>
      </c>
      <c r="E8956">
        <v>20</v>
      </c>
      <c r="F8956" t="s">
        <v>10018</v>
      </c>
      <c r="G8956" t="s">
        <v>10102</v>
      </c>
      <c r="H8956" s="6">
        <v>45030</v>
      </c>
      <c r="I8956">
        <f t="shared" si="278"/>
        <v>0</v>
      </c>
      <c r="J8956" t="str">
        <f t="shared" si="279"/>
        <v>Complete</v>
      </c>
      <c r="K8956">
        <f>COUNTIFS(RawData[Item], B8956,RawData[Quantity],C8956,RawData[Price Per Unit],D8956,RawData[Total Spent],E8956,RawData[Payment Method],F8956,RawData[Location],G8956,RawData[Transaction Date],H8956)</f>
        <v>1</v>
      </c>
      <c r="L8956"/>
    </row>
    <row r="8957" spans="1:12" x14ac:dyDescent="0.3">
      <c r="A8957" t="s">
        <v>8963</v>
      </c>
      <c r="B8957" t="s">
        <v>10014</v>
      </c>
      <c r="C8957">
        <v>3</v>
      </c>
      <c r="D8957">
        <v>4</v>
      </c>
      <c r="E8957">
        <v>12</v>
      </c>
      <c r="F8957" t="s">
        <v>10069</v>
      </c>
      <c r="G8957" t="s">
        <v>10069</v>
      </c>
      <c r="H8957" s="6">
        <v>45078</v>
      </c>
      <c r="I8957">
        <f t="shared" si="278"/>
        <v>0</v>
      </c>
      <c r="J8957" t="str">
        <f t="shared" si="279"/>
        <v>Complete</v>
      </c>
      <c r="K8957">
        <f>COUNTIFS(RawData[Item], B8957,RawData[Quantity],C8957,RawData[Price Per Unit],D8957,RawData[Total Spent],E8957,RawData[Payment Method],F8957,RawData[Location],G8957,RawData[Transaction Date],H8957)</f>
        <v>1</v>
      </c>
      <c r="L8957"/>
    </row>
    <row r="8958" spans="1:12" x14ac:dyDescent="0.3">
      <c r="A8958" t="s">
        <v>8964</v>
      </c>
      <c r="B8958" t="s">
        <v>10011</v>
      </c>
      <c r="C8958">
        <v>1</v>
      </c>
      <c r="D8958">
        <v>5</v>
      </c>
      <c r="E8958">
        <v>0</v>
      </c>
      <c r="F8958" t="s">
        <v>10018</v>
      </c>
      <c r="G8958" t="s">
        <v>10102</v>
      </c>
      <c r="H8958" s="6">
        <v>45026</v>
      </c>
      <c r="I8958">
        <f t="shared" si="278"/>
        <v>0</v>
      </c>
      <c r="J8958" t="str">
        <f t="shared" si="279"/>
        <v>Complete</v>
      </c>
      <c r="K8958">
        <f>COUNTIFS(RawData[Item], B8958,RawData[Quantity],C8958,RawData[Price Per Unit],D8958,RawData[Total Spent],E8958,RawData[Payment Method],F8958,RawData[Location],G8958,RawData[Transaction Date],H8958)</f>
        <v>1</v>
      </c>
      <c r="L8958"/>
    </row>
    <row r="8959" spans="1:12" x14ac:dyDescent="0.3">
      <c r="A8959" t="s">
        <v>8965</v>
      </c>
      <c r="B8959" t="s">
        <v>10016</v>
      </c>
      <c r="C8959">
        <v>4</v>
      </c>
      <c r="D8959">
        <v>3</v>
      </c>
      <c r="E8959">
        <v>12</v>
      </c>
      <c r="F8959" t="s">
        <v>10069</v>
      </c>
      <c r="G8959" t="s">
        <v>10103</v>
      </c>
      <c r="H8959" s="6">
        <v>45155</v>
      </c>
      <c r="I8959">
        <f t="shared" si="278"/>
        <v>1</v>
      </c>
      <c r="J8959" t="str">
        <f t="shared" si="279"/>
        <v>Complete</v>
      </c>
      <c r="K8959">
        <f>COUNTIFS(RawData[Item], B8959,RawData[Quantity],C8959,RawData[Price Per Unit],D8959,RawData[Total Spent],E8959,RawData[Payment Method],F8959,RawData[Location],G8959,RawData[Transaction Date],H8959)</f>
        <v>1</v>
      </c>
      <c r="L8959"/>
    </row>
    <row r="8960" spans="1:12" x14ac:dyDescent="0.3">
      <c r="A8960" t="s">
        <v>8966</v>
      </c>
      <c r="B8960" t="s">
        <v>10016</v>
      </c>
      <c r="C8960">
        <v>1</v>
      </c>
      <c r="D8960">
        <v>3</v>
      </c>
      <c r="E8960">
        <v>3</v>
      </c>
      <c r="F8960" t="s">
        <v>10019</v>
      </c>
      <c r="G8960" t="s">
        <v>10021</v>
      </c>
      <c r="H8960" s="6">
        <v>45155</v>
      </c>
      <c r="I8960">
        <f t="shared" si="278"/>
        <v>0</v>
      </c>
      <c r="J8960" t="str">
        <f t="shared" si="279"/>
        <v>Complete</v>
      </c>
      <c r="K8960">
        <f>COUNTIFS(RawData[Item], B8960,RawData[Quantity],C8960,RawData[Price Per Unit],D8960,RawData[Total Spent],E8960,RawData[Payment Method],F8960,RawData[Location],G8960,RawData[Transaction Date],H8960)</f>
        <v>1</v>
      </c>
      <c r="L8960"/>
    </row>
    <row r="8961" spans="1:12" x14ac:dyDescent="0.3">
      <c r="A8961" t="s">
        <v>8967</v>
      </c>
      <c r="B8961" t="s">
        <v>10069</v>
      </c>
      <c r="C8961">
        <v>4</v>
      </c>
      <c r="D8961" t="s">
        <v>10015</v>
      </c>
      <c r="E8961">
        <v>12</v>
      </c>
      <c r="F8961" t="s">
        <v>10018</v>
      </c>
      <c r="G8961" t="s">
        <v>10021</v>
      </c>
      <c r="H8961" s="6">
        <v>45253</v>
      </c>
      <c r="I8961">
        <f t="shared" si="278"/>
        <v>1</v>
      </c>
      <c r="J8961" t="str">
        <f t="shared" si="279"/>
        <v>Complete</v>
      </c>
      <c r="K8961">
        <f>COUNTIFS(RawData[Item], B8961,RawData[Quantity],C8961,RawData[Price Per Unit],D8961,RawData[Total Spent],E8961,RawData[Payment Method],F8961,RawData[Location],G8961,RawData[Transaction Date],H8961)</f>
        <v>1</v>
      </c>
      <c r="L8961"/>
    </row>
    <row r="8962" spans="1:12" x14ac:dyDescent="0.3">
      <c r="A8962" t="s">
        <v>8968</v>
      </c>
      <c r="B8962" t="s">
        <v>10008</v>
      </c>
      <c r="C8962">
        <v>1</v>
      </c>
      <c r="D8962">
        <v>2</v>
      </c>
      <c r="E8962">
        <v>2</v>
      </c>
      <c r="F8962" t="s">
        <v>10020</v>
      </c>
      <c r="G8962" t="s">
        <v>10021</v>
      </c>
      <c r="H8962" s="6">
        <v>45215</v>
      </c>
      <c r="I8962">
        <f t="shared" ref="I8962:I9025" si="280">(B8962="Unknown")+(B8962="Error")+(C8962="Unknown")+(C8962="Error")+(D8962="Unknown")+(D8962="Error")+(E8962="Unknown")+(E8962="Error")+(F8962="Unknown")+(F8962="Error")+(G8962="Unknown")+(G8962="Error")+(H8962="No Date")</f>
        <v>0</v>
      </c>
      <c r="J8962" t="str">
        <f t="shared" ref="J8962:J9025" si="281">IF((H8962="No Date"),"Incomplete","Complete")</f>
        <v>Complete</v>
      </c>
      <c r="K8962">
        <f>COUNTIFS(RawData[Item], B8962,RawData[Quantity],C8962,RawData[Price Per Unit],D8962,RawData[Total Spent],E8962,RawData[Payment Method],F8962,RawData[Location],G8962,RawData[Transaction Date],H8962)</f>
        <v>1</v>
      </c>
      <c r="L8962"/>
    </row>
    <row r="8963" spans="1:12" x14ac:dyDescent="0.3">
      <c r="A8963" t="s">
        <v>8969</v>
      </c>
      <c r="B8963" t="s">
        <v>10008</v>
      </c>
      <c r="C8963">
        <v>1</v>
      </c>
      <c r="D8963">
        <v>2</v>
      </c>
      <c r="E8963">
        <v>2</v>
      </c>
      <c r="F8963" t="s">
        <v>10018</v>
      </c>
      <c r="G8963" t="s">
        <v>10069</v>
      </c>
      <c r="H8963" s="6">
        <v>45259</v>
      </c>
      <c r="I8963">
        <f t="shared" si="280"/>
        <v>0</v>
      </c>
      <c r="J8963" t="str">
        <f t="shared" si="281"/>
        <v>Complete</v>
      </c>
      <c r="K8963">
        <f>COUNTIFS(RawData[Item], B8963,RawData[Quantity],C8963,RawData[Price Per Unit],D8963,RawData[Total Spent],E8963,RawData[Payment Method],F8963,RawData[Location],G8963,RawData[Transaction Date],H8963)</f>
        <v>1</v>
      </c>
      <c r="L8963"/>
    </row>
    <row r="8964" spans="1:12" x14ac:dyDescent="0.3">
      <c r="A8964" t="s">
        <v>8970</v>
      </c>
      <c r="B8964" t="s">
        <v>10014</v>
      </c>
      <c r="C8964">
        <v>3</v>
      </c>
      <c r="D8964">
        <v>4</v>
      </c>
      <c r="E8964">
        <v>12</v>
      </c>
      <c r="F8964" t="s">
        <v>10020</v>
      </c>
      <c r="G8964" t="s">
        <v>10021</v>
      </c>
      <c r="H8964" s="6">
        <v>45258</v>
      </c>
      <c r="I8964">
        <f t="shared" si="280"/>
        <v>0</v>
      </c>
      <c r="J8964" t="str">
        <f t="shared" si="281"/>
        <v>Complete</v>
      </c>
      <c r="K8964">
        <f>COUNTIFS(RawData[Item], B8964,RawData[Quantity],C8964,RawData[Price Per Unit],D8964,RawData[Total Spent],E8964,RawData[Payment Method],F8964,RawData[Location],G8964,RawData[Transaction Date],H8964)</f>
        <v>1</v>
      </c>
      <c r="L8964"/>
    </row>
    <row r="8965" spans="1:12" x14ac:dyDescent="0.3">
      <c r="A8965" t="s">
        <v>8971</v>
      </c>
      <c r="B8965" t="s">
        <v>10010</v>
      </c>
      <c r="C8965">
        <v>5</v>
      </c>
      <c r="D8965" t="s">
        <v>10015</v>
      </c>
      <c r="E8965">
        <v>5</v>
      </c>
      <c r="F8965" t="s">
        <v>10069</v>
      </c>
      <c r="G8965" t="s">
        <v>10069</v>
      </c>
      <c r="H8965" s="6">
        <v>45140</v>
      </c>
      <c r="I8965">
        <f t="shared" si="280"/>
        <v>1</v>
      </c>
      <c r="J8965" t="str">
        <f t="shared" si="281"/>
        <v>Complete</v>
      </c>
      <c r="K8965">
        <f>COUNTIFS(RawData[Item], B8965,RawData[Quantity],C8965,RawData[Price Per Unit],D8965,RawData[Total Spent],E8965,RawData[Payment Method],F8965,RawData[Location],G8965,RawData[Transaction Date],H8965)</f>
        <v>1</v>
      </c>
      <c r="L8965"/>
    </row>
    <row r="8966" spans="1:12" x14ac:dyDescent="0.3">
      <c r="A8966" t="s">
        <v>8972</v>
      </c>
      <c r="B8966" t="s">
        <v>10010</v>
      </c>
      <c r="C8966">
        <v>4</v>
      </c>
      <c r="D8966">
        <v>1</v>
      </c>
      <c r="E8966">
        <v>4</v>
      </c>
      <c r="F8966" t="s">
        <v>10020</v>
      </c>
      <c r="G8966" t="s">
        <v>10102</v>
      </c>
      <c r="H8966" s="6">
        <v>44969</v>
      </c>
      <c r="I8966">
        <f t="shared" si="280"/>
        <v>0</v>
      </c>
      <c r="J8966" t="str">
        <f t="shared" si="281"/>
        <v>Complete</v>
      </c>
      <c r="K8966">
        <f>COUNTIFS(RawData[Item], B8966,RawData[Quantity],C8966,RawData[Price Per Unit],D8966,RawData[Total Spent],E8966,RawData[Payment Method],F8966,RawData[Location],G8966,RawData[Transaction Date],H8966)</f>
        <v>1</v>
      </c>
      <c r="L8966"/>
    </row>
    <row r="8967" spans="1:12" x14ac:dyDescent="0.3">
      <c r="A8967" t="s">
        <v>8973</v>
      </c>
      <c r="B8967" t="s">
        <v>10011</v>
      </c>
      <c r="C8967">
        <v>5</v>
      </c>
      <c r="D8967">
        <v>5</v>
      </c>
      <c r="E8967">
        <v>25</v>
      </c>
      <c r="F8967" t="s">
        <v>10018</v>
      </c>
      <c r="G8967" t="s">
        <v>10021</v>
      </c>
      <c r="H8967" s="6">
        <v>45120</v>
      </c>
      <c r="I8967">
        <f t="shared" si="280"/>
        <v>0</v>
      </c>
      <c r="J8967" t="str">
        <f t="shared" si="281"/>
        <v>Complete</v>
      </c>
      <c r="K8967">
        <f>COUNTIFS(RawData[Item], B8967,RawData[Quantity],C8967,RawData[Price Per Unit],D8967,RawData[Total Spent],E8967,RawData[Payment Method],F8967,RawData[Location],G8967,RawData[Transaction Date],H8967)</f>
        <v>1</v>
      </c>
      <c r="L8967"/>
    </row>
    <row r="8968" spans="1:12" x14ac:dyDescent="0.3">
      <c r="A8968" t="s">
        <v>8974</v>
      </c>
      <c r="B8968" t="s">
        <v>10016</v>
      </c>
      <c r="C8968" t="s">
        <v>10015</v>
      </c>
      <c r="D8968">
        <v>3</v>
      </c>
      <c r="E8968">
        <v>15</v>
      </c>
      <c r="F8968" t="s">
        <v>10069</v>
      </c>
      <c r="G8968" t="s">
        <v>10102</v>
      </c>
      <c r="H8968" s="6">
        <v>45067</v>
      </c>
      <c r="I8968">
        <f t="shared" si="280"/>
        <v>1</v>
      </c>
      <c r="J8968" t="str">
        <f t="shared" si="281"/>
        <v>Complete</v>
      </c>
      <c r="K8968">
        <f>COUNTIFS(RawData[Item], B8968,RawData[Quantity],C8968,RawData[Price Per Unit],D8968,RawData[Total Spent],E8968,RawData[Payment Method],F8968,RawData[Location],G8968,RawData[Transaction Date],H8968)</f>
        <v>1</v>
      </c>
      <c r="L8968"/>
    </row>
    <row r="8969" spans="1:12" x14ac:dyDescent="0.3">
      <c r="A8969" t="s">
        <v>8975</v>
      </c>
      <c r="B8969" t="s">
        <v>10069</v>
      </c>
      <c r="C8969">
        <v>4</v>
      </c>
      <c r="D8969">
        <v>2</v>
      </c>
      <c r="E8969">
        <v>8</v>
      </c>
      <c r="F8969" t="s">
        <v>10019</v>
      </c>
      <c r="G8969" t="s">
        <v>10102</v>
      </c>
      <c r="H8969" s="6">
        <v>45190</v>
      </c>
      <c r="I8969">
        <f t="shared" si="280"/>
        <v>0</v>
      </c>
      <c r="J8969" t="str">
        <f t="shared" si="281"/>
        <v>Complete</v>
      </c>
      <c r="K8969">
        <f>COUNTIFS(RawData[Item], B8969,RawData[Quantity],C8969,RawData[Price Per Unit],D8969,RawData[Total Spent],E8969,RawData[Payment Method],F8969,RawData[Location],G8969,RawData[Transaction Date],H8969)</f>
        <v>1</v>
      </c>
      <c r="L8969"/>
    </row>
    <row r="8970" spans="1:12" x14ac:dyDescent="0.3">
      <c r="A8970" t="s">
        <v>8976</v>
      </c>
      <c r="B8970" t="s">
        <v>10017</v>
      </c>
      <c r="C8970">
        <v>2</v>
      </c>
      <c r="D8970">
        <v>1.5</v>
      </c>
      <c r="E8970">
        <v>3</v>
      </c>
      <c r="F8970" t="s">
        <v>10069</v>
      </c>
      <c r="G8970" t="s">
        <v>10021</v>
      </c>
      <c r="H8970" s="6">
        <v>44931</v>
      </c>
      <c r="I8970">
        <f t="shared" si="280"/>
        <v>0</v>
      </c>
      <c r="J8970" t="str">
        <f t="shared" si="281"/>
        <v>Complete</v>
      </c>
      <c r="K8970">
        <f>COUNTIFS(RawData[Item], B8970,RawData[Quantity],C8970,RawData[Price Per Unit],D8970,RawData[Total Spent],E8970,RawData[Payment Method],F8970,RawData[Location],G8970,RawData[Transaction Date],H8970)</f>
        <v>1</v>
      </c>
      <c r="L8970"/>
    </row>
    <row r="8971" spans="1:12" x14ac:dyDescent="0.3">
      <c r="A8971" t="s">
        <v>8977</v>
      </c>
      <c r="B8971" t="s">
        <v>10011</v>
      </c>
      <c r="C8971">
        <v>1</v>
      </c>
      <c r="D8971">
        <v>5</v>
      </c>
      <c r="E8971" t="s">
        <v>10015</v>
      </c>
      <c r="F8971" t="s">
        <v>10020</v>
      </c>
      <c r="G8971" t="s">
        <v>10021</v>
      </c>
      <c r="H8971" s="6">
        <v>45066</v>
      </c>
      <c r="I8971">
        <f t="shared" si="280"/>
        <v>1</v>
      </c>
      <c r="J8971" t="str">
        <f t="shared" si="281"/>
        <v>Complete</v>
      </c>
      <c r="K8971">
        <f>COUNTIFS(RawData[Item], B8971,RawData[Quantity],C8971,RawData[Price Per Unit],D8971,RawData[Total Spent],E8971,RawData[Payment Method],F8971,RawData[Location],G8971,RawData[Transaction Date],H8971)</f>
        <v>1</v>
      </c>
      <c r="L8971"/>
    </row>
    <row r="8972" spans="1:12" x14ac:dyDescent="0.3">
      <c r="A8972" t="s">
        <v>8978</v>
      </c>
      <c r="B8972" t="s">
        <v>10017</v>
      </c>
      <c r="C8972">
        <v>3</v>
      </c>
      <c r="D8972" t="s">
        <v>10015</v>
      </c>
      <c r="E8972">
        <v>4.5</v>
      </c>
      <c r="F8972" t="s">
        <v>10104</v>
      </c>
      <c r="G8972" t="s">
        <v>10069</v>
      </c>
      <c r="H8972" s="6">
        <v>44949</v>
      </c>
      <c r="I8972">
        <f t="shared" si="280"/>
        <v>2</v>
      </c>
      <c r="J8972" t="str">
        <f t="shared" si="281"/>
        <v>Complete</v>
      </c>
      <c r="K8972">
        <f>COUNTIFS(RawData[Item], B8972,RawData[Quantity],C8972,RawData[Price Per Unit],D8972,RawData[Total Spent],E8972,RawData[Payment Method],F8972,RawData[Location],G8972,RawData[Transaction Date],H8972)</f>
        <v>1</v>
      </c>
      <c r="L8972"/>
    </row>
    <row r="8973" spans="1:12" x14ac:dyDescent="0.3">
      <c r="A8973" t="s">
        <v>8979</v>
      </c>
      <c r="B8973" t="s">
        <v>10010</v>
      </c>
      <c r="C8973">
        <v>3</v>
      </c>
      <c r="D8973">
        <v>1</v>
      </c>
      <c r="E8973">
        <v>3</v>
      </c>
      <c r="F8973" t="s">
        <v>10019</v>
      </c>
      <c r="G8973" t="s">
        <v>10069</v>
      </c>
      <c r="H8973" s="6">
        <v>45072</v>
      </c>
      <c r="I8973">
        <f t="shared" si="280"/>
        <v>0</v>
      </c>
      <c r="J8973" t="str">
        <f t="shared" si="281"/>
        <v>Complete</v>
      </c>
      <c r="K8973">
        <f>COUNTIFS(RawData[Item], B8973,RawData[Quantity],C8973,RawData[Price Per Unit],D8973,RawData[Total Spent],E8973,RawData[Payment Method],F8973,RawData[Location],G8973,RawData[Transaction Date],H8973)</f>
        <v>1</v>
      </c>
      <c r="L8973"/>
    </row>
    <row r="8974" spans="1:12" x14ac:dyDescent="0.3">
      <c r="A8974" t="s">
        <v>8980</v>
      </c>
      <c r="B8974" t="s">
        <v>10009</v>
      </c>
      <c r="C8974">
        <v>5</v>
      </c>
      <c r="D8974">
        <v>3</v>
      </c>
      <c r="E8974">
        <v>15</v>
      </c>
      <c r="F8974" t="s">
        <v>10019</v>
      </c>
      <c r="G8974" t="s">
        <v>10069</v>
      </c>
      <c r="H8974" s="6">
        <v>44966</v>
      </c>
      <c r="I8974">
        <f t="shared" si="280"/>
        <v>0</v>
      </c>
      <c r="J8974" t="str">
        <f t="shared" si="281"/>
        <v>Complete</v>
      </c>
      <c r="K8974">
        <f>COUNTIFS(RawData[Item], B8974,RawData[Quantity],C8974,RawData[Price Per Unit],D8974,RawData[Total Spent],E8974,RawData[Payment Method],F8974,RawData[Location],G8974,RawData[Transaction Date],H8974)</f>
        <v>1</v>
      </c>
      <c r="L8974"/>
    </row>
    <row r="8975" spans="1:12" x14ac:dyDescent="0.3">
      <c r="A8975" t="s">
        <v>8981</v>
      </c>
      <c r="B8975" t="s">
        <v>10009</v>
      </c>
      <c r="C8975" t="s">
        <v>10015</v>
      </c>
      <c r="D8975">
        <v>3</v>
      </c>
      <c r="E8975">
        <v>9</v>
      </c>
      <c r="F8975" t="s">
        <v>10020</v>
      </c>
      <c r="G8975" t="s">
        <v>10069</v>
      </c>
      <c r="H8975" s="6">
        <v>45105</v>
      </c>
      <c r="I8975">
        <f t="shared" si="280"/>
        <v>1</v>
      </c>
      <c r="J8975" t="str">
        <f t="shared" si="281"/>
        <v>Complete</v>
      </c>
      <c r="K8975">
        <f>COUNTIFS(RawData[Item], B8975,RawData[Quantity],C8975,RawData[Price Per Unit],D8975,RawData[Total Spent],E8975,RawData[Payment Method],F8975,RawData[Location],G8975,RawData[Transaction Date],H8975)</f>
        <v>1</v>
      </c>
      <c r="L8975"/>
    </row>
    <row r="8976" spans="1:12" x14ac:dyDescent="0.3">
      <c r="A8976" t="s">
        <v>8982</v>
      </c>
      <c r="B8976" t="s">
        <v>10017</v>
      </c>
      <c r="C8976">
        <v>2</v>
      </c>
      <c r="D8976">
        <v>1.5</v>
      </c>
      <c r="E8976">
        <v>3</v>
      </c>
      <c r="F8976" t="s">
        <v>10069</v>
      </c>
      <c r="G8976" t="s">
        <v>10103</v>
      </c>
      <c r="H8976" s="6">
        <v>45131</v>
      </c>
      <c r="I8976">
        <f t="shared" si="280"/>
        <v>1</v>
      </c>
      <c r="J8976" t="str">
        <f t="shared" si="281"/>
        <v>Complete</v>
      </c>
      <c r="K8976">
        <f>COUNTIFS(RawData[Item], B8976,RawData[Quantity],C8976,RawData[Price Per Unit],D8976,RawData[Total Spent],E8976,RawData[Payment Method],F8976,RawData[Location],G8976,RawData[Transaction Date],H8976)</f>
        <v>1</v>
      </c>
      <c r="L8976"/>
    </row>
    <row r="8977" spans="1:12" x14ac:dyDescent="0.3">
      <c r="A8977" t="s">
        <v>8983</v>
      </c>
      <c r="B8977" t="s">
        <v>10017</v>
      </c>
      <c r="C8977">
        <v>0</v>
      </c>
      <c r="D8977" t="s">
        <v>10013</v>
      </c>
      <c r="E8977">
        <v>7.5</v>
      </c>
      <c r="F8977" t="s">
        <v>10018</v>
      </c>
      <c r="G8977" t="s">
        <v>10069</v>
      </c>
      <c r="H8977" s="6">
        <v>44984</v>
      </c>
      <c r="I8977">
        <f t="shared" si="280"/>
        <v>1</v>
      </c>
      <c r="J8977" t="str">
        <f t="shared" si="281"/>
        <v>Complete</v>
      </c>
      <c r="K8977">
        <f>COUNTIFS(RawData[Item], B8977,RawData[Quantity],C8977,RawData[Price Per Unit],D8977,RawData[Total Spent],E8977,RawData[Payment Method],F8977,RawData[Location],G8977,RawData[Transaction Date],H8977)</f>
        <v>1</v>
      </c>
      <c r="L8977"/>
    </row>
    <row r="8978" spans="1:12" x14ac:dyDescent="0.3">
      <c r="A8978" t="s">
        <v>8984</v>
      </c>
      <c r="B8978" t="s">
        <v>10008</v>
      </c>
      <c r="C8978">
        <v>5</v>
      </c>
      <c r="D8978">
        <v>2</v>
      </c>
      <c r="E8978">
        <v>10</v>
      </c>
      <c r="F8978" t="s">
        <v>10020</v>
      </c>
      <c r="G8978" t="s">
        <v>10102</v>
      </c>
      <c r="H8978" s="6">
        <v>45101</v>
      </c>
      <c r="I8978">
        <f t="shared" si="280"/>
        <v>0</v>
      </c>
      <c r="J8978" t="str">
        <f t="shared" si="281"/>
        <v>Complete</v>
      </c>
      <c r="K8978">
        <f>COUNTIFS(RawData[Item], B8978,RawData[Quantity],C8978,RawData[Price Per Unit],D8978,RawData[Total Spent],E8978,RawData[Payment Method],F8978,RawData[Location],G8978,RawData[Transaction Date],H8978)</f>
        <v>1</v>
      </c>
      <c r="L8978"/>
    </row>
    <row r="8979" spans="1:12" x14ac:dyDescent="0.3">
      <c r="A8979" t="s">
        <v>8985</v>
      </c>
      <c r="B8979" t="s">
        <v>10011</v>
      </c>
      <c r="C8979">
        <v>1</v>
      </c>
      <c r="D8979">
        <v>5</v>
      </c>
      <c r="E8979">
        <v>5</v>
      </c>
      <c r="F8979" t="s">
        <v>10018</v>
      </c>
      <c r="G8979" t="s">
        <v>10069</v>
      </c>
      <c r="H8979" s="6">
        <v>45100</v>
      </c>
      <c r="I8979">
        <f t="shared" si="280"/>
        <v>0</v>
      </c>
      <c r="J8979" t="str">
        <f t="shared" si="281"/>
        <v>Complete</v>
      </c>
      <c r="K8979">
        <f>COUNTIFS(RawData[Item], B8979,RawData[Quantity],C8979,RawData[Price Per Unit],D8979,RawData[Total Spent],E8979,RawData[Payment Method],F8979,RawData[Location],G8979,RawData[Transaction Date],H8979)</f>
        <v>1</v>
      </c>
      <c r="L8979"/>
    </row>
    <row r="8980" spans="1:12" x14ac:dyDescent="0.3">
      <c r="A8980" t="s">
        <v>8986</v>
      </c>
      <c r="B8980" t="s">
        <v>10016</v>
      </c>
      <c r="C8980">
        <v>4</v>
      </c>
      <c r="D8980">
        <v>3</v>
      </c>
      <c r="E8980">
        <v>12</v>
      </c>
      <c r="F8980" t="s">
        <v>10020</v>
      </c>
      <c r="G8980" t="s">
        <v>10021</v>
      </c>
      <c r="H8980" s="6">
        <v>44984</v>
      </c>
      <c r="I8980">
        <f t="shared" si="280"/>
        <v>0</v>
      </c>
      <c r="J8980" t="str">
        <f t="shared" si="281"/>
        <v>Complete</v>
      </c>
      <c r="K8980">
        <f>COUNTIFS(RawData[Item], B8980,RawData[Quantity],C8980,RawData[Price Per Unit],D8980,RawData[Total Spent],E8980,RawData[Payment Method],F8980,RawData[Location],G8980,RawData[Transaction Date],H8980)</f>
        <v>1</v>
      </c>
      <c r="L8980"/>
    </row>
    <row r="8981" spans="1:12" x14ac:dyDescent="0.3">
      <c r="A8981" t="s">
        <v>8987</v>
      </c>
      <c r="B8981" t="s">
        <v>10017</v>
      </c>
      <c r="C8981">
        <v>3</v>
      </c>
      <c r="D8981">
        <v>1.5</v>
      </c>
      <c r="E8981">
        <v>4.5</v>
      </c>
      <c r="F8981" t="s">
        <v>10018</v>
      </c>
      <c r="G8981" t="s">
        <v>10021</v>
      </c>
      <c r="H8981" s="6">
        <v>45067</v>
      </c>
      <c r="I8981">
        <f t="shared" si="280"/>
        <v>0</v>
      </c>
      <c r="J8981" t="str">
        <f t="shared" si="281"/>
        <v>Complete</v>
      </c>
      <c r="K8981">
        <f>COUNTIFS(RawData[Item], B8981,RawData[Quantity],C8981,RawData[Price Per Unit],D8981,RawData[Total Spent],E8981,RawData[Payment Method],F8981,RawData[Location],G8981,RawData[Transaction Date],H8981)</f>
        <v>1</v>
      </c>
      <c r="L8981"/>
    </row>
    <row r="8982" spans="1:12" x14ac:dyDescent="0.3">
      <c r="A8982" t="s">
        <v>8988</v>
      </c>
      <c r="B8982" t="s">
        <v>10009</v>
      </c>
      <c r="C8982">
        <v>2</v>
      </c>
      <c r="D8982">
        <v>3</v>
      </c>
      <c r="E8982">
        <v>6</v>
      </c>
      <c r="F8982" t="s">
        <v>10018</v>
      </c>
      <c r="G8982" t="s">
        <v>10069</v>
      </c>
      <c r="H8982" s="6">
        <v>45073</v>
      </c>
      <c r="I8982">
        <f t="shared" si="280"/>
        <v>0</v>
      </c>
      <c r="J8982" t="str">
        <f t="shared" si="281"/>
        <v>Complete</v>
      </c>
      <c r="K8982">
        <f>COUNTIFS(RawData[Item], B8982,RawData[Quantity],C8982,RawData[Price Per Unit],D8982,RawData[Total Spent],E8982,RawData[Payment Method],F8982,RawData[Location],G8982,RawData[Transaction Date],H8982)</f>
        <v>1</v>
      </c>
      <c r="L8982"/>
    </row>
    <row r="8983" spans="1:12" x14ac:dyDescent="0.3">
      <c r="A8983" t="s">
        <v>8989</v>
      </c>
      <c r="B8983" t="s">
        <v>10009</v>
      </c>
      <c r="C8983">
        <v>2</v>
      </c>
      <c r="D8983">
        <v>3</v>
      </c>
      <c r="E8983">
        <v>6</v>
      </c>
      <c r="F8983" t="s">
        <v>10020</v>
      </c>
      <c r="G8983" t="s">
        <v>10021</v>
      </c>
      <c r="H8983" s="6">
        <v>44976</v>
      </c>
      <c r="I8983">
        <f t="shared" si="280"/>
        <v>0</v>
      </c>
      <c r="J8983" t="str">
        <f t="shared" si="281"/>
        <v>Complete</v>
      </c>
      <c r="K8983">
        <f>COUNTIFS(RawData[Item], B8983,RawData[Quantity],C8983,RawData[Price Per Unit],D8983,RawData[Total Spent],E8983,RawData[Payment Method],F8983,RawData[Location],G8983,RawData[Transaction Date],H8983)</f>
        <v>1</v>
      </c>
      <c r="L8983"/>
    </row>
    <row r="8984" spans="1:12" x14ac:dyDescent="0.3">
      <c r="A8984" t="s">
        <v>8990</v>
      </c>
      <c r="B8984" t="s">
        <v>10011</v>
      </c>
      <c r="C8984">
        <v>2</v>
      </c>
      <c r="D8984">
        <v>5</v>
      </c>
      <c r="E8984">
        <v>10</v>
      </c>
      <c r="F8984" t="s">
        <v>10069</v>
      </c>
      <c r="G8984" t="s">
        <v>10021</v>
      </c>
      <c r="H8984" s="6">
        <v>45009</v>
      </c>
      <c r="I8984">
        <f t="shared" si="280"/>
        <v>0</v>
      </c>
      <c r="J8984" t="str">
        <f t="shared" si="281"/>
        <v>Complete</v>
      </c>
      <c r="K8984">
        <f>COUNTIFS(RawData[Item], B8984,RawData[Quantity],C8984,RawData[Price Per Unit],D8984,RawData[Total Spent],E8984,RawData[Payment Method],F8984,RawData[Location],G8984,RawData[Transaction Date],H8984)</f>
        <v>1</v>
      </c>
      <c r="L8984"/>
    </row>
    <row r="8985" spans="1:12" x14ac:dyDescent="0.3">
      <c r="A8985" t="s">
        <v>8991</v>
      </c>
      <c r="B8985" t="s">
        <v>10016</v>
      </c>
      <c r="C8985">
        <v>3</v>
      </c>
      <c r="D8985">
        <v>3</v>
      </c>
      <c r="E8985">
        <v>9</v>
      </c>
      <c r="F8985" t="s">
        <v>10018</v>
      </c>
      <c r="G8985" t="s">
        <v>10021</v>
      </c>
      <c r="H8985" s="6">
        <v>45152</v>
      </c>
      <c r="I8985">
        <f t="shared" si="280"/>
        <v>0</v>
      </c>
      <c r="J8985" t="str">
        <f t="shared" si="281"/>
        <v>Complete</v>
      </c>
      <c r="K8985">
        <f>COUNTIFS(RawData[Item], B8985,RawData[Quantity],C8985,RawData[Price Per Unit],D8985,RawData[Total Spent],E8985,RawData[Payment Method],F8985,RawData[Location],G8985,RawData[Transaction Date],H8985)</f>
        <v>1</v>
      </c>
      <c r="L8985"/>
    </row>
    <row r="8986" spans="1:12" x14ac:dyDescent="0.3">
      <c r="A8986" t="s">
        <v>8992</v>
      </c>
      <c r="B8986" t="s">
        <v>10010</v>
      </c>
      <c r="C8986">
        <v>3</v>
      </c>
      <c r="D8986">
        <v>1</v>
      </c>
      <c r="E8986">
        <v>3</v>
      </c>
      <c r="F8986" t="s">
        <v>10019</v>
      </c>
      <c r="G8986" t="s">
        <v>10102</v>
      </c>
      <c r="H8986" s="6">
        <v>44945</v>
      </c>
      <c r="I8986">
        <f t="shared" si="280"/>
        <v>0</v>
      </c>
      <c r="J8986" t="str">
        <f t="shared" si="281"/>
        <v>Complete</v>
      </c>
      <c r="K8986">
        <f>COUNTIFS(RawData[Item], B8986,RawData[Quantity],C8986,RawData[Price Per Unit],D8986,RawData[Total Spent],E8986,RawData[Payment Method],F8986,RawData[Location],G8986,RawData[Transaction Date],H8986)</f>
        <v>1</v>
      </c>
      <c r="L8986"/>
    </row>
    <row r="8987" spans="1:12" x14ac:dyDescent="0.3">
      <c r="A8987" t="s">
        <v>8993</v>
      </c>
      <c r="B8987" t="s">
        <v>10008</v>
      </c>
      <c r="C8987">
        <v>5</v>
      </c>
      <c r="D8987" t="s">
        <v>10013</v>
      </c>
      <c r="E8987">
        <v>10</v>
      </c>
      <c r="F8987" t="s">
        <v>10018</v>
      </c>
      <c r="G8987" t="s">
        <v>10102</v>
      </c>
      <c r="H8987" s="6" t="s">
        <v>10112</v>
      </c>
      <c r="I8987">
        <f t="shared" si="280"/>
        <v>2</v>
      </c>
      <c r="J8987" t="str">
        <f t="shared" si="281"/>
        <v>Incomplete</v>
      </c>
      <c r="K8987">
        <f>COUNTIFS(RawData[Item], B8987,RawData[Quantity],C8987,RawData[Price Per Unit],D8987,RawData[Total Spent],E8987,RawData[Payment Method],F8987,RawData[Location],G8987,RawData[Transaction Date],H8987)</f>
        <v>1</v>
      </c>
      <c r="L8987"/>
    </row>
    <row r="8988" spans="1:12" x14ac:dyDescent="0.3">
      <c r="A8988" t="s">
        <v>8994</v>
      </c>
      <c r="B8988" t="s">
        <v>10069</v>
      </c>
      <c r="C8988">
        <v>4</v>
      </c>
      <c r="D8988">
        <v>2</v>
      </c>
      <c r="E8988">
        <v>8</v>
      </c>
      <c r="F8988" t="s">
        <v>10069</v>
      </c>
      <c r="G8988" t="s">
        <v>10102</v>
      </c>
      <c r="H8988" s="6">
        <v>45092</v>
      </c>
      <c r="I8988">
        <f t="shared" si="280"/>
        <v>0</v>
      </c>
      <c r="J8988" t="str">
        <f t="shared" si="281"/>
        <v>Complete</v>
      </c>
      <c r="K8988">
        <f>COUNTIFS(RawData[Item], B8988,RawData[Quantity],C8988,RawData[Price Per Unit],D8988,RawData[Total Spent],E8988,RawData[Payment Method],F8988,RawData[Location],G8988,RawData[Transaction Date],H8988)</f>
        <v>1</v>
      </c>
      <c r="L8988"/>
    </row>
    <row r="8989" spans="1:12" x14ac:dyDescent="0.3">
      <c r="A8989" t="s">
        <v>8995</v>
      </c>
      <c r="B8989" t="s">
        <v>10016</v>
      </c>
      <c r="C8989">
        <v>2</v>
      </c>
      <c r="D8989">
        <v>3</v>
      </c>
      <c r="E8989">
        <v>6</v>
      </c>
      <c r="F8989" t="s">
        <v>10019</v>
      </c>
      <c r="G8989" t="s">
        <v>10102</v>
      </c>
      <c r="H8989" s="6">
        <v>44994</v>
      </c>
      <c r="I8989">
        <f t="shared" si="280"/>
        <v>0</v>
      </c>
      <c r="J8989" t="str">
        <f t="shared" si="281"/>
        <v>Complete</v>
      </c>
      <c r="K8989">
        <f>COUNTIFS(RawData[Item], B8989,RawData[Quantity],C8989,RawData[Price Per Unit],D8989,RawData[Total Spent],E8989,RawData[Payment Method],F8989,RawData[Location],G8989,RawData[Transaction Date],H8989)</f>
        <v>1</v>
      </c>
      <c r="L8989"/>
    </row>
    <row r="8990" spans="1:12" x14ac:dyDescent="0.3">
      <c r="A8990" t="s">
        <v>8996</v>
      </c>
      <c r="B8990" t="s">
        <v>10014</v>
      </c>
      <c r="C8990">
        <v>5</v>
      </c>
      <c r="D8990">
        <v>4</v>
      </c>
      <c r="E8990">
        <v>20</v>
      </c>
      <c r="F8990" t="s">
        <v>10018</v>
      </c>
      <c r="G8990" t="s">
        <v>10069</v>
      </c>
      <c r="H8990" s="6">
        <v>45006</v>
      </c>
      <c r="I8990">
        <f t="shared" si="280"/>
        <v>0</v>
      </c>
      <c r="J8990" t="str">
        <f t="shared" si="281"/>
        <v>Complete</v>
      </c>
      <c r="K8990">
        <f>COUNTIFS(RawData[Item], B8990,RawData[Quantity],C8990,RawData[Price Per Unit],D8990,RawData[Total Spent],E8990,RawData[Payment Method],F8990,RawData[Location],G8990,RawData[Transaction Date],H8990)</f>
        <v>1</v>
      </c>
      <c r="L8990"/>
    </row>
    <row r="8991" spans="1:12" x14ac:dyDescent="0.3">
      <c r="A8991" t="s">
        <v>8997</v>
      </c>
      <c r="B8991" t="s">
        <v>10014</v>
      </c>
      <c r="C8991">
        <v>2</v>
      </c>
      <c r="D8991">
        <v>4</v>
      </c>
      <c r="E8991">
        <v>0</v>
      </c>
      <c r="F8991" t="s">
        <v>10069</v>
      </c>
      <c r="G8991" t="s">
        <v>10102</v>
      </c>
      <c r="H8991" s="6" t="s">
        <v>10112</v>
      </c>
      <c r="I8991">
        <f t="shared" si="280"/>
        <v>1</v>
      </c>
      <c r="J8991" t="str">
        <f t="shared" si="281"/>
        <v>Incomplete</v>
      </c>
      <c r="K8991">
        <f>COUNTIFS(RawData[Item], B8991,RawData[Quantity],C8991,RawData[Price Per Unit],D8991,RawData[Total Spent],E8991,RawData[Payment Method],F8991,RawData[Location],G8991,RawData[Transaction Date],H8991)</f>
        <v>1</v>
      </c>
      <c r="L8991"/>
    </row>
    <row r="8992" spans="1:12" x14ac:dyDescent="0.3">
      <c r="A8992" t="s">
        <v>8998</v>
      </c>
      <c r="B8992" t="s">
        <v>10012</v>
      </c>
      <c r="C8992">
        <v>3</v>
      </c>
      <c r="D8992">
        <v>4</v>
      </c>
      <c r="E8992">
        <v>12</v>
      </c>
      <c r="F8992" t="s">
        <v>10020</v>
      </c>
      <c r="G8992" t="s">
        <v>10021</v>
      </c>
      <c r="H8992" s="6">
        <v>45190</v>
      </c>
      <c r="I8992">
        <f t="shared" si="280"/>
        <v>0</v>
      </c>
      <c r="J8992" t="str">
        <f t="shared" si="281"/>
        <v>Complete</v>
      </c>
      <c r="K8992">
        <f>COUNTIFS(RawData[Item], B8992,RawData[Quantity],C8992,RawData[Price Per Unit],D8992,RawData[Total Spent],E8992,RawData[Payment Method],F8992,RawData[Location],G8992,RawData[Transaction Date],H8992)</f>
        <v>1</v>
      </c>
      <c r="L8992"/>
    </row>
    <row r="8993" spans="1:12" x14ac:dyDescent="0.3">
      <c r="A8993" t="s">
        <v>8999</v>
      </c>
      <c r="B8993" t="s">
        <v>10011</v>
      </c>
      <c r="C8993">
        <v>1</v>
      </c>
      <c r="D8993">
        <v>5</v>
      </c>
      <c r="E8993">
        <v>5</v>
      </c>
      <c r="F8993" t="s">
        <v>10020</v>
      </c>
      <c r="G8993" t="s">
        <v>10102</v>
      </c>
      <c r="H8993" s="6">
        <v>45032</v>
      </c>
      <c r="I8993">
        <f t="shared" si="280"/>
        <v>0</v>
      </c>
      <c r="J8993" t="str">
        <f t="shared" si="281"/>
        <v>Complete</v>
      </c>
      <c r="K8993">
        <f>COUNTIFS(RawData[Item], B8993,RawData[Quantity],C8993,RawData[Price Per Unit],D8993,RawData[Total Spent],E8993,RawData[Payment Method],F8993,RawData[Location],G8993,RawData[Transaction Date],H8993)</f>
        <v>1</v>
      </c>
      <c r="L8993"/>
    </row>
    <row r="8994" spans="1:12" x14ac:dyDescent="0.3">
      <c r="A8994" t="s">
        <v>9000</v>
      </c>
      <c r="B8994" t="s">
        <v>10009</v>
      </c>
      <c r="C8994">
        <v>1</v>
      </c>
      <c r="D8994">
        <v>3</v>
      </c>
      <c r="E8994">
        <v>3</v>
      </c>
      <c r="F8994" t="s">
        <v>10069</v>
      </c>
      <c r="G8994" t="s">
        <v>10069</v>
      </c>
      <c r="H8994" s="6">
        <v>44958</v>
      </c>
      <c r="I8994">
        <f t="shared" si="280"/>
        <v>0</v>
      </c>
      <c r="J8994" t="str">
        <f t="shared" si="281"/>
        <v>Complete</v>
      </c>
      <c r="K8994">
        <f>COUNTIFS(RawData[Item], B8994,RawData[Quantity],C8994,RawData[Price Per Unit],D8994,RawData[Total Spent],E8994,RawData[Payment Method],F8994,RawData[Location],G8994,RawData[Transaction Date],H8994)</f>
        <v>1</v>
      </c>
      <c r="L8994"/>
    </row>
    <row r="8995" spans="1:12" x14ac:dyDescent="0.3">
      <c r="A8995" t="s">
        <v>9001</v>
      </c>
      <c r="B8995" t="s">
        <v>10069</v>
      </c>
      <c r="C8995">
        <v>3</v>
      </c>
      <c r="D8995">
        <v>3</v>
      </c>
      <c r="E8995">
        <v>9</v>
      </c>
      <c r="F8995" t="s">
        <v>10018</v>
      </c>
      <c r="G8995" t="s">
        <v>10069</v>
      </c>
      <c r="H8995" s="6">
        <v>45290</v>
      </c>
      <c r="I8995">
        <f t="shared" si="280"/>
        <v>0</v>
      </c>
      <c r="J8995" t="str">
        <f t="shared" si="281"/>
        <v>Complete</v>
      </c>
      <c r="K8995">
        <f>COUNTIFS(RawData[Item], B8995,RawData[Quantity],C8995,RawData[Price Per Unit],D8995,RawData[Total Spent],E8995,RawData[Payment Method],F8995,RawData[Location],G8995,RawData[Transaction Date],H8995)</f>
        <v>1</v>
      </c>
      <c r="L8995"/>
    </row>
    <row r="8996" spans="1:12" x14ac:dyDescent="0.3">
      <c r="A8996" t="s">
        <v>9002</v>
      </c>
      <c r="B8996" t="s">
        <v>10010</v>
      </c>
      <c r="C8996">
        <v>3</v>
      </c>
      <c r="D8996">
        <v>1</v>
      </c>
      <c r="E8996">
        <v>3</v>
      </c>
      <c r="F8996" t="s">
        <v>10018</v>
      </c>
      <c r="G8996" t="s">
        <v>10102</v>
      </c>
      <c r="H8996" s="6">
        <v>45165</v>
      </c>
      <c r="I8996">
        <f t="shared" si="280"/>
        <v>0</v>
      </c>
      <c r="J8996" t="str">
        <f t="shared" si="281"/>
        <v>Complete</v>
      </c>
      <c r="K8996">
        <f>COUNTIFS(RawData[Item], B8996,RawData[Quantity],C8996,RawData[Price Per Unit],D8996,RawData[Total Spent],E8996,RawData[Payment Method],F8996,RawData[Location],G8996,RawData[Transaction Date],H8996)</f>
        <v>1</v>
      </c>
      <c r="L8996"/>
    </row>
    <row r="8997" spans="1:12" x14ac:dyDescent="0.3">
      <c r="A8997" t="s">
        <v>9003</v>
      </c>
      <c r="B8997" t="s">
        <v>10009</v>
      </c>
      <c r="C8997">
        <v>3</v>
      </c>
      <c r="D8997">
        <v>3</v>
      </c>
      <c r="E8997">
        <v>9</v>
      </c>
      <c r="F8997" t="s">
        <v>10019</v>
      </c>
      <c r="G8997" t="s">
        <v>10021</v>
      </c>
      <c r="H8997" s="6">
        <v>45236</v>
      </c>
      <c r="I8997">
        <f t="shared" si="280"/>
        <v>0</v>
      </c>
      <c r="J8997" t="str">
        <f t="shared" si="281"/>
        <v>Complete</v>
      </c>
      <c r="K8997">
        <f>COUNTIFS(RawData[Item], B8997,RawData[Quantity],C8997,RawData[Price Per Unit],D8997,RawData[Total Spent],E8997,RawData[Payment Method],F8997,RawData[Location],G8997,RawData[Transaction Date],H8997)</f>
        <v>1</v>
      </c>
      <c r="L8997"/>
    </row>
    <row r="8998" spans="1:12" x14ac:dyDescent="0.3">
      <c r="A8998" t="s">
        <v>9004</v>
      </c>
      <c r="B8998" t="s">
        <v>10014</v>
      </c>
      <c r="C8998">
        <v>5</v>
      </c>
      <c r="D8998">
        <v>4</v>
      </c>
      <c r="E8998">
        <v>20</v>
      </c>
      <c r="F8998" t="s">
        <v>10018</v>
      </c>
      <c r="G8998" t="s">
        <v>10069</v>
      </c>
      <c r="H8998" s="6">
        <v>45064</v>
      </c>
      <c r="I8998">
        <f t="shared" si="280"/>
        <v>0</v>
      </c>
      <c r="J8998" t="str">
        <f t="shared" si="281"/>
        <v>Complete</v>
      </c>
      <c r="K8998">
        <f>COUNTIFS(RawData[Item], B8998,RawData[Quantity],C8998,RawData[Price Per Unit],D8998,RawData[Total Spent],E8998,RawData[Payment Method],F8998,RawData[Location],G8998,RawData[Transaction Date],H8998)</f>
        <v>1</v>
      </c>
      <c r="L8998"/>
    </row>
    <row r="8999" spans="1:12" x14ac:dyDescent="0.3">
      <c r="A8999" t="s">
        <v>9005</v>
      </c>
      <c r="B8999" t="s">
        <v>10008</v>
      </c>
      <c r="C8999">
        <v>1</v>
      </c>
      <c r="D8999">
        <v>2</v>
      </c>
      <c r="E8999">
        <v>2</v>
      </c>
      <c r="F8999" t="s">
        <v>10019</v>
      </c>
      <c r="G8999" t="s">
        <v>10069</v>
      </c>
      <c r="H8999" s="6">
        <v>45090</v>
      </c>
      <c r="I8999">
        <f t="shared" si="280"/>
        <v>0</v>
      </c>
      <c r="J8999" t="str">
        <f t="shared" si="281"/>
        <v>Complete</v>
      </c>
      <c r="K8999">
        <f>COUNTIFS(RawData[Item], B8999,RawData[Quantity],C8999,RawData[Price Per Unit],D8999,RawData[Total Spent],E8999,RawData[Payment Method],F8999,RawData[Location],G8999,RawData[Transaction Date],H8999)</f>
        <v>1</v>
      </c>
      <c r="L8999"/>
    </row>
    <row r="9000" spans="1:12" x14ac:dyDescent="0.3">
      <c r="A9000" t="s">
        <v>9006</v>
      </c>
      <c r="B9000" t="s">
        <v>10010</v>
      </c>
      <c r="C9000">
        <v>2</v>
      </c>
      <c r="D9000">
        <v>1</v>
      </c>
      <c r="E9000">
        <v>2</v>
      </c>
      <c r="F9000" t="s">
        <v>10020</v>
      </c>
      <c r="G9000" t="s">
        <v>10102</v>
      </c>
      <c r="H9000" s="6">
        <v>45038</v>
      </c>
      <c r="I9000">
        <f t="shared" si="280"/>
        <v>0</v>
      </c>
      <c r="J9000" t="str">
        <f t="shared" si="281"/>
        <v>Complete</v>
      </c>
      <c r="K9000">
        <f>COUNTIFS(RawData[Item], B9000,RawData[Quantity],C9000,RawData[Price Per Unit],D9000,RawData[Total Spent],E9000,RawData[Payment Method],F9000,RawData[Location],G9000,RawData[Transaction Date],H9000)</f>
        <v>1</v>
      </c>
      <c r="L9000"/>
    </row>
    <row r="9001" spans="1:12" x14ac:dyDescent="0.3">
      <c r="A9001" t="s">
        <v>9007</v>
      </c>
      <c r="B9001" t="s">
        <v>10009</v>
      </c>
      <c r="C9001">
        <v>2</v>
      </c>
      <c r="D9001">
        <v>3</v>
      </c>
      <c r="E9001">
        <v>6</v>
      </c>
      <c r="F9001" t="s">
        <v>10020</v>
      </c>
      <c r="G9001" t="s">
        <v>10069</v>
      </c>
      <c r="H9001" s="6">
        <v>44957</v>
      </c>
      <c r="I9001">
        <f t="shared" si="280"/>
        <v>0</v>
      </c>
      <c r="J9001" t="str">
        <f t="shared" si="281"/>
        <v>Complete</v>
      </c>
      <c r="K9001">
        <f>COUNTIFS(RawData[Item], B9001,RawData[Quantity],C9001,RawData[Price Per Unit],D9001,RawData[Total Spent],E9001,RawData[Payment Method],F9001,RawData[Location],G9001,RawData[Transaction Date],H9001)</f>
        <v>1</v>
      </c>
      <c r="L9001"/>
    </row>
    <row r="9002" spans="1:12" x14ac:dyDescent="0.3">
      <c r="A9002" t="s">
        <v>9008</v>
      </c>
      <c r="B9002" t="s">
        <v>10012</v>
      </c>
      <c r="C9002">
        <v>1</v>
      </c>
      <c r="D9002">
        <v>4</v>
      </c>
      <c r="E9002">
        <v>4</v>
      </c>
      <c r="F9002" t="s">
        <v>10020</v>
      </c>
      <c r="G9002" t="s">
        <v>10104</v>
      </c>
      <c r="H9002" s="6">
        <v>45132</v>
      </c>
      <c r="I9002">
        <f t="shared" si="280"/>
        <v>1</v>
      </c>
      <c r="J9002" t="str">
        <f t="shared" si="281"/>
        <v>Complete</v>
      </c>
      <c r="K9002">
        <f>COUNTIFS(RawData[Item], B9002,RawData[Quantity],C9002,RawData[Price Per Unit],D9002,RawData[Total Spent],E9002,RawData[Payment Method],F9002,RawData[Location],G9002,RawData[Transaction Date],H9002)</f>
        <v>1</v>
      </c>
      <c r="L9002"/>
    </row>
    <row r="9003" spans="1:12" x14ac:dyDescent="0.3">
      <c r="A9003" t="s">
        <v>9009</v>
      </c>
      <c r="B9003" t="s">
        <v>10010</v>
      </c>
      <c r="C9003">
        <v>4</v>
      </c>
      <c r="D9003">
        <v>1</v>
      </c>
      <c r="E9003">
        <v>4</v>
      </c>
      <c r="F9003" t="s">
        <v>10069</v>
      </c>
      <c r="G9003" t="s">
        <v>10021</v>
      </c>
      <c r="H9003" s="6">
        <v>45086</v>
      </c>
      <c r="I9003">
        <f t="shared" si="280"/>
        <v>0</v>
      </c>
      <c r="J9003" t="str">
        <f t="shared" si="281"/>
        <v>Complete</v>
      </c>
      <c r="K9003">
        <f>COUNTIFS(RawData[Item], B9003,RawData[Quantity],C9003,RawData[Price Per Unit],D9003,RawData[Total Spent],E9003,RawData[Payment Method],F9003,RawData[Location],G9003,RawData[Transaction Date],H9003)</f>
        <v>1</v>
      </c>
      <c r="L9003"/>
    </row>
    <row r="9004" spans="1:12" x14ac:dyDescent="0.3">
      <c r="A9004" t="s">
        <v>9010</v>
      </c>
      <c r="B9004" t="s">
        <v>10009</v>
      </c>
      <c r="C9004">
        <v>4</v>
      </c>
      <c r="D9004">
        <v>3</v>
      </c>
      <c r="E9004">
        <v>12</v>
      </c>
      <c r="F9004" t="s">
        <v>10069</v>
      </c>
      <c r="G9004" t="s">
        <v>10021</v>
      </c>
      <c r="H9004" s="6">
        <v>45057</v>
      </c>
      <c r="I9004">
        <f t="shared" si="280"/>
        <v>0</v>
      </c>
      <c r="J9004" t="str">
        <f t="shared" si="281"/>
        <v>Complete</v>
      </c>
      <c r="K9004">
        <f>COUNTIFS(RawData[Item], B9004,RawData[Quantity],C9004,RawData[Price Per Unit],D9004,RawData[Total Spent],E9004,RawData[Payment Method],F9004,RawData[Location],G9004,RawData[Transaction Date],H9004)</f>
        <v>1</v>
      </c>
      <c r="L9004"/>
    </row>
    <row r="9005" spans="1:12" x14ac:dyDescent="0.3">
      <c r="A9005" t="s">
        <v>9011</v>
      </c>
      <c r="B9005" t="s">
        <v>10069</v>
      </c>
      <c r="C9005">
        <v>2</v>
      </c>
      <c r="D9005">
        <v>2</v>
      </c>
      <c r="E9005">
        <v>4</v>
      </c>
      <c r="F9005" t="s">
        <v>10069</v>
      </c>
      <c r="G9005" t="s">
        <v>10021</v>
      </c>
      <c r="H9005" s="6">
        <v>45258</v>
      </c>
      <c r="I9005">
        <f t="shared" si="280"/>
        <v>0</v>
      </c>
      <c r="J9005" t="str">
        <f t="shared" si="281"/>
        <v>Complete</v>
      </c>
      <c r="K9005">
        <f>COUNTIFS(RawData[Item], B9005,RawData[Quantity],C9005,RawData[Price Per Unit],D9005,RawData[Total Spent],E9005,RawData[Payment Method],F9005,RawData[Location],G9005,RawData[Transaction Date],H9005)</f>
        <v>1</v>
      </c>
      <c r="L9005"/>
    </row>
    <row r="9006" spans="1:12" x14ac:dyDescent="0.3">
      <c r="A9006" t="s">
        <v>9012</v>
      </c>
      <c r="B9006" t="s">
        <v>10010</v>
      </c>
      <c r="C9006">
        <v>4</v>
      </c>
      <c r="D9006" t="s">
        <v>10015</v>
      </c>
      <c r="E9006">
        <v>4</v>
      </c>
      <c r="F9006" t="s">
        <v>10069</v>
      </c>
      <c r="G9006" t="s">
        <v>10021</v>
      </c>
      <c r="H9006" s="6">
        <v>45252</v>
      </c>
      <c r="I9006">
        <f t="shared" si="280"/>
        <v>1</v>
      </c>
      <c r="J9006" t="str">
        <f t="shared" si="281"/>
        <v>Complete</v>
      </c>
      <c r="K9006">
        <f>COUNTIFS(RawData[Item], B9006,RawData[Quantity],C9006,RawData[Price Per Unit],D9006,RawData[Total Spent],E9006,RawData[Payment Method],F9006,RawData[Location],G9006,RawData[Transaction Date],H9006)</f>
        <v>1</v>
      </c>
      <c r="L9006"/>
    </row>
    <row r="9007" spans="1:12" x14ac:dyDescent="0.3">
      <c r="A9007" t="s">
        <v>9013</v>
      </c>
      <c r="B9007" t="s">
        <v>10015</v>
      </c>
      <c r="C9007">
        <v>5</v>
      </c>
      <c r="D9007">
        <v>4</v>
      </c>
      <c r="E9007">
        <v>20</v>
      </c>
      <c r="F9007" t="s">
        <v>10020</v>
      </c>
      <c r="G9007" t="s">
        <v>10021</v>
      </c>
      <c r="H9007" s="6">
        <v>45147</v>
      </c>
      <c r="I9007">
        <f t="shared" si="280"/>
        <v>1</v>
      </c>
      <c r="J9007" t="str">
        <f t="shared" si="281"/>
        <v>Complete</v>
      </c>
      <c r="K9007">
        <f>COUNTIFS(RawData[Item], B9007,RawData[Quantity],C9007,RawData[Price Per Unit],D9007,RawData[Total Spent],E9007,RawData[Payment Method],F9007,RawData[Location],G9007,RawData[Transaction Date],H9007)</f>
        <v>1</v>
      </c>
      <c r="L9007"/>
    </row>
    <row r="9008" spans="1:12" x14ac:dyDescent="0.3">
      <c r="A9008" t="s">
        <v>9014</v>
      </c>
      <c r="B9008" t="s">
        <v>10014</v>
      </c>
      <c r="C9008">
        <v>3</v>
      </c>
      <c r="D9008">
        <v>4</v>
      </c>
      <c r="E9008">
        <v>12</v>
      </c>
      <c r="F9008" t="s">
        <v>10019</v>
      </c>
      <c r="G9008" t="s">
        <v>10102</v>
      </c>
      <c r="H9008" s="6">
        <v>44970</v>
      </c>
      <c r="I9008">
        <f t="shared" si="280"/>
        <v>0</v>
      </c>
      <c r="J9008" t="str">
        <f t="shared" si="281"/>
        <v>Complete</v>
      </c>
      <c r="K9008">
        <f>COUNTIFS(RawData[Item], B9008,RawData[Quantity],C9008,RawData[Price Per Unit],D9008,RawData[Total Spent],E9008,RawData[Payment Method],F9008,RawData[Location],G9008,RawData[Transaction Date],H9008)</f>
        <v>1</v>
      </c>
      <c r="L9008"/>
    </row>
    <row r="9009" spans="1:12" x14ac:dyDescent="0.3">
      <c r="A9009" t="s">
        <v>9015</v>
      </c>
      <c r="B9009" t="s">
        <v>10009</v>
      </c>
      <c r="C9009">
        <v>3</v>
      </c>
      <c r="D9009">
        <v>3</v>
      </c>
      <c r="E9009">
        <v>9</v>
      </c>
      <c r="F9009" t="s">
        <v>10069</v>
      </c>
      <c r="G9009" t="s">
        <v>10102</v>
      </c>
      <c r="H9009" s="6">
        <v>45273</v>
      </c>
      <c r="I9009">
        <f t="shared" si="280"/>
        <v>0</v>
      </c>
      <c r="J9009" t="str">
        <f t="shared" si="281"/>
        <v>Complete</v>
      </c>
      <c r="K9009">
        <f>COUNTIFS(RawData[Item], B9009,RawData[Quantity],C9009,RawData[Price Per Unit],D9009,RawData[Total Spent],E9009,RawData[Payment Method],F9009,RawData[Location],G9009,RawData[Transaction Date],H9009)</f>
        <v>1</v>
      </c>
      <c r="L9009"/>
    </row>
    <row r="9010" spans="1:12" x14ac:dyDescent="0.3">
      <c r="A9010" t="s">
        <v>9016</v>
      </c>
      <c r="B9010" t="s">
        <v>10010</v>
      </c>
      <c r="C9010">
        <v>2</v>
      </c>
      <c r="D9010">
        <v>1</v>
      </c>
      <c r="E9010">
        <v>2</v>
      </c>
      <c r="F9010" t="s">
        <v>10019</v>
      </c>
      <c r="G9010" t="s">
        <v>10069</v>
      </c>
      <c r="H9010" s="6">
        <v>45240</v>
      </c>
      <c r="I9010">
        <f t="shared" si="280"/>
        <v>0</v>
      </c>
      <c r="J9010" t="str">
        <f t="shared" si="281"/>
        <v>Complete</v>
      </c>
      <c r="K9010">
        <f>COUNTIFS(RawData[Item], B9010,RawData[Quantity],C9010,RawData[Price Per Unit],D9010,RawData[Total Spent],E9010,RawData[Payment Method],F9010,RawData[Location],G9010,RawData[Transaction Date],H9010)</f>
        <v>1</v>
      </c>
      <c r="L9010"/>
    </row>
    <row r="9011" spans="1:12" x14ac:dyDescent="0.3">
      <c r="A9011" t="s">
        <v>9017</v>
      </c>
      <c r="B9011" t="s">
        <v>10011</v>
      </c>
      <c r="C9011">
        <v>1</v>
      </c>
      <c r="D9011">
        <v>5</v>
      </c>
      <c r="E9011">
        <v>5</v>
      </c>
      <c r="F9011" t="s">
        <v>10069</v>
      </c>
      <c r="G9011" t="s">
        <v>10021</v>
      </c>
      <c r="H9011" s="6">
        <v>45190</v>
      </c>
      <c r="I9011">
        <f t="shared" si="280"/>
        <v>0</v>
      </c>
      <c r="J9011" t="str">
        <f t="shared" si="281"/>
        <v>Complete</v>
      </c>
      <c r="K9011">
        <f>COUNTIFS(RawData[Item], B9011,RawData[Quantity],C9011,RawData[Price Per Unit],D9011,RawData[Total Spent],E9011,RawData[Payment Method],F9011,RawData[Location],G9011,RawData[Transaction Date],H9011)</f>
        <v>1</v>
      </c>
      <c r="L9011"/>
    </row>
    <row r="9012" spans="1:12" x14ac:dyDescent="0.3">
      <c r="A9012" t="s">
        <v>9018</v>
      </c>
      <c r="B9012" t="s">
        <v>10012</v>
      </c>
      <c r="C9012">
        <v>1</v>
      </c>
      <c r="D9012">
        <v>4</v>
      </c>
      <c r="E9012">
        <v>4</v>
      </c>
      <c r="F9012" t="s">
        <v>10069</v>
      </c>
      <c r="G9012" t="s">
        <v>10102</v>
      </c>
      <c r="H9012" s="6">
        <v>45289</v>
      </c>
      <c r="I9012">
        <f t="shared" si="280"/>
        <v>0</v>
      </c>
      <c r="J9012" t="str">
        <f t="shared" si="281"/>
        <v>Complete</v>
      </c>
      <c r="K9012">
        <f>COUNTIFS(RawData[Item], B9012,RawData[Quantity],C9012,RawData[Price Per Unit],D9012,RawData[Total Spent],E9012,RawData[Payment Method],F9012,RawData[Location],G9012,RawData[Transaction Date],H9012)</f>
        <v>1</v>
      </c>
      <c r="L9012"/>
    </row>
    <row r="9013" spans="1:12" x14ac:dyDescent="0.3">
      <c r="A9013" t="s">
        <v>9019</v>
      </c>
      <c r="B9013" t="s">
        <v>10069</v>
      </c>
      <c r="C9013" t="s">
        <v>10015</v>
      </c>
      <c r="D9013">
        <v>4</v>
      </c>
      <c r="E9013">
        <v>12</v>
      </c>
      <c r="F9013" t="s">
        <v>10069</v>
      </c>
      <c r="G9013" t="s">
        <v>10021</v>
      </c>
      <c r="H9013" s="6">
        <v>45035</v>
      </c>
      <c r="I9013">
        <f t="shared" si="280"/>
        <v>1</v>
      </c>
      <c r="J9013" t="str">
        <f t="shared" si="281"/>
        <v>Complete</v>
      </c>
      <c r="K9013">
        <f>COUNTIFS(RawData[Item], B9013,RawData[Quantity],C9013,RawData[Price Per Unit],D9013,RawData[Total Spent],E9013,RawData[Payment Method],F9013,RawData[Location],G9013,RawData[Transaction Date],H9013)</f>
        <v>1</v>
      </c>
      <c r="L9013"/>
    </row>
    <row r="9014" spans="1:12" x14ac:dyDescent="0.3">
      <c r="A9014" t="s">
        <v>9020</v>
      </c>
      <c r="B9014" t="s">
        <v>10010</v>
      </c>
      <c r="C9014">
        <v>1</v>
      </c>
      <c r="D9014">
        <v>1</v>
      </c>
      <c r="E9014" t="s">
        <v>10015</v>
      </c>
      <c r="F9014" t="s">
        <v>10020</v>
      </c>
      <c r="G9014" t="s">
        <v>10021</v>
      </c>
      <c r="H9014" s="6">
        <v>45133</v>
      </c>
      <c r="I9014">
        <f t="shared" si="280"/>
        <v>1</v>
      </c>
      <c r="J9014" t="str">
        <f t="shared" si="281"/>
        <v>Complete</v>
      </c>
      <c r="K9014">
        <f>COUNTIFS(RawData[Item], B9014,RawData[Quantity],C9014,RawData[Price Per Unit],D9014,RawData[Total Spent],E9014,RawData[Payment Method],F9014,RawData[Location],G9014,RawData[Transaction Date],H9014)</f>
        <v>1</v>
      </c>
      <c r="L9014"/>
    </row>
    <row r="9015" spans="1:12" x14ac:dyDescent="0.3">
      <c r="A9015" t="s">
        <v>9021</v>
      </c>
      <c r="B9015" t="s">
        <v>10012</v>
      </c>
      <c r="C9015">
        <v>1</v>
      </c>
      <c r="D9015">
        <v>4</v>
      </c>
      <c r="E9015">
        <v>4</v>
      </c>
      <c r="F9015" t="s">
        <v>10020</v>
      </c>
      <c r="G9015" t="s">
        <v>10021</v>
      </c>
      <c r="H9015" s="6">
        <v>45063</v>
      </c>
      <c r="I9015">
        <f t="shared" si="280"/>
        <v>0</v>
      </c>
      <c r="J9015" t="str">
        <f t="shared" si="281"/>
        <v>Complete</v>
      </c>
      <c r="K9015">
        <f>COUNTIFS(RawData[Item], B9015,RawData[Quantity],C9015,RawData[Price Per Unit],D9015,RawData[Total Spent],E9015,RawData[Payment Method],F9015,RawData[Location],G9015,RawData[Transaction Date],H9015)</f>
        <v>1</v>
      </c>
      <c r="L9015"/>
    </row>
    <row r="9016" spans="1:12" x14ac:dyDescent="0.3">
      <c r="A9016" t="s">
        <v>9022</v>
      </c>
      <c r="B9016" t="s">
        <v>10069</v>
      </c>
      <c r="C9016">
        <v>5</v>
      </c>
      <c r="D9016">
        <v>4</v>
      </c>
      <c r="E9016">
        <v>20</v>
      </c>
      <c r="F9016" t="s">
        <v>10069</v>
      </c>
      <c r="G9016" t="s">
        <v>10069</v>
      </c>
      <c r="H9016" s="6">
        <v>45100</v>
      </c>
      <c r="I9016">
        <f t="shared" si="280"/>
        <v>0</v>
      </c>
      <c r="J9016" t="str">
        <f t="shared" si="281"/>
        <v>Complete</v>
      </c>
      <c r="K9016">
        <f>COUNTIFS(RawData[Item], B9016,RawData[Quantity],C9016,RawData[Price Per Unit],D9016,RawData[Total Spent],E9016,RawData[Payment Method],F9016,RawData[Location],G9016,RawData[Transaction Date],H9016)</f>
        <v>1</v>
      </c>
      <c r="L9016"/>
    </row>
    <row r="9017" spans="1:12" x14ac:dyDescent="0.3">
      <c r="A9017" t="s">
        <v>9023</v>
      </c>
      <c r="B9017" t="s">
        <v>10009</v>
      </c>
      <c r="C9017">
        <v>3</v>
      </c>
      <c r="D9017">
        <v>3</v>
      </c>
      <c r="E9017">
        <v>9</v>
      </c>
      <c r="F9017" t="s">
        <v>10019</v>
      </c>
      <c r="G9017" t="s">
        <v>10021</v>
      </c>
      <c r="H9017" s="6">
        <v>45225</v>
      </c>
      <c r="I9017">
        <f t="shared" si="280"/>
        <v>0</v>
      </c>
      <c r="J9017" t="str">
        <f t="shared" si="281"/>
        <v>Complete</v>
      </c>
      <c r="K9017">
        <f>COUNTIFS(RawData[Item], B9017,RawData[Quantity],C9017,RawData[Price Per Unit],D9017,RawData[Total Spent],E9017,RawData[Payment Method],F9017,RawData[Location],G9017,RawData[Transaction Date],H9017)</f>
        <v>1</v>
      </c>
      <c r="L9017"/>
    </row>
    <row r="9018" spans="1:12" x14ac:dyDescent="0.3">
      <c r="A9018" t="s">
        <v>9024</v>
      </c>
      <c r="B9018" t="s">
        <v>10011</v>
      </c>
      <c r="C9018">
        <v>3</v>
      </c>
      <c r="D9018">
        <v>5</v>
      </c>
      <c r="E9018">
        <v>15</v>
      </c>
      <c r="F9018" t="s">
        <v>10018</v>
      </c>
      <c r="G9018" t="s">
        <v>10069</v>
      </c>
      <c r="H9018" s="6">
        <v>45011</v>
      </c>
      <c r="I9018">
        <f t="shared" si="280"/>
        <v>0</v>
      </c>
      <c r="J9018" t="str">
        <f t="shared" si="281"/>
        <v>Complete</v>
      </c>
      <c r="K9018">
        <f>COUNTIFS(RawData[Item], B9018,RawData[Quantity],C9018,RawData[Price Per Unit],D9018,RawData[Total Spent],E9018,RawData[Payment Method],F9018,RawData[Location],G9018,RawData[Transaction Date],H9018)</f>
        <v>1</v>
      </c>
      <c r="L9018"/>
    </row>
    <row r="9019" spans="1:12" x14ac:dyDescent="0.3">
      <c r="A9019" t="s">
        <v>9025</v>
      </c>
      <c r="B9019" t="s">
        <v>10017</v>
      </c>
      <c r="C9019">
        <v>2</v>
      </c>
      <c r="D9019">
        <v>1.5</v>
      </c>
      <c r="E9019">
        <v>3</v>
      </c>
      <c r="F9019" t="s">
        <v>10019</v>
      </c>
      <c r="G9019" t="s">
        <v>10069</v>
      </c>
      <c r="H9019" s="6">
        <v>45002</v>
      </c>
      <c r="I9019">
        <f t="shared" si="280"/>
        <v>0</v>
      </c>
      <c r="J9019" t="str">
        <f t="shared" si="281"/>
        <v>Complete</v>
      </c>
      <c r="K9019">
        <f>COUNTIFS(RawData[Item], B9019,RawData[Quantity],C9019,RawData[Price Per Unit],D9019,RawData[Total Spent],E9019,RawData[Payment Method],F9019,RawData[Location],G9019,RawData[Transaction Date],H9019)</f>
        <v>1</v>
      </c>
      <c r="L9019"/>
    </row>
    <row r="9020" spans="1:12" x14ac:dyDescent="0.3">
      <c r="A9020" t="s">
        <v>9026</v>
      </c>
      <c r="B9020" t="s">
        <v>10012</v>
      </c>
      <c r="C9020">
        <v>5</v>
      </c>
      <c r="D9020" t="s">
        <v>10015</v>
      </c>
      <c r="E9020">
        <v>20</v>
      </c>
      <c r="F9020" t="s">
        <v>10069</v>
      </c>
      <c r="G9020" t="s">
        <v>10069</v>
      </c>
      <c r="H9020" s="6">
        <v>45248</v>
      </c>
      <c r="I9020">
        <f t="shared" si="280"/>
        <v>1</v>
      </c>
      <c r="J9020" t="str">
        <f t="shared" si="281"/>
        <v>Complete</v>
      </c>
      <c r="K9020">
        <f>COUNTIFS(RawData[Item], B9020,RawData[Quantity],C9020,RawData[Price Per Unit],D9020,RawData[Total Spent],E9020,RawData[Payment Method],F9020,RawData[Location],G9020,RawData[Transaction Date],H9020)</f>
        <v>1</v>
      </c>
      <c r="L9020"/>
    </row>
    <row r="9021" spans="1:12" x14ac:dyDescent="0.3">
      <c r="A9021" t="s">
        <v>9027</v>
      </c>
      <c r="B9021" t="s">
        <v>10014</v>
      </c>
      <c r="C9021">
        <v>1</v>
      </c>
      <c r="D9021">
        <v>4</v>
      </c>
      <c r="E9021">
        <v>4</v>
      </c>
      <c r="F9021" t="s">
        <v>10019</v>
      </c>
      <c r="G9021" t="s">
        <v>10069</v>
      </c>
      <c r="H9021" s="6">
        <v>45130</v>
      </c>
      <c r="I9021">
        <f t="shared" si="280"/>
        <v>0</v>
      </c>
      <c r="J9021" t="str">
        <f t="shared" si="281"/>
        <v>Complete</v>
      </c>
      <c r="K9021">
        <f>COUNTIFS(RawData[Item], B9021,RawData[Quantity],C9021,RawData[Price Per Unit],D9021,RawData[Total Spent],E9021,RawData[Payment Method],F9021,RawData[Location],G9021,RawData[Transaction Date],H9021)</f>
        <v>1</v>
      </c>
      <c r="L9021"/>
    </row>
    <row r="9022" spans="1:12" x14ac:dyDescent="0.3">
      <c r="A9022" t="s">
        <v>9028</v>
      </c>
      <c r="B9022" t="s">
        <v>10009</v>
      </c>
      <c r="C9022">
        <v>2</v>
      </c>
      <c r="D9022">
        <v>3</v>
      </c>
      <c r="E9022">
        <v>6</v>
      </c>
      <c r="F9022" t="s">
        <v>10018</v>
      </c>
      <c r="G9022" t="s">
        <v>10103</v>
      </c>
      <c r="H9022" s="6">
        <v>45265</v>
      </c>
      <c r="I9022">
        <f t="shared" si="280"/>
        <v>1</v>
      </c>
      <c r="J9022" t="str">
        <f t="shared" si="281"/>
        <v>Complete</v>
      </c>
      <c r="K9022">
        <f>COUNTIFS(RawData[Item], B9022,RawData[Quantity],C9022,RawData[Price Per Unit],D9022,RawData[Total Spent],E9022,RawData[Payment Method],F9022,RawData[Location],G9022,RawData[Transaction Date],H9022)</f>
        <v>1</v>
      </c>
      <c r="L9022"/>
    </row>
    <row r="9023" spans="1:12" x14ac:dyDescent="0.3">
      <c r="A9023" t="s">
        <v>9029</v>
      </c>
      <c r="B9023" t="s">
        <v>10011</v>
      </c>
      <c r="C9023">
        <v>5</v>
      </c>
      <c r="D9023">
        <v>5</v>
      </c>
      <c r="E9023">
        <v>25</v>
      </c>
      <c r="F9023" t="s">
        <v>10069</v>
      </c>
      <c r="G9023" t="s">
        <v>10021</v>
      </c>
      <c r="H9023" s="6">
        <v>45064</v>
      </c>
      <c r="I9023">
        <f t="shared" si="280"/>
        <v>0</v>
      </c>
      <c r="J9023" t="str">
        <f t="shared" si="281"/>
        <v>Complete</v>
      </c>
      <c r="K9023">
        <f>COUNTIFS(RawData[Item], B9023,RawData[Quantity],C9023,RawData[Price Per Unit],D9023,RawData[Total Spent],E9023,RawData[Payment Method],F9023,RawData[Location],G9023,RawData[Transaction Date],H9023)</f>
        <v>1</v>
      </c>
      <c r="L9023"/>
    </row>
    <row r="9024" spans="1:12" x14ac:dyDescent="0.3">
      <c r="A9024" t="s">
        <v>9030</v>
      </c>
      <c r="B9024" t="s">
        <v>10016</v>
      </c>
      <c r="C9024">
        <v>1</v>
      </c>
      <c r="D9024">
        <v>3</v>
      </c>
      <c r="E9024">
        <v>3</v>
      </c>
      <c r="F9024" t="s">
        <v>10020</v>
      </c>
      <c r="G9024" t="s">
        <v>10021</v>
      </c>
      <c r="H9024" s="6">
        <v>45216</v>
      </c>
      <c r="I9024">
        <f t="shared" si="280"/>
        <v>0</v>
      </c>
      <c r="J9024" t="str">
        <f t="shared" si="281"/>
        <v>Complete</v>
      </c>
      <c r="K9024">
        <f>COUNTIFS(RawData[Item], B9024,RawData[Quantity],C9024,RawData[Price Per Unit],D9024,RawData[Total Spent],E9024,RawData[Payment Method],F9024,RawData[Location],G9024,RawData[Transaction Date],H9024)</f>
        <v>1</v>
      </c>
      <c r="L9024"/>
    </row>
    <row r="9025" spans="1:12" x14ac:dyDescent="0.3">
      <c r="A9025" t="s">
        <v>9031</v>
      </c>
      <c r="B9025" t="s">
        <v>10009</v>
      </c>
      <c r="C9025">
        <v>3</v>
      </c>
      <c r="D9025">
        <v>3</v>
      </c>
      <c r="E9025">
        <v>9</v>
      </c>
      <c r="F9025" t="s">
        <v>10020</v>
      </c>
      <c r="G9025" t="s">
        <v>10069</v>
      </c>
      <c r="H9025" s="6">
        <v>45021</v>
      </c>
      <c r="I9025">
        <f t="shared" si="280"/>
        <v>0</v>
      </c>
      <c r="J9025" t="str">
        <f t="shared" si="281"/>
        <v>Complete</v>
      </c>
      <c r="K9025">
        <f>COUNTIFS(RawData[Item], B9025,RawData[Quantity],C9025,RawData[Price Per Unit],D9025,RawData[Total Spent],E9025,RawData[Payment Method],F9025,RawData[Location],G9025,RawData[Transaction Date],H9025)</f>
        <v>1</v>
      </c>
      <c r="L9025"/>
    </row>
    <row r="9026" spans="1:12" x14ac:dyDescent="0.3">
      <c r="A9026" t="s">
        <v>9032</v>
      </c>
      <c r="B9026" t="s">
        <v>10069</v>
      </c>
      <c r="C9026">
        <v>3</v>
      </c>
      <c r="D9026">
        <v>1.5</v>
      </c>
      <c r="E9026">
        <v>4.5</v>
      </c>
      <c r="F9026" t="s">
        <v>10104</v>
      </c>
      <c r="G9026" t="s">
        <v>10021</v>
      </c>
      <c r="H9026" s="6">
        <v>45224</v>
      </c>
      <c r="I9026">
        <f t="shared" ref="I9026:I9089" si="282">(B9026="Unknown")+(B9026="Error")+(C9026="Unknown")+(C9026="Error")+(D9026="Unknown")+(D9026="Error")+(E9026="Unknown")+(E9026="Error")+(F9026="Unknown")+(F9026="Error")+(G9026="Unknown")+(G9026="Error")+(H9026="No Date")</f>
        <v>1</v>
      </c>
      <c r="J9026" t="str">
        <f t="shared" ref="J9026:J9089" si="283">IF((H9026="No Date"),"Incomplete","Complete")</f>
        <v>Complete</v>
      </c>
      <c r="K9026">
        <f>COUNTIFS(RawData[Item], B9026,RawData[Quantity],C9026,RawData[Price Per Unit],D9026,RawData[Total Spent],E9026,RawData[Payment Method],F9026,RawData[Location],G9026,RawData[Transaction Date],H9026)</f>
        <v>1</v>
      </c>
      <c r="L9026"/>
    </row>
    <row r="9027" spans="1:12" x14ac:dyDescent="0.3">
      <c r="A9027" t="s">
        <v>9033</v>
      </c>
      <c r="B9027" t="s">
        <v>10008</v>
      </c>
      <c r="C9027">
        <v>4</v>
      </c>
      <c r="D9027">
        <v>0</v>
      </c>
      <c r="E9027">
        <v>8</v>
      </c>
      <c r="F9027" t="s">
        <v>10019</v>
      </c>
      <c r="G9027" t="s">
        <v>10102</v>
      </c>
      <c r="H9027" s="6">
        <v>45229</v>
      </c>
      <c r="I9027">
        <f t="shared" si="282"/>
        <v>0</v>
      </c>
      <c r="J9027" t="str">
        <f t="shared" si="283"/>
        <v>Complete</v>
      </c>
      <c r="K9027">
        <f>COUNTIFS(RawData[Item], B9027,RawData[Quantity],C9027,RawData[Price Per Unit],D9027,RawData[Total Spent],E9027,RawData[Payment Method],F9027,RawData[Location],G9027,RawData[Transaction Date],H9027)</f>
        <v>1</v>
      </c>
      <c r="L9027"/>
    </row>
    <row r="9028" spans="1:12" x14ac:dyDescent="0.3">
      <c r="A9028" t="s">
        <v>9034</v>
      </c>
      <c r="B9028" t="s">
        <v>10009</v>
      </c>
      <c r="C9028">
        <v>3</v>
      </c>
      <c r="D9028">
        <v>3</v>
      </c>
      <c r="E9028">
        <v>9</v>
      </c>
      <c r="F9028" t="s">
        <v>10018</v>
      </c>
      <c r="G9028" t="s">
        <v>10103</v>
      </c>
      <c r="H9028" s="6">
        <v>45147</v>
      </c>
      <c r="I9028">
        <f t="shared" si="282"/>
        <v>1</v>
      </c>
      <c r="J9028" t="str">
        <f t="shared" si="283"/>
        <v>Complete</v>
      </c>
      <c r="K9028">
        <f>COUNTIFS(RawData[Item], B9028,RawData[Quantity],C9028,RawData[Price Per Unit],D9028,RawData[Total Spent],E9028,RawData[Payment Method],F9028,RawData[Location],G9028,RawData[Transaction Date],H9028)</f>
        <v>1</v>
      </c>
      <c r="L9028"/>
    </row>
    <row r="9029" spans="1:12" x14ac:dyDescent="0.3">
      <c r="A9029" t="s">
        <v>9035</v>
      </c>
      <c r="B9029" t="s">
        <v>10017</v>
      </c>
      <c r="C9029">
        <v>3</v>
      </c>
      <c r="D9029">
        <v>1.5</v>
      </c>
      <c r="E9029">
        <v>4.5</v>
      </c>
      <c r="F9029" t="s">
        <v>10018</v>
      </c>
      <c r="G9029" t="s">
        <v>10069</v>
      </c>
      <c r="H9029" s="6">
        <v>45216</v>
      </c>
      <c r="I9029">
        <f t="shared" si="282"/>
        <v>0</v>
      </c>
      <c r="J9029" t="str">
        <f t="shared" si="283"/>
        <v>Complete</v>
      </c>
      <c r="K9029">
        <f>COUNTIFS(RawData[Item], B9029,RawData[Quantity],C9029,RawData[Price Per Unit],D9029,RawData[Total Spent],E9029,RawData[Payment Method],F9029,RawData[Location],G9029,RawData[Transaction Date],H9029)</f>
        <v>1</v>
      </c>
      <c r="L9029"/>
    </row>
    <row r="9030" spans="1:12" x14ac:dyDescent="0.3">
      <c r="A9030" t="s">
        <v>9036</v>
      </c>
      <c r="B9030" t="s">
        <v>10017</v>
      </c>
      <c r="C9030">
        <v>2</v>
      </c>
      <c r="D9030">
        <v>1.5</v>
      </c>
      <c r="E9030">
        <v>3</v>
      </c>
      <c r="F9030" t="s">
        <v>10018</v>
      </c>
      <c r="G9030" t="s">
        <v>10069</v>
      </c>
      <c r="H9030" s="6">
        <v>45030</v>
      </c>
      <c r="I9030">
        <f t="shared" si="282"/>
        <v>0</v>
      </c>
      <c r="J9030" t="str">
        <f t="shared" si="283"/>
        <v>Complete</v>
      </c>
      <c r="K9030">
        <f>COUNTIFS(RawData[Item], B9030,RawData[Quantity],C9030,RawData[Price Per Unit],D9030,RawData[Total Spent],E9030,RawData[Payment Method],F9030,RawData[Location],G9030,RawData[Transaction Date],H9030)</f>
        <v>1</v>
      </c>
      <c r="L9030"/>
    </row>
    <row r="9031" spans="1:12" x14ac:dyDescent="0.3">
      <c r="A9031" t="s">
        <v>9037</v>
      </c>
      <c r="B9031" t="s">
        <v>10014</v>
      </c>
      <c r="C9031" t="s">
        <v>10015</v>
      </c>
      <c r="D9031">
        <v>4</v>
      </c>
      <c r="E9031">
        <v>4</v>
      </c>
      <c r="F9031" t="s">
        <v>10018</v>
      </c>
      <c r="G9031" t="s">
        <v>10021</v>
      </c>
      <c r="H9031" s="6">
        <v>45288</v>
      </c>
      <c r="I9031">
        <f t="shared" si="282"/>
        <v>1</v>
      </c>
      <c r="J9031" t="str">
        <f t="shared" si="283"/>
        <v>Complete</v>
      </c>
      <c r="K9031">
        <f>COUNTIFS(RawData[Item], B9031,RawData[Quantity],C9031,RawData[Price Per Unit],D9031,RawData[Total Spent],E9031,RawData[Payment Method],F9031,RawData[Location],G9031,RawData[Transaction Date],H9031)</f>
        <v>1</v>
      </c>
      <c r="L9031"/>
    </row>
    <row r="9032" spans="1:12" x14ac:dyDescent="0.3">
      <c r="A9032" t="s">
        <v>9038</v>
      </c>
      <c r="B9032" t="s">
        <v>10012</v>
      </c>
      <c r="C9032">
        <v>2</v>
      </c>
      <c r="D9032" t="s">
        <v>10015</v>
      </c>
      <c r="E9032">
        <v>8</v>
      </c>
      <c r="F9032" t="s">
        <v>10020</v>
      </c>
      <c r="G9032" t="s">
        <v>10102</v>
      </c>
      <c r="H9032" s="6">
        <v>45206</v>
      </c>
      <c r="I9032">
        <f t="shared" si="282"/>
        <v>1</v>
      </c>
      <c r="J9032" t="str">
        <f t="shared" si="283"/>
        <v>Complete</v>
      </c>
      <c r="K9032">
        <f>COUNTIFS(RawData[Item], B9032,RawData[Quantity],C9032,RawData[Price Per Unit],D9032,RawData[Total Spent],E9032,RawData[Payment Method],F9032,RawData[Location],G9032,RawData[Transaction Date],H9032)</f>
        <v>1</v>
      </c>
      <c r="L9032"/>
    </row>
    <row r="9033" spans="1:12" x14ac:dyDescent="0.3">
      <c r="A9033" t="s">
        <v>9039</v>
      </c>
      <c r="B9033" t="s">
        <v>10012</v>
      </c>
      <c r="C9033">
        <v>2</v>
      </c>
      <c r="D9033">
        <v>4</v>
      </c>
      <c r="E9033">
        <v>8</v>
      </c>
      <c r="F9033" t="s">
        <v>10069</v>
      </c>
      <c r="G9033" t="s">
        <v>10021</v>
      </c>
      <c r="H9033" s="6">
        <v>45195</v>
      </c>
      <c r="I9033">
        <f t="shared" si="282"/>
        <v>0</v>
      </c>
      <c r="J9033" t="str">
        <f t="shared" si="283"/>
        <v>Complete</v>
      </c>
      <c r="K9033">
        <f>COUNTIFS(RawData[Item], B9033,RawData[Quantity],C9033,RawData[Price Per Unit],D9033,RawData[Total Spent],E9033,RawData[Payment Method],F9033,RawData[Location],G9033,RawData[Transaction Date],H9033)</f>
        <v>1</v>
      </c>
      <c r="L9033"/>
    </row>
    <row r="9034" spans="1:12" x14ac:dyDescent="0.3">
      <c r="A9034" t="s">
        <v>9040</v>
      </c>
      <c r="B9034" t="s">
        <v>10016</v>
      </c>
      <c r="C9034">
        <v>2</v>
      </c>
      <c r="D9034">
        <v>3</v>
      </c>
      <c r="E9034">
        <v>6</v>
      </c>
      <c r="F9034" t="s">
        <v>10069</v>
      </c>
      <c r="G9034" t="s">
        <v>10069</v>
      </c>
      <c r="H9034" s="6">
        <v>45052</v>
      </c>
      <c r="I9034">
        <f t="shared" si="282"/>
        <v>0</v>
      </c>
      <c r="J9034" t="str">
        <f t="shared" si="283"/>
        <v>Complete</v>
      </c>
      <c r="K9034">
        <f>COUNTIFS(RawData[Item], B9034,RawData[Quantity],C9034,RawData[Price Per Unit],D9034,RawData[Total Spent],E9034,RawData[Payment Method],F9034,RawData[Location],G9034,RawData[Transaction Date],H9034)</f>
        <v>1</v>
      </c>
      <c r="L9034"/>
    </row>
    <row r="9035" spans="1:12" x14ac:dyDescent="0.3">
      <c r="A9035" t="s">
        <v>9041</v>
      </c>
      <c r="B9035" t="s">
        <v>10008</v>
      </c>
      <c r="C9035">
        <v>5</v>
      </c>
      <c r="D9035">
        <v>2</v>
      </c>
      <c r="E9035">
        <v>10</v>
      </c>
      <c r="F9035" t="s">
        <v>10019</v>
      </c>
      <c r="G9035" t="s">
        <v>10021</v>
      </c>
      <c r="H9035" s="6">
        <v>44949</v>
      </c>
      <c r="I9035">
        <f t="shared" si="282"/>
        <v>0</v>
      </c>
      <c r="J9035" t="str">
        <f t="shared" si="283"/>
        <v>Complete</v>
      </c>
      <c r="K9035">
        <f>COUNTIFS(RawData[Item], B9035,RawData[Quantity],C9035,RawData[Price Per Unit],D9035,RawData[Total Spent],E9035,RawData[Payment Method],F9035,RawData[Location],G9035,RawData[Transaction Date],H9035)</f>
        <v>1</v>
      </c>
      <c r="L9035"/>
    </row>
    <row r="9036" spans="1:12" x14ac:dyDescent="0.3">
      <c r="A9036" t="s">
        <v>9042</v>
      </c>
      <c r="B9036" t="s">
        <v>10008</v>
      </c>
      <c r="C9036">
        <v>2</v>
      </c>
      <c r="D9036">
        <v>2</v>
      </c>
      <c r="E9036">
        <v>4</v>
      </c>
      <c r="F9036" t="s">
        <v>10018</v>
      </c>
      <c r="G9036" t="s">
        <v>10069</v>
      </c>
      <c r="H9036" s="6">
        <v>45052</v>
      </c>
      <c r="I9036">
        <f t="shared" si="282"/>
        <v>0</v>
      </c>
      <c r="J9036" t="str">
        <f t="shared" si="283"/>
        <v>Complete</v>
      </c>
      <c r="K9036">
        <f>COUNTIFS(RawData[Item], B9036,RawData[Quantity],C9036,RawData[Price Per Unit],D9036,RawData[Total Spent],E9036,RawData[Payment Method],F9036,RawData[Location],G9036,RawData[Transaction Date],H9036)</f>
        <v>1</v>
      </c>
      <c r="L9036"/>
    </row>
    <row r="9037" spans="1:12" x14ac:dyDescent="0.3">
      <c r="A9037" t="s">
        <v>9043</v>
      </c>
      <c r="B9037" t="s">
        <v>10009</v>
      </c>
      <c r="C9037">
        <v>5</v>
      </c>
      <c r="D9037">
        <v>3</v>
      </c>
      <c r="E9037">
        <v>15</v>
      </c>
      <c r="F9037" t="s">
        <v>10019</v>
      </c>
      <c r="G9037" t="s">
        <v>10102</v>
      </c>
      <c r="H9037" s="6">
        <v>45278</v>
      </c>
      <c r="I9037">
        <f t="shared" si="282"/>
        <v>0</v>
      </c>
      <c r="J9037" t="str">
        <f t="shared" si="283"/>
        <v>Complete</v>
      </c>
      <c r="K9037">
        <f>COUNTIFS(RawData[Item], B9037,RawData[Quantity],C9037,RawData[Price Per Unit],D9037,RawData[Total Spent],E9037,RawData[Payment Method],F9037,RawData[Location],G9037,RawData[Transaction Date],H9037)</f>
        <v>1</v>
      </c>
      <c r="L9037"/>
    </row>
    <row r="9038" spans="1:12" x14ac:dyDescent="0.3">
      <c r="A9038" t="s">
        <v>9044</v>
      </c>
      <c r="B9038" t="s">
        <v>10017</v>
      </c>
      <c r="C9038">
        <v>4</v>
      </c>
      <c r="D9038">
        <v>1.5</v>
      </c>
      <c r="E9038">
        <v>6</v>
      </c>
      <c r="F9038" t="s">
        <v>10018</v>
      </c>
      <c r="G9038" t="s">
        <v>10069</v>
      </c>
      <c r="H9038" s="6">
        <v>45261</v>
      </c>
      <c r="I9038">
        <f t="shared" si="282"/>
        <v>0</v>
      </c>
      <c r="J9038" t="str">
        <f t="shared" si="283"/>
        <v>Complete</v>
      </c>
      <c r="K9038">
        <f>COUNTIFS(RawData[Item], B9038,RawData[Quantity],C9038,RawData[Price Per Unit],D9038,RawData[Total Spent],E9038,RawData[Payment Method],F9038,RawData[Location],G9038,RawData[Transaction Date],H9038)</f>
        <v>1</v>
      </c>
      <c r="L9038"/>
    </row>
    <row r="9039" spans="1:12" x14ac:dyDescent="0.3">
      <c r="A9039" t="s">
        <v>9045</v>
      </c>
      <c r="B9039" t="s">
        <v>10009</v>
      </c>
      <c r="C9039">
        <v>5</v>
      </c>
      <c r="D9039">
        <v>3</v>
      </c>
      <c r="E9039" t="s">
        <v>10013</v>
      </c>
      <c r="F9039" t="s">
        <v>10018</v>
      </c>
      <c r="G9039" t="s">
        <v>10021</v>
      </c>
      <c r="H9039" s="6">
        <v>44929</v>
      </c>
      <c r="I9039">
        <f t="shared" si="282"/>
        <v>1</v>
      </c>
      <c r="J9039" t="str">
        <f t="shared" si="283"/>
        <v>Complete</v>
      </c>
      <c r="K9039">
        <f>COUNTIFS(RawData[Item], B9039,RawData[Quantity],C9039,RawData[Price Per Unit],D9039,RawData[Total Spent],E9039,RawData[Payment Method],F9039,RawData[Location],G9039,RawData[Transaction Date],H9039)</f>
        <v>1</v>
      </c>
      <c r="L9039"/>
    </row>
    <row r="9040" spans="1:12" x14ac:dyDescent="0.3">
      <c r="A9040" t="s">
        <v>9046</v>
      </c>
      <c r="B9040" t="s">
        <v>10009</v>
      </c>
      <c r="C9040">
        <v>2</v>
      </c>
      <c r="D9040">
        <v>3</v>
      </c>
      <c r="E9040">
        <v>6</v>
      </c>
      <c r="F9040" t="s">
        <v>10019</v>
      </c>
      <c r="G9040" t="s">
        <v>10021</v>
      </c>
      <c r="H9040" s="6">
        <v>45195</v>
      </c>
      <c r="I9040">
        <f t="shared" si="282"/>
        <v>0</v>
      </c>
      <c r="J9040" t="str">
        <f t="shared" si="283"/>
        <v>Complete</v>
      </c>
      <c r="K9040">
        <f>COUNTIFS(RawData[Item], B9040,RawData[Quantity],C9040,RawData[Price Per Unit],D9040,RawData[Total Spent],E9040,RawData[Payment Method],F9040,RawData[Location],G9040,RawData[Transaction Date],H9040)</f>
        <v>1</v>
      </c>
      <c r="L9040"/>
    </row>
    <row r="9041" spans="1:12" x14ac:dyDescent="0.3">
      <c r="A9041" t="s">
        <v>9047</v>
      </c>
      <c r="B9041" t="s">
        <v>10017</v>
      </c>
      <c r="C9041">
        <v>4</v>
      </c>
      <c r="D9041">
        <v>1.5</v>
      </c>
      <c r="E9041">
        <v>6</v>
      </c>
      <c r="F9041" t="s">
        <v>10020</v>
      </c>
      <c r="G9041" t="s">
        <v>10021</v>
      </c>
      <c r="H9041" s="6">
        <v>45199</v>
      </c>
      <c r="I9041">
        <f t="shared" si="282"/>
        <v>0</v>
      </c>
      <c r="J9041" t="str">
        <f t="shared" si="283"/>
        <v>Complete</v>
      </c>
      <c r="K9041">
        <f>COUNTIFS(RawData[Item], B9041,RawData[Quantity],C9041,RawData[Price Per Unit],D9041,RawData[Total Spent],E9041,RawData[Payment Method],F9041,RawData[Location],G9041,RawData[Transaction Date],H9041)</f>
        <v>1</v>
      </c>
      <c r="L9041"/>
    </row>
    <row r="9042" spans="1:12" x14ac:dyDescent="0.3">
      <c r="A9042" t="s">
        <v>9048</v>
      </c>
      <c r="B9042" t="s">
        <v>10016</v>
      </c>
      <c r="C9042">
        <v>1</v>
      </c>
      <c r="D9042">
        <v>3</v>
      </c>
      <c r="E9042">
        <v>3</v>
      </c>
      <c r="F9042" t="s">
        <v>10018</v>
      </c>
      <c r="G9042" t="s">
        <v>10102</v>
      </c>
      <c r="H9042" s="6">
        <v>45102</v>
      </c>
      <c r="I9042">
        <f t="shared" si="282"/>
        <v>0</v>
      </c>
      <c r="J9042" t="str">
        <f t="shared" si="283"/>
        <v>Complete</v>
      </c>
      <c r="K9042">
        <f>COUNTIFS(RawData[Item], B9042,RawData[Quantity],C9042,RawData[Price Per Unit],D9042,RawData[Total Spent],E9042,RawData[Payment Method],F9042,RawData[Location],G9042,RawData[Transaction Date],H9042)</f>
        <v>1</v>
      </c>
      <c r="L9042"/>
    </row>
    <row r="9043" spans="1:12" x14ac:dyDescent="0.3">
      <c r="A9043" t="s">
        <v>9049</v>
      </c>
      <c r="B9043" t="s">
        <v>10012</v>
      </c>
      <c r="C9043">
        <v>5</v>
      </c>
      <c r="D9043">
        <v>4</v>
      </c>
      <c r="E9043">
        <v>20</v>
      </c>
      <c r="F9043" t="s">
        <v>10069</v>
      </c>
      <c r="G9043" t="s">
        <v>10021</v>
      </c>
      <c r="H9043" s="6">
        <v>45284</v>
      </c>
      <c r="I9043">
        <f t="shared" si="282"/>
        <v>0</v>
      </c>
      <c r="J9043" t="str">
        <f t="shared" si="283"/>
        <v>Complete</v>
      </c>
      <c r="K9043">
        <f>COUNTIFS(RawData[Item], B9043,RawData[Quantity],C9043,RawData[Price Per Unit],D9043,RawData[Total Spent],E9043,RawData[Payment Method],F9043,RawData[Location],G9043,RawData[Transaction Date],H9043)</f>
        <v>1</v>
      </c>
      <c r="L9043"/>
    </row>
    <row r="9044" spans="1:12" x14ac:dyDescent="0.3">
      <c r="A9044" t="s">
        <v>9050</v>
      </c>
      <c r="B9044" t="s">
        <v>10012</v>
      </c>
      <c r="C9044">
        <v>4</v>
      </c>
      <c r="D9044">
        <v>4</v>
      </c>
      <c r="E9044">
        <v>16</v>
      </c>
      <c r="F9044" t="s">
        <v>10069</v>
      </c>
      <c r="G9044" t="s">
        <v>10021</v>
      </c>
      <c r="H9044" s="6">
        <v>45135</v>
      </c>
      <c r="I9044">
        <f t="shared" si="282"/>
        <v>0</v>
      </c>
      <c r="J9044" t="str">
        <f t="shared" si="283"/>
        <v>Complete</v>
      </c>
      <c r="K9044">
        <f>COUNTIFS(RawData[Item], B9044,RawData[Quantity],C9044,RawData[Price Per Unit],D9044,RawData[Total Spent],E9044,RawData[Payment Method],F9044,RawData[Location],G9044,RawData[Transaction Date],H9044)</f>
        <v>1</v>
      </c>
      <c r="L9044"/>
    </row>
    <row r="9045" spans="1:12" x14ac:dyDescent="0.3">
      <c r="A9045" t="s">
        <v>9051</v>
      </c>
      <c r="B9045" t="s">
        <v>10010</v>
      </c>
      <c r="C9045">
        <v>1</v>
      </c>
      <c r="D9045">
        <v>1</v>
      </c>
      <c r="E9045">
        <v>1</v>
      </c>
      <c r="F9045" t="s">
        <v>10018</v>
      </c>
      <c r="G9045" t="s">
        <v>10102</v>
      </c>
      <c r="H9045" s="6">
        <v>45051</v>
      </c>
      <c r="I9045">
        <f t="shared" si="282"/>
        <v>0</v>
      </c>
      <c r="J9045" t="str">
        <f t="shared" si="283"/>
        <v>Complete</v>
      </c>
      <c r="K9045">
        <f>COUNTIFS(RawData[Item], B9045,RawData[Quantity],C9045,RawData[Price Per Unit],D9045,RawData[Total Spent],E9045,RawData[Payment Method],F9045,RawData[Location],G9045,RawData[Transaction Date],H9045)</f>
        <v>1</v>
      </c>
      <c r="L9045"/>
    </row>
    <row r="9046" spans="1:12" x14ac:dyDescent="0.3">
      <c r="A9046" t="s">
        <v>9052</v>
      </c>
      <c r="B9046" t="s">
        <v>10009</v>
      </c>
      <c r="C9046">
        <v>3</v>
      </c>
      <c r="D9046">
        <v>3</v>
      </c>
      <c r="E9046">
        <v>9</v>
      </c>
      <c r="F9046" t="s">
        <v>10069</v>
      </c>
      <c r="G9046" t="s">
        <v>10021</v>
      </c>
      <c r="H9046" s="6">
        <v>44973</v>
      </c>
      <c r="I9046">
        <f t="shared" si="282"/>
        <v>0</v>
      </c>
      <c r="J9046" t="str">
        <f t="shared" si="283"/>
        <v>Complete</v>
      </c>
      <c r="K9046">
        <f>COUNTIFS(RawData[Item], B9046,RawData[Quantity],C9046,RawData[Price Per Unit],D9046,RawData[Total Spent],E9046,RawData[Payment Method],F9046,RawData[Location],G9046,RawData[Transaction Date],H9046)</f>
        <v>1</v>
      </c>
      <c r="L9046"/>
    </row>
    <row r="9047" spans="1:12" x14ac:dyDescent="0.3">
      <c r="A9047" t="s">
        <v>9053</v>
      </c>
      <c r="B9047" t="s">
        <v>10010</v>
      </c>
      <c r="C9047">
        <v>4</v>
      </c>
      <c r="D9047">
        <v>1</v>
      </c>
      <c r="E9047">
        <v>4</v>
      </c>
      <c r="F9047" t="s">
        <v>10019</v>
      </c>
      <c r="G9047" t="s">
        <v>10069</v>
      </c>
      <c r="H9047" s="6" t="s">
        <v>10112</v>
      </c>
      <c r="I9047">
        <f t="shared" si="282"/>
        <v>1</v>
      </c>
      <c r="J9047" t="str">
        <f t="shared" si="283"/>
        <v>Incomplete</v>
      </c>
      <c r="K9047">
        <f>COUNTIFS(RawData[Item], B9047,RawData[Quantity],C9047,RawData[Price Per Unit],D9047,RawData[Total Spent],E9047,RawData[Payment Method],F9047,RawData[Location],G9047,RawData[Transaction Date],H9047)</f>
        <v>2</v>
      </c>
      <c r="L9047"/>
    </row>
    <row r="9048" spans="1:12" x14ac:dyDescent="0.3">
      <c r="A9048" t="s">
        <v>9054</v>
      </c>
      <c r="B9048" t="s">
        <v>10011</v>
      </c>
      <c r="C9048">
        <v>2</v>
      </c>
      <c r="D9048" t="s">
        <v>10013</v>
      </c>
      <c r="E9048">
        <v>10</v>
      </c>
      <c r="F9048" t="s">
        <v>10019</v>
      </c>
      <c r="G9048" t="s">
        <v>10102</v>
      </c>
      <c r="H9048" s="6">
        <v>45010</v>
      </c>
      <c r="I9048">
        <f t="shared" si="282"/>
        <v>1</v>
      </c>
      <c r="J9048" t="str">
        <f t="shared" si="283"/>
        <v>Complete</v>
      </c>
      <c r="K9048">
        <f>COUNTIFS(RawData[Item], B9048,RawData[Quantity],C9048,RawData[Price Per Unit],D9048,RawData[Total Spent],E9048,RawData[Payment Method],F9048,RawData[Location],G9048,RawData[Transaction Date],H9048)</f>
        <v>1</v>
      </c>
      <c r="L9048"/>
    </row>
    <row r="9049" spans="1:12" x14ac:dyDescent="0.3">
      <c r="A9049" t="s">
        <v>9055</v>
      </c>
      <c r="B9049" t="s">
        <v>10016</v>
      </c>
      <c r="C9049">
        <v>2</v>
      </c>
      <c r="D9049">
        <v>3</v>
      </c>
      <c r="E9049">
        <v>6</v>
      </c>
      <c r="F9049" t="s">
        <v>10020</v>
      </c>
      <c r="G9049" t="s">
        <v>10069</v>
      </c>
      <c r="H9049" s="6">
        <v>45060</v>
      </c>
      <c r="I9049">
        <f t="shared" si="282"/>
        <v>0</v>
      </c>
      <c r="J9049" t="str">
        <f t="shared" si="283"/>
        <v>Complete</v>
      </c>
      <c r="K9049">
        <f>COUNTIFS(RawData[Item], B9049,RawData[Quantity],C9049,RawData[Price Per Unit],D9049,RawData[Total Spent],E9049,RawData[Payment Method],F9049,RawData[Location],G9049,RawData[Transaction Date],H9049)</f>
        <v>1</v>
      </c>
      <c r="L9049"/>
    </row>
    <row r="9050" spans="1:12" x14ac:dyDescent="0.3">
      <c r="A9050" t="s">
        <v>9056</v>
      </c>
      <c r="B9050" t="s">
        <v>10014</v>
      </c>
      <c r="C9050">
        <v>3</v>
      </c>
      <c r="D9050">
        <v>4</v>
      </c>
      <c r="E9050">
        <v>12</v>
      </c>
      <c r="F9050" t="s">
        <v>10018</v>
      </c>
      <c r="G9050" t="s">
        <v>10069</v>
      </c>
      <c r="H9050" s="6">
        <v>45033</v>
      </c>
      <c r="I9050">
        <f t="shared" si="282"/>
        <v>0</v>
      </c>
      <c r="J9050" t="str">
        <f t="shared" si="283"/>
        <v>Complete</v>
      </c>
      <c r="K9050">
        <f>COUNTIFS(RawData[Item], B9050,RawData[Quantity],C9050,RawData[Price Per Unit],D9050,RawData[Total Spent],E9050,RawData[Payment Method],F9050,RawData[Location],G9050,RawData[Transaction Date],H9050)</f>
        <v>1</v>
      </c>
      <c r="L9050"/>
    </row>
    <row r="9051" spans="1:12" x14ac:dyDescent="0.3">
      <c r="A9051" t="s">
        <v>9057</v>
      </c>
      <c r="B9051" t="s">
        <v>10017</v>
      </c>
      <c r="C9051">
        <v>4</v>
      </c>
      <c r="D9051">
        <v>1.5</v>
      </c>
      <c r="E9051">
        <v>6</v>
      </c>
      <c r="F9051" t="s">
        <v>10103</v>
      </c>
      <c r="G9051" t="s">
        <v>10102</v>
      </c>
      <c r="H9051" s="6">
        <v>45146</v>
      </c>
      <c r="I9051">
        <f t="shared" si="282"/>
        <v>1</v>
      </c>
      <c r="J9051" t="str">
        <f t="shared" si="283"/>
        <v>Complete</v>
      </c>
      <c r="K9051">
        <f>COUNTIFS(RawData[Item], B9051,RawData[Quantity],C9051,RawData[Price Per Unit],D9051,RawData[Total Spent],E9051,RawData[Payment Method],F9051,RawData[Location],G9051,RawData[Transaction Date],H9051)</f>
        <v>1</v>
      </c>
      <c r="L9051"/>
    </row>
    <row r="9052" spans="1:12" x14ac:dyDescent="0.3">
      <c r="A9052" t="s">
        <v>9058</v>
      </c>
      <c r="B9052" t="s">
        <v>10011</v>
      </c>
      <c r="C9052">
        <v>2</v>
      </c>
      <c r="D9052">
        <v>5</v>
      </c>
      <c r="E9052">
        <v>10</v>
      </c>
      <c r="F9052" t="s">
        <v>10069</v>
      </c>
      <c r="G9052" t="s">
        <v>10069</v>
      </c>
      <c r="H9052" s="6">
        <v>45062</v>
      </c>
      <c r="I9052">
        <f t="shared" si="282"/>
        <v>0</v>
      </c>
      <c r="J9052" t="str">
        <f t="shared" si="283"/>
        <v>Complete</v>
      </c>
      <c r="K9052">
        <f>COUNTIFS(RawData[Item], B9052,RawData[Quantity],C9052,RawData[Price Per Unit],D9052,RawData[Total Spent],E9052,RawData[Payment Method],F9052,RawData[Location],G9052,RawData[Transaction Date],H9052)</f>
        <v>1</v>
      </c>
      <c r="L9052"/>
    </row>
    <row r="9053" spans="1:12" x14ac:dyDescent="0.3">
      <c r="A9053" t="s">
        <v>9059</v>
      </c>
      <c r="B9053" t="s">
        <v>10012</v>
      </c>
      <c r="C9053">
        <v>0</v>
      </c>
      <c r="D9053">
        <v>4</v>
      </c>
      <c r="E9053">
        <v>4</v>
      </c>
      <c r="F9053" t="s">
        <v>10020</v>
      </c>
      <c r="G9053" t="s">
        <v>10102</v>
      </c>
      <c r="H9053" s="6">
        <v>45061</v>
      </c>
      <c r="I9053">
        <f t="shared" si="282"/>
        <v>0</v>
      </c>
      <c r="J9053" t="str">
        <f t="shared" si="283"/>
        <v>Complete</v>
      </c>
      <c r="K9053">
        <f>COUNTIFS(RawData[Item], B9053,RawData[Quantity],C9053,RawData[Price Per Unit],D9053,RawData[Total Spent],E9053,RawData[Payment Method],F9053,RawData[Location],G9053,RawData[Transaction Date],H9053)</f>
        <v>1</v>
      </c>
      <c r="L9053"/>
    </row>
    <row r="9054" spans="1:12" x14ac:dyDescent="0.3">
      <c r="A9054" t="s">
        <v>9060</v>
      </c>
      <c r="B9054" t="s">
        <v>10016</v>
      </c>
      <c r="C9054">
        <v>1</v>
      </c>
      <c r="D9054">
        <v>3</v>
      </c>
      <c r="E9054">
        <v>3</v>
      </c>
      <c r="F9054" t="s">
        <v>10019</v>
      </c>
      <c r="G9054" t="s">
        <v>10069</v>
      </c>
      <c r="H9054" s="6">
        <v>44958</v>
      </c>
      <c r="I9054">
        <f t="shared" si="282"/>
        <v>0</v>
      </c>
      <c r="J9054" t="str">
        <f t="shared" si="283"/>
        <v>Complete</v>
      </c>
      <c r="K9054">
        <f>COUNTIFS(RawData[Item], B9054,RawData[Quantity],C9054,RawData[Price Per Unit],D9054,RawData[Total Spent],E9054,RawData[Payment Method],F9054,RawData[Location],G9054,RawData[Transaction Date],H9054)</f>
        <v>1</v>
      </c>
      <c r="L9054"/>
    </row>
    <row r="9055" spans="1:12" x14ac:dyDescent="0.3">
      <c r="A9055" t="s">
        <v>9061</v>
      </c>
      <c r="B9055" t="s">
        <v>10016</v>
      </c>
      <c r="C9055">
        <v>2</v>
      </c>
      <c r="D9055">
        <v>3</v>
      </c>
      <c r="E9055">
        <v>6</v>
      </c>
      <c r="F9055" t="s">
        <v>10018</v>
      </c>
      <c r="G9055" t="s">
        <v>10069</v>
      </c>
      <c r="H9055" s="6">
        <v>45110</v>
      </c>
      <c r="I9055">
        <f t="shared" si="282"/>
        <v>0</v>
      </c>
      <c r="J9055" t="str">
        <f t="shared" si="283"/>
        <v>Complete</v>
      </c>
      <c r="K9055">
        <f>COUNTIFS(RawData[Item], B9055,RawData[Quantity],C9055,RawData[Price Per Unit],D9055,RawData[Total Spent],E9055,RawData[Payment Method],F9055,RawData[Location],G9055,RawData[Transaction Date],H9055)</f>
        <v>1</v>
      </c>
      <c r="L9055"/>
    </row>
    <row r="9056" spans="1:12" x14ac:dyDescent="0.3">
      <c r="A9056" t="s">
        <v>9062</v>
      </c>
      <c r="B9056" t="s">
        <v>10009</v>
      </c>
      <c r="C9056">
        <v>2</v>
      </c>
      <c r="D9056">
        <v>3</v>
      </c>
      <c r="E9056">
        <v>6</v>
      </c>
      <c r="F9056" t="s">
        <v>10069</v>
      </c>
      <c r="G9056" t="s">
        <v>10104</v>
      </c>
      <c r="H9056" s="6">
        <v>45061</v>
      </c>
      <c r="I9056">
        <f t="shared" si="282"/>
        <v>1</v>
      </c>
      <c r="J9056" t="str">
        <f t="shared" si="283"/>
        <v>Complete</v>
      </c>
      <c r="K9056">
        <f>COUNTIFS(RawData[Item], B9056,RawData[Quantity],C9056,RawData[Price Per Unit],D9056,RawData[Total Spent],E9056,RawData[Payment Method],F9056,RawData[Location],G9056,RawData[Transaction Date],H9056)</f>
        <v>1</v>
      </c>
      <c r="L9056"/>
    </row>
    <row r="9057" spans="1:12" x14ac:dyDescent="0.3">
      <c r="A9057" t="s">
        <v>9063</v>
      </c>
      <c r="B9057" t="s">
        <v>10017</v>
      </c>
      <c r="C9057">
        <v>3</v>
      </c>
      <c r="D9057">
        <v>1.5</v>
      </c>
      <c r="E9057">
        <v>4.5</v>
      </c>
      <c r="F9057" t="s">
        <v>10019</v>
      </c>
      <c r="G9057" t="s">
        <v>10102</v>
      </c>
      <c r="H9057" s="6">
        <v>44992</v>
      </c>
      <c r="I9057">
        <f t="shared" si="282"/>
        <v>0</v>
      </c>
      <c r="J9057" t="str">
        <f t="shared" si="283"/>
        <v>Complete</v>
      </c>
      <c r="K9057">
        <f>COUNTIFS(RawData[Item], B9057,RawData[Quantity],C9057,RawData[Price Per Unit],D9057,RawData[Total Spent],E9057,RawData[Payment Method],F9057,RawData[Location],G9057,RawData[Transaction Date],H9057)</f>
        <v>1</v>
      </c>
      <c r="L9057"/>
    </row>
    <row r="9058" spans="1:12" x14ac:dyDescent="0.3">
      <c r="A9058" t="s">
        <v>9064</v>
      </c>
      <c r="B9058" t="s">
        <v>10008</v>
      </c>
      <c r="C9058">
        <v>5</v>
      </c>
      <c r="D9058">
        <v>2</v>
      </c>
      <c r="E9058" t="s">
        <v>10013</v>
      </c>
      <c r="F9058" t="s">
        <v>10018</v>
      </c>
      <c r="G9058" t="s">
        <v>10069</v>
      </c>
      <c r="H9058" s="6">
        <v>44957</v>
      </c>
      <c r="I9058">
        <f t="shared" si="282"/>
        <v>1</v>
      </c>
      <c r="J9058" t="str">
        <f t="shared" si="283"/>
        <v>Complete</v>
      </c>
      <c r="K9058">
        <f>COUNTIFS(RawData[Item], B9058,RawData[Quantity],C9058,RawData[Price Per Unit],D9058,RawData[Total Spent],E9058,RawData[Payment Method],F9058,RawData[Location],G9058,RawData[Transaction Date],H9058)</f>
        <v>1</v>
      </c>
      <c r="L9058"/>
    </row>
    <row r="9059" spans="1:12" x14ac:dyDescent="0.3">
      <c r="A9059" t="s">
        <v>9065</v>
      </c>
      <c r="B9059" t="s">
        <v>10014</v>
      </c>
      <c r="C9059">
        <v>2</v>
      </c>
      <c r="D9059">
        <v>4</v>
      </c>
      <c r="E9059">
        <v>8</v>
      </c>
      <c r="F9059" t="s">
        <v>10069</v>
      </c>
      <c r="G9059" t="s">
        <v>10102</v>
      </c>
      <c r="H9059" s="6">
        <v>45090</v>
      </c>
      <c r="I9059">
        <f t="shared" si="282"/>
        <v>0</v>
      </c>
      <c r="J9059" t="str">
        <f t="shared" si="283"/>
        <v>Complete</v>
      </c>
      <c r="K9059">
        <f>COUNTIFS(RawData[Item], B9059,RawData[Quantity],C9059,RawData[Price Per Unit],D9059,RawData[Total Spent],E9059,RawData[Payment Method],F9059,RawData[Location],G9059,RawData[Transaction Date],H9059)</f>
        <v>1</v>
      </c>
      <c r="L9059"/>
    </row>
    <row r="9060" spans="1:12" x14ac:dyDescent="0.3">
      <c r="A9060" t="s">
        <v>9066</v>
      </c>
      <c r="B9060" t="s">
        <v>10016</v>
      </c>
      <c r="C9060">
        <v>2</v>
      </c>
      <c r="D9060">
        <v>3</v>
      </c>
      <c r="E9060">
        <v>0</v>
      </c>
      <c r="F9060" t="s">
        <v>10019</v>
      </c>
      <c r="G9060" t="s">
        <v>10021</v>
      </c>
      <c r="H9060" s="6">
        <v>45025</v>
      </c>
      <c r="I9060">
        <f t="shared" si="282"/>
        <v>0</v>
      </c>
      <c r="J9060" t="str">
        <f t="shared" si="283"/>
        <v>Complete</v>
      </c>
      <c r="K9060">
        <f>COUNTIFS(RawData[Item], B9060,RawData[Quantity],C9060,RawData[Price Per Unit],D9060,RawData[Total Spent],E9060,RawData[Payment Method],F9060,RawData[Location],G9060,RawData[Transaction Date],H9060)</f>
        <v>1</v>
      </c>
      <c r="L9060"/>
    </row>
    <row r="9061" spans="1:12" x14ac:dyDescent="0.3">
      <c r="A9061" t="s">
        <v>9067</v>
      </c>
      <c r="B9061" t="s">
        <v>10012</v>
      </c>
      <c r="C9061">
        <v>3</v>
      </c>
      <c r="D9061">
        <v>4</v>
      </c>
      <c r="E9061">
        <v>12</v>
      </c>
      <c r="F9061" t="s">
        <v>10104</v>
      </c>
      <c r="G9061" t="s">
        <v>10069</v>
      </c>
      <c r="H9061" s="6">
        <v>45176</v>
      </c>
      <c r="I9061">
        <f t="shared" si="282"/>
        <v>1</v>
      </c>
      <c r="J9061" t="str">
        <f t="shared" si="283"/>
        <v>Complete</v>
      </c>
      <c r="K9061">
        <f>COUNTIFS(RawData[Item], B9061,RawData[Quantity],C9061,RawData[Price Per Unit],D9061,RawData[Total Spent],E9061,RawData[Payment Method],F9061,RawData[Location],G9061,RawData[Transaction Date],H9061)</f>
        <v>1</v>
      </c>
      <c r="L9061"/>
    </row>
    <row r="9062" spans="1:12" x14ac:dyDescent="0.3">
      <c r="A9062" t="s">
        <v>9068</v>
      </c>
      <c r="B9062" t="s">
        <v>10017</v>
      </c>
      <c r="C9062">
        <v>3</v>
      </c>
      <c r="D9062">
        <v>1.5</v>
      </c>
      <c r="E9062">
        <v>4.5</v>
      </c>
      <c r="F9062" t="s">
        <v>10020</v>
      </c>
      <c r="G9062" t="s">
        <v>10021</v>
      </c>
      <c r="H9062" s="6">
        <v>45021</v>
      </c>
      <c r="I9062">
        <f t="shared" si="282"/>
        <v>0</v>
      </c>
      <c r="J9062" t="str">
        <f t="shared" si="283"/>
        <v>Complete</v>
      </c>
      <c r="K9062">
        <f>COUNTIFS(RawData[Item], B9062,RawData[Quantity],C9062,RawData[Price Per Unit],D9062,RawData[Total Spent],E9062,RawData[Payment Method],F9062,RawData[Location],G9062,RawData[Transaction Date],H9062)</f>
        <v>1</v>
      </c>
      <c r="L9062"/>
    </row>
    <row r="9063" spans="1:12" x14ac:dyDescent="0.3">
      <c r="A9063" t="s">
        <v>9069</v>
      </c>
      <c r="B9063" t="s">
        <v>10008</v>
      </c>
      <c r="C9063">
        <v>5</v>
      </c>
      <c r="D9063">
        <v>2</v>
      </c>
      <c r="E9063">
        <v>10</v>
      </c>
      <c r="F9063" t="s">
        <v>10020</v>
      </c>
      <c r="G9063" t="s">
        <v>10102</v>
      </c>
      <c r="H9063" s="6">
        <v>44966</v>
      </c>
      <c r="I9063">
        <f t="shared" si="282"/>
        <v>0</v>
      </c>
      <c r="J9063" t="str">
        <f t="shared" si="283"/>
        <v>Complete</v>
      </c>
      <c r="K9063">
        <f>COUNTIFS(RawData[Item], B9063,RawData[Quantity],C9063,RawData[Price Per Unit],D9063,RawData[Total Spent],E9063,RawData[Payment Method],F9063,RawData[Location],G9063,RawData[Transaction Date],H9063)</f>
        <v>2</v>
      </c>
      <c r="L9063"/>
    </row>
    <row r="9064" spans="1:12" x14ac:dyDescent="0.3">
      <c r="A9064" t="s">
        <v>9070</v>
      </c>
      <c r="B9064" t="s">
        <v>10011</v>
      </c>
      <c r="C9064">
        <v>5</v>
      </c>
      <c r="D9064">
        <v>5</v>
      </c>
      <c r="E9064">
        <v>25</v>
      </c>
      <c r="F9064" t="s">
        <v>10019</v>
      </c>
      <c r="G9064" t="s">
        <v>10102</v>
      </c>
      <c r="H9064" s="6">
        <v>45138</v>
      </c>
      <c r="I9064">
        <f t="shared" si="282"/>
        <v>0</v>
      </c>
      <c r="J9064" t="str">
        <f t="shared" si="283"/>
        <v>Complete</v>
      </c>
      <c r="K9064">
        <f>COUNTIFS(RawData[Item], B9064,RawData[Quantity],C9064,RawData[Price Per Unit],D9064,RawData[Total Spent],E9064,RawData[Payment Method],F9064,RawData[Location],G9064,RawData[Transaction Date],H9064)</f>
        <v>1</v>
      </c>
      <c r="L9064"/>
    </row>
    <row r="9065" spans="1:12" x14ac:dyDescent="0.3">
      <c r="A9065" t="s">
        <v>9071</v>
      </c>
      <c r="B9065" t="s">
        <v>10012</v>
      </c>
      <c r="C9065">
        <v>2</v>
      </c>
      <c r="D9065">
        <v>4</v>
      </c>
      <c r="E9065">
        <v>8</v>
      </c>
      <c r="F9065" t="s">
        <v>10020</v>
      </c>
      <c r="G9065" t="s">
        <v>10102</v>
      </c>
      <c r="H9065" s="6">
        <v>44927</v>
      </c>
      <c r="I9065">
        <f t="shared" si="282"/>
        <v>0</v>
      </c>
      <c r="J9065" t="str">
        <f t="shared" si="283"/>
        <v>Complete</v>
      </c>
      <c r="K9065">
        <f>COUNTIFS(RawData[Item], B9065,RawData[Quantity],C9065,RawData[Price Per Unit],D9065,RawData[Total Spent],E9065,RawData[Payment Method],F9065,RawData[Location],G9065,RawData[Transaction Date],H9065)</f>
        <v>1</v>
      </c>
      <c r="L9065"/>
    </row>
    <row r="9066" spans="1:12" x14ac:dyDescent="0.3">
      <c r="A9066" t="s">
        <v>9072</v>
      </c>
      <c r="B9066" t="s">
        <v>10013</v>
      </c>
      <c r="C9066">
        <v>1</v>
      </c>
      <c r="D9066">
        <v>3</v>
      </c>
      <c r="E9066">
        <v>3</v>
      </c>
      <c r="F9066" t="s">
        <v>10019</v>
      </c>
      <c r="G9066" t="s">
        <v>10069</v>
      </c>
      <c r="H9066" s="6">
        <v>45239</v>
      </c>
      <c r="I9066">
        <f t="shared" si="282"/>
        <v>1</v>
      </c>
      <c r="J9066" t="str">
        <f t="shared" si="283"/>
        <v>Complete</v>
      </c>
      <c r="K9066">
        <f>COUNTIFS(RawData[Item], B9066,RawData[Quantity],C9066,RawData[Price Per Unit],D9066,RawData[Total Spent],E9066,RawData[Payment Method],F9066,RawData[Location],G9066,RawData[Transaction Date],H9066)</f>
        <v>1</v>
      </c>
      <c r="L9066"/>
    </row>
    <row r="9067" spans="1:12" x14ac:dyDescent="0.3">
      <c r="A9067" t="s">
        <v>9073</v>
      </c>
      <c r="B9067" t="s">
        <v>10017</v>
      </c>
      <c r="C9067">
        <v>3</v>
      </c>
      <c r="D9067">
        <v>1.5</v>
      </c>
      <c r="E9067">
        <v>4.5</v>
      </c>
      <c r="F9067" t="s">
        <v>10069</v>
      </c>
      <c r="G9067" t="s">
        <v>10069</v>
      </c>
      <c r="H9067" s="6">
        <v>45013</v>
      </c>
      <c r="I9067">
        <f t="shared" si="282"/>
        <v>0</v>
      </c>
      <c r="J9067" t="str">
        <f t="shared" si="283"/>
        <v>Complete</v>
      </c>
      <c r="K9067">
        <f>COUNTIFS(RawData[Item], B9067,RawData[Quantity],C9067,RawData[Price Per Unit],D9067,RawData[Total Spent],E9067,RawData[Payment Method],F9067,RawData[Location],G9067,RawData[Transaction Date],H9067)</f>
        <v>1</v>
      </c>
      <c r="L9067"/>
    </row>
    <row r="9068" spans="1:12" x14ac:dyDescent="0.3">
      <c r="A9068" t="s">
        <v>9074</v>
      </c>
      <c r="B9068" t="s">
        <v>10013</v>
      </c>
      <c r="C9068">
        <v>2</v>
      </c>
      <c r="D9068">
        <v>5</v>
      </c>
      <c r="E9068">
        <v>10</v>
      </c>
      <c r="F9068" t="s">
        <v>10020</v>
      </c>
      <c r="G9068" t="s">
        <v>10102</v>
      </c>
      <c r="H9068" s="6">
        <v>45068</v>
      </c>
      <c r="I9068">
        <f t="shared" si="282"/>
        <v>1</v>
      </c>
      <c r="J9068" t="str">
        <f t="shared" si="283"/>
        <v>Complete</v>
      </c>
      <c r="K9068">
        <f>COUNTIFS(RawData[Item], B9068,RawData[Quantity],C9068,RawData[Price Per Unit],D9068,RawData[Total Spent],E9068,RawData[Payment Method],F9068,RawData[Location],G9068,RawData[Transaction Date],H9068)</f>
        <v>1</v>
      </c>
      <c r="L9068"/>
    </row>
    <row r="9069" spans="1:12" x14ac:dyDescent="0.3">
      <c r="A9069" t="s">
        <v>9075</v>
      </c>
      <c r="B9069" t="s">
        <v>10016</v>
      </c>
      <c r="C9069">
        <v>4</v>
      </c>
      <c r="D9069">
        <v>3</v>
      </c>
      <c r="E9069">
        <v>12</v>
      </c>
      <c r="F9069" t="s">
        <v>10019</v>
      </c>
      <c r="G9069" t="s">
        <v>10069</v>
      </c>
      <c r="H9069" s="6">
        <v>45008</v>
      </c>
      <c r="I9069">
        <f t="shared" si="282"/>
        <v>0</v>
      </c>
      <c r="J9069" t="str">
        <f t="shared" si="283"/>
        <v>Complete</v>
      </c>
      <c r="K9069">
        <f>COUNTIFS(RawData[Item], B9069,RawData[Quantity],C9069,RawData[Price Per Unit],D9069,RawData[Total Spent],E9069,RawData[Payment Method],F9069,RawData[Location],G9069,RawData[Transaction Date],H9069)</f>
        <v>1</v>
      </c>
      <c r="L9069"/>
    </row>
    <row r="9070" spans="1:12" x14ac:dyDescent="0.3">
      <c r="A9070" t="s">
        <v>9076</v>
      </c>
      <c r="B9070" t="s">
        <v>10012</v>
      </c>
      <c r="C9070">
        <v>3</v>
      </c>
      <c r="D9070">
        <v>4</v>
      </c>
      <c r="E9070">
        <v>12</v>
      </c>
      <c r="F9070" t="s">
        <v>10019</v>
      </c>
      <c r="G9070" t="s">
        <v>10069</v>
      </c>
      <c r="H9070" s="6">
        <v>45047</v>
      </c>
      <c r="I9070">
        <f t="shared" si="282"/>
        <v>0</v>
      </c>
      <c r="J9070" t="str">
        <f t="shared" si="283"/>
        <v>Complete</v>
      </c>
      <c r="K9070">
        <f>COUNTIFS(RawData[Item], B9070,RawData[Quantity],C9070,RawData[Price Per Unit],D9070,RawData[Total Spent],E9070,RawData[Payment Method],F9070,RawData[Location],G9070,RawData[Transaction Date],H9070)</f>
        <v>1</v>
      </c>
      <c r="L9070"/>
    </row>
    <row r="9071" spans="1:12" x14ac:dyDescent="0.3">
      <c r="A9071" t="s">
        <v>9077</v>
      </c>
      <c r="B9071" t="s">
        <v>10015</v>
      </c>
      <c r="C9071">
        <v>2</v>
      </c>
      <c r="D9071">
        <v>1</v>
      </c>
      <c r="E9071">
        <v>2</v>
      </c>
      <c r="F9071" t="s">
        <v>10020</v>
      </c>
      <c r="G9071" t="s">
        <v>10069</v>
      </c>
      <c r="H9071" s="6">
        <v>45026</v>
      </c>
      <c r="I9071">
        <f t="shared" si="282"/>
        <v>1</v>
      </c>
      <c r="J9071" t="str">
        <f t="shared" si="283"/>
        <v>Complete</v>
      </c>
      <c r="K9071">
        <f>COUNTIFS(RawData[Item], B9071,RawData[Quantity],C9071,RawData[Price Per Unit],D9071,RawData[Total Spent],E9071,RawData[Payment Method],F9071,RawData[Location],G9071,RawData[Transaction Date],H9071)</f>
        <v>1</v>
      </c>
      <c r="L9071"/>
    </row>
    <row r="9072" spans="1:12" x14ac:dyDescent="0.3">
      <c r="A9072" t="s">
        <v>9078</v>
      </c>
      <c r="B9072" t="s">
        <v>10017</v>
      </c>
      <c r="C9072">
        <v>4</v>
      </c>
      <c r="D9072">
        <v>1.5</v>
      </c>
      <c r="E9072">
        <v>6</v>
      </c>
      <c r="F9072" t="s">
        <v>10020</v>
      </c>
      <c r="G9072" t="s">
        <v>10021</v>
      </c>
      <c r="H9072" s="6">
        <v>45212</v>
      </c>
      <c r="I9072">
        <f t="shared" si="282"/>
        <v>0</v>
      </c>
      <c r="J9072" t="str">
        <f t="shared" si="283"/>
        <v>Complete</v>
      </c>
      <c r="K9072">
        <f>COUNTIFS(RawData[Item], B9072,RawData[Quantity],C9072,RawData[Price Per Unit],D9072,RawData[Total Spent],E9072,RawData[Payment Method],F9072,RawData[Location],G9072,RawData[Transaction Date],H9072)</f>
        <v>1</v>
      </c>
      <c r="L9072"/>
    </row>
    <row r="9073" spans="1:12" x14ac:dyDescent="0.3">
      <c r="A9073" t="s">
        <v>9079</v>
      </c>
      <c r="B9073" t="s">
        <v>10008</v>
      </c>
      <c r="C9073">
        <v>5</v>
      </c>
      <c r="D9073">
        <v>2</v>
      </c>
      <c r="E9073">
        <v>10</v>
      </c>
      <c r="F9073" t="s">
        <v>10019</v>
      </c>
      <c r="G9073" t="s">
        <v>10069</v>
      </c>
      <c r="H9073" s="6" t="s">
        <v>10112</v>
      </c>
      <c r="I9073">
        <f t="shared" si="282"/>
        <v>1</v>
      </c>
      <c r="J9073" t="str">
        <f t="shared" si="283"/>
        <v>Incomplete</v>
      </c>
      <c r="K9073">
        <f>COUNTIFS(RawData[Item], B9073,RawData[Quantity],C9073,RawData[Price Per Unit],D9073,RawData[Total Spent],E9073,RawData[Payment Method],F9073,RawData[Location],G9073,RawData[Transaction Date],H9073)</f>
        <v>1</v>
      </c>
      <c r="L9073"/>
    </row>
    <row r="9074" spans="1:12" x14ac:dyDescent="0.3">
      <c r="A9074" t="s">
        <v>9080</v>
      </c>
      <c r="B9074" t="s">
        <v>10012</v>
      </c>
      <c r="C9074">
        <v>5</v>
      </c>
      <c r="D9074">
        <v>4</v>
      </c>
      <c r="E9074">
        <v>20</v>
      </c>
      <c r="F9074" t="s">
        <v>10069</v>
      </c>
      <c r="G9074" t="s">
        <v>10021</v>
      </c>
      <c r="H9074" s="6">
        <v>45139</v>
      </c>
      <c r="I9074">
        <f t="shared" si="282"/>
        <v>0</v>
      </c>
      <c r="J9074" t="str">
        <f t="shared" si="283"/>
        <v>Complete</v>
      </c>
      <c r="K9074">
        <f>COUNTIFS(RawData[Item], B9074,RawData[Quantity],C9074,RawData[Price Per Unit],D9074,RawData[Total Spent],E9074,RawData[Payment Method],F9074,RawData[Location],G9074,RawData[Transaction Date],H9074)</f>
        <v>1</v>
      </c>
      <c r="L9074"/>
    </row>
    <row r="9075" spans="1:12" x14ac:dyDescent="0.3">
      <c r="A9075" t="s">
        <v>9081</v>
      </c>
      <c r="B9075" t="s">
        <v>10008</v>
      </c>
      <c r="C9075">
        <v>3</v>
      </c>
      <c r="D9075">
        <v>2</v>
      </c>
      <c r="E9075">
        <v>6</v>
      </c>
      <c r="F9075" t="s">
        <v>10069</v>
      </c>
      <c r="G9075" t="s">
        <v>10069</v>
      </c>
      <c r="H9075" s="6">
        <v>45220</v>
      </c>
      <c r="I9075">
        <f t="shared" si="282"/>
        <v>0</v>
      </c>
      <c r="J9075" t="str">
        <f t="shared" si="283"/>
        <v>Complete</v>
      </c>
      <c r="K9075">
        <f>COUNTIFS(RawData[Item], B9075,RawData[Quantity],C9075,RawData[Price Per Unit],D9075,RawData[Total Spent],E9075,RawData[Payment Method],F9075,RawData[Location],G9075,RawData[Transaction Date],H9075)</f>
        <v>1</v>
      </c>
      <c r="L9075"/>
    </row>
    <row r="9076" spans="1:12" x14ac:dyDescent="0.3">
      <c r="A9076" t="s">
        <v>9082</v>
      </c>
      <c r="B9076" t="s">
        <v>10011</v>
      </c>
      <c r="C9076">
        <v>5</v>
      </c>
      <c r="D9076">
        <v>5</v>
      </c>
      <c r="E9076">
        <v>25</v>
      </c>
      <c r="F9076" t="s">
        <v>10020</v>
      </c>
      <c r="G9076" t="s">
        <v>10102</v>
      </c>
      <c r="H9076" s="6">
        <v>45037</v>
      </c>
      <c r="I9076">
        <f t="shared" si="282"/>
        <v>0</v>
      </c>
      <c r="J9076" t="str">
        <f t="shared" si="283"/>
        <v>Complete</v>
      </c>
      <c r="K9076">
        <f>COUNTIFS(RawData[Item], B9076,RawData[Quantity],C9076,RawData[Price Per Unit],D9076,RawData[Total Spent],E9076,RawData[Payment Method],F9076,RawData[Location],G9076,RawData[Transaction Date],H9076)</f>
        <v>1</v>
      </c>
      <c r="L9076"/>
    </row>
    <row r="9077" spans="1:12" x14ac:dyDescent="0.3">
      <c r="A9077" t="s">
        <v>9083</v>
      </c>
      <c r="B9077" t="s">
        <v>10011</v>
      </c>
      <c r="C9077">
        <v>2</v>
      </c>
      <c r="D9077">
        <v>5</v>
      </c>
      <c r="E9077">
        <v>10</v>
      </c>
      <c r="F9077" t="s">
        <v>10104</v>
      </c>
      <c r="G9077" t="s">
        <v>10102</v>
      </c>
      <c r="H9077" s="6">
        <v>44931</v>
      </c>
      <c r="I9077">
        <f t="shared" si="282"/>
        <v>1</v>
      </c>
      <c r="J9077" t="str">
        <f t="shared" si="283"/>
        <v>Complete</v>
      </c>
      <c r="K9077">
        <f>COUNTIFS(RawData[Item], B9077,RawData[Quantity],C9077,RawData[Price Per Unit],D9077,RawData[Total Spent],E9077,RawData[Payment Method],F9077,RawData[Location],G9077,RawData[Transaction Date],H9077)</f>
        <v>1</v>
      </c>
      <c r="L9077"/>
    </row>
    <row r="9078" spans="1:12" x14ac:dyDescent="0.3">
      <c r="A9078" t="s">
        <v>9084</v>
      </c>
      <c r="B9078" t="s">
        <v>10016</v>
      </c>
      <c r="C9078">
        <v>3</v>
      </c>
      <c r="D9078">
        <v>3</v>
      </c>
      <c r="E9078">
        <v>9</v>
      </c>
      <c r="F9078" t="s">
        <v>10103</v>
      </c>
      <c r="G9078" t="s">
        <v>10021</v>
      </c>
      <c r="H9078" s="6" t="s">
        <v>10112</v>
      </c>
      <c r="I9078">
        <f t="shared" si="282"/>
        <v>2</v>
      </c>
      <c r="J9078" t="str">
        <f t="shared" si="283"/>
        <v>Incomplete</v>
      </c>
      <c r="K9078">
        <f>COUNTIFS(RawData[Item], B9078,RawData[Quantity],C9078,RawData[Price Per Unit],D9078,RawData[Total Spent],E9078,RawData[Payment Method],F9078,RawData[Location],G9078,RawData[Transaction Date],H9078)</f>
        <v>1</v>
      </c>
      <c r="L9078"/>
    </row>
    <row r="9079" spans="1:12" x14ac:dyDescent="0.3">
      <c r="A9079" t="s">
        <v>9085</v>
      </c>
      <c r="B9079" t="s">
        <v>10014</v>
      </c>
      <c r="C9079">
        <v>4</v>
      </c>
      <c r="D9079">
        <v>4</v>
      </c>
      <c r="E9079">
        <v>0</v>
      </c>
      <c r="F9079" t="s">
        <v>10019</v>
      </c>
      <c r="G9079" t="s">
        <v>10069</v>
      </c>
      <c r="H9079" s="6">
        <v>45001</v>
      </c>
      <c r="I9079">
        <f t="shared" si="282"/>
        <v>0</v>
      </c>
      <c r="J9079" t="str">
        <f t="shared" si="283"/>
        <v>Complete</v>
      </c>
      <c r="K9079">
        <f>COUNTIFS(RawData[Item], B9079,RawData[Quantity],C9079,RawData[Price Per Unit],D9079,RawData[Total Spent],E9079,RawData[Payment Method],F9079,RawData[Location],G9079,RawData[Transaction Date],H9079)</f>
        <v>1</v>
      </c>
      <c r="L9079"/>
    </row>
    <row r="9080" spans="1:12" x14ac:dyDescent="0.3">
      <c r="A9080" t="s">
        <v>9086</v>
      </c>
      <c r="B9080" t="s">
        <v>10011</v>
      </c>
      <c r="C9080">
        <v>5</v>
      </c>
      <c r="D9080">
        <v>5</v>
      </c>
      <c r="E9080">
        <v>25</v>
      </c>
      <c r="F9080" t="s">
        <v>10069</v>
      </c>
      <c r="G9080" t="s">
        <v>10069</v>
      </c>
      <c r="H9080" s="6">
        <v>45258</v>
      </c>
      <c r="I9080">
        <f t="shared" si="282"/>
        <v>0</v>
      </c>
      <c r="J9080" t="str">
        <f t="shared" si="283"/>
        <v>Complete</v>
      </c>
      <c r="K9080">
        <f>COUNTIFS(RawData[Item], B9080,RawData[Quantity],C9080,RawData[Price Per Unit],D9080,RawData[Total Spent],E9080,RawData[Payment Method],F9080,RawData[Location],G9080,RawData[Transaction Date],H9080)</f>
        <v>1</v>
      </c>
      <c r="L9080"/>
    </row>
    <row r="9081" spans="1:12" x14ac:dyDescent="0.3">
      <c r="A9081" t="s">
        <v>9087</v>
      </c>
      <c r="B9081" t="s">
        <v>10017</v>
      </c>
      <c r="C9081">
        <v>5</v>
      </c>
      <c r="D9081">
        <v>1.5</v>
      </c>
      <c r="E9081">
        <v>7.5</v>
      </c>
      <c r="F9081" t="s">
        <v>10069</v>
      </c>
      <c r="G9081" t="s">
        <v>10069</v>
      </c>
      <c r="H9081" s="6">
        <v>45018</v>
      </c>
      <c r="I9081">
        <f t="shared" si="282"/>
        <v>0</v>
      </c>
      <c r="J9081" t="str">
        <f t="shared" si="283"/>
        <v>Complete</v>
      </c>
      <c r="K9081">
        <f>COUNTIFS(RawData[Item], B9081,RawData[Quantity],C9081,RawData[Price Per Unit],D9081,RawData[Total Spent],E9081,RawData[Payment Method],F9081,RawData[Location],G9081,RawData[Transaction Date],H9081)</f>
        <v>1</v>
      </c>
      <c r="L9081"/>
    </row>
    <row r="9082" spans="1:12" x14ac:dyDescent="0.3">
      <c r="A9082" t="s">
        <v>9088</v>
      </c>
      <c r="B9082" t="s">
        <v>10009</v>
      </c>
      <c r="C9082">
        <v>2</v>
      </c>
      <c r="D9082">
        <v>3</v>
      </c>
      <c r="E9082" t="s">
        <v>10015</v>
      </c>
      <c r="F9082" t="s">
        <v>10019</v>
      </c>
      <c r="G9082" t="s">
        <v>10069</v>
      </c>
      <c r="H9082" s="6">
        <v>45128</v>
      </c>
      <c r="I9082">
        <f t="shared" si="282"/>
        <v>1</v>
      </c>
      <c r="J9082" t="str">
        <f t="shared" si="283"/>
        <v>Complete</v>
      </c>
      <c r="K9082">
        <f>COUNTIFS(RawData[Item], B9082,RawData[Quantity],C9082,RawData[Price Per Unit],D9082,RawData[Total Spent],E9082,RawData[Payment Method],F9082,RawData[Location],G9082,RawData[Transaction Date],H9082)</f>
        <v>1</v>
      </c>
      <c r="L9082"/>
    </row>
    <row r="9083" spans="1:12" x14ac:dyDescent="0.3">
      <c r="A9083" t="s">
        <v>9089</v>
      </c>
      <c r="B9083" t="s">
        <v>10009</v>
      </c>
      <c r="C9083">
        <v>2</v>
      </c>
      <c r="D9083">
        <v>3</v>
      </c>
      <c r="E9083">
        <v>6</v>
      </c>
      <c r="F9083" t="s">
        <v>10069</v>
      </c>
      <c r="G9083" t="s">
        <v>10102</v>
      </c>
      <c r="H9083" s="6">
        <v>45174</v>
      </c>
      <c r="I9083">
        <f t="shared" si="282"/>
        <v>0</v>
      </c>
      <c r="J9083" t="str">
        <f t="shared" si="283"/>
        <v>Complete</v>
      </c>
      <c r="K9083">
        <f>COUNTIFS(RawData[Item], B9083,RawData[Quantity],C9083,RawData[Price Per Unit],D9083,RawData[Total Spent],E9083,RawData[Payment Method],F9083,RawData[Location],G9083,RawData[Transaction Date],H9083)</f>
        <v>1</v>
      </c>
      <c r="L9083"/>
    </row>
    <row r="9084" spans="1:12" x14ac:dyDescent="0.3">
      <c r="A9084" t="s">
        <v>9090</v>
      </c>
      <c r="B9084" t="s">
        <v>10017</v>
      </c>
      <c r="C9084">
        <v>1</v>
      </c>
      <c r="D9084">
        <v>1.5</v>
      </c>
      <c r="E9084">
        <v>1.5</v>
      </c>
      <c r="F9084" t="s">
        <v>10020</v>
      </c>
      <c r="G9084" t="s">
        <v>10102</v>
      </c>
      <c r="H9084" s="6">
        <v>45074</v>
      </c>
      <c r="I9084">
        <f t="shared" si="282"/>
        <v>0</v>
      </c>
      <c r="J9084" t="str">
        <f t="shared" si="283"/>
        <v>Complete</v>
      </c>
      <c r="K9084">
        <f>COUNTIFS(RawData[Item], B9084,RawData[Quantity],C9084,RawData[Price Per Unit],D9084,RawData[Total Spent],E9084,RawData[Payment Method],F9084,RawData[Location],G9084,RawData[Transaction Date],H9084)</f>
        <v>1</v>
      </c>
      <c r="L9084"/>
    </row>
    <row r="9085" spans="1:12" x14ac:dyDescent="0.3">
      <c r="A9085" t="s">
        <v>9091</v>
      </c>
      <c r="B9085" t="s">
        <v>10008</v>
      </c>
      <c r="C9085">
        <v>2</v>
      </c>
      <c r="D9085">
        <v>2</v>
      </c>
      <c r="E9085">
        <v>4</v>
      </c>
      <c r="F9085" t="s">
        <v>10069</v>
      </c>
      <c r="G9085" t="s">
        <v>10102</v>
      </c>
      <c r="H9085" s="6">
        <v>45007</v>
      </c>
      <c r="I9085">
        <f t="shared" si="282"/>
        <v>0</v>
      </c>
      <c r="J9085" t="str">
        <f t="shared" si="283"/>
        <v>Complete</v>
      </c>
      <c r="K9085">
        <f>COUNTIFS(RawData[Item], B9085,RawData[Quantity],C9085,RawData[Price Per Unit],D9085,RawData[Total Spent],E9085,RawData[Payment Method],F9085,RawData[Location],G9085,RawData[Transaction Date],H9085)</f>
        <v>1</v>
      </c>
      <c r="L9085"/>
    </row>
    <row r="9086" spans="1:12" x14ac:dyDescent="0.3">
      <c r="A9086" t="s">
        <v>9092</v>
      </c>
      <c r="B9086" t="s">
        <v>10017</v>
      </c>
      <c r="C9086">
        <v>4</v>
      </c>
      <c r="D9086">
        <v>1.5</v>
      </c>
      <c r="E9086">
        <v>6</v>
      </c>
      <c r="F9086" t="s">
        <v>10020</v>
      </c>
      <c r="G9086" t="s">
        <v>10104</v>
      </c>
      <c r="H9086" s="6">
        <v>45230</v>
      </c>
      <c r="I9086">
        <f t="shared" si="282"/>
        <v>1</v>
      </c>
      <c r="J9086" t="str">
        <f t="shared" si="283"/>
        <v>Complete</v>
      </c>
      <c r="K9086">
        <f>COUNTIFS(RawData[Item], B9086,RawData[Quantity],C9086,RawData[Price Per Unit],D9086,RawData[Total Spent],E9086,RawData[Payment Method],F9086,RawData[Location],G9086,RawData[Transaction Date],H9086)</f>
        <v>1</v>
      </c>
      <c r="L9086"/>
    </row>
    <row r="9087" spans="1:12" x14ac:dyDescent="0.3">
      <c r="A9087" t="s">
        <v>9093</v>
      </c>
      <c r="B9087" t="s">
        <v>10017</v>
      </c>
      <c r="C9087">
        <v>5</v>
      </c>
      <c r="D9087">
        <v>1.5</v>
      </c>
      <c r="E9087">
        <v>7.5</v>
      </c>
      <c r="F9087" t="s">
        <v>10018</v>
      </c>
      <c r="G9087" t="s">
        <v>10069</v>
      </c>
      <c r="H9087" s="6">
        <v>45003</v>
      </c>
      <c r="I9087">
        <f t="shared" si="282"/>
        <v>0</v>
      </c>
      <c r="J9087" t="str">
        <f t="shared" si="283"/>
        <v>Complete</v>
      </c>
      <c r="K9087">
        <f>COUNTIFS(RawData[Item], B9087,RawData[Quantity],C9087,RawData[Price Per Unit],D9087,RawData[Total Spent],E9087,RawData[Payment Method],F9087,RawData[Location],G9087,RawData[Transaction Date],H9087)</f>
        <v>1</v>
      </c>
      <c r="L9087"/>
    </row>
    <row r="9088" spans="1:12" x14ac:dyDescent="0.3">
      <c r="A9088" t="s">
        <v>9094</v>
      </c>
      <c r="B9088" t="s">
        <v>10009</v>
      </c>
      <c r="C9088">
        <v>3</v>
      </c>
      <c r="D9088">
        <v>3</v>
      </c>
      <c r="E9088">
        <v>9</v>
      </c>
      <c r="F9088" t="s">
        <v>10018</v>
      </c>
      <c r="G9088" t="s">
        <v>10069</v>
      </c>
      <c r="H9088" s="6">
        <v>45003</v>
      </c>
      <c r="I9088">
        <f t="shared" si="282"/>
        <v>0</v>
      </c>
      <c r="J9088" t="str">
        <f t="shared" si="283"/>
        <v>Complete</v>
      </c>
      <c r="K9088">
        <f>COUNTIFS(RawData[Item], B9088,RawData[Quantity],C9088,RawData[Price Per Unit],D9088,RawData[Total Spent],E9088,RawData[Payment Method],F9088,RawData[Location],G9088,RawData[Transaction Date],H9088)</f>
        <v>1</v>
      </c>
      <c r="L9088"/>
    </row>
    <row r="9089" spans="1:12" x14ac:dyDescent="0.3">
      <c r="A9089" t="s">
        <v>9095</v>
      </c>
      <c r="B9089" t="s">
        <v>10013</v>
      </c>
      <c r="C9089">
        <v>3</v>
      </c>
      <c r="D9089">
        <v>2</v>
      </c>
      <c r="E9089">
        <v>6</v>
      </c>
      <c r="F9089" t="s">
        <v>10018</v>
      </c>
      <c r="G9089" t="s">
        <v>10102</v>
      </c>
      <c r="H9089" s="6">
        <v>45171</v>
      </c>
      <c r="I9089">
        <f t="shared" si="282"/>
        <v>1</v>
      </c>
      <c r="J9089" t="str">
        <f t="shared" si="283"/>
        <v>Complete</v>
      </c>
      <c r="K9089">
        <f>COUNTIFS(RawData[Item], B9089,RawData[Quantity],C9089,RawData[Price Per Unit],D9089,RawData[Total Spent],E9089,RawData[Payment Method],F9089,RawData[Location],G9089,RawData[Transaction Date],H9089)</f>
        <v>1</v>
      </c>
      <c r="L9089"/>
    </row>
    <row r="9090" spans="1:12" x14ac:dyDescent="0.3">
      <c r="A9090" t="s">
        <v>9096</v>
      </c>
      <c r="B9090" t="s">
        <v>10008</v>
      </c>
      <c r="C9090">
        <v>2</v>
      </c>
      <c r="D9090">
        <v>2</v>
      </c>
      <c r="E9090">
        <v>4</v>
      </c>
      <c r="F9090" t="s">
        <v>10018</v>
      </c>
      <c r="G9090" t="s">
        <v>10069</v>
      </c>
      <c r="H9090" s="6" t="s">
        <v>10112</v>
      </c>
      <c r="I9090">
        <f t="shared" ref="I9090:I9153" si="284">(B9090="Unknown")+(B9090="Error")+(C9090="Unknown")+(C9090="Error")+(D9090="Unknown")+(D9090="Error")+(E9090="Unknown")+(E9090="Error")+(F9090="Unknown")+(F9090="Error")+(G9090="Unknown")+(G9090="Error")+(H9090="No Date")</f>
        <v>1</v>
      </c>
      <c r="J9090" t="str">
        <f t="shared" ref="J9090:J9153" si="285">IF((H9090="No Date"),"Incomplete","Complete")</f>
        <v>Incomplete</v>
      </c>
      <c r="K9090">
        <f>COUNTIFS(RawData[Item], B9090,RawData[Quantity],C9090,RawData[Price Per Unit],D9090,RawData[Total Spent],E9090,RawData[Payment Method],F9090,RawData[Location],G9090,RawData[Transaction Date],H9090)</f>
        <v>1</v>
      </c>
      <c r="L9090"/>
    </row>
    <row r="9091" spans="1:12" x14ac:dyDescent="0.3">
      <c r="A9091" t="s">
        <v>9097</v>
      </c>
      <c r="B9091" t="s">
        <v>10013</v>
      </c>
      <c r="C9091">
        <v>2</v>
      </c>
      <c r="D9091">
        <v>3</v>
      </c>
      <c r="E9091">
        <v>6</v>
      </c>
      <c r="F9091" t="s">
        <v>10018</v>
      </c>
      <c r="G9091" t="s">
        <v>10069</v>
      </c>
      <c r="H9091" s="6">
        <v>45028</v>
      </c>
      <c r="I9091">
        <f t="shared" si="284"/>
        <v>1</v>
      </c>
      <c r="J9091" t="str">
        <f t="shared" si="285"/>
        <v>Complete</v>
      </c>
      <c r="K9091">
        <f>COUNTIFS(RawData[Item], B9091,RawData[Quantity],C9091,RawData[Price Per Unit],D9091,RawData[Total Spent],E9091,RawData[Payment Method],F9091,RawData[Location],G9091,RawData[Transaction Date],H9091)</f>
        <v>1</v>
      </c>
      <c r="L9091"/>
    </row>
    <row r="9092" spans="1:12" x14ac:dyDescent="0.3">
      <c r="A9092" t="s">
        <v>9098</v>
      </c>
      <c r="B9092" t="s">
        <v>10017</v>
      </c>
      <c r="C9092">
        <v>3</v>
      </c>
      <c r="D9092">
        <v>1.5</v>
      </c>
      <c r="E9092">
        <v>4.5</v>
      </c>
      <c r="F9092" t="s">
        <v>10020</v>
      </c>
      <c r="G9092" t="s">
        <v>10102</v>
      </c>
      <c r="H9092" s="6">
        <v>45242</v>
      </c>
      <c r="I9092">
        <f t="shared" si="284"/>
        <v>0</v>
      </c>
      <c r="J9092" t="str">
        <f t="shared" si="285"/>
        <v>Complete</v>
      </c>
      <c r="K9092">
        <f>COUNTIFS(RawData[Item], B9092,RawData[Quantity],C9092,RawData[Price Per Unit],D9092,RawData[Total Spent],E9092,RawData[Payment Method],F9092,RawData[Location],G9092,RawData[Transaction Date],H9092)</f>
        <v>1</v>
      </c>
      <c r="L9092"/>
    </row>
    <row r="9093" spans="1:12" x14ac:dyDescent="0.3">
      <c r="A9093" t="s">
        <v>9099</v>
      </c>
      <c r="B9093" t="s">
        <v>10014</v>
      </c>
      <c r="C9093">
        <v>3</v>
      </c>
      <c r="D9093">
        <v>4</v>
      </c>
      <c r="E9093">
        <v>12</v>
      </c>
      <c r="F9093" t="s">
        <v>10018</v>
      </c>
      <c r="G9093" t="s">
        <v>10069</v>
      </c>
      <c r="H9093" s="6">
        <v>45013</v>
      </c>
      <c r="I9093">
        <f t="shared" si="284"/>
        <v>0</v>
      </c>
      <c r="J9093" t="str">
        <f t="shared" si="285"/>
        <v>Complete</v>
      </c>
      <c r="K9093">
        <f>COUNTIFS(RawData[Item], B9093,RawData[Quantity],C9093,RawData[Price Per Unit],D9093,RawData[Total Spent],E9093,RawData[Payment Method],F9093,RawData[Location],G9093,RawData[Transaction Date],H9093)</f>
        <v>1</v>
      </c>
      <c r="L9093"/>
    </row>
    <row r="9094" spans="1:12" x14ac:dyDescent="0.3">
      <c r="A9094" t="s">
        <v>9100</v>
      </c>
      <c r="B9094" t="s">
        <v>10012</v>
      </c>
      <c r="C9094">
        <v>5</v>
      </c>
      <c r="D9094">
        <v>4</v>
      </c>
      <c r="E9094">
        <v>20</v>
      </c>
      <c r="F9094" t="s">
        <v>10020</v>
      </c>
      <c r="G9094" t="s">
        <v>10069</v>
      </c>
      <c r="H9094" s="6">
        <v>45241</v>
      </c>
      <c r="I9094">
        <f t="shared" si="284"/>
        <v>0</v>
      </c>
      <c r="J9094" t="str">
        <f t="shared" si="285"/>
        <v>Complete</v>
      </c>
      <c r="K9094">
        <f>COUNTIFS(RawData[Item], B9094,RawData[Quantity],C9094,RawData[Price Per Unit],D9094,RawData[Total Spent],E9094,RawData[Payment Method],F9094,RawData[Location],G9094,RawData[Transaction Date],H9094)</f>
        <v>1</v>
      </c>
      <c r="L9094"/>
    </row>
    <row r="9095" spans="1:12" x14ac:dyDescent="0.3">
      <c r="A9095" t="s">
        <v>9101</v>
      </c>
      <c r="B9095" t="s">
        <v>10012</v>
      </c>
      <c r="C9095">
        <v>3</v>
      </c>
      <c r="D9095">
        <v>4</v>
      </c>
      <c r="E9095">
        <v>12</v>
      </c>
      <c r="F9095" t="s">
        <v>10018</v>
      </c>
      <c r="G9095" t="s">
        <v>10021</v>
      </c>
      <c r="H9095" s="6">
        <v>45021</v>
      </c>
      <c r="I9095">
        <f t="shared" si="284"/>
        <v>0</v>
      </c>
      <c r="J9095" t="str">
        <f t="shared" si="285"/>
        <v>Complete</v>
      </c>
      <c r="K9095">
        <f>COUNTIFS(RawData[Item], B9095,RawData[Quantity],C9095,RawData[Price Per Unit],D9095,RawData[Total Spent],E9095,RawData[Payment Method],F9095,RawData[Location],G9095,RawData[Transaction Date],H9095)</f>
        <v>1</v>
      </c>
      <c r="L9095"/>
    </row>
    <row r="9096" spans="1:12" x14ac:dyDescent="0.3">
      <c r="A9096" t="s">
        <v>9102</v>
      </c>
      <c r="B9096" t="s">
        <v>10010</v>
      </c>
      <c r="C9096">
        <v>2</v>
      </c>
      <c r="D9096">
        <v>1</v>
      </c>
      <c r="E9096">
        <v>2</v>
      </c>
      <c r="F9096" t="s">
        <v>10020</v>
      </c>
      <c r="G9096" t="s">
        <v>10102</v>
      </c>
      <c r="H9096" s="6">
        <v>45203</v>
      </c>
      <c r="I9096">
        <f t="shared" si="284"/>
        <v>0</v>
      </c>
      <c r="J9096" t="str">
        <f t="shared" si="285"/>
        <v>Complete</v>
      </c>
      <c r="K9096">
        <f>COUNTIFS(RawData[Item], B9096,RawData[Quantity],C9096,RawData[Price Per Unit],D9096,RawData[Total Spent],E9096,RawData[Payment Method],F9096,RawData[Location],G9096,RawData[Transaction Date],H9096)</f>
        <v>1</v>
      </c>
      <c r="L9096"/>
    </row>
    <row r="9097" spans="1:12" x14ac:dyDescent="0.3">
      <c r="A9097" t="s">
        <v>9103</v>
      </c>
      <c r="B9097" t="s">
        <v>10012</v>
      </c>
      <c r="C9097">
        <v>5</v>
      </c>
      <c r="D9097">
        <v>4</v>
      </c>
      <c r="E9097">
        <v>20</v>
      </c>
      <c r="F9097" t="s">
        <v>10069</v>
      </c>
      <c r="G9097" t="s">
        <v>10021</v>
      </c>
      <c r="H9097" s="6">
        <v>45161</v>
      </c>
      <c r="I9097">
        <f t="shared" si="284"/>
        <v>0</v>
      </c>
      <c r="J9097" t="str">
        <f t="shared" si="285"/>
        <v>Complete</v>
      </c>
      <c r="K9097">
        <f>COUNTIFS(RawData[Item], B9097,RawData[Quantity],C9097,RawData[Price Per Unit],D9097,RawData[Total Spent],E9097,RawData[Payment Method],F9097,RawData[Location],G9097,RawData[Transaction Date],H9097)</f>
        <v>1</v>
      </c>
      <c r="L9097"/>
    </row>
    <row r="9098" spans="1:12" x14ac:dyDescent="0.3">
      <c r="A9098" t="s">
        <v>9104</v>
      </c>
      <c r="B9098" t="s">
        <v>10014</v>
      </c>
      <c r="C9098">
        <v>3</v>
      </c>
      <c r="D9098">
        <v>4</v>
      </c>
      <c r="E9098">
        <v>12</v>
      </c>
      <c r="F9098" t="s">
        <v>10019</v>
      </c>
      <c r="G9098" t="s">
        <v>10102</v>
      </c>
      <c r="H9098" s="6">
        <v>45242</v>
      </c>
      <c r="I9098">
        <f t="shared" si="284"/>
        <v>0</v>
      </c>
      <c r="J9098" t="str">
        <f t="shared" si="285"/>
        <v>Complete</v>
      </c>
      <c r="K9098">
        <f>COUNTIFS(RawData[Item], B9098,RawData[Quantity],C9098,RawData[Price Per Unit],D9098,RawData[Total Spent],E9098,RawData[Payment Method],F9098,RawData[Location],G9098,RawData[Transaction Date],H9098)</f>
        <v>1</v>
      </c>
      <c r="L9098"/>
    </row>
    <row r="9099" spans="1:12" x14ac:dyDescent="0.3">
      <c r="A9099" t="s">
        <v>9105</v>
      </c>
      <c r="B9099" t="s">
        <v>10014</v>
      </c>
      <c r="C9099">
        <v>5</v>
      </c>
      <c r="D9099">
        <v>4</v>
      </c>
      <c r="E9099">
        <v>20</v>
      </c>
      <c r="F9099" t="s">
        <v>10069</v>
      </c>
      <c r="G9099" t="s">
        <v>10021</v>
      </c>
      <c r="H9099" s="6">
        <v>44998</v>
      </c>
      <c r="I9099">
        <f t="shared" si="284"/>
        <v>0</v>
      </c>
      <c r="J9099" t="str">
        <f t="shared" si="285"/>
        <v>Complete</v>
      </c>
      <c r="K9099">
        <f>COUNTIFS(RawData[Item], B9099,RawData[Quantity],C9099,RawData[Price Per Unit],D9099,RawData[Total Spent],E9099,RawData[Payment Method],F9099,RawData[Location],G9099,RawData[Transaction Date],H9099)</f>
        <v>1</v>
      </c>
      <c r="L9099"/>
    </row>
    <row r="9100" spans="1:12" x14ac:dyDescent="0.3">
      <c r="A9100" t="s">
        <v>9106</v>
      </c>
      <c r="B9100" t="s">
        <v>10017</v>
      </c>
      <c r="C9100">
        <v>2</v>
      </c>
      <c r="D9100">
        <v>1.5</v>
      </c>
      <c r="E9100">
        <v>3</v>
      </c>
      <c r="F9100" t="s">
        <v>10069</v>
      </c>
      <c r="G9100" t="s">
        <v>10021</v>
      </c>
      <c r="H9100" s="6">
        <v>45055</v>
      </c>
      <c r="I9100">
        <f t="shared" si="284"/>
        <v>0</v>
      </c>
      <c r="J9100" t="str">
        <f t="shared" si="285"/>
        <v>Complete</v>
      </c>
      <c r="K9100">
        <f>COUNTIFS(RawData[Item], B9100,RawData[Quantity],C9100,RawData[Price Per Unit],D9100,RawData[Total Spent],E9100,RawData[Payment Method],F9100,RawData[Location],G9100,RawData[Transaction Date],H9100)</f>
        <v>1</v>
      </c>
      <c r="L9100"/>
    </row>
    <row r="9101" spans="1:12" x14ac:dyDescent="0.3">
      <c r="A9101" t="s">
        <v>9107</v>
      </c>
      <c r="B9101" t="s">
        <v>10015</v>
      </c>
      <c r="C9101">
        <v>2</v>
      </c>
      <c r="D9101">
        <v>3</v>
      </c>
      <c r="E9101">
        <v>6</v>
      </c>
      <c r="F9101" t="s">
        <v>10069</v>
      </c>
      <c r="G9101" t="s">
        <v>10021</v>
      </c>
      <c r="H9101" s="6">
        <v>45290</v>
      </c>
      <c r="I9101">
        <f t="shared" si="284"/>
        <v>1</v>
      </c>
      <c r="J9101" t="str">
        <f t="shared" si="285"/>
        <v>Complete</v>
      </c>
      <c r="K9101">
        <f>COUNTIFS(RawData[Item], B9101,RawData[Quantity],C9101,RawData[Price Per Unit],D9101,RawData[Total Spent],E9101,RawData[Payment Method],F9101,RawData[Location],G9101,RawData[Transaction Date],H9101)</f>
        <v>1</v>
      </c>
      <c r="L9101"/>
    </row>
    <row r="9102" spans="1:12" x14ac:dyDescent="0.3">
      <c r="A9102" t="s">
        <v>9108</v>
      </c>
      <c r="B9102" t="s">
        <v>10016</v>
      </c>
      <c r="C9102">
        <v>3</v>
      </c>
      <c r="D9102">
        <v>3</v>
      </c>
      <c r="E9102">
        <v>9</v>
      </c>
      <c r="F9102" t="s">
        <v>10020</v>
      </c>
      <c r="G9102" t="s">
        <v>10102</v>
      </c>
      <c r="H9102" s="6">
        <v>45213</v>
      </c>
      <c r="I9102">
        <f t="shared" si="284"/>
        <v>0</v>
      </c>
      <c r="J9102" t="str">
        <f t="shared" si="285"/>
        <v>Complete</v>
      </c>
      <c r="K9102">
        <f>COUNTIFS(RawData[Item], B9102,RawData[Quantity],C9102,RawData[Price Per Unit],D9102,RawData[Total Spent],E9102,RawData[Payment Method],F9102,RawData[Location],G9102,RawData[Transaction Date],H9102)</f>
        <v>1</v>
      </c>
      <c r="L9102"/>
    </row>
    <row r="9103" spans="1:12" x14ac:dyDescent="0.3">
      <c r="A9103" t="s">
        <v>9109</v>
      </c>
      <c r="B9103" t="s">
        <v>10008</v>
      </c>
      <c r="C9103">
        <v>4</v>
      </c>
      <c r="D9103">
        <v>2</v>
      </c>
      <c r="E9103">
        <v>8</v>
      </c>
      <c r="F9103" t="s">
        <v>10018</v>
      </c>
      <c r="G9103" t="s">
        <v>10069</v>
      </c>
      <c r="H9103" s="6">
        <v>44967</v>
      </c>
      <c r="I9103">
        <f t="shared" si="284"/>
        <v>0</v>
      </c>
      <c r="J9103" t="str">
        <f t="shared" si="285"/>
        <v>Complete</v>
      </c>
      <c r="K9103">
        <f>COUNTIFS(RawData[Item], B9103,RawData[Quantity],C9103,RawData[Price Per Unit],D9103,RawData[Total Spent],E9103,RawData[Payment Method],F9103,RawData[Location],G9103,RawData[Transaction Date],H9103)</f>
        <v>1</v>
      </c>
      <c r="L9103"/>
    </row>
    <row r="9104" spans="1:12" x14ac:dyDescent="0.3">
      <c r="A9104" t="s">
        <v>9110</v>
      </c>
      <c r="B9104" t="s">
        <v>10016</v>
      </c>
      <c r="C9104">
        <v>4</v>
      </c>
      <c r="D9104">
        <v>3</v>
      </c>
      <c r="E9104">
        <v>12</v>
      </c>
      <c r="F9104" t="s">
        <v>10018</v>
      </c>
      <c r="G9104" t="s">
        <v>10102</v>
      </c>
      <c r="H9104" s="6">
        <v>45060</v>
      </c>
      <c r="I9104">
        <f t="shared" si="284"/>
        <v>0</v>
      </c>
      <c r="J9104" t="str">
        <f t="shared" si="285"/>
        <v>Complete</v>
      </c>
      <c r="K9104">
        <f>COUNTIFS(RawData[Item], B9104,RawData[Quantity],C9104,RawData[Price Per Unit],D9104,RawData[Total Spent],E9104,RawData[Payment Method],F9104,RawData[Location],G9104,RawData[Transaction Date],H9104)</f>
        <v>1</v>
      </c>
      <c r="L9104"/>
    </row>
    <row r="9105" spans="1:12" x14ac:dyDescent="0.3">
      <c r="A9105" t="s">
        <v>9111</v>
      </c>
      <c r="B9105" t="s">
        <v>10008</v>
      </c>
      <c r="C9105">
        <v>3</v>
      </c>
      <c r="D9105">
        <v>2</v>
      </c>
      <c r="E9105">
        <v>6</v>
      </c>
      <c r="F9105" t="s">
        <v>10020</v>
      </c>
      <c r="G9105" t="s">
        <v>10103</v>
      </c>
      <c r="H9105" s="6">
        <v>45259</v>
      </c>
      <c r="I9105">
        <f t="shared" si="284"/>
        <v>1</v>
      </c>
      <c r="J9105" t="str">
        <f t="shared" si="285"/>
        <v>Complete</v>
      </c>
      <c r="K9105">
        <f>COUNTIFS(RawData[Item], B9105,RawData[Quantity],C9105,RawData[Price Per Unit],D9105,RawData[Total Spent],E9105,RawData[Payment Method],F9105,RawData[Location],G9105,RawData[Transaction Date],H9105)</f>
        <v>1</v>
      </c>
      <c r="L9105"/>
    </row>
    <row r="9106" spans="1:12" x14ac:dyDescent="0.3">
      <c r="A9106" t="s">
        <v>9112</v>
      </c>
      <c r="B9106" t="s">
        <v>10010</v>
      </c>
      <c r="C9106">
        <v>3</v>
      </c>
      <c r="D9106">
        <v>1</v>
      </c>
      <c r="E9106">
        <v>3</v>
      </c>
      <c r="F9106" t="s">
        <v>10069</v>
      </c>
      <c r="G9106" t="s">
        <v>10102</v>
      </c>
      <c r="H9106" s="6">
        <v>45066</v>
      </c>
      <c r="I9106">
        <f t="shared" si="284"/>
        <v>0</v>
      </c>
      <c r="J9106" t="str">
        <f t="shared" si="285"/>
        <v>Complete</v>
      </c>
      <c r="K9106">
        <f>COUNTIFS(RawData[Item], B9106,RawData[Quantity],C9106,RawData[Price Per Unit],D9106,RawData[Total Spent],E9106,RawData[Payment Method],F9106,RawData[Location],G9106,RawData[Transaction Date],H9106)</f>
        <v>1</v>
      </c>
      <c r="L9106"/>
    </row>
    <row r="9107" spans="1:12" x14ac:dyDescent="0.3">
      <c r="A9107" t="s">
        <v>9113</v>
      </c>
      <c r="B9107" t="s">
        <v>10010</v>
      </c>
      <c r="C9107">
        <v>2</v>
      </c>
      <c r="D9107">
        <v>1</v>
      </c>
      <c r="E9107">
        <v>2</v>
      </c>
      <c r="F9107" t="s">
        <v>10020</v>
      </c>
      <c r="G9107" t="s">
        <v>10021</v>
      </c>
      <c r="H9107" s="6" t="s">
        <v>10112</v>
      </c>
      <c r="I9107">
        <f t="shared" si="284"/>
        <v>1</v>
      </c>
      <c r="J9107" t="str">
        <f t="shared" si="285"/>
        <v>Incomplete</v>
      </c>
      <c r="K9107">
        <f>COUNTIFS(RawData[Item], B9107,RawData[Quantity],C9107,RawData[Price Per Unit],D9107,RawData[Total Spent],E9107,RawData[Payment Method],F9107,RawData[Location],G9107,RawData[Transaction Date],H9107)</f>
        <v>2</v>
      </c>
      <c r="L9107"/>
    </row>
    <row r="9108" spans="1:12" x14ac:dyDescent="0.3">
      <c r="A9108" t="s">
        <v>9114</v>
      </c>
      <c r="B9108" t="s">
        <v>10011</v>
      </c>
      <c r="C9108">
        <v>1</v>
      </c>
      <c r="D9108">
        <v>5</v>
      </c>
      <c r="E9108">
        <v>5</v>
      </c>
      <c r="F9108" t="s">
        <v>10069</v>
      </c>
      <c r="G9108" t="s">
        <v>10069</v>
      </c>
      <c r="H9108" s="6">
        <v>45105</v>
      </c>
      <c r="I9108">
        <f t="shared" si="284"/>
        <v>0</v>
      </c>
      <c r="J9108" t="str">
        <f t="shared" si="285"/>
        <v>Complete</v>
      </c>
      <c r="K9108">
        <f>COUNTIFS(RawData[Item], B9108,RawData[Quantity],C9108,RawData[Price Per Unit],D9108,RawData[Total Spent],E9108,RawData[Payment Method],F9108,RawData[Location],G9108,RawData[Transaction Date],H9108)</f>
        <v>1</v>
      </c>
      <c r="L9108"/>
    </row>
    <row r="9109" spans="1:12" x14ac:dyDescent="0.3">
      <c r="A9109" t="s">
        <v>9115</v>
      </c>
      <c r="B9109" t="s">
        <v>10069</v>
      </c>
      <c r="C9109">
        <v>5</v>
      </c>
      <c r="D9109">
        <v>4</v>
      </c>
      <c r="E9109">
        <v>20</v>
      </c>
      <c r="F9109" t="s">
        <v>10019</v>
      </c>
      <c r="G9109" t="s">
        <v>10021</v>
      </c>
      <c r="H9109" s="6">
        <v>45050</v>
      </c>
      <c r="I9109">
        <f t="shared" si="284"/>
        <v>0</v>
      </c>
      <c r="J9109" t="str">
        <f t="shared" si="285"/>
        <v>Complete</v>
      </c>
      <c r="K9109">
        <f>COUNTIFS(RawData[Item], B9109,RawData[Quantity],C9109,RawData[Price Per Unit],D9109,RawData[Total Spent],E9109,RawData[Payment Method],F9109,RawData[Location],G9109,RawData[Transaction Date],H9109)</f>
        <v>1</v>
      </c>
      <c r="L9109"/>
    </row>
    <row r="9110" spans="1:12" x14ac:dyDescent="0.3">
      <c r="A9110" t="s">
        <v>9116</v>
      </c>
      <c r="B9110" t="s">
        <v>10011</v>
      </c>
      <c r="C9110">
        <v>5</v>
      </c>
      <c r="D9110">
        <v>5</v>
      </c>
      <c r="E9110">
        <v>25</v>
      </c>
      <c r="F9110" t="s">
        <v>10018</v>
      </c>
      <c r="G9110" t="s">
        <v>10069</v>
      </c>
      <c r="H9110" s="6">
        <v>45285</v>
      </c>
      <c r="I9110">
        <f t="shared" si="284"/>
        <v>0</v>
      </c>
      <c r="J9110" t="str">
        <f t="shared" si="285"/>
        <v>Complete</v>
      </c>
      <c r="K9110">
        <f>COUNTIFS(RawData[Item], B9110,RawData[Quantity],C9110,RawData[Price Per Unit],D9110,RawData[Total Spent],E9110,RawData[Payment Method],F9110,RawData[Location],G9110,RawData[Transaction Date],H9110)</f>
        <v>1</v>
      </c>
      <c r="L9110"/>
    </row>
    <row r="9111" spans="1:12" x14ac:dyDescent="0.3">
      <c r="A9111" t="s">
        <v>9117</v>
      </c>
      <c r="B9111" t="s">
        <v>10017</v>
      </c>
      <c r="C9111">
        <v>1</v>
      </c>
      <c r="D9111">
        <v>1.5</v>
      </c>
      <c r="E9111">
        <v>1.5</v>
      </c>
      <c r="F9111" t="s">
        <v>10018</v>
      </c>
      <c r="G9111" t="s">
        <v>10069</v>
      </c>
      <c r="H9111" s="6">
        <v>45277</v>
      </c>
      <c r="I9111">
        <f t="shared" si="284"/>
        <v>0</v>
      </c>
      <c r="J9111" t="str">
        <f t="shared" si="285"/>
        <v>Complete</v>
      </c>
      <c r="K9111">
        <f>COUNTIFS(RawData[Item], B9111,RawData[Quantity],C9111,RawData[Price Per Unit],D9111,RawData[Total Spent],E9111,RawData[Payment Method],F9111,RawData[Location],G9111,RawData[Transaction Date],H9111)</f>
        <v>1</v>
      </c>
      <c r="L9111"/>
    </row>
    <row r="9112" spans="1:12" x14ac:dyDescent="0.3">
      <c r="A9112" t="s">
        <v>9118</v>
      </c>
      <c r="B9112" t="s">
        <v>10008</v>
      </c>
      <c r="C9112">
        <v>5</v>
      </c>
      <c r="D9112">
        <v>2</v>
      </c>
      <c r="E9112">
        <v>10</v>
      </c>
      <c r="F9112" t="s">
        <v>10069</v>
      </c>
      <c r="G9112" t="s">
        <v>10069</v>
      </c>
      <c r="H9112" s="6">
        <v>45203</v>
      </c>
      <c r="I9112">
        <f t="shared" si="284"/>
        <v>0</v>
      </c>
      <c r="J9112" t="str">
        <f t="shared" si="285"/>
        <v>Complete</v>
      </c>
      <c r="K9112">
        <f>COUNTIFS(RawData[Item], B9112,RawData[Quantity],C9112,RawData[Price Per Unit],D9112,RawData[Total Spent],E9112,RawData[Payment Method],F9112,RawData[Location],G9112,RawData[Transaction Date],H9112)</f>
        <v>1</v>
      </c>
      <c r="L9112"/>
    </row>
    <row r="9113" spans="1:12" x14ac:dyDescent="0.3">
      <c r="A9113" t="s">
        <v>9119</v>
      </c>
      <c r="B9113" t="s">
        <v>10016</v>
      </c>
      <c r="C9113">
        <v>3</v>
      </c>
      <c r="D9113">
        <v>3</v>
      </c>
      <c r="E9113">
        <v>9</v>
      </c>
      <c r="F9113" t="s">
        <v>10018</v>
      </c>
      <c r="G9113" t="s">
        <v>10069</v>
      </c>
      <c r="H9113" s="6">
        <v>45144</v>
      </c>
      <c r="I9113">
        <f t="shared" si="284"/>
        <v>0</v>
      </c>
      <c r="J9113" t="str">
        <f t="shared" si="285"/>
        <v>Complete</v>
      </c>
      <c r="K9113">
        <f>COUNTIFS(RawData[Item], B9113,RawData[Quantity],C9113,RawData[Price Per Unit],D9113,RawData[Total Spent],E9113,RawData[Payment Method],F9113,RawData[Location],G9113,RawData[Transaction Date],H9113)</f>
        <v>1</v>
      </c>
      <c r="L9113"/>
    </row>
    <row r="9114" spans="1:12" x14ac:dyDescent="0.3">
      <c r="A9114" t="s">
        <v>9120</v>
      </c>
      <c r="B9114" t="s">
        <v>10011</v>
      </c>
      <c r="C9114">
        <v>1</v>
      </c>
      <c r="D9114">
        <v>5</v>
      </c>
      <c r="E9114">
        <v>5</v>
      </c>
      <c r="F9114" t="s">
        <v>10018</v>
      </c>
      <c r="G9114" t="s">
        <v>10102</v>
      </c>
      <c r="H9114" s="6">
        <v>45115</v>
      </c>
      <c r="I9114">
        <f t="shared" si="284"/>
        <v>0</v>
      </c>
      <c r="J9114" t="str">
        <f t="shared" si="285"/>
        <v>Complete</v>
      </c>
      <c r="K9114">
        <f>COUNTIFS(RawData[Item], B9114,RawData[Quantity],C9114,RawData[Price Per Unit],D9114,RawData[Total Spent],E9114,RawData[Payment Method],F9114,RawData[Location],G9114,RawData[Transaction Date],H9114)</f>
        <v>1</v>
      </c>
      <c r="L9114"/>
    </row>
    <row r="9115" spans="1:12" x14ac:dyDescent="0.3">
      <c r="A9115" t="s">
        <v>9121</v>
      </c>
      <c r="B9115" t="s">
        <v>10012</v>
      </c>
      <c r="C9115">
        <v>5</v>
      </c>
      <c r="D9115">
        <v>4</v>
      </c>
      <c r="E9115">
        <v>20</v>
      </c>
      <c r="F9115" t="s">
        <v>10020</v>
      </c>
      <c r="G9115" t="s">
        <v>10021</v>
      </c>
      <c r="H9115" s="6" t="s">
        <v>10112</v>
      </c>
      <c r="I9115">
        <f t="shared" si="284"/>
        <v>1</v>
      </c>
      <c r="J9115" t="str">
        <f t="shared" si="285"/>
        <v>Incomplete</v>
      </c>
      <c r="K9115">
        <f>COUNTIFS(RawData[Item], B9115,RawData[Quantity],C9115,RawData[Price Per Unit],D9115,RawData[Total Spent],E9115,RawData[Payment Method],F9115,RawData[Location],G9115,RawData[Transaction Date],H9115)</f>
        <v>1</v>
      </c>
      <c r="L9115"/>
    </row>
    <row r="9116" spans="1:12" x14ac:dyDescent="0.3">
      <c r="A9116" t="s">
        <v>9122</v>
      </c>
      <c r="B9116" t="s">
        <v>10009</v>
      </c>
      <c r="C9116">
        <v>4</v>
      </c>
      <c r="D9116">
        <v>3</v>
      </c>
      <c r="E9116">
        <v>0</v>
      </c>
      <c r="F9116" t="s">
        <v>10069</v>
      </c>
      <c r="G9116" t="s">
        <v>10069</v>
      </c>
      <c r="H9116" s="6">
        <v>44978</v>
      </c>
      <c r="I9116">
        <f t="shared" si="284"/>
        <v>0</v>
      </c>
      <c r="J9116" t="str">
        <f t="shared" si="285"/>
        <v>Complete</v>
      </c>
      <c r="K9116">
        <f>COUNTIFS(RawData[Item], B9116,RawData[Quantity],C9116,RawData[Price Per Unit],D9116,RawData[Total Spent],E9116,RawData[Payment Method],F9116,RawData[Location],G9116,RawData[Transaction Date],H9116)</f>
        <v>1</v>
      </c>
      <c r="L9116"/>
    </row>
    <row r="9117" spans="1:12" x14ac:dyDescent="0.3">
      <c r="A9117" t="s">
        <v>9123</v>
      </c>
      <c r="B9117" t="s">
        <v>10016</v>
      </c>
      <c r="C9117">
        <v>1</v>
      </c>
      <c r="D9117">
        <v>3</v>
      </c>
      <c r="E9117">
        <v>3</v>
      </c>
      <c r="F9117" t="s">
        <v>10020</v>
      </c>
      <c r="G9117" t="s">
        <v>10104</v>
      </c>
      <c r="H9117" s="6">
        <v>45244</v>
      </c>
      <c r="I9117">
        <f t="shared" si="284"/>
        <v>1</v>
      </c>
      <c r="J9117" t="str">
        <f t="shared" si="285"/>
        <v>Complete</v>
      </c>
      <c r="K9117">
        <f>COUNTIFS(RawData[Item], B9117,RawData[Quantity],C9117,RawData[Price Per Unit],D9117,RawData[Total Spent],E9117,RawData[Payment Method],F9117,RawData[Location],G9117,RawData[Transaction Date],H9117)</f>
        <v>1</v>
      </c>
      <c r="L9117"/>
    </row>
    <row r="9118" spans="1:12" x14ac:dyDescent="0.3">
      <c r="A9118" t="s">
        <v>9124</v>
      </c>
      <c r="B9118" t="s">
        <v>10014</v>
      </c>
      <c r="C9118">
        <v>3</v>
      </c>
      <c r="D9118">
        <v>4</v>
      </c>
      <c r="E9118">
        <v>12</v>
      </c>
      <c r="F9118" t="s">
        <v>10018</v>
      </c>
      <c r="G9118" t="s">
        <v>10069</v>
      </c>
      <c r="H9118" s="6">
        <v>45233</v>
      </c>
      <c r="I9118">
        <f t="shared" si="284"/>
        <v>0</v>
      </c>
      <c r="J9118" t="str">
        <f t="shared" si="285"/>
        <v>Complete</v>
      </c>
      <c r="K9118">
        <f>COUNTIFS(RawData[Item], B9118,RawData[Quantity],C9118,RawData[Price Per Unit],D9118,RawData[Total Spent],E9118,RawData[Payment Method],F9118,RawData[Location],G9118,RawData[Transaction Date],H9118)</f>
        <v>1</v>
      </c>
      <c r="L9118"/>
    </row>
    <row r="9119" spans="1:12" x14ac:dyDescent="0.3">
      <c r="A9119" t="s">
        <v>9125</v>
      </c>
      <c r="B9119" t="s">
        <v>10015</v>
      </c>
      <c r="C9119">
        <v>5</v>
      </c>
      <c r="D9119">
        <v>3</v>
      </c>
      <c r="E9119">
        <v>15</v>
      </c>
      <c r="F9119" t="s">
        <v>10019</v>
      </c>
      <c r="G9119" t="s">
        <v>10102</v>
      </c>
      <c r="H9119" s="6">
        <v>45018</v>
      </c>
      <c r="I9119">
        <f t="shared" si="284"/>
        <v>1</v>
      </c>
      <c r="J9119" t="str">
        <f t="shared" si="285"/>
        <v>Complete</v>
      </c>
      <c r="K9119">
        <f>COUNTIFS(RawData[Item], B9119,RawData[Quantity],C9119,RawData[Price Per Unit],D9119,RawData[Total Spent],E9119,RawData[Payment Method],F9119,RawData[Location],G9119,RawData[Transaction Date],H9119)</f>
        <v>1</v>
      </c>
      <c r="L9119"/>
    </row>
    <row r="9120" spans="1:12" x14ac:dyDescent="0.3">
      <c r="A9120" t="s">
        <v>9126</v>
      </c>
      <c r="B9120" t="s">
        <v>10012</v>
      </c>
      <c r="C9120">
        <v>5</v>
      </c>
      <c r="D9120">
        <v>4</v>
      </c>
      <c r="E9120">
        <v>20</v>
      </c>
      <c r="F9120" t="s">
        <v>10020</v>
      </c>
      <c r="G9120" t="s">
        <v>10021</v>
      </c>
      <c r="H9120" s="6">
        <v>45205</v>
      </c>
      <c r="I9120">
        <f t="shared" si="284"/>
        <v>0</v>
      </c>
      <c r="J9120" t="str">
        <f t="shared" si="285"/>
        <v>Complete</v>
      </c>
      <c r="K9120">
        <f>COUNTIFS(RawData[Item], B9120,RawData[Quantity],C9120,RawData[Price Per Unit],D9120,RawData[Total Spent],E9120,RawData[Payment Method],F9120,RawData[Location],G9120,RawData[Transaction Date],H9120)</f>
        <v>1</v>
      </c>
      <c r="L9120"/>
    </row>
    <row r="9121" spans="1:12" x14ac:dyDescent="0.3">
      <c r="A9121" t="s">
        <v>9127</v>
      </c>
      <c r="B9121" t="s">
        <v>10010</v>
      </c>
      <c r="C9121">
        <v>2</v>
      </c>
      <c r="D9121">
        <v>1</v>
      </c>
      <c r="E9121">
        <v>2</v>
      </c>
      <c r="F9121" t="s">
        <v>10018</v>
      </c>
      <c r="G9121" t="s">
        <v>10102</v>
      </c>
      <c r="H9121" s="6">
        <v>44999</v>
      </c>
      <c r="I9121">
        <f t="shared" si="284"/>
        <v>0</v>
      </c>
      <c r="J9121" t="str">
        <f t="shared" si="285"/>
        <v>Complete</v>
      </c>
      <c r="K9121">
        <f>COUNTIFS(RawData[Item], B9121,RawData[Quantity],C9121,RawData[Price Per Unit],D9121,RawData[Total Spent],E9121,RawData[Payment Method],F9121,RawData[Location],G9121,RawData[Transaction Date],H9121)</f>
        <v>1</v>
      </c>
      <c r="L9121"/>
    </row>
    <row r="9122" spans="1:12" x14ac:dyDescent="0.3">
      <c r="A9122" t="s">
        <v>9128</v>
      </c>
      <c r="B9122" t="s">
        <v>10009</v>
      </c>
      <c r="C9122">
        <v>1</v>
      </c>
      <c r="D9122">
        <v>3</v>
      </c>
      <c r="E9122">
        <v>3</v>
      </c>
      <c r="F9122" t="s">
        <v>10069</v>
      </c>
      <c r="G9122" t="s">
        <v>10069</v>
      </c>
      <c r="H9122" s="6">
        <v>45242</v>
      </c>
      <c r="I9122">
        <f t="shared" si="284"/>
        <v>0</v>
      </c>
      <c r="J9122" t="str">
        <f t="shared" si="285"/>
        <v>Complete</v>
      </c>
      <c r="K9122">
        <f>COUNTIFS(RawData[Item], B9122,RawData[Quantity],C9122,RawData[Price Per Unit],D9122,RawData[Total Spent],E9122,RawData[Payment Method],F9122,RawData[Location],G9122,RawData[Transaction Date],H9122)</f>
        <v>1</v>
      </c>
      <c r="L9122"/>
    </row>
    <row r="9123" spans="1:12" x14ac:dyDescent="0.3">
      <c r="A9123" t="s">
        <v>9129</v>
      </c>
      <c r="B9123" t="s">
        <v>10008</v>
      </c>
      <c r="C9123">
        <v>1</v>
      </c>
      <c r="D9123">
        <v>2</v>
      </c>
      <c r="E9123">
        <v>2</v>
      </c>
      <c r="F9123" t="s">
        <v>10069</v>
      </c>
      <c r="G9123" t="s">
        <v>10102</v>
      </c>
      <c r="H9123" s="6">
        <v>45089</v>
      </c>
      <c r="I9123">
        <f t="shared" si="284"/>
        <v>0</v>
      </c>
      <c r="J9123" t="str">
        <f t="shared" si="285"/>
        <v>Complete</v>
      </c>
      <c r="K9123">
        <f>COUNTIFS(RawData[Item], B9123,RawData[Quantity],C9123,RawData[Price Per Unit],D9123,RawData[Total Spent],E9123,RawData[Payment Method],F9123,RawData[Location],G9123,RawData[Transaction Date],H9123)</f>
        <v>1</v>
      </c>
      <c r="L9123"/>
    </row>
    <row r="9124" spans="1:12" x14ac:dyDescent="0.3">
      <c r="A9124" t="s">
        <v>9130</v>
      </c>
      <c r="B9124" t="s">
        <v>10014</v>
      </c>
      <c r="C9124">
        <v>5</v>
      </c>
      <c r="D9124">
        <v>4</v>
      </c>
      <c r="E9124">
        <v>20</v>
      </c>
      <c r="F9124" t="s">
        <v>10018</v>
      </c>
      <c r="G9124" t="s">
        <v>10021</v>
      </c>
      <c r="H9124" s="6">
        <v>45189</v>
      </c>
      <c r="I9124">
        <f t="shared" si="284"/>
        <v>0</v>
      </c>
      <c r="J9124" t="str">
        <f t="shared" si="285"/>
        <v>Complete</v>
      </c>
      <c r="K9124">
        <f>COUNTIFS(RawData[Item], B9124,RawData[Quantity],C9124,RawData[Price Per Unit],D9124,RawData[Total Spent],E9124,RawData[Payment Method],F9124,RawData[Location],G9124,RawData[Transaction Date],H9124)</f>
        <v>1</v>
      </c>
      <c r="L9124"/>
    </row>
    <row r="9125" spans="1:12" x14ac:dyDescent="0.3">
      <c r="A9125" t="s">
        <v>9131</v>
      </c>
      <c r="B9125" t="s">
        <v>10010</v>
      </c>
      <c r="C9125">
        <v>2</v>
      </c>
      <c r="D9125">
        <v>1</v>
      </c>
      <c r="E9125">
        <v>2</v>
      </c>
      <c r="F9125" t="s">
        <v>10018</v>
      </c>
      <c r="G9125" t="s">
        <v>10069</v>
      </c>
      <c r="H9125" s="6">
        <v>45079</v>
      </c>
      <c r="I9125">
        <f t="shared" si="284"/>
        <v>0</v>
      </c>
      <c r="J9125" t="str">
        <f t="shared" si="285"/>
        <v>Complete</v>
      </c>
      <c r="K9125">
        <f>COUNTIFS(RawData[Item], B9125,RawData[Quantity],C9125,RawData[Price Per Unit],D9125,RawData[Total Spent],E9125,RawData[Payment Method],F9125,RawData[Location],G9125,RawData[Transaction Date],H9125)</f>
        <v>1</v>
      </c>
      <c r="L9125"/>
    </row>
    <row r="9126" spans="1:12" x14ac:dyDescent="0.3">
      <c r="A9126" t="s">
        <v>9132</v>
      </c>
      <c r="B9126" t="s">
        <v>10011</v>
      </c>
      <c r="C9126">
        <v>1</v>
      </c>
      <c r="D9126">
        <v>5</v>
      </c>
      <c r="E9126">
        <v>5</v>
      </c>
      <c r="F9126" t="s">
        <v>10019</v>
      </c>
      <c r="G9126" t="s">
        <v>10021</v>
      </c>
      <c r="H9126" s="6">
        <v>45122</v>
      </c>
      <c r="I9126">
        <f t="shared" si="284"/>
        <v>0</v>
      </c>
      <c r="J9126" t="str">
        <f t="shared" si="285"/>
        <v>Complete</v>
      </c>
      <c r="K9126">
        <f>COUNTIFS(RawData[Item], B9126,RawData[Quantity],C9126,RawData[Price Per Unit],D9126,RawData[Total Spent],E9126,RawData[Payment Method],F9126,RawData[Location],G9126,RawData[Transaction Date],H9126)</f>
        <v>1</v>
      </c>
      <c r="L9126"/>
    </row>
    <row r="9127" spans="1:12" x14ac:dyDescent="0.3">
      <c r="A9127" t="s">
        <v>9133</v>
      </c>
      <c r="B9127" t="s">
        <v>10012</v>
      </c>
      <c r="C9127">
        <v>1</v>
      </c>
      <c r="D9127">
        <v>4</v>
      </c>
      <c r="E9127">
        <v>4</v>
      </c>
      <c r="F9127" t="s">
        <v>10069</v>
      </c>
      <c r="G9127" t="s">
        <v>10102</v>
      </c>
      <c r="H9127" s="6">
        <v>45141</v>
      </c>
      <c r="I9127">
        <f t="shared" si="284"/>
        <v>0</v>
      </c>
      <c r="J9127" t="str">
        <f t="shared" si="285"/>
        <v>Complete</v>
      </c>
      <c r="K9127">
        <f>COUNTIFS(RawData[Item], B9127,RawData[Quantity],C9127,RawData[Price Per Unit],D9127,RawData[Total Spent],E9127,RawData[Payment Method],F9127,RawData[Location],G9127,RawData[Transaction Date],H9127)</f>
        <v>1</v>
      </c>
      <c r="L9127"/>
    </row>
    <row r="9128" spans="1:12" x14ac:dyDescent="0.3">
      <c r="A9128" t="s">
        <v>9134</v>
      </c>
      <c r="B9128" t="s">
        <v>10010</v>
      </c>
      <c r="C9128">
        <v>2</v>
      </c>
      <c r="D9128">
        <v>1</v>
      </c>
      <c r="E9128">
        <v>2</v>
      </c>
      <c r="F9128" t="s">
        <v>10020</v>
      </c>
      <c r="G9128" t="s">
        <v>10069</v>
      </c>
      <c r="H9128" s="6">
        <v>45132</v>
      </c>
      <c r="I9128">
        <f t="shared" si="284"/>
        <v>0</v>
      </c>
      <c r="J9128" t="str">
        <f t="shared" si="285"/>
        <v>Complete</v>
      </c>
      <c r="K9128">
        <f>COUNTIFS(RawData[Item], B9128,RawData[Quantity],C9128,RawData[Price Per Unit],D9128,RawData[Total Spent],E9128,RawData[Payment Method],F9128,RawData[Location],G9128,RawData[Transaction Date],H9128)</f>
        <v>1</v>
      </c>
      <c r="L9128"/>
    </row>
    <row r="9129" spans="1:12" x14ac:dyDescent="0.3">
      <c r="A9129" t="s">
        <v>9135</v>
      </c>
      <c r="B9129" t="s">
        <v>10009</v>
      </c>
      <c r="C9129">
        <v>4</v>
      </c>
      <c r="D9129">
        <v>3</v>
      </c>
      <c r="E9129">
        <v>12</v>
      </c>
      <c r="F9129" t="s">
        <v>10018</v>
      </c>
      <c r="G9129" t="s">
        <v>10021</v>
      </c>
      <c r="H9129" s="6">
        <v>45184</v>
      </c>
      <c r="I9129">
        <f t="shared" si="284"/>
        <v>0</v>
      </c>
      <c r="J9129" t="str">
        <f t="shared" si="285"/>
        <v>Complete</v>
      </c>
      <c r="K9129">
        <f>COUNTIFS(RawData[Item], B9129,RawData[Quantity],C9129,RawData[Price Per Unit],D9129,RawData[Total Spent],E9129,RawData[Payment Method],F9129,RawData[Location],G9129,RawData[Transaction Date],H9129)</f>
        <v>1</v>
      </c>
      <c r="L9129"/>
    </row>
    <row r="9130" spans="1:12" x14ac:dyDescent="0.3">
      <c r="A9130" t="s">
        <v>9136</v>
      </c>
      <c r="B9130" t="s">
        <v>10008</v>
      </c>
      <c r="C9130">
        <v>3</v>
      </c>
      <c r="D9130">
        <v>2</v>
      </c>
      <c r="E9130">
        <v>6</v>
      </c>
      <c r="F9130" t="s">
        <v>10019</v>
      </c>
      <c r="G9130" t="s">
        <v>10021</v>
      </c>
      <c r="H9130" s="6">
        <v>45206</v>
      </c>
      <c r="I9130">
        <f t="shared" si="284"/>
        <v>0</v>
      </c>
      <c r="J9130" t="str">
        <f t="shared" si="285"/>
        <v>Complete</v>
      </c>
      <c r="K9130">
        <f>COUNTIFS(RawData[Item], B9130,RawData[Quantity],C9130,RawData[Price Per Unit],D9130,RawData[Total Spent],E9130,RawData[Payment Method],F9130,RawData[Location],G9130,RawData[Transaction Date],H9130)</f>
        <v>1</v>
      </c>
      <c r="L9130"/>
    </row>
    <row r="9131" spans="1:12" x14ac:dyDescent="0.3">
      <c r="A9131" t="s">
        <v>9137</v>
      </c>
      <c r="B9131" t="s">
        <v>10012</v>
      </c>
      <c r="C9131">
        <v>4</v>
      </c>
      <c r="D9131">
        <v>4</v>
      </c>
      <c r="E9131">
        <v>16</v>
      </c>
      <c r="F9131" t="s">
        <v>10018</v>
      </c>
      <c r="G9131" t="s">
        <v>10069</v>
      </c>
      <c r="H9131" s="6">
        <v>45271</v>
      </c>
      <c r="I9131">
        <f t="shared" si="284"/>
        <v>0</v>
      </c>
      <c r="J9131" t="str">
        <f t="shared" si="285"/>
        <v>Complete</v>
      </c>
      <c r="K9131">
        <f>COUNTIFS(RawData[Item], B9131,RawData[Quantity],C9131,RawData[Price Per Unit],D9131,RawData[Total Spent],E9131,RawData[Payment Method],F9131,RawData[Location],G9131,RawData[Transaction Date],H9131)</f>
        <v>1</v>
      </c>
      <c r="L9131"/>
    </row>
    <row r="9132" spans="1:12" x14ac:dyDescent="0.3">
      <c r="A9132" t="s">
        <v>9138</v>
      </c>
      <c r="B9132" t="s">
        <v>10010</v>
      </c>
      <c r="C9132">
        <v>4</v>
      </c>
      <c r="D9132">
        <v>1</v>
      </c>
      <c r="E9132">
        <v>4</v>
      </c>
      <c r="F9132" t="s">
        <v>10019</v>
      </c>
      <c r="G9132" t="s">
        <v>10069</v>
      </c>
      <c r="H9132" s="6">
        <v>45105</v>
      </c>
      <c r="I9132">
        <f t="shared" si="284"/>
        <v>0</v>
      </c>
      <c r="J9132" t="str">
        <f t="shared" si="285"/>
        <v>Complete</v>
      </c>
      <c r="K9132">
        <f>COUNTIFS(RawData[Item], B9132,RawData[Quantity],C9132,RawData[Price Per Unit],D9132,RawData[Total Spent],E9132,RawData[Payment Method],F9132,RawData[Location],G9132,RawData[Transaction Date],H9132)</f>
        <v>1</v>
      </c>
      <c r="L9132"/>
    </row>
    <row r="9133" spans="1:12" x14ac:dyDescent="0.3">
      <c r="A9133" t="s">
        <v>9139</v>
      </c>
      <c r="B9133" t="s">
        <v>10015</v>
      </c>
      <c r="C9133">
        <v>2</v>
      </c>
      <c r="D9133">
        <v>3</v>
      </c>
      <c r="E9133">
        <v>6</v>
      </c>
      <c r="F9133" t="s">
        <v>10069</v>
      </c>
      <c r="G9133" t="s">
        <v>10021</v>
      </c>
      <c r="H9133" s="6">
        <v>44966</v>
      </c>
      <c r="I9133">
        <f t="shared" si="284"/>
        <v>1</v>
      </c>
      <c r="J9133" t="str">
        <f t="shared" si="285"/>
        <v>Complete</v>
      </c>
      <c r="K9133">
        <f>COUNTIFS(RawData[Item], B9133,RawData[Quantity],C9133,RawData[Price Per Unit],D9133,RawData[Total Spent],E9133,RawData[Payment Method],F9133,RawData[Location],G9133,RawData[Transaction Date],H9133)</f>
        <v>1</v>
      </c>
      <c r="L9133"/>
    </row>
    <row r="9134" spans="1:12" x14ac:dyDescent="0.3">
      <c r="A9134" t="s">
        <v>9140</v>
      </c>
      <c r="B9134" t="s">
        <v>10009</v>
      </c>
      <c r="C9134">
        <v>2</v>
      </c>
      <c r="D9134">
        <v>3</v>
      </c>
      <c r="E9134">
        <v>6</v>
      </c>
      <c r="F9134" t="s">
        <v>10018</v>
      </c>
      <c r="G9134" t="s">
        <v>10102</v>
      </c>
      <c r="H9134" s="6">
        <v>45127</v>
      </c>
      <c r="I9134">
        <f t="shared" si="284"/>
        <v>0</v>
      </c>
      <c r="J9134" t="str">
        <f t="shared" si="285"/>
        <v>Complete</v>
      </c>
      <c r="K9134">
        <f>COUNTIFS(RawData[Item], B9134,RawData[Quantity],C9134,RawData[Price Per Unit],D9134,RawData[Total Spent],E9134,RawData[Payment Method],F9134,RawData[Location],G9134,RawData[Transaction Date],H9134)</f>
        <v>1</v>
      </c>
      <c r="L9134"/>
    </row>
    <row r="9135" spans="1:12" x14ac:dyDescent="0.3">
      <c r="A9135" t="s">
        <v>9141</v>
      </c>
      <c r="B9135" t="s">
        <v>10008</v>
      </c>
      <c r="C9135">
        <v>2</v>
      </c>
      <c r="D9135">
        <v>2</v>
      </c>
      <c r="E9135">
        <v>4</v>
      </c>
      <c r="F9135" t="s">
        <v>10018</v>
      </c>
      <c r="G9135" t="s">
        <v>10069</v>
      </c>
      <c r="H9135" s="6">
        <v>44975</v>
      </c>
      <c r="I9135">
        <f t="shared" si="284"/>
        <v>0</v>
      </c>
      <c r="J9135" t="str">
        <f t="shared" si="285"/>
        <v>Complete</v>
      </c>
      <c r="K9135">
        <f>COUNTIFS(RawData[Item], B9135,RawData[Quantity],C9135,RawData[Price Per Unit],D9135,RawData[Total Spent],E9135,RawData[Payment Method],F9135,RawData[Location],G9135,RawData[Transaction Date],H9135)</f>
        <v>1</v>
      </c>
      <c r="L9135"/>
    </row>
    <row r="9136" spans="1:12" x14ac:dyDescent="0.3">
      <c r="A9136" t="s">
        <v>9142</v>
      </c>
      <c r="B9136" t="s">
        <v>10011</v>
      </c>
      <c r="C9136">
        <v>3</v>
      </c>
      <c r="D9136">
        <v>5</v>
      </c>
      <c r="E9136">
        <v>15</v>
      </c>
      <c r="F9136" t="s">
        <v>10069</v>
      </c>
      <c r="G9136" t="s">
        <v>10069</v>
      </c>
      <c r="H9136" s="6">
        <v>44969</v>
      </c>
      <c r="I9136">
        <f t="shared" si="284"/>
        <v>0</v>
      </c>
      <c r="J9136" t="str">
        <f t="shared" si="285"/>
        <v>Complete</v>
      </c>
      <c r="K9136">
        <f>COUNTIFS(RawData[Item], B9136,RawData[Quantity],C9136,RawData[Price Per Unit],D9136,RawData[Total Spent],E9136,RawData[Payment Method],F9136,RawData[Location],G9136,RawData[Transaction Date],H9136)</f>
        <v>1</v>
      </c>
      <c r="L9136"/>
    </row>
    <row r="9137" spans="1:12" x14ac:dyDescent="0.3">
      <c r="A9137" t="s">
        <v>9143</v>
      </c>
      <c r="B9137" t="s">
        <v>10017</v>
      </c>
      <c r="C9137">
        <v>4</v>
      </c>
      <c r="D9137">
        <v>1.5</v>
      </c>
      <c r="E9137">
        <v>6</v>
      </c>
      <c r="F9137" t="s">
        <v>10020</v>
      </c>
      <c r="G9137" t="s">
        <v>10069</v>
      </c>
      <c r="H9137" s="6">
        <v>45208</v>
      </c>
      <c r="I9137">
        <f t="shared" si="284"/>
        <v>0</v>
      </c>
      <c r="J9137" t="str">
        <f t="shared" si="285"/>
        <v>Complete</v>
      </c>
      <c r="K9137">
        <f>COUNTIFS(RawData[Item], B9137,RawData[Quantity],C9137,RawData[Price Per Unit],D9137,RawData[Total Spent],E9137,RawData[Payment Method],F9137,RawData[Location],G9137,RawData[Transaction Date],H9137)</f>
        <v>1</v>
      </c>
      <c r="L9137"/>
    </row>
    <row r="9138" spans="1:12" x14ac:dyDescent="0.3">
      <c r="A9138" t="s">
        <v>9144</v>
      </c>
      <c r="B9138" t="s">
        <v>10011</v>
      </c>
      <c r="C9138">
        <v>3</v>
      </c>
      <c r="D9138">
        <v>5</v>
      </c>
      <c r="E9138">
        <v>15</v>
      </c>
      <c r="F9138" t="s">
        <v>10019</v>
      </c>
      <c r="G9138" t="s">
        <v>10102</v>
      </c>
      <c r="H9138" s="6">
        <v>45116</v>
      </c>
      <c r="I9138">
        <f t="shared" si="284"/>
        <v>0</v>
      </c>
      <c r="J9138" t="str">
        <f t="shared" si="285"/>
        <v>Complete</v>
      </c>
      <c r="K9138">
        <f>COUNTIFS(RawData[Item], B9138,RawData[Quantity],C9138,RawData[Price Per Unit],D9138,RawData[Total Spent],E9138,RawData[Payment Method],F9138,RawData[Location],G9138,RawData[Transaction Date],H9138)</f>
        <v>1</v>
      </c>
      <c r="L9138"/>
    </row>
    <row r="9139" spans="1:12" x14ac:dyDescent="0.3">
      <c r="A9139" t="s">
        <v>9145</v>
      </c>
      <c r="B9139" t="s">
        <v>10010</v>
      </c>
      <c r="C9139">
        <v>2</v>
      </c>
      <c r="D9139">
        <v>1</v>
      </c>
      <c r="E9139">
        <v>2</v>
      </c>
      <c r="F9139" t="s">
        <v>10018</v>
      </c>
      <c r="G9139" t="s">
        <v>10069</v>
      </c>
      <c r="H9139" s="6">
        <v>45059</v>
      </c>
      <c r="I9139">
        <f t="shared" si="284"/>
        <v>0</v>
      </c>
      <c r="J9139" t="str">
        <f t="shared" si="285"/>
        <v>Complete</v>
      </c>
      <c r="K9139">
        <f>COUNTIFS(RawData[Item], B9139,RawData[Quantity],C9139,RawData[Price Per Unit],D9139,RawData[Total Spent],E9139,RawData[Payment Method],F9139,RawData[Location],G9139,RawData[Transaction Date],H9139)</f>
        <v>1</v>
      </c>
      <c r="L9139"/>
    </row>
    <row r="9140" spans="1:12" x14ac:dyDescent="0.3">
      <c r="A9140" t="s">
        <v>9146</v>
      </c>
      <c r="B9140" t="s">
        <v>10008</v>
      </c>
      <c r="C9140">
        <v>2</v>
      </c>
      <c r="D9140">
        <v>2</v>
      </c>
      <c r="E9140">
        <v>4</v>
      </c>
      <c r="F9140" t="s">
        <v>10018</v>
      </c>
      <c r="G9140" t="s">
        <v>10102</v>
      </c>
      <c r="H9140" s="6">
        <v>44950</v>
      </c>
      <c r="I9140">
        <f t="shared" si="284"/>
        <v>0</v>
      </c>
      <c r="J9140" t="str">
        <f t="shared" si="285"/>
        <v>Complete</v>
      </c>
      <c r="K9140">
        <f>COUNTIFS(RawData[Item], B9140,RawData[Quantity],C9140,RawData[Price Per Unit],D9140,RawData[Total Spent],E9140,RawData[Payment Method],F9140,RawData[Location],G9140,RawData[Transaction Date],H9140)</f>
        <v>1</v>
      </c>
      <c r="L9140"/>
    </row>
    <row r="9141" spans="1:12" x14ac:dyDescent="0.3">
      <c r="A9141" t="s">
        <v>9147</v>
      </c>
      <c r="B9141" t="s">
        <v>10010</v>
      </c>
      <c r="C9141">
        <v>5</v>
      </c>
      <c r="D9141">
        <v>1</v>
      </c>
      <c r="E9141">
        <v>5</v>
      </c>
      <c r="F9141" t="s">
        <v>10069</v>
      </c>
      <c r="G9141" t="s">
        <v>10069</v>
      </c>
      <c r="H9141" s="6">
        <v>45206</v>
      </c>
      <c r="I9141">
        <f t="shared" si="284"/>
        <v>0</v>
      </c>
      <c r="J9141" t="str">
        <f t="shared" si="285"/>
        <v>Complete</v>
      </c>
      <c r="K9141">
        <f>COUNTIFS(RawData[Item], B9141,RawData[Quantity],C9141,RawData[Price Per Unit],D9141,RawData[Total Spent],E9141,RawData[Payment Method],F9141,RawData[Location],G9141,RawData[Transaction Date],H9141)</f>
        <v>1</v>
      </c>
      <c r="L9141"/>
    </row>
    <row r="9142" spans="1:12" x14ac:dyDescent="0.3">
      <c r="A9142" t="s">
        <v>9148</v>
      </c>
      <c r="B9142" t="s">
        <v>10008</v>
      </c>
      <c r="C9142">
        <v>2</v>
      </c>
      <c r="D9142">
        <v>2</v>
      </c>
      <c r="E9142">
        <v>4</v>
      </c>
      <c r="F9142" t="s">
        <v>10019</v>
      </c>
      <c r="G9142" t="s">
        <v>10021</v>
      </c>
      <c r="H9142" s="6">
        <v>45107</v>
      </c>
      <c r="I9142">
        <f t="shared" si="284"/>
        <v>0</v>
      </c>
      <c r="J9142" t="str">
        <f t="shared" si="285"/>
        <v>Complete</v>
      </c>
      <c r="K9142">
        <f>COUNTIFS(RawData[Item], B9142,RawData[Quantity],C9142,RawData[Price Per Unit],D9142,RawData[Total Spent],E9142,RawData[Payment Method],F9142,RawData[Location],G9142,RawData[Transaction Date],H9142)</f>
        <v>1</v>
      </c>
      <c r="L9142"/>
    </row>
    <row r="9143" spans="1:12" x14ac:dyDescent="0.3">
      <c r="A9143" t="s">
        <v>9149</v>
      </c>
      <c r="B9143" t="s">
        <v>10012</v>
      </c>
      <c r="C9143">
        <v>2</v>
      </c>
      <c r="D9143">
        <v>4</v>
      </c>
      <c r="E9143">
        <v>8</v>
      </c>
      <c r="F9143" t="s">
        <v>10018</v>
      </c>
      <c r="G9143" t="s">
        <v>10021</v>
      </c>
      <c r="H9143" s="6">
        <v>45256</v>
      </c>
      <c r="I9143">
        <f t="shared" si="284"/>
        <v>0</v>
      </c>
      <c r="J9143" t="str">
        <f t="shared" si="285"/>
        <v>Complete</v>
      </c>
      <c r="K9143">
        <f>COUNTIFS(RawData[Item], B9143,RawData[Quantity],C9143,RawData[Price Per Unit],D9143,RawData[Total Spent],E9143,RawData[Payment Method],F9143,RawData[Location],G9143,RawData[Transaction Date],H9143)</f>
        <v>1</v>
      </c>
      <c r="L9143"/>
    </row>
    <row r="9144" spans="1:12" x14ac:dyDescent="0.3">
      <c r="A9144" t="s">
        <v>9150</v>
      </c>
      <c r="B9144" t="s">
        <v>10009</v>
      </c>
      <c r="C9144">
        <v>4</v>
      </c>
      <c r="D9144">
        <v>3</v>
      </c>
      <c r="E9144">
        <v>12</v>
      </c>
      <c r="F9144" t="s">
        <v>10020</v>
      </c>
      <c r="G9144" t="s">
        <v>10069</v>
      </c>
      <c r="H9144" s="6">
        <v>45097</v>
      </c>
      <c r="I9144">
        <f t="shared" si="284"/>
        <v>0</v>
      </c>
      <c r="J9144" t="str">
        <f t="shared" si="285"/>
        <v>Complete</v>
      </c>
      <c r="K9144">
        <f>COUNTIFS(RawData[Item], B9144,RawData[Quantity],C9144,RawData[Price Per Unit],D9144,RawData[Total Spent],E9144,RawData[Payment Method],F9144,RawData[Location],G9144,RawData[Transaction Date],H9144)</f>
        <v>1</v>
      </c>
      <c r="L9144"/>
    </row>
    <row r="9145" spans="1:12" x14ac:dyDescent="0.3">
      <c r="A9145" t="s">
        <v>9151</v>
      </c>
      <c r="B9145" t="s">
        <v>10014</v>
      </c>
      <c r="C9145">
        <v>1</v>
      </c>
      <c r="D9145">
        <v>4</v>
      </c>
      <c r="E9145">
        <v>4</v>
      </c>
      <c r="F9145" t="s">
        <v>10103</v>
      </c>
      <c r="G9145" t="s">
        <v>10021</v>
      </c>
      <c r="H9145" s="6">
        <v>45221</v>
      </c>
      <c r="I9145">
        <f t="shared" si="284"/>
        <v>1</v>
      </c>
      <c r="J9145" t="str">
        <f t="shared" si="285"/>
        <v>Complete</v>
      </c>
      <c r="K9145">
        <f>COUNTIFS(RawData[Item], B9145,RawData[Quantity],C9145,RawData[Price Per Unit],D9145,RawData[Total Spent],E9145,RawData[Payment Method],F9145,RawData[Location],G9145,RawData[Transaction Date],H9145)</f>
        <v>1</v>
      </c>
      <c r="L9145"/>
    </row>
    <row r="9146" spans="1:12" x14ac:dyDescent="0.3">
      <c r="A9146" t="s">
        <v>9152</v>
      </c>
      <c r="B9146" t="s">
        <v>10016</v>
      </c>
      <c r="C9146" t="s">
        <v>10013</v>
      </c>
      <c r="D9146">
        <v>3</v>
      </c>
      <c r="E9146">
        <v>15</v>
      </c>
      <c r="F9146" t="s">
        <v>10069</v>
      </c>
      <c r="G9146" t="s">
        <v>10069</v>
      </c>
      <c r="H9146" s="6">
        <v>45010</v>
      </c>
      <c r="I9146">
        <f t="shared" si="284"/>
        <v>1</v>
      </c>
      <c r="J9146" t="str">
        <f t="shared" si="285"/>
        <v>Complete</v>
      </c>
      <c r="K9146">
        <f>COUNTIFS(RawData[Item], B9146,RawData[Quantity],C9146,RawData[Price Per Unit],D9146,RawData[Total Spent],E9146,RawData[Payment Method],F9146,RawData[Location],G9146,RawData[Transaction Date],H9146)</f>
        <v>1</v>
      </c>
      <c r="L9146"/>
    </row>
    <row r="9147" spans="1:12" x14ac:dyDescent="0.3">
      <c r="A9147" t="s">
        <v>9153</v>
      </c>
      <c r="B9147" t="s">
        <v>10008</v>
      </c>
      <c r="C9147">
        <v>3</v>
      </c>
      <c r="D9147">
        <v>2</v>
      </c>
      <c r="E9147">
        <v>6</v>
      </c>
      <c r="F9147" t="s">
        <v>10018</v>
      </c>
      <c r="G9147" t="s">
        <v>10104</v>
      </c>
      <c r="H9147" s="6">
        <v>45152</v>
      </c>
      <c r="I9147">
        <f t="shared" si="284"/>
        <v>1</v>
      </c>
      <c r="J9147" t="str">
        <f t="shared" si="285"/>
        <v>Complete</v>
      </c>
      <c r="K9147">
        <f>COUNTIFS(RawData[Item], B9147,RawData[Quantity],C9147,RawData[Price Per Unit],D9147,RawData[Total Spent],E9147,RawData[Payment Method],F9147,RawData[Location],G9147,RawData[Transaction Date],H9147)</f>
        <v>1</v>
      </c>
      <c r="L9147"/>
    </row>
    <row r="9148" spans="1:12" x14ac:dyDescent="0.3">
      <c r="A9148" t="s">
        <v>9154</v>
      </c>
      <c r="B9148" t="s">
        <v>10016</v>
      </c>
      <c r="C9148">
        <v>2</v>
      </c>
      <c r="D9148">
        <v>3</v>
      </c>
      <c r="E9148">
        <v>6</v>
      </c>
      <c r="F9148" t="s">
        <v>10018</v>
      </c>
      <c r="G9148" t="s">
        <v>10021</v>
      </c>
      <c r="H9148" s="6">
        <v>45284</v>
      </c>
      <c r="I9148">
        <f t="shared" si="284"/>
        <v>0</v>
      </c>
      <c r="J9148" t="str">
        <f t="shared" si="285"/>
        <v>Complete</v>
      </c>
      <c r="K9148">
        <f>COUNTIFS(RawData[Item], B9148,RawData[Quantity],C9148,RawData[Price Per Unit],D9148,RawData[Total Spent],E9148,RawData[Payment Method],F9148,RawData[Location],G9148,RawData[Transaction Date],H9148)</f>
        <v>1</v>
      </c>
      <c r="L9148"/>
    </row>
    <row r="9149" spans="1:12" x14ac:dyDescent="0.3">
      <c r="A9149" t="s">
        <v>9155</v>
      </c>
      <c r="B9149" t="s">
        <v>10014</v>
      </c>
      <c r="C9149">
        <v>1</v>
      </c>
      <c r="D9149">
        <v>4</v>
      </c>
      <c r="E9149">
        <v>4</v>
      </c>
      <c r="F9149" t="s">
        <v>10104</v>
      </c>
      <c r="G9149" t="s">
        <v>10102</v>
      </c>
      <c r="H9149" s="6">
        <v>45252</v>
      </c>
      <c r="I9149">
        <f t="shared" si="284"/>
        <v>1</v>
      </c>
      <c r="J9149" t="str">
        <f t="shared" si="285"/>
        <v>Complete</v>
      </c>
      <c r="K9149">
        <f>COUNTIFS(RawData[Item], B9149,RawData[Quantity],C9149,RawData[Price Per Unit],D9149,RawData[Total Spent],E9149,RawData[Payment Method],F9149,RawData[Location],G9149,RawData[Transaction Date],H9149)</f>
        <v>1</v>
      </c>
      <c r="L9149"/>
    </row>
    <row r="9150" spans="1:12" x14ac:dyDescent="0.3">
      <c r="A9150" t="s">
        <v>9156</v>
      </c>
      <c r="B9150" t="s">
        <v>10011</v>
      </c>
      <c r="C9150">
        <v>5</v>
      </c>
      <c r="D9150">
        <v>5</v>
      </c>
      <c r="E9150">
        <v>25</v>
      </c>
      <c r="F9150" t="s">
        <v>10069</v>
      </c>
      <c r="G9150" t="s">
        <v>10021</v>
      </c>
      <c r="H9150" s="6">
        <v>45142</v>
      </c>
      <c r="I9150">
        <f t="shared" si="284"/>
        <v>0</v>
      </c>
      <c r="J9150" t="str">
        <f t="shared" si="285"/>
        <v>Complete</v>
      </c>
      <c r="K9150">
        <f>COUNTIFS(RawData[Item], B9150,RawData[Quantity],C9150,RawData[Price Per Unit],D9150,RawData[Total Spent],E9150,RawData[Payment Method],F9150,RawData[Location],G9150,RawData[Transaction Date],H9150)</f>
        <v>1</v>
      </c>
      <c r="L9150"/>
    </row>
    <row r="9151" spans="1:12" x14ac:dyDescent="0.3">
      <c r="A9151" t="s">
        <v>9157</v>
      </c>
      <c r="B9151" t="s">
        <v>10016</v>
      </c>
      <c r="C9151">
        <v>4</v>
      </c>
      <c r="D9151">
        <v>3</v>
      </c>
      <c r="E9151" t="s">
        <v>10015</v>
      </c>
      <c r="F9151" t="s">
        <v>10019</v>
      </c>
      <c r="G9151" t="s">
        <v>10069</v>
      </c>
      <c r="H9151" s="6">
        <v>45024</v>
      </c>
      <c r="I9151">
        <f t="shared" si="284"/>
        <v>1</v>
      </c>
      <c r="J9151" t="str">
        <f t="shared" si="285"/>
        <v>Complete</v>
      </c>
      <c r="K9151">
        <f>COUNTIFS(RawData[Item], B9151,RawData[Quantity],C9151,RawData[Price Per Unit],D9151,RawData[Total Spent],E9151,RawData[Payment Method],F9151,RawData[Location],G9151,RawData[Transaction Date],H9151)</f>
        <v>1</v>
      </c>
      <c r="L9151"/>
    </row>
    <row r="9152" spans="1:12" x14ac:dyDescent="0.3">
      <c r="A9152" t="s">
        <v>9158</v>
      </c>
      <c r="B9152" t="s">
        <v>10013</v>
      </c>
      <c r="C9152">
        <v>4</v>
      </c>
      <c r="D9152">
        <v>5</v>
      </c>
      <c r="E9152" t="s">
        <v>10013</v>
      </c>
      <c r="F9152" t="s">
        <v>10020</v>
      </c>
      <c r="G9152" t="s">
        <v>10069</v>
      </c>
      <c r="H9152" s="6">
        <v>44964</v>
      </c>
      <c r="I9152">
        <f t="shared" si="284"/>
        <v>2</v>
      </c>
      <c r="J9152" t="str">
        <f t="shared" si="285"/>
        <v>Complete</v>
      </c>
      <c r="K9152">
        <f>COUNTIFS(RawData[Item], B9152,RawData[Quantity],C9152,RawData[Price Per Unit],D9152,RawData[Total Spent],E9152,RawData[Payment Method],F9152,RawData[Location],G9152,RawData[Transaction Date],H9152)</f>
        <v>1</v>
      </c>
      <c r="L9152"/>
    </row>
    <row r="9153" spans="1:12" x14ac:dyDescent="0.3">
      <c r="A9153" t="s">
        <v>9159</v>
      </c>
      <c r="B9153" t="s">
        <v>10011</v>
      </c>
      <c r="C9153">
        <v>1</v>
      </c>
      <c r="D9153">
        <v>5</v>
      </c>
      <c r="E9153">
        <v>5</v>
      </c>
      <c r="F9153" t="s">
        <v>10019</v>
      </c>
      <c r="G9153" t="s">
        <v>10069</v>
      </c>
      <c r="H9153" s="6">
        <v>44985</v>
      </c>
      <c r="I9153">
        <f t="shared" si="284"/>
        <v>0</v>
      </c>
      <c r="J9153" t="str">
        <f t="shared" si="285"/>
        <v>Complete</v>
      </c>
      <c r="K9153">
        <f>COUNTIFS(RawData[Item], B9153,RawData[Quantity],C9153,RawData[Price Per Unit],D9153,RawData[Total Spent],E9153,RawData[Payment Method],F9153,RawData[Location],G9153,RawData[Transaction Date],H9153)</f>
        <v>1</v>
      </c>
      <c r="L9153"/>
    </row>
    <row r="9154" spans="1:12" x14ac:dyDescent="0.3">
      <c r="A9154" t="s">
        <v>9160</v>
      </c>
      <c r="B9154" t="s">
        <v>10009</v>
      </c>
      <c r="C9154">
        <v>3</v>
      </c>
      <c r="D9154">
        <v>3</v>
      </c>
      <c r="E9154">
        <v>9</v>
      </c>
      <c r="F9154" t="s">
        <v>10020</v>
      </c>
      <c r="G9154" t="s">
        <v>10104</v>
      </c>
      <c r="H9154" s="6">
        <v>44939</v>
      </c>
      <c r="I9154">
        <f t="shared" ref="I9154:I9217" si="286">(B9154="Unknown")+(B9154="Error")+(C9154="Unknown")+(C9154="Error")+(D9154="Unknown")+(D9154="Error")+(E9154="Unknown")+(E9154="Error")+(F9154="Unknown")+(F9154="Error")+(G9154="Unknown")+(G9154="Error")+(H9154="No Date")</f>
        <v>1</v>
      </c>
      <c r="J9154" t="str">
        <f t="shared" ref="J9154:J9217" si="287">IF((H9154="No Date"),"Incomplete","Complete")</f>
        <v>Complete</v>
      </c>
      <c r="K9154">
        <f>COUNTIFS(RawData[Item], B9154,RawData[Quantity],C9154,RawData[Price Per Unit],D9154,RawData[Total Spent],E9154,RawData[Payment Method],F9154,RawData[Location],G9154,RawData[Transaction Date],H9154)</f>
        <v>1</v>
      </c>
      <c r="L9154"/>
    </row>
    <row r="9155" spans="1:12" x14ac:dyDescent="0.3">
      <c r="A9155" t="s">
        <v>9161</v>
      </c>
      <c r="B9155" t="s">
        <v>10069</v>
      </c>
      <c r="C9155">
        <v>5</v>
      </c>
      <c r="D9155">
        <v>1</v>
      </c>
      <c r="E9155">
        <v>5</v>
      </c>
      <c r="F9155" t="s">
        <v>10103</v>
      </c>
      <c r="G9155" t="s">
        <v>10069</v>
      </c>
      <c r="H9155" s="6">
        <v>45153</v>
      </c>
      <c r="I9155">
        <f t="shared" si="286"/>
        <v>1</v>
      </c>
      <c r="J9155" t="str">
        <f t="shared" si="287"/>
        <v>Complete</v>
      </c>
      <c r="K9155">
        <f>COUNTIFS(RawData[Item], B9155,RawData[Quantity],C9155,RawData[Price Per Unit],D9155,RawData[Total Spent],E9155,RawData[Payment Method],F9155,RawData[Location],G9155,RawData[Transaction Date],H9155)</f>
        <v>1</v>
      </c>
      <c r="L9155"/>
    </row>
    <row r="9156" spans="1:12" x14ac:dyDescent="0.3">
      <c r="A9156" t="s">
        <v>9162</v>
      </c>
      <c r="B9156" t="s">
        <v>10016</v>
      </c>
      <c r="C9156">
        <v>2</v>
      </c>
      <c r="D9156">
        <v>3</v>
      </c>
      <c r="E9156">
        <v>6</v>
      </c>
      <c r="F9156" t="s">
        <v>10069</v>
      </c>
      <c r="G9156" t="s">
        <v>10102</v>
      </c>
      <c r="H9156" s="6">
        <v>45203</v>
      </c>
      <c r="I9156">
        <f t="shared" si="286"/>
        <v>0</v>
      </c>
      <c r="J9156" t="str">
        <f t="shared" si="287"/>
        <v>Complete</v>
      </c>
      <c r="K9156">
        <f>COUNTIFS(RawData[Item], B9156,RawData[Quantity],C9156,RawData[Price Per Unit],D9156,RawData[Total Spent],E9156,RawData[Payment Method],F9156,RawData[Location],G9156,RawData[Transaction Date],H9156)</f>
        <v>1</v>
      </c>
      <c r="L9156"/>
    </row>
    <row r="9157" spans="1:12" x14ac:dyDescent="0.3">
      <c r="A9157" t="s">
        <v>9163</v>
      </c>
      <c r="B9157" t="s">
        <v>10010</v>
      </c>
      <c r="C9157">
        <v>2</v>
      </c>
      <c r="D9157">
        <v>1</v>
      </c>
      <c r="E9157">
        <v>0</v>
      </c>
      <c r="F9157" t="s">
        <v>10019</v>
      </c>
      <c r="G9157" t="s">
        <v>10069</v>
      </c>
      <c r="H9157" s="6" t="s">
        <v>10112</v>
      </c>
      <c r="I9157">
        <f t="shared" si="286"/>
        <v>1</v>
      </c>
      <c r="J9157" t="str">
        <f t="shared" si="287"/>
        <v>Incomplete</v>
      </c>
      <c r="K9157">
        <f>COUNTIFS(RawData[Item], B9157,RawData[Quantity],C9157,RawData[Price Per Unit],D9157,RawData[Total Spent],E9157,RawData[Payment Method],F9157,RawData[Location],G9157,RawData[Transaction Date],H9157)</f>
        <v>1</v>
      </c>
      <c r="L9157"/>
    </row>
    <row r="9158" spans="1:12" x14ac:dyDescent="0.3">
      <c r="A9158" t="s">
        <v>9164</v>
      </c>
      <c r="B9158" t="s">
        <v>10016</v>
      </c>
      <c r="C9158">
        <v>1</v>
      </c>
      <c r="D9158">
        <v>3</v>
      </c>
      <c r="E9158">
        <v>3</v>
      </c>
      <c r="F9158" t="s">
        <v>10020</v>
      </c>
      <c r="G9158" t="s">
        <v>10069</v>
      </c>
      <c r="H9158" s="6">
        <v>45215</v>
      </c>
      <c r="I9158">
        <f t="shared" si="286"/>
        <v>0</v>
      </c>
      <c r="J9158" t="str">
        <f t="shared" si="287"/>
        <v>Complete</v>
      </c>
      <c r="K9158">
        <f>COUNTIFS(RawData[Item], B9158,RawData[Quantity],C9158,RawData[Price Per Unit],D9158,RawData[Total Spent],E9158,RawData[Payment Method],F9158,RawData[Location],G9158,RawData[Transaction Date],H9158)</f>
        <v>1</v>
      </c>
      <c r="L9158"/>
    </row>
    <row r="9159" spans="1:12" x14ac:dyDescent="0.3">
      <c r="A9159" t="s">
        <v>9165</v>
      </c>
      <c r="B9159" t="s">
        <v>10009</v>
      </c>
      <c r="C9159">
        <v>0</v>
      </c>
      <c r="D9159">
        <v>3</v>
      </c>
      <c r="E9159">
        <v>3</v>
      </c>
      <c r="F9159" t="s">
        <v>10069</v>
      </c>
      <c r="G9159" t="s">
        <v>10021</v>
      </c>
      <c r="H9159" s="6">
        <v>44955</v>
      </c>
      <c r="I9159">
        <f t="shared" si="286"/>
        <v>0</v>
      </c>
      <c r="J9159" t="str">
        <f t="shared" si="287"/>
        <v>Complete</v>
      </c>
      <c r="K9159">
        <f>COUNTIFS(RawData[Item], B9159,RawData[Quantity],C9159,RawData[Price Per Unit],D9159,RawData[Total Spent],E9159,RawData[Payment Method],F9159,RawData[Location],G9159,RawData[Transaction Date],H9159)</f>
        <v>1</v>
      </c>
      <c r="L9159"/>
    </row>
    <row r="9160" spans="1:12" x14ac:dyDescent="0.3">
      <c r="A9160" t="s">
        <v>9166</v>
      </c>
      <c r="B9160" t="s">
        <v>10014</v>
      </c>
      <c r="C9160">
        <v>1</v>
      </c>
      <c r="D9160">
        <v>4</v>
      </c>
      <c r="E9160">
        <v>4</v>
      </c>
      <c r="F9160" t="s">
        <v>10020</v>
      </c>
      <c r="G9160" t="s">
        <v>10069</v>
      </c>
      <c r="H9160" s="6">
        <v>45258</v>
      </c>
      <c r="I9160">
        <f t="shared" si="286"/>
        <v>0</v>
      </c>
      <c r="J9160" t="str">
        <f t="shared" si="287"/>
        <v>Complete</v>
      </c>
      <c r="K9160">
        <f>COUNTIFS(RawData[Item], B9160,RawData[Quantity],C9160,RawData[Price Per Unit],D9160,RawData[Total Spent],E9160,RawData[Payment Method],F9160,RawData[Location],G9160,RawData[Transaction Date],H9160)</f>
        <v>1</v>
      </c>
      <c r="L9160"/>
    </row>
    <row r="9161" spans="1:12" x14ac:dyDescent="0.3">
      <c r="A9161" t="s">
        <v>9167</v>
      </c>
      <c r="B9161" t="s">
        <v>10012</v>
      </c>
      <c r="C9161">
        <v>2</v>
      </c>
      <c r="D9161">
        <v>4</v>
      </c>
      <c r="E9161">
        <v>8</v>
      </c>
      <c r="F9161" t="s">
        <v>10018</v>
      </c>
      <c r="G9161" t="s">
        <v>10069</v>
      </c>
      <c r="H9161" s="6">
        <v>45131</v>
      </c>
      <c r="I9161">
        <f t="shared" si="286"/>
        <v>0</v>
      </c>
      <c r="J9161" t="str">
        <f t="shared" si="287"/>
        <v>Complete</v>
      </c>
      <c r="K9161">
        <f>COUNTIFS(RawData[Item], B9161,RawData[Quantity],C9161,RawData[Price Per Unit],D9161,RawData[Total Spent],E9161,RawData[Payment Method],F9161,RawData[Location],G9161,RawData[Transaction Date],H9161)</f>
        <v>1</v>
      </c>
      <c r="L9161"/>
    </row>
    <row r="9162" spans="1:12" x14ac:dyDescent="0.3">
      <c r="A9162" t="s">
        <v>9168</v>
      </c>
      <c r="B9162" t="s">
        <v>10011</v>
      </c>
      <c r="C9162">
        <v>4</v>
      </c>
      <c r="D9162">
        <v>5</v>
      </c>
      <c r="E9162">
        <v>20</v>
      </c>
      <c r="F9162" t="s">
        <v>10019</v>
      </c>
      <c r="G9162" t="s">
        <v>10069</v>
      </c>
      <c r="H9162" s="6">
        <v>44991</v>
      </c>
      <c r="I9162">
        <f t="shared" si="286"/>
        <v>0</v>
      </c>
      <c r="J9162" t="str">
        <f t="shared" si="287"/>
        <v>Complete</v>
      </c>
      <c r="K9162">
        <f>COUNTIFS(RawData[Item], B9162,RawData[Quantity],C9162,RawData[Price Per Unit],D9162,RawData[Total Spent],E9162,RawData[Payment Method],F9162,RawData[Location],G9162,RawData[Transaction Date],H9162)</f>
        <v>1</v>
      </c>
      <c r="L9162"/>
    </row>
    <row r="9163" spans="1:12" x14ac:dyDescent="0.3">
      <c r="A9163" t="s">
        <v>9169</v>
      </c>
      <c r="B9163" t="s">
        <v>10008</v>
      </c>
      <c r="C9163">
        <v>1</v>
      </c>
      <c r="D9163">
        <v>2</v>
      </c>
      <c r="E9163">
        <v>2</v>
      </c>
      <c r="F9163" t="s">
        <v>10104</v>
      </c>
      <c r="G9163" t="s">
        <v>10069</v>
      </c>
      <c r="H9163" s="6">
        <v>45064</v>
      </c>
      <c r="I9163">
        <f t="shared" si="286"/>
        <v>1</v>
      </c>
      <c r="J9163" t="str">
        <f t="shared" si="287"/>
        <v>Complete</v>
      </c>
      <c r="K9163">
        <f>COUNTIFS(RawData[Item], B9163,RawData[Quantity],C9163,RawData[Price Per Unit],D9163,RawData[Total Spent],E9163,RawData[Payment Method],F9163,RawData[Location],G9163,RawData[Transaction Date],H9163)</f>
        <v>2</v>
      </c>
      <c r="L9163"/>
    </row>
    <row r="9164" spans="1:12" x14ac:dyDescent="0.3">
      <c r="A9164" t="s">
        <v>9170</v>
      </c>
      <c r="B9164" t="s">
        <v>10011</v>
      </c>
      <c r="C9164">
        <v>2</v>
      </c>
      <c r="D9164">
        <v>5</v>
      </c>
      <c r="E9164">
        <v>10</v>
      </c>
      <c r="F9164" t="s">
        <v>10069</v>
      </c>
      <c r="G9164" t="s">
        <v>10102</v>
      </c>
      <c r="H9164" s="6">
        <v>45269</v>
      </c>
      <c r="I9164">
        <f t="shared" si="286"/>
        <v>0</v>
      </c>
      <c r="J9164" t="str">
        <f t="shared" si="287"/>
        <v>Complete</v>
      </c>
      <c r="K9164">
        <f>COUNTIFS(RawData[Item], B9164,RawData[Quantity],C9164,RawData[Price Per Unit],D9164,RawData[Total Spent],E9164,RawData[Payment Method],F9164,RawData[Location],G9164,RawData[Transaction Date],H9164)</f>
        <v>1</v>
      </c>
      <c r="L9164"/>
    </row>
    <row r="9165" spans="1:12" x14ac:dyDescent="0.3">
      <c r="A9165" t="s">
        <v>9171</v>
      </c>
      <c r="B9165" t="s">
        <v>10069</v>
      </c>
      <c r="C9165">
        <v>5</v>
      </c>
      <c r="D9165">
        <v>5</v>
      </c>
      <c r="E9165">
        <v>25</v>
      </c>
      <c r="F9165" t="s">
        <v>10018</v>
      </c>
      <c r="G9165" t="s">
        <v>10102</v>
      </c>
      <c r="H9165" s="6">
        <v>45008</v>
      </c>
      <c r="I9165">
        <f t="shared" si="286"/>
        <v>0</v>
      </c>
      <c r="J9165" t="str">
        <f t="shared" si="287"/>
        <v>Complete</v>
      </c>
      <c r="K9165">
        <f>COUNTIFS(RawData[Item], B9165,RawData[Quantity],C9165,RawData[Price Per Unit],D9165,RawData[Total Spent],E9165,RawData[Payment Method],F9165,RawData[Location],G9165,RawData[Transaction Date],H9165)</f>
        <v>1</v>
      </c>
      <c r="L9165"/>
    </row>
    <row r="9166" spans="1:12" x14ac:dyDescent="0.3">
      <c r="A9166" t="s">
        <v>9172</v>
      </c>
      <c r="B9166" t="s">
        <v>10011</v>
      </c>
      <c r="C9166">
        <v>4</v>
      </c>
      <c r="D9166">
        <v>5</v>
      </c>
      <c r="E9166">
        <v>20</v>
      </c>
      <c r="F9166" t="s">
        <v>10018</v>
      </c>
      <c r="G9166" t="s">
        <v>10021</v>
      </c>
      <c r="H9166" s="6">
        <v>45033</v>
      </c>
      <c r="I9166">
        <f t="shared" si="286"/>
        <v>0</v>
      </c>
      <c r="J9166" t="str">
        <f t="shared" si="287"/>
        <v>Complete</v>
      </c>
      <c r="K9166">
        <f>COUNTIFS(RawData[Item], B9166,RawData[Quantity],C9166,RawData[Price Per Unit],D9166,RawData[Total Spent],E9166,RawData[Payment Method],F9166,RawData[Location],G9166,RawData[Transaction Date],H9166)</f>
        <v>1</v>
      </c>
      <c r="L9166"/>
    </row>
    <row r="9167" spans="1:12" x14ac:dyDescent="0.3">
      <c r="A9167" t="s">
        <v>9173</v>
      </c>
      <c r="B9167" t="s">
        <v>10012</v>
      </c>
      <c r="C9167">
        <v>3</v>
      </c>
      <c r="D9167">
        <v>4</v>
      </c>
      <c r="E9167">
        <v>12</v>
      </c>
      <c r="F9167" t="s">
        <v>10018</v>
      </c>
      <c r="G9167" t="s">
        <v>10069</v>
      </c>
      <c r="H9167" s="6">
        <v>45035</v>
      </c>
      <c r="I9167">
        <f t="shared" si="286"/>
        <v>0</v>
      </c>
      <c r="J9167" t="str">
        <f t="shared" si="287"/>
        <v>Complete</v>
      </c>
      <c r="K9167">
        <f>COUNTIFS(RawData[Item], B9167,RawData[Quantity],C9167,RawData[Price Per Unit],D9167,RawData[Total Spent],E9167,RawData[Payment Method],F9167,RawData[Location],G9167,RawData[Transaction Date],H9167)</f>
        <v>1</v>
      </c>
      <c r="L9167"/>
    </row>
    <row r="9168" spans="1:12" x14ac:dyDescent="0.3">
      <c r="A9168" t="s">
        <v>9174</v>
      </c>
      <c r="B9168" t="s">
        <v>10011</v>
      </c>
      <c r="C9168">
        <v>2</v>
      </c>
      <c r="D9168">
        <v>5</v>
      </c>
      <c r="E9168">
        <v>10</v>
      </c>
      <c r="F9168" t="s">
        <v>10018</v>
      </c>
      <c r="G9168" t="s">
        <v>10102</v>
      </c>
      <c r="H9168" s="6">
        <v>45165</v>
      </c>
      <c r="I9168">
        <f t="shared" si="286"/>
        <v>0</v>
      </c>
      <c r="J9168" t="str">
        <f t="shared" si="287"/>
        <v>Complete</v>
      </c>
      <c r="K9168">
        <f>COUNTIFS(RawData[Item], B9168,RawData[Quantity],C9168,RawData[Price Per Unit],D9168,RawData[Total Spent],E9168,RawData[Payment Method],F9168,RawData[Location],G9168,RawData[Transaction Date],H9168)</f>
        <v>1</v>
      </c>
      <c r="L9168"/>
    </row>
    <row r="9169" spans="1:12" x14ac:dyDescent="0.3">
      <c r="A9169" t="s">
        <v>9175</v>
      </c>
      <c r="B9169" t="s">
        <v>10010</v>
      </c>
      <c r="C9169">
        <v>2</v>
      </c>
      <c r="D9169">
        <v>1</v>
      </c>
      <c r="E9169">
        <v>2</v>
      </c>
      <c r="F9169" t="s">
        <v>10069</v>
      </c>
      <c r="G9169" t="s">
        <v>10021</v>
      </c>
      <c r="H9169" s="6" t="s">
        <v>10112</v>
      </c>
      <c r="I9169">
        <f t="shared" si="286"/>
        <v>1</v>
      </c>
      <c r="J9169" t="str">
        <f t="shared" si="287"/>
        <v>Incomplete</v>
      </c>
      <c r="K9169">
        <f>COUNTIFS(RawData[Item], B9169,RawData[Quantity],C9169,RawData[Price Per Unit],D9169,RawData[Total Spent],E9169,RawData[Payment Method],F9169,RawData[Location],G9169,RawData[Transaction Date],H9169)</f>
        <v>1</v>
      </c>
      <c r="L9169"/>
    </row>
    <row r="9170" spans="1:12" x14ac:dyDescent="0.3">
      <c r="A9170" t="s">
        <v>9176</v>
      </c>
      <c r="B9170" t="s">
        <v>10008</v>
      </c>
      <c r="C9170">
        <v>2</v>
      </c>
      <c r="D9170">
        <v>2</v>
      </c>
      <c r="E9170">
        <v>4</v>
      </c>
      <c r="F9170" t="s">
        <v>10019</v>
      </c>
      <c r="G9170" t="s">
        <v>10102</v>
      </c>
      <c r="H9170" s="6" t="s">
        <v>10112</v>
      </c>
      <c r="I9170">
        <f t="shared" si="286"/>
        <v>1</v>
      </c>
      <c r="J9170" t="str">
        <f t="shared" si="287"/>
        <v>Incomplete</v>
      </c>
      <c r="K9170">
        <f>COUNTIFS(RawData[Item], B9170,RawData[Quantity],C9170,RawData[Price Per Unit],D9170,RawData[Total Spent],E9170,RawData[Payment Method],F9170,RawData[Location],G9170,RawData[Transaction Date],H9170)</f>
        <v>1</v>
      </c>
      <c r="L9170"/>
    </row>
    <row r="9171" spans="1:12" x14ac:dyDescent="0.3">
      <c r="A9171" t="s">
        <v>9177</v>
      </c>
      <c r="B9171" t="s">
        <v>10014</v>
      </c>
      <c r="C9171">
        <v>2</v>
      </c>
      <c r="D9171">
        <v>4</v>
      </c>
      <c r="E9171">
        <v>8</v>
      </c>
      <c r="F9171" t="s">
        <v>10020</v>
      </c>
      <c r="G9171" t="s">
        <v>10102</v>
      </c>
      <c r="H9171" s="6">
        <v>44961</v>
      </c>
      <c r="I9171">
        <f t="shared" si="286"/>
        <v>0</v>
      </c>
      <c r="J9171" t="str">
        <f t="shared" si="287"/>
        <v>Complete</v>
      </c>
      <c r="K9171">
        <f>COUNTIFS(RawData[Item], B9171,RawData[Quantity],C9171,RawData[Price Per Unit],D9171,RawData[Total Spent],E9171,RawData[Payment Method],F9171,RawData[Location],G9171,RawData[Transaction Date],H9171)</f>
        <v>1</v>
      </c>
      <c r="L9171"/>
    </row>
    <row r="9172" spans="1:12" x14ac:dyDescent="0.3">
      <c r="A9172" t="s">
        <v>9178</v>
      </c>
      <c r="B9172" t="s">
        <v>10012</v>
      </c>
      <c r="C9172">
        <v>5</v>
      </c>
      <c r="D9172">
        <v>4</v>
      </c>
      <c r="E9172">
        <v>20</v>
      </c>
      <c r="F9172" t="s">
        <v>10018</v>
      </c>
      <c r="G9172" t="s">
        <v>10069</v>
      </c>
      <c r="H9172" s="6">
        <v>45201</v>
      </c>
      <c r="I9172">
        <f t="shared" si="286"/>
        <v>0</v>
      </c>
      <c r="J9172" t="str">
        <f t="shared" si="287"/>
        <v>Complete</v>
      </c>
      <c r="K9172">
        <f>COUNTIFS(RawData[Item], B9172,RawData[Quantity],C9172,RawData[Price Per Unit],D9172,RawData[Total Spent],E9172,RawData[Payment Method],F9172,RawData[Location],G9172,RawData[Transaction Date],H9172)</f>
        <v>1</v>
      </c>
      <c r="L9172"/>
    </row>
    <row r="9173" spans="1:12" x14ac:dyDescent="0.3">
      <c r="A9173" t="s">
        <v>9179</v>
      </c>
      <c r="B9173" t="s">
        <v>10010</v>
      </c>
      <c r="C9173">
        <v>5</v>
      </c>
      <c r="D9173">
        <v>1</v>
      </c>
      <c r="E9173">
        <v>5</v>
      </c>
      <c r="F9173" t="s">
        <v>10018</v>
      </c>
      <c r="G9173" t="s">
        <v>10069</v>
      </c>
      <c r="H9173" s="6">
        <v>44992</v>
      </c>
      <c r="I9173">
        <f t="shared" si="286"/>
        <v>0</v>
      </c>
      <c r="J9173" t="str">
        <f t="shared" si="287"/>
        <v>Complete</v>
      </c>
      <c r="K9173">
        <f>COUNTIFS(RawData[Item], B9173,RawData[Quantity],C9173,RawData[Price Per Unit],D9173,RawData[Total Spent],E9173,RawData[Payment Method],F9173,RawData[Location],G9173,RawData[Transaction Date],H9173)</f>
        <v>1</v>
      </c>
      <c r="L9173"/>
    </row>
    <row r="9174" spans="1:12" x14ac:dyDescent="0.3">
      <c r="A9174" t="s">
        <v>9180</v>
      </c>
      <c r="B9174" t="s">
        <v>10011</v>
      </c>
      <c r="C9174">
        <v>5</v>
      </c>
      <c r="D9174">
        <v>5</v>
      </c>
      <c r="E9174">
        <v>25</v>
      </c>
      <c r="F9174" t="s">
        <v>10069</v>
      </c>
      <c r="G9174" t="s">
        <v>10104</v>
      </c>
      <c r="H9174" s="6">
        <v>45114</v>
      </c>
      <c r="I9174">
        <f t="shared" si="286"/>
        <v>1</v>
      </c>
      <c r="J9174" t="str">
        <f t="shared" si="287"/>
        <v>Complete</v>
      </c>
      <c r="K9174">
        <f>COUNTIFS(RawData[Item], B9174,RawData[Quantity],C9174,RawData[Price Per Unit],D9174,RawData[Total Spent],E9174,RawData[Payment Method],F9174,RawData[Location],G9174,RawData[Transaction Date],H9174)</f>
        <v>1</v>
      </c>
      <c r="L9174"/>
    </row>
    <row r="9175" spans="1:12" x14ac:dyDescent="0.3">
      <c r="A9175" t="s">
        <v>9181</v>
      </c>
      <c r="B9175" t="s">
        <v>10009</v>
      </c>
      <c r="C9175">
        <v>2</v>
      </c>
      <c r="D9175" t="s">
        <v>10013</v>
      </c>
      <c r="E9175">
        <v>6</v>
      </c>
      <c r="F9175" t="s">
        <v>10103</v>
      </c>
      <c r="G9175" t="s">
        <v>10102</v>
      </c>
      <c r="H9175" s="6">
        <v>45192</v>
      </c>
      <c r="I9175">
        <f t="shared" si="286"/>
        <v>2</v>
      </c>
      <c r="J9175" t="str">
        <f t="shared" si="287"/>
        <v>Complete</v>
      </c>
      <c r="K9175">
        <f>COUNTIFS(RawData[Item], B9175,RawData[Quantity],C9175,RawData[Price Per Unit],D9175,RawData[Total Spent],E9175,RawData[Payment Method],F9175,RawData[Location],G9175,RawData[Transaction Date],H9175)</f>
        <v>1</v>
      </c>
      <c r="L9175"/>
    </row>
    <row r="9176" spans="1:12" x14ac:dyDescent="0.3">
      <c r="A9176" t="s">
        <v>9182</v>
      </c>
      <c r="B9176" t="s">
        <v>10069</v>
      </c>
      <c r="C9176">
        <v>2</v>
      </c>
      <c r="D9176" t="s">
        <v>10015</v>
      </c>
      <c r="E9176">
        <v>8</v>
      </c>
      <c r="F9176" t="s">
        <v>10018</v>
      </c>
      <c r="G9176" t="s">
        <v>10104</v>
      </c>
      <c r="H9176" s="6">
        <v>45047</v>
      </c>
      <c r="I9176">
        <f t="shared" si="286"/>
        <v>2</v>
      </c>
      <c r="J9176" t="str">
        <f t="shared" si="287"/>
        <v>Complete</v>
      </c>
      <c r="K9176">
        <f>COUNTIFS(RawData[Item], B9176,RawData[Quantity],C9176,RawData[Price Per Unit],D9176,RawData[Total Spent],E9176,RawData[Payment Method],F9176,RawData[Location],G9176,RawData[Transaction Date],H9176)</f>
        <v>1</v>
      </c>
      <c r="L9176"/>
    </row>
    <row r="9177" spans="1:12" x14ac:dyDescent="0.3">
      <c r="A9177" t="s">
        <v>9183</v>
      </c>
      <c r="B9177" t="s">
        <v>10009</v>
      </c>
      <c r="C9177">
        <v>5</v>
      </c>
      <c r="D9177">
        <v>3</v>
      </c>
      <c r="E9177">
        <v>15</v>
      </c>
      <c r="F9177" t="s">
        <v>10019</v>
      </c>
      <c r="G9177" t="s">
        <v>10069</v>
      </c>
      <c r="H9177" s="6">
        <v>45259</v>
      </c>
      <c r="I9177">
        <f t="shared" si="286"/>
        <v>0</v>
      </c>
      <c r="J9177" t="str">
        <f t="shared" si="287"/>
        <v>Complete</v>
      </c>
      <c r="K9177">
        <f>COUNTIFS(RawData[Item], B9177,RawData[Quantity],C9177,RawData[Price Per Unit],D9177,RawData[Total Spent],E9177,RawData[Payment Method],F9177,RawData[Location],G9177,RawData[Transaction Date],H9177)</f>
        <v>1</v>
      </c>
      <c r="L9177"/>
    </row>
    <row r="9178" spans="1:12" x14ac:dyDescent="0.3">
      <c r="A9178" t="s">
        <v>9184</v>
      </c>
      <c r="B9178" t="s">
        <v>10011</v>
      </c>
      <c r="C9178">
        <v>4</v>
      </c>
      <c r="D9178">
        <v>5</v>
      </c>
      <c r="E9178">
        <v>20</v>
      </c>
      <c r="F9178" t="s">
        <v>10018</v>
      </c>
      <c r="G9178" t="s">
        <v>10102</v>
      </c>
      <c r="H9178" s="6">
        <v>45107</v>
      </c>
      <c r="I9178">
        <f t="shared" si="286"/>
        <v>0</v>
      </c>
      <c r="J9178" t="str">
        <f t="shared" si="287"/>
        <v>Complete</v>
      </c>
      <c r="K9178">
        <f>COUNTIFS(RawData[Item], B9178,RawData[Quantity],C9178,RawData[Price Per Unit],D9178,RawData[Total Spent],E9178,RawData[Payment Method],F9178,RawData[Location],G9178,RawData[Transaction Date],H9178)</f>
        <v>1</v>
      </c>
      <c r="L9178"/>
    </row>
    <row r="9179" spans="1:12" x14ac:dyDescent="0.3">
      <c r="A9179" t="s">
        <v>9185</v>
      </c>
      <c r="B9179" t="s">
        <v>10017</v>
      </c>
      <c r="C9179">
        <v>2</v>
      </c>
      <c r="D9179">
        <v>1.5</v>
      </c>
      <c r="E9179">
        <v>3</v>
      </c>
      <c r="F9179" t="s">
        <v>10020</v>
      </c>
      <c r="G9179" t="s">
        <v>10021</v>
      </c>
      <c r="H9179" s="6">
        <v>45077</v>
      </c>
      <c r="I9179">
        <f t="shared" si="286"/>
        <v>0</v>
      </c>
      <c r="J9179" t="str">
        <f t="shared" si="287"/>
        <v>Complete</v>
      </c>
      <c r="K9179">
        <f>COUNTIFS(RawData[Item], B9179,RawData[Quantity],C9179,RawData[Price Per Unit],D9179,RawData[Total Spent],E9179,RawData[Payment Method],F9179,RawData[Location],G9179,RawData[Transaction Date],H9179)</f>
        <v>2</v>
      </c>
      <c r="L9179"/>
    </row>
    <row r="9180" spans="1:12" x14ac:dyDescent="0.3">
      <c r="A9180" t="s">
        <v>9186</v>
      </c>
      <c r="B9180" t="s">
        <v>10010</v>
      </c>
      <c r="C9180">
        <v>4</v>
      </c>
      <c r="D9180">
        <v>1</v>
      </c>
      <c r="E9180">
        <v>4</v>
      </c>
      <c r="F9180" t="s">
        <v>10069</v>
      </c>
      <c r="G9180" t="s">
        <v>10021</v>
      </c>
      <c r="H9180" s="6">
        <v>45045</v>
      </c>
      <c r="I9180">
        <f t="shared" si="286"/>
        <v>0</v>
      </c>
      <c r="J9180" t="str">
        <f t="shared" si="287"/>
        <v>Complete</v>
      </c>
      <c r="K9180">
        <f>COUNTIFS(RawData[Item], B9180,RawData[Quantity],C9180,RawData[Price Per Unit],D9180,RawData[Total Spent],E9180,RawData[Payment Method],F9180,RawData[Location],G9180,RawData[Transaction Date],H9180)</f>
        <v>1</v>
      </c>
      <c r="L9180"/>
    </row>
    <row r="9181" spans="1:12" x14ac:dyDescent="0.3">
      <c r="A9181" t="s">
        <v>9187</v>
      </c>
      <c r="B9181" t="s">
        <v>10009</v>
      </c>
      <c r="C9181">
        <v>3</v>
      </c>
      <c r="D9181">
        <v>3</v>
      </c>
      <c r="E9181" t="s">
        <v>10015</v>
      </c>
      <c r="F9181" t="s">
        <v>10020</v>
      </c>
      <c r="G9181" t="s">
        <v>10021</v>
      </c>
      <c r="H9181" s="6">
        <v>45216</v>
      </c>
      <c r="I9181">
        <f t="shared" si="286"/>
        <v>1</v>
      </c>
      <c r="J9181" t="str">
        <f t="shared" si="287"/>
        <v>Complete</v>
      </c>
      <c r="K9181">
        <f>COUNTIFS(RawData[Item], B9181,RawData[Quantity],C9181,RawData[Price Per Unit],D9181,RawData[Total Spent],E9181,RawData[Payment Method],F9181,RawData[Location],G9181,RawData[Transaction Date],H9181)</f>
        <v>1</v>
      </c>
      <c r="L9181"/>
    </row>
    <row r="9182" spans="1:12" x14ac:dyDescent="0.3">
      <c r="A9182" t="s">
        <v>9188</v>
      </c>
      <c r="B9182" t="s">
        <v>10016</v>
      </c>
      <c r="C9182">
        <v>3</v>
      </c>
      <c r="D9182">
        <v>3</v>
      </c>
      <c r="E9182">
        <v>9</v>
      </c>
      <c r="F9182" t="s">
        <v>10069</v>
      </c>
      <c r="G9182" t="s">
        <v>10021</v>
      </c>
      <c r="H9182" s="6">
        <v>45105</v>
      </c>
      <c r="I9182">
        <f t="shared" si="286"/>
        <v>0</v>
      </c>
      <c r="J9182" t="str">
        <f t="shared" si="287"/>
        <v>Complete</v>
      </c>
      <c r="K9182">
        <f>COUNTIFS(RawData[Item], B9182,RawData[Quantity],C9182,RawData[Price Per Unit],D9182,RawData[Total Spent],E9182,RawData[Payment Method],F9182,RawData[Location],G9182,RawData[Transaction Date],H9182)</f>
        <v>1</v>
      </c>
      <c r="L9182"/>
    </row>
    <row r="9183" spans="1:12" x14ac:dyDescent="0.3">
      <c r="A9183" t="s">
        <v>9189</v>
      </c>
      <c r="B9183" t="s">
        <v>10014</v>
      </c>
      <c r="C9183">
        <v>4</v>
      </c>
      <c r="D9183">
        <v>4</v>
      </c>
      <c r="E9183">
        <v>16</v>
      </c>
      <c r="F9183" t="s">
        <v>10020</v>
      </c>
      <c r="G9183" t="s">
        <v>10069</v>
      </c>
      <c r="H9183" s="6">
        <v>44953</v>
      </c>
      <c r="I9183">
        <f t="shared" si="286"/>
        <v>0</v>
      </c>
      <c r="J9183" t="str">
        <f t="shared" si="287"/>
        <v>Complete</v>
      </c>
      <c r="K9183">
        <f>COUNTIFS(RawData[Item], B9183,RawData[Quantity],C9183,RawData[Price Per Unit],D9183,RawData[Total Spent],E9183,RawData[Payment Method],F9183,RawData[Location],G9183,RawData[Transaction Date],H9183)</f>
        <v>1</v>
      </c>
      <c r="L9183"/>
    </row>
    <row r="9184" spans="1:12" x14ac:dyDescent="0.3">
      <c r="A9184" t="s">
        <v>9190</v>
      </c>
      <c r="B9184" t="s">
        <v>10008</v>
      </c>
      <c r="C9184">
        <v>1</v>
      </c>
      <c r="D9184">
        <v>2</v>
      </c>
      <c r="E9184">
        <v>2</v>
      </c>
      <c r="F9184" t="s">
        <v>10020</v>
      </c>
      <c r="G9184" t="s">
        <v>10104</v>
      </c>
      <c r="H9184" s="6">
        <v>44930</v>
      </c>
      <c r="I9184">
        <f t="shared" si="286"/>
        <v>1</v>
      </c>
      <c r="J9184" t="str">
        <f t="shared" si="287"/>
        <v>Complete</v>
      </c>
      <c r="K9184">
        <f>COUNTIFS(RawData[Item], B9184,RawData[Quantity],C9184,RawData[Price Per Unit],D9184,RawData[Total Spent],E9184,RawData[Payment Method],F9184,RawData[Location],G9184,RawData[Transaction Date],H9184)</f>
        <v>1</v>
      </c>
      <c r="L9184"/>
    </row>
    <row r="9185" spans="1:12" x14ac:dyDescent="0.3">
      <c r="A9185" t="s">
        <v>9191</v>
      </c>
      <c r="B9185" t="s">
        <v>10012</v>
      </c>
      <c r="C9185">
        <v>2</v>
      </c>
      <c r="D9185">
        <v>4</v>
      </c>
      <c r="E9185">
        <v>8</v>
      </c>
      <c r="F9185" t="s">
        <v>10019</v>
      </c>
      <c r="G9185" t="s">
        <v>10102</v>
      </c>
      <c r="H9185" s="6">
        <v>44939</v>
      </c>
      <c r="I9185">
        <f t="shared" si="286"/>
        <v>0</v>
      </c>
      <c r="J9185" t="str">
        <f t="shared" si="287"/>
        <v>Complete</v>
      </c>
      <c r="K9185">
        <f>COUNTIFS(RawData[Item], B9185,RawData[Quantity],C9185,RawData[Price Per Unit],D9185,RawData[Total Spent],E9185,RawData[Payment Method],F9185,RawData[Location],G9185,RawData[Transaction Date],H9185)</f>
        <v>1</v>
      </c>
      <c r="L9185"/>
    </row>
    <row r="9186" spans="1:12" x14ac:dyDescent="0.3">
      <c r="A9186" t="s">
        <v>9192</v>
      </c>
      <c r="B9186" t="s">
        <v>10016</v>
      </c>
      <c r="C9186">
        <v>1</v>
      </c>
      <c r="D9186">
        <v>3</v>
      </c>
      <c r="E9186">
        <v>3</v>
      </c>
      <c r="F9186" t="s">
        <v>10069</v>
      </c>
      <c r="G9186" t="s">
        <v>10102</v>
      </c>
      <c r="H9186" s="6">
        <v>45054</v>
      </c>
      <c r="I9186">
        <f t="shared" si="286"/>
        <v>0</v>
      </c>
      <c r="J9186" t="str">
        <f t="shared" si="287"/>
        <v>Complete</v>
      </c>
      <c r="K9186">
        <f>COUNTIFS(RawData[Item], B9186,RawData[Quantity],C9186,RawData[Price Per Unit],D9186,RawData[Total Spent],E9186,RawData[Payment Method],F9186,RawData[Location],G9186,RawData[Transaction Date],H9186)</f>
        <v>1</v>
      </c>
      <c r="L9186"/>
    </row>
    <row r="9187" spans="1:12" x14ac:dyDescent="0.3">
      <c r="A9187" t="s">
        <v>9193</v>
      </c>
      <c r="B9187" t="s">
        <v>10008</v>
      </c>
      <c r="C9187">
        <v>4</v>
      </c>
      <c r="D9187">
        <v>2</v>
      </c>
      <c r="E9187">
        <v>8</v>
      </c>
      <c r="F9187" t="s">
        <v>10019</v>
      </c>
      <c r="G9187" t="s">
        <v>10069</v>
      </c>
      <c r="H9187" s="6">
        <v>45179</v>
      </c>
      <c r="I9187">
        <f t="shared" si="286"/>
        <v>0</v>
      </c>
      <c r="J9187" t="str">
        <f t="shared" si="287"/>
        <v>Complete</v>
      </c>
      <c r="K9187">
        <f>COUNTIFS(RawData[Item], B9187,RawData[Quantity],C9187,RawData[Price Per Unit],D9187,RawData[Total Spent],E9187,RawData[Payment Method],F9187,RawData[Location],G9187,RawData[Transaction Date],H9187)</f>
        <v>1</v>
      </c>
      <c r="L9187"/>
    </row>
    <row r="9188" spans="1:12" x14ac:dyDescent="0.3">
      <c r="A9188" t="s">
        <v>9194</v>
      </c>
      <c r="B9188" t="s">
        <v>10009</v>
      </c>
      <c r="C9188">
        <v>4</v>
      </c>
      <c r="D9188">
        <v>3</v>
      </c>
      <c r="E9188">
        <v>12</v>
      </c>
      <c r="F9188" t="s">
        <v>10069</v>
      </c>
      <c r="G9188" t="s">
        <v>10104</v>
      </c>
      <c r="H9188" s="6">
        <v>44968</v>
      </c>
      <c r="I9188">
        <f t="shared" si="286"/>
        <v>1</v>
      </c>
      <c r="J9188" t="str">
        <f t="shared" si="287"/>
        <v>Complete</v>
      </c>
      <c r="K9188">
        <f>COUNTIFS(RawData[Item], B9188,RawData[Quantity],C9188,RawData[Price Per Unit],D9188,RawData[Total Spent],E9188,RawData[Payment Method],F9188,RawData[Location],G9188,RawData[Transaction Date],H9188)</f>
        <v>1</v>
      </c>
      <c r="L9188"/>
    </row>
    <row r="9189" spans="1:12" x14ac:dyDescent="0.3">
      <c r="A9189" t="s">
        <v>9195</v>
      </c>
      <c r="B9189" t="s">
        <v>10017</v>
      </c>
      <c r="C9189">
        <v>5</v>
      </c>
      <c r="D9189">
        <v>1.5</v>
      </c>
      <c r="E9189">
        <v>7.5</v>
      </c>
      <c r="F9189" t="s">
        <v>10069</v>
      </c>
      <c r="G9189" t="s">
        <v>10102</v>
      </c>
      <c r="H9189" s="6">
        <v>44985</v>
      </c>
      <c r="I9189">
        <f t="shared" si="286"/>
        <v>0</v>
      </c>
      <c r="J9189" t="str">
        <f t="shared" si="287"/>
        <v>Complete</v>
      </c>
      <c r="K9189">
        <f>COUNTIFS(RawData[Item], B9189,RawData[Quantity],C9189,RawData[Price Per Unit],D9189,RawData[Total Spent],E9189,RawData[Payment Method],F9189,RawData[Location],G9189,RawData[Transaction Date],H9189)</f>
        <v>1</v>
      </c>
      <c r="L9189"/>
    </row>
    <row r="9190" spans="1:12" x14ac:dyDescent="0.3">
      <c r="A9190" t="s">
        <v>9196</v>
      </c>
      <c r="B9190" t="s">
        <v>10008</v>
      </c>
      <c r="C9190">
        <v>2</v>
      </c>
      <c r="D9190">
        <v>2</v>
      </c>
      <c r="E9190">
        <v>4</v>
      </c>
      <c r="F9190" t="s">
        <v>10019</v>
      </c>
      <c r="G9190" t="s">
        <v>10069</v>
      </c>
      <c r="H9190" s="6">
        <v>45204</v>
      </c>
      <c r="I9190">
        <f t="shared" si="286"/>
        <v>0</v>
      </c>
      <c r="J9190" t="str">
        <f t="shared" si="287"/>
        <v>Complete</v>
      </c>
      <c r="K9190">
        <f>COUNTIFS(RawData[Item], B9190,RawData[Quantity],C9190,RawData[Price Per Unit],D9190,RawData[Total Spent],E9190,RawData[Payment Method],F9190,RawData[Location],G9190,RawData[Transaction Date],H9190)</f>
        <v>1</v>
      </c>
      <c r="L9190"/>
    </row>
    <row r="9191" spans="1:12" x14ac:dyDescent="0.3">
      <c r="A9191" t="s">
        <v>9197</v>
      </c>
      <c r="B9191" t="s">
        <v>10013</v>
      </c>
      <c r="C9191">
        <v>4</v>
      </c>
      <c r="D9191">
        <v>1.5</v>
      </c>
      <c r="E9191">
        <v>6</v>
      </c>
      <c r="F9191" t="s">
        <v>10018</v>
      </c>
      <c r="G9191" t="s">
        <v>10102</v>
      </c>
      <c r="H9191" s="6">
        <v>45207</v>
      </c>
      <c r="I9191">
        <f t="shared" si="286"/>
        <v>1</v>
      </c>
      <c r="J9191" t="str">
        <f t="shared" si="287"/>
        <v>Complete</v>
      </c>
      <c r="K9191">
        <f>COUNTIFS(RawData[Item], B9191,RawData[Quantity],C9191,RawData[Price Per Unit],D9191,RawData[Total Spent],E9191,RawData[Payment Method],F9191,RawData[Location],G9191,RawData[Transaction Date],H9191)</f>
        <v>1</v>
      </c>
      <c r="L9191"/>
    </row>
    <row r="9192" spans="1:12" x14ac:dyDescent="0.3">
      <c r="A9192" t="s">
        <v>9198</v>
      </c>
      <c r="B9192" t="s">
        <v>10013</v>
      </c>
      <c r="C9192">
        <v>2</v>
      </c>
      <c r="D9192">
        <v>2</v>
      </c>
      <c r="E9192" t="s">
        <v>10013</v>
      </c>
      <c r="F9192" t="s">
        <v>10019</v>
      </c>
      <c r="G9192" t="s">
        <v>10102</v>
      </c>
      <c r="H9192" s="6">
        <v>45090</v>
      </c>
      <c r="I9192">
        <f t="shared" si="286"/>
        <v>2</v>
      </c>
      <c r="J9192" t="str">
        <f t="shared" si="287"/>
        <v>Complete</v>
      </c>
      <c r="K9192">
        <f>COUNTIFS(RawData[Item], B9192,RawData[Quantity],C9192,RawData[Price Per Unit],D9192,RawData[Total Spent],E9192,RawData[Payment Method],F9192,RawData[Location],G9192,RawData[Transaction Date],H9192)</f>
        <v>1</v>
      </c>
      <c r="L9192"/>
    </row>
    <row r="9193" spans="1:12" x14ac:dyDescent="0.3">
      <c r="A9193" t="s">
        <v>9199</v>
      </c>
      <c r="B9193" t="s">
        <v>10069</v>
      </c>
      <c r="C9193">
        <v>1</v>
      </c>
      <c r="D9193">
        <v>4</v>
      </c>
      <c r="E9193">
        <v>4</v>
      </c>
      <c r="F9193" t="s">
        <v>10018</v>
      </c>
      <c r="G9193" t="s">
        <v>10021</v>
      </c>
      <c r="H9193" s="6">
        <v>45100</v>
      </c>
      <c r="I9193">
        <f t="shared" si="286"/>
        <v>0</v>
      </c>
      <c r="J9193" t="str">
        <f t="shared" si="287"/>
        <v>Complete</v>
      </c>
      <c r="K9193">
        <f>COUNTIFS(RawData[Item], B9193,RawData[Quantity],C9193,RawData[Price Per Unit],D9193,RawData[Total Spent],E9193,RawData[Payment Method],F9193,RawData[Location],G9193,RawData[Transaction Date],H9193)</f>
        <v>1</v>
      </c>
      <c r="L9193"/>
    </row>
    <row r="9194" spans="1:12" x14ac:dyDescent="0.3">
      <c r="A9194" t="s">
        <v>9200</v>
      </c>
      <c r="B9194" t="s">
        <v>10012</v>
      </c>
      <c r="C9194">
        <v>3</v>
      </c>
      <c r="D9194" t="s">
        <v>10013</v>
      </c>
      <c r="E9194">
        <v>12</v>
      </c>
      <c r="F9194" t="s">
        <v>10018</v>
      </c>
      <c r="G9194" t="s">
        <v>10021</v>
      </c>
      <c r="H9194" s="6">
        <v>45203</v>
      </c>
      <c r="I9194">
        <f t="shared" si="286"/>
        <v>1</v>
      </c>
      <c r="J9194" t="str">
        <f t="shared" si="287"/>
        <v>Complete</v>
      </c>
      <c r="K9194">
        <f>COUNTIFS(RawData[Item], B9194,RawData[Quantity],C9194,RawData[Price Per Unit],D9194,RawData[Total Spent],E9194,RawData[Payment Method],F9194,RawData[Location],G9194,RawData[Transaction Date],H9194)</f>
        <v>1</v>
      </c>
      <c r="L9194"/>
    </row>
    <row r="9195" spans="1:12" x14ac:dyDescent="0.3">
      <c r="A9195" t="s">
        <v>9201</v>
      </c>
      <c r="B9195" t="s">
        <v>10017</v>
      </c>
      <c r="C9195">
        <v>3</v>
      </c>
      <c r="D9195">
        <v>1.5</v>
      </c>
      <c r="E9195">
        <v>4.5</v>
      </c>
      <c r="F9195" t="s">
        <v>10020</v>
      </c>
      <c r="G9195" t="s">
        <v>10069</v>
      </c>
      <c r="H9195" s="6">
        <v>44957</v>
      </c>
      <c r="I9195">
        <f t="shared" si="286"/>
        <v>0</v>
      </c>
      <c r="J9195" t="str">
        <f t="shared" si="287"/>
        <v>Complete</v>
      </c>
      <c r="K9195">
        <f>COUNTIFS(RawData[Item], B9195,RawData[Quantity],C9195,RawData[Price Per Unit],D9195,RawData[Total Spent],E9195,RawData[Payment Method],F9195,RawData[Location],G9195,RawData[Transaction Date],H9195)</f>
        <v>1</v>
      </c>
      <c r="L9195"/>
    </row>
    <row r="9196" spans="1:12" x14ac:dyDescent="0.3">
      <c r="A9196" t="s">
        <v>9202</v>
      </c>
      <c r="B9196" t="s">
        <v>10009</v>
      </c>
      <c r="C9196">
        <v>2</v>
      </c>
      <c r="D9196">
        <v>3</v>
      </c>
      <c r="E9196">
        <v>6</v>
      </c>
      <c r="F9196" t="s">
        <v>10018</v>
      </c>
      <c r="G9196" t="s">
        <v>10021</v>
      </c>
      <c r="H9196" s="6">
        <v>45193</v>
      </c>
      <c r="I9196">
        <f t="shared" si="286"/>
        <v>0</v>
      </c>
      <c r="J9196" t="str">
        <f t="shared" si="287"/>
        <v>Complete</v>
      </c>
      <c r="K9196">
        <f>COUNTIFS(RawData[Item], B9196,RawData[Quantity],C9196,RawData[Price Per Unit],D9196,RawData[Total Spent],E9196,RawData[Payment Method],F9196,RawData[Location],G9196,RawData[Transaction Date],H9196)</f>
        <v>1</v>
      </c>
      <c r="L9196"/>
    </row>
    <row r="9197" spans="1:12" x14ac:dyDescent="0.3">
      <c r="A9197" t="s">
        <v>9203</v>
      </c>
      <c r="B9197" t="s">
        <v>10016</v>
      </c>
      <c r="C9197">
        <v>4</v>
      </c>
      <c r="D9197">
        <v>3</v>
      </c>
      <c r="E9197">
        <v>12</v>
      </c>
      <c r="F9197" t="s">
        <v>10019</v>
      </c>
      <c r="G9197" t="s">
        <v>10102</v>
      </c>
      <c r="H9197" s="6">
        <v>45018</v>
      </c>
      <c r="I9197">
        <f t="shared" si="286"/>
        <v>0</v>
      </c>
      <c r="J9197" t="str">
        <f t="shared" si="287"/>
        <v>Complete</v>
      </c>
      <c r="K9197">
        <f>COUNTIFS(RawData[Item], B9197,RawData[Quantity],C9197,RawData[Price Per Unit],D9197,RawData[Total Spent],E9197,RawData[Payment Method],F9197,RawData[Location],G9197,RawData[Transaction Date],H9197)</f>
        <v>1</v>
      </c>
      <c r="L9197"/>
    </row>
    <row r="9198" spans="1:12" x14ac:dyDescent="0.3">
      <c r="A9198" t="s">
        <v>9204</v>
      </c>
      <c r="B9198" t="s">
        <v>10012</v>
      </c>
      <c r="C9198">
        <v>1</v>
      </c>
      <c r="D9198">
        <v>4</v>
      </c>
      <c r="E9198">
        <v>4</v>
      </c>
      <c r="F9198" t="s">
        <v>10069</v>
      </c>
      <c r="G9198" t="s">
        <v>10104</v>
      </c>
      <c r="H9198" s="6">
        <v>45232</v>
      </c>
      <c r="I9198">
        <f t="shared" si="286"/>
        <v>1</v>
      </c>
      <c r="J9198" t="str">
        <f t="shared" si="287"/>
        <v>Complete</v>
      </c>
      <c r="K9198">
        <f>COUNTIFS(RawData[Item], B9198,RawData[Quantity],C9198,RawData[Price Per Unit],D9198,RawData[Total Spent],E9198,RawData[Payment Method],F9198,RawData[Location],G9198,RawData[Transaction Date],H9198)</f>
        <v>1</v>
      </c>
      <c r="L9198"/>
    </row>
    <row r="9199" spans="1:12" x14ac:dyDescent="0.3">
      <c r="A9199" t="s">
        <v>9205</v>
      </c>
      <c r="B9199" t="s">
        <v>10009</v>
      </c>
      <c r="C9199">
        <v>5</v>
      </c>
      <c r="D9199">
        <v>3</v>
      </c>
      <c r="E9199">
        <v>15</v>
      </c>
      <c r="F9199" t="s">
        <v>10069</v>
      </c>
      <c r="G9199" t="s">
        <v>10069</v>
      </c>
      <c r="H9199" s="6">
        <v>45269</v>
      </c>
      <c r="I9199">
        <f t="shared" si="286"/>
        <v>0</v>
      </c>
      <c r="J9199" t="str">
        <f t="shared" si="287"/>
        <v>Complete</v>
      </c>
      <c r="K9199">
        <f>COUNTIFS(RawData[Item], B9199,RawData[Quantity],C9199,RawData[Price Per Unit],D9199,RawData[Total Spent],E9199,RawData[Payment Method],F9199,RawData[Location],G9199,RawData[Transaction Date],H9199)</f>
        <v>1</v>
      </c>
      <c r="L9199"/>
    </row>
    <row r="9200" spans="1:12" x14ac:dyDescent="0.3">
      <c r="A9200" t="s">
        <v>9206</v>
      </c>
      <c r="B9200" t="s">
        <v>10016</v>
      </c>
      <c r="C9200">
        <v>1</v>
      </c>
      <c r="D9200">
        <v>3</v>
      </c>
      <c r="E9200">
        <v>3</v>
      </c>
      <c r="F9200" t="s">
        <v>10018</v>
      </c>
      <c r="G9200" t="s">
        <v>10069</v>
      </c>
      <c r="H9200" s="6" t="s">
        <v>10112</v>
      </c>
      <c r="I9200">
        <f t="shared" si="286"/>
        <v>1</v>
      </c>
      <c r="J9200" t="str">
        <f t="shared" si="287"/>
        <v>Incomplete</v>
      </c>
      <c r="K9200">
        <f>COUNTIFS(RawData[Item], B9200,RawData[Quantity],C9200,RawData[Price Per Unit],D9200,RawData[Total Spent],E9200,RawData[Payment Method],F9200,RawData[Location],G9200,RawData[Transaction Date],H9200)</f>
        <v>2</v>
      </c>
      <c r="L9200"/>
    </row>
    <row r="9201" spans="1:12" x14ac:dyDescent="0.3">
      <c r="A9201" t="s">
        <v>9207</v>
      </c>
      <c r="B9201" t="s">
        <v>10016</v>
      </c>
      <c r="C9201">
        <v>5</v>
      </c>
      <c r="D9201">
        <v>3</v>
      </c>
      <c r="E9201">
        <v>15</v>
      </c>
      <c r="F9201" t="s">
        <v>10018</v>
      </c>
      <c r="G9201" t="s">
        <v>10069</v>
      </c>
      <c r="H9201" s="6">
        <v>44973</v>
      </c>
      <c r="I9201">
        <f t="shared" si="286"/>
        <v>0</v>
      </c>
      <c r="J9201" t="str">
        <f t="shared" si="287"/>
        <v>Complete</v>
      </c>
      <c r="K9201">
        <f>COUNTIFS(RawData[Item], B9201,RawData[Quantity],C9201,RawData[Price Per Unit],D9201,RawData[Total Spent],E9201,RawData[Payment Method],F9201,RawData[Location],G9201,RawData[Transaction Date],H9201)</f>
        <v>1</v>
      </c>
      <c r="L9201"/>
    </row>
    <row r="9202" spans="1:12" x14ac:dyDescent="0.3">
      <c r="A9202" t="s">
        <v>9208</v>
      </c>
      <c r="B9202" t="s">
        <v>10008</v>
      </c>
      <c r="C9202">
        <v>1</v>
      </c>
      <c r="D9202">
        <v>2</v>
      </c>
      <c r="E9202">
        <v>2</v>
      </c>
      <c r="F9202" t="s">
        <v>10018</v>
      </c>
      <c r="G9202" t="s">
        <v>10102</v>
      </c>
      <c r="H9202" s="6">
        <v>45179</v>
      </c>
      <c r="I9202">
        <f t="shared" si="286"/>
        <v>0</v>
      </c>
      <c r="J9202" t="str">
        <f t="shared" si="287"/>
        <v>Complete</v>
      </c>
      <c r="K9202">
        <f>COUNTIFS(RawData[Item], B9202,RawData[Quantity],C9202,RawData[Price Per Unit],D9202,RawData[Total Spent],E9202,RawData[Payment Method],F9202,RawData[Location],G9202,RawData[Transaction Date],H9202)</f>
        <v>1</v>
      </c>
      <c r="L9202"/>
    </row>
    <row r="9203" spans="1:12" x14ac:dyDescent="0.3">
      <c r="A9203" t="s">
        <v>9209</v>
      </c>
      <c r="B9203" t="s">
        <v>10017</v>
      </c>
      <c r="C9203">
        <v>2</v>
      </c>
      <c r="D9203">
        <v>1.5</v>
      </c>
      <c r="E9203">
        <v>3</v>
      </c>
      <c r="F9203" t="s">
        <v>10069</v>
      </c>
      <c r="G9203" t="s">
        <v>10104</v>
      </c>
      <c r="H9203" s="6">
        <v>44997</v>
      </c>
      <c r="I9203">
        <f t="shared" si="286"/>
        <v>1</v>
      </c>
      <c r="J9203" t="str">
        <f t="shared" si="287"/>
        <v>Complete</v>
      </c>
      <c r="K9203">
        <f>COUNTIFS(RawData[Item], B9203,RawData[Quantity],C9203,RawData[Price Per Unit],D9203,RawData[Total Spent],E9203,RawData[Payment Method],F9203,RawData[Location],G9203,RawData[Transaction Date],H9203)</f>
        <v>1</v>
      </c>
      <c r="L9203"/>
    </row>
    <row r="9204" spans="1:12" x14ac:dyDescent="0.3">
      <c r="A9204" t="s">
        <v>9210</v>
      </c>
      <c r="B9204" t="s">
        <v>10014</v>
      </c>
      <c r="C9204">
        <v>4</v>
      </c>
      <c r="D9204">
        <v>4</v>
      </c>
      <c r="E9204">
        <v>16</v>
      </c>
      <c r="F9204" t="s">
        <v>10019</v>
      </c>
      <c r="G9204" t="s">
        <v>10102</v>
      </c>
      <c r="H9204" s="6">
        <v>45134</v>
      </c>
      <c r="I9204">
        <f t="shared" si="286"/>
        <v>0</v>
      </c>
      <c r="J9204" t="str">
        <f t="shared" si="287"/>
        <v>Complete</v>
      </c>
      <c r="K9204">
        <f>COUNTIFS(RawData[Item], B9204,RawData[Quantity],C9204,RawData[Price Per Unit],D9204,RawData[Total Spent],E9204,RawData[Payment Method],F9204,RawData[Location],G9204,RawData[Transaction Date],H9204)</f>
        <v>1</v>
      </c>
      <c r="L9204"/>
    </row>
    <row r="9205" spans="1:12" x14ac:dyDescent="0.3">
      <c r="A9205" t="s">
        <v>9211</v>
      </c>
      <c r="B9205" t="s">
        <v>10017</v>
      </c>
      <c r="C9205">
        <v>4</v>
      </c>
      <c r="D9205">
        <v>1.5</v>
      </c>
      <c r="E9205">
        <v>6</v>
      </c>
      <c r="F9205" t="s">
        <v>10018</v>
      </c>
      <c r="G9205" t="s">
        <v>10069</v>
      </c>
      <c r="H9205" s="6">
        <v>45242</v>
      </c>
      <c r="I9205">
        <f t="shared" si="286"/>
        <v>0</v>
      </c>
      <c r="J9205" t="str">
        <f t="shared" si="287"/>
        <v>Complete</v>
      </c>
      <c r="K9205">
        <f>COUNTIFS(RawData[Item], B9205,RawData[Quantity],C9205,RawData[Price Per Unit],D9205,RawData[Total Spent],E9205,RawData[Payment Method],F9205,RawData[Location],G9205,RawData[Transaction Date],H9205)</f>
        <v>1</v>
      </c>
      <c r="L9205"/>
    </row>
    <row r="9206" spans="1:12" x14ac:dyDescent="0.3">
      <c r="A9206" t="s">
        <v>9212</v>
      </c>
      <c r="B9206" t="s">
        <v>10012</v>
      </c>
      <c r="C9206">
        <v>1</v>
      </c>
      <c r="D9206">
        <v>4</v>
      </c>
      <c r="E9206">
        <v>4</v>
      </c>
      <c r="F9206" t="s">
        <v>10069</v>
      </c>
      <c r="G9206" t="s">
        <v>10021</v>
      </c>
      <c r="H9206" s="6">
        <v>45213</v>
      </c>
      <c r="I9206">
        <f t="shared" si="286"/>
        <v>0</v>
      </c>
      <c r="J9206" t="str">
        <f t="shared" si="287"/>
        <v>Complete</v>
      </c>
      <c r="K9206">
        <f>COUNTIFS(RawData[Item], B9206,RawData[Quantity],C9206,RawData[Price Per Unit],D9206,RawData[Total Spent],E9206,RawData[Payment Method],F9206,RawData[Location],G9206,RawData[Transaction Date],H9206)</f>
        <v>1</v>
      </c>
      <c r="L9206"/>
    </row>
    <row r="9207" spans="1:12" x14ac:dyDescent="0.3">
      <c r="A9207" t="s">
        <v>9213</v>
      </c>
      <c r="B9207" t="s">
        <v>10010</v>
      </c>
      <c r="C9207">
        <v>2</v>
      </c>
      <c r="D9207">
        <v>1</v>
      </c>
      <c r="E9207">
        <v>2</v>
      </c>
      <c r="F9207" t="s">
        <v>10019</v>
      </c>
      <c r="G9207" t="s">
        <v>10069</v>
      </c>
      <c r="H9207" s="6">
        <v>45271</v>
      </c>
      <c r="I9207">
        <f t="shared" si="286"/>
        <v>0</v>
      </c>
      <c r="J9207" t="str">
        <f t="shared" si="287"/>
        <v>Complete</v>
      </c>
      <c r="K9207">
        <f>COUNTIFS(RawData[Item], B9207,RawData[Quantity],C9207,RawData[Price Per Unit],D9207,RawData[Total Spent],E9207,RawData[Payment Method],F9207,RawData[Location],G9207,RawData[Transaction Date],H9207)</f>
        <v>2</v>
      </c>
      <c r="L9207"/>
    </row>
    <row r="9208" spans="1:12" x14ac:dyDescent="0.3">
      <c r="A9208" t="s">
        <v>9214</v>
      </c>
      <c r="B9208" t="s">
        <v>10014</v>
      </c>
      <c r="C9208">
        <v>2</v>
      </c>
      <c r="D9208">
        <v>4</v>
      </c>
      <c r="E9208">
        <v>8</v>
      </c>
      <c r="F9208" t="s">
        <v>10018</v>
      </c>
      <c r="G9208" t="s">
        <v>10069</v>
      </c>
      <c r="H9208" s="6">
        <v>45025</v>
      </c>
      <c r="I9208">
        <f t="shared" si="286"/>
        <v>0</v>
      </c>
      <c r="J9208" t="str">
        <f t="shared" si="287"/>
        <v>Complete</v>
      </c>
      <c r="K9208">
        <f>COUNTIFS(RawData[Item], B9208,RawData[Quantity],C9208,RawData[Price Per Unit],D9208,RawData[Total Spent],E9208,RawData[Payment Method],F9208,RawData[Location],G9208,RawData[Transaction Date],H9208)</f>
        <v>1</v>
      </c>
      <c r="L9208"/>
    </row>
    <row r="9209" spans="1:12" x14ac:dyDescent="0.3">
      <c r="A9209" t="s">
        <v>9215</v>
      </c>
      <c r="B9209" t="s">
        <v>10008</v>
      </c>
      <c r="C9209">
        <v>4</v>
      </c>
      <c r="D9209">
        <v>2</v>
      </c>
      <c r="E9209">
        <v>8</v>
      </c>
      <c r="F9209" t="s">
        <v>10069</v>
      </c>
      <c r="G9209" t="s">
        <v>10021</v>
      </c>
      <c r="H9209" s="6">
        <v>45188</v>
      </c>
      <c r="I9209">
        <f t="shared" si="286"/>
        <v>0</v>
      </c>
      <c r="J9209" t="str">
        <f t="shared" si="287"/>
        <v>Complete</v>
      </c>
      <c r="K9209">
        <f>COUNTIFS(RawData[Item], B9209,RawData[Quantity],C9209,RawData[Price Per Unit],D9209,RawData[Total Spent],E9209,RawData[Payment Method],F9209,RawData[Location],G9209,RawData[Transaction Date],H9209)</f>
        <v>1</v>
      </c>
      <c r="L9209"/>
    </row>
    <row r="9210" spans="1:12" x14ac:dyDescent="0.3">
      <c r="A9210" t="s">
        <v>9216</v>
      </c>
      <c r="B9210" t="s">
        <v>10015</v>
      </c>
      <c r="C9210">
        <v>3</v>
      </c>
      <c r="D9210">
        <v>4</v>
      </c>
      <c r="E9210">
        <v>12</v>
      </c>
      <c r="F9210" t="s">
        <v>10019</v>
      </c>
      <c r="G9210" t="s">
        <v>10069</v>
      </c>
      <c r="H9210" s="6">
        <v>45008</v>
      </c>
      <c r="I9210">
        <f t="shared" si="286"/>
        <v>1</v>
      </c>
      <c r="J9210" t="str">
        <f t="shared" si="287"/>
        <v>Complete</v>
      </c>
      <c r="K9210">
        <f>COUNTIFS(RawData[Item], B9210,RawData[Quantity],C9210,RawData[Price Per Unit],D9210,RawData[Total Spent],E9210,RawData[Payment Method],F9210,RawData[Location],G9210,RawData[Transaction Date],H9210)</f>
        <v>1</v>
      </c>
      <c r="L9210"/>
    </row>
    <row r="9211" spans="1:12" x14ac:dyDescent="0.3">
      <c r="A9211" t="s">
        <v>9217</v>
      </c>
      <c r="B9211" t="s">
        <v>10010</v>
      </c>
      <c r="C9211">
        <v>3</v>
      </c>
      <c r="D9211">
        <v>1</v>
      </c>
      <c r="E9211">
        <v>0</v>
      </c>
      <c r="F9211" t="s">
        <v>10020</v>
      </c>
      <c r="G9211" t="s">
        <v>10102</v>
      </c>
      <c r="H9211" s="6">
        <v>44945</v>
      </c>
      <c r="I9211">
        <f t="shared" si="286"/>
        <v>0</v>
      </c>
      <c r="J9211" t="str">
        <f t="shared" si="287"/>
        <v>Complete</v>
      </c>
      <c r="K9211">
        <f>COUNTIFS(RawData[Item], B9211,RawData[Quantity],C9211,RawData[Price Per Unit],D9211,RawData[Total Spent],E9211,RawData[Payment Method],F9211,RawData[Location],G9211,RawData[Transaction Date],H9211)</f>
        <v>1</v>
      </c>
      <c r="L9211"/>
    </row>
    <row r="9212" spans="1:12" x14ac:dyDescent="0.3">
      <c r="A9212" t="s">
        <v>9218</v>
      </c>
      <c r="B9212" t="s">
        <v>10017</v>
      </c>
      <c r="C9212">
        <v>1</v>
      </c>
      <c r="D9212">
        <v>1.5</v>
      </c>
      <c r="E9212">
        <v>1.5</v>
      </c>
      <c r="F9212" t="s">
        <v>10020</v>
      </c>
      <c r="G9212" t="s">
        <v>10069</v>
      </c>
      <c r="H9212" s="6">
        <v>45115</v>
      </c>
      <c r="I9212">
        <f t="shared" si="286"/>
        <v>0</v>
      </c>
      <c r="J9212" t="str">
        <f t="shared" si="287"/>
        <v>Complete</v>
      </c>
      <c r="K9212">
        <f>COUNTIFS(RawData[Item], B9212,RawData[Quantity],C9212,RawData[Price Per Unit],D9212,RawData[Total Spent],E9212,RawData[Payment Method],F9212,RawData[Location],G9212,RawData[Transaction Date],H9212)</f>
        <v>2</v>
      </c>
      <c r="L9212"/>
    </row>
    <row r="9213" spans="1:12" x14ac:dyDescent="0.3">
      <c r="A9213" t="s">
        <v>9219</v>
      </c>
      <c r="B9213" t="s">
        <v>10012</v>
      </c>
      <c r="C9213">
        <v>5</v>
      </c>
      <c r="D9213">
        <v>4</v>
      </c>
      <c r="E9213">
        <v>20</v>
      </c>
      <c r="F9213" t="s">
        <v>10103</v>
      </c>
      <c r="G9213" t="s">
        <v>10069</v>
      </c>
      <c r="H9213" s="6">
        <v>45248</v>
      </c>
      <c r="I9213">
        <f t="shared" si="286"/>
        <v>1</v>
      </c>
      <c r="J9213" t="str">
        <f t="shared" si="287"/>
        <v>Complete</v>
      </c>
      <c r="K9213">
        <f>COUNTIFS(RawData[Item], B9213,RawData[Quantity],C9213,RawData[Price Per Unit],D9213,RawData[Total Spent],E9213,RawData[Payment Method],F9213,RawData[Location],G9213,RawData[Transaction Date],H9213)</f>
        <v>1</v>
      </c>
      <c r="L9213"/>
    </row>
    <row r="9214" spans="1:12" x14ac:dyDescent="0.3">
      <c r="A9214" t="s">
        <v>9220</v>
      </c>
      <c r="B9214" t="s">
        <v>10017</v>
      </c>
      <c r="C9214">
        <v>1</v>
      </c>
      <c r="D9214" t="s">
        <v>10013</v>
      </c>
      <c r="E9214" t="s">
        <v>10013</v>
      </c>
      <c r="F9214" t="s">
        <v>10069</v>
      </c>
      <c r="G9214" t="s">
        <v>10069</v>
      </c>
      <c r="H9214" s="6">
        <v>45001</v>
      </c>
      <c r="I9214">
        <f t="shared" si="286"/>
        <v>2</v>
      </c>
      <c r="J9214" t="str">
        <f t="shared" si="287"/>
        <v>Complete</v>
      </c>
      <c r="K9214">
        <f>COUNTIFS(RawData[Item], B9214,RawData[Quantity],C9214,RawData[Price Per Unit],D9214,RawData[Total Spent],E9214,RawData[Payment Method],F9214,RawData[Location],G9214,RawData[Transaction Date],H9214)</f>
        <v>1</v>
      </c>
      <c r="L9214"/>
    </row>
    <row r="9215" spans="1:12" x14ac:dyDescent="0.3">
      <c r="A9215" t="s">
        <v>9221</v>
      </c>
      <c r="B9215" t="s">
        <v>10011</v>
      </c>
      <c r="C9215">
        <v>1</v>
      </c>
      <c r="D9215">
        <v>5</v>
      </c>
      <c r="E9215">
        <v>5</v>
      </c>
      <c r="F9215" t="s">
        <v>10069</v>
      </c>
      <c r="G9215" t="s">
        <v>10069</v>
      </c>
      <c r="H9215" s="6">
        <v>44972</v>
      </c>
      <c r="I9215">
        <f t="shared" si="286"/>
        <v>0</v>
      </c>
      <c r="J9215" t="str">
        <f t="shared" si="287"/>
        <v>Complete</v>
      </c>
      <c r="K9215">
        <f>COUNTIFS(RawData[Item], B9215,RawData[Quantity],C9215,RawData[Price Per Unit],D9215,RawData[Total Spent],E9215,RawData[Payment Method],F9215,RawData[Location],G9215,RawData[Transaction Date],H9215)</f>
        <v>1</v>
      </c>
      <c r="L9215"/>
    </row>
    <row r="9216" spans="1:12" x14ac:dyDescent="0.3">
      <c r="A9216" t="s">
        <v>9222</v>
      </c>
      <c r="B9216" t="s">
        <v>10016</v>
      </c>
      <c r="C9216" t="s">
        <v>10015</v>
      </c>
      <c r="D9216">
        <v>3</v>
      </c>
      <c r="E9216">
        <v>9</v>
      </c>
      <c r="F9216" t="s">
        <v>10020</v>
      </c>
      <c r="G9216" t="s">
        <v>10021</v>
      </c>
      <c r="H9216" s="6">
        <v>45212</v>
      </c>
      <c r="I9216">
        <f t="shared" si="286"/>
        <v>1</v>
      </c>
      <c r="J9216" t="str">
        <f t="shared" si="287"/>
        <v>Complete</v>
      </c>
      <c r="K9216">
        <f>COUNTIFS(RawData[Item], B9216,RawData[Quantity],C9216,RawData[Price Per Unit],D9216,RawData[Total Spent],E9216,RawData[Payment Method],F9216,RawData[Location],G9216,RawData[Transaction Date],H9216)</f>
        <v>1</v>
      </c>
      <c r="L9216"/>
    </row>
    <row r="9217" spans="1:12" x14ac:dyDescent="0.3">
      <c r="A9217" t="s">
        <v>9223</v>
      </c>
      <c r="B9217" t="s">
        <v>10010</v>
      </c>
      <c r="C9217">
        <v>3</v>
      </c>
      <c r="D9217">
        <v>1</v>
      </c>
      <c r="E9217">
        <v>3</v>
      </c>
      <c r="F9217" t="s">
        <v>10020</v>
      </c>
      <c r="G9217" t="s">
        <v>10102</v>
      </c>
      <c r="H9217" s="6">
        <v>45284</v>
      </c>
      <c r="I9217">
        <f t="shared" si="286"/>
        <v>0</v>
      </c>
      <c r="J9217" t="str">
        <f t="shared" si="287"/>
        <v>Complete</v>
      </c>
      <c r="K9217">
        <f>COUNTIFS(RawData[Item], B9217,RawData[Quantity],C9217,RawData[Price Per Unit],D9217,RawData[Total Spent],E9217,RawData[Payment Method],F9217,RawData[Location],G9217,RawData[Transaction Date],H9217)</f>
        <v>1</v>
      </c>
      <c r="L9217"/>
    </row>
    <row r="9218" spans="1:12" x14ac:dyDescent="0.3">
      <c r="A9218" t="s">
        <v>9224</v>
      </c>
      <c r="B9218" t="s">
        <v>10017</v>
      </c>
      <c r="C9218">
        <v>2</v>
      </c>
      <c r="D9218">
        <v>1.5</v>
      </c>
      <c r="E9218">
        <v>3</v>
      </c>
      <c r="F9218" t="s">
        <v>10069</v>
      </c>
      <c r="G9218" t="s">
        <v>10069</v>
      </c>
      <c r="H9218" s="6">
        <v>44952</v>
      </c>
      <c r="I9218">
        <f t="shared" ref="I9218:I9281" si="288">(B9218="Unknown")+(B9218="Error")+(C9218="Unknown")+(C9218="Error")+(D9218="Unknown")+(D9218="Error")+(E9218="Unknown")+(E9218="Error")+(F9218="Unknown")+(F9218="Error")+(G9218="Unknown")+(G9218="Error")+(H9218="No Date")</f>
        <v>0</v>
      </c>
      <c r="J9218" t="str">
        <f t="shared" ref="J9218:J9281" si="289">IF((H9218="No Date"),"Incomplete","Complete")</f>
        <v>Complete</v>
      </c>
      <c r="K9218">
        <f>COUNTIFS(RawData[Item], B9218,RawData[Quantity],C9218,RawData[Price Per Unit],D9218,RawData[Total Spent],E9218,RawData[Payment Method],F9218,RawData[Location],G9218,RawData[Transaction Date],H9218)</f>
        <v>2</v>
      </c>
      <c r="L9218"/>
    </row>
    <row r="9219" spans="1:12" x14ac:dyDescent="0.3">
      <c r="A9219" t="s">
        <v>9225</v>
      </c>
      <c r="B9219" t="s">
        <v>10069</v>
      </c>
      <c r="C9219">
        <v>3</v>
      </c>
      <c r="D9219">
        <v>4</v>
      </c>
      <c r="E9219">
        <v>12</v>
      </c>
      <c r="F9219" t="s">
        <v>10020</v>
      </c>
      <c r="G9219" t="s">
        <v>10102</v>
      </c>
      <c r="H9219" s="6" t="s">
        <v>10112</v>
      </c>
      <c r="I9219">
        <f t="shared" si="288"/>
        <v>1</v>
      </c>
      <c r="J9219" t="str">
        <f t="shared" si="289"/>
        <v>Incomplete</v>
      </c>
      <c r="K9219">
        <f>COUNTIFS(RawData[Item], B9219,RawData[Quantity],C9219,RawData[Price Per Unit],D9219,RawData[Total Spent],E9219,RawData[Payment Method],F9219,RawData[Location],G9219,RawData[Transaction Date],H9219)</f>
        <v>1</v>
      </c>
      <c r="L9219"/>
    </row>
    <row r="9220" spans="1:12" x14ac:dyDescent="0.3">
      <c r="A9220" t="s">
        <v>9226</v>
      </c>
      <c r="B9220" t="s">
        <v>10069</v>
      </c>
      <c r="C9220">
        <v>2</v>
      </c>
      <c r="D9220">
        <v>4</v>
      </c>
      <c r="E9220">
        <v>8</v>
      </c>
      <c r="F9220" t="s">
        <v>10020</v>
      </c>
      <c r="G9220" t="s">
        <v>10021</v>
      </c>
      <c r="H9220" s="6">
        <v>45262</v>
      </c>
      <c r="I9220">
        <f t="shared" si="288"/>
        <v>0</v>
      </c>
      <c r="J9220" t="str">
        <f t="shared" si="289"/>
        <v>Complete</v>
      </c>
      <c r="K9220">
        <f>COUNTIFS(RawData[Item], B9220,RawData[Quantity],C9220,RawData[Price Per Unit],D9220,RawData[Total Spent],E9220,RawData[Payment Method],F9220,RawData[Location],G9220,RawData[Transaction Date],H9220)</f>
        <v>1</v>
      </c>
      <c r="L9220"/>
    </row>
    <row r="9221" spans="1:12" x14ac:dyDescent="0.3">
      <c r="A9221" t="s">
        <v>9227</v>
      </c>
      <c r="B9221" t="s">
        <v>10016</v>
      </c>
      <c r="C9221">
        <v>5</v>
      </c>
      <c r="D9221">
        <v>3</v>
      </c>
      <c r="E9221">
        <v>15</v>
      </c>
      <c r="F9221" t="s">
        <v>10020</v>
      </c>
      <c r="G9221" t="s">
        <v>10102</v>
      </c>
      <c r="H9221" s="6">
        <v>45227</v>
      </c>
      <c r="I9221">
        <f t="shared" si="288"/>
        <v>0</v>
      </c>
      <c r="J9221" t="str">
        <f t="shared" si="289"/>
        <v>Complete</v>
      </c>
      <c r="K9221">
        <f>COUNTIFS(RawData[Item], B9221,RawData[Quantity],C9221,RawData[Price Per Unit],D9221,RawData[Total Spent],E9221,RawData[Payment Method],F9221,RawData[Location],G9221,RawData[Transaction Date],H9221)</f>
        <v>2</v>
      </c>
      <c r="L9221"/>
    </row>
    <row r="9222" spans="1:12" x14ac:dyDescent="0.3">
      <c r="A9222" t="s">
        <v>9228</v>
      </c>
      <c r="B9222" t="s">
        <v>10008</v>
      </c>
      <c r="C9222">
        <v>5</v>
      </c>
      <c r="D9222">
        <v>2</v>
      </c>
      <c r="E9222">
        <v>10</v>
      </c>
      <c r="F9222" t="s">
        <v>10018</v>
      </c>
      <c r="G9222" t="s">
        <v>10103</v>
      </c>
      <c r="H9222" s="6">
        <v>45171</v>
      </c>
      <c r="I9222">
        <f t="shared" si="288"/>
        <v>1</v>
      </c>
      <c r="J9222" t="str">
        <f t="shared" si="289"/>
        <v>Complete</v>
      </c>
      <c r="K9222">
        <f>COUNTIFS(RawData[Item], B9222,RawData[Quantity],C9222,RawData[Price Per Unit],D9222,RawData[Total Spent],E9222,RawData[Payment Method],F9222,RawData[Location],G9222,RawData[Transaction Date],H9222)</f>
        <v>1</v>
      </c>
      <c r="L9222"/>
    </row>
    <row r="9223" spans="1:12" x14ac:dyDescent="0.3">
      <c r="A9223" t="s">
        <v>9229</v>
      </c>
      <c r="B9223" t="s">
        <v>10010</v>
      </c>
      <c r="C9223">
        <v>5</v>
      </c>
      <c r="D9223">
        <v>1</v>
      </c>
      <c r="E9223">
        <v>5</v>
      </c>
      <c r="F9223" t="s">
        <v>10018</v>
      </c>
      <c r="G9223" t="s">
        <v>10102</v>
      </c>
      <c r="H9223" s="6">
        <v>45154</v>
      </c>
      <c r="I9223">
        <f t="shared" si="288"/>
        <v>0</v>
      </c>
      <c r="J9223" t="str">
        <f t="shared" si="289"/>
        <v>Complete</v>
      </c>
      <c r="K9223">
        <f>COUNTIFS(RawData[Item], B9223,RawData[Quantity],C9223,RawData[Price Per Unit],D9223,RawData[Total Spent],E9223,RawData[Payment Method],F9223,RawData[Location],G9223,RawData[Transaction Date],H9223)</f>
        <v>1</v>
      </c>
      <c r="L9223"/>
    </row>
    <row r="9224" spans="1:12" x14ac:dyDescent="0.3">
      <c r="A9224" t="s">
        <v>9230</v>
      </c>
      <c r="B9224" t="s">
        <v>10016</v>
      </c>
      <c r="C9224">
        <v>3</v>
      </c>
      <c r="D9224">
        <v>3</v>
      </c>
      <c r="E9224">
        <v>9</v>
      </c>
      <c r="F9224" t="s">
        <v>10019</v>
      </c>
      <c r="G9224" t="s">
        <v>10021</v>
      </c>
      <c r="H9224" s="6">
        <v>45165</v>
      </c>
      <c r="I9224">
        <f t="shared" si="288"/>
        <v>0</v>
      </c>
      <c r="J9224" t="str">
        <f t="shared" si="289"/>
        <v>Complete</v>
      </c>
      <c r="K9224">
        <f>COUNTIFS(RawData[Item], B9224,RawData[Quantity],C9224,RawData[Price Per Unit],D9224,RawData[Total Spent],E9224,RawData[Payment Method],F9224,RawData[Location],G9224,RawData[Transaction Date],H9224)</f>
        <v>1</v>
      </c>
      <c r="L9224"/>
    </row>
    <row r="9225" spans="1:12" x14ac:dyDescent="0.3">
      <c r="A9225" t="s">
        <v>9231</v>
      </c>
      <c r="B9225" t="s">
        <v>10012</v>
      </c>
      <c r="C9225" t="s">
        <v>10013</v>
      </c>
      <c r="D9225">
        <v>4</v>
      </c>
      <c r="E9225">
        <v>20</v>
      </c>
      <c r="F9225" t="s">
        <v>10069</v>
      </c>
      <c r="G9225" t="s">
        <v>10021</v>
      </c>
      <c r="H9225" s="6">
        <v>45140</v>
      </c>
      <c r="I9225">
        <f t="shared" si="288"/>
        <v>1</v>
      </c>
      <c r="J9225" t="str">
        <f t="shared" si="289"/>
        <v>Complete</v>
      </c>
      <c r="K9225">
        <f>COUNTIFS(RawData[Item], B9225,RawData[Quantity],C9225,RawData[Price Per Unit],D9225,RawData[Total Spent],E9225,RawData[Payment Method],F9225,RawData[Location],G9225,RawData[Transaction Date],H9225)</f>
        <v>1</v>
      </c>
      <c r="L9225"/>
    </row>
    <row r="9226" spans="1:12" x14ac:dyDescent="0.3">
      <c r="A9226" t="s">
        <v>9232</v>
      </c>
      <c r="B9226" t="s">
        <v>10010</v>
      </c>
      <c r="C9226">
        <v>0</v>
      </c>
      <c r="D9226">
        <v>1</v>
      </c>
      <c r="E9226">
        <v>5</v>
      </c>
      <c r="F9226" t="s">
        <v>10019</v>
      </c>
      <c r="G9226" t="s">
        <v>10069</v>
      </c>
      <c r="H9226" s="6" t="s">
        <v>10112</v>
      </c>
      <c r="I9226">
        <f t="shared" si="288"/>
        <v>1</v>
      </c>
      <c r="J9226" t="str">
        <f t="shared" si="289"/>
        <v>Incomplete</v>
      </c>
      <c r="K9226">
        <f>COUNTIFS(RawData[Item], B9226,RawData[Quantity],C9226,RawData[Price Per Unit],D9226,RawData[Total Spent],E9226,RawData[Payment Method],F9226,RawData[Location],G9226,RawData[Transaction Date],H9226)</f>
        <v>1</v>
      </c>
      <c r="L9226"/>
    </row>
    <row r="9227" spans="1:12" x14ac:dyDescent="0.3">
      <c r="A9227" t="s">
        <v>9233</v>
      </c>
      <c r="B9227" t="s">
        <v>10008</v>
      </c>
      <c r="C9227">
        <v>3</v>
      </c>
      <c r="D9227">
        <v>2</v>
      </c>
      <c r="E9227">
        <v>6</v>
      </c>
      <c r="F9227" t="s">
        <v>10018</v>
      </c>
      <c r="G9227" t="s">
        <v>10069</v>
      </c>
      <c r="H9227" s="6">
        <v>45274</v>
      </c>
      <c r="I9227">
        <f t="shared" si="288"/>
        <v>0</v>
      </c>
      <c r="J9227" t="str">
        <f t="shared" si="289"/>
        <v>Complete</v>
      </c>
      <c r="K9227">
        <f>COUNTIFS(RawData[Item], B9227,RawData[Quantity],C9227,RawData[Price Per Unit],D9227,RawData[Total Spent],E9227,RawData[Payment Method],F9227,RawData[Location],G9227,RawData[Transaction Date],H9227)</f>
        <v>1</v>
      </c>
      <c r="L9227"/>
    </row>
    <row r="9228" spans="1:12" x14ac:dyDescent="0.3">
      <c r="A9228" t="s">
        <v>9234</v>
      </c>
      <c r="B9228" t="s">
        <v>10015</v>
      </c>
      <c r="C9228">
        <v>5</v>
      </c>
      <c r="D9228">
        <v>1</v>
      </c>
      <c r="E9228">
        <v>5</v>
      </c>
      <c r="F9228" t="s">
        <v>10069</v>
      </c>
      <c r="G9228" t="s">
        <v>10021</v>
      </c>
      <c r="H9228" s="6">
        <v>45174</v>
      </c>
      <c r="I9228">
        <f t="shared" si="288"/>
        <v>1</v>
      </c>
      <c r="J9228" t="str">
        <f t="shared" si="289"/>
        <v>Complete</v>
      </c>
      <c r="K9228">
        <f>COUNTIFS(RawData[Item], B9228,RawData[Quantity],C9228,RawData[Price Per Unit],D9228,RawData[Total Spent],E9228,RawData[Payment Method],F9228,RawData[Location],G9228,RawData[Transaction Date],H9228)</f>
        <v>1</v>
      </c>
      <c r="L9228"/>
    </row>
    <row r="9229" spans="1:12" x14ac:dyDescent="0.3">
      <c r="A9229" t="s">
        <v>9235</v>
      </c>
      <c r="B9229" t="s">
        <v>10012</v>
      </c>
      <c r="C9229">
        <v>1</v>
      </c>
      <c r="D9229">
        <v>4</v>
      </c>
      <c r="E9229">
        <v>4</v>
      </c>
      <c r="F9229" t="s">
        <v>10069</v>
      </c>
      <c r="G9229" t="s">
        <v>10021</v>
      </c>
      <c r="H9229" s="6">
        <v>44931</v>
      </c>
      <c r="I9229">
        <f t="shared" si="288"/>
        <v>0</v>
      </c>
      <c r="J9229" t="str">
        <f t="shared" si="289"/>
        <v>Complete</v>
      </c>
      <c r="K9229">
        <f>COUNTIFS(RawData[Item], B9229,RawData[Quantity],C9229,RawData[Price Per Unit],D9229,RawData[Total Spent],E9229,RawData[Payment Method],F9229,RawData[Location],G9229,RawData[Transaction Date],H9229)</f>
        <v>1</v>
      </c>
      <c r="L9229"/>
    </row>
    <row r="9230" spans="1:12" x14ac:dyDescent="0.3">
      <c r="A9230" t="s">
        <v>9236</v>
      </c>
      <c r="B9230" t="s">
        <v>10008</v>
      </c>
      <c r="C9230">
        <v>1</v>
      </c>
      <c r="D9230">
        <v>2</v>
      </c>
      <c r="E9230">
        <v>2</v>
      </c>
      <c r="F9230" t="s">
        <v>10018</v>
      </c>
      <c r="G9230" t="s">
        <v>10102</v>
      </c>
      <c r="H9230" s="6">
        <v>45145</v>
      </c>
      <c r="I9230">
        <f t="shared" si="288"/>
        <v>0</v>
      </c>
      <c r="J9230" t="str">
        <f t="shared" si="289"/>
        <v>Complete</v>
      </c>
      <c r="K9230">
        <f>COUNTIFS(RawData[Item], B9230,RawData[Quantity],C9230,RawData[Price Per Unit],D9230,RawData[Total Spent],E9230,RawData[Payment Method],F9230,RawData[Location],G9230,RawData[Transaction Date],H9230)</f>
        <v>1</v>
      </c>
      <c r="L9230"/>
    </row>
    <row r="9231" spans="1:12" x14ac:dyDescent="0.3">
      <c r="A9231" t="s">
        <v>9237</v>
      </c>
      <c r="B9231" t="s">
        <v>10012</v>
      </c>
      <c r="C9231">
        <v>5</v>
      </c>
      <c r="D9231">
        <v>4</v>
      </c>
      <c r="E9231">
        <v>20</v>
      </c>
      <c r="F9231" t="s">
        <v>10020</v>
      </c>
      <c r="G9231" t="s">
        <v>10021</v>
      </c>
      <c r="H9231" s="6">
        <v>44933</v>
      </c>
      <c r="I9231">
        <f t="shared" si="288"/>
        <v>0</v>
      </c>
      <c r="J9231" t="str">
        <f t="shared" si="289"/>
        <v>Complete</v>
      </c>
      <c r="K9231">
        <f>COUNTIFS(RawData[Item], B9231,RawData[Quantity],C9231,RawData[Price Per Unit],D9231,RawData[Total Spent],E9231,RawData[Payment Method],F9231,RawData[Location],G9231,RawData[Transaction Date],H9231)</f>
        <v>1</v>
      </c>
      <c r="L9231"/>
    </row>
    <row r="9232" spans="1:12" x14ac:dyDescent="0.3">
      <c r="A9232" t="s">
        <v>9238</v>
      </c>
      <c r="B9232" t="s">
        <v>10014</v>
      </c>
      <c r="C9232">
        <v>2</v>
      </c>
      <c r="D9232">
        <v>4</v>
      </c>
      <c r="E9232">
        <v>8</v>
      </c>
      <c r="F9232" t="s">
        <v>10020</v>
      </c>
      <c r="G9232" t="s">
        <v>10102</v>
      </c>
      <c r="H9232" s="6" t="s">
        <v>10112</v>
      </c>
      <c r="I9232">
        <f t="shared" si="288"/>
        <v>1</v>
      </c>
      <c r="J9232" t="str">
        <f t="shared" si="289"/>
        <v>Incomplete</v>
      </c>
      <c r="K9232">
        <f>COUNTIFS(RawData[Item], B9232,RawData[Quantity],C9232,RawData[Price Per Unit],D9232,RawData[Total Spent],E9232,RawData[Payment Method],F9232,RawData[Location],G9232,RawData[Transaction Date],H9232)</f>
        <v>1</v>
      </c>
      <c r="L9232"/>
    </row>
    <row r="9233" spans="1:12" x14ac:dyDescent="0.3">
      <c r="A9233" t="s">
        <v>9239</v>
      </c>
      <c r="B9233" t="s">
        <v>10011</v>
      </c>
      <c r="C9233">
        <v>1</v>
      </c>
      <c r="D9233">
        <v>5</v>
      </c>
      <c r="E9233">
        <v>5</v>
      </c>
      <c r="F9233" t="s">
        <v>10018</v>
      </c>
      <c r="G9233" t="s">
        <v>10102</v>
      </c>
      <c r="H9233" s="6">
        <v>44961</v>
      </c>
      <c r="I9233">
        <f t="shared" si="288"/>
        <v>0</v>
      </c>
      <c r="J9233" t="str">
        <f t="shared" si="289"/>
        <v>Complete</v>
      </c>
      <c r="K9233">
        <f>COUNTIFS(RawData[Item], B9233,RawData[Quantity],C9233,RawData[Price Per Unit],D9233,RawData[Total Spent],E9233,RawData[Payment Method],F9233,RawData[Location],G9233,RawData[Transaction Date],H9233)</f>
        <v>1</v>
      </c>
      <c r="L9233"/>
    </row>
    <row r="9234" spans="1:12" x14ac:dyDescent="0.3">
      <c r="A9234" t="s">
        <v>9240</v>
      </c>
      <c r="B9234" t="s">
        <v>10012</v>
      </c>
      <c r="C9234">
        <v>1</v>
      </c>
      <c r="D9234">
        <v>4</v>
      </c>
      <c r="E9234">
        <v>4</v>
      </c>
      <c r="F9234" t="s">
        <v>10018</v>
      </c>
      <c r="G9234" t="s">
        <v>10021</v>
      </c>
      <c r="H9234" s="6">
        <v>45160</v>
      </c>
      <c r="I9234">
        <f t="shared" si="288"/>
        <v>0</v>
      </c>
      <c r="J9234" t="str">
        <f t="shared" si="289"/>
        <v>Complete</v>
      </c>
      <c r="K9234">
        <f>COUNTIFS(RawData[Item], B9234,RawData[Quantity],C9234,RawData[Price Per Unit],D9234,RawData[Total Spent],E9234,RawData[Payment Method],F9234,RawData[Location],G9234,RawData[Transaction Date],H9234)</f>
        <v>1</v>
      </c>
      <c r="L9234"/>
    </row>
    <row r="9235" spans="1:12" x14ac:dyDescent="0.3">
      <c r="A9235" t="s">
        <v>9241</v>
      </c>
      <c r="B9235" t="s">
        <v>10016</v>
      </c>
      <c r="C9235">
        <v>3</v>
      </c>
      <c r="D9235">
        <v>3</v>
      </c>
      <c r="E9235">
        <v>9</v>
      </c>
      <c r="F9235" t="s">
        <v>10103</v>
      </c>
      <c r="G9235" t="s">
        <v>10021</v>
      </c>
      <c r="H9235" s="6">
        <v>45109</v>
      </c>
      <c r="I9235">
        <f t="shared" si="288"/>
        <v>1</v>
      </c>
      <c r="J9235" t="str">
        <f t="shared" si="289"/>
        <v>Complete</v>
      </c>
      <c r="K9235">
        <f>COUNTIFS(RawData[Item], B9235,RawData[Quantity],C9235,RawData[Price Per Unit],D9235,RawData[Total Spent],E9235,RawData[Payment Method],F9235,RawData[Location],G9235,RawData[Transaction Date],H9235)</f>
        <v>1</v>
      </c>
      <c r="L9235"/>
    </row>
    <row r="9236" spans="1:12" x14ac:dyDescent="0.3">
      <c r="A9236" t="s">
        <v>9242</v>
      </c>
      <c r="B9236" t="s">
        <v>10013</v>
      </c>
      <c r="C9236">
        <v>3</v>
      </c>
      <c r="D9236" t="s">
        <v>10013</v>
      </c>
      <c r="E9236">
        <v>12</v>
      </c>
      <c r="F9236" t="s">
        <v>10020</v>
      </c>
      <c r="G9236" t="s">
        <v>10069</v>
      </c>
      <c r="H9236" s="6">
        <v>45176</v>
      </c>
      <c r="I9236">
        <f t="shared" si="288"/>
        <v>2</v>
      </c>
      <c r="J9236" t="str">
        <f t="shared" si="289"/>
        <v>Complete</v>
      </c>
      <c r="K9236">
        <f>COUNTIFS(RawData[Item], B9236,RawData[Quantity],C9236,RawData[Price Per Unit],D9236,RawData[Total Spent],E9236,RawData[Payment Method],F9236,RawData[Location],G9236,RawData[Transaction Date],H9236)</f>
        <v>1</v>
      </c>
      <c r="L9236"/>
    </row>
    <row r="9237" spans="1:12" x14ac:dyDescent="0.3">
      <c r="A9237" t="s">
        <v>9243</v>
      </c>
      <c r="B9237" t="s">
        <v>10014</v>
      </c>
      <c r="C9237">
        <v>1</v>
      </c>
      <c r="D9237">
        <v>4</v>
      </c>
      <c r="E9237">
        <v>4</v>
      </c>
      <c r="F9237" t="s">
        <v>10069</v>
      </c>
      <c r="G9237" t="s">
        <v>10102</v>
      </c>
      <c r="H9237" s="6" t="s">
        <v>10112</v>
      </c>
      <c r="I9237">
        <f t="shared" si="288"/>
        <v>1</v>
      </c>
      <c r="J9237" t="str">
        <f t="shared" si="289"/>
        <v>Incomplete</v>
      </c>
      <c r="K9237">
        <f>COUNTIFS(RawData[Item], B9237,RawData[Quantity],C9237,RawData[Price Per Unit],D9237,RawData[Total Spent],E9237,RawData[Payment Method],F9237,RawData[Location],G9237,RawData[Transaction Date],H9237)</f>
        <v>2</v>
      </c>
      <c r="L9237"/>
    </row>
    <row r="9238" spans="1:12" x14ac:dyDescent="0.3">
      <c r="A9238" t="s">
        <v>9244</v>
      </c>
      <c r="B9238" t="s">
        <v>10010</v>
      </c>
      <c r="C9238">
        <v>2</v>
      </c>
      <c r="D9238">
        <v>1</v>
      </c>
      <c r="E9238">
        <v>2</v>
      </c>
      <c r="F9238" t="s">
        <v>10018</v>
      </c>
      <c r="G9238" t="s">
        <v>10102</v>
      </c>
      <c r="H9238" s="6">
        <v>45248</v>
      </c>
      <c r="I9238">
        <f t="shared" si="288"/>
        <v>0</v>
      </c>
      <c r="J9238" t="str">
        <f t="shared" si="289"/>
        <v>Complete</v>
      </c>
      <c r="K9238">
        <f>COUNTIFS(RawData[Item], B9238,RawData[Quantity],C9238,RawData[Price Per Unit],D9238,RawData[Total Spent],E9238,RawData[Payment Method],F9238,RawData[Location],G9238,RawData[Transaction Date],H9238)</f>
        <v>1</v>
      </c>
      <c r="L9238"/>
    </row>
    <row r="9239" spans="1:12" x14ac:dyDescent="0.3">
      <c r="A9239" t="s">
        <v>9245</v>
      </c>
      <c r="B9239" t="s">
        <v>10008</v>
      </c>
      <c r="C9239">
        <v>5</v>
      </c>
      <c r="D9239">
        <v>2</v>
      </c>
      <c r="E9239">
        <v>10</v>
      </c>
      <c r="F9239" t="s">
        <v>10069</v>
      </c>
      <c r="G9239" t="s">
        <v>10102</v>
      </c>
      <c r="H9239" s="6">
        <v>44983</v>
      </c>
      <c r="I9239">
        <f t="shared" si="288"/>
        <v>0</v>
      </c>
      <c r="J9239" t="str">
        <f t="shared" si="289"/>
        <v>Complete</v>
      </c>
      <c r="K9239">
        <f>COUNTIFS(RawData[Item], B9239,RawData[Quantity],C9239,RawData[Price Per Unit],D9239,RawData[Total Spent],E9239,RawData[Payment Method],F9239,RawData[Location],G9239,RawData[Transaction Date],H9239)</f>
        <v>1</v>
      </c>
      <c r="L9239"/>
    </row>
    <row r="9240" spans="1:12" x14ac:dyDescent="0.3">
      <c r="A9240" t="s">
        <v>9246</v>
      </c>
      <c r="B9240" t="s">
        <v>10015</v>
      </c>
      <c r="C9240" t="s">
        <v>10015</v>
      </c>
      <c r="D9240">
        <v>4</v>
      </c>
      <c r="E9240">
        <v>8</v>
      </c>
      <c r="F9240" t="s">
        <v>10018</v>
      </c>
      <c r="G9240" t="s">
        <v>10069</v>
      </c>
      <c r="H9240" s="6">
        <v>45140</v>
      </c>
      <c r="I9240">
        <f t="shared" si="288"/>
        <v>2</v>
      </c>
      <c r="J9240" t="str">
        <f t="shared" si="289"/>
        <v>Complete</v>
      </c>
      <c r="K9240">
        <f>COUNTIFS(RawData[Item], B9240,RawData[Quantity],C9240,RawData[Price Per Unit],D9240,RawData[Total Spent],E9240,RawData[Payment Method],F9240,RawData[Location],G9240,RawData[Transaction Date],H9240)</f>
        <v>1</v>
      </c>
      <c r="L9240"/>
    </row>
    <row r="9241" spans="1:12" x14ac:dyDescent="0.3">
      <c r="A9241" t="s">
        <v>9247</v>
      </c>
      <c r="B9241" t="s">
        <v>10008</v>
      </c>
      <c r="C9241">
        <v>2</v>
      </c>
      <c r="D9241">
        <v>2</v>
      </c>
      <c r="E9241">
        <v>4</v>
      </c>
      <c r="F9241" t="s">
        <v>10018</v>
      </c>
      <c r="G9241" t="s">
        <v>10069</v>
      </c>
      <c r="H9241" s="6">
        <v>45152</v>
      </c>
      <c r="I9241">
        <f t="shared" si="288"/>
        <v>0</v>
      </c>
      <c r="J9241" t="str">
        <f t="shared" si="289"/>
        <v>Complete</v>
      </c>
      <c r="K9241">
        <f>COUNTIFS(RawData[Item], B9241,RawData[Quantity],C9241,RawData[Price Per Unit],D9241,RawData[Total Spent],E9241,RawData[Payment Method],F9241,RawData[Location],G9241,RawData[Transaction Date],H9241)</f>
        <v>1</v>
      </c>
      <c r="L9241"/>
    </row>
    <row r="9242" spans="1:12" x14ac:dyDescent="0.3">
      <c r="A9242" t="s">
        <v>9248</v>
      </c>
      <c r="B9242" t="s">
        <v>10017</v>
      </c>
      <c r="C9242">
        <v>5</v>
      </c>
      <c r="D9242">
        <v>1.5</v>
      </c>
      <c r="E9242">
        <v>7.5</v>
      </c>
      <c r="F9242" t="s">
        <v>10020</v>
      </c>
      <c r="G9242" t="s">
        <v>10069</v>
      </c>
      <c r="H9242" s="6">
        <v>45227</v>
      </c>
      <c r="I9242">
        <f t="shared" si="288"/>
        <v>0</v>
      </c>
      <c r="J9242" t="str">
        <f t="shared" si="289"/>
        <v>Complete</v>
      </c>
      <c r="K9242">
        <f>COUNTIFS(RawData[Item], B9242,RawData[Quantity],C9242,RawData[Price Per Unit],D9242,RawData[Total Spent],E9242,RawData[Payment Method],F9242,RawData[Location],G9242,RawData[Transaction Date],H9242)</f>
        <v>1</v>
      </c>
      <c r="L9242"/>
    </row>
    <row r="9243" spans="1:12" x14ac:dyDescent="0.3">
      <c r="A9243" t="s">
        <v>9249</v>
      </c>
      <c r="B9243" t="s">
        <v>10069</v>
      </c>
      <c r="C9243">
        <v>4</v>
      </c>
      <c r="D9243">
        <v>2</v>
      </c>
      <c r="E9243">
        <v>8</v>
      </c>
      <c r="F9243" t="s">
        <v>10069</v>
      </c>
      <c r="G9243" t="s">
        <v>10069</v>
      </c>
      <c r="H9243" s="6">
        <v>45038</v>
      </c>
      <c r="I9243">
        <f t="shared" si="288"/>
        <v>0</v>
      </c>
      <c r="J9243" t="str">
        <f t="shared" si="289"/>
        <v>Complete</v>
      </c>
      <c r="K9243">
        <f>COUNTIFS(RawData[Item], B9243,RawData[Quantity],C9243,RawData[Price Per Unit],D9243,RawData[Total Spent],E9243,RawData[Payment Method],F9243,RawData[Location],G9243,RawData[Transaction Date],H9243)</f>
        <v>1</v>
      </c>
      <c r="L9243"/>
    </row>
    <row r="9244" spans="1:12" x14ac:dyDescent="0.3">
      <c r="A9244" t="s">
        <v>9250</v>
      </c>
      <c r="B9244" t="s">
        <v>10017</v>
      </c>
      <c r="C9244">
        <v>5</v>
      </c>
      <c r="D9244">
        <v>1.5</v>
      </c>
      <c r="E9244">
        <v>7.5</v>
      </c>
      <c r="F9244" t="s">
        <v>10020</v>
      </c>
      <c r="G9244" t="s">
        <v>10069</v>
      </c>
      <c r="H9244" s="6">
        <v>45144</v>
      </c>
      <c r="I9244">
        <f t="shared" si="288"/>
        <v>0</v>
      </c>
      <c r="J9244" t="str">
        <f t="shared" si="289"/>
        <v>Complete</v>
      </c>
      <c r="K9244">
        <f>COUNTIFS(RawData[Item], B9244,RawData[Quantity],C9244,RawData[Price Per Unit],D9244,RawData[Total Spent],E9244,RawData[Payment Method],F9244,RawData[Location],G9244,RawData[Transaction Date],H9244)</f>
        <v>1</v>
      </c>
      <c r="L9244"/>
    </row>
    <row r="9245" spans="1:12" x14ac:dyDescent="0.3">
      <c r="A9245" t="s">
        <v>9251</v>
      </c>
      <c r="B9245" t="s">
        <v>10012</v>
      </c>
      <c r="C9245">
        <v>5</v>
      </c>
      <c r="D9245">
        <v>4</v>
      </c>
      <c r="E9245">
        <v>20</v>
      </c>
      <c r="F9245" t="s">
        <v>10018</v>
      </c>
      <c r="G9245" t="s">
        <v>10021</v>
      </c>
      <c r="H9245" s="6">
        <v>45004</v>
      </c>
      <c r="I9245">
        <f t="shared" si="288"/>
        <v>0</v>
      </c>
      <c r="J9245" t="str">
        <f t="shared" si="289"/>
        <v>Complete</v>
      </c>
      <c r="K9245">
        <f>COUNTIFS(RawData[Item], B9245,RawData[Quantity],C9245,RawData[Price Per Unit],D9245,RawData[Total Spent],E9245,RawData[Payment Method],F9245,RawData[Location],G9245,RawData[Transaction Date],H9245)</f>
        <v>1</v>
      </c>
      <c r="L9245"/>
    </row>
    <row r="9246" spans="1:12" x14ac:dyDescent="0.3">
      <c r="A9246" t="s">
        <v>9252</v>
      </c>
      <c r="B9246" t="s">
        <v>10009</v>
      </c>
      <c r="C9246">
        <v>3</v>
      </c>
      <c r="D9246">
        <v>3</v>
      </c>
      <c r="E9246">
        <v>9</v>
      </c>
      <c r="F9246" t="s">
        <v>10019</v>
      </c>
      <c r="G9246" t="s">
        <v>10069</v>
      </c>
      <c r="H9246" s="6">
        <v>45262</v>
      </c>
      <c r="I9246">
        <f t="shared" si="288"/>
        <v>0</v>
      </c>
      <c r="J9246" t="str">
        <f t="shared" si="289"/>
        <v>Complete</v>
      </c>
      <c r="K9246">
        <f>COUNTIFS(RawData[Item], B9246,RawData[Quantity],C9246,RawData[Price Per Unit],D9246,RawData[Total Spent],E9246,RawData[Payment Method],F9246,RawData[Location],G9246,RawData[Transaction Date],H9246)</f>
        <v>1</v>
      </c>
      <c r="L9246"/>
    </row>
    <row r="9247" spans="1:12" x14ac:dyDescent="0.3">
      <c r="A9247" t="s">
        <v>9253</v>
      </c>
      <c r="B9247" t="s">
        <v>10012</v>
      </c>
      <c r="C9247">
        <v>5</v>
      </c>
      <c r="D9247">
        <v>4</v>
      </c>
      <c r="E9247">
        <v>20</v>
      </c>
      <c r="F9247" t="s">
        <v>10069</v>
      </c>
      <c r="G9247" t="s">
        <v>10102</v>
      </c>
      <c r="H9247" s="6" t="s">
        <v>10112</v>
      </c>
      <c r="I9247">
        <f t="shared" si="288"/>
        <v>1</v>
      </c>
      <c r="J9247" t="str">
        <f t="shared" si="289"/>
        <v>Incomplete</v>
      </c>
      <c r="K9247">
        <f>COUNTIFS(RawData[Item], B9247,RawData[Quantity],C9247,RawData[Price Per Unit],D9247,RawData[Total Spent],E9247,RawData[Payment Method],F9247,RawData[Location],G9247,RawData[Transaction Date],H9247)</f>
        <v>1</v>
      </c>
      <c r="L9247"/>
    </row>
    <row r="9248" spans="1:12" x14ac:dyDescent="0.3">
      <c r="A9248" t="s">
        <v>9254</v>
      </c>
      <c r="B9248" t="s">
        <v>10010</v>
      </c>
      <c r="C9248">
        <v>4</v>
      </c>
      <c r="D9248">
        <v>1</v>
      </c>
      <c r="E9248">
        <v>0</v>
      </c>
      <c r="F9248" t="s">
        <v>10020</v>
      </c>
      <c r="G9248" t="s">
        <v>10021</v>
      </c>
      <c r="H9248" s="6">
        <v>45241</v>
      </c>
      <c r="I9248">
        <f t="shared" si="288"/>
        <v>0</v>
      </c>
      <c r="J9248" t="str">
        <f t="shared" si="289"/>
        <v>Complete</v>
      </c>
      <c r="K9248">
        <f>COUNTIFS(RawData[Item], B9248,RawData[Quantity],C9248,RawData[Price Per Unit],D9248,RawData[Total Spent],E9248,RawData[Payment Method],F9248,RawData[Location],G9248,RawData[Transaction Date],H9248)</f>
        <v>1</v>
      </c>
      <c r="L9248"/>
    </row>
    <row r="9249" spans="1:12" x14ac:dyDescent="0.3">
      <c r="A9249" t="s">
        <v>9255</v>
      </c>
      <c r="B9249" t="s">
        <v>10014</v>
      </c>
      <c r="C9249">
        <v>3</v>
      </c>
      <c r="D9249">
        <v>4</v>
      </c>
      <c r="E9249">
        <v>12</v>
      </c>
      <c r="F9249" t="s">
        <v>10018</v>
      </c>
      <c r="G9249" t="s">
        <v>10021</v>
      </c>
      <c r="H9249" s="6">
        <v>45231</v>
      </c>
      <c r="I9249">
        <f t="shared" si="288"/>
        <v>0</v>
      </c>
      <c r="J9249" t="str">
        <f t="shared" si="289"/>
        <v>Complete</v>
      </c>
      <c r="K9249">
        <f>COUNTIFS(RawData[Item], B9249,RawData[Quantity],C9249,RawData[Price Per Unit],D9249,RawData[Total Spent],E9249,RawData[Payment Method],F9249,RawData[Location],G9249,RawData[Transaction Date],H9249)</f>
        <v>1</v>
      </c>
      <c r="L9249"/>
    </row>
    <row r="9250" spans="1:12" x14ac:dyDescent="0.3">
      <c r="A9250" t="s">
        <v>9256</v>
      </c>
      <c r="B9250" t="s">
        <v>10008</v>
      </c>
      <c r="C9250">
        <v>2</v>
      </c>
      <c r="D9250">
        <v>2</v>
      </c>
      <c r="E9250">
        <v>4</v>
      </c>
      <c r="F9250" t="s">
        <v>10104</v>
      </c>
      <c r="G9250" t="s">
        <v>10069</v>
      </c>
      <c r="H9250" s="6">
        <v>45181</v>
      </c>
      <c r="I9250">
        <f t="shared" si="288"/>
        <v>1</v>
      </c>
      <c r="J9250" t="str">
        <f t="shared" si="289"/>
        <v>Complete</v>
      </c>
      <c r="K9250">
        <f>COUNTIFS(RawData[Item], B9250,RawData[Quantity],C9250,RawData[Price Per Unit],D9250,RawData[Total Spent],E9250,RawData[Payment Method],F9250,RawData[Location],G9250,RawData[Transaction Date],H9250)</f>
        <v>1</v>
      </c>
      <c r="L9250"/>
    </row>
    <row r="9251" spans="1:12" x14ac:dyDescent="0.3">
      <c r="A9251" t="s">
        <v>9257</v>
      </c>
      <c r="B9251" t="s">
        <v>10069</v>
      </c>
      <c r="C9251">
        <v>3</v>
      </c>
      <c r="D9251">
        <v>1.5</v>
      </c>
      <c r="E9251">
        <v>4.5</v>
      </c>
      <c r="F9251" t="s">
        <v>10019</v>
      </c>
      <c r="G9251" t="s">
        <v>10102</v>
      </c>
      <c r="H9251" s="6">
        <v>45117</v>
      </c>
      <c r="I9251">
        <f t="shared" si="288"/>
        <v>0</v>
      </c>
      <c r="J9251" t="str">
        <f t="shared" si="289"/>
        <v>Complete</v>
      </c>
      <c r="K9251">
        <f>COUNTIFS(RawData[Item], B9251,RawData[Quantity],C9251,RawData[Price Per Unit],D9251,RawData[Total Spent],E9251,RawData[Payment Method],F9251,RawData[Location],G9251,RawData[Transaction Date],H9251)</f>
        <v>1</v>
      </c>
      <c r="L9251"/>
    </row>
    <row r="9252" spans="1:12" x14ac:dyDescent="0.3">
      <c r="A9252" t="s">
        <v>9258</v>
      </c>
      <c r="B9252" t="s">
        <v>10010</v>
      </c>
      <c r="C9252">
        <v>3</v>
      </c>
      <c r="D9252">
        <v>1</v>
      </c>
      <c r="E9252">
        <v>3</v>
      </c>
      <c r="F9252" t="s">
        <v>10019</v>
      </c>
      <c r="G9252" t="s">
        <v>10069</v>
      </c>
      <c r="H9252" s="6">
        <v>45078</v>
      </c>
      <c r="I9252">
        <f t="shared" si="288"/>
        <v>0</v>
      </c>
      <c r="J9252" t="str">
        <f t="shared" si="289"/>
        <v>Complete</v>
      </c>
      <c r="K9252">
        <f>COUNTIFS(RawData[Item], B9252,RawData[Quantity],C9252,RawData[Price Per Unit],D9252,RawData[Total Spent],E9252,RawData[Payment Method],F9252,RawData[Location],G9252,RawData[Transaction Date],H9252)</f>
        <v>1</v>
      </c>
      <c r="L9252"/>
    </row>
    <row r="9253" spans="1:12" x14ac:dyDescent="0.3">
      <c r="A9253" t="s">
        <v>9259</v>
      </c>
      <c r="B9253" t="s">
        <v>10014</v>
      </c>
      <c r="C9253">
        <v>1</v>
      </c>
      <c r="D9253">
        <v>4</v>
      </c>
      <c r="E9253">
        <v>4</v>
      </c>
      <c r="F9253" t="s">
        <v>10069</v>
      </c>
      <c r="G9253" t="s">
        <v>10069</v>
      </c>
      <c r="H9253" s="6">
        <v>45129</v>
      </c>
      <c r="I9253">
        <f t="shared" si="288"/>
        <v>0</v>
      </c>
      <c r="J9253" t="str">
        <f t="shared" si="289"/>
        <v>Complete</v>
      </c>
      <c r="K9253">
        <f>COUNTIFS(RawData[Item], B9253,RawData[Quantity],C9253,RawData[Price Per Unit],D9253,RawData[Total Spent],E9253,RawData[Payment Method],F9253,RawData[Location],G9253,RawData[Transaction Date],H9253)</f>
        <v>1</v>
      </c>
      <c r="L9253"/>
    </row>
    <row r="9254" spans="1:12" x14ac:dyDescent="0.3">
      <c r="A9254" t="s">
        <v>9260</v>
      </c>
      <c r="B9254" t="s">
        <v>10010</v>
      </c>
      <c r="C9254">
        <v>1</v>
      </c>
      <c r="D9254">
        <v>1</v>
      </c>
      <c r="E9254" t="s">
        <v>10013</v>
      </c>
      <c r="F9254" t="s">
        <v>10018</v>
      </c>
      <c r="G9254" t="s">
        <v>10069</v>
      </c>
      <c r="H9254" s="6">
        <v>44975</v>
      </c>
      <c r="I9254">
        <f t="shared" si="288"/>
        <v>1</v>
      </c>
      <c r="J9254" t="str">
        <f t="shared" si="289"/>
        <v>Complete</v>
      </c>
      <c r="K9254">
        <f>COUNTIFS(RawData[Item], B9254,RawData[Quantity],C9254,RawData[Price Per Unit],D9254,RawData[Total Spent],E9254,RawData[Payment Method],F9254,RawData[Location],G9254,RawData[Transaction Date],H9254)</f>
        <v>1</v>
      </c>
      <c r="L9254"/>
    </row>
    <row r="9255" spans="1:12" x14ac:dyDescent="0.3">
      <c r="A9255" t="s">
        <v>9261</v>
      </c>
      <c r="B9255" t="s">
        <v>10016</v>
      </c>
      <c r="C9255">
        <v>2</v>
      </c>
      <c r="D9255">
        <v>3</v>
      </c>
      <c r="E9255">
        <v>6</v>
      </c>
      <c r="F9255" t="s">
        <v>10019</v>
      </c>
      <c r="G9255" t="s">
        <v>10102</v>
      </c>
      <c r="H9255" s="6">
        <v>44960</v>
      </c>
      <c r="I9255">
        <f t="shared" si="288"/>
        <v>0</v>
      </c>
      <c r="J9255" t="str">
        <f t="shared" si="289"/>
        <v>Complete</v>
      </c>
      <c r="K9255">
        <f>COUNTIFS(RawData[Item], B9255,RawData[Quantity],C9255,RawData[Price Per Unit],D9255,RawData[Total Spent],E9255,RawData[Payment Method],F9255,RawData[Location],G9255,RawData[Transaction Date],H9255)</f>
        <v>2</v>
      </c>
      <c r="L9255"/>
    </row>
    <row r="9256" spans="1:12" x14ac:dyDescent="0.3">
      <c r="A9256" t="s">
        <v>9262</v>
      </c>
      <c r="B9256" t="s">
        <v>10010</v>
      </c>
      <c r="C9256">
        <v>1</v>
      </c>
      <c r="D9256">
        <v>1</v>
      </c>
      <c r="E9256">
        <v>1</v>
      </c>
      <c r="F9256" t="s">
        <v>10019</v>
      </c>
      <c r="G9256" t="s">
        <v>10102</v>
      </c>
      <c r="H9256" s="6">
        <v>44977</v>
      </c>
      <c r="I9256">
        <f t="shared" si="288"/>
        <v>0</v>
      </c>
      <c r="J9256" t="str">
        <f t="shared" si="289"/>
        <v>Complete</v>
      </c>
      <c r="K9256">
        <f>COUNTIFS(RawData[Item], B9256,RawData[Quantity],C9256,RawData[Price Per Unit],D9256,RawData[Total Spent],E9256,RawData[Payment Method],F9256,RawData[Location],G9256,RawData[Transaction Date],H9256)</f>
        <v>1</v>
      </c>
      <c r="L9256"/>
    </row>
    <row r="9257" spans="1:12" x14ac:dyDescent="0.3">
      <c r="A9257" t="s">
        <v>9263</v>
      </c>
      <c r="B9257" t="s">
        <v>10008</v>
      </c>
      <c r="C9257">
        <v>4</v>
      </c>
      <c r="D9257">
        <v>2</v>
      </c>
      <c r="E9257">
        <v>8</v>
      </c>
      <c r="F9257" t="s">
        <v>10069</v>
      </c>
      <c r="G9257" t="s">
        <v>10021</v>
      </c>
      <c r="H9257" s="6" t="s">
        <v>10112</v>
      </c>
      <c r="I9257">
        <f t="shared" si="288"/>
        <v>1</v>
      </c>
      <c r="J9257" t="str">
        <f t="shared" si="289"/>
        <v>Incomplete</v>
      </c>
      <c r="K9257">
        <f>COUNTIFS(RawData[Item], B9257,RawData[Quantity],C9257,RawData[Price Per Unit],D9257,RawData[Total Spent],E9257,RawData[Payment Method],F9257,RawData[Location],G9257,RawData[Transaction Date],H9257)</f>
        <v>2</v>
      </c>
      <c r="L9257"/>
    </row>
    <row r="9258" spans="1:12" x14ac:dyDescent="0.3">
      <c r="A9258" t="s">
        <v>9264</v>
      </c>
      <c r="B9258" t="s">
        <v>10012</v>
      </c>
      <c r="C9258">
        <v>2</v>
      </c>
      <c r="D9258">
        <v>4</v>
      </c>
      <c r="E9258">
        <v>8</v>
      </c>
      <c r="F9258" t="s">
        <v>10020</v>
      </c>
      <c r="G9258" t="s">
        <v>10069</v>
      </c>
      <c r="H9258" s="6">
        <v>44963</v>
      </c>
      <c r="I9258">
        <f t="shared" si="288"/>
        <v>0</v>
      </c>
      <c r="J9258" t="str">
        <f t="shared" si="289"/>
        <v>Complete</v>
      </c>
      <c r="K9258">
        <f>COUNTIFS(RawData[Item], B9258,RawData[Quantity],C9258,RawData[Price Per Unit],D9258,RawData[Total Spent],E9258,RawData[Payment Method],F9258,RawData[Location],G9258,RawData[Transaction Date],H9258)</f>
        <v>1</v>
      </c>
      <c r="L9258"/>
    </row>
    <row r="9259" spans="1:12" x14ac:dyDescent="0.3">
      <c r="A9259" t="s">
        <v>9265</v>
      </c>
      <c r="B9259" t="s">
        <v>10008</v>
      </c>
      <c r="C9259">
        <v>3</v>
      </c>
      <c r="D9259">
        <v>2</v>
      </c>
      <c r="E9259">
        <v>6</v>
      </c>
      <c r="F9259" t="s">
        <v>10018</v>
      </c>
      <c r="G9259" t="s">
        <v>10069</v>
      </c>
      <c r="H9259" s="6">
        <v>45013</v>
      </c>
      <c r="I9259">
        <f t="shared" si="288"/>
        <v>0</v>
      </c>
      <c r="J9259" t="str">
        <f t="shared" si="289"/>
        <v>Complete</v>
      </c>
      <c r="K9259">
        <f>COUNTIFS(RawData[Item], B9259,RawData[Quantity],C9259,RawData[Price Per Unit],D9259,RawData[Total Spent],E9259,RawData[Payment Method],F9259,RawData[Location],G9259,RawData[Transaction Date],H9259)</f>
        <v>1</v>
      </c>
      <c r="L9259"/>
    </row>
    <row r="9260" spans="1:12" x14ac:dyDescent="0.3">
      <c r="A9260" t="s">
        <v>9266</v>
      </c>
      <c r="B9260" t="s">
        <v>10012</v>
      </c>
      <c r="C9260">
        <v>2</v>
      </c>
      <c r="D9260">
        <v>4</v>
      </c>
      <c r="E9260">
        <v>8</v>
      </c>
      <c r="F9260" t="s">
        <v>10069</v>
      </c>
      <c r="G9260" t="s">
        <v>10069</v>
      </c>
      <c r="H9260" s="6">
        <v>45094</v>
      </c>
      <c r="I9260">
        <f t="shared" si="288"/>
        <v>0</v>
      </c>
      <c r="J9260" t="str">
        <f t="shared" si="289"/>
        <v>Complete</v>
      </c>
      <c r="K9260">
        <f>COUNTIFS(RawData[Item], B9260,RawData[Quantity],C9260,RawData[Price Per Unit],D9260,RawData[Total Spent],E9260,RawData[Payment Method],F9260,RawData[Location],G9260,RawData[Transaction Date],H9260)</f>
        <v>1</v>
      </c>
      <c r="L9260"/>
    </row>
    <row r="9261" spans="1:12" x14ac:dyDescent="0.3">
      <c r="A9261" t="s">
        <v>9267</v>
      </c>
      <c r="B9261" t="s">
        <v>10011</v>
      </c>
      <c r="C9261">
        <v>3</v>
      </c>
      <c r="D9261">
        <v>5</v>
      </c>
      <c r="E9261">
        <v>15</v>
      </c>
      <c r="F9261" t="s">
        <v>10069</v>
      </c>
      <c r="G9261" t="s">
        <v>10021</v>
      </c>
      <c r="H9261" s="6">
        <v>45134</v>
      </c>
      <c r="I9261">
        <f t="shared" si="288"/>
        <v>0</v>
      </c>
      <c r="J9261" t="str">
        <f t="shared" si="289"/>
        <v>Complete</v>
      </c>
      <c r="K9261">
        <f>COUNTIFS(RawData[Item], B9261,RawData[Quantity],C9261,RawData[Price Per Unit],D9261,RawData[Total Spent],E9261,RawData[Payment Method],F9261,RawData[Location],G9261,RawData[Transaction Date],H9261)</f>
        <v>1</v>
      </c>
      <c r="L9261"/>
    </row>
    <row r="9262" spans="1:12" x14ac:dyDescent="0.3">
      <c r="A9262" t="s">
        <v>9268</v>
      </c>
      <c r="B9262" t="s">
        <v>10069</v>
      </c>
      <c r="C9262">
        <v>5</v>
      </c>
      <c r="D9262">
        <v>4</v>
      </c>
      <c r="E9262">
        <v>20</v>
      </c>
      <c r="F9262" t="s">
        <v>10018</v>
      </c>
      <c r="G9262" t="s">
        <v>10102</v>
      </c>
      <c r="H9262" s="6">
        <v>45063</v>
      </c>
      <c r="I9262">
        <f t="shared" si="288"/>
        <v>0</v>
      </c>
      <c r="J9262" t="str">
        <f t="shared" si="289"/>
        <v>Complete</v>
      </c>
      <c r="K9262">
        <f>COUNTIFS(RawData[Item], B9262,RawData[Quantity],C9262,RawData[Price Per Unit],D9262,RawData[Total Spent],E9262,RawData[Payment Method],F9262,RawData[Location],G9262,RawData[Transaction Date],H9262)</f>
        <v>1</v>
      </c>
      <c r="L9262"/>
    </row>
    <row r="9263" spans="1:12" x14ac:dyDescent="0.3">
      <c r="A9263" t="s">
        <v>9269</v>
      </c>
      <c r="B9263" t="s">
        <v>10017</v>
      </c>
      <c r="C9263">
        <v>2</v>
      </c>
      <c r="D9263">
        <v>1.5</v>
      </c>
      <c r="E9263">
        <v>3</v>
      </c>
      <c r="F9263" t="s">
        <v>10018</v>
      </c>
      <c r="G9263" t="s">
        <v>10102</v>
      </c>
      <c r="H9263" s="6">
        <v>45253</v>
      </c>
      <c r="I9263">
        <f t="shared" si="288"/>
        <v>0</v>
      </c>
      <c r="J9263" t="str">
        <f t="shared" si="289"/>
        <v>Complete</v>
      </c>
      <c r="K9263">
        <f>COUNTIFS(RawData[Item], B9263,RawData[Quantity],C9263,RawData[Price Per Unit],D9263,RawData[Total Spent],E9263,RawData[Payment Method],F9263,RawData[Location],G9263,RawData[Transaction Date],H9263)</f>
        <v>1</v>
      </c>
      <c r="L9263"/>
    </row>
    <row r="9264" spans="1:12" x14ac:dyDescent="0.3">
      <c r="A9264" t="s">
        <v>9270</v>
      </c>
      <c r="B9264" t="s">
        <v>10012</v>
      </c>
      <c r="C9264">
        <v>2</v>
      </c>
      <c r="D9264">
        <v>4</v>
      </c>
      <c r="E9264">
        <v>8</v>
      </c>
      <c r="F9264" t="s">
        <v>10020</v>
      </c>
      <c r="G9264" t="s">
        <v>10102</v>
      </c>
      <c r="H9264" s="6" t="s">
        <v>10112</v>
      </c>
      <c r="I9264">
        <f t="shared" si="288"/>
        <v>1</v>
      </c>
      <c r="J9264" t="str">
        <f t="shared" si="289"/>
        <v>Incomplete</v>
      </c>
      <c r="K9264">
        <f>COUNTIFS(RawData[Item], B9264,RawData[Quantity],C9264,RawData[Price Per Unit],D9264,RawData[Total Spent],E9264,RawData[Payment Method],F9264,RawData[Location],G9264,RawData[Transaction Date],H9264)</f>
        <v>2</v>
      </c>
      <c r="L9264"/>
    </row>
    <row r="9265" spans="1:12" x14ac:dyDescent="0.3">
      <c r="A9265" t="s">
        <v>9271</v>
      </c>
      <c r="B9265" t="s">
        <v>10069</v>
      </c>
      <c r="C9265">
        <v>4</v>
      </c>
      <c r="D9265">
        <v>1.5</v>
      </c>
      <c r="E9265">
        <v>6</v>
      </c>
      <c r="F9265" t="s">
        <v>10069</v>
      </c>
      <c r="G9265" t="s">
        <v>10102</v>
      </c>
      <c r="H9265" s="6">
        <v>45220</v>
      </c>
      <c r="I9265">
        <f t="shared" si="288"/>
        <v>0</v>
      </c>
      <c r="J9265" t="str">
        <f t="shared" si="289"/>
        <v>Complete</v>
      </c>
      <c r="K9265">
        <f>COUNTIFS(RawData[Item], B9265,RawData[Quantity],C9265,RawData[Price Per Unit],D9265,RawData[Total Spent],E9265,RawData[Payment Method],F9265,RawData[Location],G9265,RawData[Transaction Date],H9265)</f>
        <v>1</v>
      </c>
      <c r="L9265"/>
    </row>
    <row r="9266" spans="1:12" x14ac:dyDescent="0.3">
      <c r="A9266" t="s">
        <v>9272</v>
      </c>
      <c r="B9266" t="s">
        <v>10014</v>
      </c>
      <c r="C9266">
        <v>1</v>
      </c>
      <c r="D9266">
        <v>4</v>
      </c>
      <c r="E9266">
        <v>4</v>
      </c>
      <c r="F9266" t="s">
        <v>10069</v>
      </c>
      <c r="G9266" t="s">
        <v>10102</v>
      </c>
      <c r="H9266" s="6">
        <v>45119</v>
      </c>
      <c r="I9266">
        <f t="shared" si="288"/>
        <v>0</v>
      </c>
      <c r="J9266" t="str">
        <f t="shared" si="289"/>
        <v>Complete</v>
      </c>
      <c r="K9266">
        <f>COUNTIFS(RawData[Item], B9266,RawData[Quantity],C9266,RawData[Price Per Unit],D9266,RawData[Total Spent],E9266,RawData[Payment Method],F9266,RawData[Location],G9266,RawData[Transaction Date],H9266)</f>
        <v>1</v>
      </c>
      <c r="L9266"/>
    </row>
    <row r="9267" spans="1:12" x14ac:dyDescent="0.3">
      <c r="A9267" t="s">
        <v>9273</v>
      </c>
      <c r="B9267" t="s">
        <v>10011</v>
      </c>
      <c r="C9267">
        <v>1</v>
      </c>
      <c r="D9267">
        <v>5</v>
      </c>
      <c r="E9267">
        <v>0</v>
      </c>
      <c r="F9267" t="s">
        <v>10018</v>
      </c>
      <c r="G9267" t="s">
        <v>10021</v>
      </c>
      <c r="H9267" s="6">
        <v>45077</v>
      </c>
      <c r="I9267">
        <f t="shared" si="288"/>
        <v>0</v>
      </c>
      <c r="J9267" t="str">
        <f t="shared" si="289"/>
        <v>Complete</v>
      </c>
      <c r="K9267">
        <f>COUNTIFS(RawData[Item], B9267,RawData[Quantity],C9267,RawData[Price Per Unit],D9267,RawData[Total Spent],E9267,RawData[Payment Method],F9267,RawData[Location],G9267,RawData[Transaction Date],H9267)</f>
        <v>1</v>
      </c>
      <c r="L9267"/>
    </row>
    <row r="9268" spans="1:12" x14ac:dyDescent="0.3">
      <c r="A9268" t="s">
        <v>9274</v>
      </c>
      <c r="B9268" t="s">
        <v>10010</v>
      </c>
      <c r="C9268">
        <v>5</v>
      </c>
      <c r="D9268">
        <v>1</v>
      </c>
      <c r="E9268">
        <v>5</v>
      </c>
      <c r="F9268" t="s">
        <v>10019</v>
      </c>
      <c r="G9268" t="s">
        <v>10069</v>
      </c>
      <c r="H9268" s="6">
        <v>45211</v>
      </c>
      <c r="I9268">
        <f t="shared" si="288"/>
        <v>0</v>
      </c>
      <c r="J9268" t="str">
        <f t="shared" si="289"/>
        <v>Complete</v>
      </c>
      <c r="K9268">
        <f>COUNTIFS(RawData[Item], B9268,RawData[Quantity],C9268,RawData[Price Per Unit],D9268,RawData[Total Spent],E9268,RawData[Payment Method],F9268,RawData[Location],G9268,RawData[Transaction Date],H9268)</f>
        <v>1</v>
      </c>
      <c r="L9268"/>
    </row>
    <row r="9269" spans="1:12" x14ac:dyDescent="0.3">
      <c r="A9269" t="s">
        <v>9275</v>
      </c>
      <c r="B9269" t="s">
        <v>10011</v>
      </c>
      <c r="C9269">
        <v>4</v>
      </c>
      <c r="D9269">
        <v>5</v>
      </c>
      <c r="E9269">
        <v>20</v>
      </c>
      <c r="F9269" t="s">
        <v>10019</v>
      </c>
      <c r="G9269" t="s">
        <v>10021</v>
      </c>
      <c r="H9269" s="6">
        <v>45101</v>
      </c>
      <c r="I9269">
        <f t="shared" si="288"/>
        <v>0</v>
      </c>
      <c r="J9269" t="str">
        <f t="shared" si="289"/>
        <v>Complete</v>
      </c>
      <c r="K9269">
        <f>COUNTIFS(RawData[Item], B9269,RawData[Quantity],C9269,RawData[Price Per Unit],D9269,RawData[Total Spent],E9269,RawData[Payment Method],F9269,RawData[Location],G9269,RawData[Transaction Date],H9269)</f>
        <v>1</v>
      </c>
      <c r="L9269"/>
    </row>
    <row r="9270" spans="1:12" x14ac:dyDescent="0.3">
      <c r="A9270" t="s">
        <v>9276</v>
      </c>
      <c r="B9270" t="s">
        <v>10010</v>
      </c>
      <c r="C9270">
        <v>3</v>
      </c>
      <c r="D9270">
        <v>1</v>
      </c>
      <c r="E9270">
        <v>3</v>
      </c>
      <c r="F9270" t="s">
        <v>10019</v>
      </c>
      <c r="G9270" t="s">
        <v>10104</v>
      </c>
      <c r="H9270" s="6">
        <v>45218</v>
      </c>
      <c r="I9270">
        <f t="shared" si="288"/>
        <v>1</v>
      </c>
      <c r="J9270" t="str">
        <f t="shared" si="289"/>
        <v>Complete</v>
      </c>
      <c r="K9270">
        <f>COUNTIFS(RawData[Item], B9270,RawData[Quantity],C9270,RawData[Price Per Unit],D9270,RawData[Total Spent],E9270,RawData[Payment Method],F9270,RawData[Location],G9270,RawData[Transaction Date],H9270)</f>
        <v>1</v>
      </c>
      <c r="L9270"/>
    </row>
    <row r="9271" spans="1:12" x14ac:dyDescent="0.3">
      <c r="A9271" t="s">
        <v>9277</v>
      </c>
      <c r="B9271" t="s">
        <v>10008</v>
      </c>
      <c r="C9271">
        <v>4</v>
      </c>
      <c r="D9271">
        <v>2</v>
      </c>
      <c r="E9271">
        <v>8</v>
      </c>
      <c r="F9271" t="s">
        <v>10020</v>
      </c>
      <c r="G9271" t="s">
        <v>10021</v>
      </c>
      <c r="H9271" s="6">
        <v>45051</v>
      </c>
      <c r="I9271">
        <f t="shared" si="288"/>
        <v>0</v>
      </c>
      <c r="J9271" t="str">
        <f t="shared" si="289"/>
        <v>Complete</v>
      </c>
      <c r="K9271">
        <f>COUNTIFS(RawData[Item], B9271,RawData[Quantity],C9271,RawData[Price Per Unit],D9271,RawData[Total Spent],E9271,RawData[Payment Method],F9271,RawData[Location],G9271,RawData[Transaction Date],H9271)</f>
        <v>1</v>
      </c>
      <c r="L9271"/>
    </row>
    <row r="9272" spans="1:12" x14ac:dyDescent="0.3">
      <c r="A9272" t="s">
        <v>9278</v>
      </c>
      <c r="B9272" t="s">
        <v>10008</v>
      </c>
      <c r="C9272">
        <v>4</v>
      </c>
      <c r="D9272">
        <v>2</v>
      </c>
      <c r="E9272">
        <v>8</v>
      </c>
      <c r="F9272" t="s">
        <v>10020</v>
      </c>
      <c r="G9272" t="s">
        <v>10103</v>
      </c>
      <c r="H9272" s="6">
        <v>45145</v>
      </c>
      <c r="I9272">
        <f t="shared" si="288"/>
        <v>1</v>
      </c>
      <c r="J9272" t="str">
        <f t="shared" si="289"/>
        <v>Complete</v>
      </c>
      <c r="K9272">
        <f>COUNTIFS(RawData[Item], B9272,RawData[Quantity],C9272,RawData[Price Per Unit],D9272,RawData[Total Spent],E9272,RawData[Payment Method],F9272,RawData[Location],G9272,RawData[Transaction Date],H9272)</f>
        <v>1</v>
      </c>
      <c r="L9272"/>
    </row>
    <row r="9273" spans="1:12" x14ac:dyDescent="0.3">
      <c r="A9273" t="s">
        <v>9279</v>
      </c>
      <c r="B9273" t="s">
        <v>10014</v>
      </c>
      <c r="C9273">
        <v>3</v>
      </c>
      <c r="D9273">
        <v>4</v>
      </c>
      <c r="E9273" t="s">
        <v>10015</v>
      </c>
      <c r="F9273" t="s">
        <v>10069</v>
      </c>
      <c r="G9273" t="s">
        <v>10021</v>
      </c>
      <c r="H9273" s="6">
        <v>45101</v>
      </c>
      <c r="I9273">
        <f t="shared" si="288"/>
        <v>1</v>
      </c>
      <c r="J9273" t="str">
        <f t="shared" si="289"/>
        <v>Complete</v>
      </c>
      <c r="K9273">
        <f>COUNTIFS(RawData[Item], B9273,RawData[Quantity],C9273,RawData[Price Per Unit],D9273,RawData[Total Spent],E9273,RawData[Payment Method],F9273,RawData[Location],G9273,RawData[Transaction Date],H9273)</f>
        <v>1</v>
      </c>
      <c r="L9273"/>
    </row>
    <row r="9274" spans="1:12" x14ac:dyDescent="0.3">
      <c r="A9274" t="s">
        <v>9280</v>
      </c>
      <c r="B9274" t="s">
        <v>10016</v>
      </c>
      <c r="C9274">
        <v>3</v>
      </c>
      <c r="D9274">
        <v>3</v>
      </c>
      <c r="E9274">
        <v>9</v>
      </c>
      <c r="F9274" t="s">
        <v>10069</v>
      </c>
      <c r="G9274" t="s">
        <v>10069</v>
      </c>
      <c r="H9274" s="6">
        <v>45020</v>
      </c>
      <c r="I9274">
        <f t="shared" si="288"/>
        <v>0</v>
      </c>
      <c r="J9274" t="str">
        <f t="shared" si="289"/>
        <v>Complete</v>
      </c>
      <c r="K9274">
        <f>COUNTIFS(RawData[Item], B9274,RawData[Quantity],C9274,RawData[Price Per Unit],D9274,RawData[Total Spent],E9274,RawData[Payment Method],F9274,RawData[Location],G9274,RawData[Transaction Date],H9274)</f>
        <v>1</v>
      </c>
      <c r="L9274"/>
    </row>
    <row r="9275" spans="1:12" x14ac:dyDescent="0.3">
      <c r="A9275" t="s">
        <v>9281</v>
      </c>
      <c r="B9275" t="s">
        <v>10010</v>
      </c>
      <c r="C9275">
        <v>5</v>
      </c>
      <c r="D9275">
        <v>1</v>
      </c>
      <c r="E9275">
        <v>5</v>
      </c>
      <c r="F9275" t="s">
        <v>10018</v>
      </c>
      <c r="G9275" t="s">
        <v>10069</v>
      </c>
      <c r="H9275" s="6">
        <v>45017</v>
      </c>
      <c r="I9275">
        <f t="shared" si="288"/>
        <v>0</v>
      </c>
      <c r="J9275" t="str">
        <f t="shared" si="289"/>
        <v>Complete</v>
      </c>
      <c r="K9275">
        <f>COUNTIFS(RawData[Item], B9275,RawData[Quantity],C9275,RawData[Price Per Unit],D9275,RawData[Total Spent],E9275,RawData[Payment Method],F9275,RawData[Location],G9275,RawData[Transaction Date],H9275)</f>
        <v>1</v>
      </c>
      <c r="L9275"/>
    </row>
    <row r="9276" spans="1:12" x14ac:dyDescent="0.3">
      <c r="A9276" t="s">
        <v>9282</v>
      </c>
      <c r="B9276" t="s">
        <v>10011</v>
      </c>
      <c r="C9276">
        <v>4</v>
      </c>
      <c r="D9276">
        <v>5</v>
      </c>
      <c r="E9276">
        <v>20</v>
      </c>
      <c r="F9276" t="s">
        <v>10103</v>
      </c>
      <c r="G9276" t="s">
        <v>10102</v>
      </c>
      <c r="H9276" s="6">
        <v>44996</v>
      </c>
      <c r="I9276">
        <f t="shared" si="288"/>
        <v>1</v>
      </c>
      <c r="J9276" t="str">
        <f t="shared" si="289"/>
        <v>Complete</v>
      </c>
      <c r="K9276">
        <f>COUNTIFS(RawData[Item], B9276,RawData[Quantity],C9276,RawData[Price Per Unit],D9276,RawData[Total Spent],E9276,RawData[Payment Method],F9276,RawData[Location],G9276,RawData[Transaction Date],H9276)</f>
        <v>1</v>
      </c>
      <c r="L9276"/>
    </row>
    <row r="9277" spans="1:12" x14ac:dyDescent="0.3">
      <c r="A9277" t="s">
        <v>9283</v>
      </c>
      <c r="B9277" t="s">
        <v>10009</v>
      </c>
      <c r="C9277">
        <v>5</v>
      </c>
      <c r="D9277">
        <v>3</v>
      </c>
      <c r="E9277">
        <v>15</v>
      </c>
      <c r="F9277" t="s">
        <v>10020</v>
      </c>
      <c r="G9277" t="s">
        <v>10069</v>
      </c>
      <c r="H9277" s="6">
        <v>45203</v>
      </c>
      <c r="I9277">
        <f t="shared" si="288"/>
        <v>0</v>
      </c>
      <c r="J9277" t="str">
        <f t="shared" si="289"/>
        <v>Complete</v>
      </c>
      <c r="K9277">
        <f>COUNTIFS(RawData[Item], B9277,RawData[Quantity],C9277,RawData[Price Per Unit],D9277,RawData[Total Spent],E9277,RawData[Payment Method],F9277,RawData[Location],G9277,RawData[Transaction Date],H9277)</f>
        <v>1</v>
      </c>
      <c r="L9277"/>
    </row>
    <row r="9278" spans="1:12" x14ac:dyDescent="0.3">
      <c r="A9278" t="s">
        <v>9284</v>
      </c>
      <c r="B9278" t="s">
        <v>10010</v>
      </c>
      <c r="C9278">
        <v>1</v>
      </c>
      <c r="D9278">
        <v>1</v>
      </c>
      <c r="E9278">
        <v>1</v>
      </c>
      <c r="F9278" t="s">
        <v>10018</v>
      </c>
      <c r="G9278" t="s">
        <v>10021</v>
      </c>
      <c r="H9278" s="6">
        <v>45003</v>
      </c>
      <c r="I9278">
        <f t="shared" si="288"/>
        <v>0</v>
      </c>
      <c r="J9278" t="str">
        <f t="shared" si="289"/>
        <v>Complete</v>
      </c>
      <c r="K9278">
        <f>COUNTIFS(RawData[Item], B9278,RawData[Quantity],C9278,RawData[Price Per Unit],D9278,RawData[Total Spent],E9278,RawData[Payment Method],F9278,RawData[Location],G9278,RawData[Transaction Date],H9278)</f>
        <v>1</v>
      </c>
      <c r="L9278"/>
    </row>
    <row r="9279" spans="1:12" x14ac:dyDescent="0.3">
      <c r="A9279" t="s">
        <v>9285</v>
      </c>
      <c r="B9279" t="s">
        <v>10014</v>
      </c>
      <c r="C9279">
        <v>3</v>
      </c>
      <c r="D9279">
        <v>4</v>
      </c>
      <c r="E9279">
        <v>12</v>
      </c>
      <c r="F9279" t="s">
        <v>10103</v>
      </c>
      <c r="G9279" t="s">
        <v>10069</v>
      </c>
      <c r="H9279" s="6">
        <v>45072</v>
      </c>
      <c r="I9279">
        <f t="shared" si="288"/>
        <v>1</v>
      </c>
      <c r="J9279" t="str">
        <f t="shared" si="289"/>
        <v>Complete</v>
      </c>
      <c r="K9279">
        <f>COUNTIFS(RawData[Item], B9279,RawData[Quantity],C9279,RawData[Price Per Unit],D9279,RawData[Total Spent],E9279,RawData[Payment Method],F9279,RawData[Location],G9279,RawData[Transaction Date],H9279)</f>
        <v>1</v>
      </c>
      <c r="L9279"/>
    </row>
    <row r="9280" spans="1:12" x14ac:dyDescent="0.3">
      <c r="A9280" t="s">
        <v>9286</v>
      </c>
      <c r="B9280" t="s">
        <v>10069</v>
      </c>
      <c r="C9280" t="s">
        <v>10013</v>
      </c>
      <c r="D9280">
        <v>3</v>
      </c>
      <c r="E9280">
        <v>15</v>
      </c>
      <c r="F9280" t="s">
        <v>10019</v>
      </c>
      <c r="G9280" t="s">
        <v>10104</v>
      </c>
      <c r="H9280" s="6" t="s">
        <v>10112</v>
      </c>
      <c r="I9280">
        <f t="shared" si="288"/>
        <v>3</v>
      </c>
      <c r="J9280" t="str">
        <f t="shared" si="289"/>
        <v>Incomplete</v>
      </c>
      <c r="K9280">
        <f>COUNTIFS(RawData[Item], B9280,RawData[Quantity],C9280,RawData[Price Per Unit],D9280,RawData[Total Spent],E9280,RawData[Payment Method],F9280,RawData[Location],G9280,RawData[Transaction Date],H9280)</f>
        <v>1</v>
      </c>
      <c r="L9280"/>
    </row>
    <row r="9281" spans="1:12" x14ac:dyDescent="0.3">
      <c r="A9281" t="s">
        <v>9287</v>
      </c>
      <c r="B9281" t="s">
        <v>10017</v>
      </c>
      <c r="C9281">
        <v>4</v>
      </c>
      <c r="D9281">
        <v>1.5</v>
      </c>
      <c r="E9281">
        <v>6</v>
      </c>
      <c r="F9281" t="s">
        <v>10019</v>
      </c>
      <c r="G9281" t="s">
        <v>10102</v>
      </c>
      <c r="H9281" s="6">
        <v>44993</v>
      </c>
      <c r="I9281">
        <f t="shared" si="288"/>
        <v>0</v>
      </c>
      <c r="J9281" t="str">
        <f t="shared" si="289"/>
        <v>Complete</v>
      </c>
      <c r="K9281">
        <f>COUNTIFS(RawData[Item], B9281,RawData[Quantity],C9281,RawData[Price Per Unit],D9281,RawData[Total Spent],E9281,RawData[Payment Method],F9281,RawData[Location],G9281,RawData[Transaction Date],H9281)</f>
        <v>1</v>
      </c>
      <c r="L9281"/>
    </row>
    <row r="9282" spans="1:12" x14ac:dyDescent="0.3">
      <c r="A9282" t="s">
        <v>9288</v>
      </c>
      <c r="B9282" t="s">
        <v>10014</v>
      </c>
      <c r="C9282">
        <v>4</v>
      </c>
      <c r="D9282">
        <v>4</v>
      </c>
      <c r="E9282">
        <v>16</v>
      </c>
      <c r="F9282" t="s">
        <v>10020</v>
      </c>
      <c r="G9282" t="s">
        <v>10102</v>
      </c>
      <c r="H9282" s="6">
        <v>44940</v>
      </c>
      <c r="I9282">
        <f t="shared" ref="I9282:I9345" si="290">(B9282="Unknown")+(B9282="Error")+(C9282="Unknown")+(C9282="Error")+(D9282="Unknown")+(D9282="Error")+(E9282="Unknown")+(E9282="Error")+(F9282="Unknown")+(F9282="Error")+(G9282="Unknown")+(G9282="Error")+(H9282="No Date")</f>
        <v>0</v>
      </c>
      <c r="J9282" t="str">
        <f t="shared" ref="J9282:J9345" si="291">IF((H9282="No Date"),"Incomplete","Complete")</f>
        <v>Complete</v>
      </c>
      <c r="K9282">
        <f>COUNTIFS(RawData[Item], B9282,RawData[Quantity],C9282,RawData[Price Per Unit],D9282,RawData[Total Spent],E9282,RawData[Payment Method],F9282,RawData[Location],G9282,RawData[Transaction Date],H9282)</f>
        <v>1</v>
      </c>
      <c r="L9282"/>
    </row>
    <row r="9283" spans="1:12" x14ac:dyDescent="0.3">
      <c r="A9283" t="s">
        <v>9289</v>
      </c>
      <c r="B9283" t="s">
        <v>10069</v>
      </c>
      <c r="C9283">
        <v>3</v>
      </c>
      <c r="D9283">
        <v>2</v>
      </c>
      <c r="E9283">
        <v>6</v>
      </c>
      <c r="F9283" t="s">
        <v>10020</v>
      </c>
      <c r="G9283" t="s">
        <v>10102</v>
      </c>
      <c r="H9283" s="6">
        <v>45120</v>
      </c>
      <c r="I9283">
        <f t="shared" si="290"/>
        <v>0</v>
      </c>
      <c r="J9283" t="str">
        <f t="shared" si="291"/>
        <v>Complete</v>
      </c>
      <c r="K9283">
        <f>COUNTIFS(RawData[Item], B9283,RawData[Quantity],C9283,RawData[Price Per Unit],D9283,RawData[Total Spent],E9283,RawData[Payment Method],F9283,RawData[Location],G9283,RawData[Transaction Date],H9283)</f>
        <v>1</v>
      </c>
      <c r="L9283"/>
    </row>
    <row r="9284" spans="1:12" x14ac:dyDescent="0.3">
      <c r="A9284" t="s">
        <v>9290</v>
      </c>
      <c r="B9284" t="s">
        <v>10011</v>
      </c>
      <c r="C9284">
        <v>5</v>
      </c>
      <c r="D9284">
        <v>5</v>
      </c>
      <c r="E9284">
        <v>25</v>
      </c>
      <c r="F9284" t="s">
        <v>10103</v>
      </c>
      <c r="G9284" t="s">
        <v>10102</v>
      </c>
      <c r="H9284" s="6">
        <v>45108</v>
      </c>
      <c r="I9284">
        <f t="shared" si="290"/>
        <v>1</v>
      </c>
      <c r="J9284" t="str">
        <f t="shared" si="291"/>
        <v>Complete</v>
      </c>
      <c r="K9284">
        <f>COUNTIFS(RawData[Item], B9284,RawData[Quantity],C9284,RawData[Price Per Unit],D9284,RawData[Total Spent],E9284,RawData[Payment Method],F9284,RawData[Location],G9284,RawData[Transaction Date],H9284)</f>
        <v>1</v>
      </c>
      <c r="L9284"/>
    </row>
    <row r="9285" spans="1:12" x14ac:dyDescent="0.3">
      <c r="A9285" t="s">
        <v>9291</v>
      </c>
      <c r="B9285" t="s">
        <v>10016</v>
      </c>
      <c r="C9285">
        <v>4</v>
      </c>
      <c r="D9285">
        <v>3</v>
      </c>
      <c r="E9285">
        <v>12</v>
      </c>
      <c r="F9285" t="s">
        <v>10019</v>
      </c>
      <c r="G9285" t="s">
        <v>10102</v>
      </c>
      <c r="H9285" s="6">
        <v>45113</v>
      </c>
      <c r="I9285">
        <f t="shared" si="290"/>
        <v>0</v>
      </c>
      <c r="J9285" t="str">
        <f t="shared" si="291"/>
        <v>Complete</v>
      </c>
      <c r="K9285">
        <f>COUNTIFS(RawData[Item], B9285,RawData[Quantity],C9285,RawData[Price Per Unit],D9285,RawData[Total Spent],E9285,RawData[Payment Method],F9285,RawData[Location],G9285,RawData[Transaction Date],H9285)</f>
        <v>1</v>
      </c>
      <c r="L9285"/>
    </row>
    <row r="9286" spans="1:12" x14ac:dyDescent="0.3">
      <c r="A9286" t="s">
        <v>9292</v>
      </c>
      <c r="B9286" t="s">
        <v>10069</v>
      </c>
      <c r="C9286">
        <v>1</v>
      </c>
      <c r="D9286">
        <v>4</v>
      </c>
      <c r="E9286">
        <v>4</v>
      </c>
      <c r="F9286" t="s">
        <v>10103</v>
      </c>
      <c r="G9286" t="s">
        <v>10102</v>
      </c>
      <c r="H9286" s="6">
        <v>44993</v>
      </c>
      <c r="I9286">
        <f t="shared" si="290"/>
        <v>1</v>
      </c>
      <c r="J9286" t="str">
        <f t="shared" si="291"/>
        <v>Complete</v>
      </c>
      <c r="K9286">
        <f>COUNTIFS(RawData[Item], B9286,RawData[Quantity],C9286,RawData[Price Per Unit],D9286,RawData[Total Spent],E9286,RawData[Payment Method],F9286,RawData[Location],G9286,RawData[Transaction Date],H9286)</f>
        <v>1</v>
      </c>
      <c r="L9286"/>
    </row>
    <row r="9287" spans="1:12" x14ac:dyDescent="0.3">
      <c r="A9287" t="s">
        <v>9293</v>
      </c>
      <c r="B9287" t="s">
        <v>10010</v>
      </c>
      <c r="C9287">
        <v>1</v>
      </c>
      <c r="D9287">
        <v>1</v>
      </c>
      <c r="E9287">
        <v>1</v>
      </c>
      <c r="F9287" t="s">
        <v>10069</v>
      </c>
      <c r="G9287" t="s">
        <v>10021</v>
      </c>
      <c r="H9287" s="6">
        <v>44967</v>
      </c>
      <c r="I9287">
        <f t="shared" si="290"/>
        <v>0</v>
      </c>
      <c r="J9287" t="str">
        <f t="shared" si="291"/>
        <v>Complete</v>
      </c>
      <c r="K9287">
        <f>COUNTIFS(RawData[Item], B9287,RawData[Quantity],C9287,RawData[Price Per Unit],D9287,RawData[Total Spent],E9287,RawData[Payment Method],F9287,RawData[Location],G9287,RawData[Transaction Date],H9287)</f>
        <v>1</v>
      </c>
      <c r="L9287"/>
    </row>
    <row r="9288" spans="1:12" x14ac:dyDescent="0.3">
      <c r="A9288" t="s">
        <v>9294</v>
      </c>
      <c r="B9288" t="s">
        <v>10017</v>
      </c>
      <c r="C9288">
        <v>4</v>
      </c>
      <c r="D9288">
        <v>1.5</v>
      </c>
      <c r="E9288">
        <v>6</v>
      </c>
      <c r="F9288" t="s">
        <v>10018</v>
      </c>
      <c r="G9288" t="s">
        <v>10102</v>
      </c>
      <c r="H9288" s="6">
        <v>45086</v>
      </c>
      <c r="I9288">
        <f t="shared" si="290"/>
        <v>0</v>
      </c>
      <c r="J9288" t="str">
        <f t="shared" si="291"/>
        <v>Complete</v>
      </c>
      <c r="K9288">
        <f>COUNTIFS(RawData[Item], B9288,RawData[Quantity],C9288,RawData[Price Per Unit],D9288,RawData[Total Spent],E9288,RawData[Payment Method],F9288,RawData[Location],G9288,RawData[Transaction Date],H9288)</f>
        <v>1</v>
      </c>
      <c r="L9288"/>
    </row>
    <row r="9289" spans="1:12" x14ac:dyDescent="0.3">
      <c r="A9289" t="s">
        <v>9295</v>
      </c>
      <c r="B9289" t="s">
        <v>10010</v>
      </c>
      <c r="C9289">
        <v>1</v>
      </c>
      <c r="D9289">
        <v>1</v>
      </c>
      <c r="E9289">
        <v>1</v>
      </c>
      <c r="F9289" t="s">
        <v>10020</v>
      </c>
      <c r="G9289" t="s">
        <v>10021</v>
      </c>
      <c r="H9289" s="6">
        <v>44955</v>
      </c>
      <c r="I9289">
        <f t="shared" si="290"/>
        <v>0</v>
      </c>
      <c r="J9289" t="str">
        <f t="shared" si="291"/>
        <v>Complete</v>
      </c>
      <c r="K9289">
        <f>COUNTIFS(RawData[Item], B9289,RawData[Quantity],C9289,RawData[Price Per Unit],D9289,RawData[Total Spent],E9289,RawData[Payment Method],F9289,RawData[Location],G9289,RawData[Transaction Date],H9289)</f>
        <v>1</v>
      </c>
      <c r="L9289"/>
    </row>
    <row r="9290" spans="1:12" x14ac:dyDescent="0.3">
      <c r="A9290" t="s">
        <v>9296</v>
      </c>
      <c r="B9290" t="s">
        <v>10009</v>
      </c>
      <c r="C9290" t="s">
        <v>10013</v>
      </c>
      <c r="D9290">
        <v>3</v>
      </c>
      <c r="E9290">
        <v>15</v>
      </c>
      <c r="F9290" t="s">
        <v>10019</v>
      </c>
      <c r="G9290" t="s">
        <v>10102</v>
      </c>
      <c r="H9290" s="6">
        <v>45049</v>
      </c>
      <c r="I9290">
        <f t="shared" si="290"/>
        <v>1</v>
      </c>
      <c r="J9290" t="str">
        <f t="shared" si="291"/>
        <v>Complete</v>
      </c>
      <c r="K9290">
        <f>COUNTIFS(RawData[Item], B9290,RawData[Quantity],C9290,RawData[Price Per Unit],D9290,RawData[Total Spent],E9290,RawData[Payment Method],F9290,RawData[Location],G9290,RawData[Transaction Date],H9290)</f>
        <v>1</v>
      </c>
      <c r="L9290"/>
    </row>
    <row r="9291" spans="1:12" x14ac:dyDescent="0.3">
      <c r="A9291" t="s">
        <v>9297</v>
      </c>
      <c r="B9291" t="s">
        <v>10010</v>
      </c>
      <c r="C9291">
        <v>4</v>
      </c>
      <c r="D9291">
        <v>1</v>
      </c>
      <c r="E9291">
        <v>4</v>
      </c>
      <c r="F9291" t="s">
        <v>10020</v>
      </c>
      <c r="G9291" t="s">
        <v>10021</v>
      </c>
      <c r="H9291" s="6">
        <v>45226</v>
      </c>
      <c r="I9291">
        <f t="shared" si="290"/>
        <v>0</v>
      </c>
      <c r="J9291" t="str">
        <f t="shared" si="291"/>
        <v>Complete</v>
      </c>
      <c r="K9291">
        <f>COUNTIFS(RawData[Item], B9291,RawData[Quantity],C9291,RawData[Price Per Unit],D9291,RawData[Total Spent],E9291,RawData[Payment Method],F9291,RawData[Location],G9291,RawData[Transaction Date],H9291)</f>
        <v>2</v>
      </c>
      <c r="L9291"/>
    </row>
    <row r="9292" spans="1:12" x14ac:dyDescent="0.3">
      <c r="A9292" t="s">
        <v>9298</v>
      </c>
      <c r="B9292" t="s">
        <v>10017</v>
      </c>
      <c r="C9292">
        <v>4</v>
      </c>
      <c r="D9292">
        <v>1.5</v>
      </c>
      <c r="E9292">
        <v>6</v>
      </c>
      <c r="F9292" t="s">
        <v>10104</v>
      </c>
      <c r="G9292" t="s">
        <v>10069</v>
      </c>
      <c r="H9292" s="6">
        <v>45112</v>
      </c>
      <c r="I9292">
        <f t="shared" si="290"/>
        <v>1</v>
      </c>
      <c r="J9292" t="str">
        <f t="shared" si="291"/>
        <v>Complete</v>
      </c>
      <c r="K9292">
        <f>COUNTIFS(RawData[Item], B9292,RawData[Quantity],C9292,RawData[Price Per Unit],D9292,RawData[Total Spent],E9292,RawData[Payment Method],F9292,RawData[Location],G9292,RawData[Transaction Date],H9292)</f>
        <v>1</v>
      </c>
      <c r="L9292"/>
    </row>
    <row r="9293" spans="1:12" x14ac:dyDescent="0.3">
      <c r="A9293" t="s">
        <v>9299</v>
      </c>
      <c r="B9293" t="s">
        <v>10011</v>
      </c>
      <c r="C9293">
        <v>5</v>
      </c>
      <c r="D9293">
        <v>5</v>
      </c>
      <c r="E9293">
        <v>25</v>
      </c>
      <c r="F9293" t="s">
        <v>10019</v>
      </c>
      <c r="G9293" t="s">
        <v>10069</v>
      </c>
      <c r="H9293" s="6">
        <v>45182</v>
      </c>
      <c r="I9293">
        <f t="shared" si="290"/>
        <v>0</v>
      </c>
      <c r="J9293" t="str">
        <f t="shared" si="291"/>
        <v>Complete</v>
      </c>
      <c r="K9293">
        <f>COUNTIFS(RawData[Item], B9293,RawData[Quantity],C9293,RawData[Price Per Unit],D9293,RawData[Total Spent],E9293,RawData[Payment Method],F9293,RawData[Location],G9293,RawData[Transaction Date],H9293)</f>
        <v>1</v>
      </c>
      <c r="L9293"/>
    </row>
    <row r="9294" spans="1:12" x14ac:dyDescent="0.3">
      <c r="A9294" t="s">
        <v>9300</v>
      </c>
      <c r="B9294" t="s">
        <v>10010</v>
      </c>
      <c r="C9294">
        <v>2</v>
      </c>
      <c r="D9294">
        <v>1</v>
      </c>
      <c r="E9294">
        <v>2</v>
      </c>
      <c r="F9294" t="s">
        <v>10069</v>
      </c>
      <c r="G9294" t="s">
        <v>10069</v>
      </c>
      <c r="H9294" s="6">
        <v>45021</v>
      </c>
      <c r="I9294">
        <f t="shared" si="290"/>
        <v>0</v>
      </c>
      <c r="J9294" t="str">
        <f t="shared" si="291"/>
        <v>Complete</v>
      </c>
      <c r="K9294">
        <f>COUNTIFS(RawData[Item], B9294,RawData[Quantity],C9294,RawData[Price Per Unit],D9294,RawData[Total Spent],E9294,RawData[Payment Method],F9294,RawData[Location],G9294,RawData[Transaction Date],H9294)</f>
        <v>1</v>
      </c>
      <c r="L9294"/>
    </row>
    <row r="9295" spans="1:12" x14ac:dyDescent="0.3">
      <c r="A9295" t="s">
        <v>9301</v>
      </c>
      <c r="B9295" t="s">
        <v>10010</v>
      </c>
      <c r="C9295">
        <v>4</v>
      </c>
      <c r="D9295">
        <v>1</v>
      </c>
      <c r="E9295">
        <v>4</v>
      </c>
      <c r="F9295" t="s">
        <v>10018</v>
      </c>
      <c r="G9295" t="s">
        <v>10104</v>
      </c>
      <c r="H9295" s="6">
        <v>45154</v>
      </c>
      <c r="I9295">
        <f t="shared" si="290"/>
        <v>1</v>
      </c>
      <c r="J9295" t="str">
        <f t="shared" si="291"/>
        <v>Complete</v>
      </c>
      <c r="K9295">
        <f>COUNTIFS(RawData[Item], B9295,RawData[Quantity],C9295,RawData[Price Per Unit],D9295,RawData[Total Spent],E9295,RawData[Payment Method],F9295,RawData[Location],G9295,RawData[Transaction Date],H9295)</f>
        <v>1</v>
      </c>
      <c r="L9295"/>
    </row>
    <row r="9296" spans="1:12" x14ac:dyDescent="0.3">
      <c r="A9296" t="s">
        <v>9302</v>
      </c>
      <c r="B9296" t="s">
        <v>10011</v>
      </c>
      <c r="C9296">
        <v>3</v>
      </c>
      <c r="D9296">
        <v>5</v>
      </c>
      <c r="E9296">
        <v>15</v>
      </c>
      <c r="F9296" t="s">
        <v>10019</v>
      </c>
      <c r="G9296" t="s">
        <v>10069</v>
      </c>
      <c r="H9296" s="6">
        <v>44942</v>
      </c>
      <c r="I9296">
        <f t="shared" si="290"/>
        <v>0</v>
      </c>
      <c r="J9296" t="str">
        <f t="shared" si="291"/>
        <v>Complete</v>
      </c>
      <c r="K9296">
        <f>COUNTIFS(RawData[Item], B9296,RawData[Quantity],C9296,RawData[Price Per Unit],D9296,RawData[Total Spent],E9296,RawData[Payment Method],F9296,RawData[Location],G9296,RawData[Transaction Date],H9296)</f>
        <v>1</v>
      </c>
      <c r="L9296"/>
    </row>
    <row r="9297" spans="1:12" x14ac:dyDescent="0.3">
      <c r="A9297" t="s">
        <v>9303</v>
      </c>
      <c r="B9297" t="s">
        <v>10017</v>
      </c>
      <c r="C9297">
        <v>3</v>
      </c>
      <c r="D9297" t="s">
        <v>10015</v>
      </c>
      <c r="E9297">
        <v>4.5</v>
      </c>
      <c r="F9297" t="s">
        <v>10019</v>
      </c>
      <c r="G9297" t="s">
        <v>10102</v>
      </c>
      <c r="H9297" s="6">
        <v>44941</v>
      </c>
      <c r="I9297">
        <f t="shared" si="290"/>
        <v>1</v>
      </c>
      <c r="J9297" t="str">
        <f t="shared" si="291"/>
        <v>Complete</v>
      </c>
      <c r="K9297">
        <f>COUNTIFS(RawData[Item], B9297,RawData[Quantity],C9297,RawData[Price Per Unit],D9297,RawData[Total Spent],E9297,RawData[Payment Method],F9297,RawData[Location],G9297,RawData[Transaction Date],H9297)</f>
        <v>1</v>
      </c>
      <c r="L9297"/>
    </row>
    <row r="9298" spans="1:12" x14ac:dyDescent="0.3">
      <c r="A9298" t="s">
        <v>9304</v>
      </c>
      <c r="B9298" t="s">
        <v>10017</v>
      </c>
      <c r="C9298">
        <v>4</v>
      </c>
      <c r="D9298">
        <v>1.5</v>
      </c>
      <c r="E9298">
        <v>6</v>
      </c>
      <c r="F9298" t="s">
        <v>10020</v>
      </c>
      <c r="G9298" t="s">
        <v>10069</v>
      </c>
      <c r="H9298" s="6">
        <v>45173</v>
      </c>
      <c r="I9298">
        <f t="shared" si="290"/>
        <v>0</v>
      </c>
      <c r="J9298" t="str">
        <f t="shared" si="291"/>
        <v>Complete</v>
      </c>
      <c r="K9298">
        <f>COUNTIFS(RawData[Item], B9298,RawData[Quantity],C9298,RawData[Price Per Unit],D9298,RawData[Total Spent],E9298,RawData[Payment Method],F9298,RawData[Location],G9298,RawData[Transaction Date],H9298)</f>
        <v>1</v>
      </c>
      <c r="L9298"/>
    </row>
    <row r="9299" spans="1:12" x14ac:dyDescent="0.3">
      <c r="A9299" t="s">
        <v>9305</v>
      </c>
      <c r="B9299" t="s">
        <v>10016</v>
      </c>
      <c r="C9299">
        <v>1</v>
      </c>
      <c r="D9299">
        <v>3</v>
      </c>
      <c r="E9299">
        <v>3</v>
      </c>
      <c r="F9299" t="s">
        <v>10104</v>
      </c>
      <c r="G9299" t="s">
        <v>10021</v>
      </c>
      <c r="H9299" s="6">
        <v>45028</v>
      </c>
      <c r="I9299">
        <f t="shared" si="290"/>
        <v>1</v>
      </c>
      <c r="J9299" t="str">
        <f t="shared" si="291"/>
        <v>Complete</v>
      </c>
      <c r="K9299">
        <f>COUNTIFS(RawData[Item], B9299,RawData[Quantity],C9299,RawData[Price Per Unit],D9299,RawData[Total Spent],E9299,RawData[Payment Method],F9299,RawData[Location],G9299,RawData[Transaction Date],H9299)</f>
        <v>1</v>
      </c>
      <c r="L9299"/>
    </row>
    <row r="9300" spans="1:12" x14ac:dyDescent="0.3">
      <c r="A9300" t="s">
        <v>9306</v>
      </c>
      <c r="B9300" t="s">
        <v>10011</v>
      </c>
      <c r="C9300">
        <v>5</v>
      </c>
      <c r="D9300">
        <v>5</v>
      </c>
      <c r="E9300">
        <v>25</v>
      </c>
      <c r="F9300" t="s">
        <v>10069</v>
      </c>
      <c r="G9300" t="s">
        <v>10069</v>
      </c>
      <c r="H9300" s="6">
        <v>44962</v>
      </c>
      <c r="I9300">
        <f t="shared" si="290"/>
        <v>0</v>
      </c>
      <c r="J9300" t="str">
        <f t="shared" si="291"/>
        <v>Complete</v>
      </c>
      <c r="K9300">
        <f>COUNTIFS(RawData[Item], B9300,RawData[Quantity],C9300,RawData[Price Per Unit],D9300,RawData[Total Spent],E9300,RawData[Payment Method],F9300,RawData[Location],G9300,RawData[Transaction Date],H9300)</f>
        <v>1</v>
      </c>
      <c r="L9300"/>
    </row>
    <row r="9301" spans="1:12" x14ac:dyDescent="0.3">
      <c r="A9301" t="s">
        <v>9307</v>
      </c>
      <c r="B9301" t="s">
        <v>10009</v>
      </c>
      <c r="C9301">
        <v>4</v>
      </c>
      <c r="D9301" t="s">
        <v>10013</v>
      </c>
      <c r="E9301">
        <v>12</v>
      </c>
      <c r="F9301" t="s">
        <v>10020</v>
      </c>
      <c r="G9301" t="s">
        <v>10069</v>
      </c>
      <c r="H9301" s="6">
        <v>45216</v>
      </c>
      <c r="I9301">
        <f t="shared" si="290"/>
        <v>1</v>
      </c>
      <c r="J9301" t="str">
        <f t="shared" si="291"/>
        <v>Complete</v>
      </c>
      <c r="K9301">
        <f>COUNTIFS(RawData[Item], B9301,RawData[Quantity],C9301,RawData[Price Per Unit],D9301,RawData[Total Spent],E9301,RawData[Payment Method],F9301,RawData[Location],G9301,RawData[Transaction Date],H9301)</f>
        <v>1</v>
      </c>
      <c r="L9301"/>
    </row>
    <row r="9302" spans="1:12" x14ac:dyDescent="0.3">
      <c r="A9302" t="s">
        <v>9308</v>
      </c>
      <c r="B9302" t="s">
        <v>10014</v>
      </c>
      <c r="C9302">
        <v>5</v>
      </c>
      <c r="D9302">
        <v>4</v>
      </c>
      <c r="E9302">
        <v>20</v>
      </c>
      <c r="F9302" t="s">
        <v>10019</v>
      </c>
      <c r="G9302" t="s">
        <v>10021</v>
      </c>
      <c r="H9302" s="6">
        <v>45176</v>
      </c>
      <c r="I9302">
        <f t="shared" si="290"/>
        <v>0</v>
      </c>
      <c r="J9302" t="str">
        <f t="shared" si="291"/>
        <v>Complete</v>
      </c>
      <c r="K9302">
        <f>COUNTIFS(RawData[Item], B9302,RawData[Quantity],C9302,RawData[Price Per Unit],D9302,RawData[Total Spent],E9302,RawData[Payment Method],F9302,RawData[Location],G9302,RawData[Transaction Date],H9302)</f>
        <v>1</v>
      </c>
      <c r="L9302"/>
    </row>
    <row r="9303" spans="1:12" x14ac:dyDescent="0.3">
      <c r="A9303" t="s">
        <v>9309</v>
      </c>
      <c r="B9303" t="s">
        <v>10009</v>
      </c>
      <c r="C9303">
        <v>4</v>
      </c>
      <c r="D9303">
        <v>3</v>
      </c>
      <c r="E9303">
        <v>12</v>
      </c>
      <c r="F9303" t="s">
        <v>10018</v>
      </c>
      <c r="G9303" t="s">
        <v>10102</v>
      </c>
      <c r="H9303" s="6">
        <v>45229</v>
      </c>
      <c r="I9303">
        <f t="shared" si="290"/>
        <v>0</v>
      </c>
      <c r="J9303" t="str">
        <f t="shared" si="291"/>
        <v>Complete</v>
      </c>
      <c r="K9303">
        <f>COUNTIFS(RawData[Item], B9303,RawData[Quantity],C9303,RawData[Price Per Unit],D9303,RawData[Total Spent],E9303,RawData[Payment Method],F9303,RawData[Location],G9303,RawData[Transaction Date],H9303)</f>
        <v>1</v>
      </c>
      <c r="L9303"/>
    </row>
    <row r="9304" spans="1:12" x14ac:dyDescent="0.3">
      <c r="A9304" t="s">
        <v>9310</v>
      </c>
      <c r="B9304" t="s">
        <v>10011</v>
      </c>
      <c r="C9304">
        <v>4</v>
      </c>
      <c r="D9304">
        <v>5</v>
      </c>
      <c r="E9304">
        <v>20</v>
      </c>
      <c r="F9304" t="s">
        <v>10019</v>
      </c>
      <c r="G9304" t="s">
        <v>10069</v>
      </c>
      <c r="H9304" s="6">
        <v>45190</v>
      </c>
      <c r="I9304">
        <f t="shared" si="290"/>
        <v>0</v>
      </c>
      <c r="J9304" t="str">
        <f t="shared" si="291"/>
        <v>Complete</v>
      </c>
      <c r="K9304">
        <f>COUNTIFS(RawData[Item], B9304,RawData[Quantity],C9304,RawData[Price Per Unit],D9304,RawData[Total Spent],E9304,RawData[Payment Method],F9304,RawData[Location],G9304,RawData[Transaction Date],H9304)</f>
        <v>1</v>
      </c>
      <c r="L9304"/>
    </row>
    <row r="9305" spans="1:12" x14ac:dyDescent="0.3">
      <c r="A9305" t="s">
        <v>9311</v>
      </c>
      <c r="B9305" t="s">
        <v>10011</v>
      </c>
      <c r="C9305">
        <v>3</v>
      </c>
      <c r="D9305">
        <v>5</v>
      </c>
      <c r="E9305">
        <v>15</v>
      </c>
      <c r="F9305" t="s">
        <v>10018</v>
      </c>
      <c r="G9305" t="s">
        <v>10021</v>
      </c>
      <c r="H9305" s="6">
        <v>45168</v>
      </c>
      <c r="I9305">
        <f t="shared" si="290"/>
        <v>0</v>
      </c>
      <c r="J9305" t="str">
        <f t="shared" si="291"/>
        <v>Complete</v>
      </c>
      <c r="K9305">
        <f>COUNTIFS(RawData[Item], B9305,RawData[Quantity],C9305,RawData[Price Per Unit],D9305,RawData[Total Spent],E9305,RawData[Payment Method],F9305,RawData[Location],G9305,RawData[Transaction Date],H9305)</f>
        <v>1</v>
      </c>
      <c r="L9305"/>
    </row>
    <row r="9306" spans="1:12" x14ac:dyDescent="0.3">
      <c r="A9306" t="s">
        <v>9312</v>
      </c>
      <c r="B9306" t="s">
        <v>10008</v>
      </c>
      <c r="C9306">
        <v>2</v>
      </c>
      <c r="D9306">
        <v>2</v>
      </c>
      <c r="E9306">
        <v>4</v>
      </c>
      <c r="F9306" t="s">
        <v>10019</v>
      </c>
      <c r="G9306" t="s">
        <v>10102</v>
      </c>
      <c r="H9306" s="6">
        <v>45249</v>
      </c>
      <c r="I9306">
        <f t="shared" si="290"/>
        <v>0</v>
      </c>
      <c r="J9306" t="str">
        <f t="shared" si="291"/>
        <v>Complete</v>
      </c>
      <c r="K9306">
        <f>COUNTIFS(RawData[Item], B9306,RawData[Quantity],C9306,RawData[Price Per Unit],D9306,RawData[Total Spent],E9306,RawData[Payment Method],F9306,RawData[Location],G9306,RawData[Transaction Date],H9306)</f>
        <v>1</v>
      </c>
      <c r="L9306"/>
    </row>
    <row r="9307" spans="1:12" x14ac:dyDescent="0.3">
      <c r="A9307" t="s">
        <v>9313</v>
      </c>
      <c r="B9307" t="s">
        <v>10011</v>
      </c>
      <c r="C9307">
        <v>1</v>
      </c>
      <c r="D9307">
        <v>5</v>
      </c>
      <c r="E9307">
        <v>5</v>
      </c>
      <c r="F9307" t="s">
        <v>10019</v>
      </c>
      <c r="G9307" t="s">
        <v>10102</v>
      </c>
      <c r="H9307" s="6">
        <v>45271</v>
      </c>
      <c r="I9307">
        <f t="shared" si="290"/>
        <v>0</v>
      </c>
      <c r="J9307" t="str">
        <f t="shared" si="291"/>
        <v>Complete</v>
      </c>
      <c r="K9307">
        <f>COUNTIFS(RawData[Item], B9307,RawData[Quantity],C9307,RawData[Price Per Unit],D9307,RawData[Total Spent],E9307,RawData[Payment Method],F9307,RawData[Location],G9307,RawData[Transaction Date],H9307)</f>
        <v>1</v>
      </c>
      <c r="L9307"/>
    </row>
    <row r="9308" spans="1:12" x14ac:dyDescent="0.3">
      <c r="A9308" t="s">
        <v>9314</v>
      </c>
      <c r="B9308" t="s">
        <v>10012</v>
      </c>
      <c r="C9308">
        <v>4</v>
      </c>
      <c r="D9308">
        <v>4</v>
      </c>
      <c r="E9308">
        <v>16</v>
      </c>
      <c r="F9308" t="s">
        <v>10020</v>
      </c>
      <c r="G9308" t="s">
        <v>10102</v>
      </c>
      <c r="H9308" s="6">
        <v>45142</v>
      </c>
      <c r="I9308">
        <f t="shared" si="290"/>
        <v>0</v>
      </c>
      <c r="J9308" t="str">
        <f t="shared" si="291"/>
        <v>Complete</v>
      </c>
      <c r="K9308">
        <f>COUNTIFS(RawData[Item], B9308,RawData[Quantity],C9308,RawData[Price Per Unit],D9308,RawData[Total Spent],E9308,RawData[Payment Method],F9308,RawData[Location],G9308,RawData[Transaction Date],H9308)</f>
        <v>1</v>
      </c>
      <c r="L9308"/>
    </row>
    <row r="9309" spans="1:12" x14ac:dyDescent="0.3">
      <c r="A9309" t="s">
        <v>9315</v>
      </c>
      <c r="B9309" t="s">
        <v>10014</v>
      </c>
      <c r="C9309">
        <v>3</v>
      </c>
      <c r="D9309">
        <v>4</v>
      </c>
      <c r="E9309">
        <v>12</v>
      </c>
      <c r="F9309" t="s">
        <v>10018</v>
      </c>
      <c r="G9309" t="s">
        <v>10069</v>
      </c>
      <c r="H9309" s="6">
        <v>45185</v>
      </c>
      <c r="I9309">
        <f t="shared" si="290"/>
        <v>0</v>
      </c>
      <c r="J9309" t="str">
        <f t="shared" si="291"/>
        <v>Complete</v>
      </c>
      <c r="K9309">
        <f>COUNTIFS(RawData[Item], B9309,RawData[Quantity],C9309,RawData[Price Per Unit],D9309,RawData[Total Spent],E9309,RawData[Payment Method],F9309,RawData[Location],G9309,RawData[Transaction Date],H9309)</f>
        <v>1</v>
      </c>
      <c r="L9309"/>
    </row>
    <row r="9310" spans="1:12" x14ac:dyDescent="0.3">
      <c r="A9310" t="s">
        <v>9316</v>
      </c>
      <c r="B9310" t="s">
        <v>10008</v>
      </c>
      <c r="C9310" t="s">
        <v>10015</v>
      </c>
      <c r="D9310">
        <v>2</v>
      </c>
      <c r="E9310">
        <v>6</v>
      </c>
      <c r="F9310" t="s">
        <v>10020</v>
      </c>
      <c r="G9310" t="s">
        <v>10069</v>
      </c>
      <c r="H9310" s="6">
        <v>45104</v>
      </c>
      <c r="I9310">
        <f t="shared" si="290"/>
        <v>1</v>
      </c>
      <c r="J9310" t="str">
        <f t="shared" si="291"/>
        <v>Complete</v>
      </c>
      <c r="K9310">
        <f>COUNTIFS(RawData[Item], B9310,RawData[Quantity],C9310,RawData[Price Per Unit],D9310,RawData[Total Spent],E9310,RawData[Payment Method],F9310,RawData[Location],G9310,RawData[Transaction Date],H9310)</f>
        <v>1</v>
      </c>
      <c r="L9310"/>
    </row>
    <row r="9311" spans="1:12" x14ac:dyDescent="0.3">
      <c r="A9311" t="s">
        <v>9317</v>
      </c>
      <c r="B9311" t="s">
        <v>10014</v>
      </c>
      <c r="C9311">
        <v>1</v>
      </c>
      <c r="D9311">
        <v>4</v>
      </c>
      <c r="E9311">
        <v>4</v>
      </c>
      <c r="F9311" t="s">
        <v>10020</v>
      </c>
      <c r="G9311" t="s">
        <v>10102</v>
      </c>
      <c r="H9311" s="6">
        <v>45031</v>
      </c>
      <c r="I9311">
        <f t="shared" si="290"/>
        <v>0</v>
      </c>
      <c r="J9311" t="str">
        <f t="shared" si="291"/>
        <v>Complete</v>
      </c>
      <c r="K9311">
        <f>COUNTIFS(RawData[Item], B9311,RawData[Quantity],C9311,RawData[Price Per Unit],D9311,RawData[Total Spent],E9311,RawData[Payment Method],F9311,RawData[Location],G9311,RawData[Transaction Date],H9311)</f>
        <v>1</v>
      </c>
      <c r="L9311"/>
    </row>
    <row r="9312" spans="1:12" x14ac:dyDescent="0.3">
      <c r="A9312" t="s">
        <v>9318</v>
      </c>
      <c r="B9312" t="s">
        <v>10010</v>
      </c>
      <c r="C9312">
        <v>2</v>
      </c>
      <c r="D9312">
        <v>1</v>
      </c>
      <c r="E9312">
        <v>2</v>
      </c>
      <c r="F9312" t="s">
        <v>10019</v>
      </c>
      <c r="G9312" t="s">
        <v>10069</v>
      </c>
      <c r="H9312" s="6">
        <v>45221</v>
      </c>
      <c r="I9312">
        <f t="shared" si="290"/>
        <v>0</v>
      </c>
      <c r="J9312" t="str">
        <f t="shared" si="291"/>
        <v>Complete</v>
      </c>
      <c r="K9312">
        <f>COUNTIFS(RawData[Item], B9312,RawData[Quantity],C9312,RawData[Price Per Unit],D9312,RawData[Total Spent],E9312,RawData[Payment Method],F9312,RawData[Location],G9312,RawData[Transaction Date],H9312)</f>
        <v>1</v>
      </c>
      <c r="L9312"/>
    </row>
    <row r="9313" spans="1:12" x14ac:dyDescent="0.3">
      <c r="A9313" t="s">
        <v>9319</v>
      </c>
      <c r="B9313" t="s">
        <v>10008</v>
      </c>
      <c r="C9313">
        <v>4</v>
      </c>
      <c r="D9313">
        <v>2</v>
      </c>
      <c r="E9313">
        <v>8</v>
      </c>
      <c r="F9313" t="s">
        <v>10018</v>
      </c>
      <c r="G9313" t="s">
        <v>10069</v>
      </c>
      <c r="H9313" s="6">
        <v>45037</v>
      </c>
      <c r="I9313">
        <f t="shared" si="290"/>
        <v>0</v>
      </c>
      <c r="J9313" t="str">
        <f t="shared" si="291"/>
        <v>Complete</v>
      </c>
      <c r="K9313">
        <f>COUNTIFS(RawData[Item], B9313,RawData[Quantity],C9313,RawData[Price Per Unit],D9313,RawData[Total Spent],E9313,RawData[Payment Method],F9313,RawData[Location],G9313,RawData[Transaction Date],H9313)</f>
        <v>1</v>
      </c>
      <c r="L9313"/>
    </row>
    <row r="9314" spans="1:12" x14ac:dyDescent="0.3">
      <c r="A9314" t="s">
        <v>9320</v>
      </c>
      <c r="B9314" t="s">
        <v>10010</v>
      </c>
      <c r="C9314">
        <v>4</v>
      </c>
      <c r="D9314">
        <v>1</v>
      </c>
      <c r="E9314">
        <v>4</v>
      </c>
      <c r="F9314" t="s">
        <v>10104</v>
      </c>
      <c r="G9314" t="s">
        <v>10104</v>
      </c>
      <c r="H9314" s="6">
        <v>45125</v>
      </c>
      <c r="I9314">
        <f t="shared" si="290"/>
        <v>2</v>
      </c>
      <c r="J9314" t="str">
        <f t="shared" si="291"/>
        <v>Complete</v>
      </c>
      <c r="K9314">
        <f>COUNTIFS(RawData[Item], B9314,RawData[Quantity],C9314,RawData[Price Per Unit],D9314,RawData[Total Spent],E9314,RawData[Payment Method],F9314,RawData[Location],G9314,RawData[Transaction Date],H9314)</f>
        <v>1</v>
      </c>
      <c r="L9314"/>
    </row>
    <row r="9315" spans="1:12" x14ac:dyDescent="0.3">
      <c r="A9315" t="s">
        <v>9321</v>
      </c>
      <c r="B9315" t="s">
        <v>10013</v>
      </c>
      <c r="C9315">
        <v>3</v>
      </c>
      <c r="D9315">
        <v>3</v>
      </c>
      <c r="E9315">
        <v>9</v>
      </c>
      <c r="F9315" t="s">
        <v>10020</v>
      </c>
      <c r="G9315" t="s">
        <v>10069</v>
      </c>
      <c r="H9315" s="6">
        <v>45187</v>
      </c>
      <c r="I9315">
        <f t="shared" si="290"/>
        <v>1</v>
      </c>
      <c r="J9315" t="str">
        <f t="shared" si="291"/>
        <v>Complete</v>
      </c>
      <c r="K9315">
        <f>COUNTIFS(RawData[Item], B9315,RawData[Quantity],C9315,RawData[Price Per Unit],D9315,RawData[Total Spent],E9315,RawData[Payment Method],F9315,RawData[Location],G9315,RawData[Transaction Date],H9315)</f>
        <v>1</v>
      </c>
      <c r="L9315"/>
    </row>
    <row r="9316" spans="1:12" x14ac:dyDescent="0.3">
      <c r="A9316" t="s">
        <v>9322</v>
      </c>
      <c r="B9316" t="s">
        <v>10014</v>
      </c>
      <c r="C9316">
        <v>4</v>
      </c>
      <c r="D9316">
        <v>4</v>
      </c>
      <c r="E9316">
        <v>16</v>
      </c>
      <c r="F9316" t="s">
        <v>10019</v>
      </c>
      <c r="G9316" t="s">
        <v>10069</v>
      </c>
      <c r="H9316" s="6">
        <v>44973</v>
      </c>
      <c r="I9316">
        <f t="shared" si="290"/>
        <v>0</v>
      </c>
      <c r="J9316" t="str">
        <f t="shared" si="291"/>
        <v>Complete</v>
      </c>
      <c r="K9316">
        <f>COUNTIFS(RawData[Item], B9316,RawData[Quantity],C9316,RawData[Price Per Unit],D9316,RawData[Total Spent],E9316,RawData[Payment Method],F9316,RawData[Location],G9316,RawData[Transaction Date],H9316)</f>
        <v>1</v>
      </c>
      <c r="L9316"/>
    </row>
    <row r="9317" spans="1:12" x14ac:dyDescent="0.3">
      <c r="A9317" t="s">
        <v>9323</v>
      </c>
      <c r="B9317" t="s">
        <v>10013</v>
      </c>
      <c r="C9317">
        <v>5</v>
      </c>
      <c r="D9317">
        <v>3</v>
      </c>
      <c r="E9317">
        <v>15</v>
      </c>
      <c r="F9317" t="s">
        <v>10019</v>
      </c>
      <c r="G9317" t="s">
        <v>10102</v>
      </c>
      <c r="H9317" s="6">
        <v>45025</v>
      </c>
      <c r="I9317">
        <f t="shared" si="290"/>
        <v>1</v>
      </c>
      <c r="J9317" t="str">
        <f t="shared" si="291"/>
        <v>Complete</v>
      </c>
      <c r="K9317">
        <f>COUNTIFS(RawData[Item], B9317,RawData[Quantity],C9317,RawData[Price Per Unit],D9317,RawData[Total Spent],E9317,RawData[Payment Method],F9317,RawData[Location],G9317,RawData[Transaction Date],H9317)</f>
        <v>1</v>
      </c>
      <c r="L9317"/>
    </row>
    <row r="9318" spans="1:12" x14ac:dyDescent="0.3">
      <c r="A9318" t="s">
        <v>9324</v>
      </c>
      <c r="B9318" t="s">
        <v>10010</v>
      </c>
      <c r="C9318" t="s">
        <v>10013</v>
      </c>
      <c r="D9318">
        <v>1</v>
      </c>
      <c r="E9318">
        <v>5</v>
      </c>
      <c r="F9318" t="s">
        <v>10018</v>
      </c>
      <c r="G9318" t="s">
        <v>10102</v>
      </c>
      <c r="H9318" s="6">
        <v>45018</v>
      </c>
      <c r="I9318">
        <f t="shared" si="290"/>
        <v>1</v>
      </c>
      <c r="J9318" t="str">
        <f t="shared" si="291"/>
        <v>Complete</v>
      </c>
      <c r="K9318">
        <f>COUNTIFS(RawData[Item], B9318,RawData[Quantity],C9318,RawData[Price Per Unit],D9318,RawData[Total Spent],E9318,RawData[Payment Method],F9318,RawData[Location],G9318,RawData[Transaction Date],H9318)</f>
        <v>1</v>
      </c>
      <c r="L9318"/>
    </row>
    <row r="9319" spans="1:12" x14ac:dyDescent="0.3">
      <c r="A9319" t="s">
        <v>9325</v>
      </c>
      <c r="B9319" t="s">
        <v>10008</v>
      </c>
      <c r="C9319">
        <v>5</v>
      </c>
      <c r="D9319">
        <v>2</v>
      </c>
      <c r="E9319">
        <v>10</v>
      </c>
      <c r="F9319" t="s">
        <v>10069</v>
      </c>
      <c r="G9319" t="s">
        <v>10102</v>
      </c>
      <c r="H9319" s="6" t="s">
        <v>10112</v>
      </c>
      <c r="I9319">
        <f t="shared" si="290"/>
        <v>1</v>
      </c>
      <c r="J9319" t="str">
        <f t="shared" si="291"/>
        <v>Incomplete</v>
      </c>
      <c r="K9319">
        <f>COUNTIFS(RawData[Item], B9319,RawData[Quantity],C9319,RawData[Price Per Unit],D9319,RawData[Total Spent],E9319,RawData[Payment Method],F9319,RawData[Location],G9319,RawData[Transaction Date],H9319)</f>
        <v>2</v>
      </c>
      <c r="L9319"/>
    </row>
    <row r="9320" spans="1:12" x14ac:dyDescent="0.3">
      <c r="A9320" t="s">
        <v>9326</v>
      </c>
      <c r="B9320" t="s">
        <v>10016</v>
      </c>
      <c r="C9320">
        <v>5</v>
      </c>
      <c r="D9320">
        <v>3</v>
      </c>
      <c r="E9320">
        <v>15</v>
      </c>
      <c r="F9320" t="s">
        <v>10020</v>
      </c>
      <c r="G9320" t="s">
        <v>10021</v>
      </c>
      <c r="H9320" s="6">
        <v>45100</v>
      </c>
      <c r="I9320">
        <f t="shared" si="290"/>
        <v>0</v>
      </c>
      <c r="J9320" t="str">
        <f t="shared" si="291"/>
        <v>Complete</v>
      </c>
      <c r="K9320">
        <f>COUNTIFS(RawData[Item], B9320,RawData[Quantity],C9320,RawData[Price Per Unit],D9320,RawData[Total Spent],E9320,RawData[Payment Method],F9320,RawData[Location],G9320,RawData[Transaction Date],H9320)</f>
        <v>1</v>
      </c>
      <c r="L9320"/>
    </row>
    <row r="9321" spans="1:12" x14ac:dyDescent="0.3">
      <c r="A9321" t="s">
        <v>9327</v>
      </c>
      <c r="B9321" t="s">
        <v>10014</v>
      </c>
      <c r="C9321">
        <v>4</v>
      </c>
      <c r="D9321">
        <v>4</v>
      </c>
      <c r="E9321">
        <v>16</v>
      </c>
      <c r="F9321" t="s">
        <v>10019</v>
      </c>
      <c r="G9321" t="s">
        <v>10021</v>
      </c>
      <c r="H9321" s="6">
        <v>45266</v>
      </c>
      <c r="I9321">
        <f t="shared" si="290"/>
        <v>0</v>
      </c>
      <c r="J9321" t="str">
        <f t="shared" si="291"/>
        <v>Complete</v>
      </c>
      <c r="K9321">
        <f>COUNTIFS(RawData[Item], B9321,RawData[Quantity],C9321,RawData[Price Per Unit],D9321,RawData[Total Spent],E9321,RawData[Payment Method],F9321,RawData[Location],G9321,RawData[Transaction Date],H9321)</f>
        <v>1</v>
      </c>
      <c r="L9321"/>
    </row>
    <row r="9322" spans="1:12" x14ac:dyDescent="0.3">
      <c r="A9322" t="s">
        <v>9328</v>
      </c>
      <c r="B9322" t="s">
        <v>10011</v>
      </c>
      <c r="C9322">
        <v>4</v>
      </c>
      <c r="D9322">
        <v>5</v>
      </c>
      <c r="E9322">
        <v>20</v>
      </c>
      <c r="F9322" t="s">
        <v>10018</v>
      </c>
      <c r="G9322" t="s">
        <v>10069</v>
      </c>
      <c r="H9322" s="6" t="s">
        <v>10112</v>
      </c>
      <c r="I9322">
        <f t="shared" si="290"/>
        <v>1</v>
      </c>
      <c r="J9322" t="str">
        <f t="shared" si="291"/>
        <v>Incomplete</v>
      </c>
      <c r="K9322">
        <f>COUNTIFS(RawData[Item], B9322,RawData[Quantity],C9322,RawData[Price Per Unit],D9322,RawData[Total Spent],E9322,RawData[Payment Method],F9322,RawData[Location],G9322,RawData[Transaction Date],H9322)</f>
        <v>1</v>
      </c>
      <c r="L9322"/>
    </row>
    <row r="9323" spans="1:12" x14ac:dyDescent="0.3">
      <c r="A9323" t="s">
        <v>9329</v>
      </c>
      <c r="B9323" t="s">
        <v>10014</v>
      </c>
      <c r="C9323">
        <v>0</v>
      </c>
      <c r="D9323">
        <v>4</v>
      </c>
      <c r="E9323">
        <v>8</v>
      </c>
      <c r="F9323" t="s">
        <v>10018</v>
      </c>
      <c r="G9323" t="s">
        <v>10104</v>
      </c>
      <c r="H9323" s="6" t="s">
        <v>10112</v>
      </c>
      <c r="I9323">
        <f t="shared" si="290"/>
        <v>2</v>
      </c>
      <c r="J9323" t="str">
        <f t="shared" si="291"/>
        <v>Incomplete</v>
      </c>
      <c r="K9323">
        <f>COUNTIFS(RawData[Item], B9323,RawData[Quantity],C9323,RawData[Price Per Unit],D9323,RawData[Total Spent],E9323,RawData[Payment Method],F9323,RawData[Location],G9323,RawData[Transaction Date],H9323)</f>
        <v>1</v>
      </c>
      <c r="L9323"/>
    </row>
    <row r="9324" spans="1:12" x14ac:dyDescent="0.3">
      <c r="A9324" t="s">
        <v>9330</v>
      </c>
      <c r="B9324" t="s">
        <v>10011</v>
      </c>
      <c r="C9324">
        <v>3</v>
      </c>
      <c r="D9324">
        <v>5</v>
      </c>
      <c r="E9324">
        <v>15</v>
      </c>
      <c r="F9324" t="s">
        <v>10020</v>
      </c>
      <c r="G9324" t="s">
        <v>10021</v>
      </c>
      <c r="H9324" s="6">
        <v>45280</v>
      </c>
      <c r="I9324">
        <f t="shared" si="290"/>
        <v>0</v>
      </c>
      <c r="J9324" t="str">
        <f t="shared" si="291"/>
        <v>Complete</v>
      </c>
      <c r="K9324">
        <f>COUNTIFS(RawData[Item], B9324,RawData[Quantity],C9324,RawData[Price Per Unit],D9324,RawData[Total Spent],E9324,RawData[Payment Method],F9324,RawData[Location],G9324,RawData[Transaction Date],H9324)</f>
        <v>1</v>
      </c>
      <c r="L9324"/>
    </row>
    <row r="9325" spans="1:12" x14ac:dyDescent="0.3">
      <c r="A9325" t="s">
        <v>9331</v>
      </c>
      <c r="B9325" t="s">
        <v>10010</v>
      </c>
      <c r="C9325">
        <v>2</v>
      </c>
      <c r="D9325">
        <v>1</v>
      </c>
      <c r="E9325">
        <v>2</v>
      </c>
      <c r="F9325" t="s">
        <v>10018</v>
      </c>
      <c r="G9325" t="s">
        <v>10021</v>
      </c>
      <c r="H9325" s="6">
        <v>45164</v>
      </c>
      <c r="I9325">
        <f t="shared" si="290"/>
        <v>0</v>
      </c>
      <c r="J9325" t="str">
        <f t="shared" si="291"/>
        <v>Complete</v>
      </c>
      <c r="K9325">
        <f>COUNTIFS(RawData[Item], B9325,RawData[Quantity],C9325,RawData[Price Per Unit],D9325,RawData[Total Spent],E9325,RawData[Payment Method],F9325,RawData[Location],G9325,RawData[Transaction Date],H9325)</f>
        <v>1</v>
      </c>
      <c r="L9325"/>
    </row>
    <row r="9326" spans="1:12" x14ac:dyDescent="0.3">
      <c r="A9326" t="s">
        <v>9332</v>
      </c>
      <c r="B9326" t="s">
        <v>10008</v>
      </c>
      <c r="C9326" t="s">
        <v>10015</v>
      </c>
      <c r="D9326">
        <v>2</v>
      </c>
      <c r="E9326">
        <v>8</v>
      </c>
      <c r="F9326" t="s">
        <v>10104</v>
      </c>
      <c r="G9326" t="s">
        <v>10102</v>
      </c>
      <c r="H9326" s="6">
        <v>45216</v>
      </c>
      <c r="I9326">
        <f t="shared" si="290"/>
        <v>2</v>
      </c>
      <c r="J9326" t="str">
        <f t="shared" si="291"/>
        <v>Complete</v>
      </c>
      <c r="K9326">
        <f>COUNTIFS(RawData[Item], B9326,RawData[Quantity],C9326,RawData[Price Per Unit],D9326,RawData[Total Spent],E9326,RawData[Payment Method],F9326,RawData[Location],G9326,RawData[Transaction Date],H9326)</f>
        <v>1</v>
      </c>
      <c r="L9326"/>
    </row>
    <row r="9327" spans="1:12" x14ac:dyDescent="0.3">
      <c r="A9327" t="s">
        <v>9333</v>
      </c>
      <c r="B9327" t="s">
        <v>10016</v>
      </c>
      <c r="C9327">
        <v>5</v>
      </c>
      <c r="D9327">
        <v>3</v>
      </c>
      <c r="E9327">
        <v>15</v>
      </c>
      <c r="F9327" t="s">
        <v>10069</v>
      </c>
      <c r="G9327" t="s">
        <v>10021</v>
      </c>
      <c r="H9327" s="6" t="s">
        <v>10112</v>
      </c>
      <c r="I9327">
        <f t="shared" si="290"/>
        <v>1</v>
      </c>
      <c r="J9327" t="str">
        <f t="shared" si="291"/>
        <v>Incomplete</v>
      </c>
      <c r="K9327">
        <f>COUNTIFS(RawData[Item], B9327,RawData[Quantity],C9327,RawData[Price Per Unit],D9327,RawData[Total Spent],E9327,RawData[Payment Method],F9327,RawData[Location],G9327,RawData[Transaction Date],H9327)</f>
        <v>2</v>
      </c>
      <c r="L9327"/>
    </row>
    <row r="9328" spans="1:12" x14ac:dyDescent="0.3">
      <c r="A9328" t="s">
        <v>9334</v>
      </c>
      <c r="B9328" t="s">
        <v>10016</v>
      </c>
      <c r="C9328">
        <v>4</v>
      </c>
      <c r="D9328">
        <v>3</v>
      </c>
      <c r="E9328">
        <v>12</v>
      </c>
      <c r="F9328" t="s">
        <v>10019</v>
      </c>
      <c r="G9328" t="s">
        <v>10021</v>
      </c>
      <c r="H9328" s="6">
        <v>45094</v>
      </c>
      <c r="I9328">
        <f t="shared" si="290"/>
        <v>0</v>
      </c>
      <c r="J9328" t="str">
        <f t="shared" si="291"/>
        <v>Complete</v>
      </c>
      <c r="K9328">
        <f>COUNTIFS(RawData[Item], B9328,RawData[Quantity],C9328,RawData[Price Per Unit],D9328,RawData[Total Spent],E9328,RawData[Payment Method],F9328,RawData[Location],G9328,RawData[Transaction Date],H9328)</f>
        <v>1</v>
      </c>
      <c r="L9328"/>
    </row>
    <row r="9329" spans="1:12" x14ac:dyDescent="0.3">
      <c r="A9329" t="s">
        <v>9335</v>
      </c>
      <c r="B9329" t="s">
        <v>10008</v>
      </c>
      <c r="C9329">
        <v>3</v>
      </c>
      <c r="D9329">
        <v>2</v>
      </c>
      <c r="E9329">
        <v>6</v>
      </c>
      <c r="F9329" t="s">
        <v>10018</v>
      </c>
      <c r="G9329" t="s">
        <v>10069</v>
      </c>
      <c r="H9329" s="6">
        <v>45256</v>
      </c>
      <c r="I9329">
        <f t="shared" si="290"/>
        <v>0</v>
      </c>
      <c r="J9329" t="str">
        <f t="shared" si="291"/>
        <v>Complete</v>
      </c>
      <c r="K9329">
        <f>COUNTIFS(RawData[Item], B9329,RawData[Quantity],C9329,RawData[Price Per Unit],D9329,RawData[Total Spent],E9329,RawData[Payment Method],F9329,RawData[Location],G9329,RawData[Transaction Date],H9329)</f>
        <v>1</v>
      </c>
      <c r="L9329"/>
    </row>
    <row r="9330" spans="1:12" x14ac:dyDescent="0.3">
      <c r="A9330" t="s">
        <v>9336</v>
      </c>
      <c r="B9330" t="s">
        <v>10069</v>
      </c>
      <c r="C9330">
        <v>5</v>
      </c>
      <c r="D9330">
        <v>2</v>
      </c>
      <c r="E9330">
        <v>10</v>
      </c>
      <c r="F9330" t="s">
        <v>10020</v>
      </c>
      <c r="G9330" t="s">
        <v>10069</v>
      </c>
      <c r="H9330" s="6">
        <v>45014</v>
      </c>
      <c r="I9330">
        <f t="shared" si="290"/>
        <v>0</v>
      </c>
      <c r="J9330" t="str">
        <f t="shared" si="291"/>
        <v>Complete</v>
      </c>
      <c r="K9330">
        <f>COUNTIFS(RawData[Item], B9330,RawData[Quantity],C9330,RawData[Price Per Unit],D9330,RawData[Total Spent],E9330,RawData[Payment Method],F9330,RawData[Location],G9330,RawData[Transaction Date],H9330)</f>
        <v>1</v>
      </c>
      <c r="L9330"/>
    </row>
    <row r="9331" spans="1:12" x14ac:dyDescent="0.3">
      <c r="A9331" t="s">
        <v>9337</v>
      </c>
      <c r="B9331" t="s">
        <v>10009</v>
      </c>
      <c r="C9331">
        <v>1</v>
      </c>
      <c r="D9331">
        <v>3</v>
      </c>
      <c r="E9331">
        <v>3</v>
      </c>
      <c r="F9331" t="s">
        <v>10069</v>
      </c>
      <c r="G9331" t="s">
        <v>10069</v>
      </c>
      <c r="H9331" s="6">
        <v>45028</v>
      </c>
      <c r="I9331">
        <f t="shared" si="290"/>
        <v>0</v>
      </c>
      <c r="J9331" t="str">
        <f t="shared" si="291"/>
        <v>Complete</v>
      </c>
      <c r="K9331">
        <f>COUNTIFS(RawData[Item], B9331,RawData[Quantity],C9331,RawData[Price Per Unit],D9331,RawData[Total Spent],E9331,RawData[Payment Method],F9331,RawData[Location],G9331,RawData[Transaction Date],H9331)</f>
        <v>1</v>
      </c>
      <c r="L9331"/>
    </row>
    <row r="9332" spans="1:12" x14ac:dyDescent="0.3">
      <c r="A9332" t="s">
        <v>9338</v>
      </c>
      <c r="B9332" t="s">
        <v>10011</v>
      </c>
      <c r="C9332">
        <v>2</v>
      </c>
      <c r="D9332">
        <v>5</v>
      </c>
      <c r="E9332">
        <v>10</v>
      </c>
      <c r="F9332" t="s">
        <v>10019</v>
      </c>
      <c r="G9332" t="s">
        <v>10102</v>
      </c>
      <c r="H9332" s="6">
        <v>45111</v>
      </c>
      <c r="I9332">
        <f t="shared" si="290"/>
        <v>0</v>
      </c>
      <c r="J9332" t="str">
        <f t="shared" si="291"/>
        <v>Complete</v>
      </c>
      <c r="K9332">
        <f>COUNTIFS(RawData[Item], B9332,RawData[Quantity],C9332,RawData[Price Per Unit],D9332,RawData[Total Spent],E9332,RawData[Payment Method],F9332,RawData[Location],G9332,RawData[Transaction Date],H9332)</f>
        <v>1</v>
      </c>
      <c r="L9332"/>
    </row>
    <row r="9333" spans="1:12" x14ac:dyDescent="0.3">
      <c r="A9333" t="s">
        <v>9339</v>
      </c>
      <c r="B9333" t="s">
        <v>10014</v>
      </c>
      <c r="C9333">
        <v>3</v>
      </c>
      <c r="D9333">
        <v>4</v>
      </c>
      <c r="E9333">
        <v>12</v>
      </c>
      <c r="F9333" t="s">
        <v>10020</v>
      </c>
      <c r="G9333" t="s">
        <v>10102</v>
      </c>
      <c r="H9333" s="6">
        <v>45018</v>
      </c>
      <c r="I9333">
        <f t="shared" si="290"/>
        <v>0</v>
      </c>
      <c r="J9333" t="str">
        <f t="shared" si="291"/>
        <v>Complete</v>
      </c>
      <c r="K9333">
        <f>COUNTIFS(RawData[Item], B9333,RawData[Quantity],C9333,RawData[Price Per Unit],D9333,RawData[Total Spent],E9333,RawData[Payment Method],F9333,RawData[Location],G9333,RawData[Transaction Date],H9333)</f>
        <v>1</v>
      </c>
      <c r="L9333"/>
    </row>
    <row r="9334" spans="1:12" x14ac:dyDescent="0.3">
      <c r="A9334" t="s">
        <v>9340</v>
      </c>
      <c r="B9334" t="s">
        <v>10008</v>
      </c>
      <c r="C9334">
        <v>4</v>
      </c>
      <c r="D9334">
        <v>2</v>
      </c>
      <c r="E9334">
        <v>8</v>
      </c>
      <c r="F9334" t="s">
        <v>10020</v>
      </c>
      <c r="G9334" t="s">
        <v>10103</v>
      </c>
      <c r="H9334" s="6">
        <v>44939</v>
      </c>
      <c r="I9334">
        <f t="shared" si="290"/>
        <v>1</v>
      </c>
      <c r="J9334" t="str">
        <f t="shared" si="291"/>
        <v>Complete</v>
      </c>
      <c r="K9334">
        <f>COUNTIFS(RawData[Item], B9334,RawData[Quantity],C9334,RawData[Price Per Unit],D9334,RawData[Total Spent],E9334,RawData[Payment Method],F9334,RawData[Location],G9334,RawData[Transaction Date],H9334)</f>
        <v>1</v>
      </c>
      <c r="L9334"/>
    </row>
    <row r="9335" spans="1:12" x14ac:dyDescent="0.3">
      <c r="A9335" t="s">
        <v>9341</v>
      </c>
      <c r="B9335" t="s">
        <v>10008</v>
      </c>
      <c r="C9335">
        <v>4</v>
      </c>
      <c r="D9335">
        <v>2</v>
      </c>
      <c r="E9335">
        <v>8</v>
      </c>
      <c r="F9335" t="s">
        <v>10069</v>
      </c>
      <c r="G9335" t="s">
        <v>10102</v>
      </c>
      <c r="H9335" s="6">
        <v>44977</v>
      </c>
      <c r="I9335">
        <f t="shared" si="290"/>
        <v>0</v>
      </c>
      <c r="J9335" t="str">
        <f t="shared" si="291"/>
        <v>Complete</v>
      </c>
      <c r="K9335">
        <f>COUNTIFS(RawData[Item], B9335,RawData[Quantity],C9335,RawData[Price Per Unit],D9335,RawData[Total Spent],E9335,RawData[Payment Method],F9335,RawData[Location],G9335,RawData[Transaction Date],H9335)</f>
        <v>1</v>
      </c>
      <c r="L9335"/>
    </row>
    <row r="9336" spans="1:12" x14ac:dyDescent="0.3">
      <c r="A9336" t="s">
        <v>9342</v>
      </c>
      <c r="B9336" t="s">
        <v>10013</v>
      </c>
      <c r="C9336">
        <v>3</v>
      </c>
      <c r="D9336">
        <v>1.5</v>
      </c>
      <c r="E9336">
        <v>0</v>
      </c>
      <c r="F9336" t="s">
        <v>10069</v>
      </c>
      <c r="G9336" t="s">
        <v>10069</v>
      </c>
      <c r="H9336" s="6">
        <v>45001</v>
      </c>
      <c r="I9336">
        <f t="shared" si="290"/>
        <v>1</v>
      </c>
      <c r="J9336" t="str">
        <f t="shared" si="291"/>
        <v>Complete</v>
      </c>
      <c r="K9336">
        <f>COUNTIFS(RawData[Item], B9336,RawData[Quantity],C9336,RawData[Price Per Unit],D9336,RawData[Total Spent],E9336,RawData[Payment Method],F9336,RawData[Location],G9336,RawData[Transaction Date],H9336)</f>
        <v>1</v>
      </c>
      <c r="L9336"/>
    </row>
    <row r="9337" spans="1:12" x14ac:dyDescent="0.3">
      <c r="A9337" t="s">
        <v>9343</v>
      </c>
      <c r="B9337" t="s">
        <v>10014</v>
      </c>
      <c r="C9337">
        <v>2</v>
      </c>
      <c r="D9337">
        <v>4</v>
      </c>
      <c r="E9337">
        <v>8</v>
      </c>
      <c r="F9337" t="s">
        <v>10069</v>
      </c>
      <c r="G9337" t="s">
        <v>10102</v>
      </c>
      <c r="H9337" s="6">
        <v>45018</v>
      </c>
      <c r="I9337">
        <f t="shared" si="290"/>
        <v>0</v>
      </c>
      <c r="J9337" t="str">
        <f t="shared" si="291"/>
        <v>Complete</v>
      </c>
      <c r="K9337">
        <f>COUNTIFS(RawData[Item], B9337,RawData[Quantity],C9337,RawData[Price Per Unit],D9337,RawData[Total Spent],E9337,RawData[Payment Method],F9337,RawData[Location],G9337,RawData[Transaction Date],H9337)</f>
        <v>1</v>
      </c>
      <c r="L9337"/>
    </row>
    <row r="9338" spans="1:12" x14ac:dyDescent="0.3">
      <c r="A9338" t="s">
        <v>9344</v>
      </c>
      <c r="B9338" t="s">
        <v>10017</v>
      </c>
      <c r="C9338">
        <v>4</v>
      </c>
      <c r="D9338">
        <v>1.5</v>
      </c>
      <c r="E9338">
        <v>6</v>
      </c>
      <c r="F9338" t="s">
        <v>10019</v>
      </c>
      <c r="G9338" t="s">
        <v>10021</v>
      </c>
      <c r="H9338" s="6">
        <v>45125</v>
      </c>
      <c r="I9338">
        <f t="shared" si="290"/>
        <v>0</v>
      </c>
      <c r="J9338" t="str">
        <f t="shared" si="291"/>
        <v>Complete</v>
      </c>
      <c r="K9338">
        <f>COUNTIFS(RawData[Item], B9338,RawData[Quantity],C9338,RawData[Price Per Unit],D9338,RawData[Total Spent],E9338,RawData[Payment Method],F9338,RawData[Location],G9338,RawData[Transaction Date],H9338)</f>
        <v>1</v>
      </c>
      <c r="L9338"/>
    </row>
    <row r="9339" spans="1:12" x14ac:dyDescent="0.3">
      <c r="A9339" t="s">
        <v>9345</v>
      </c>
      <c r="B9339" t="s">
        <v>10010</v>
      </c>
      <c r="C9339">
        <v>5</v>
      </c>
      <c r="D9339">
        <v>1</v>
      </c>
      <c r="E9339">
        <v>5</v>
      </c>
      <c r="F9339" t="s">
        <v>10020</v>
      </c>
      <c r="G9339" t="s">
        <v>10069</v>
      </c>
      <c r="H9339" s="6">
        <v>45018</v>
      </c>
      <c r="I9339">
        <f t="shared" si="290"/>
        <v>0</v>
      </c>
      <c r="J9339" t="str">
        <f t="shared" si="291"/>
        <v>Complete</v>
      </c>
      <c r="K9339">
        <f>COUNTIFS(RawData[Item], B9339,RawData[Quantity],C9339,RawData[Price Per Unit],D9339,RawData[Total Spent],E9339,RawData[Payment Method],F9339,RawData[Location],G9339,RawData[Transaction Date],H9339)</f>
        <v>1</v>
      </c>
      <c r="L9339"/>
    </row>
    <row r="9340" spans="1:12" x14ac:dyDescent="0.3">
      <c r="A9340" t="s">
        <v>9346</v>
      </c>
      <c r="B9340" t="s">
        <v>10014</v>
      </c>
      <c r="C9340">
        <v>2</v>
      </c>
      <c r="D9340">
        <v>4</v>
      </c>
      <c r="E9340">
        <v>8</v>
      </c>
      <c r="F9340" t="s">
        <v>10019</v>
      </c>
      <c r="G9340" t="s">
        <v>10102</v>
      </c>
      <c r="H9340" s="6">
        <v>45211</v>
      </c>
      <c r="I9340">
        <f t="shared" si="290"/>
        <v>0</v>
      </c>
      <c r="J9340" t="str">
        <f t="shared" si="291"/>
        <v>Complete</v>
      </c>
      <c r="K9340">
        <f>COUNTIFS(RawData[Item], B9340,RawData[Quantity],C9340,RawData[Price Per Unit],D9340,RawData[Total Spent],E9340,RawData[Payment Method],F9340,RawData[Location],G9340,RawData[Transaction Date],H9340)</f>
        <v>1</v>
      </c>
      <c r="L9340"/>
    </row>
    <row r="9341" spans="1:12" x14ac:dyDescent="0.3">
      <c r="A9341" t="s">
        <v>9347</v>
      </c>
      <c r="B9341" t="s">
        <v>10014</v>
      </c>
      <c r="C9341">
        <v>2</v>
      </c>
      <c r="D9341">
        <v>4</v>
      </c>
      <c r="E9341">
        <v>8</v>
      </c>
      <c r="F9341" t="s">
        <v>10069</v>
      </c>
      <c r="G9341" t="s">
        <v>10102</v>
      </c>
      <c r="H9341" s="6">
        <v>44986</v>
      </c>
      <c r="I9341">
        <f t="shared" si="290"/>
        <v>0</v>
      </c>
      <c r="J9341" t="str">
        <f t="shared" si="291"/>
        <v>Complete</v>
      </c>
      <c r="K9341">
        <f>COUNTIFS(RawData[Item], B9341,RawData[Quantity],C9341,RawData[Price Per Unit],D9341,RawData[Total Spent],E9341,RawData[Payment Method],F9341,RawData[Location],G9341,RawData[Transaction Date],H9341)</f>
        <v>1</v>
      </c>
      <c r="L9341"/>
    </row>
    <row r="9342" spans="1:12" x14ac:dyDescent="0.3">
      <c r="A9342" t="s">
        <v>9348</v>
      </c>
      <c r="B9342" t="s">
        <v>10011</v>
      </c>
      <c r="C9342">
        <v>2</v>
      </c>
      <c r="D9342">
        <v>5</v>
      </c>
      <c r="E9342">
        <v>10</v>
      </c>
      <c r="F9342" t="s">
        <v>10069</v>
      </c>
      <c r="G9342" t="s">
        <v>10021</v>
      </c>
      <c r="H9342" s="6">
        <v>45061</v>
      </c>
      <c r="I9342">
        <f t="shared" si="290"/>
        <v>0</v>
      </c>
      <c r="J9342" t="str">
        <f t="shared" si="291"/>
        <v>Complete</v>
      </c>
      <c r="K9342">
        <f>COUNTIFS(RawData[Item], B9342,RawData[Quantity],C9342,RawData[Price Per Unit],D9342,RawData[Total Spent],E9342,RawData[Payment Method],F9342,RawData[Location],G9342,RawData[Transaction Date],H9342)</f>
        <v>1</v>
      </c>
      <c r="L9342"/>
    </row>
    <row r="9343" spans="1:12" x14ac:dyDescent="0.3">
      <c r="A9343" t="s">
        <v>9349</v>
      </c>
      <c r="B9343" t="s">
        <v>10011</v>
      </c>
      <c r="C9343">
        <v>3</v>
      </c>
      <c r="D9343">
        <v>5</v>
      </c>
      <c r="E9343">
        <v>15</v>
      </c>
      <c r="F9343" t="s">
        <v>10069</v>
      </c>
      <c r="G9343" t="s">
        <v>10102</v>
      </c>
      <c r="H9343" s="6">
        <v>45112</v>
      </c>
      <c r="I9343">
        <f t="shared" si="290"/>
        <v>0</v>
      </c>
      <c r="J9343" t="str">
        <f t="shared" si="291"/>
        <v>Complete</v>
      </c>
      <c r="K9343">
        <f>COUNTIFS(RawData[Item], B9343,RawData[Quantity],C9343,RawData[Price Per Unit],D9343,RawData[Total Spent],E9343,RawData[Payment Method],F9343,RawData[Location],G9343,RawData[Transaction Date],H9343)</f>
        <v>1</v>
      </c>
      <c r="L9343"/>
    </row>
    <row r="9344" spans="1:12" x14ac:dyDescent="0.3">
      <c r="A9344" t="s">
        <v>9350</v>
      </c>
      <c r="B9344" t="s">
        <v>10008</v>
      </c>
      <c r="C9344">
        <v>1</v>
      </c>
      <c r="D9344">
        <v>2</v>
      </c>
      <c r="E9344" t="s">
        <v>10015</v>
      </c>
      <c r="F9344" t="s">
        <v>10018</v>
      </c>
      <c r="G9344" t="s">
        <v>10102</v>
      </c>
      <c r="H9344" s="6">
        <v>45131</v>
      </c>
      <c r="I9344">
        <f t="shared" si="290"/>
        <v>1</v>
      </c>
      <c r="J9344" t="str">
        <f t="shared" si="291"/>
        <v>Complete</v>
      </c>
      <c r="K9344">
        <f>COUNTIFS(RawData[Item], B9344,RawData[Quantity],C9344,RawData[Price Per Unit],D9344,RawData[Total Spent],E9344,RawData[Payment Method],F9344,RawData[Location],G9344,RawData[Transaction Date],H9344)</f>
        <v>1</v>
      </c>
      <c r="L9344"/>
    </row>
    <row r="9345" spans="1:12" x14ac:dyDescent="0.3">
      <c r="A9345" t="s">
        <v>9351</v>
      </c>
      <c r="B9345" t="s">
        <v>10009</v>
      </c>
      <c r="C9345">
        <v>5</v>
      </c>
      <c r="D9345">
        <v>3</v>
      </c>
      <c r="E9345" t="s">
        <v>10013</v>
      </c>
      <c r="F9345" t="s">
        <v>10069</v>
      </c>
      <c r="G9345" t="s">
        <v>10021</v>
      </c>
      <c r="H9345" s="6">
        <v>45285</v>
      </c>
      <c r="I9345">
        <f t="shared" si="290"/>
        <v>1</v>
      </c>
      <c r="J9345" t="str">
        <f t="shared" si="291"/>
        <v>Complete</v>
      </c>
      <c r="K9345">
        <f>COUNTIFS(RawData[Item], B9345,RawData[Quantity],C9345,RawData[Price Per Unit],D9345,RawData[Total Spent],E9345,RawData[Payment Method],F9345,RawData[Location],G9345,RawData[Transaction Date],H9345)</f>
        <v>1</v>
      </c>
      <c r="L9345"/>
    </row>
    <row r="9346" spans="1:12" x14ac:dyDescent="0.3">
      <c r="A9346" t="s">
        <v>9352</v>
      </c>
      <c r="B9346" t="s">
        <v>10010</v>
      </c>
      <c r="C9346">
        <v>2</v>
      </c>
      <c r="D9346">
        <v>1</v>
      </c>
      <c r="E9346">
        <v>2</v>
      </c>
      <c r="F9346" t="s">
        <v>10020</v>
      </c>
      <c r="G9346" t="s">
        <v>10102</v>
      </c>
      <c r="H9346" s="6">
        <v>44931</v>
      </c>
      <c r="I9346">
        <f t="shared" ref="I9346:I9409" si="292">(B9346="Unknown")+(B9346="Error")+(C9346="Unknown")+(C9346="Error")+(D9346="Unknown")+(D9346="Error")+(E9346="Unknown")+(E9346="Error")+(F9346="Unknown")+(F9346="Error")+(G9346="Unknown")+(G9346="Error")+(H9346="No Date")</f>
        <v>0</v>
      </c>
      <c r="J9346" t="str">
        <f t="shared" ref="J9346:J9409" si="293">IF((H9346="No Date"),"Incomplete","Complete")</f>
        <v>Complete</v>
      </c>
      <c r="K9346">
        <f>COUNTIFS(RawData[Item], B9346,RawData[Quantity],C9346,RawData[Price Per Unit],D9346,RawData[Total Spent],E9346,RawData[Payment Method],F9346,RawData[Location],G9346,RawData[Transaction Date],H9346)</f>
        <v>1</v>
      </c>
      <c r="L9346"/>
    </row>
    <row r="9347" spans="1:12" x14ac:dyDescent="0.3">
      <c r="A9347" t="s">
        <v>9353</v>
      </c>
      <c r="B9347" t="s">
        <v>10011</v>
      </c>
      <c r="C9347">
        <v>4</v>
      </c>
      <c r="D9347">
        <v>5</v>
      </c>
      <c r="E9347">
        <v>20</v>
      </c>
      <c r="F9347" t="s">
        <v>10018</v>
      </c>
      <c r="G9347" t="s">
        <v>10021</v>
      </c>
      <c r="H9347" s="6">
        <v>45027</v>
      </c>
      <c r="I9347">
        <f t="shared" si="292"/>
        <v>0</v>
      </c>
      <c r="J9347" t="str">
        <f t="shared" si="293"/>
        <v>Complete</v>
      </c>
      <c r="K9347">
        <f>COUNTIFS(RawData[Item], B9347,RawData[Quantity],C9347,RawData[Price Per Unit],D9347,RawData[Total Spent],E9347,RawData[Payment Method],F9347,RawData[Location],G9347,RawData[Transaction Date],H9347)</f>
        <v>1</v>
      </c>
      <c r="L9347"/>
    </row>
    <row r="9348" spans="1:12" x14ac:dyDescent="0.3">
      <c r="A9348" t="s">
        <v>9354</v>
      </c>
      <c r="B9348" t="s">
        <v>10012</v>
      </c>
      <c r="C9348">
        <v>3</v>
      </c>
      <c r="D9348">
        <v>4</v>
      </c>
      <c r="E9348">
        <v>12</v>
      </c>
      <c r="F9348" t="s">
        <v>10069</v>
      </c>
      <c r="G9348" t="s">
        <v>10069</v>
      </c>
      <c r="H9348" s="6">
        <v>45100</v>
      </c>
      <c r="I9348">
        <f t="shared" si="292"/>
        <v>0</v>
      </c>
      <c r="J9348" t="str">
        <f t="shared" si="293"/>
        <v>Complete</v>
      </c>
      <c r="K9348">
        <f>COUNTIFS(RawData[Item], B9348,RawData[Quantity],C9348,RawData[Price Per Unit],D9348,RawData[Total Spent],E9348,RawData[Payment Method],F9348,RawData[Location],G9348,RawData[Transaction Date],H9348)</f>
        <v>1</v>
      </c>
      <c r="L9348"/>
    </row>
    <row r="9349" spans="1:12" x14ac:dyDescent="0.3">
      <c r="A9349" t="s">
        <v>9355</v>
      </c>
      <c r="B9349" t="s">
        <v>10008</v>
      </c>
      <c r="C9349" t="s">
        <v>10013</v>
      </c>
      <c r="D9349">
        <v>2</v>
      </c>
      <c r="E9349">
        <v>2</v>
      </c>
      <c r="F9349" t="s">
        <v>10069</v>
      </c>
      <c r="G9349" t="s">
        <v>10069</v>
      </c>
      <c r="H9349" s="6">
        <v>45131</v>
      </c>
      <c r="I9349">
        <f t="shared" si="292"/>
        <v>1</v>
      </c>
      <c r="J9349" t="str">
        <f t="shared" si="293"/>
        <v>Complete</v>
      </c>
      <c r="K9349">
        <f>COUNTIFS(RawData[Item], B9349,RawData[Quantity],C9349,RawData[Price Per Unit],D9349,RawData[Total Spent],E9349,RawData[Payment Method],F9349,RawData[Location],G9349,RawData[Transaction Date],H9349)</f>
        <v>1</v>
      </c>
      <c r="L9349"/>
    </row>
    <row r="9350" spans="1:12" x14ac:dyDescent="0.3">
      <c r="A9350" t="s">
        <v>9356</v>
      </c>
      <c r="B9350" t="s">
        <v>10016</v>
      </c>
      <c r="C9350">
        <v>5</v>
      </c>
      <c r="D9350">
        <v>3</v>
      </c>
      <c r="E9350">
        <v>0</v>
      </c>
      <c r="F9350" t="s">
        <v>10103</v>
      </c>
      <c r="G9350" t="s">
        <v>10069</v>
      </c>
      <c r="H9350" s="6">
        <v>45008</v>
      </c>
      <c r="I9350">
        <f t="shared" si="292"/>
        <v>1</v>
      </c>
      <c r="J9350" t="str">
        <f t="shared" si="293"/>
        <v>Complete</v>
      </c>
      <c r="K9350">
        <f>COUNTIFS(RawData[Item], B9350,RawData[Quantity],C9350,RawData[Price Per Unit],D9350,RawData[Total Spent],E9350,RawData[Payment Method],F9350,RawData[Location],G9350,RawData[Transaction Date],H9350)</f>
        <v>1</v>
      </c>
      <c r="L9350"/>
    </row>
    <row r="9351" spans="1:12" x14ac:dyDescent="0.3">
      <c r="A9351" t="s">
        <v>9357</v>
      </c>
      <c r="B9351" t="s">
        <v>10012</v>
      </c>
      <c r="C9351">
        <v>2</v>
      </c>
      <c r="D9351">
        <v>4</v>
      </c>
      <c r="E9351">
        <v>8</v>
      </c>
      <c r="F9351" t="s">
        <v>10069</v>
      </c>
      <c r="G9351" t="s">
        <v>10021</v>
      </c>
      <c r="H9351" s="6">
        <v>45164</v>
      </c>
      <c r="I9351">
        <f t="shared" si="292"/>
        <v>0</v>
      </c>
      <c r="J9351" t="str">
        <f t="shared" si="293"/>
        <v>Complete</v>
      </c>
      <c r="K9351">
        <f>COUNTIFS(RawData[Item], B9351,RawData[Quantity],C9351,RawData[Price Per Unit],D9351,RawData[Total Spent],E9351,RawData[Payment Method],F9351,RawData[Location],G9351,RawData[Transaction Date],H9351)</f>
        <v>1</v>
      </c>
      <c r="L9351"/>
    </row>
    <row r="9352" spans="1:12" x14ac:dyDescent="0.3">
      <c r="A9352" t="s">
        <v>9358</v>
      </c>
      <c r="B9352" t="s">
        <v>10012</v>
      </c>
      <c r="C9352">
        <v>5</v>
      </c>
      <c r="D9352">
        <v>4</v>
      </c>
      <c r="E9352">
        <v>20</v>
      </c>
      <c r="F9352" t="s">
        <v>10018</v>
      </c>
      <c r="G9352" t="s">
        <v>10069</v>
      </c>
      <c r="H9352" s="6">
        <v>45268</v>
      </c>
      <c r="I9352">
        <f t="shared" si="292"/>
        <v>0</v>
      </c>
      <c r="J9352" t="str">
        <f t="shared" si="293"/>
        <v>Complete</v>
      </c>
      <c r="K9352">
        <f>COUNTIFS(RawData[Item], B9352,RawData[Quantity],C9352,RawData[Price Per Unit],D9352,RawData[Total Spent],E9352,RawData[Payment Method],F9352,RawData[Location],G9352,RawData[Transaction Date],H9352)</f>
        <v>1</v>
      </c>
      <c r="L9352"/>
    </row>
    <row r="9353" spans="1:12" x14ac:dyDescent="0.3">
      <c r="A9353" t="s">
        <v>9359</v>
      </c>
      <c r="B9353" t="s">
        <v>10010</v>
      </c>
      <c r="C9353">
        <v>5</v>
      </c>
      <c r="D9353">
        <v>1</v>
      </c>
      <c r="E9353">
        <v>5</v>
      </c>
      <c r="F9353" t="s">
        <v>10069</v>
      </c>
      <c r="G9353" t="s">
        <v>10021</v>
      </c>
      <c r="H9353" s="6">
        <v>45231</v>
      </c>
      <c r="I9353">
        <f t="shared" si="292"/>
        <v>0</v>
      </c>
      <c r="J9353" t="str">
        <f t="shared" si="293"/>
        <v>Complete</v>
      </c>
      <c r="K9353">
        <f>COUNTIFS(RawData[Item], B9353,RawData[Quantity],C9353,RawData[Price Per Unit],D9353,RawData[Total Spent],E9353,RawData[Payment Method],F9353,RawData[Location],G9353,RawData[Transaction Date],H9353)</f>
        <v>1</v>
      </c>
      <c r="L9353"/>
    </row>
    <row r="9354" spans="1:12" x14ac:dyDescent="0.3">
      <c r="A9354" t="s">
        <v>9360</v>
      </c>
      <c r="B9354" t="s">
        <v>10011</v>
      </c>
      <c r="C9354">
        <v>5</v>
      </c>
      <c r="D9354">
        <v>5</v>
      </c>
      <c r="E9354">
        <v>25</v>
      </c>
      <c r="F9354" t="s">
        <v>10069</v>
      </c>
      <c r="G9354" t="s">
        <v>10102</v>
      </c>
      <c r="H9354" s="6">
        <v>45169</v>
      </c>
      <c r="I9354">
        <f t="shared" si="292"/>
        <v>0</v>
      </c>
      <c r="J9354" t="str">
        <f t="shared" si="293"/>
        <v>Complete</v>
      </c>
      <c r="K9354">
        <f>COUNTIFS(RawData[Item], B9354,RawData[Quantity],C9354,RawData[Price Per Unit],D9354,RawData[Total Spent],E9354,RawData[Payment Method],F9354,RawData[Location],G9354,RawData[Transaction Date],H9354)</f>
        <v>1</v>
      </c>
      <c r="L9354"/>
    </row>
    <row r="9355" spans="1:12" x14ac:dyDescent="0.3">
      <c r="A9355" t="s">
        <v>9361</v>
      </c>
      <c r="B9355" t="s">
        <v>10010</v>
      </c>
      <c r="C9355">
        <v>5</v>
      </c>
      <c r="D9355">
        <v>1</v>
      </c>
      <c r="E9355">
        <v>5</v>
      </c>
      <c r="F9355" t="s">
        <v>10019</v>
      </c>
      <c r="G9355" t="s">
        <v>10102</v>
      </c>
      <c r="H9355" s="6">
        <v>45005</v>
      </c>
      <c r="I9355">
        <f t="shared" si="292"/>
        <v>0</v>
      </c>
      <c r="J9355" t="str">
        <f t="shared" si="293"/>
        <v>Complete</v>
      </c>
      <c r="K9355">
        <f>COUNTIFS(RawData[Item], B9355,RawData[Quantity],C9355,RawData[Price Per Unit],D9355,RawData[Total Spent],E9355,RawData[Payment Method],F9355,RawData[Location],G9355,RawData[Transaction Date],H9355)</f>
        <v>1</v>
      </c>
      <c r="L9355"/>
    </row>
    <row r="9356" spans="1:12" x14ac:dyDescent="0.3">
      <c r="A9356" t="s">
        <v>9362</v>
      </c>
      <c r="B9356" t="s">
        <v>10016</v>
      </c>
      <c r="C9356">
        <v>1</v>
      </c>
      <c r="D9356">
        <v>3</v>
      </c>
      <c r="E9356">
        <v>3</v>
      </c>
      <c r="F9356" t="s">
        <v>10020</v>
      </c>
      <c r="G9356" t="s">
        <v>10069</v>
      </c>
      <c r="H9356" s="6">
        <v>45075</v>
      </c>
      <c r="I9356">
        <f t="shared" si="292"/>
        <v>0</v>
      </c>
      <c r="J9356" t="str">
        <f t="shared" si="293"/>
        <v>Complete</v>
      </c>
      <c r="K9356">
        <f>COUNTIFS(RawData[Item], B9356,RawData[Quantity],C9356,RawData[Price Per Unit],D9356,RawData[Total Spent],E9356,RawData[Payment Method],F9356,RawData[Location],G9356,RawData[Transaction Date],H9356)</f>
        <v>1</v>
      </c>
      <c r="L9356"/>
    </row>
    <row r="9357" spans="1:12" x14ac:dyDescent="0.3">
      <c r="A9357" t="s">
        <v>9363</v>
      </c>
      <c r="B9357" t="s">
        <v>10016</v>
      </c>
      <c r="C9357">
        <v>1</v>
      </c>
      <c r="D9357">
        <v>3</v>
      </c>
      <c r="E9357">
        <v>3</v>
      </c>
      <c r="F9357" t="s">
        <v>10018</v>
      </c>
      <c r="G9357" t="s">
        <v>10102</v>
      </c>
      <c r="H9357" s="6">
        <v>45182</v>
      </c>
      <c r="I9357">
        <f t="shared" si="292"/>
        <v>0</v>
      </c>
      <c r="J9357" t="str">
        <f t="shared" si="293"/>
        <v>Complete</v>
      </c>
      <c r="K9357">
        <f>COUNTIFS(RawData[Item], B9357,RawData[Quantity],C9357,RawData[Price Per Unit],D9357,RawData[Total Spent],E9357,RawData[Payment Method],F9357,RawData[Location],G9357,RawData[Transaction Date],H9357)</f>
        <v>1</v>
      </c>
      <c r="L9357"/>
    </row>
    <row r="9358" spans="1:12" x14ac:dyDescent="0.3">
      <c r="A9358" t="s">
        <v>9364</v>
      </c>
      <c r="B9358" t="s">
        <v>10009</v>
      </c>
      <c r="C9358">
        <v>3</v>
      </c>
      <c r="D9358">
        <v>3</v>
      </c>
      <c r="E9358">
        <v>9</v>
      </c>
      <c r="F9358" t="s">
        <v>10020</v>
      </c>
      <c r="G9358" t="s">
        <v>10021</v>
      </c>
      <c r="H9358" s="6">
        <v>44927</v>
      </c>
      <c r="I9358">
        <f t="shared" si="292"/>
        <v>0</v>
      </c>
      <c r="J9358" t="str">
        <f t="shared" si="293"/>
        <v>Complete</v>
      </c>
      <c r="K9358">
        <f>COUNTIFS(RawData[Item], B9358,RawData[Quantity],C9358,RawData[Price Per Unit],D9358,RawData[Total Spent],E9358,RawData[Payment Method],F9358,RawData[Location],G9358,RawData[Transaction Date],H9358)</f>
        <v>1</v>
      </c>
      <c r="L9358"/>
    </row>
    <row r="9359" spans="1:12" x14ac:dyDescent="0.3">
      <c r="A9359" t="s">
        <v>9365</v>
      </c>
      <c r="B9359" t="s">
        <v>10016</v>
      </c>
      <c r="C9359">
        <v>4</v>
      </c>
      <c r="D9359">
        <v>3</v>
      </c>
      <c r="E9359">
        <v>12</v>
      </c>
      <c r="F9359" t="s">
        <v>10020</v>
      </c>
      <c r="G9359" t="s">
        <v>10102</v>
      </c>
      <c r="H9359" s="6">
        <v>44973</v>
      </c>
      <c r="I9359">
        <f t="shared" si="292"/>
        <v>0</v>
      </c>
      <c r="J9359" t="str">
        <f t="shared" si="293"/>
        <v>Complete</v>
      </c>
      <c r="K9359">
        <f>COUNTIFS(RawData[Item], B9359,RawData[Quantity],C9359,RawData[Price Per Unit],D9359,RawData[Total Spent],E9359,RawData[Payment Method],F9359,RawData[Location],G9359,RawData[Transaction Date],H9359)</f>
        <v>1</v>
      </c>
      <c r="L9359"/>
    </row>
    <row r="9360" spans="1:12" x14ac:dyDescent="0.3">
      <c r="A9360" t="s">
        <v>9366</v>
      </c>
      <c r="B9360" t="s">
        <v>10011</v>
      </c>
      <c r="C9360">
        <v>5</v>
      </c>
      <c r="D9360">
        <v>5</v>
      </c>
      <c r="E9360">
        <v>25</v>
      </c>
      <c r="F9360" t="s">
        <v>10018</v>
      </c>
      <c r="G9360" t="s">
        <v>10069</v>
      </c>
      <c r="H9360" s="6">
        <v>45215</v>
      </c>
      <c r="I9360">
        <f t="shared" si="292"/>
        <v>0</v>
      </c>
      <c r="J9360" t="str">
        <f t="shared" si="293"/>
        <v>Complete</v>
      </c>
      <c r="K9360">
        <f>COUNTIFS(RawData[Item], B9360,RawData[Quantity],C9360,RawData[Price Per Unit],D9360,RawData[Total Spent],E9360,RawData[Payment Method],F9360,RawData[Location],G9360,RawData[Transaction Date],H9360)</f>
        <v>1</v>
      </c>
      <c r="L9360"/>
    </row>
    <row r="9361" spans="1:12" x14ac:dyDescent="0.3">
      <c r="A9361" t="s">
        <v>9367</v>
      </c>
      <c r="B9361" t="s">
        <v>10010</v>
      </c>
      <c r="C9361">
        <v>3</v>
      </c>
      <c r="D9361">
        <v>1</v>
      </c>
      <c r="E9361">
        <v>3</v>
      </c>
      <c r="F9361" t="s">
        <v>10019</v>
      </c>
      <c r="G9361" t="s">
        <v>10102</v>
      </c>
      <c r="H9361" s="6">
        <v>45018</v>
      </c>
      <c r="I9361">
        <f t="shared" si="292"/>
        <v>0</v>
      </c>
      <c r="J9361" t="str">
        <f t="shared" si="293"/>
        <v>Complete</v>
      </c>
      <c r="K9361">
        <f>COUNTIFS(RawData[Item], B9361,RawData[Quantity],C9361,RawData[Price Per Unit],D9361,RawData[Total Spent],E9361,RawData[Payment Method],F9361,RawData[Location],G9361,RawData[Transaction Date],H9361)</f>
        <v>1</v>
      </c>
      <c r="L9361"/>
    </row>
    <row r="9362" spans="1:12" x14ac:dyDescent="0.3">
      <c r="A9362" t="s">
        <v>9368</v>
      </c>
      <c r="B9362" t="s">
        <v>10013</v>
      </c>
      <c r="C9362">
        <v>1</v>
      </c>
      <c r="D9362">
        <v>3</v>
      </c>
      <c r="E9362">
        <v>3</v>
      </c>
      <c r="F9362" t="s">
        <v>10020</v>
      </c>
      <c r="G9362" t="s">
        <v>10104</v>
      </c>
      <c r="H9362" s="6">
        <v>45206</v>
      </c>
      <c r="I9362">
        <f t="shared" si="292"/>
        <v>2</v>
      </c>
      <c r="J9362" t="str">
        <f t="shared" si="293"/>
        <v>Complete</v>
      </c>
      <c r="K9362">
        <f>COUNTIFS(RawData[Item], B9362,RawData[Quantity],C9362,RawData[Price Per Unit],D9362,RawData[Total Spent],E9362,RawData[Payment Method],F9362,RawData[Location],G9362,RawData[Transaction Date],H9362)</f>
        <v>1</v>
      </c>
      <c r="L9362"/>
    </row>
    <row r="9363" spans="1:12" x14ac:dyDescent="0.3">
      <c r="A9363" t="s">
        <v>9369</v>
      </c>
      <c r="B9363" t="s">
        <v>10069</v>
      </c>
      <c r="C9363">
        <v>4</v>
      </c>
      <c r="D9363">
        <v>1.5</v>
      </c>
      <c r="E9363">
        <v>6</v>
      </c>
      <c r="F9363" t="s">
        <v>10020</v>
      </c>
      <c r="G9363" t="s">
        <v>10021</v>
      </c>
      <c r="H9363" s="6">
        <v>45210</v>
      </c>
      <c r="I9363">
        <f t="shared" si="292"/>
        <v>0</v>
      </c>
      <c r="J9363" t="str">
        <f t="shared" si="293"/>
        <v>Complete</v>
      </c>
      <c r="K9363">
        <f>COUNTIFS(RawData[Item], B9363,RawData[Quantity],C9363,RawData[Price Per Unit],D9363,RawData[Total Spent],E9363,RawData[Payment Method],F9363,RawData[Location],G9363,RawData[Transaction Date],H9363)</f>
        <v>1</v>
      </c>
      <c r="L9363"/>
    </row>
    <row r="9364" spans="1:12" x14ac:dyDescent="0.3">
      <c r="A9364" t="s">
        <v>9370</v>
      </c>
      <c r="B9364" t="s">
        <v>10008</v>
      </c>
      <c r="C9364">
        <v>2</v>
      </c>
      <c r="D9364">
        <v>2</v>
      </c>
      <c r="E9364">
        <v>4</v>
      </c>
      <c r="F9364" t="s">
        <v>10104</v>
      </c>
      <c r="G9364" t="s">
        <v>10103</v>
      </c>
      <c r="H9364" s="6">
        <v>45232</v>
      </c>
      <c r="I9364">
        <f t="shared" si="292"/>
        <v>2</v>
      </c>
      <c r="J9364" t="str">
        <f t="shared" si="293"/>
        <v>Complete</v>
      </c>
      <c r="K9364">
        <f>COUNTIFS(RawData[Item], B9364,RawData[Quantity],C9364,RawData[Price Per Unit],D9364,RawData[Total Spent],E9364,RawData[Payment Method],F9364,RawData[Location],G9364,RawData[Transaction Date],H9364)</f>
        <v>1</v>
      </c>
      <c r="L9364"/>
    </row>
    <row r="9365" spans="1:12" x14ac:dyDescent="0.3">
      <c r="A9365" t="s">
        <v>9371</v>
      </c>
      <c r="B9365" t="s">
        <v>10014</v>
      </c>
      <c r="C9365">
        <v>5</v>
      </c>
      <c r="D9365" t="s">
        <v>10015</v>
      </c>
      <c r="E9365">
        <v>20</v>
      </c>
      <c r="F9365" t="s">
        <v>10020</v>
      </c>
      <c r="G9365" t="s">
        <v>10021</v>
      </c>
      <c r="H9365" s="6">
        <v>45250</v>
      </c>
      <c r="I9365">
        <f t="shared" si="292"/>
        <v>1</v>
      </c>
      <c r="J9365" t="str">
        <f t="shared" si="293"/>
        <v>Complete</v>
      </c>
      <c r="K9365">
        <f>COUNTIFS(RawData[Item], B9365,RawData[Quantity],C9365,RawData[Price Per Unit],D9365,RawData[Total Spent],E9365,RawData[Payment Method],F9365,RawData[Location],G9365,RawData[Transaction Date],H9365)</f>
        <v>1</v>
      </c>
      <c r="L9365"/>
    </row>
    <row r="9366" spans="1:12" x14ac:dyDescent="0.3">
      <c r="A9366" t="s">
        <v>9372</v>
      </c>
      <c r="B9366" t="s">
        <v>10017</v>
      </c>
      <c r="C9366">
        <v>3</v>
      </c>
      <c r="D9366">
        <v>1.5</v>
      </c>
      <c r="E9366">
        <v>4.5</v>
      </c>
      <c r="F9366" t="s">
        <v>10019</v>
      </c>
      <c r="G9366" t="s">
        <v>10021</v>
      </c>
      <c r="H9366" s="6">
        <v>45243</v>
      </c>
      <c r="I9366">
        <f t="shared" si="292"/>
        <v>0</v>
      </c>
      <c r="J9366" t="str">
        <f t="shared" si="293"/>
        <v>Complete</v>
      </c>
      <c r="K9366">
        <f>COUNTIFS(RawData[Item], B9366,RawData[Quantity],C9366,RawData[Price Per Unit],D9366,RawData[Total Spent],E9366,RawData[Payment Method],F9366,RawData[Location],G9366,RawData[Transaction Date],H9366)</f>
        <v>2</v>
      </c>
      <c r="L9366"/>
    </row>
    <row r="9367" spans="1:12" x14ac:dyDescent="0.3">
      <c r="A9367" t="s">
        <v>9373</v>
      </c>
      <c r="B9367" t="s">
        <v>10009</v>
      </c>
      <c r="C9367">
        <v>1</v>
      </c>
      <c r="D9367">
        <v>3</v>
      </c>
      <c r="E9367">
        <v>3</v>
      </c>
      <c r="F9367" t="s">
        <v>10019</v>
      </c>
      <c r="G9367" t="s">
        <v>10069</v>
      </c>
      <c r="H9367" s="6">
        <v>45083</v>
      </c>
      <c r="I9367">
        <f t="shared" si="292"/>
        <v>0</v>
      </c>
      <c r="J9367" t="str">
        <f t="shared" si="293"/>
        <v>Complete</v>
      </c>
      <c r="K9367">
        <f>COUNTIFS(RawData[Item], B9367,RawData[Quantity],C9367,RawData[Price Per Unit],D9367,RawData[Total Spent],E9367,RawData[Payment Method],F9367,RawData[Location],G9367,RawData[Transaction Date],H9367)</f>
        <v>1</v>
      </c>
      <c r="L9367"/>
    </row>
    <row r="9368" spans="1:12" x14ac:dyDescent="0.3">
      <c r="A9368" t="s">
        <v>9374</v>
      </c>
      <c r="B9368" t="s">
        <v>10069</v>
      </c>
      <c r="C9368">
        <v>5</v>
      </c>
      <c r="D9368">
        <v>4</v>
      </c>
      <c r="E9368">
        <v>20</v>
      </c>
      <c r="F9368" t="s">
        <v>10018</v>
      </c>
      <c r="G9368" t="s">
        <v>10104</v>
      </c>
      <c r="H9368" s="6">
        <v>45042</v>
      </c>
      <c r="I9368">
        <f t="shared" si="292"/>
        <v>1</v>
      </c>
      <c r="J9368" t="str">
        <f t="shared" si="293"/>
        <v>Complete</v>
      </c>
      <c r="K9368">
        <f>COUNTIFS(RawData[Item], B9368,RawData[Quantity],C9368,RawData[Price Per Unit],D9368,RawData[Total Spent],E9368,RawData[Payment Method],F9368,RawData[Location],G9368,RawData[Transaction Date],H9368)</f>
        <v>1</v>
      </c>
      <c r="L9368"/>
    </row>
    <row r="9369" spans="1:12" x14ac:dyDescent="0.3">
      <c r="A9369" t="s">
        <v>9375</v>
      </c>
      <c r="B9369" t="s">
        <v>10016</v>
      </c>
      <c r="C9369">
        <v>4</v>
      </c>
      <c r="D9369">
        <v>3</v>
      </c>
      <c r="E9369">
        <v>12</v>
      </c>
      <c r="F9369" t="s">
        <v>10018</v>
      </c>
      <c r="G9369" t="s">
        <v>10021</v>
      </c>
      <c r="H9369" s="6">
        <v>44977</v>
      </c>
      <c r="I9369">
        <f t="shared" si="292"/>
        <v>0</v>
      </c>
      <c r="J9369" t="str">
        <f t="shared" si="293"/>
        <v>Complete</v>
      </c>
      <c r="K9369">
        <f>COUNTIFS(RawData[Item], B9369,RawData[Quantity],C9369,RawData[Price Per Unit],D9369,RawData[Total Spent],E9369,RawData[Payment Method],F9369,RawData[Location],G9369,RawData[Transaction Date],H9369)</f>
        <v>1</v>
      </c>
      <c r="L9369"/>
    </row>
    <row r="9370" spans="1:12" x14ac:dyDescent="0.3">
      <c r="A9370" t="s">
        <v>9376</v>
      </c>
      <c r="B9370" t="s">
        <v>10010</v>
      </c>
      <c r="C9370">
        <v>0</v>
      </c>
      <c r="D9370">
        <v>1</v>
      </c>
      <c r="E9370">
        <v>3</v>
      </c>
      <c r="F9370" t="s">
        <v>10020</v>
      </c>
      <c r="G9370" t="s">
        <v>10069</v>
      </c>
      <c r="H9370" s="6">
        <v>45075</v>
      </c>
      <c r="I9370">
        <f t="shared" si="292"/>
        <v>0</v>
      </c>
      <c r="J9370" t="str">
        <f t="shared" si="293"/>
        <v>Complete</v>
      </c>
      <c r="K9370">
        <f>COUNTIFS(RawData[Item], B9370,RawData[Quantity],C9370,RawData[Price Per Unit],D9370,RawData[Total Spent],E9370,RawData[Payment Method],F9370,RawData[Location],G9370,RawData[Transaction Date],H9370)</f>
        <v>1</v>
      </c>
      <c r="L9370"/>
    </row>
    <row r="9371" spans="1:12" x14ac:dyDescent="0.3">
      <c r="A9371" t="s">
        <v>9377</v>
      </c>
      <c r="B9371" t="s">
        <v>10017</v>
      </c>
      <c r="C9371">
        <v>3</v>
      </c>
      <c r="D9371">
        <v>1.5</v>
      </c>
      <c r="E9371">
        <v>4.5</v>
      </c>
      <c r="F9371" t="s">
        <v>10018</v>
      </c>
      <c r="G9371" t="s">
        <v>10069</v>
      </c>
      <c r="H9371" s="6">
        <v>45246</v>
      </c>
      <c r="I9371">
        <f t="shared" si="292"/>
        <v>0</v>
      </c>
      <c r="J9371" t="str">
        <f t="shared" si="293"/>
        <v>Complete</v>
      </c>
      <c r="K9371">
        <f>COUNTIFS(RawData[Item], B9371,RawData[Quantity],C9371,RawData[Price Per Unit],D9371,RawData[Total Spent],E9371,RawData[Payment Method],F9371,RawData[Location],G9371,RawData[Transaction Date],H9371)</f>
        <v>1</v>
      </c>
      <c r="L9371"/>
    </row>
    <row r="9372" spans="1:12" x14ac:dyDescent="0.3">
      <c r="A9372" t="s">
        <v>9378</v>
      </c>
      <c r="B9372" t="s">
        <v>10008</v>
      </c>
      <c r="C9372">
        <v>1</v>
      </c>
      <c r="D9372">
        <v>2</v>
      </c>
      <c r="E9372">
        <v>2</v>
      </c>
      <c r="F9372" t="s">
        <v>10019</v>
      </c>
      <c r="G9372" t="s">
        <v>10021</v>
      </c>
      <c r="H9372" s="6">
        <v>45023</v>
      </c>
      <c r="I9372">
        <f t="shared" si="292"/>
        <v>0</v>
      </c>
      <c r="J9372" t="str">
        <f t="shared" si="293"/>
        <v>Complete</v>
      </c>
      <c r="K9372">
        <f>COUNTIFS(RawData[Item], B9372,RawData[Quantity],C9372,RawData[Price Per Unit],D9372,RawData[Total Spent],E9372,RawData[Payment Method],F9372,RawData[Location],G9372,RawData[Transaction Date],H9372)</f>
        <v>1</v>
      </c>
      <c r="L9372"/>
    </row>
    <row r="9373" spans="1:12" x14ac:dyDescent="0.3">
      <c r="A9373" t="s">
        <v>9379</v>
      </c>
      <c r="B9373" t="s">
        <v>10009</v>
      </c>
      <c r="C9373">
        <v>4</v>
      </c>
      <c r="D9373">
        <v>3</v>
      </c>
      <c r="E9373">
        <v>12</v>
      </c>
      <c r="F9373" t="s">
        <v>10019</v>
      </c>
      <c r="G9373" t="s">
        <v>10069</v>
      </c>
      <c r="H9373" s="6">
        <v>45055</v>
      </c>
      <c r="I9373">
        <f t="shared" si="292"/>
        <v>0</v>
      </c>
      <c r="J9373" t="str">
        <f t="shared" si="293"/>
        <v>Complete</v>
      </c>
      <c r="K9373">
        <f>COUNTIFS(RawData[Item], B9373,RawData[Quantity],C9373,RawData[Price Per Unit],D9373,RawData[Total Spent],E9373,RawData[Payment Method],F9373,RawData[Location],G9373,RawData[Transaction Date],H9373)</f>
        <v>1</v>
      </c>
      <c r="L9373"/>
    </row>
    <row r="9374" spans="1:12" x14ac:dyDescent="0.3">
      <c r="A9374" t="s">
        <v>9380</v>
      </c>
      <c r="B9374" t="s">
        <v>10010</v>
      </c>
      <c r="C9374">
        <v>1</v>
      </c>
      <c r="D9374">
        <v>1</v>
      </c>
      <c r="E9374">
        <v>1</v>
      </c>
      <c r="F9374" t="s">
        <v>10018</v>
      </c>
      <c r="G9374" t="s">
        <v>10069</v>
      </c>
      <c r="H9374" s="6" t="s">
        <v>10112</v>
      </c>
      <c r="I9374">
        <f t="shared" si="292"/>
        <v>1</v>
      </c>
      <c r="J9374" t="str">
        <f t="shared" si="293"/>
        <v>Incomplete</v>
      </c>
      <c r="K9374">
        <f>COUNTIFS(RawData[Item], B9374,RawData[Quantity],C9374,RawData[Price Per Unit],D9374,RawData[Total Spent],E9374,RawData[Payment Method],F9374,RawData[Location],G9374,RawData[Transaction Date],H9374)</f>
        <v>2</v>
      </c>
      <c r="L9374"/>
    </row>
    <row r="9375" spans="1:12" x14ac:dyDescent="0.3">
      <c r="A9375" t="s">
        <v>9381</v>
      </c>
      <c r="B9375" t="s">
        <v>10016</v>
      </c>
      <c r="C9375">
        <v>5</v>
      </c>
      <c r="D9375" t="s">
        <v>10015</v>
      </c>
      <c r="E9375">
        <v>15</v>
      </c>
      <c r="F9375" t="s">
        <v>10019</v>
      </c>
      <c r="G9375" t="s">
        <v>10069</v>
      </c>
      <c r="H9375" s="6">
        <v>45016</v>
      </c>
      <c r="I9375">
        <f t="shared" si="292"/>
        <v>1</v>
      </c>
      <c r="J9375" t="str">
        <f t="shared" si="293"/>
        <v>Complete</v>
      </c>
      <c r="K9375">
        <f>COUNTIFS(RawData[Item], B9375,RawData[Quantity],C9375,RawData[Price Per Unit],D9375,RawData[Total Spent],E9375,RawData[Payment Method],F9375,RawData[Location],G9375,RawData[Transaction Date],H9375)</f>
        <v>1</v>
      </c>
      <c r="L9375"/>
    </row>
    <row r="9376" spans="1:12" x14ac:dyDescent="0.3">
      <c r="A9376" t="s">
        <v>9382</v>
      </c>
      <c r="B9376" t="s">
        <v>10012</v>
      </c>
      <c r="C9376">
        <v>1</v>
      </c>
      <c r="D9376">
        <v>4</v>
      </c>
      <c r="E9376">
        <v>4</v>
      </c>
      <c r="F9376" t="s">
        <v>10019</v>
      </c>
      <c r="G9376" t="s">
        <v>10069</v>
      </c>
      <c r="H9376" s="6">
        <v>45086</v>
      </c>
      <c r="I9376">
        <f t="shared" si="292"/>
        <v>0</v>
      </c>
      <c r="J9376" t="str">
        <f t="shared" si="293"/>
        <v>Complete</v>
      </c>
      <c r="K9376">
        <f>COUNTIFS(RawData[Item], B9376,RawData[Quantity],C9376,RawData[Price Per Unit],D9376,RawData[Total Spent],E9376,RawData[Payment Method],F9376,RawData[Location],G9376,RawData[Transaction Date],H9376)</f>
        <v>1</v>
      </c>
      <c r="L9376"/>
    </row>
    <row r="9377" spans="1:12" x14ac:dyDescent="0.3">
      <c r="A9377" t="s">
        <v>9383</v>
      </c>
      <c r="B9377" t="s">
        <v>10014</v>
      </c>
      <c r="C9377">
        <v>2</v>
      </c>
      <c r="D9377">
        <v>4</v>
      </c>
      <c r="E9377">
        <v>8</v>
      </c>
      <c r="F9377" t="s">
        <v>10069</v>
      </c>
      <c r="G9377" t="s">
        <v>10021</v>
      </c>
      <c r="H9377" s="6">
        <v>45199</v>
      </c>
      <c r="I9377">
        <f t="shared" si="292"/>
        <v>0</v>
      </c>
      <c r="J9377" t="str">
        <f t="shared" si="293"/>
        <v>Complete</v>
      </c>
      <c r="K9377">
        <f>COUNTIFS(RawData[Item], B9377,RawData[Quantity],C9377,RawData[Price Per Unit],D9377,RawData[Total Spent],E9377,RawData[Payment Method],F9377,RawData[Location],G9377,RawData[Transaction Date],H9377)</f>
        <v>1</v>
      </c>
      <c r="L9377"/>
    </row>
    <row r="9378" spans="1:12" x14ac:dyDescent="0.3">
      <c r="A9378" t="s">
        <v>9384</v>
      </c>
      <c r="B9378" t="s">
        <v>10017</v>
      </c>
      <c r="C9378">
        <v>3</v>
      </c>
      <c r="D9378">
        <v>1.5</v>
      </c>
      <c r="E9378">
        <v>4.5</v>
      </c>
      <c r="F9378" t="s">
        <v>10020</v>
      </c>
      <c r="G9378" t="s">
        <v>10069</v>
      </c>
      <c r="H9378" s="6">
        <v>45192</v>
      </c>
      <c r="I9378">
        <f t="shared" si="292"/>
        <v>0</v>
      </c>
      <c r="J9378" t="str">
        <f t="shared" si="293"/>
        <v>Complete</v>
      </c>
      <c r="K9378">
        <f>COUNTIFS(RawData[Item], B9378,RawData[Quantity],C9378,RawData[Price Per Unit],D9378,RawData[Total Spent],E9378,RawData[Payment Method],F9378,RawData[Location],G9378,RawData[Transaction Date],H9378)</f>
        <v>1</v>
      </c>
      <c r="L9378"/>
    </row>
    <row r="9379" spans="1:12" x14ac:dyDescent="0.3">
      <c r="A9379" t="s">
        <v>9385</v>
      </c>
      <c r="B9379" t="s">
        <v>10011</v>
      </c>
      <c r="C9379">
        <v>2</v>
      </c>
      <c r="D9379">
        <v>5</v>
      </c>
      <c r="E9379">
        <v>10</v>
      </c>
      <c r="F9379" t="s">
        <v>10020</v>
      </c>
      <c r="G9379" t="s">
        <v>10021</v>
      </c>
      <c r="H9379" s="6">
        <v>45119</v>
      </c>
      <c r="I9379">
        <f t="shared" si="292"/>
        <v>0</v>
      </c>
      <c r="J9379" t="str">
        <f t="shared" si="293"/>
        <v>Complete</v>
      </c>
      <c r="K9379">
        <f>COUNTIFS(RawData[Item], B9379,RawData[Quantity],C9379,RawData[Price Per Unit],D9379,RawData[Total Spent],E9379,RawData[Payment Method],F9379,RawData[Location],G9379,RawData[Transaction Date],H9379)</f>
        <v>1</v>
      </c>
      <c r="L9379"/>
    </row>
    <row r="9380" spans="1:12" x14ac:dyDescent="0.3">
      <c r="A9380" t="s">
        <v>9386</v>
      </c>
      <c r="B9380" t="s">
        <v>10012</v>
      </c>
      <c r="C9380">
        <v>3</v>
      </c>
      <c r="D9380">
        <v>4</v>
      </c>
      <c r="E9380">
        <v>12</v>
      </c>
      <c r="F9380" t="s">
        <v>10018</v>
      </c>
      <c r="G9380" t="s">
        <v>10102</v>
      </c>
      <c r="H9380" s="6">
        <v>45064</v>
      </c>
      <c r="I9380">
        <f t="shared" si="292"/>
        <v>0</v>
      </c>
      <c r="J9380" t="str">
        <f t="shared" si="293"/>
        <v>Complete</v>
      </c>
      <c r="K9380">
        <f>COUNTIFS(RawData[Item], B9380,RawData[Quantity],C9380,RawData[Price Per Unit],D9380,RawData[Total Spent],E9380,RawData[Payment Method],F9380,RawData[Location],G9380,RawData[Transaction Date],H9380)</f>
        <v>1</v>
      </c>
      <c r="L9380"/>
    </row>
    <row r="9381" spans="1:12" x14ac:dyDescent="0.3">
      <c r="A9381" t="s">
        <v>9387</v>
      </c>
      <c r="B9381" t="s">
        <v>10010</v>
      </c>
      <c r="C9381">
        <v>1</v>
      </c>
      <c r="D9381">
        <v>1</v>
      </c>
      <c r="E9381">
        <v>1</v>
      </c>
      <c r="F9381" t="s">
        <v>10069</v>
      </c>
      <c r="G9381" t="s">
        <v>10021</v>
      </c>
      <c r="H9381" s="6">
        <v>44933</v>
      </c>
      <c r="I9381">
        <f t="shared" si="292"/>
        <v>0</v>
      </c>
      <c r="J9381" t="str">
        <f t="shared" si="293"/>
        <v>Complete</v>
      </c>
      <c r="K9381">
        <f>COUNTIFS(RawData[Item], B9381,RawData[Quantity],C9381,RawData[Price Per Unit],D9381,RawData[Total Spent],E9381,RawData[Payment Method],F9381,RawData[Location],G9381,RawData[Transaction Date],H9381)</f>
        <v>1</v>
      </c>
      <c r="L9381"/>
    </row>
    <row r="9382" spans="1:12" x14ac:dyDescent="0.3">
      <c r="A9382" t="s">
        <v>9388</v>
      </c>
      <c r="B9382" t="s">
        <v>10014</v>
      </c>
      <c r="C9382">
        <v>5</v>
      </c>
      <c r="D9382">
        <v>4</v>
      </c>
      <c r="E9382">
        <v>20</v>
      </c>
      <c r="F9382" t="s">
        <v>10020</v>
      </c>
      <c r="G9382" t="s">
        <v>10102</v>
      </c>
      <c r="H9382" s="6" t="s">
        <v>10112</v>
      </c>
      <c r="I9382">
        <f t="shared" si="292"/>
        <v>1</v>
      </c>
      <c r="J9382" t="str">
        <f t="shared" si="293"/>
        <v>Incomplete</v>
      </c>
      <c r="K9382">
        <f>COUNTIFS(RawData[Item], B9382,RawData[Quantity],C9382,RawData[Price Per Unit],D9382,RawData[Total Spent],E9382,RawData[Payment Method],F9382,RawData[Location],G9382,RawData[Transaction Date],H9382)</f>
        <v>2</v>
      </c>
      <c r="L9382"/>
    </row>
    <row r="9383" spans="1:12" x14ac:dyDescent="0.3">
      <c r="A9383" t="s">
        <v>9389</v>
      </c>
      <c r="B9383" t="s">
        <v>10010</v>
      </c>
      <c r="C9383">
        <v>4</v>
      </c>
      <c r="D9383" t="s">
        <v>10015</v>
      </c>
      <c r="E9383">
        <v>4</v>
      </c>
      <c r="F9383" t="s">
        <v>10020</v>
      </c>
      <c r="G9383" t="s">
        <v>10021</v>
      </c>
      <c r="H9383" s="6">
        <v>45079</v>
      </c>
      <c r="I9383">
        <f t="shared" si="292"/>
        <v>1</v>
      </c>
      <c r="J9383" t="str">
        <f t="shared" si="293"/>
        <v>Complete</v>
      </c>
      <c r="K9383">
        <f>COUNTIFS(RawData[Item], B9383,RawData[Quantity],C9383,RawData[Price Per Unit],D9383,RawData[Total Spent],E9383,RawData[Payment Method],F9383,RawData[Location],G9383,RawData[Transaction Date],H9383)</f>
        <v>1</v>
      </c>
      <c r="L9383"/>
    </row>
    <row r="9384" spans="1:12" x14ac:dyDescent="0.3">
      <c r="A9384" t="s">
        <v>9390</v>
      </c>
      <c r="B9384" t="s">
        <v>10015</v>
      </c>
      <c r="C9384">
        <v>1</v>
      </c>
      <c r="D9384">
        <v>0</v>
      </c>
      <c r="E9384">
        <v>3</v>
      </c>
      <c r="F9384" t="s">
        <v>10019</v>
      </c>
      <c r="G9384" t="s">
        <v>10069</v>
      </c>
      <c r="H9384" s="6" t="s">
        <v>10112</v>
      </c>
      <c r="I9384">
        <f t="shared" si="292"/>
        <v>2</v>
      </c>
      <c r="J9384" t="str">
        <f t="shared" si="293"/>
        <v>Incomplete</v>
      </c>
      <c r="K9384">
        <f>COUNTIFS(RawData[Item], B9384,RawData[Quantity],C9384,RawData[Price Per Unit],D9384,RawData[Total Spent],E9384,RawData[Payment Method],F9384,RawData[Location],G9384,RawData[Transaction Date],H9384)</f>
        <v>1</v>
      </c>
      <c r="L9384"/>
    </row>
    <row r="9385" spans="1:12" x14ac:dyDescent="0.3">
      <c r="A9385" t="s">
        <v>9391</v>
      </c>
      <c r="B9385" t="s">
        <v>10014</v>
      </c>
      <c r="C9385">
        <v>4</v>
      </c>
      <c r="D9385">
        <v>4</v>
      </c>
      <c r="E9385">
        <v>16</v>
      </c>
      <c r="F9385" t="s">
        <v>10103</v>
      </c>
      <c r="G9385" t="s">
        <v>10102</v>
      </c>
      <c r="H9385" s="6">
        <v>45136</v>
      </c>
      <c r="I9385">
        <f t="shared" si="292"/>
        <v>1</v>
      </c>
      <c r="J9385" t="str">
        <f t="shared" si="293"/>
        <v>Complete</v>
      </c>
      <c r="K9385">
        <f>COUNTIFS(RawData[Item], B9385,RawData[Quantity],C9385,RawData[Price Per Unit],D9385,RawData[Total Spent],E9385,RawData[Payment Method],F9385,RawData[Location],G9385,RawData[Transaction Date],H9385)</f>
        <v>1</v>
      </c>
      <c r="L9385"/>
    </row>
    <row r="9386" spans="1:12" x14ac:dyDescent="0.3">
      <c r="A9386" t="s">
        <v>9392</v>
      </c>
      <c r="B9386" t="s">
        <v>10017</v>
      </c>
      <c r="C9386">
        <v>5</v>
      </c>
      <c r="D9386">
        <v>1.5</v>
      </c>
      <c r="E9386">
        <v>7.5</v>
      </c>
      <c r="F9386" t="s">
        <v>10019</v>
      </c>
      <c r="G9386" t="s">
        <v>10102</v>
      </c>
      <c r="H9386" s="6">
        <v>45228</v>
      </c>
      <c r="I9386">
        <f t="shared" si="292"/>
        <v>0</v>
      </c>
      <c r="J9386" t="str">
        <f t="shared" si="293"/>
        <v>Complete</v>
      </c>
      <c r="K9386">
        <f>COUNTIFS(RawData[Item], B9386,RawData[Quantity],C9386,RawData[Price Per Unit],D9386,RawData[Total Spent],E9386,RawData[Payment Method],F9386,RawData[Location],G9386,RawData[Transaction Date],H9386)</f>
        <v>1</v>
      </c>
      <c r="L9386"/>
    </row>
    <row r="9387" spans="1:12" x14ac:dyDescent="0.3">
      <c r="A9387" t="s">
        <v>9393</v>
      </c>
      <c r="B9387" t="s">
        <v>10017</v>
      </c>
      <c r="C9387">
        <v>3</v>
      </c>
      <c r="D9387">
        <v>1.5</v>
      </c>
      <c r="E9387">
        <v>4.5</v>
      </c>
      <c r="F9387" t="s">
        <v>10020</v>
      </c>
      <c r="G9387" t="s">
        <v>10069</v>
      </c>
      <c r="H9387" s="6">
        <v>44952</v>
      </c>
      <c r="I9387">
        <f t="shared" si="292"/>
        <v>0</v>
      </c>
      <c r="J9387" t="str">
        <f t="shared" si="293"/>
        <v>Complete</v>
      </c>
      <c r="K9387">
        <f>COUNTIFS(RawData[Item], B9387,RawData[Quantity],C9387,RawData[Price Per Unit],D9387,RawData[Total Spent],E9387,RawData[Payment Method],F9387,RawData[Location],G9387,RawData[Transaction Date],H9387)</f>
        <v>1</v>
      </c>
      <c r="L9387"/>
    </row>
    <row r="9388" spans="1:12" x14ac:dyDescent="0.3">
      <c r="A9388" t="s">
        <v>9394</v>
      </c>
      <c r="B9388" t="s">
        <v>10012</v>
      </c>
      <c r="C9388">
        <v>5</v>
      </c>
      <c r="D9388">
        <v>4</v>
      </c>
      <c r="E9388">
        <v>20</v>
      </c>
      <c r="F9388" t="s">
        <v>10019</v>
      </c>
      <c r="G9388" t="s">
        <v>10102</v>
      </c>
      <c r="H9388" s="6">
        <v>45258</v>
      </c>
      <c r="I9388">
        <f t="shared" si="292"/>
        <v>0</v>
      </c>
      <c r="J9388" t="str">
        <f t="shared" si="293"/>
        <v>Complete</v>
      </c>
      <c r="K9388">
        <f>COUNTIFS(RawData[Item], B9388,RawData[Quantity],C9388,RawData[Price Per Unit],D9388,RawData[Total Spent],E9388,RawData[Payment Method],F9388,RawData[Location],G9388,RawData[Transaction Date],H9388)</f>
        <v>1</v>
      </c>
      <c r="L9388"/>
    </row>
    <row r="9389" spans="1:12" x14ac:dyDescent="0.3">
      <c r="A9389" t="s">
        <v>9395</v>
      </c>
      <c r="B9389" t="s">
        <v>10012</v>
      </c>
      <c r="C9389">
        <v>5</v>
      </c>
      <c r="D9389">
        <v>4</v>
      </c>
      <c r="E9389">
        <v>20</v>
      </c>
      <c r="F9389" t="s">
        <v>10018</v>
      </c>
      <c r="G9389" t="s">
        <v>10069</v>
      </c>
      <c r="H9389" s="6">
        <v>45034</v>
      </c>
      <c r="I9389">
        <f t="shared" si="292"/>
        <v>0</v>
      </c>
      <c r="J9389" t="str">
        <f t="shared" si="293"/>
        <v>Complete</v>
      </c>
      <c r="K9389">
        <f>COUNTIFS(RawData[Item], B9389,RawData[Quantity],C9389,RawData[Price Per Unit],D9389,RawData[Total Spent],E9389,RawData[Payment Method],F9389,RawData[Location],G9389,RawData[Transaction Date],H9389)</f>
        <v>1</v>
      </c>
      <c r="L9389"/>
    </row>
    <row r="9390" spans="1:12" x14ac:dyDescent="0.3">
      <c r="A9390" t="s">
        <v>9396</v>
      </c>
      <c r="B9390" t="s">
        <v>10010</v>
      </c>
      <c r="C9390">
        <v>2</v>
      </c>
      <c r="D9390">
        <v>1</v>
      </c>
      <c r="E9390">
        <v>2</v>
      </c>
      <c r="F9390" t="s">
        <v>10019</v>
      </c>
      <c r="G9390" t="s">
        <v>10102</v>
      </c>
      <c r="H9390" s="6">
        <v>45005</v>
      </c>
      <c r="I9390">
        <f t="shared" si="292"/>
        <v>0</v>
      </c>
      <c r="J9390" t="str">
        <f t="shared" si="293"/>
        <v>Complete</v>
      </c>
      <c r="K9390">
        <f>COUNTIFS(RawData[Item], B9390,RawData[Quantity],C9390,RawData[Price Per Unit],D9390,RawData[Total Spent],E9390,RawData[Payment Method],F9390,RawData[Location],G9390,RawData[Transaction Date],H9390)</f>
        <v>1</v>
      </c>
      <c r="L9390"/>
    </row>
    <row r="9391" spans="1:12" x14ac:dyDescent="0.3">
      <c r="A9391" t="s">
        <v>9397</v>
      </c>
      <c r="B9391" t="s">
        <v>10016</v>
      </c>
      <c r="C9391">
        <v>1</v>
      </c>
      <c r="D9391" t="s">
        <v>10015</v>
      </c>
      <c r="E9391">
        <v>3</v>
      </c>
      <c r="F9391" t="s">
        <v>10069</v>
      </c>
      <c r="G9391" t="s">
        <v>10104</v>
      </c>
      <c r="H9391" s="6">
        <v>44960</v>
      </c>
      <c r="I9391">
        <f t="shared" si="292"/>
        <v>2</v>
      </c>
      <c r="J9391" t="str">
        <f t="shared" si="293"/>
        <v>Complete</v>
      </c>
      <c r="K9391">
        <f>COUNTIFS(RawData[Item], B9391,RawData[Quantity],C9391,RawData[Price Per Unit],D9391,RawData[Total Spent],E9391,RawData[Payment Method],F9391,RawData[Location],G9391,RawData[Transaction Date],H9391)</f>
        <v>1</v>
      </c>
      <c r="L9391"/>
    </row>
    <row r="9392" spans="1:12" x14ac:dyDescent="0.3">
      <c r="A9392" t="s">
        <v>9398</v>
      </c>
      <c r="B9392" t="s">
        <v>10069</v>
      </c>
      <c r="C9392">
        <v>4</v>
      </c>
      <c r="D9392">
        <v>5</v>
      </c>
      <c r="E9392">
        <v>20</v>
      </c>
      <c r="F9392" t="s">
        <v>10019</v>
      </c>
      <c r="G9392" t="s">
        <v>10021</v>
      </c>
      <c r="H9392" s="6">
        <v>45039</v>
      </c>
      <c r="I9392">
        <f t="shared" si="292"/>
        <v>0</v>
      </c>
      <c r="J9392" t="str">
        <f t="shared" si="293"/>
        <v>Complete</v>
      </c>
      <c r="K9392">
        <f>COUNTIFS(RawData[Item], B9392,RawData[Quantity],C9392,RawData[Price Per Unit],D9392,RawData[Total Spent],E9392,RawData[Payment Method],F9392,RawData[Location],G9392,RawData[Transaction Date],H9392)</f>
        <v>1</v>
      </c>
      <c r="L9392"/>
    </row>
    <row r="9393" spans="1:12" x14ac:dyDescent="0.3">
      <c r="A9393" t="s">
        <v>9399</v>
      </c>
      <c r="B9393" t="s">
        <v>10016</v>
      </c>
      <c r="C9393">
        <v>4</v>
      </c>
      <c r="D9393">
        <v>3</v>
      </c>
      <c r="E9393">
        <v>12</v>
      </c>
      <c r="F9393" t="s">
        <v>10069</v>
      </c>
      <c r="G9393" t="s">
        <v>10069</v>
      </c>
      <c r="H9393" s="6">
        <v>45207</v>
      </c>
      <c r="I9393">
        <f t="shared" si="292"/>
        <v>0</v>
      </c>
      <c r="J9393" t="str">
        <f t="shared" si="293"/>
        <v>Complete</v>
      </c>
      <c r="K9393">
        <f>COUNTIFS(RawData[Item], B9393,RawData[Quantity],C9393,RawData[Price Per Unit],D9393,RawData[Total Spent],E9393,RawData[Payment Method],F9393,RawData[Location],G9393,RawData[Transaction Date],H9393)</f>
        <v>1</v>
      </c>
      <c r="L9393"/>
    </row>
    <row r="9394" spans="1:12" x14ac:dyDescent="0.3">
      <c r="A9394" t="s">
        <v>9400</v>
      </c>
      <c r="B9394" t="s">
        <v>10069</v>
      </c>
      <c r="C9394">
        <v>3</v>
      </c>
      <c r="D9394">
        <v>3</v>
      </c>
      <c r="E9394">
        <v>9</v>
      </c>
      <c r="F9394" t="s">
        <v>10019</v>
      </c>
      <c r="G9394" t="s">
        <v>10021</v>
      </c>
      <c r="H9394" s="6">
        <v>45289</v>
      </c>
      <c r="I9394">
        <f t="shared" si="292"/>
        <v>0</v>
      </c>
      <c r="J9394" t="str">
        <f t="shared" si="293"/>
        <v>Complete</v>
      </c>
      <c r="K9394">
        <f>COUNTIFS(RawData[Item], B9394,RawData[Quantity],C9394,RawData[Price Per Unit],D9394,RawData[Total Spent],E9394,RawData[Payment Method],F9394,RawData[Location],G9394,RawData[Transaction Date],H9394)</f>
        <v>1</v>
      </c>
      <c r="L9394"/>
    </row>
    <row r="9395" spans="1:12" x14ac:dyDescent="0.3">
      <c r="A9395" t="s">
        <v>9401</v>
      </c>
      <c r="B9395" t="s">
        <v>10008</v>
      </c>
      <c r="C9395">
        <v>5</v>
      </c>
      <c r="D9395">
        <v>2</v>
      </c>
      <c r="E9395">
        <v>10</v>
      </c>
      <c r="F9395" t="s">
        <v>10018</v>
      </c>
      <c r="G9395" t="s">
        <v>10069</v>
      </c>
      <c r="H9395" s="6">
        <v>45014</v>
      </c>
      <c r="I9395">
        <f t="shared" si="292"/>
        <v>0</v>
      </c>
      <c r="J9395" t="str">
        <f t="shared" si="293"/>
        <v>Complete</v>
      </c>
      <c r="K9395">
        <f>COUNTIFS(RawData[Item], B9395,RawData[Quantity],C9395,RawData[Price Per Unit],D9395,RawData[Total Spent],E9395,RawData[Payment Method],F9395,RawData[Location],G9395,RawData[Transaction Date],H9395)</f>
        <v>1</v>
      </c>
      <c r="L9395"/>
    </row>
    <row r="9396" spans="1:12" x14ac:dyDescent="0.3">
      <c r="A9396" t="s">
        <v>9402</v>
      </c>
      <c r="B9396" t="s">
        <v>10010</v>
      </c>
      <c r="C9396">
        <v>5</v>
      </c>
      <c r="D9396">
        <v>1</v>
      </c>
      <c r="E9396">
        <v>5</v>
      </c>
      <c r="F9396" t="s">
        <v>10069</v>
      </c>
      <c r="G9396" t="s">
        <v>10102</v>
      </c>
      <c r="H9396" s="6">
        <v>45291</v>
      </c>
      <c r="I9396">
        <f t="shared" si="292"/>
        <v>0</v>
      </c>
      <c r="J9396" t="str">
        <f t="shared" si="293"/>
        <v>Complete</v>
      </c>
      <c r="K9396">
        <f>COUNTIFS(RawData[Item], B9396,RawData[Quantity],C9396,RawData[Price Per Unit],D9396,RawData[Total Spent],E9396,RawData[Payment Method],F9396,RawData[Location],G9396,RawData[Transaction Date],H9396)</f>
        <v>1</v>
      </c>
      <c r="L9396"/>
    </row>
    <row r="9397" spans="1:12" x14ac:dyDescent="0.3">
      <c r="A9397" t="s">
        <v>9403</v>
      </c>
      <c r="B9397" t="s">
        <v>10011</v>
      </c>
      <c r="C9397">
        <v>2</v>
      </c>
      <c r="D9397">
        <v>5</v>
      </c>
      <c r="E9397">
        <v>10</v>
      </c>
      <c r="F9397" t="s">
        <v>10018</v>
      </c>
      <c r="G9397" t="s">
        <v>10102</v>
      </c>
      <c r="H9397" s="6">
        <v>45036</v>
      </c>
      <c r="I9397">
        <f t="shared" si="292"/>
        <v>0</v>
      </c>
      <c r="J9397" t="str">
        <f t="shared" si="293"/>
        <v>Complete</v>
      </c>
      <c r="K9397">
        <f>COUNTIFS(RawData[Item], B9397,RawData[Quantity],C9397,RawData[Price Per Unit],D9397,RawData[Total Spent],E9397,RawData[Payment Method],F9397,RawData[Location],G9397,RawData[Transaction Date],H9397)</f>
        <v>1</v>
      </c>
      <c r="L9397"/>
    </row>
    <row r="9398" spans="1:12" x14ac:dyDescent="0.3">
      <c r="A9398" t="s">
        <v>9404</v>
      </c>
      <c r="B9398" t="s">
        <v>10014</v>
      </c>
      <c r="C9398">
        <v>2</v>
      </c>
      <c r="D9398">
        <v>4</v>
      </c>
      <c r="E9398">
        <v>8</v>
      </c>
      <c r="F9398" t="s">
        <v>10019</v>
      </c>
      <c r="G9398" t="s">
        <v>10104</v>
      </c>
      <c r="H9398" s="6">
        <v>45250</v>
      </c>
      <c r="I9398">
        <f t="shared" si="292"/>
        <v>1</v>
      </c>
      <c r="J9398" t="str">
        <f t="shared" si="293"/>
        <v>Complete</v>
      </c>
      <c r="K9398">
        <f>COUNTIFS(RawData[Item], B9398,RawData[Quantity],C9398,RawData[Price Per Unit],D9398,RawData[Total Spent],E9398,RawData[Payment Method],F9398,RawData[Location],G9398,RawData[Transaction Date],H9398)</f>
        <v>1</v>
      </c>
      <c r="L9398"/>
    </row>
    <row r="9399" spans="1:12" x14ac:dyDescent="0.3">
      <c r="A9399" t="s">
        <v>9405</v>
      </c>
      <c r="B9399" t="s">
        <v>10011</v>
      </c>
      <c r="C9399">
        <v>3</v>
      </c>
      <c r="D9399">
        <v>5</v>
      </c>
      <c r="E9399">
        <v>15</v>
      </c>
      <c r="F9399" t="s">
        <v>10019</v>
      </c>
      <c r="G9399" t="s">
        <v>10102</v>
      </c>
      <c r="H9399" s="6">
        <v>44989</v>
      </c>
      <c r="I9399">
        <f t="shared" si="292"/>
        <v>0</v>
      </c>
      <c r="J9399" t="str">
        <f t="shared" si="293"/>
        <v>Complete</v>
      </c>
      <c r="K9399">
        <f>COUNTIFS(RawData[Item], B9399,RawData[Quantity],C9399,RawData[Price Per Unit],D9399,RawData[Total Spent],E9399,RawData[Payment Method],F9399,RawData[Location],G9399,RawData[Transaction Date],H9399)</f>
        <v>1</v>
      </c>
      <c r="L9399"/>
    </row>
    <row r="9400" spans="1:12" x14ac:dyDescent="0.3">
      <c r="A9400" t="s">
        <v>9406</v>
      </c>
      <c r="B9400" t="s">
        <v>10014</v>
      </c>
      <c r="C9400">
        <v>5</v>
      </c>
      <c r="D9400">
        <v>4</v>
      </c>
      <c r="E9400">
        <v>20</v>
      </c>
      <c r="F9400" t="s">
        <v>10020</v>
      </c>
      <c r="G9400" t="s">
        <v>10021</v>
      </c>
      <c r="H9400" s="6">
        <v>45041</v>
      </c>
      <c r="I9400">
        <f t="shared" si="292"/>
        <v>0</v>
      </c>
      <c r="J9400" t="str">
        <f t="shared" si="293"/>
        <v>Complete</v>
      </c>
      <c r="K9400">
        <f>COUNTIFS(RawData[Item], B9400,RawData[Quantity],C9400,RawData[Price Per Unit],D9400,RawData[Total Spent],E9400,RawData[Payment Method],F9400,RawData[Location],G9400,RawData[Transaction Date],H9400)</f>
        <v>1</v>
      </c>
      <c r="L9400"/>
    </row>
    <row r="9401" spans="1:12" x14ac:dyDescent="0.3">
      <c r="A9401" t="s">
        <v>9407</v>
      </c>
      <c r="B9401" t="s">
        <v>10008</v>
      </c>
      <c r="C9401">
        <v>5</v>
      </c>
      <c r="D9401">
        <v>2</v>
      </c>
      <c r="E9401">
        <v>10</v>
      </c>
      <c r="F9401" t="s">
        <v>10019</v>
      </c>
      <c r="G9401" t="s">
        <v>10102</v>
      </c>
      <c r="H9401" s="6">
        <v>45017</v>
      </c>
      <c r="I9401">
        <f t="shared" si="292"/>
        <v>0</v>
      </c>
      <c r="J9401" t="str">
        <f t="shared" si="293"/>
        <v>Complete</v>
      </c>
      <c r="K9401">
        <f>COUNTIFS(RawData[Item], B9401,RawData[Quantity],C9401,RawData[Price Per Unit],D9401,RawData[Total Spent],E9401,RawData[Payment Method],F9401,RawData[Location],G9401,RawData[Transaction Date],H9401)</f>
        <v>1</v>
      </c>
      <c r="L9401"/>
    </row>
    <row r="9402" spans="1:12" x14ac:dyDescent="0.3">
      <c r="A9402" t="s">
        <v>9408</v>
      </c>
      <c r="B9402" t="s">
        <v>10012</v>
      </c>
      <c r="C9402">
        <v>3</v>
      </c>
      <c r="D9402">
        <v>4</v>
      </c>
      <c r="E9402" t="s">
        <v>10015</v>
      </c>
      <c r="F9402" t="s">
        <v>10104</v>
      </c>
      <c r="G9402" t="s">
        <v>10069</v>
      </c>
      <c r="H9402" s="6">
        <v>45204</v>
      </c>
      <c r="I9402">
        <f t="shared" si="292"/>
        <v>2</v>
      </c>
      <c r="J9402" t="str">
        <f t="shared" si="293"/>
        <v>Complete</v>
      </c>
      <c r="K9402">
        <f>COUNTIFS(RawData[Item], B9402,RawData[Quantity],C9402,RawData[Price Per Unit],D9402,RawData[Total Spent],E9402,RawData[Payment Method],F9402,RawData[Location],G9402,RawData[Transaction Date],H9402)</f>
        <v>1</v>
      </c>
      <c r="L9402"/>
    </row>
    <row r="9403" spans="1:12" x14ac:dyDescent="0.3">
      <c r="A9403" t="s">
        <v>9409</v>
      </c>
      <c r="B9403" t="s">
        <v>10017</v>
      </c>
      <c r="C9403">
        <v>3</v>
      </c>
      <c r="D9403">
        <v>1.5</v>
      </c>
      <c r="E9403">
        <v>4.5</v>
      </c>
      <c r="F9403" t="s">
        <v>10069</v>
      </c>
      <c r="G9403" t="s">
        <v>10069</v>
      </c>
      <c r="H9403" s="6">
        <v>45289</v>
      </c>
      <c r="I9403">
        <f t="shared" si="292"/>
        <v>0</v>
      </c>
      <c r="J9403" t="str">
        <f t="shared" si="293"/>
        <v>Complete</v>
      </c>
      <c r="K9403">
        <f>COUNTIFS(RawData[Item], B9403,RawData[Quantity],C9403,RawData[Price Per Unit],D9403,RawData[Total Spent],E9403,RawData[Payment Method],F9403,RawData[Location],G9403,RawData[Transaction Date],H9403)</f>
        <v>2</v>
      </c>
      <c r="L9403"/>
    </row>
    <row r="9404" spans="1:12" x14ac:dyDescent="0.3">
      <c r="A9404" t="s">
        <v>9410</v>
      </c>
      <c r="B9404" t="s">
        <v>10009</v>
      </c>
      <c r="C9404">
        <v>5</v>
      </c>
      <c r="D9404">
        <v>3</v>
      </c>
      <c r="E9404">
        <v>15</v>
      </c>
      <c r="F9404" t="s">
        <v>10020</v>
      </c>
      <c r="G9404" t="s">
        <v>10103</v>
      </c>
      <c r="H9404" s="6">
        <v>45244</v>
      </c>
      <c r="I9404">
        <f t="shared" si="292"/>
        <v>1</v>
      </c>
      <c r="J9404" t="str">
        <f t="shared" si="293"/>
        <v>Complete</v>
      </c>
      <c r="K9404">
        <f>COUNTIFS(RawData[Item], B9404,RawData[Quantity],C9404,RawData[Price Per Unit],D9404,RawData[Total Spent],E9404,RawData[Payment Method],F9404,RawData[Location],G9404,RawData[Transaction Date],H9404)</f>
        <v>1</v>
      </c>
      <c r="L9404"/>
    </row>
    <row r="9405" spans="1:12" x14ac:dyDescent="0.3">
      <c r="A9405" t="s">
        <v>9411</v>
      </c>
      <c r="B9405" t="s">
        <v>10009</v>
      </c>
      <c r="C9405">
        <v>5</v>
      </c>
      <c r="D9405">
        <v>3</v>
      </c>
      <c r="E9405">
        <v>15</v>
      </c>
      <c r="F9405" t="s">
        <v>10019</v>
      </c>
      <c r="G9405" t="s">
        <v>10021</v>
      </c>
      <c r="H9405" s="6">
        <v>45033</v>
      </c>
      <c r="I9405">
        <f t="shared" si="292"/>
        <v>0</v>
      </c>
      <c r="J9405" t="str">
        <f t="shared" si="293"/>
        <v>Complete</v>
      </c>
      <c r="K9405">
        <f>COUNTIFS(RawData[Item], B9405,RawData[Quantity],C9405,RawData[Price Per Unit],D9405,RawData[Total Spent],E9405,RawData[Payment Method],F9405,RawData[Location],G9405,RawData[Transaction Date],H9405)</f>
        <v>1</v>
      </c>
      <c r="L9405"/>
    </row>
    <row r="9406" spans="1:12" x14ac:dyDescent="0.3">
      <c r="A9406" t="s">
        <v>9412</v>
      </c>
      <c r="B9406" t="s">
        <v>10014</v>
      </c>
      <c r="C9406">
        <v>5</v>
      </c>
      <c r="D9406">
        <v>4</v>
      </c>
      <c r="E9406">
        <v>20</v>
      </c>
      <c r="F9406" t="s">
        <v>10020</v>
      </c>
      <c r="G9406" t="s">
        <v>10021</v>
      </c>
      <c r="H9406" s="6" t="s">
        <v>10112</v>
      </c>
      <c r="I9406">
        <f t="shared" si="292"/>
        <v>1</v>
      </c>
      <c r="J9406" t="str">
        <f t="shared" si="293"/>
        <v>Incomplete</v>
      </c>
      <c r="K9406">
        <f>COUNTIFS(RawData[Item], B9406,RawData[Quantity],C9406,RawData[Price Per Unit],D9406,RawData[Total Spent],E9406,RawData[Payment Method],F9406,RawData[Location],G9406,RawData[Transaction Date],H9406)</f>
        <v>3</v>
      </c>
      <c r="L9406"/>
    </row>
    <row r="9407" spans="1:12" x14ac:dyDescent="0.3">
      <c r="A9407" t="s">
        <v>9413</v>
      </c>
      <c r="B9407" t="s">
        <v>10016</v>
      </c>
      <c r="C9407">
        <v>2</v>
      </c>
      <c r="D9407">
        <v>3</v>
      </c>
      <c r="E9407">
        <v>6</v>
      </c>
      <c r="F9407" t="s">
        <v>10020</v>
      </c>
      <c r="G9407" t="s">
        <v>10102</v>
      </c>
      <c r="H9407" s="6">
        <v>45198</v>
      </c>
      <c r="I9407">
        <f t="shared" si="292"/>
        <v>0</v>
      </c>
      <c r="J9407" t="str">
        <f t="shared" si="293"/>
        <v>Complete</v>
      </c>
      <c r="K9407">
        <f>COUNTIFS(RawData[Item], B9407,RawData[Quantity],C9407,RawData[Price Per Unit],D9407,RawData[Total Spent],E9407,RawData[Payment Method],F9407,RawData[Location],G9407,RawData[Transaction Date],H9407)</f>
        <v>1</v>
      </c>
      <c r="L9407"/>
    </row>
    <row r="9408" spans="1:12" x14ac:dyDescent="0.3">
      <c r="A9408" t="s">
        <v>9414</v>
      </c>
      <c r="B9408" t="s">
        <v>10009</v>
      </c>
      <c r="C9408">
        <v>3</v>
      </c>
      <c r="D9408">
        <v>3</v>
      </c>
      <c r="E9408">
        <v>9</v>
      </c>
      <c r="F9408" t="s">
        <v>10104</v>
      </c>
      <c r="G9408" t="s">
        <v>10021</v>
      </c>
      <c r="H9408" s="6">
        <v>45274</v>
      </c>
      <c r="I9408">
        <f t="shared" si="292"/>
        <v>1</v>
      </c>
      <c r="J9408" t="str">
        <f t="shared" si="293"/>
        <v>Complete</v>
      </c>
      <c r="K9408">
        <f>COUNTIFS(RawData[Item], B9408,RawData[Quantity],C9408,RawData[Price Per Unit],D9408,RawData[Total Spent],E9408,RawData[Payment Method],F9408,RawData[Location],G9408,RawData[Transaction Date],H9408)</f>
        <v>1</v>
      </c>
      <c r="L9408"/>
    </row>
    <row r="9409" spans="1:12" x14ac:dyDescent="0.3">
      <c r="A9409" t="s">
        <v>9415</v>
      </c>
      <c r="B9409" t="s">
        <v>10014</v>
      </c>
      <c r="C9409">
        <v>1</v>
      </c>
      <c r="D9409">
        <v>4</v>
      </c>
      <c r="E9409">
        <v>4</v>
      </c>
      <c r="F9409" t="s">
        <v>10019</v>
      </c>
      <c r="G9409" t="s">
        <v>10069</v>
      </c>
      <c r="H9409" s="6">
        <v>44946</v>
      </c>
      <c r="I9409">
        <f t="shared" si="292"/>
        <v>0</v>
      </c>
      <c r="J9409" t="str">
        <f t="shared" si="293"/>
        <v>Complete</v>
      </c>
      <c r="K9409">
        <f>COUNTIFS(RawData[Item], B9409,RawData[Quantity],C9409,RawData[Price Per Unit],D9409,RawData[Total Spent],E9409,RawData[Payment Method],F9409,RawData[Location],G9409,RawData[Transaction Date],H9409)</f>
        <v>1</v>
      </c>
      <c r="L9409"/>
    </row>
    <row r="9410" spans="1:12" x14ac:dyDescent="0.3">
      <c r="A9410" t="s">
        <v>9416</v>
      </c>
      <c r="B9410" t="s">
        <v>10016</v>
      </c>
      <c r="C9410">
        <v>3</v>
      </c>
      <c r="D9410">
        <v>3</v>
      </c>
      <c r="E9410">
        <v>9</v>
      </c>
      <c r="F9410" t="s">
        <v>10019</v>
      </c>
      <c r="G9410" t="s">
        <v>10102</v>
      </c>
      <c r="H9410" s="6">
        <v>45116</v>
      </c>
      <c r="I9410">
        <f t="shared" ref="I9410:I9473" si="294">(B9410="Unknown")+(B9410="Error")+(C9410="Unknown")+(C9410="Error")+(D9410="Unknown")+(D9410="Error")+(E9410="Unknown")+(E9410="Error")+(F9410="Unknown")+(F9410="Error")+(G9410="Unknown")+(G9410="Error")+(H9410="No Date")</f>
        <v>0</v>
      </c>
      <c r="J9410" t="str">
        <f t="shared" ref="J9410:J9473" si="295">IF((H9410="No Date"),"Incomplete","Complete")</f>
        <v>Complete</v>
      </c>
      <c r="K9410">
        <f>COUNTIFS(RawData[Item], B9410,RawData[Quantity],C9410,RawData[Price Per Unit],D9410,RawData[Total Spent],E9410,RawData[Payment Method],F9410,RawData[Location],G9410,RawData[Transaction Date],H9410)</f>
        <v>1</v>
      </c>
      <c r="L9410"/>
    </row>
    <row r="9411" spans="1:12" x14ac:dyDescent="0.3">
      <c r="A9411" t="s">
        <v>9417</v>
      </c>
      <c r="B9411" t="s">
        <v>10012</v>
      </c>
      <c r="C9411">
        <v>5</v>
      </c>
      <c r="D9411">
        <v>4</v>
      </c>
      <c r="E9411">
        <v>20</v>
      </c>
      <c r="F9411" t="s">
        <v>10020</v>
      </c>
      <c r="G9411" t="s">
        <v>10021</v>
      </c>
      <c r="H9411" s="6">
        <v>44935</v>
      </c>
      <c r="I9411">
        <f t="shared" si="294"/>
        <v>0</v>
      </c>
      <c r="J9411" t="str">
        <f t="shared" si="295"/>
        <v>Complete</v>
      </c>
      <c r="K9411">
        <f>COUNTIFS(RawData[Item], B9411,RawData[Quantity],C9411,RawData[Price Per Unit],D9411,RawData[Total Spent],E9411,RawData[Payment Method],F9411,RawData[Location],G9411,RawData[Transaction Date],H9411)</f>
        <v>1</v>
      </c>
      <c r="L9411"/>
    </row>
    <row r="9412" spans="1:12" x14ac:dyDescent="0.3">
      <c r="A9412" t="s">
        <v>9418</v>
      </c>
      <c r="B9412" t="s">
        <v>10016</v>
      </c>
      <c r="C9412">
        <v>2</v>
      </c>
      <c r="D9412">
        <v>3</v>
      </c>
      <c r="E9412">
        <v>6</v>
      </c>
      <c r="F9412" t="s">
        <v>10019</v>
      </c>
      <c r="G9412" t="s">
        <v>10102</v>
      </c>
      <c r="H9412" s="6">
        <v>45229</v>
      </c>
      <c r="I9412">
        <f t="shared" si="294"/>
        <v>0</v>
      </c>
      <c r="J9412" t="str">
        <f t="shared" si="295"/>
        <v>Complete</v>
      </c>
      <c r="K9412">
        <f>COUNTIFS(RawData[Item], B9412,RawData[Quantity],C9412,RawData[Price Per Unit],D9412,RawData[Total Spent],E9412,RawData[Payment Method],F9412,RawData[Location],G9412,RawData[Transaction Date],H9412)</f>
        <v>1</v>
      </c>
      <c r="L9412"/>
    </row>
    <row r="9413" spans="1:12" x14ac:dyDescent="0.3">
      <c r="A9413" t="s">
        <v>9419</v>
      </c>
      <c r="B9413" t="s">
        <v>10016</v>
      </c>
      <c r="C9413">
        <v>4</v>
      </c>
      <c r="D9413">
        <v>3</v>
      </c>
      <c r="E9413">
        <v>12</v>
      </c>
      <c r="F9413" t="s">
        <v>10019</v>
      </c>
      <c r="G9413" t="s">
        <v>10102</v>
      </c>
      <c r="H9413" s="6" t="s">
        <v>10112</v>
      </c>
      <c r="I9413">
        <f t="shared" si="294"/>
        <v>1</v>
      </c>
      <c r="J9413" t="str">
        <f t="shared" si="295"/>
        <v>Incomplete</v>
      </c>
      <c r="K9413">
        <f>COUNTIFS(RawData[Item], B9413,RawData[Quantity],C9413,RawData[Price Per Unit],D9413,RawData[Total Spent],E9413,RawData[Payment Method],F9413,RawData[Location],G9413,RawData[Transaction Date],H9413)</f>
        <v>1</v>
      </c>
      <c r="L9413"/>
    </row>
    <row r="9414" spans="1:12" x14ac:dyDescent="0.3">
      <c r="A9414" t="s">
        <v>9420</v>
      </c>
      <c r="B9414" t="s">
        <v>10014</v>
      </c>
      <c r="C9414">
        <v>2</v>
      </c>
      <c r="D9414">
        <v>4</v>
      </c>
      <c r="E9414">
        <v>8</v>
      </c>
      <c r="F9414" t="s">
        <v>10069</v>
      </c>
      <c r="G9414" t="s">
        <v>10021</v>
      </c>
      <c r="H9414" s="6">
        <v>45033</v>
      </c>
      <c r="I9414">
        <f t="shared" si="294"/>
        <v>0</v>
      </c>
      <c r="J9414" t="str">
        <f t="shared" si="295"/>
        <v>Complete</v>
      </c>
      <c r="K9414">
        <f>COUNTIFS(RawData[Item], B9414,RawData[Quantity],C9414,RawData[Price Per Unit],D9414,RawData[Total Spent],E9414,RawData[Payment Method],F9414,RawData[Location],G9414,RawData[Transaction Date],H9414)</f>
        <v>1</v>
      </c>
      <c r="L9414"/>
    </row>
    <row r="9415" spans="1:12" x14ac:dyDescent="0.3">
      <c r="A9415" t="s">
        <v>9421</v>
      </c>
      <c r="B9415" t="s">
        <v>10010</v>
      </c>
      <c r="C9415">
        <v>1</v>
      </c>
      <c r="D9415">
        <v>1</v>
      </c>
      <c r="E9415">
        <v>1</v>
      </c>
      <c r="F9415" t="s">
        <v>10018</v>
      </c>
      <c r="G9415" t="s">
        <v>10102</v>
      </c>
      <c r="H9415" s="6">
        <v>45176</v>
      </c>
      <c r="I9415">
        <f t="shared" si="294"/>
        <v>0</v>
      </c>
      <c r="J9415" t="str">
        <f t="shared" si="295"/>
        <v>Complete</v>
      </c>
      <c r="K9415">
        <f>COUNTIFS(RawData[Item], B9415,RawData[Quantity],C9415,RawData[Price Per Unit],D9415,RawData[Total Spent],E9415,RawData[Payment Method],F9415,RawData[Location],G9415,RawData[Transaction Date],H9415)</f>
        <v>1</v>
      </c>
      <c r="L9415"/>
    </row>
    <row r="9416" spans="1:12" x14ac:dyDescent="0.3">
      <c r="A9416" t="s">
        <v>9422</v>
      </c>
      <c r="B9416" t="s">
        <v>10009</v>
      </c>
      <c r="C9416">
        <v>2</v>
      </c>
      <c r="D9416">
        <v>3</v>
      </c>
      <c r="E9416">
        <v>6</v>
      </c>
      <c r="F9416" t="s">
        <v>10069</v>
      </c>
      <c r="G9416" t="s">
        <v>10069</v>
      </c>
      <c r="H9416" s="6">
        <v>45073</v>
      </c>
      <c r="I9416">
        <f t="shared" si="294"/>
        <v>0</v>
      </c>
      <c r="J9416" t="str">
        <f t="shared" si="295"/>
        <v>Complete</v>
      </c>
      <c r="K9416">
        <f>COUNTIFS(RawData[Item], B9416,RawData[Quantity],C9416,RawData[Price Per Unit],D9416,RawData[Total Spent],E9416,RawData[Payment Method],F9416,RawData[Location],G9416,RawData[Transaction Date],H9416)</f>
        <v>1</v>
      </c>
      <c r="L9416"/>
    </row>
    <row r="9417" spans="1:12" x14ac:dyDescent="0.3">
      <c r="A9417" t="s">
        <v>9423</v>
      </c>
      <c r="B9417" t="s">
        <v>10014</v>
      </c>
      <c r="C9417">
        <v>3</v>
      </c>
      <c r="D9417">
        <v>4</v>
      </c>
      <c r="E9417">
        <v>12</v>
      </c>
      <c r="F9417" t="s">
        <v>10069</v>
      </c>
      <c r="G9417" t="s">
        <v>10104</v>
      </c>
      <c r="H9417" s="6">
        <v>45253</v>
      </c>
      <c r="I9417">
        <f t="shared" si="294"/>
        <v>1</v>
      </c>
      <c r="J9417" t="str">
        <f t="shared" si="295"/>
        <v>Complete</v>
      </c>
      <c r="K9417">
        <f>COUNTIFS(RawData[Item], B9417,RawData[Quantity],C9417,RawData[Price Per Unit],D9417,RawData[Total Spent],E9417,RawData[Payment Method],F9417,RawData[Location],G9417,RawData[Transaction Date],H9417)</f>
        <v>1</v>
      </c>
      <c r="L9417"/>
    </row>
    <row r="9418" spans="1:12" x14ac:dyDescent="0.3">
      <c r="A9418" t="s">
        <v>9424</v>
      </c>
      <c r="B9418" t="s">
        <v>10010</v>
      </c>
      <c r="C9418">
        <v>2</v>
      </c>
      <c r="D9418">
        <v>1</v>
      </c>
      <c r="E9418">
        <v>2</v>
      </c>
      <c r="F9418" t="s">
        <v>10103</v>
      </c>
      <c r="G9418" t="s">
        <v>10069</v>
      </c>
      <c r="H9418" s="6">
        <v>45264</v>
      </c>
      <c r="I9418">
        <f t="shared" si="294"/>
        <v>1</v>
      </c>
      <c r="J9418" t="str">
        <f t="shared" si="295"/>
        <v>Complete</v>
      </c>
      <c r="K9418">
        <f>COUNTIFS(RawData[Item], B9418,RawData[Quantity],C9418,RawData[Price Per Unit],D9418,RawData[Total Spent],E9418,RawData[Payment Method],F9418,RawData[Location],G9418,RawData[Transaction Date],H9418)</f>
        <v>1</v>
      </c>
      <c r="L9418"/>
    </row>
    <row r="9419" spans="1:12" x14ac:dyDescent="0.3">
      <c r="A9419" t="s">
        <v>9425</v>
      </c>
      <c r="B9419" t="s">
        <v>10014</v>
      </c>
      <c r="C9419">
        <v>2</v>
      </c>
      <c r="D9419">
        <v>4</v>
      </c>
      <c r="E9419">
        <v>8</v>
      </c>
      <c r="F9419" t="s">
        <v>10069</v>
      </c>
      <c r="G9419" t="s">
        <v>10102</v>
      </c>
      <c r="H9419" s="6">
        <v>44932</v>
      </c>
      <c r="I9419">
        <f t="shared" si="294"/>
        <v>0</v>
      </c>
      <c r="J9419" t="str">
        <f t="shared" si="295"/>
        <v>Complete</v>
      </c>
      <c r="K9419">
        <f>COUNTIFS(RawData[Item], B9419,RawData[Quantity],C9419,RawData[Price Per Unit],D9419,RawData[Total Spent],E9419,RawData[Payment Method],F9419,RawData[Location],G9419,RawData[Transaction Date],H9419)</f>
        <v>1</v>
      </c>
      <c r="L9419"/>
    </row>
    <row r="9420" spans="1:12" x14ac:dyDescent="0.3">
      <c r="A9420" t="s">
        <v>9426</v>
      </c>
      <c r="B9420" t="s">
        <v>10008</v>
      </c>
      <c r="C9420">
        <v>4</v>
      </c>
      <c r="D9420">
        <v>0</v>
      </c>
      <c r="E9420">
        <v>8</v>
      </c>
      <c r="F9420" t="s">
        <v>10069</v>
      </c>
      <c r="G9420" t="s">
        <v>10069</v>
      </c>
      <c r="H9420" s="6">
        <v>45103</v>
      </c>
      <c r="I9420">
        <f t="shared" si="294"/>
        <v>0</v>
      </c>
      <c r="J9420" t="str">
        <f t="shared" si="295"/>
        <v>Complete</v>
      </c>
      <c r="K9420">
        <f>COUNTIFS(RawData[Item], B9420,RawData[Quantity],C9420,RawData[Price Per Unit],D9420,RawData[Total Spent],E9420,RawData[Payment Method],F9420,RawData[Location],G9420,RawData[Transaction Date],H9420)</f>
        <v>1</v>
      </c>
      <c r="L9420"/>
    </row>
    <row r="9421" spans="1:12" x14ac:dyDescent="0.3">
      <c r="A9421" t="s">
        <v>9427</v>
      </c>
      <c r="B9421" t="s">
        <v>10017</v>
      </c>
      <c r="C9421">
        <v>2</v>
      </c>
      <c r="D9421">
        <v>1.5</v>
      </c>
      <c r="E9421">
        <v>3</v>
      </c>
      <c r="F9421" t="s">
        <v>10020</v>
      </c>
      <c r="G9421" t="s">
        <v>10021</v>
      </c>
      <c r="H9421" s="6">
        <v>45180</v>
      </c>
      <c r="I9421">
        <f t="shared" si="294"/>
        <v>0</v>
      </c>
      <c r="J9421" t="str">
        <f t="shared" si="295"/>
        <v>Complete</v>
      </c>
      <c r="K9421">
        <f>COUNTIFS(RawData[Item], B9421,RawData[Quantity],C9421,RawData[Price Per Unit],D9421,RawData[Total Spent],E9421,RawData[Payment Method],F9421,RawData[Location],G9421,RawData[Transaction Date],H9421)</f>
        <v>1</v>
      </c>
      <c r="L9421"/>
    </row>
    <row r="9422" spans="1:12" x14ac:dyDescent="0.3">
      <c r="A9422" t="s">
        <v>9428</v>
      </c>
      <c r="B9422" t="s">
        <v>10016</v>
      </c>
      <c r="C9422">
        <v>1</v>
      </c>
      <c r="D9422">
        <v>3</v>
      </c>
      <c r="E9422">
        <v>3</v>
      </c>
      <c r="F9422" t="s">
        <v>10069</v>
      </c>
      <c r="G9422" t="s">
        <v>10103</v>
      </c>
      <c r="H9422" s="6">
        <v>45232</v>
      </c>
      <c r="I9422">
        <f t="shared" si="294"/>
        <v>1</v>
      </c>
      <c r="J9422" t="str">
        <f t="shared" si="295"/>
        <v>Complete</v>
      </c>
      <c r="K9422">
        <f>COUNTIFS(RawData[Item], B9422,RawData[Quantity],C9422,RawData[Price Per Unit],D9422,RawData[Total Spent],E9422,RawData[Payment Method],F9422,RawData[Location],G9422,RawData[Transaction Date],H9422)</f>
        <v>1</v>
      </c>
      <c r="L9422"/>
    </row>
    <row r="9423" spans="1:12" x14ac:dyDescent="0.3">
      <c r="A9423" t="s">
        <v>9429</v>
      </c>
      <c r="B9423" t="s">
        <v>10010</v>
      </c>
      <c r="C9423">
        <v>1</v>
      </c>
      <c r="D9423" t="s">
        <v>10013</v>
      </c>
      <c r="E9423">
        <v>1</v>
      </c>
      <c r="F9423" t="s">
        <v>10069</v>
      </c>
      <c r="G9423" t="s">
        <v>10021</v>
      </c>
      <c r="H9423" s="6">
        <v>44998</v>
      </c>
      <c r="I9423">
        <f t="shared" si="294"/>
        <v>1</v>
      </c>
      <c r="J9423" t="str">
        <f t="shared" si="295"/>
        <v>Complete</v>
      </c>
      <c r="K9423">
        <f>COUNTIFS(RawData[Item], B9423,RawData[Quantity],C9423,RawData[Price Per Unit],D9423,RawData[Total Spent],E9423,RawData[Payment Method],F9423,RawData[Location],G9423,RawData[Transaction Date],H9423)</f>
        <v>1</v>
      </c>
      <c r="L9423"/>
    </row>
    <row r="9424" spans="1:12" x14ac:dyDescent="0.3">
      <c r="A9424" t="s">
        <v>9430</v>
      </c>
      <c r="B9424" t="s">
        <v>10010</v>
      </c>
      <c r="C9424">
        <v>2</v>
      </c>
      <c r="D9424">
        <v>1</v>
      </c>
      <c r="E9424">
        <v>2</v>
      </c>
      <c r="F9424" t="s">
        <v>10018</v>
      </c>
      <c r="G9424" t="s">
        <v>10021</v>
      </c>
      <c r="H9424" s="6">
        <v>45250</v>
      </c>
      <c r="I9424">
        <f t="shared" si="294"/>
        <v>0</v>
      </c>
      <c r="J9424" t="str">
        <f t="shared" si="295"/>
        <v>Complete</v>
      </c>
      <c r="K9424">
        <f>COUNTIFS(RawData[Item], B9424,RawData[Quantity],C9424,RawData[Price Per Unit],D9424,RawData[Total Spent],E9424,RawData[Payment Method],F9424,RawData[Location],G9424,RawData[Transaction Date],H9424)</f>
        <v>1</v>
      </c>
      <c r="L9424"/>
    </row>
    <row r="9425" spans="1:12" x14ac:dyDescent="0.3">
      <c r="A9425" t="s">
        <v>9431</v>
      </c>
      <c r="B9425" t="s">
        <v>10011</v>
      </c>
      <c r="C9425">
        <v>2</v>
      </c>
      <c r="D9425">
        <v>5</v>
      </c>
      <c r="E9425">
        <v>10</v>
      </c>
      <c r="F9425" t="s">
        <v>10018</v>
      </c>
      <c r="G9425" t="s">
        <v>10102</v>
      </c>
      <c r="H9425" s="6">
        <v>45030</v>
      </c>
      <c r="I9425">
        <f t="shared" si="294"/>
        <v>0</v>
      </c>
      <c r="J9425" t="str">
        <f t="shared" si="295"/>
        <v>Complete</v>
      </c>
      <c r="K9425">
        <f>COUNTIFS(RawData[Item], B9425,RawData[Quantity],C9425,RawData[Price Per Unit],D9425,RawData[Total Spent],E9425,RawData[Payment Method],F9425,RawData[Location],G9425,RawData[Transaction Date],H9425)</f>
        <v>1</v>
      </c>
      <c r="L9425"/>
    </row>
    <row r="9426" spans="1:12" x14ac:dyDescent="0.3">
      <c r="A9426" t="s">
        <v>9432</v>
      </c>
      <c r="B9426" t="s">
        <v>10010</v>
      </c>
      <c r="C9426">
        <v>5</v>
      </c>
      <c r="D9426">
        <v>1</v>
      </c>
      <c r="E9426">
        <v>5</v>
      </c>
      <c r="F9426" t="s">
        <v>10103</v>
      </c>
      <c r="G9426" t="s">
        <v>10021</v>
      </c>
      <c r="H9426" s="6">
        <v>45201</v>
      </c>
      <c r="I9426">
        <f t="shared" si="294"/>
        <v>1</v>
      </c>
      <c r="J9426" t="str">
        <f t="shared" si="295"/>
        <v>Complete</v>
      </c>
      <c r="K9426">
        <f>COUNTIFS(RawData[Item], B9426,RawData[Quantity],C9426,RawData[Price Per Unit],D9426,RawData[Total Spent],E9426,RawData[Payment Method],F9426,RawData[Location],G9426,RawData[Transaction Date],H9426)</f>
        <v>1</v>
      </c>
      <c r="L9426"/>
    </row>
    <row r="9427" spans="1:12" x14ac:dyDescent="0.3">
      <c r="A9427" t="s">
        <v>9433</v>
      </c>
      <c r="B9427" t="s">
        <v>10013</v>
      </c>
      <c r="C9427">
        <v>3</v>
      </c>
      <c r="D9427" t="s">
        <v>10013</v>
      </c>
      <c r="E9427">
        <v>6</v>
      </c>
      <c r="F9427" t="s">
        <v>10069</v>
      </c>
      <c r="G9427" t="s">
        <v>10069</v>
      </c>
      <c r="H9427" s="6">
        <v>45190</v>
      </c>
      <c r="I9427">
        <f t="shared" si="294"/>
        <v>2</v>
      </c>
      <c r="J9427" t="str">
        <f t="shared" si="295"/>
        <v>Complete</v>
      </c>
      <c r="K9427">
        <f>COUNTIFS(RawData[Item], B9427,RawData[Quantity],C9427,RawData[Price Per Unit],D9427,RawData[Total Spent],E9427,RawData[Payment Method],F9427,RawData[Location],G9427,RawData[Transaction Date],H9427)</f>
        <v>1</v>
      </c>
      <c r="L9427"/>
    </row>
    <row r="9428" spans="1:12" x14ac:dyDescent="0.3">
      <c r="A9428" t="s">
        <v>9434</v>
      </c>
      <c r="B9428" t="s">
        <v>10008</v>
      </c>
      <c r="C9428">
        <v>2</v>
      </c>
      <c r="D9428">
        <v>2</v>
      </c>
      <c r="E9428">
        <v>4</v>
      </c>
      <c r="F9428" t="s">
        <v>10104</v>
      </c>
      <c r="G9428" t="s">
        <v>10102</v>
      </c>
      <c r="H9428" s="6">
        <v>45168</v>
      </c>
      <c r="I9428">
        <f t="shared" si="294"/>
        <v>1</v>
      </c>
      <c r="J9428" t="str">
        <f t="shared" si="295"/>
        <v>Complete</v>
      </c>
      <c r="K9428">
        <f>COUNTIFS(RawData[Item], B9428,RawData[Quantity],C9428,RawData[Price Per Unit],D9428,RawData[Total Spent],E9428,RawData[Payment Method],F9428,RawData[Location],G9428,RawData[Transaction Date],H9428)</f>
        <v>1</v>
      </c>
      <c r="L9428"/>
    </row>
    <row r="9429" spans="1:12" x14ac:dyDescent="0.3">
      <c r="A9429" t="s">
        <v>9435</v>
      </c>
      <c r="B9429" t="s">
        <v>10069</v>
      </c>
      <c r="C9429">
        <v>4</v>
      </c>
      <c r="D9429">
        <v>3</v>
      </c>
      <c r="E9429">
        <v>12</v>
      </c>
      <c r="F9429" t="s">
        <v>10020</v>
      </c>
      <c r="G9429" t="s">
        <v>10069</v>
      </c>
      <c r="H9429" s="6">
        <v>44953</v>
      </c>
      <c r="I9429">
        <f t="shared" si="294"/>
        <v>0</v>
      </c>
      <c r="J9429" t="str">
        <f t="shared" si="295"/>
        <v>Complete</v>
      </c>
      <c r="K9429">
        <f>COUNTIFS(RawData[Item], B9429,RawData[Quantity],C9429,RawData[Price Per Unit],D9429,RawData[Total Spent],E9429,RawData[Payment Method],F9429,RawData[Location],G9429,RawData[Transaction Date],H9429)</f>
        <v>1</v>
      </c>
      <c r="L9429"/>
    </row>
    <row r="9430" spans="1:12" x14ac:dyDescent="0.3">
      <c r="A9430" t="s">
        <v>9436</v>
      </c>
      <c r="B9430" t="s">
        <v>10017</v>
      </c>
      <c r="C9430">
        <v>1</v>
      </c>
      <c r="D9430">
        <v>1.5</v>
      </c>
      <c r="E9430">
        <v>1.5</v>
      </c>
      <c r="F9430" t="s">
        <v>10018</v>
      </c>
      <c r="G9430" t="s">
        <v>10021</v>
      </c>
      <c r="H9430" s="6" t="s">
        <v>10112</v>
      </c>
      <c r="I9430">
        <f t="shared" si="294"/>
        <v>1</v>
      </c>
      <c r="J9430" t="str">
        <f t="shared" si="295"/>
        <v>Incomplete</v>
      </c>
      <c r="K9430">
        <f>COUNTIFS(RawData[Item], B9430,RawData[Quantity],C9430,RawData[Price Per Unit],D9430,RawData[Total Spent],E9430,RawData[Payment Method],F9430,RawData[Location],G9430,RawData[Transaction Date],H9430)</f>
        <v>1</v>
      </c>
      <c r="L9430"/>
    </row>
    <row r="9431" spans="1:12" x14ac:dyDescent="0.3">
      <c r="A9431" t="s">
        <v>9437</v>
      </c>
      <c r="B9431" t="s">
        <v>10011</v>
      </c>
      <c r="C9431">
        <v>1</v>
      </c>
      <c r="D9431">
        <v>5</v>
      </c>
      <c r="E9431">
        <v>5</v>
      </c>
      <c r="F9431" t="s">
        <v>10018</v>
      </c>
      <c r="G9431" t="s">
        <v>10104</v>
      </c>
      <c r="H9431" s="6">
        <v>45188</v>
      </c>
      <c r="I9431">
        <f t="shared" si="294"/>
        <v>1</v>
      </c>
      <c r="J9431" t="str">
        <f t="shared" si="295"/>
        <v>Complete</v>
      </c>
      <c r="K9431">
        <f>COUNTIFS(RawData[Item], B9431,RawData[Quantity],C9431,RawData[Price Per Unit],D9431,RawData[Total Spent],E9431,RawData[Payment Method],F9431,RawData[Location],G9431,RawData[Transaction Date],H9431)</f>
        <v>1</v>
      </c>
      <c r="L9431"/>
    </row>
    <row r="9432" spans="1:12" x14ac:dyDescent="0.3">
      <c r="A9432" t="s">
        <v>9438</v>
      </c>
      <c r="B9432" t="s">
        <v>10014</v>
      </c>
      <c r="C9432">
        <v>2</v>
      </c>
      <c r="D9432">
        <v>4</v>
      </c>
      <c r="E9432">
        <v>8</v>
      </c>
      <c r="F9432" t="s">
        <v>10018</v>
      </c>
      <c r="G9432" t="s">
        <v>10069</v>
      </c>
      <c r="H9432" s="6">
        <v>45162</v>
      </c>
      <c r="I9432">
        <f t="shared" si="294"/>
        <v>0</v>
      </c>
      <c r="J9432" t="str">
        <f t="shared" si="295"/>
        <v>Complete</v>
      </c>
      <c r="K9432">
        <f>COUNTIFS(RawData[Item], B9432,RawData[Quantity],C9432,RawData[Price Per Unit],D9432,RawData[Total Spent],E9432,RawData[Payment Method],F9432,RawData[Location],G9432,RawData[Transaction Date],H9432)</f>
        <v>1</v>
      </c>
      <c r="L9432"/>
    </row>
    <row r="9433" spans="1:12" x14ac:dyDescent="0.3">
      <c r="A9433" t="s">
        <v>9439</v>
      </c>
      <c r="B9433" t="s">
        <v>10011</v>
      </c>
      <c r="C9433">
        <v>1</v>
      </c>
      <c r="D9433">
        <v>5</v>
      </c>
      <c r="E9433">
        <v>5</v>
      </c>
      <c r="F9433" t="s">
        <v>10020</v>
      </c>
      <c r="G9433" t="s">
        <v>10104</v>
      </c>
      <c r="H9433" s="6">
        <v>45010</v>
      </c>
      <c r="I9433">
        <f t="shared" si="294"/>
        <v>1</v>
      </c>
      <c r="J9433" t="str">
        <f t="shared" si="295"/>
        <v>Complete</v>
      </c>
      <c r="K9433">
        <f>COUNTIFS(RawData[Item], B9433,RawData[Quantity],C9433,RawData[Price Per Unit],D9433,RawData[Total Spent],E9433,RawData[Payment Method],F9433,RawData[Location],G9433,RawData[Transaction Date],H9433)</f>
        <v>1</v>
      </c>
      <c r="L9433"/>
    </row>
    <row r="9434" spans="1:12" x14ac:dyDescent="0.3">
      <c r="A9434" t="s">
        <v>9440</v>
      </c>
      <c r="B9434" t="s">
        <v>10008</v>
      </c>
      <c r="C9434">
        <v>4</v>
      </c>
      <c r="D9434">
        <v>2</v>
      </c>
      <c r="E9434">
        <v>8</v>
      </c>
      <c r="F9434" t="s">
        <v>10069</v>
      </c>
      <c r="G9434" t="s">
        <v>10104</v>
      </c>
      <c r="H9434" s="6">
        <v>44939</v>
      </c>
      <c r="I9434">
        <f t="shared" si="294"/>
        <v>1</v>
      </c>
      <c r="J9434" t="str">
        <f t="shared" si="295"/>
        <v>Complete</v>
      </c>
      <c r="K9434">
        <f>COUNTIFS(RawData[Item], B9434,RawData[Quantity],C9434,RawData[Price Per Unit],D9434,RawData[Total Spent],E9434,RawData[Payment Method],F9434,RawData[Location],G9434,RawData[Transaction Date],H9434)</f>
        <v>1</v>
      </c>
      <c r="L9434"/>
    </row>
    <row r="9435" spans="1:12" x14ac:dyDescent="0.3">
      <c r="A9435" t="s">
        <v>9441</v>
      </c>
      <c r="B9435" t="s">
        <v>10017</v>
      </c>
      <c r="C9435">
        <v>5</v>
      </c>
      <c r="D9435">
        <v>1.5</v>
      </c>
      <c r="E9435">
        <v>7.5</v>
      </c>
      <c r="F9435" t="s">
        <v>10018</v>
      </c>
      <c r="G9435" t="s">
        <v>10102</v>
      </c>
      <c r="H9435" s="6">
        <v>45124</v>
      </c>
      <c r="I9435">
        <f t="shared" si="294"/>
        <v>0</v>
      </c>
      <c r="J9435" t="str">
        <f t="shared" si="295"/>
        <v>Complete</v>
      </c>
      <c r="K9435">
        <f>COUNTIFS(RawData[Item], B9435,RawData[Quantity],C9435,RawData[Price Per Unit],D9435,RawData[Total Spent],E9435,RawData[Payment Method],F9435,RawData[Location],G9435,RawData[Transaction Date],H9435)</f>
        <v>1</v>
      </c>
      <c r="L9435"/>
    </row>
    <row r="9436" spans="1:12" x14ac:dyDescent="0.3">
      <c r="A9436" t="s">
        <v>9442</v>
      </c>
      <c r="B9436" t="s">
        <v>10009</v>
      </c>
      <c r="C9436">
        <v>4</v>
      </c>
      <c r="D9436">
        <v>3</v>
      </c>
      <c r="E9436">
        <v>12</v>
      </c>
      <c r="F9436" t="s">
        <v>10020</v>
      </c>
      <c r="G9436" t="s">
        <v>10021</v>
      </c>
      <c r="H9436" s="6">
        <v>45221</v>
      </c>
      <c r="I9436">
        <f t="shared" si="294"/>
        <v>0</v>
      </c>
      <c r="J9436" t="str">
        <f t="shared" si="295"/>
        <v>Complete</v>
      </c>
      <c r="K9436">
        <f>COUNTIFS(RawData[Item], B9436,RawData[Quantity],C9436,RawData[Price Per Unit],D9436,RawData[Total Spent],E9436,RawData[Payment Method],F9436,RawData[Location],G9436,RawData[Transaction Date],H9436)</f>
        <v>1</v>
      </c>
      <c r="L9436"/>
    </row>
    <row r="9437" spans="1:12" x14ac:dyDescent="0.3">
      <c r="A9437" t="s">
        <v>9443</v>
      </c>
      <c r="B9437" t="s">
        <v>10010</v>
      </c>
      <c r="C9437">
        <v>5</v>
      </c>
      <c r="D9437">
        <v>1</v>
      </c>
      <c r="E9437">
        <v>5</v>
      </c>
      <c r="F9437" t="s">
        <v>10018</v>
      </c>
      <c r="G9437" t="s">
        <v>10102</v>
      </c>
      <c r="H9437" s="6">
        <v>45259</v>
      </c>
      <c r="I9437">
        <f t="shared" si="294"/>
        <v>0</v>
      </c>
      <c r="J9437" t="str">
        <f t="shared" si="295"/>
        <v>Complete</v>
      </c>
      <c r="K9437">
        <f>COUNTIFS(RawData[Item], B9437,RawData[Quantity],C9437,RawData[Price Per Unit],D9437,RawData[Total Spent],E9437,RawData[Payment Method],F9437,RawData[Location],G9437,RawData[Transaction Date],H9437)</f>
        <v>1</v>
      </c>
      <c r="L9437"/>
    </row>
    <row r="9438" spans="1:12" x14ac:dyDescent="0.3">
      <c r="A9438" t="s">
        <v>9444</v>
      </c>
      <c r="B9438" t="s">
        <v>10017</v>
      </c>
      <c r="C9438">
        <v>4</v>
      </c>
      <c r="D9438">
        <v>1.5</v>
      </c>
      <c r="E9438">
        <v>6</v>
      </c>
      <c r="F9438" t="s">
        <v>10020</v>
      </c>
      <c r="G9438" t="s">
        <v>10102</v>
      </c>
      <c r="H9438" s="6">
        <v>44932</v>
      </c>
      <c r="I9438">
        <f t="shared" si="294"/>
        <v>0</v>
      </c>
      <c r="J9438" t="str">
        <f t="shared" si="295"/>
        <v>Complete</v>
      </c>
      <c r="K9438">
        <f>COUNTIFS(RawData[Item], B9438,RawData[Quantity],C9438,RawData[Price Per Unit],D9438,RawData[Total Spent],E9438,RawData[Payment Method],F9438,RawData[Location],G9438,RawData[Transaction Date],H9438)</f>
        <v>1</v>
      </c>
      <c r="L9438"/>
    </row>
    <row r="9439" spans="1:12" x14ac:dyDescent="0.3">
      <c r="A9439" t="s">
        <v>9445</v>
      </c>
      <c r="B9439" t="s">
        <v>10016</v>
      </c>
      <c r="C9439">
        <v>2</v>
      </c>
      <c r="D9439" t="s">
        <v>10015</v>
      </c>
      <c r="E9439">
        <v>6</v>
      </c>
      <c r="F9439" t="s">
        <v>10104</v>
      </c>
      <c r="G9439" t="s">
        <v>10069</v>
      </c>
      <c r="H9439" s="6">
        <v>45246</v>
      </c>
      <c r="I9439">
        <f t="shared" si="294"/>
        <v>2</v>
      </c>
      <c r="J9439" t="str">
        <f t="shared" si="295"/>
        <v>Complete</v>
      </c>
      <c r="K9439">
        <f>COUNTIFS(RawData[Item], B9439,RawData[Quantity],C9439,RawData[Price Per Unit],D9439,RawData[Total Spent],E9439,RawData[Payment Method],F9439,RawData[Location],G9439,RawData[Transaction Date],H9439)</f>
        <v>1</v>
      </c>
      <c r="L9439"/>
    </row>
    <row r="9440" spans="1:12" x14ac:dyDescent="0.3">
      <c r="A9440" t="s">
        <v>9446</v>
      </c>
      <c r="B9440" t="s">
        <v>10017</v>
      </c>
      <c r="C9440">
        <v>1</v>
      </c>
      <c r="D9440">
        <v>1.5</v>
      </c>
      <c r="E9440">
        <v>1.5</v>
      </c>
      <c r="F9440" t="s">
        <v>10020</v>
      </c>
      <c r="G9440" t="s">
        <v>10102</v>
      </c>
      <c r="H9440" s="6">
        <v>45122</v>
      </c>
      <c r="I9440">
        <f t="shared" si="294"/>
        <v>0</v>
      </c>
      <c r="J9440" t="str">
        <f t="shared" si="295"/>
        <v>Complete</v>
      </c>
      <c r="K9440">
        <f>COUNTIFS(RawData[Item], B9440,RawData[Quantity],C9440,RawData[Price Per Unit],D9440,RawData[Total Spent],E9440,RawData[Payment Method],F9440,RawData[Location],G9440,RawData[Transaction Date],H9440)</f>
        <v>1</v>
      </c>
      <c r="L9440"/>
    </row>
    <row r="9441" spans="1:12" x14ac:dyDescent="0.3">
      <c r="A9441" t="s">
        <v>9447</v>
      </c>
      <c r="B9441" t="s">
        <v>10014</v>
      </c>
      <c r="C9441">
        <v>3</v>
      </c>
      <c r="D9441">
        <v>4</v>
      </c>
      <c r="E9441">
        <v>12</v>
      </c>
      <c r="F9441" t="s">
        <v>10020</v>
      </c>
      <c r="G9441" t="s">
        <v>10102</v>
      </c>
      <c r="H9441" s="6">
        <v>45203</v>
      </c>
      <c r="I9441">
        <f t="shared" si="294"/>
        <v>0</v>
      </c>
      <c r="J9441" t="str">
        <f t="shared" si="295"/>
        <v>Complete</v>
      </c>
      <c r="K9441">
        <f>COUNTIFS(RawData[Item], B9441,RawData[Quantity],C9441,RawData[Price Per Unit],D9441,RawData[Total Spent],E9441,RawData[Payment Method],F9441,RawData[Location],G9441,RawData[Transaction Date],H9441)</f>
        <v>1</v>
      </c>
      <c r="L9441"/>
    </row>
    <row r="9442" spans="1:12" x14ac:dyDescent="0.3">
      <c r="A9442" t="s">
        <v>9448</v>
      </c>
      <c r="B9442" t="s">
        <v>10012</v>
      </c>
      <c r="C9442">
        <v>4</v>
      </c>
      <c r="D9442">
        <v>4</v>
      </c>
      <c r="E9442">
        <v>16</v>
      </c>
      <c r="F9442" t="s">
        <v>10018</v>
      </c>
      <c r="G9442" t="s">
        <v>10069</v>
      </c>
      <c r="H9442" s="6">
        <v>45175</v>
      </c>
      <c r="I9442">
        <f t="shared" si="294"/>
        <v>0</v>
      </c>
      <c r="J9442" t="str">
        <f t="shared" si="295"/>
        <v>Complete</v>
      </c>
      <c r="K9442">
        <f>COUNTIFS(RawData[Item], B9442,RawData[Quantity],C9442,RawData[Price Per Unit],D9442,RawData[Total Spent],E9442,RawData[Payment Method],F9442,RawData[Location],G9442,RawData[Transaction Date],H9442)</f>
        <v>1</v>
      </c>
      <c r="L9442"/>
    </row>
    <row r="9443" spans="1:12" x14ac:dyDescent="0.3">
      <c r="A9443" t="s">
        <v>9449</v>
      </c>
      <c r="B9443" t="s">
        <v>10010</v>
      </c>
      <c r="C9443">
        <v>2</v>
      </c>
      <c r="D9443">
        <v>1</v>
      </c>
      <c r="E9443">
        <v>2</v>
      </c>
      <c r="F9443" t="s">
        <v>10069</v>
      </c>
      <c r="G9443" t="s">
        <v>10069</v>
      </c>
      <c r="H9443" s="6">
        <v>45152</v>
      </c>
      <c r="I9443">
        <f t="shared" si="294"/>
        <v>0</v>
      </c>
      <c r="J9443" t="str">
        <f t="shared" si="295"/>
        <v>Complete</v>
      </c>
      <c r="K9443">
        <f>COUNTIFS(RawData[Item], B9443,RawData[Quantity],C9443,RawData[Price Per Unit],D9443,RawData[Total Spent],E9443,RawData[Payment Method],F9443,RawData[Location],G9443,RawData[Transaction Date],H9443)</f>
        <v>1</v>
      </c>
      <c r="L9443"/>
    </row>
    <row r="9444" spans="1:12" x14ac:dyDescent="0.3">
      <c r="A9444" t="s">
        <v>9450</v>
      </c>
      <c r="B9444" t="s">
        <v>10017</v>
      </c>
      <c r="C9444">
        <v>5</v>
      </c>
      <c r="D9444">
        <v>1.5</v>
      </c>
      <c r="E9444">
        <v>7.5</v>
      </c>
      <c r="F9444" t="s">
        <v>10069</v>
      </c>
      <c r="G9444" t="s">
        <v>10069</v>
      </c>
      <c r="H9444" s="6">
        <v>45127</v>
      </c>
      <c r="I9444">
        <f t="shared" si="294"/>
        <v>0</v>
      </c>
      <c r="J9444" t="str">
        <f t="shared" si="295"/>
        <v>Complete</v>
      </c>
      <c r="K9444">
        <f>COUNTIFS(RawData[Item], B9444,RawData[Quantity],C9444,RawData[Price Per Unit],D9444,RawData[Total Spent],E9444,RawData[Payment Method],F9444,RawData[Location],G9444,RawData[Transaction Date],H9444)</f>
        <v>1</v>
      </c>
      <c r="L9444"/>
    </row>
    <row r="9445" spans="1:12" x14ac:dyDescent="0.3">
      <c r="A9445" t="s">
        <v>9451</v>
      </c>
      <c r="B9445" t="s">
        <v>10011</v>
      </c>
      <c r="C9445" t="s">
        <v>10013</v>
      </c>
      <c r="D9445">
        <v>5</v>
      </c>
      <c r="E9445">
        <v>5</v>
      </c>
      <c r="F9445" t="s">
        <v>10069</v>
      </c>
      <c r="G9445" t="s">
        <v>10069</v>
      </c>
      <c r="H9445" s="6">
        <v>45029</v>
      </c>
      <c r="I9445">
        <f t="shared" si="294"/>
        <v>1</v>
      </c>
      <c r="J9445" t="str">
        <f t="shared" si="295"/>
        <v>Complete</v>
      </c>
      <c r="K9445">
        <f>COUNTIFS(RawData[Item], B9445,RawData[Quantity],C9445,RawData[Price Per Unit],D9445,RawData[Total Spent],E9445,RawData[Payment Method],F9445,RawData[Location],G9445,RawData[Transaction Date],H9445)</f>
        <v>1</v>
      </c>
      <c r="L9445"/>
    </row>
    <row r="9446" spans="1:12" x14ac:dyDescent="0.3">
      <c r="A9446" t="s">
        <v>9452</v>
      </c>
      <c r="B9446" t="s">
        <v>10012</v>
      </c>
      <c r="C9446">
        <v>4</v>
      </c>
      <c r="D9446">
        <v>4</v>
      </c>
      <c r="E9446">
        <v>16</v>
      </c>
      <c r="F9446" t="s">
        <v>10019</v>
      </c>
      <c r="G9446" t="s">
        <v>10069</v>
      </c>
      <c r="H9446" s="6">
        <v>45181</v>
      </c>
      <c r="I9446">
        <f t="shared" si="294"/>
        <v>0</v>
      </c>
      <c r="J9446" t="str">
        <f t="shared" si="295"/>
        <v>Complete</v>
      </c>
      <c r="K9446">
        <f>COUNTIFS(RawData[Item], B9446,RawData[Quantity],C9446,RawData[Price Per Unit],D9446,RawData[Total Spent],E9446,RawData[Payment Method],F9446,RawData[Location],G9446,RawData[Transaction Date],H9446)</f>
        <v>1</v>
      </c>
      <c r="L9446"/>
    </row>
    <row r="9447" spans="1:12" x14ac:dyDescent="0.3">
      <c r="A9447" t="s">
        <v>9453</v>
      </c>
      <c r="B9447" t="s">
        <v>10012</v>
      </c>
      <c r="C9447">
        <v>1</v>
      </c>
      <c r="D9447">
        <v>4</v>
      </c>
      <c r="E9447">
        <v>4</v>
      </c>
      <c r="F9447" t="s">
        <v>10069</v>
      </c>
      <c r="G9447" t="s">
        <v>10021</v>
      </c>
      <c r="H9447" s="6">
        <v>44981</v>
      </c>
      <c r="I9447">
        <f t="shared" si="294"/>
        <v>0</v>
      </c>
      <c r="J9447" t="str">
        <f t="shared" si="295"/>
        <v>Complete</v>
      </c>
      <c r="K9447">
        <f>COUNTIFS(RawData[Item], B9447,RawData[Quantity],C9447,RawData[Price Per Unit],D9447,RawData[Total Spent],E9447,RawData[Payment Method],F9447,RawData[Location],G9447,RawData[Transaction Date],H9447)</f>
        <v>1</v>
      </c>
      <c r="L9447"/>
    </row>
    <row r="9448" spans="1:12" x14ac:dyDescent="0.3">
      <c r="A9448" t="s">
        <v>9454</v>
      </c>
      <c r="B9448" t="s">
        <v>10010</v>
      </c>
      <c r="C9448">
        <v>1</v>
      </c>
      <c r="D9448">
        <v>1</v>
      </c>
      <c r="E9448">
        <v>0</v>
      </c>
      <c r="F9448" t="s">
        <v>10019</v>
      </c>
      <c r="G9448" t="s">
        <v>10103</v>
      </c>
      <c r="H9448" s="6">
        <v>45036</v>
      </c>
      <c r="I9448">
        <f t="shared" si="294"/>
        <v>1</v>
      </c>
      <c r="J9448" t="str">
        <f t="shared" si="295"/>
        <v>Complete</v>
      </c>
      <c r="K9448">
        <f>COUNTIFS(RawData[Item], B9448,RawData[Quantity],C9448,RawData[Price Per Unit],D9448,RawData[Total Spent],E9448,RawData[Payment Method],F9448,RawData[Location],G9448,RawData[Transaction Date],H9448)</f>
        <v>1</v>
      </c>
      <c r="L9448"/>
    </row>
    <row r="9449" spans="1:12" x14ac:dyDescent="0.3">
      <c r="A9449" t="s">
        <v>9455</v>
      </c>
      <c r="B9449" t="s">
        <v>10014</v>
      </c>
      <c r="C9449">
        <v>4</v>
      </c>
      <c r="D9449">
        <v>4</v>
      </c>
      <c r="E9449">
        <v>16</v>
      </c>
      <c r="F9449" t="s">
        <v>10019</v>
      </c>
      <c r="G9449" t="s">
        <v>10069</v>
      </c>
      <c r="H9449" s="6">
        <v>45166</v>
      </c>
      <c r="I9449">
        <f t="shared" si="294"/>
        <v>0</v>
      </c>
      <c r="J9449" t="str">
        <f t="shared" si="295"/>
        <v>Complete</v>
      </c>
      <c r="K9449">
        <f>COUNTIFS(RawData[Item], B9449,RawData[Quantity],C9449,RawData[Price Per Unit],D9449,RawData[Total Spent],E9449,RawData[Payment Method],F9449,RawData[Location],G9449,RawData[Transaction Date],H9449)</f>
        <v>1</v>
      </c>
      <c r="L9449"/>
    </row>
    <row r="9450" spans="1:12" x14ac:dyDescent="0.3">
      <c r="A9450" t="s">
        <v>9456</v>
      </c>
      <c r="B9450" t="s">
        <v>10009</v>
      </c>
      <c r="C9450">
        <v>3</v>
      </c>
      <c r="D9450">
        <v>3</v>
      </c>
      <c r="E9450">
        <v>9</v>
      </c>
      <c r="F9450" t="s">
        <v>10069</v>
      </c>
      <c r="G9450" t="s">
        <v>10069</v>
      </c>
      <c r="H9450" s="6">
        <v>44964</v>
      </c>
      <c r="I9450">
        <f t="shared" si="294"/>
        <v>0</v>
      </c>
      <c r="J9450" t="str">
        <f t="shared" si="295"/>
        <v>Complete</v>
      </c>
      <c r="K9450">
        <f>COUNTIFS(RawData[Item], B9450,RawData[Quantity],C9450,RawData[Price Per Unit],D9450,RawData[Total Spent],E9450,RawData[Payment Method],F9450,RawData[Location],G9450,RawData[Transaction Date],H9450)</f>
        <v>1</v>
      </c>
      <c r="L9450"/>
    </row>
    <row r="9451" spans="1:12" x14ac:dyDescent="0.3">
      <c r="A9451" t="s">
        <v>9457</v>
      </c>
      <c r="B9451" t="s">
        <v>10011</v>
      </c>
      <c r="C9451">
        <v>4</v>
      </c>
      <c r="D9451">
        <v>5</v>
      </c>
      <c r="E9451">
        <v>20</v>
      </c>
      <c r="F9451" t="s">
        <v>10019</v>
      </c>
      <c r="G9451" t="s">
        <v>10069</v>
      </c>
      <c r="H9451" s="6">
        <v>45128</v>
      </c>
      <c r="I9451">
        <f t="shared" si="294"/>
        <v>0</v>
      </c>
      <c r="J9451" t="str">
        <f t="shared" si="295"/>
        <v>Complete</v>
      </c>
      <c r="K9451">
        <f>COUNTIFS(RawData[Item], B9451,RawData[Quantity],C9451,RawData[Price Per Unit],D9451,RawData[Total Spent],E9451,RawData[Payment Method],F9451,RawData[Location],G9451,RawData[Transaction Date],H9451)</f>
        <v>1</v>
      </c>
      <c r="L9451"/>
    </row>
    <row r="9452" spans="1:12" x14ac:dyDescent="0.3">
      <c r="A9452" t="s">
        <v>9458</v>
      </c>
      <c r="B9452" t="s">
        <v>10008</v>
      </c>
      <c r="C9452">
        <v>3</v>
      </c>
      <c r="D9452">
        <v>2</v>
      </c>
      <c r="E9452">
        <v>6</v>
      </c>
      <c r="F9452" t="s">
        <v>10069</v>
      </c>
      <c r="G9452" t="s">
        <v>10069</v>
      </c>
      <c r="H9452" s="6">
        <v>45067</v>
      </c>
      <c r="I9452">
        <f t="shared" si="294"/>
        <v>0</v>
      </c>
      <c r="J9452" t="str">
        <f t="shared" si="295"/>
        <v>Complete</v>
      </c>
      <c r="K9452">
        <f>COUNTIFS(RawData[Item], B9452,RawData[Quantity],C9452,RawData[Price Per Unit],D9452,RawData[Total Spent],E9452,RawData[Payment Method],F9452,RawData[Location],G9452,RawData[Transaction Date],H9452)</f>
        <v>1</v>
      </c>
      <c r="L9452"/>
    </row>
    <row r="9453" spans="1:12" x14ac:dyDescent="0.3">
      <c r="A9453" t="s">
        <v>9459</v>
      </c>
      <c r="B9453" t="s">
        <v>10014</v>
      </c>
      <c r="C9453">
        <v>1</v>
      </c>
      <c r="D9453">
        <v>4</v>
      </c>
      <c r="E9453">
        <v>0</v>
      </c>
      <c r="F9453" t="s">
        <v>10069</v>
      </c>
      <c r="G9453" t="s">
        <v>10021</v>
      </c>
      <c r="H9453" s="6" t="s">
        <v>10112</v>
      </c>
      <c r="I9453">
        <f t="shared" si="294"/>
        <v>1</v>
      </c>
      <c r="J9453" t="str">
        <f t="shared" si="295"/>
        <v>Incomplete</v>
      </c>
      <c r="K9453">
        <f>COUNTIFS(RawData[Item], B9453,RawData[Quantity],C9453,RawData[Price Per Unit],D9453,RawData[Total Spent],E9453,RawData[Payment Method],F9453,RawData[Location],G9453,RawData[Transaction Date],H9453)</f>
        <v>1</v>
      </c>
      <c r="L9453"/>
    </row>
    <row r="9454" spans="1:12" x14ac:dyDescent="0.3">
      <c r="A9454" t="s">
        <v>9460</v>
      </c>
      <c r="B9454" t="s">
        <v>10017</v>
      </c>
      <c r="C9454">
        <v>2</v>
      </c>
      <c r="D9454">
        <v>1.5</v>
      </c>
      <c r="E9454">
        <v>3</v>
      </c>
      <c r="F9454" t="s">
        <v>10019</v>
      </c>
      <c r="G9454" t="s">
        <v>10102</v>
      </c>
      <c r="H9454" s="6">
        <v>45240</v>
      </c>
      <c r="I9454">
        <f t="shared" si="294"/>
        <v>0</v>
      </c>
      <c r="J9454" t="str">
        <f t="shared" si="295"/>
        <v>Complete</v>
      </c>
      <c r="K9454">
        <f>COUNTIFS(RawData[Item], B9454,RawData[Quantity],C9454,RawData[Price Per Unit],D9454,RawData[Total Spent],E9454,RawData[Payment Method],F9454,RawData[Location],G9454,RawData[Transaction Date],H9454)</f>
        <v>2</v>
      </c>
      <c r="L9454"/>
    </row>
    <row r="9455" spans="1:12" x14ac:dyDescent="0.3">
      <c r="A9455" t="s">
        <v>9461</v>
      </c>
      <c r="B9455" t="s">
        <v>10012</v>
      </c>
      <c r="C9455">
        <v>1</v>
      </c>
      <c r="D9455">
        <v>4</v>
      </c>
      <c r="E9455">
        <v>4</v>
      </c>
      <c r="F9455" t="s">
        <v>10018</v>
      </c>
      <c r="G9455" t="s">
        <v>10102</v>
      </c>
      <c r="H9455" s="6">
        <v>45278</v>
      </c>
      <c r="I9455">
        <f t="shared" si="294"/>
        <v>0</v>
      </c>
      <c r="J9455" t="str">
        <f t="shared" si="295"/>
        <v>Complete</v>
      </c>
      <c r="K9455">
        <f>COUNTIFS(RawData[Item], B9455,RawData[Quantity],C9455,RawData[Price Per Unit],D9455,RawData[Total Spent],E9455,RawData[Payment Method],F9455,RawData[Location],G9455,RawData[Transaction Date],H9455)</f>
        <v>1</v>
      </c>
      <c r="L9455"/>
    </row>
    <row r="9456" spans="1:12" x14ac:dyDescent="0.3">
      <c r="A9456" t="s">
        <v>9462</v>
      </c>
      <c r="B9456" t="s">
        <v>10015</v>
      </c>
      <c r="C9456">
        <v>4</v>
      </c>
      <c r="D9456" t="s">
        <v>10015</v>
      </c>
      <c r="E9456">
        <v>6</v>
      </c>
      <c r="F9456" t="s">
        <v>10019</v>
      </c>
      <c r="G9456" t="s">
        <v>10069</v>
      </c>
      <c r="H9456" s="6" t="s">
        <v>10112</v>
      </c>
      <c r="I9456">
        <f t="shared" si="294"/>
        <v>3</v>
      </c>
      <c r="J9456" t="str">
        <f t="shared" si="295"/>
        <v>Incomplete</v>
      </c>
      <c r="K9456">
        <f>COUNTIFS(RawData[Item], B9456,RawData[Quantity],C9456,RawData[Price Per Unit],D9456,RawData[Total Spent],E9456,RawData[Payment Method],F9456,RawData[Location],G9456,RawData[Transaction Date],H9456)</f>
        <v>1</v>
      </c>
      <c r="L9456"/>
    </row>
    <row r="9457" spans="1:12" x14ac:dyDescent="0.3">
      <c r="A9457" t="s">
        <v>9463</v>
      </c>
      <c r="B9457" t="s">
        <v>10010</v>
      </c>
      <c r="C9457">
        <v>2</v>
      </c>
      <c r="D9457">
        <v>1</v>
      </c>
      <c r="E9457">
        <v>2</v>
      </c>
      <c r="F9457" t="s">
        <v>10019</v>
      </c>
      <c r="G9457" t="s">
        <v>10069</v>
      </c>
      <c r="H9457" s="6">
        <v>45052</v>
      </c>
      <c r="I9457">
        <f t="shared" si="294"/>
        <v>0</v>
      </c>
      <c r="J9457" t="str">
        <f t="shared" si="295"/>
        <v>Complete</v>
      </c>
      <c r="K9457">
        <f>COUNTIFS(RawData[Item], B9457,RawData[Quantity],C9457,RawData[Price Per Unit],D9457,RawData[Total Spent],E9457,RawData[Payment Method],F9457,RawData[Location],G9457,RawData[Transaction Date],H9457)</f>
        <v>1</v>
      </c>
      <c r="L9457"/>
    </row>
    <row r="9458" spans="1:12" x14ac:dyDescent="0.3">
      <c r="A9458" t="s">
        <v>9464</v>
      </c>
      <c r="B9458" t="s">
        <v>10012</v>
      </c>
      <c r="C9458">
        <v>5</v>
      </c>
      <c r="D9458">
        <v>4</v>
      </c>
      <c r="E9458">
        <v>20</v>
      </c>
      <c r="F9458" t="s">
        <v>10019</v>
      </c>
      <c r="G9458" t="s">
        <v>10102</v>
      </c>
      <c r="H9458" s="6">
        <v>45015</v>
      </c>
      <c r="I9458">
        <f t="shared" si="294"/>
        <v>0</v>
      </c>
      <c r="J9458" t="str">
        <f t="shared" si="295"/>
        <v>Complete</v>
      </c>
      <c r="K9458">
        <f>COUNTIFS(RawData[Item], B9458,RawData[Quantity],C9458,RawData[Price Per Unit],D9458,RawData[Total Spent],E9458,RawData[Payment Method],F9458,RawData[Location],G9458,RawData[Transaction Date],H9458)</f>
        <v>1</v>
      </c>
      <c r="L9458"/>
    </row>
    <row r="9459" spans="1:12" x14ac:dyDescent="0.3">
      <c r="A9459" t="s">
        <v>9465</v>
      </c>
      <c r="B9459" t="s">
        <v>10016</v>
      </c>
      <c r="C9459">
        <v>4</v>
      </c>
      <c r="D9459" t="s">
        <v>10015</v>
      </c>
      <c r="E9459">
        <v>12</v>
      </c>
      <c r="F9459" t="s">
        <v>10069</v>
      </c>
      <c r="G9459" t="s">
        <v>10069</v>
      </c>
      <c r="H9459" s="6" t="s">
        <v>10112</v>
      </c>
      <c r="I9459">
        <f t="shared" si="294"/>
        <v>2</v>
      </c>
      <c r="J9459" t="str">
        <f t="shared" si="295"/>
        <v>Incomplete</v>
      </c>
      <c r="K9459">
        <f>COUNTIFS(RawData[Item], B9459,RawData[Quantity],C9459,RawData[Price Per Unit],D9459,RawData[Total Spent],E9459,RawData[Payment Method],F9459,RawData[Location],G9459,RawData[Transaction Date],H9459)</f>
        <v>1</v>
      </c>
      <c r="L9459"/>
    </row>
    <row r="9460" spans="1:12" x14ac:dyDescent="0.3">
      <c r="A9460" t="s">
        <v>9466</v>
      </c>
      <c r="B9460" t="s">
        <v>10010</v>
      </c>
      <c r="C9460">
        <v>5</v>
      </c>
      <c r="D9460">
        <v>1</v>
      </c>
      <c r="E9460">
        <v>5</v>
      </c>
      <c r="F9460" t="s">
        <v>10020</v>
      </c>
      <c r="G9460" t="s">
        <v>10069</v>
      </c>
      <c r="H9460" s="6">
        <v>45193</v>
      </c>
      <c r="I9460">
        <f t="shared" si="294"/>
        <v>0</v>
      </c>
      <c r="J9460" t="str">
        <f t="shared" si="295"/>
        <v>Complete</v>
      </c>
      <c r="K9460">
        <f>COUNTIFS(RawData[Item], B9460,RawData[Quantity],C9460,RawData[Price Per Unit],D9460,RawData[Total Spent],E9460,RawData[Payment Method],F9460,RawData[Location],G9460,RawData[Transaction Date],H9460)</f>
        <v>1</v>
      </c>
      <c r="L9460"/>
    </row>
    <row r="9461" spans="1:12" x14ac:dyDescent="0.3">
      <c r="A9461" t="s">
        <v>9467</v>
      </c>
      <c r="B9461" t="s">
        <v>10016</v>
      </c>
      <c r="C9461">
        <v>2</v>
      </c>
      <c r="D9461">
        <v>3</v>
      </c>
      <c r="E9461">
        <v>6</v>
      </c>
      <c r="F9461" t="s">
        <v>10020</v>
      </c>
      <c r="G9461" t="s">
        <v>10102</v>
      </c>
      <c r="H9461" s="6">
        <v>45029</v>
      </c>
      <c r="I9461">
        <f t="shared" si="294"/>
        <v>0</v>
      </c>
      <c r="J9461" t="str">
        <f t="shared" si="295"/>
        <v>Complete</v>
      </c>
      <c r="K9461">
        <f>COUNTIFS(RawData[Item], B9461,RawData[Quantity],C9461,RawData[Price Per Unit],D9461,RawData[Total Spent],E9461,RawData[Payment Method],F9461,RawData[Location],G9461,RawData[Transaction Date],H9461)</f>
        <v>1</v>
      </c>
      <c r="L9461"/>
    </row>
    <row r="9462" spans="1:12" x14ac:dyDescent="0.3">
      <c r="A9462" t="s">
        <v>9468</v>
      </c>
      <c r="B9462" t="s">
        <v>10013</v>
      </c>
      <c r="C9462">
        <v>3</v>
      </c>
      <c r="D9462">
        <v>3</v>
      </c>
      <c r="E9462">
        <v>9</v>
      </c>
      <c r="F9462" t="s">
        <v>10018</v>
      </c>
      <c r="G9462" t="s">
        <v>10069</v>
      </c>
      <c r="H9462" s="6">
        <v>45162</v>
      </c>
      <c r="I9462">
        <f t="shared" si="294"/>
        <v>1</v>
      </c>
      <c r="J9462" t="str">
        <f t="shared" si="295"/>
        <v>Complete</v>
      </c>
      <c r="K9462">
        <f>COUNTIFS(RawData[Item], B9462,RawData[Quantity],C9462,RawData[Price Per Unit],D9462,RawData[Total Spent],E9462,RawData[Payment Method],F9462,RawData[Location],G9462,RawData[Transaction Date],H9462)</f>
        <v>1</v>
      </c>
      <c r="L9462"/>
    </row>
    <row r="9463" spans="1:12" x14ac:dyDescent="0.3">
      <c r="A9463" t="s">
        <v>9469</v>
      </c>
      <c r="B9463" t="s">
        <v>10069</v>
      </c>
      <c r="C9463">
        <v>4</v>
      </c>
      <c r="D9463">
        <v>4</v>
      </c>
      <c r="E9463">
        <v>16</v>
      </c>
      <c r="F9463" t="s">
        <v>10018</v>
      </c>
      <c r="G9463" t="s">
        <v>10102</v>
      </c>
      <c r="H9463" s="6">
        <v>45177</v>
      </c>
      <c r="I9463">
        <f t="shared" si="294"/>
        <v>0</v>
      </c>
      <c r="J9463" t="str">
        <f t="shared" si="295"/>
        <v>Complete</v>
      </c>
      <c r="K9463">
        <f>COUNTIFS(RawData[Item], B9463,RawData[Quantity],C9463,RawData[Price Per Unit],D9463,RawData[Total Spent],E9463,RawData[Payment Method],F9463,RawData[Location],G9463,RawData[Transaction Date],H9463)</f>
        <v>1</v>
      </c>
      <c r="L9463"/>
    </row>
    <row r="9464" spans="1:12" x14ac:dyDescent="0.3">
      <c r="A9464" t="s">
        <v>9470</v>
      </c>
      <c r="B9464" t="s">
        <v>10017</v>
      </c>
      <c r="C9464">
        <v>3</v>
      </c>
      <c r="D9464">
        <v>1.5</v>
      </c>
      <c r="E9464">
        <v>4.5</v>
      </c>
      <c r="F9464" t="s">
        <v>10069</v>
      </c>
      <c r="G9464" t="s">
        <v>10102</v>
      </c>
      <c r="H9464" s="6">
        <v>45189</v>
      </c>
      <c r="I9464">
        <f t="shared" si="294"/>
        <v>0</v>
      </c>
      <c r="J9464" t="str">
        <f t="shared" si="295"/>
        <v>Complete</v>
      </c>
      <c r="K9464">
        <f>COUNTIFS(RawData[Item], B9464,RawData[Quantity],C9464,RawData[Price Per Unit],D9464,RawData[Total Spent],E9464,RawData[Payment Method],F9464,RawData[Location],G9464,RawData[Transaction Date],H9464)</f>
        <v>1</v>
      </c>
      <c r="L9464"/>
    </row>
    <row r="9465" spans="1:12" x14ac:dyDescent="0.3">
      <c r="A9465" t="s">
        <v>9471</v>
      </c>
      <c r="B9465" t="s">
        <v>10009</v>
      </c>
      <c r="C9465">
        <v>1</v>
      </c>
      <c r="D9465">
        <v>3</v>
      </c>
      <c r="E9465">
        <v>3</v>
      </c>
      <c r="F9465" t="s">
        <v>10019</v>
      </c>
      <c r="G9465" t="s">
        <v>10069</v>
      </c>
      <c r="H9465" s="6">
        <v>45248</v>
      </c>
      <c r="I9465">
        <f t="shared" si="294"/>
        <v>0</v>
      </c>
      <c r="J9465" t="str">
        <f t="shared" si="295"/>
        <v>Complete</v>
      </c>
      <c r="K9465">
        <f>COUNTIFS(RawData[Item], B9465,RawData[Quantity],C9465,RawData[Price Per Unit],D9465,RawData[Total Spent],E9465,RawData[Payment Method],F9465,RawData[Location],G9465,RawData[Transaction Date],H9465)</f>
        <v>1</v>
      </c>
      <c r="L9465"/>
    </row>
    <row r="9466" spans="1:12" x14ac:dyDescent="0.3">
      <c r="A9466" t="s">
        <v>9472</v>
      </c>
      <c r="B9466" t="s">
        <v>10009</v>
      </c>
      <c r="C9466">
        <v>0</v>
      </c>
      <c r="D9466" t="s">
        <v>10015</v>
      </c>
      <c r="E9466">
        <v>3</v>
      </c>
      <c r="F9466" t="s">
        <v>10019</v>
      </c>
      <c r="G9466" t="s">
        <v>10102</v>
      </c>
      <c r="H9466" s="6">
        <v>45280</v>
      </c>
      <c r="I9466">
        <f t="shared" si="294"/>
        <v>1</v>
      </c>
      <c r="J9466" t="str">
        <f t="shared" si="295"/>
        <v>Complete</v>
      </c>
      <c r="K9466">
        <f>COUNTIFS(RawData[Item], B9466,RawData[Quantity],C9466,RawData[Price Per Unit],D9466,RawData[Total Spent],E9466,RawData[Payment Method],F9466,RawData[Location],G9466,RawData[Transaction Date],H9466)</f>
        <v>1</v>
      </c>
      <c r="L9466"/>
    </row>
    <row r="9467" spans="1:12" x14ac:dyDescent="0.3">
      <c r="A9467" t="s">
        <v>9473</v>
      </c>
      <c r="B9467" t="s">
        <v>10012</v>
      </c>
      <c r="C9467">
        <v>1</v>
      </c>
      <c r="D9467">
        <v>4</v>
      </c>
      <c r="E9467">
        <v>4</v>
      </c>
      <c r="F9467" t="s">
        <v>10018</v>
      </c>
      <c r="G9467" t="s">
        <v>10021</v>
      </c>
      <c r="H9467" s="6">
        <v>44964</v>
      </c>
      <c r="I9467">
        <f t="shared" si="294"/>
        <v>0</v>
      </c>
      <c r="J9467" t="str">
        <f t="shared" si="295"/>
        <v>Complete</v>
      </c>
      <c r="K9467">
        <f>COUNTIFS(RawData[Item], B9467,RawData[Quantity],C9467,RawData[Price Per Unit],D9467,RawData[Total Spent],E9467,RawData[Payment Method],F9467,RawData[Location],G9467,RawData[Transaction Date],H9467)</f>
        <v>1</v>
      </c>
      <c r="L9467"/>
    </row>
    <row r="9468" spans="1:12" x14ac:dyDescent="0.3">
      <c r="A9468" t="s">
        <v>9474</v>
      </c>
      <c r="B9468" t="s">
        <v>10008</v>
      </c>
      <c r="C9468">
        <v>5</v>
      </c>
      <c r="D9468">
        <v>2</v>
      </c>
      <c r="E9468">
        <v>10</v>
      </c>
      <c r="F9468" t="s">
        <v>10069</v>
      </c>
      <c r="G9468" t="s">
        <v>10102</v>
      </c>
      <c r="H9468" s="6">
        <v>44970</v>
      </c>
      <c r="I9468">
        <f t="shared" si="294"/>
        <v>0</v>
      </c>
      <c r="J9468" t="str">
        <f t="shared" si="295"/>
        <v>Complete</v>
      </c>
      <c r="K9468">
        <f>COUNTIFS(RawData[Item], B9468,RawData[Quantity],C9468,RawData[Price Per Unit],D9468,RawData[Total Spent],E9468,RawData[Payment Method],F9468,RawData[Location],G9468,RawData[Transaction Date],H9468)</f>
        <v>1</v>
      </c>
      <c r="L9468"/>
    </row>
    <row r="9469" spans="1:12" x14ac:dyDescent="0.3">
      <c r="A9469" t="s">
        <v>9475</v>
      </c>
      <c r="B9469" t="s">
        <v>10017</v>
      </c>
      <c r="C9469">
        <v>2</v>
      </c>
      <c r="D9469">
        <v>1.5</v>
      </c>
      <c r="E9469">
        <v>3</v>
      </c>
      <c r="F9469" t="s">
        <v>10020</v>
      </c>
      <c r="G9469" t="s">
        <v>10102</v>
      </c>
      <c r="H9469" s="6">
        <v>45000</v>
      </c>
      <c r="I9469">
        <f t="shared" si="294"/>
        <v>0</v>
      </c>
      <c r="J9469" t="str">
        <f t="shared" si="295"/>
        <v>Complete</v>
      </c>
      <c r="K9469">
        <f>COUNTIFS(RawData[Item], B9469,RawData[Quantity],C9469,RawData[Price Per Unit],D9469,RawData[Total Spent],E9469,RawData[Payment Method],F9469,RawData[Location],G9469,RawData[Transaction Date],H9469)</f>
        <v>1</v>
      </c>
      <c r="L9469"/>
    </row>
    <row r="9470" spans="1:12" x14ac:dyDescent="0.3">
      <c r="A9470" t="s">
        <v>9476</v>
      </c>
      <c r="B9470" t="s">
        <v>10009</v>
      </c>
      <c r="C9470">
        <v>3</v>
      </c>
      <c r="D9470">
        <v>3</v>
      </c>
      <c r="E9470">
        <v>9</v>
      </c>
      <c r="F9470" t="s">
        <v>10018</v>
      </c>
      <c r="G9470" t="s">
        <v>10069</v>
      </c>
      <c r="H9470" s="6">
        <v>45114</v>
      </c>
      <c r="I9470">
        <f t="shared" si="294"/>
        <v>0</v>
      </c>
      <c r="J9470" t="str">
        <f t="shared" si="295"/>
        <v>Complete</v>
      </c>
      <c r="K9470">
        <f>COUNTIFS(RawData[Item], B9470,RawData[Quantity],C9470,RawData[Price Per Unit],D9470,RawData[Total Spent],E9470,RawData[Payment Method],F9470,RawData[Location],G9470,RawData[Transaction Date],H9470)</f>
        <v>1</v>
      </c>
      <c r="L9470"/>
    </row>
    <row r="9471" spans="1:12" x14ac:dyDescent="0.3">
      <c r="A9471" t="s">
        <v>9477</v>
      </c>
      <c r="B9471" t="s">
        <v>10013</v>
      </c>
      <c r="C9471">
        <v>3</v>
      </c>
      <c r="D9471">
        <v>4</v>
      </c>
      <c r="E9471">
        <v>12</v>
      </c>
      <c r="F9471" t="s">
        <v>10019</v>
      </c>
      <c r="G9471" t="s">
        <v>10102</v>
      </c>
      <c r="H9471" s="6">
        <v>45205</v>
      </c>
      <c r="I9471">
        <f t="shared" si="294"/>
        <v>1</v>
      </c>
      <c r="J9471" t="str">
        <f t="shared" si="295"/>
        <v>Complete</v>
      </c>
      <c r="K9471">
        <f>COUNTIFS(RawData[Item], B9471,RawData[Quantity],C9471,RawData[Price Per Unit],D9471,RawData[Total Spent],E9471,RawData[Payment Method],F9471,RawData[Location],G9471,RawData[Transaction Date],H9471)</f>
        <v>1</v>
      </c>
      <c r="L9471"/>
    </row>
    <row r="9472" spans="1:12" x14ac:dyDescent="0.3">
      <c r="A9472" t="s">
        <v>9478</v>
      </c>
      <c r="B9472" t="s">
        <v>10009</v>
      </c>
      <c r="C9472">
        <v>5</v>
      </c>
      <c r="D9472">
        <v>3</v>
      </c>
      <c r="E9472">
        <v>15</v>
      </c>
      <c r="F9472" t="s">
        <v>10018</v>
      </c>
      <c r="G9472" t="s">
        <v>10021</v>
      </c>
      <c r="H9472" s="6">
        <v>45190</v>
      </c>
      <c r="I9472">
        <f t="shared" si="294"/>
        <v>0</v>
      </c>
      <c r="J9472" t="str">
        <f t="shared" si="295"/>
        <v>Complete</v>
      </c>
      <c r="K9472">
        <f>COUNTIFS(RawData[Item], B9472,RawData[Quantity],C9472,RawData[Price Per Unit],D9472,RawData[Total Spent],E9472,RawData[Payment Method],F9472,RawData[Location],G9472,RawData[Transaction Date],H9472)</f>
        <v>1</v>
      </c>
      <c r="L9472"/>
    </row>
    <row r="9473" spans="1:12" x14ac:dyDescent="0.3">
      <c r="A9473" t="s">
        <v>9479</v>
      </c>
      <c r="B9473" t="s">
        <v>10013</v>
      </c>
      <c r="C9473">
        <v>2</v>
      </c>
      <c r="D9473">
        <v>3</v>
      </c>
      <c r="E9473">
        <v>6</v>
      </c>
      <c r="F9473" t="s">
        <v>10069</v>
      </c>
      <c r="G9473" t="s">
        <v>10069</v>
      </c>
      <c r="H9473" s="6">
        <v>45160</v>
      </c>
      <c r="I9473">
        <f t="shared" si="294"/>
        <v>1</v>
      </c>
      <c r="J9473" t="str">
        <f t="shared" si="295"/>
        <v>Complete</v>
      </c>
      <c r="K9473">
        <f>COUNTIFS(RawData[Item], B9473,RawData[Quantity],C9473,RawData[Price Per Unit],D9473,RawData[Total Spent],E9473,RawData[Payment Method],F9473,RawData[Location],G9473,RawData[Transaction Date],H9473)</f>
        <v>1</v>
      </c>
      <c r="L9473"/>
    </row>
    <row r="9474" spans="1:12" x14ac:dyDescent="0.3">
      <c r="A9474" t="s">
        <v>9480</v>
      </c>
      <c r="B9474" t="s">
        <v>10016</v>
      </c>
      <c r="C9474">
        <v>4</v>
      </c>
      <c r="D9474">
        <v>3</v>
      </c>
      <c r="E9474">
        <v>12</v>
      </c>
      <c r="F9474" t="s">
        <v>10069</v>
      </c>
      <c r="G9474" t="s">
        <v>10021</v>
      </c>
      <c r="H9474" s="6">
        <v>45090</v>
      </c>
      <c r="I9474">
        <f t="shared" ref="I9474:I9537" si="296">(B9474="Unknown")+(B9474="Error")+(C9474="Unknown")+(C9474="Error")+(D9474="Unknown")+(D9474="Error")+(E9474="Unknown")+(E9474="Error")+(F9474="Unknown")+(F9474="Error")+(G9474="Unknown")+(G9474="Error")+(H9474="No Date")</f>
        <v>0</v>
      </c>
      <c r="J9474" t="str">
        <f t="shared" ref="J9474:J9537" si="297">IF((H9474="No Date"),"Incomplete","Complete")</f>
        <v>Complete</v>
      </c>
      <c r="K9474">
        <f>COUNTIFS(RawData[Item], B9474,RawData[Quantity],C9474,RawData[Price Per Unit],D9474,RawData[Total Spent],E9474,RawData[Payment Method],F9474,RawData[Location],G9474,RawData[Transaction Date],H9474)</f>
        <v>1</v>
      </c>
      <c r="L9474"/>
    </row>
    <row r="9475" spans="1:12" x14ac:dyDescent="0.3">
      <c r="A9475" t="s">
        <v>9481</v>
      </c>
      <c r="B9475" t="s">
        <v>10016</v>
      </c>
      <c r="C9475">
        <v>2</v>
      </c>
      <c r="D9475">
        <v>3</v>
      </c>
      <c r="E9475">
        <v>6</v>
      </c>
      <c r="F9475" t="s">
        <v>10018</v>
      </c>
      <c r="G9475" t="s">
        <v>10104</v>
      </c>
      <c r="H9475" s="6">
        <v>45191</v>
      </c>
      <c r="I9475">
        <f t="shared" si="296"/>
        <v>1</v>
      </c>
      <c r="J9475" t="str">
        <f t="shared" si="297"/>
        <v>Complete</v>
      </c>
      <c r="K9475">
        <f>COUNTIFS(RawData[Item], B9475,RawData[Quantity],C9475,RawData[Price Per Unit],D9475,RawData[Total Spent],E9475,RawData[Payment Method],F9475,RawData[Location],G9475,RawData[Transaction Date],H9475)</f>
        <v>1</v>
      </c>
      <c r="L9475"/>
    </row>
    <row r="9476" spans="1:12" x14ac:dyDescent="0.3">
      <c r="A9476" t="s">
        <v>9482</v>
      </c>
      <c r="B9476" t="s">
        <v>10009</v>
      </c>
      <c r="C9476">
        <v>4</v>
      </c>
      <c r="D9476">
        <v>3</v>
      </c>
      <c r="E9476">
        <v>12</v>
      </c>
      <c r="F9476" t="s">
        <v>10069</v>
      </c>
      <c r="G9476" t="s">
        <v>10069</v>
      </c>
      <c r="H9476" s="6">
        <v>44937</v>
      </c>
      <c r="I9476">
        <f t="shared" si="296"/>
        <v>0</v>
      </c>
      <c r="J9476" t="str">
        <f t="shared" si="297"/>
        <v>Complete</v>
      </c>
      <c r="K9476">
        <f>COUNTIFS(RawData[Item], B9476,RawData[Quantity],C9476,RawData[Price Per Unit],D9476,RawData[Total Spent],E9476,RawData[Payment Method],F9476,RawData[Location],G9476,RawData[Transaction Date],H9476)</f>
        <v>1</v>
      </c>
      <c r="L9476"/>
    </row>
    <row r="9477" spans="1:12" x14ac:dyDescent="0.3">
      <c r="A9477" t="s">
        <v>9483</v>
      </c>
      <c r="B9477" t="s">
        <v>10012</v>
      </c>
      <c r="C9477">
        <v>4</v>
      </c>
      <c r="D9477">
        <v>4</v>
      </c>
      <c r="E9477">
        <v>16</v>
      </c>
      <c r="F9477" t="s">
        <v>10020</v>
      </c>
      <c r="G9477" t="s">
        <v>10102</v>
      </c>
      <c r="H9477" s="6">
        <v>45197</v>
      </c>
      <c r="I9477">
        <f t="shared" si="296"/>
        <v>0</v>
      </c>
      <c r="J9477" t="str">
        <f t="shared" si="297"/>
        <v>Complete</v>
      </c>
      <c r="K9477">
        <f>COUNTIFS(RawData[Item], B9477,RawData[Quantity],C9477,RawData[Price Per Unit],D9477,RawData[Total Spent],E9477,RawData[Payment Method],F9477,RawData[Location],G9477,RawData[Transaction Date],H9477)</f>
        <v>1</v>
      </c>
      <c r="L9477"/>
    </row>
    <row r="9478" spans="1:12" x14ac:dyDescent="0.3">
      <c r="A9478" t="s">
        <v>9484</v>
      </c>
      <c r="B9478" t="s">
        <v>10008</v>
      </c>
      <c r="C9478">
        <v>1</v>
      </c>
      <c r="D9478">
        <v>2</v>
      </c>
      <c r="E9478">
        <v>2</v>
      </c>
      <c r="F9478" t="s">
        <v>10019</v>
      </c>
      <c r="G9478" t="s">
        <v>10102</v>
      </c>
      <c r="H9478" s="6">
        <v>45287</v>
      </c>
      <c r="I9478">
        <f t="shared" si="296"/>
        <v>0</v>
      </c>
      <c r="J9478" t="str">
        <f t="shared" si="297"/>
        <v>Complete</v>
      </c>
      <c r="K9478">
        <f>COUNTIFS(RawData[Item], B9478,RawData[Quantity],C9478,RawData[Price Per Unit],D9478,RawData[Total Spent],E9478,RawData[Payment Method],F9478,RawData[Location],G9478,RawData[Transaction Date],H9478)</f>
        <v>1</v>
      </c>
      <c r="L9478"/>
    </row>
    <row r="9479" spans="1:12" x14ac:dyDescent="0.3">
      <c r="A9479" t="s">
        <v>9485</v>
      </c>
      <c r="B9479" t="s">
        <v>10016</v>
      </c>
      <c r="C9479">
        <v>3</v>
      </c>
      <c r="D9479">
        <v>3</v>
      </c>
      <c r="E9479">
        <v>9</v>
      </c>
      <c r="F9479" t="s">
        <v>10104</v>
      </c>
      <c r="G9479" t="s">
        <v>10069</v>
      </c>
      <c r="H9479" s="6">
        <v>45019</v>
      </c>
      <c r="I9479">
        <f t="shared" si="296"/>
        <v>1</v>
      </c>
      <c r="J9479" t="str">
        <f t="shared" si="297"/>
        <v>Complete</v>
      </c>
      <c r="K9479">
        <f>COUNTIFS(RawData[Item], B9479,RawData[Quantity],C9479,RawData[Price Per Unit],D9479,RawData[Total Spent],E9479,RawData[Payment Method],F9479,RawData[Location],G9479,RawData[Transaction Date],H9479)</f>
        <v>1</v>
      </c>
      <c r="L9479"/>
    </row>
    <row r="9480" spans="1:12" x14ac:dyDescent="0.3">
      <c r="A9480" t="s">
        <v>9486</v>
      </c>
      <c r="B9480" t="s">
        <v>10012</v>
      </c>
      <c r="C9480">
        <v>4</v>
      </c>
      <c r="D9480">
        <v>4</v>
      </c>
      <c r="E9480">
        <v>16</v>
      </c>
      <c r="F9480" t="s">
        <v>10069</v>
      </c>
      <c r="G9480" t="s">
        <v>10069</v>
      </c>
      <c r="H9480" s="6">
        <v>45089</v>
      </c>
      <c r="I9480">
        <f t="shared" si="296"/>
        <v>0</v>
      </c>
      <c r="J9480" t="str">
        <f t="shared" si="297"/>
        <v>Complete</v>
      </c>
      <c r="K9480">
        <f>COUNTIFS(RawData[Item], B9480,RawData[Quantity],C9480,RawData[Price Per Unit],D9480,RawData[Total Spent],E9480,RawData[Payment Method],F9480,RawData[Location],G9480,RawData[Transaction Date],H9480)</f>
        <v>1</v>
      </c>
      <c r="L9480"/>
    </row>
    <row r="9481" spans="1:12" x14ac:dyDescent="0.3">
      <c r="A9481" t="s">
        <v>9487</v>
      </c>
      <c r="B9481" t="s">
        <v>10009</v>
      </c>
      <c r="C9481">
        <v>1</v>
      </c>
      <c r="D9481">
        <v>3</v>
      </c>
      <c r="E9481">
        <v>3</v>
      </c>
      <c r="F9481" t="s">
        <v>10019</v>
      </c>
      <c r="G9481" t="s">
        <v>10021</v>
      </c>
      <c r="H9481" s="6">
        <v>45103</v>
      </c>
      <c r="I9481">
        <f t="shared" si="296"/>
        <v>0</v>
      </c>
      <c r="J9481" t="str">
        <f t="shared" si="297"/>
        <v>Complete</v>
      </c>
      <c r="K9481">
        <f>COUNTIFS(RawData[Item], B9481,RawData[Quantity],C9481,RawData[Price Per Unit],D9481,RawData[Total Spent],E9481,RawData[Payment Method],F9481,RawData[Location],G9481,RawData[Transaction Date],H9481)</f>
        <v>1</v>
      </c>
      <c r="L9481"/>
    </row>
    <row r="9482" spans="1:12" x14ac:dyDescent="0.3">
      <c r="A9482" t="s">
        <v>9488</v>
      </c>
      <c r="B9482" t="s">
        <v>10014</v>
      </c>
      <c r="C9482">
        <v>4</v>
      </c>
      <c r="D9482">
        <v>4</v>
      </c>
      <c r="E9482">
        <v>16</v>
      </c>
      <c r="F9482" t="s">
        <v>10018</v>
      </c>
      <c r="G9482" t="s">
        <v>10103</v>
      </c>
      <c r="H9482" s="6">
        <v>45268</v>
      </c>
      <c r="I9482">
        <f t="shared" si="296"/>
        <v>1</v>
      </c>
      <c r="J9482" t="str">
        <f t="shared" si="297"/>
        <v>Complete</v>
      </c>
      <c r="K9482">
        <f>COUNTIFS(RawData[Item], B9482,RawData[Quantity],C9482,RawData[Price Per Unit],D9482,RawData[Total Spent],E9482,RawData[Payment Method],F9482,RawData[Location],G9482,RawData[Transaction Date],H9482)</f>
        <v>1</v>
      </c>
      <c r="L9482"/>
    </row>
    <row r="9483" spans="1:12" x14ac:dyDescent="0.3">
      <c r="A9483" t="s">
        <v>9489</v>
      </c>
      <c r="B9483" t="s">
        <v>10012</v>
      </c>
      <c r="C9483">
        <v>2</v>
      </c>
      <c r="D9483">
        <v>4</v>
      </c>
      <c r="E9483">
        <v>8</v>
      </c>
      <c r="F9483" t="s">
        <v>10018</v>
      </c>
      <c r="G9483" t="s">
        <v>10069</v>
      </c>
      <c r="H9483" s="6">
        <v>45243</v>
      </c>
      <c r="I9483">
        <f t="shared" si="296"/>
        <v>0</v>
      </c>
      <c r="J9483" t="str">
        <f t="shared" si="297"/>
        <v>Complete</v>
      </c>
      <c r="K9483">
        <f>COUNTIFS(RawData[Item], B9483,RawData[Quantity],C9483,RawData[Price Per Unit],D9483,RawData[Total Spent],E9483,RawData[Payment Method],F9483,RawData[Location],G9483,RawData[Transaction Date],H9483)</f>
        <v>1</v>
      </c>
      <c r="L9483"/>
    </row>
    <row r="9484" spans="1:12" x14ac:dyDescent="0.3">
      <c r="A9484" t="s">
        <v>9490</v>
      </c>
      <c r="B9484" t="s">
        <v>10011</v>
      </c>
      <c r="C9484">
        <v>4</v>
      </c>
      <c r="D9484">
        <v>5</v>
      </c>
      <c r="E9484" t="s">
        <v>10013</v>
      </c>
      <c r="F9484" t="s">
        <v>10019</v>
      </c>
      <c r="G9484" t="s">
        <v>10069</v>
      </c>
      <c r="H9484" s="6">
        <v>44975</v>
      </c>
      <c r="I9484">
        <f t="shared" si="296"/>
        <v>1</v>
      </c>
      <c r="J9484" t="str">
        <f t="shared" si="297"/>
        <v>Complete</v>
      </c>
      <c r="K9484">
        <f>COUNTIFS(RawData[Item], B9484,RawData[Quantity],C9484,RawData[Price Per Unit],D9484,RawData[Total Spent],E9484,RawData[Payment Method],F9484,RawData[Location],G9484,RawData[Transaction Date],H9484)</f>
        <v>1</v>
      </c>
      <c r="L9484"/>
    </row>
    <row r="9485" spans="1:12" x14ac:dyDescent="0.3">
      <c r="A9485" t="s">
        <v>9491</v>
      </c>
      <c r="B9485" t="s">
        <v>10016</v>
      </c>
      <c r="C9485">
        <v>3</v>
      </c>
      <c r="D9485">
        <v>3</v>
      </c>
      <c r="E9485">
        <v>0</v>
      </c>
      <c r="F9485" t="s">
        <v>10069</v>
      </c>
      <c r="G9485" t="s">
        <v>10102</v>
      </c>
      <c r="H9485" s="6">
        <v>45039</v>
      </c>
      <c r="I9485">
        <f t="shared" si="296"/>
        <v>0</v>
      </c>
      <c r="J9485" t="str">
        <f t="shared" si="297"/>
        <v>Complete</v>
      </c>
      <c r="K9485">
        <f>COUNTIFS(RawData[Item], B9485,RawData[Quantity],C9485,RawData[Price Per Unit],D9485,RawData[Total Spent],E9485,RawData[Payment Method],F9485,RawData[Location],G9485,RawData[Transaction Date],H9485)</f>
        <v>1</v>
      </c>
      <c r="L9485"/>
    </row>
    <row r="9486" spans="1:12" x14ac:dyDescent="0.3">
      <c r="A9486" t="s">
        <v>9492</v>
      </c>
      <c r="B9486" t="s">
        <v>10009</v>
      </c>
      <c r="C9486">
        <v>3</v>
      </c>
      <c r="D9486">
        <v>3</v>
      </c>
      <c r="E9486">
        <v>0</v>
      </c>
      <c r="F9486" t="s">
        <v>10018</v>
      </c>
      <c r="G9486" t="s">
        <v>10069</v>
      </c>
      <c r="H9486" s="6">
        <v>45252</v>
      </c>
      <c r="I9486">
        <f t="shared" si="296"/>
        <v>0</v>
      </c>
      <c r="J9486" t="str">
        <f t="shared" si="297"/>
        <v>Complete</v>
      </c>
      <c r="K9486">
        <f>COUNTIFS(RawData[Item], B9486,RawData[Quantity],C9486,RawData[Price Per Unit],D9486,RawData[Total Spent],E9486,RawData[Payment Method],F9486,RawData[Location],G9486,RawData[Transaction Date],H9486)</f>
        <v>1</v>
      </c>
      <c r="L9486"/>
    </row>
    <row r="9487" spans="1:12" x14ac:dyDescent="0.3">
      <c r="A9487" t="s">
        <v>9493</v>
      </c>
      <c r="B9487" t="s">
        <v>10011</v>
      </c>
      <c r="C9487">
        <v>3</v>
      </c>
      <c r="D9487">
        <v>5</v>
      </c>
      <c r="E9487">
        <v>15</v>
      </c>
      <c r="F9487" t="s">
        <v>10019</v>
      </c>
      <c r="G9487" t="s">
        <v>10102</v>
      </c>
      <c r="H9487" s="6">
        <v>45171</v>
      </c>
      <c r="I9487">
        <f t="shared" si="296"/>
        <v>0</v>
      </c>
      <c r="J9487" t="str">
        <f t="shared" si="297"/>
        <v>Complete</v>
      </c>
      <c r="K9487">
        <f>COUNTIFS(RawData[Item], B9487,RawData[Quantity],C9487,RawData[Price Per Unit],D9487,RawData[Total Spent],E9487,RawData[Payment Method],F9487,RawData[Location],G9487,RawData[Transaction Date],H9487)</f>
        <v>1</v>
      </c>
      <c r="L9487"/>
    </row>
    <row r="9488" spans="1:12" x14ac:dyDescent="0.3">
      <c r="A9488" t="s">
        <v>9494</v>
      </c>
      <c r="B9488" t="s">
        <v>10010</v>
      </c>
      <c r="C9488">
        <v>3</v>
      </c>
      <c r="D9488">
        <v>1</v>
      </c>
      <c r="E9488">
        <v>3</v>
      </c>
      <c r="F9488" t="s">
        <v>10104</v>
      </c>
      <c r="G9488" t="s">
        <v>10021</v>
      </c>
      <c r="H9488" s="6">
        <v>44982</v>
      </c>
      <c r="I9488">
        <f t="shared" si="296"/>
        <v>1</v>
      </c>
      <c r="J9488" t="str">
        <f t="shared" si="297"/>
        <v>Complete</v>
      </c>
      <c r="K9488">
        <f>COUNTIFS(RawData[Item], B9488,RawData[Quantity],C9488,RawData[Price Per Unit],D9488,RawData[Total Spent],E9488,RawData[Payment Method],F9488,RawData[Location],G9488,RawData[Transaction Date],H9488)</f>
        <v>1</v>
      </c>
      <c r="L9488"/>
    </row>
    <row r="9489" spans="1:12" x14ac:dyDescent="0.3">
      <c r="A9489" t="s">
        <v>9495</v>
      </c>
      <c r="B9489" t="s">
        <v>10012</v>
      </c>
      <c r="C9489">
        <v>2</v>
      </c>
      <c r="D9489">
        <v>4</v>
      </c>
      <c r="E9489">
        <v>8</v>
      </c>
      <c r="F9489" t="s">
        <v>10069</v>
      </c>
      <c r="G9489" t="s">
        <v>10021</v>
      </c>
      <c r="H9489" s="6">
        <v>45203</v>
      </c>
      <c r="I9489">
        <f t="shared" si="296"/>
        <v>0</v>
      </c>
      <c r="J9489" t="str">
        <f t="shared" si="297"/>
        <v>Complete</v>
      </c>
      <c r="K9489">
        <f>COUNTIFS(RawData[Item], B9489,RawData[Quantity],C9489,RawData[Price Per Unit],D9489,RawData[Total Spent],E9489,RawData[Payment Method],F9489,RawData[Location],G9489,RawData[Transaction Date],H9489)</f>
        <v>1</v>
      </c>
      <c r="L9489"/>
    </row>
    <row r="9490" spans="1:12" x14ac:dyDescent="0.3">
      <c r="A9490" t="s">
        <v>9496</v>
      </c>
      <c r="B9490" t="s">
        <v>10011</v>
      </c>
      <c r="C9490">
        <v>1</v>
      </c>
      <c r="D9490">
        <v>5</v>
      </c>
      <c r="E9490">
        <v>5</v>
      </c>
      <c r="F9490" t="s">
        <v>10020</v>
      </c>
      <c r="G9490" t="s">
        <v>10069</v>
      </c>
      <c r="H9490" s="6">
        <v>45133</v>
      </c>
      <c r="I9490">
        <f t="shared" si="296"/>
        <v>0</v>
      </c>
      <c r="J9490" t="str">
        <f t="shared" si="297"/>
        <v>Complete</v>
      </c>
      <c r="K9490">
        <f>COUNTIFS(RawData[Item], B9490,RawData[Quantity],C9490,RawData[Price Per Unit],D9490,RawData[Total Spent],E9490,RawData[Payment Method],F9490,RawData[Location],G9490,RawData[Transaction Date],H9490)</f>
        <v>1</v>
      </c>
      <c r="L9490"/>
    </row>
    <row r="9491" spans="1:12" x14ac:dyDescent="0.3">
      <c r="A9491" t="s">
        <v>9497</v>
      </c>
      <c r="B9491" t="s">
        <v>10012</v>
      </c>
      <c r="C9491">
        <v>4</v>
      </c>
      <c r="D9491">
        <v>4</v>
      </c>
      <c r="E9491">
        <v>16</v>
      </c>
      <c r="F9491" t="s">
        <v>10018</v>
      </c>
      <c r="G9491" t="s">
        <v>10069</v>
      </c>
      <c r="H9491" s="6">
        <v>44941</v>
      </c>
      <c r="I9491">
        <f t="shared" si="296"/>
        <v>0</v>
      </c>
      <c r="J9491" t="str">
        <f t="shared" si="297"/>
        <v>Complete</v>
      </c>
      <c r="K9491">
        <f>COUNTIFS(RawData[Item], B9491,RawData[Quantity],C9491,RawData[Price Per Unit],D9491,RawData[Total Spent],E9491,RawData[Payment Method],F9491,RawData[Location],G9491,RawData[Transaction Date],H9491)</f>
        <v>1</v>
      </c>
      <c r="L9491"/>
    </row>
    <row r="9492" spans="1:12" x14ac:dyDescent="0.3">
      <c r="A9492" t="s">
        <v>9498</v>
      </c>
      <c r="B9492" t="s">
        <v>10013</v>
      </c>
      <c r="C9492">
        <v>2</v>
      </c>
      <c r="D9492">
        <v>3</v>
      </c>
      <c r="E9492">
        <v>6</v>
      </c>
      <c r="F9492" t="s">
        <v>10104</v>
      </c>
      <c r="G9492" t="s">
        <v>10102</v>
      </c>
      <c r="H9492" s="6">
        <v>45198</v>
      </c>
      <c r="I9492">
        <f t="shared" si="296"/>
        <v>2</v>
      </c>
      <c r="J9492" t="str">
        <f t="shared" si="297"/>
        <v>Complete</v>
      </c>
      <c r="K9492">
        <f>COUNTIFS(RawData[Item], B9492,RawData[Quantity],C9492,RawData[Price Per Unit],D9492,RawData[Total Spent],E9492,RawData[Payment Method],F9492,RawData[Location],G9492,RawData[Transaction Date],H9492)</f>
        <v>1</v>
      </c>
      <c r="L9492"/>
    </row>
    <row r="9493" spans="1:12" x14ac:dyDescent="0.3">
      <c r="A9493" t="s">
        <v>9499</v>
      </c>
      <c r="B9493" t="s">
        <v>10014</v>
      </c>
      <c r="C9493">
        <v>4</v>
      </c>
      <c r="D9493">
        <v>4</v>
      </c>
      <c r="E9493">
        <v>16</v>
      </c>
      <c r="F9493" t="s">
        <v>10018</v>
      </c>
      <c r="G9493" t="s">
        <v>10104</v>
      </c>
      <c r="H9493" s="6">
        <v>44982</v>
      </c>
      <c r="I9493">
        <f t="shared" si="296"/>
        <v>1</v>
      </c>
      <c r="J9493" t="str">
        <f t="shared" si="297"/>
        <v>Complete</v>
      </c>
      <c r="K9493">
        <f>COUNTIFS(RawData[Item], B9493,RawData[Quantity],C9493,RawData[Price Per Unit],D9493,RawData[Total Spent],E9493,RawData[Payment Method],F9493,RawData[Location],G9493,RawData[Transaction Date],H9493)</f>
        <v>1</v>
      </c>
      <c r="L9493"/>
    </row>
    <row r="9494" spans="1:12" x14ac:dyDescent="0.3">
      <c r="A9494" t="s">
        <v>9500</v>
      </c>
      <c r="B9494" t="s">
        <v>10014</v>
      </c>
      <c r="C9494">
        <v>2</v>
      </c>
      <c r="D9494">
        <v>4</v>
      </c>
      <c r="E9494">
        <v>8</v>
      </c>
      <c r="F9494" t="s">
        <v>10019</v>
      </c>
      <c r="G9494" t="s">
        <v>10104</v>
      </c>
      <c r="H9494" s="6">
        <v>45093</v>
      </c>
      <c r="I9494">
        <f t="shared" si="296"/>
        <v>1</v>
      </c>
      <c r="J9494" t="str">
        <f t="shared" si="297"/>
        <v>Complete</v>
      </c>
      <c r="K9494">
        <f>COUNTIFS(RawData[Item], B9494,RawData[Quantity],C9494,RawData[Price Per Unit],D9494,RawData[Total Spent],E9494,RawData[Payment Method],F9494,RawData[Location],G9494,RawData[Transaction Date],H9494)</f>
        <v>1</v>
      </c>
      <c r="L9494"/>
    </row>
    <row r="9495" spans="1:12" x14ac:dyDescent="0.3">
      <c r="A9495" t="s">
        <v>9501</v>
      </c>
      <c r="B9495" t="s">
        <v>10009</v>
      </c>
      <c r="C9495">
        <v>5</v>
      </c>
      <c r="D9495">
        <v>3</v>
      </c>
      <c r="E9495">
        <v>15</v>
      </c>
      <c r="F9495" t="s">
        <v>10104</v>
      </c>
      <c r="G9495" t="s">
        <v>10102</v>
      </c>
      <c r="H9495" s="6">
        <v>45018</v>
      </c>
      <c r="I9495">
        <f t="shared" si="296"/>
        <v>1</v>
      </c>
      <c r="J9495" t="str">
        <f t="shared" si="297"/>
        <v>Complete</v>
      </c>
      <c r="K9495">
        <f>COUNTIFS(RawData[Item], B9495,RawData[Quantity],C9495,RawData[Price Per Unit],D9495,RawData[Total Spent],E9495,RawData[Payment Method],F9495,RawData[Location],G9495,RawData[Transaction Date],H9495)</f>
        <v>1</v>
      </c>
      <c r="L9495"/>
    </row>
    <row r="9496" spans="1:12" x14ac:dyDescent="0.3">
      <c r="A9496" t="s">
        <v>9502</v>
      </c>
      <c r="B9496" t="s">
        <v>10011</v>
      </c>
      <c r="C9496">
        <v>3</v>
      </c>
      <c r="D9496">
        <v>5</v>
      </c>
      <c r="E9496">
        <v>15</v>
      </c>
      <c r="F9496" t="s">
        <v>10020</v>
      </c>
      <c r="G9496" t="s">
        <v>10021</v>
      </c>
      <c r="H9496" s="6">
        <v>45236</v>
      </c>
      <c r="I9496">
        <f t="shared" si="296"/>
        <v>0</v>
      </c>
      <c r="J9496" t="str">
        <f t="shared" si="297"/>
        <v>Complete</v>
      </c>
      <c r="K9496">
        <f>COUNTIFS(RawData[Item], B9496,RawData[Quantity],C9496,RawData[Price Per Unit],D9496,RawData[Total Spent],E9496,RawData[Payment Method],F9496,RawData[Location],G9496,RawData[Transaction Date],H9496)</f>
        <v>1</v>
      </c>
      <c r="L9496"/>
    </row>
    <row r="9497" spans="1:12" x14ac:dyDescent="0.3">
      <c r="A9497" t="s">
        <v>9503</v>
      </c>
      <c r="B9497" t="s">
        <v>10008</v>
      </c>
      <c r="C9497">
        <v>5</v>
      </c>
      <c r="D9497">
        <v>2</v>
      </c>
      <c r="E9497">
        <v>10</v>
      </c>
      <c r="F9497" t="s">
        <v>10020</v>
      </c>
      <c r="G9497" t="s">
        <v>10102</v>
      </c>
      <c r="H9497" s="6">
        <v>45128</v>
      </c>
      <c r="I9497">
        <f t="shared" si="296"/>
        <v>0</v>
      </c>
      <c r="J9497" t="str">
        <f t="shared" si="297"/>
        <v>Complete</v>
      </c>
      <c r="K9497">
        <f>COUNTIFS(RawData[Item], B9497,RawData[Quantity],C9497,RawData[Price Per Unit],D9497,RawData[Total Spent],E9497,RawData[Payment Method],F9497,RawData[Location],G9497,RawData[Transaction Date],H9497)</f>
        <v>1</v>
      </c>
      <c r="L9497"/>
    </row>
    <row r="9498" spans="1:12" x14ac:dyDescent="0.3">
      <c r="A9498" t="s">
        <v>9504</v>
      </c>
      <c r="B9498" t="s">
        <v>10017</v>
      </c>
      <c r="C9498">
        <v>5</v>
      </c>
      <c r="D9498">
        <v>1.5</v>
      </c>
      <c r="E9498">
        <v>7.5</v>
      </c>
      <c r="F9498" t="s">
        <v>10020</v>
      </c>
      <c r="G9498" t="s">
        <v>10021</v>
      </c>
      <c r="H9498" s="6">
        <v>45170</v>
      </c>
      <c r="I9498">
        <f t="shared" si="296"/>
        <v>0</v>
      </c>
      <c r="J9498" t="str">
        <f t="shared" si="297"/>
        <v>Complete</v>
      </c>
      <c r="K9498">
        <f>COUNTIFS(RawData[Item], B9498,RawData[Quantity],C9498,RawData[Price Per Unit],D9498,RawData[Total Spent],E9498,RawData[Payment Method],F9498,RawData[Location],G9498,RawData[Transaction Date],H9498)</f>
        <v>1</v>
      </c>
      <c r="L9498"/>
    </row>
    <row r="9499" spans="1:12" x14ac:dyDescent="0.3">
      <c r="A9499" t="s">
        <v>9505</v>
      </c>
      <c r="B9499" t="s">
        <v>10069</v>
      </c>
      <c r="C9499">
        <v>1</v>
      </c>
      <c r="D9499">
        <v>3</v>
      </c>
      <c r="E9499">
        <v>3</v>
      </c>
      <c r="F9499" t="s">
        <v>10019</v>
      </c>
      <c r="G9499" t="s">
        <v>10069</v>
      </c>
      <c r="H9499" s="6">
        <v>45250</v>
      </c>
      <c r="I9499">
        <f t="shared" si="296"/>
        <v>0</v>
      </c>
      <c r="J9499" t="str">
        <f t="shared" si="297"/>
        <v>Complete</v>
      </c>
      <c r="K9499">
        <f>COUNTIFS(RawData[Item], B9499,RawData[Quantity],C9499,RawData[Price Per Unit],D9499,RawData[Total Spent],E9499,RawData[Payment Method],F9499,RawData[Location],G9499,RawData[Transaction Date],H9499)</f>
        <v>1</v>
      </c>
      <c r="L9499"/>
    </row>
    <row r="9500" spans="1:12" x14ac:dyDescent="0.3">
      <c r="A9500" t="s">
        <v>9506</v>
      </c>
      <c r="B9500" t="s">
        <v>10069</v>
      </c>
      <c r="C9500">
        <v>3</v>
      </c>
      <c r="D9500">
        <v>5</v>
      </c>
      <c r="E9500">
        <v>15</v>
      </c>
      <c r="F9500" t="s">
        <v>10069</v>
      </c>
      <c r="G9500" t="s">
        <v>10021</v>
      </c>
      <c r="H9500" s="6">
        <v>44936</v>
      </c>
      <c r="I9500">
        <f t="shared" si="296"/>
        <v>0</v>
      </c>
      <c r="J9500" t="str">
        <f t="shared" si="297"/>
        <v>Complete</v>
      </c>
      <c r="K9500">
        <f>COUNTIFS(RawData[Item], B9500,RawData[Quantity],C9500,RawData[Price Per Unit],D9500,RawData[Total Spent],E9500,RawData[Payment Method],F9500,RawData[Location],G9500,RawData[Transaction Date],H9500)</f>
        <v>1</v>
      </c>
      <c r="L9500"/>
    </row>
    <row r="9501" spans="1:12" x14ac:dyDescent="0.3">
      <c r="A9501" t="s">
        <v>9507</v>
      </c>
      <c r="B9501" t="s">
        <v>10011</v>
      </c>
      <c r="C9501">
        <v>1</v>
      </c>
      <c r="D9501">
        <v>5</v>
      </c>
      <c r="E9501">
        <v>0</v>
      </c>
      <c r="F9501" t="s">
        <v>10018</v>
      </c>
      <c r="G9501" t="s">
        <v>10102</v>
      </c>
      <c r="H9501" s="6">
        <v>45185</v>
      </c>
      <c r="I9501">
        <f t="shared" si="296"/>
        <v>0</v>
      </c>
      <c r="J9501" t="str">
        <f t="shared" si="297"/>
        <v>Complete</v>
      </c>
      <c r="K9501">
        <f>COUNTIFS(RawData[Item], B9501,RawData[Quantity],C9501,RawData[Price Per Unit],D9501,RawData[Total Spent],E9501,RawData[Payment Method],F9501,RawData[Location],G9501,RawData[Transaction Date],H9501)</f>
        <v>1</v>
      </c>
      <c r="L9501"/>
    </row>
    <row r="9502" spans="1:12" x14ac:dyDescent="0.3">
      <c r="A9502" t="s">
        <v>9508</v>
      </c>
      <c r="B9502" t="s">
        <v>10016</v>
      </c>
      <c r="C9502">
        <v>5</v>
      </c>
      <c r="D9502" t="s">
        <v>10013</v>
      </c>
      <c r="E9502">
        <v>15</v>
      </c>
      <c r="F9502" t="s">
        <v>10019</v>
      </c>
      <c r="G9502" t="s">
        <v>10021</v>
      </c>
      <c r="H9502" s="6">
        <v>45051</v>
      </c>
      <c r="I9502">
        <f t="shared" si="296"/>
        <v>1</v>
      </c>
      <c r="J9502" t="str">
        <f t="shared" si="297"/>
        <v>Complete</v>
      </c>
      <c r="K9502">
        <f>COUNTIFS(RawData[Item], B9502,RawData[Quantity],C9502,RawData[Price Per Unit],D9502,RawData[Total Spent],E9502,RawData[Payment Method],F9502,RawData[Location],G9502,RawData[Transaction Date],H9502)</f>
        <v>1</v>
      </c>
      <c r="L9502"/>
    </row>
    <row r="9503" spans="1:12" x14ac:dyDescent="0.3">
      <c r="A9503" t="s">
        <v>9509</v>
      </c>
      <c r="B9503" t="s">
        <v>10013</v>
      </c>
      <c r="C9503">
        <v>4</v>
      </c>
      <c r="D9503">
        <v>2</v>
      </c>
      <c r="E9503" t="s">
        <v>10013</v>
      </c>
      <c r="F9503" t="s">
        <v>10018</v>
      </c>
      <c r="G9503" t="s">
        <v>10021</v>
      </c>
      <c r="H9503" s="6">
        <v>45039</v>
      </c>
      <c r="I9503">
        <f t="shared" si="296"/>
        <v>2</v>
      </c>
      <c r="J9503" t="str">
        <f t="shared" si="297"/>
        <v>Complete</v>
      </c>
      <c r="K9503">
        <f>COUNTIFS(RawData[Item], B9503,RawData[Quantity],C9503,RawData[Price Per Unit],D9503,RawData[Total Spent],E9503,RawData[Payment Method],F9503,RawData[Location],G9503,RawData[Transaction Date],H9503)</f>
        <v>1</v>
      </c>
      <c r="L9503"/>
    </row>
    <row r="9504" spans="1:12" x14ac:dyDescent="0.3">
      <c r="A9504" t="s">
        <v>9510</v>
      </c>
      <c r="B9504" t="s">
        <v>10011</v>
      </c>
      <c r="C9504">
        <v>5</v>
      </c>
      <c r="D9504" t="s">
        <v>10015</v>
      </c>
      <c r="E9504">
        <v>25</v>
      </c>
      <c r="F9504" t="s">
        <v>10069</v>
      </c>
      <c r="G9504" t="s">
        <v>10069</v>
      </c>
      <c r="H9504" s="6">
        <v>45064</v>
      </c>
      <c r="I9504">
        <f t="shared" si="296"/>
        <v>1</v>
      </c>
      <c r="J9504" t="str">
        <f t="shared" si="297"/>
        <v>Complete</v>
      </c>
      <c r="K9504">
        <f>COUNTIFS(RawData[Item], B9504,RawData[Quantity],C9504,RawData[Price Per Unit],D9504,RawData[Total Spent],E9504,RawData[Payment Method],F9504,RawData[Location],G9504,RawData[Transaction Date],H9504)</f>
        <v>1</v>
      </c>
      <c r="L9504"/>
    </row>
    <row r="9505" spans="1:12" x14ac:dyDescent="0.3">
      <c r="A9505" t="s">
        <v>9511</v>
      </c>
      <c r="B9505" t="s">
        <v>10011</v>
      </c>
      <c r="C9505">
        <v>4</v>
      </c>
      <c r="D9505">
        <v>5</v>
      </c>
      <c r="E9505">
        <v>20</v>
      </c>
      <c r="F9505" t="s">
        <v>10069</v>
      </c>
      <c r="G9505" t="s">
        <v>10021</v>
      </c>
      <c r="H9505" s="6" t="s">
        <v>10112</v>
      </c>
      <c r="I9505">
        <f t="shared" si="296"/>
        <v>1</v>
      </c>
      <c r="J9505" t="str">
        <f t="shared" si="297"/>
        <v>Incomplete</v>
      </c>
      <c r="K9505">
        <f>COUNTIFS(RawData[Item], B9505,RawData[Quantity],C9505,RawData[Price Per Unit],D9505,RawData[Total Spent],E9505,RawData[Payment Method],F9505,RawData[Location],G9505,RawData[Transaction Date],H9505)</f>
        <v>1</v>
      </c>
      <c r="L9505"/>
    </row>
    <row r="9506" spans="1:12" x14ac:dyDescent="0.3">
      <c r="A9506" t="s">
        <v>9512</v>
      </c>
      <c r="B9506" t="s">
        <v>10008</v>
      </c>
      <c r="C9506">
        <v>2</v>
      </c>
      <c r="D9506">
        <v>2</v>
      </c>
      <c r="E9506">
        <v>4</v>
      </c>
      <c r="F9506" t="s">
        <v>10019</v>
      </c>
      <c r="G9506" t="s">
        <v>10021</v>
      </c>
      <c r="H9506" s="6">
        <v>45135</v>
      </c>
      <c r="I9506">
        <f t="shared" si="296"/>
        <v>0</v>
      </c>
      <c r="J9506" t="str">
        <f t="shared" si="297"/>
        <v>Complete</v>
      </c>
      <c r="K9506">
        <f>COUNTIFS(RawData[Item], B9506,RawData[Quantity],C9506,RawData[Price Per Unit],D9506,RawData[Total Spent],E9506,RawData[Payment Method],F9506,RawData[Location],G9506,RawData[Transaction Date],H9506)</f>
        <v>1</v>
      </c>
      <c r="L9506"/>
    </row>
    <row r="9507" spans="1:12" x14ac:dyDescent="0.3">
      <c r="A9507" t="s">
        <v>9513</v>
      </c>
      <c r="B9507" t="s">
        <v>10012</v>
      </c>
      <c r="C9507">
        <v>3</v>
      </c>
      <c r="D9507">
        <v>4</v>
      </c>
      <c r="E9507">
        <v>12</v>
      </c>
      <c r="F9507" t="s">
        <v>10019</v>
      </c>
      <c r="G9507" t="s">
        <v>10102</v>
      </c>
      <c r="H9507" s="6">
        <v>45207</v>
      </c>
      <c r="I9507">
        <f t="shared" si="296"/>
        <v>0</v>
      </c>
      <c r="J9507" t="str">
        <f t="shared" si="297"/>
        <v>Complete</v>
      </c>
      <c r="K9507">
        <f>COUNTIFS(RawData[Item], B9507,RawData[Quantity],C9507,RawData[Price Per Unit],D9507,RawData[Total Spent],E9507,RawData[Payment Method],F9507,RawData[Location],G9507,RawData[Transaction Date],H9507)</f>
        <v>1</v>
      </c>
      <c r="L9507"/>
    </row>
    <row r="9508" spans="1:12" x14ac:dyDescent="0.3">
      <c r="A9508" t="s">
        <v>9514</v>
      </c>
      <c r="B9508" t="s">
        <v>10011</v>
      </c>
      <c r="C9508">
        <v>1</v>
      </c>
      <c r="D9508">
        <v>5</v>
      </c>
      <c r="E9508">
        <v>5</v>
      </c>
      <c r="F9508" t="s">
        <v>10018</v>
      </c>
      <c r="G9508" t="s">
        <v>10069</v>
      </c>
      <c r="H9508" s="6">
        <v>45026</v>
      </c>
      <c r="I9508">
        <f t="shared" si="296"/>
        <v>0</v>
      </c>
      <c r="J9508" t="str">
        <f t="shared" si="297"/>
        <v>Complete</v>
      </c>
      <c r="K9508">
        <f>COUNTIFS(RawData[Item], B9508,RawData[Quantity],C9508,RawData[Price Per Unit],D9508,RawData[Total Spent],E9508,RawData[Payment Method],F9508,RawData[Location],G9508,RawData[Transaction Date],H9508)</f>
        <v>1</v>
      </c>
      <c r="L9508"/>
    </row>
    <row r="9509" spans="1:12" x14ac:dyDescent="0.3">
      <c r="A9509" t="s">
        <v>9515</v>
      </c>
      <c r="B9509" t="s">
        <v>10017</v>
      </c>
      <c r="C9509">
        <v>4</v>
      </c>
      <c r="D9509">
        <v>1.5</v>
      </c>
      <c r="E9509">
        <v>6</v>
      </c>
      <c r="F9509" t="s">
        <v>10019</v>
      </c>
      <c r="G9509" t="s">
        <v>10021</v>
      </c>
      <c r="H9509" s="6">
        <v>45023</v>
      </c>
      <c r="I9509">
        <f t="shared" si="296"/>
        <v>0</v>
      </c>
      <c r="J9509" t="str">
        <f t="shared" si="297"/>
        <v>Complete</v>
      </c>
      <c r="K9509">
        <f>COUNTIFS(RawData[Item], B9509,RawData[Quantity],C9509,RawData[Price Per Unit],D9509,RawData[Total Spent],E9509,RawData[Payment Method],F9509,RawData[Location],G9509,RawData[Transaction Date],H9509)</f>
        <v>1</v>
      </c>
      <c r="L9509"/>
    </row>
    <row r="9510" spans="1:12" x14ac:dyDescent="0.3">
      <c r="A9510" t="s">
        <v>9516</v>
      </c>
      <c r="B9510" t="s">
        <v>10069</v>
      </c>
      <c r="C9510">
        <v>5</v>
      </c>
      <c r="D9510">
        <v>1</v>
      </c>
      <c r="E9510">
        <v>5</v>
      </c>
      <c r="F9510" t="s">
        <v>10020</v>
      </c>
      <c r="G9510" t="s">
        <v>10102</v>
      </c>
      <c r="H9510" s="6">
        <v>45085</v>
      </c>
      <c r="I9510">
        <f t="shared" si="296"/>
        <v>0</v>
      </c>
      <c r="J9510" t="str">
        <f t="shared" si="297"/>
        <v>Complete</v>
      </c>
      <c r="K9510">
        <f>COUNTIFS(RawData[Item], B9510,RawData[Quantity],C9510,RawData[Price Per Unit],D9510,RawData[Total Spent],E9510,RawData[Payment Method],F9510,RawData[Location],G9510,RawData[Transaction Date],H9510)</f>
        <v>1</v>
      </c>
      <c r="L9510"/>
    </row>
    <row r="9511" spans="1:12" x14ac:dyDescent="0.3">
      <c r="A9511" t="s">
        <v>9517</v>
      </c>
      <c r="B9511" t="s">
        <v>10014</v>
      </c>
      <c r="C9511">
        <v>3</v>
      </c>
      <c r="D9511">
        <v>4</v>
      </c>
      <c r="E9511">
        <v>12</v>
      </c>
      <c r="F9511" t="s">
        <v>10069</v>
      </c>
      <c r="G9511" t="s">
        <v>10102</v>
      </c>
      <c r="H9511" s="6">
        <v>44970</v>
      </c>
      <c r="I9511">
        <f t="shared" si="296"/>
        <v>0</v>
      </c>
      <c r="J9511" t="str">
        <f t="shared" si="297"/>
        <v>Complete</v>
      </c>
      <c r="K9511">
        <f>COUNTIFS(RawData[Item], B9511,RawData[Quantity],C9511,RawData[Price Per Unit],D9511,RawData[Total Spent],E9511,RawData[Payment Method],F9511,RawData[Location],G9511,RawData[Transaction Date],H9511)</f>
        <v>1</v>
      </c>
      <c r="L9511"/>
    </row>
    <row r="9512" spans="1:12" x14ac:dyDescent="0.3">
      <c r="A9512" t="s">
        <v>9518</v>
      </c>
      <c r="B9512" t="s">
        <v>10017</v>
      </c>
      <c r="C9512">
        <v>5</v>
      </c>
      <c r="D9512">
        <v>1.5</v>
      </c>
      <c r="E9512">
        <v>7.5</v>
      </c>
      <c r="F9512" t="s">
        <v>10019</v>
      </c>
      <c r="G9512" t="s">
        <v>10102</v>
      </c>
      <c r="H9512" s="6">
        <v>45237</v>
      </c>
      <c r="I9512">
        <f t="shared" si="296"/>
        <v>0</v>
      </c>
      <c r="J9512" t="str">
        <f t="shared" si="297"/>
        <v>Complete</v>
      </c>
      <c r="K9512">
        <f>COUNTIFS(RawData[Item], B9512,RawData[Quantity],C9512,RawData[Price Per Unit],D9512,RawData[Total Spent],E9512,RawData[Payment Method],F9512,RawData[Location],G9512,RawData[Transaction Date],H9512)</f>
        <v>1</v>
      </c>
      <c r="L9512"/>
    </row>
    <row r="9513" spans="1:12" x14ac:dyDescent="0.3">
      <c r="A9513" t="s">
        <v>9519</v>
      </c>
      <c r="B9513" t="s">
        <v>10011</v>
      </c>
      <c r="C9513">
        <v>1</v>
      </c>
      <c r="D9513">
        <v>5</v>
      </c>
      <c r="E9513">
        <v>0</v>
      </c>
      <c r="F9513" t="s">
        <v>10020</v>
      </c>
      <c r="G9513" t="s">
        <v>10102</v>
      </c>
      <c r="H9513" s="6">
        <v>45133</v>
      </c>
      <c r="I9513">
        <f t="shared" si="296"/>
        <v>0</v>
      </c>
      <c r="J9513" t="str">
        <f t="shared" si="297"/>
        <v>Complete</v>
      </c>
      <c r="K9513">
        <f>COUNTIFS(RawData[Item], B9513,RawData[Quantity],C9513,RawData[Price Per Unit],D9513,RawData[Total Spent],E9513,RawData[Payment Method],F9513,RawData[Location],G9513,RawData[Transaction Date],H9513)</f>
        <v>1</v>
      </c>
      <c r="L9513"/>
    </row>
    <row r="9514" spans="1:12" x14ac:dyDescent="0.3">
      <c r="A9514" t="s">
        <v>9520</v>
      </c>
      <c r="B9514" t="s">
        <v>10009</v>
      </c>
      <c r="C9514">
        <v>4</v>
      </c>
      <c r="D9514">
        <v>3</v>
      </c>
      <c r="E9514">
        <v>12</v>
      </c>
      <c r="F9514" t="s">
        <v>10103</v>
      </c>
      <c r="G9514" t="s">
        <v>10069</v>
      </c>
      <c r="H9514" s="6">
        <v>45059</v>
      </c>
      <c r="I9514">
        <f t="shared" si="296"/>
        <v>1</v>
      </c>
      <c r="J9514" t="str">
        <f t="shared" si="297"/>
        <v>Complete</v>
      </c>
      <c r="K9514">
        <f>COUNTIFS(RawData[Item], B9514,RawData[Quantity],C9514,RawData[Price Per Unit],D9514,RawData[Total Spent],E9514,RawData[Payment Method],F9514,RawData[Location],G9514,RawData[Transaction Date],H9514)</f>
        <v>1</v>
      </c>
      <c r="L9514"/>
    </row>
    <row r="9515" spans="1:12" x14ac:dyDescent="0.3">
      <c r="A9515" t="s">
        <v>9521</v>
      </c>
      <c r="B9515" t="s">
        <v>10069</v>
      </c>
      <c r="C9515">
        <v>4</v>
      </c>
      <c r="D9515">
        <v>4</v>
      </c>
      <c r="E9515">
        <v>16</v>
      </c>
      <c r="F9515" t="s">
        <v>10020</v>
      </c>
      <c r="G9515" t="s">
        <v>10069</v>
      </c>
      <c r="H9515" s="6">
        <v>45182</v>
      </c>
      <c r="I9515">
        <f t="shared" si="296"/>
        <v>0</v>
      </c>
      <c r="J9515" t="str">
        <f t="shared" si="297"/>
        <v>Complete</v>
      </c>
      <c r="K9515">
        <f>COUNTIFS(RawData[Item], B9515,RawData[Quantity],C9515,RawData[Price Per Unit],D9515,RawData[Total Spent],E9515,RawData[Payment Method],F9515,RawData[Location],G9515,RawData[Transaction Date],H9515)</f>
        <v>1</v>
      </c>
      <c r="L9515"/>
    </row>
    <row r="9516" spans="1:12" x14ac:dyDescent="0.3">
      <c r="A9516" t="s">
        <v>9522</v>
      </c>
      <c r="B9516" t="s">
        <v>10010</v>
      </c>
      <c r="C9516" t="s">
        <v>10015</v>
      </c>
      <c r="D9516">
        <v>1</v>
      </c>
      <c r="E9516">
        <v>1</v>
      </c>
      <c r="F9516" t="s">
        <v>10018</v>
      </c>
      <c r="G9516" t="s">
        <v>10069</v>
      </c>
      <c r="H9516" s="6">
        <v>45012</v>
      </c>
      <c r="I9516">
        <f t="shared" si="296"/>
        <v>1</v>
      </c>
      <c r="J9516" t="str">
        <f t="shared" si="297"/>
        <v>Complete</v>
      </c>
      <c r="K9516">
        <f>COUNTIFS(RawData[Item], B9516,RawData[Quantity],C9516,RawData[Price Per Unit],D9516,RawData[Total Spent],E9516,RawData[Payment Method],F9516,RawData[Location],G9516,RawData[Transaction Date],H9516)</f>
        <v>1</v>
      </c>
      <c r="L9516"/>
    </row>
    <row r="9517" spans="1:12" x14ac:dyDescent="0.3">
      <c r="A9517" t="s">
        <v>9523</v>
      </c>
      <c r="B9517" t="s">
        <v>10016</v>
      </c>
      <c r="C9517">
        <v>3</v>
      </c>
      <c r="D9517">
        <v>3</v>
      </c>
      <c r="E9517">
        <v>9</v>
      </c>
      <c r="F9517" t="s">
        <v>10020</v>
      </c>
      <c r="G9517" t="s">
        <v>10069</v>
      </c>
      <c r="H9517" s="6">
        <v>45212</v>
      </c>
      <c r="I9517">
        <f t="shared" si="296"/>
        <v>0</v>
      </c>
      <c r="J9517" t="str">
        <f t="shared" si="297"/>
        <v>Complete</v>
      </c>
      <c r="K9517">
        <f>COUNTIFS(RawData[Item], B9517,RawData[Quantity],C9517,RawData[Price Per Unit],D9517,RawData[Total Spent],E9517,RawData[Payment Method],F9517,RawData[Location],G9517,RawData[Transaction Date],H9517)</f>
        <v>2</v>
      </c>
      <c r="L9517"/>
    </row>
    <row r="9518" spans="1:12" x14ac:dyDescent="0.3">
      <c r="A9518" t="s">
        <v>9524</v>
      </c>
      <c r="B9518" t="s">
        <v>10009</v>
      </c>
      <c r="C9518">
        <v>4</v>
      </c>
      <c r="D9518">
        <v>3</v>
      </c>
      <c r="E9518">
        <v>0</v>
      </c>
      <c r="F9518" t="s">
        <v>10069</v>
      </c>
      <c r="G9518" t="s">
        <v>10103</v>
      </c>
      <c r="H9518" s="6">
        <v>44934</v>
      </c>
      <c r="I9518">
        <f t="shared" si="296"/>
        <v>1</v>
      </c>
      <c r="J9518" t="str">
        <f t="shared" si="297"/>
        <v>Complete</v>
      </c>
      <c r="K9518">
        <f>COUNTIFS(RawData[Item], B9518,RawData[Quantity],C9518,RawData[Price Per Unit],D9518,RawData[Total Spent],E9518,RawData[Payment Method],F9518,RawData[Location],G9518,RawData[Transaction Date],H9518)</f>
        <v>1</v>
      </c>
      <c r="L9518"/>
    </row>
    <row r="9519" spans="1:12" x14ac:dyDescent="0.3">
      <c r="A9519" t="s">
        <v>9525</v>
      </c>
      <c r="B9519" t="s">
        <v>10011</v>
      </c>
      <c r="C9519">
        <v>1</v>
      </c>
      <c r="D9519">
        <v>5</v>
      </c>
      <c r="E9519">
        <v>5</v>
      </c>
      <c r="F9519" t="s">
        <v>10020</v>
      </c>
      <c r="G9519" t="s">
        <v>10021</v>
      </c>
      <c r="H9519" s="6">
        <v>45038</v>
      </c>
      <c r="I9519">
        <f t="shared" si="296"/>
        <v>0</v>
      </c>
      <c r="J9519" t="str">
        <f t="shared" si="297"/>
        <v>Complete</v>
      </c>
      <c r="K9519">
        <f>COUNTIFS(RawData[Item], B9519,RawData[Quantity],C9519,RawData[Price Per Unit],D9519,RawData[Total Spent],E9519,RawData[Payment Method],F9519,RawData[Location],G9519,RawData[Transaction Date],H9519)</f>
        <v>1</v>
      </c>
      <c r="L9519"/>
    </row>
    <row r="9520" spans="1:12" x14ac:dyDescent="0.3">
      <c r="A9520" t="s">
        <v>9526</v>
      </c>
      <c r="B9520" t="s">
        <v>10012</v>
      </c>
      <c r="C9520">
        <v>5</v>
      </c>
      <c r="D9520">
        <v>4</v>
      </c>
      <c r="E9520">
        <v>20</v>
      </c>
      <c r="F9520" t="s">
        <v>10069</v>
      </c>
      <c r="G9520" t="s">
        <v>10102</v>
      </c>
      <c r="H9520" s="6">
        <v>45277</v>
      </c>
      <c r="I9520">
        <f t="shared" si="296"/>
        <v>0</v>
      </c>
      <c r="J9520" t="str">
        <f t="shared" si="297"/>
        <v>Complete</v>
      </c>
      <c r="K9520">
        <f>COUNTIFS(RawData[Item], B9520,RawData[Quantity],C9520,RawData[Price Per Unit],D9520,RawData[Total Spent],E9520,RawData[Payment Method],F9520,RawData[Location],G9520,RawData[Transaction Date],H9520)</f>
        <v>1</v>
      </c>
      <c r="L9520"/>
    </row>
    <row r="9521" spans="1:12" x14ac:dyDescent="0.3">
      <c r="A9521" t="s">
        <v>9527</v>
      </c>
      <c r="B9521" t="s">
        <v>10017</v>
      </c>
      <c r="C9521">
        <v>4</v>
      </c>
      <c r="D9521">
        <v>1.5</v>
      </c>
      <c r="E9521">
        <v>6</v>
      </c>
      <c r="F9521" t="s">
        <v>10019</v>
      </c>
      <c r="G9521" t="s">
        <v>10102</v>
      </c>
      <c r="H9521" s="6">
        <v>45218</v>
      </c>
      <c r="I9521">
        <f t="shared" si="296"/>
        <v>0</v>
      </c>
      <c r="J9521" t="str">
        <f t="shared" si="297"/>
        <v>Complete</v>
      </c>
      <c r="K9521">
        <f>COUNTIFS(RawData[Item], B9521,RawData[Quantity],C9521,RawData[Price Per Unit],D9521,RawData[Total Spent],E9521,RawData[Payment Method],F9521,RawData[Location],G9521,RawData[Transaction Date],H9521)</f>
        <v>2</v>
      </c>
      <c r="L9521"/>
    </row>
    <row r="9522" spans="1:12" x14ac:dyDescent="0.3">
      <c r="A9522" t="s">
        <v>9528</v>
      </c>
      <c r="B9522" t="s">
        <v>10008</v>
      </c>
      <c r="C9522">
        <v>3</v>
      </c>
      <c r="D9522">
        <v>2</v>
      </c>
      <c r="E9522">
        <v>6</v>
      </c>
      <c r="F9522" t="s">
        <v>10020</v>
      </c>
      <c r="G9522" t="s">
        <v>10103</v>
      </c>
      <c r="H9522" s="6">
        <v>45221</v>
      </c>
      <c r="I9522">
        <f t="shared" si="296"/>
        <v>1</v>
      </c>
      <c r="J9522" t="str">
        <f t="shared" si="297"/>
        <v>Complete</v>
      </c>
      <c r="K9522">
        <f>COUNTIFS(RawData[Item], B9522,RawData[Quantity],C9522,RawData[Price Per Unit],D9522,RawData[Total Spent],E9522,RawData[Payment Method],F9522,RawData[Location],G9522,RawData[Transaction Date],H9522)</f>
        <v>1</v>
      </c>
      <c r="L9522"/>
    </row>
    <row r="9523" spans="1:12" x14ac:dyDescent="0.3">
      <c r="A9523" t="s">
        <v>9529</v>
      </c>
      <c r="B9523" t="s">
        <v>10013</v>
      </c>
      <c r="C9523">
        <v>2</v>
      </c>
      <c r="D9523">
        <v>1.5</v>
      </c>
      <c r="E9523">
        <v>3</v>
      </c>
      <c r="F9523" t="s">
        <v>10019</v>
      </c>
      <c r="G9523" t="s">
        <v>10021</v>
      </c>
      <c r="H9523" s="6">
        <v>45037</v>
      </c>
      <c r="I9523">
        <f t="shared" si="296"/>
        <v>1</v>
      </c>
      <c r="J9523" t="str">
        <f t="shared" si="297"/>
        <v>Complete</v>
      </c>
      <c r="K9523">
        <f>COUNTIFS(RawData[Item], B9523,RawData[Quantity],C9523,RawData[Price Per Unit],D9523,RawData[Total Spent],E9523,RawData[Payment Method],F9523,RawData[Location],G9523,RawData[Transaction Date],H9523)</f>
        <v>1</v>
      </c>
      <c r="L9523"/>
    </row>
    <row r="9524" spans="1:12" x14ac:dyDescent="0.3">
      <c r="A9524" t="s">
        <v>9530</v>
      </c>
      <c r="B9524" t="s">
        <v>10009</v>
      </c>
      <c r="C9524">
        <v>2</v>
      </c>
      <c r="D9524">
        <v>3</v>
      </c>
      <c r="E9524">
        <v>6</v>
      </c>
      <c r="F9524" t="s">
        <v>10104</v>
      </c>
      <c r="G9524" t="s">
        <v>10102</v>
      </c>
      <c r="H9524" s="6">
        <v>44929</v>
      </c>
      <c r="I9524">
        <f t="shared" si="296"/>
        <v>1</v>
      </c>
      <c r="J9524" t="str">
        <f t="shared" si="297"/>
        <v>Complete</v>
      </c>
      <c r="K9524">
        <f>COUNTIFS(RawData[Item], B9524,RawData[Quantity],C9524,RawData[Price Per Unit],D9524,RawData[Total Spent],E9524,RawData[Payment Method],F9524,RawData[Location],G9524,RawData[Transaction Date],H9524)</f>
        <v>1</v>
      </c>
      <c r="L9524"/>
    </row>
    <row r="9525" spans="1:12" x14ac:dyDescent="0.3">
      <c r="A9525" t="s">
        <v>9531</v>
      </c>
      <c r="B9525" t="s">
        <v>10010</v>
      </c>
      <c r="C9525">
        <v>5</v>
      </c>
      <c r="D9525">
        <v>1</v>
      </c>
      <c r="E9525">
        <v>5</v>
      </c>
      <c r="F9525" t="s">
        <v>10019</v>
      </c>
      <c r="G9525" t="s">
        <v>10021</v>
      </c>
      <c r="H9525" s="6">
        <v>45255</v>
      </c>
      <c r="I9525">
        <f t="shared" si="296"/>
        <v>0</v>
      </c>
      <c r="J9525" t="str">
        <f t="shared" si="297"/>
        <v>Complete</v>
      </c>
      <c r="K9525">
        <f>COUNTIFS(RawData[Item], B9525,RawData[Quantity],C9525,RawData[Price Per Unit],D9525,RawData[Total Spent],E9525,RawData[Payment Method],F9525,RawData[Location],G9525,RawData[Transaction Date],H9525)</f>
        <v>1</v>
      </c>
      <c r="L9525"/>
    </row>
    <row r="9526" spans="1:12" x14ac:dyDescent="0.3">
      <c r="A9526" t="s">
        <v>9532</v>
      </c>
      <c r="B9526" t="s">
        <v>10012</v>
      </c>
      <c r="C9526" t="s">
        <v>10015</v>
      </c>
      <c r="D9526">
        <v>4</v>
      </c>
      <c r="E9526">
        <v>12</v>
      </c>
      <c r="F9526" t="s">
        <v>10018</v>
      </c>
      <c r="G9526" t="s">
        <v>10069</v>
      </c>
      <c r="H9526" s="6">
        <v>45114</v>
      </c>
      <c r="I9526">
        <f t="shared" si="296"/>
        <v>1</v>
      </c>
      <c r="J9526" t="str">
        <f t="shared" si="297"/>
        <v>Complete</v>
      </c>
      <c r="K9526">
        <f>COUNTIFS(RawData[Item], B9526,RawData[Quantity],C9526,RawData[Price Per Unit],D9526,RawData[Total Spent],E9526,RawData[Payment Method],F9526,RawData[Location],G9526,RawData[Transaction Date],H9526)</f>
        <v>1</v>
      </c>
      <c r="L9526"/>
    </row>
    <row r="9527" spans="1:12" x14ac:dyDescent="0.3">
      <c r="A9527" t="s">
        <v>9533</v>
      </c>
      <c r="B9527" t="s">
        <v>10014</v>
      </c>
      <c r="C9527">
        <v>4</v>
      </c>
      <c r="D9527">
        <v>4</v>
      </c>
      <c r="E9527">
        <v>16</v>
      </c>
      <c r="F9527" t="s">
        <v>10104</v>
      </c>
      <c r="G9527" t="s">
        <v>10102</v>
      </c>
      <c r="H9527" s="6">
        <v>45178</v>
      </c>
      <c r="I9527">
        <f t="shared" si="296"/>
        <v>1</v>
      </c>
      <c r="J9527" t="str">
        <f t="shared" si="297"/>
        <v>Complete</v>
      </c>
      <c r="K9527">
        <f>COUNTIFS(RawData[Item], B9527,RawData[Quantity],C9527,RawData[Price Per Unit],D9527,RawData[Total Spent],E9527,RawData[Payment Method],F9527,RawData[Location],G9527,RawData[Transaction Date],H9527)</f>
        <v>1</v>
      </c>
      <c r="L9527"/>
    </row>
    <row r="9528" spans="1:12" x14ac:dyDescent="0.3">
      <c r="A9528" t="s">
        <v>9534</v>
      </c>
      <c r="B9528" t="s">
        <v>10008</v>
      </c>
      <c r="C9528">
        <v>4</v>
      </c>
      <c r="D9528">
        <v>2</v>
      </c>
      <c r="E9528">
        <v>8</v>
      </c>
      <c r="F9528" t="s">
        <v>10019</v>
      </c>
      <c r="G9528" t="s">
        <v>10102</v>
      </c>
      <c r="H9528" s="6">
        <v>45138</v>
      </c>
      <c r="I9528">
        <f t="shared" si="296"/>
        <v>0</v>
      </c>
      <c r="J9528" t="str">
        <f t="shared" si="297"/>
        <v>Complete</v>
      </c>
      <c r="K9528">
        <f>COUNTIFS(RawData[Item], B9528,RawData[Quantity],C9528,RawData[Price Per Unit],D9528,RawData[Total Spent],E9528,RawData[Payment Method],F9528,RawData[Location],G9528,RawData[Transaction Date],H9528)</f>
        <v>1</v>
      </c>
      <c r="L9528"/>
    </row>
    <row r="9529" spans="1:12" x14ac:dyDescent="0.3">
      <c r="A9529" t="s">
        <v>9535</v>
      </c>
      <c r="B9529" t="s">
        <v>10011</v>
      </c>
      <c r="C9529">
        <v>5</v>
      </c>
      <c r="D9529">
        <v>5</v>
      </c>
      <c r="E9529">
        <v>25</v>
      </c>
      <c r="F9529" t="s">
        <v>10020</v>
      </c>
      <c r="G9529" t="s">
        <v>10021</v>
      </c>
      <c r="H9529" s="6">
        <v>45113</v>
      </c>
      <c r="I9529">
        <f t="shared" si="296"/>
        <v>0</v>
      </c>
      <c r="J9529" t="str">
        <f t="shared" si="297"/>
        <v>Complete</v>
      </c>
      <c r="K9529">
        <f>COUNTIFS(RawData[Item], B9529,RawData[Quantity],C9529,RawData[Price Per Unit],D9529,RawData[Total Spent],E9529,RawData[Payment Method],F9529,RawData[Location],G9529,RawData[Transaction Date],H9529)</f>
        <v>1</v>
      </c>
      <c r="L9529"/>
    </row>
    <row r="9530" spans="1:12" x14ac:dyDescent="0.3">
      <c r="A9530" t="s">
        <v>9536</v>
      </c>
      <c r="B9530" t="s">
        <v>10011</v>
      </c>
      <c r="C9530">
        <v>2</v>
      </c>
      <c r="D9530">
        <v>5</v>
      </c>
      <c r="E9530">
        <v>0</v>
      </c>
      <c r="F9530" t="s">
        <v>10020</v>
      </c>
      <c r="G9530" t="s">
        <v>10102</v>
      </c>
      <c r="H9530" s="6">
        <v>45241</v>
      </c>
      <c r="I9530">
        <f t="shared" si="296"/>
        <v>0</v>
      </c>
      <c r="J9530" t="str">
        <f t="shared" si="297"/>
        <v>Complete</v>
      </c>
      <c r="K9530">
        <f>COUNTIFS(RawData[Item], B9530,RawData[Quantity],C9530,RawData[Price Per Unit],D9530,RawData[Total Spent],E9530,RawData[Payment Method],F9530,RawData[Location],G9530,RawData[Transaction Date],H9530)</f>
        <v>1</v>
      </c>
      <c r="L9530"/>
    </row>
    <row r="9531" spans="1:12" x14ac:dyDescent="0.3">
      <c r="A9531" t="s">
        <v>9537</v>
      </c>
      <c r="B9531" t="s">
        <v>10014</v>
      </c>
      <c r="C9531">
        <v>3</v>
      </c>
      <c r="D9531">
        <v>4</v>
      </c>
      <c r="E9531">
        <v>0</v>
      </c>
      <c r="F9531" t="s">
        <v>10018</v>
      </c>
      <c r="G9531" t="s">
        <v>10102</v>
      </c>
      <c r="H9531" s="6">
        <v>45202</v>
      </c>
      <c r="I9531">
        <f t="shared" si="296"/>
        <v>0</v>
      </c>
      <c r="J9531" t="str">
        <f t="shared" si="297"/>
        <v>Complete</v>
      </c>
      <c r="K9531">
        <f>COUNTIFS(RawData[Item], B9531,RawData[Quantity],C9531,RawData[Price Per Unit],D9531,RawData[Total Spent],E9531,RawData[Payment Method],F9531,RawData[Location],G9531,RawData[Transaction Date],H9531)</f>
        <v>1</v>
      </c>
      <c r="L9531"/>
    </row>
    <row r="9532" spans="1:12" x14ac:dyDescent="0.3">
      <c r="A9532" t="s">
        <v>9538</v>
      </c>
      <c r="B9532" t="s">
        <v>10069</v>
      </c>
      <c r="C9532">
        <v>2</v>
      </c>
      <c r="D9532">
        <v>4</v>
      </c>
      <c r="E9532">
        <v>8</v>
      </c>
      <c r="F9532" t="s">
        <v>10018</v>
      </c>
      <c r="G9532" t="s">
        <v>10103</v>
      </c>
      <c r="H9532" s="6">
        <v>45220</v>
      </c>
      <c r="I9532">
        <f t="shared" si="296"/>
        <v>1</v>
      </c>
      <c r="J9532" t="str">
        <f t="shared" si="297"/>
        <v>Complete</v>
      </c>
      <c r="K9532">
        <f>COUNTIFS(RawData[Item], B9532,RawData[Quantity],C9532,RawData[Price Per Unit],D9532,RawData[Total Spent],E9532,RawData[Payment Method],F9532,RawData[Location],G9532,RawData[Transaction Date],H9532)</f>
        <v>1</v>
      </c>
      <c r="L9532"/>
    </row>
    <row r="9533" spans="1:12" x14ac:dyDescent="0.3">
      <c r="A9533" t="s">
        <v>9539</v>
      </c>
      <c r="B9533" t="s">
        <v>10011</v>
      </c>
      <c r="C9533">
        <v>1</v>
      </c>
      <c r="D9533">
        <v>5</v>
      </c>
      <c r="E9533">
        <v>5</v>
      </c>
      <c r="F9533" t="s">
        <v>10020</v>
      </c>
      <c r="G9533" t="s">
        <v>10021</v>
      </c>
      <c r="H9533" s="6">
        <v>45228</v>
      </c>
      <c r="I9533">
        <f t="shared" si="296"/>
        <v>0</v>
      </c>
      <c r="J9533" t="str">
        <f t="shared" si="297"/>
        <v>Complete</v>
      </c>
      <c r="K9533">
        <f>COUNTIFS(RawData[Item], B9533,RawData[Quantity],C9533,RawData[Price Per Unit],D9533,RawData[Total Spent],E9533,RawData[Payment Method],F9533,RawData[Location],G9533,RawData[Transaction Date],H9533)</f>
        <v>1</v>
      </c>
      <c r="L9533"/>
    </row>
    <row r="9534" spans="1:12" x14ac:dyDescent="0.3">
      <c r="A9534" t="s">
        <v>9540</v>
      </c>
      <c r="B9534" t="s">
        <v>10012</v>
      </c>
      <c r="C9534">
        <v>5</v>
      </c>
      <c r="D9534">
        <v>4</v>
      </c>
      <c r="E9534">
        <v>20</v>
      </c>
      <c r="F9534" t="s">
        <v>10020</v>
      </c>
      <c r="G9534" t="s">
        <v>10103</v>
      </c>
      <c r="H9534" s="6">
        <v>45116</v>
      </c>
      <c r="I9534">
        <f t="shared" si="296"/>
        <v>1</v>
      </c>
      <c r="J9534" t="str">
        <f t="shared" si="297"/>
        <v>Complete</v>
      </c>
      <c r="K9534">
        <f>COUNTIFS(RawData[Item], B9534,RawData[Quantity],C9534,RawData[Price Per Unit],D9534,RawData[Total Spent],E9534,RawData[Payment Method],F9534,RawData[Location],G9534,RawData[Transaction Date],H9534)</f>
        <v>1</v>
      </c>
      <c r="L9534"/>
    </row>
    <row r="9535" spans="1:12" x14ac:dyDescent="0.3">
      <c r="A9535" t="s">
        <v>9541</v>
      </c>
      <c r="B9535" t="s">
        <v>10012</v>
      </c>
      <c r="C9535">
        <v>5</v>
      </c>
      <c r="D9535" t="s">
        <v>10015</v>
      </c>
      <c r="E9535">
        <v>20</v>
      </c>
      <c r="F9535" t="s">
        <v>10018</v>
      </c>
      <c r="G9535" t="s">
        <v>10021</v>
      </c>
      <c r="H9535" s="6">
        <v>45046</v>
      </c>
      <c r="I9535">
        <f t="shared" si="296"/>
        <v>1</v>
      </c>
      <c r="J9535" t="str">
        <f t="shared" si="297"/>
        <v>Complete</v>
      </c>
      <c r="K9535">
        <f>COUNTIFS(RawData[Item], B9535,RawData[Quantity],C9535,RawData[Price Per Unit],D9535,RawData[Total Spent],E9535,RawData[Payment Method],F9535,RawData[Location],G9535,RawData[Transaction Date],H9535)</f>
        <v>1</v>
      </c>
      <c r="L9535"/>
    </row>
    <row r="9536" spans="1:12" x14ac:dyDescent="0.3">
      <c r="A9536" t="s">
        <v>9542</v>
      </c>
      <c r="B9536" t="s">
        <v>10012</v>
      </c>
      <c r="C9536">
        <v>1</v>
      </c>
      <c r="D9536">
        <v>4</v>
      </c>
      <c r="E9536">
        <v>4</v>
      </c>
      <c r="F9536" t="s">
        <v>10020</v>
      </c>
      <c r="G9536" t="s">
        <v>10069</v>
      </c>
      <c r="H9536" s="6">
        <v>45199</v>
      </c>
      <c r="I9536">
        <f t="shared" si="296"/>
        <v>0</v>
      </c>
      <c r="J9536" t="str">
        <f t="shared" si="297"/>
        <v>Complete</v>
      </c>
      <c r="K9536">
        <f>COUNTIFS(RawData[Item], B9536,RawData[Quantity],C9536,RawData[Price Per Unit],D9536,RawData[Total Spent],E9536,RawData[Payment Method],F9536,RawData[Location],G9536,RawData[Transaction Date],H9536)</f>
        <v>1</v>
      </c>
      <c r="L9536"/>
    </row>
    <row r="9537" spans="1:12" x14ac:dyDescent="0.3">
      <c r="A9537" t="s">
        <v>9543</v>
      </c>
      <c r="B9537" t="s">
        <v>10012</v>
      </c>
      <c r="C9537">
        <v>5</v>
      </c>
      <c r="D9537">
        <v>4</v>
      </c>
      <c r="E9537">
        <v>20</v>
      </c>
      <c r="F9537" t="s">
        <v>10104</v>
      </c>
      <c r="G9537" t="s">
        <v>10102</v>
      </c>
      <c r="H9537" s="6">
        <v>44980</v>
      </c>
      <c r="I9537">
        <f t="shared" si="296"/>
        <v>1</v>
      </c>
      <c r="J9537" t="str">
        <f t="shared" si="297"/>
        <v>Complete</v>
      </c>
      <c r="K9537">
        <f>COUNTIFS(RawData[Item], B9537,RawData[Quantity],C9537,RawData[Price Per Unit],D9537,RawData[Total Spent],E9537,RawData[Payment Method],F9537,RawData[Location],G9537,RawData[Transaction Date],H9537)</f>
        <v>1</v>
      </c>
      <c r="L9537"/>
    </row>
    <row r="9538" spans="1:12" x14ac:dyDescent="0.3">
      <c r="A9538" t="s">
        <v>9544</v>
      </c>
      <c r="B9538" t="s">
        <v>10010</v>
      </c>
      <c r="C9538">
        <v>4</v>
      </c>
      <c r="D9538">
        <v>1</v>
      </c>
      <c r="E9538">
        <v>4</v>
      </c>
      <c r="F9538" t="s">
        <v>10019</v>
      </c>
      <c r="G9538" t="s">
        <v>10069</v>
      </c>
      <c r="H9538" s="6">
        <v>45032</v>
      </c>
      <c r="I9538">
        <f t="shared" ref="I9538:I9601" si="298">(B9538="Unknown")+(B9538="Error")+(C9538="Unknown")+(C9538="Error")+(D9538="Unknown")+(D9538="Error")+(E9538="Unknown")+(E9538="Error")+(F9538="Unknown")+(F9538="Error")+(G9538="Unknown")+(G9538="Error")+(H9538="No Date")</f>
        <v>0</v>
      </c>
      <c r="J9538" t="str">
        <f t="shared" ref="J9538:J9601" si="299">IF((H9538="No Date"),"Incomplete","Complete")</f>
        <v>Complete</v>
      </c>
      <c r="K9538">
        <f>COUNTIFS(RawData[Item], B9538,RawData[Quantity],C9538,RawData[Price Per Unit],D9538,RawData[Total Spent],E9538,RawData[Payment Method],F9538,RawData[Location],G9538,RawData[Transaction Date],H9538)</f>
        <v>1</v>
      </c>
      <c r="L9538"/>
    </row>
    <row r="9539" spans="1:12" x14ac:dyDescent="0.3">
      <c r="A9539" t="s">
        <v>9545</v>
      </c>
      <c r="B9539" t="s">
        <v>10008</v>
      </c>
      <c r="C9539">
        <v>4</v>
      </c>
      <c r="D9539">
        <v>2</v>
      </c>
      <c r="E9539">
        <v>8</v>
      </c>
      <c r="F9539" t="s">
        <v>10069</v>
      </c>
      <c r="G9539" t="s">
        <v>10069</v>
      </c>
      <c r="H9539" s="6">
        <v>45270</v>
      </c>
      <c r="I9539">
        <f t="shared" si="298"/>
        <v>0</v>
      </c>
      <c r="J9539" t="str">
        <f t="shared" si="299"/>
        <v>Complete</v>
      </c>
      <c r="K9539">
        <f>COUNTIFS(RawData[Item], B9539,RawData[Quantity],C9539,RawData[Price Per Unit],D9539,RawData[Total Spent],E9539,RawData[Payment Method],F9539,RawData[Location],G9539,RawData[Transaction Date],H9539)</f>
        <v>2</v>
      </c>
      <c r="L9539"/>
    </row>
    <row r="9540" spans="1:12" x14ac:dyDescent="0.3">
      <c r="A9540" t="s">
        <v>9546</v>
      </c>
      <c r="B9540" t="s">
        <v>10012</v>
      </c>
      <c r="C9540">
        <v>3</v>
      </c>
      <c r="D9540">
        <v>4</v>
      </c>
      <c r="E9540">
        <v>12</v>
      </c>
      <c r="F9540" t="s">
        <v>10020</v>
      </c>
      <c r="G9540" t="s">
        <v>10104</v>
      </c>
      <c r="H9540" s="6">
        <v>45240</v>
      </c>
      <c r="I9540">
        <f t="shared" si="298"/>
        <v>1</v>
      </c>
      <c r="J9540" t="str">
        <f t="shared" si="299"/>
        <v>Complete</v>
      </c>
      <c r="K9540">
        <f>COUNTIFS(RawData[Item], B9540,RawData[Quantity],C9540,RawData[Price Per Unit],D9540,RawData[Total Spent],E9540,RawData[Payment Method],F9540,RawData[Location],G9540,RawData[Transaction Date],H9540)</f>
        <v>1</v>
      </c>
      <c r="L9540"/>
    </row>
    <row r="9541" spans="1:12" x14ac:dyDescent="0.3">
      <c r="A9541" t="s">
        <v>9547</v>
      </c>
      <c r="B9541" t="s">
        <v>10011</v>
      </c>
      <c r="C9541">
        <v>3</v>
      </c>
      <c r="D9541">
        <v>5</v>
      </c>
      <c r="E9541">
        <v>15</v>
      </c>
      <c r="F9541" t="s">
        <v>10020</v>
      </c>
      <c r="G9541" t="s">
        <v>10069</v>
      </c>
      <c r="H9541" s="6">
        <v>44975</v>
      </c>
      <c r="I9541">
        <f t="shared" si="298"/>
        <v>0</v>
      </c>
      <c r="J9541" t="str">
        <f t="shared" si="299"/>
        <v>Complete</v>
      </c>
      <c r="K9541">
        <f>COUNTIFS(RawData[Item], B9541,RawData[Quantity],C9541,RawData[Price Per Unit],D9541,RawData[Total Spent],E9541,RawData[Payment Method],F9541,RawData[Location],G9541,RawData[Transaction Date],H9541)</f>
        <v>1</v>
      </c>
      <c r="L9541"/>
    </row>
    <row r="9542" spans="1:12" x14ac:dyDescent="0.3">
      <c r="A9542" t="s">
        <v>9548</v>
      </c>
      <c r="B9542" t="s">
        <v>10016</v>
      </c>
      <c r="C9542">
        <v>4</v>
      </c>
      <c r="D9542">
        <v>3</v>
      </c>
      <c r="E9542">
        <v>12</v>
      </c>
      <c r="F9542" t="s">
        <v>10069</v>
      </c>
      <c r="G9542" t="s">
        <v>10103</v>
      </c>
      <c r="H9542" s="6">
        <v>45114</v>
      </c>
      <c r="I9542">
        <f t="shared" si="298"/>
        <v>1</v>
      </c>
      <c r="J9542" t="str">
        <f t="shared" si="299"/>
        <v>Complete</v>
      </c>
      <c r="K9542">
        <f>COUNTIFS(RawData[Item], B9542,RawData[Quantity],C9542,RawData[Price Per Unit],D9542,RawData[Total Spent],E9542,RawData[Payment Method],F9542,RawData[Location],G9542,RawData[Transaction Date],H9542)</f>
        <v>1</v>
      </c>
      <c r="L9542"/>
    </row>
    <row r="9543" spans="1:12" x14ac:dyDescent="0.3">
      <c r="A9543" t="s">
        <v>9549</v>
      </c>
      <c r="B9543" t="s">
        <v>10017</v>
      </c>
      <c r="C9543">
        <v>5</v>
      </c>
      <c r="D9543">
        <v>1.5</v>
      </c>
      <c r="E9543">
        <v>7.5</v>
      </c>
      <c r="F9543" t="s">
        <v>10019</v>
      </c>
      <c r="G9543" t="s">
        <v>10069</v>
      </c>
      <c r="H9543" s="6">
        <v>45161</v>
      </c>
      <c r="I9543">
        <f t="shared" si="298"/>
        <v>0</v>
      </c>
      <c r="J9543" t="str">
        <f t="shared" si="299"/>
        <v>Complete</v>
      </c>
      <c r="K9543">
        <f>COUNTIFS(RawData[Item], B9543,RawData[Quantity],C9543,RawData[Price Per Unit],D9543,RawData[Total Spent],E9543,RawData[Payment Method],F9543,RawData[Location],G9543,RawData[Transaction Date],H9543)</f>
        <v>1</v>
      </c>
      <c r="L9543"/>
    </row>
    <row r="9544" spans="1:12" x14ac:dyDescent="0.3">
      <c r="A9544" t="s">
        <v>9550</v>
      </c>
      <c r="B9544" t="s">
        <v>10017</v>
      </c>
      <c r="C9544">
        <v>2</v>
      </c>
      <c r="D9544">
        <v>1.5</v>
      </c>
      <c r="E9544">
        <v>3</v>
      </c>
      <c r="F9544" t="s">
        <v>10019</v>
      </c>
      <c r="G9544" t="s">
        <v>10102</v>
      </c>
      <c r="H9544" s="6">
        <v>45112</v>
      </c>
      <c r="I9544">
        <f t="shared" si="298"/>
        <v>0</v>
      </c>
      <c r="J9544" t="str">
        <f t="shared" si="299"/>
        <v>Complete</v>
      </c>
      <c r="K9544">
        <f>COUNTIFS(RawData[Item], B9544,RawData[Quantity],C9544,RawData[Price Per Unit],D9544,RawData[Total Spent],E9544,RawData[Payment Method],F9544,RawData[Location],G9544,RawData[Transaction Date],H9544)</f>
        <v>1</v>
      </c>
      <c r="L9544"/>
    </row>
    <row r="9545" spans="1:12" x14ac:dyDescent="0.3">
      <c r="A9545" t="s">
        <v>9551</v>
      </c>
      <c r="B9545" t="s">
        <v>10014</v>
      </c>
      <c r="C9545">
        <v>3</v>
      </c>
      <c r="D9545">
        <v>4</v>
      </c>
      <c r="E9545">
        <v>12</v>
      </c>
      <c r="F9545" t="s">
        <v>10020</v>
      </c>
      <c r="G9545" t="s">
        <v>10102</v>
      </c>
      <c r="H9545" s="6">
        <v>45096</v>
      </c>
      <c r="I9545">
        <f t="shared" si="298"/>
        <v>0</v>
      </c>
      <c r="J9545" t="str">
        <f t="shared" si="299"/>
        <v>Complete</v>
      </c>
      <c r="K9545">
        <f>COUNTIFS(RawData[Item], B9545,RawData[Quantity],C9545,RawData[Price Per Unit],D9545,RawData[Total Spent],E9545,RawData[Payment Method],F9545,RawData[Location],G9545,RawData[Transaction Date],H9545)</f>
        <v>1</v>
      </c>
      <c r="L9545"/>
    </row>
    <row r="9546" spans="1:12" x14ac:dyDescent="0.3">
      <c r="A9546" t="s">
        <v>9552</v>
      </c>
      <c r="B9546" t="s">
        <v>10016</v>
      </c>
      <c r="C9546">
        <v>3</v>
      </c>
      <c r="D9546">
        <v>3</v>
      </c>
      <c r="E9546">
        <v>9</v>
      </c>
      <c r="F9546" t="s">
        <v>10019</v>
      </c>
      <c r="G9546" t="s">
        <v>10021</v>
      </c>
      <c r="H9546" s="6">
        <v>45184</v>
      </c>
      <c r="I9546">
        <f t="shared" si="298"/>
        <v>0</v>
      </c>
      <c r="J9546" t="str">
        <f t="shared" si="299"/>
        <v>Complete</v>
      </c>
      <c r="K9546">
        <f>COUNTIFS(RawData[Item], B9546,RawData[Quantity],C9546,RawData[Price Per Unit],D9546,RawData[Total Spent],E9546,RawData[Payment Method],F9546,RawData[Location],G9546,RawData[Transaction Date],H9546)</f>
        <v>1</v>
      </c>
      <c r="L9546"/>
    </row>
    <row r="9547" spans="1:12" x14ac:dyDescent="0.3">
      <c r="A9547" t="s">
        <v>9553</v>
      </c>
      <c r="B9547" t="s">
        <v>10009</v>
      </c>
      <c r="C9547">
        <v>4</v>
      </c>
      <c r="D9547">
        <v>3</v>
      </c>
      <c r="E9547">
        <v>12</v>
      </c>
      <c r="F9547" t="s">
        <v>10069</v>
      </c>
      <c r="G9547" t="s">
        <v>10069</v>
      </c>
      <c r="H9547" s="6">
        <v>45252</v>
      </c>
      <c r="I9547">
        <f t="shared" si="298"/>
        <v>0</v>
      </c>
      <c r="J9547" t="str">
        <f t="shared" si="299"/>
        <v>Complete</v>
      </c>
      <c r="K9547">
        <f>COUNTIFS(RawData[Item], B9547,RawData[Quantity],C9547,RawData[Price Per Unit],D9547,RawData[Total Spent],E9547,RawData[Payment Method],F9547,RawData[Location],G9547,RawData[Transaction Date],H9547)</f>
        <v>1</v>
      </c>
      <c r="L9547"/>
    </row>
    <row r="9548" spans="1:12" x14ac:dyDescent="0.3">
      <c r="A9548" t="s">
        <v>9554</v>
      </c>
      <c r="B9548" t="s">
        <v>10016</v>
      </c>
      <c r="C9548">
        <v>4</v>
      </c>
      <c r="D9548">
        <v>3</v>
      </c>
      <c r="E9548">
        <v>12</v>
      </c>
      <c r="F9548" t="s">
        <v>10019</v>
      </c>
      <c r="G9548" t="s">
        <v>10102</v>
      </c>
      <c r="H9548" s="6">
        <v>45040</v>
      </c>
      <c r="I9548">
        <f t="shared" si="298"/>
        <v>0</v>
      </c>
      <c r="J9548" t="str">
        <f t="shared" si="299"/>
        <v>Complete</v>
      </c>
      <c r="K9548">
        <f>COUNTIFS(RawData[Item], B9548,RawData[Quantity],C9548,RawData[Price Per Unit],D9548,RawData[Total Spent],E9548,RawData[Payment Method],F9548,RawData[Location],G9548,RawData[Transaction Date],H9548)</f>
        <v>1</v>
      </c>
      <c r="L9548"/>
    </row>
    <row r="9549" spans="1:12" x14ac:dyDescent="0.3">
      <c r="A9549" t="s">
        <v>9555</v>
      </c>
      <c r="B9549" t="s">
        <v>10008</v>
      </c>
      <c r="C9549">
        <v>5</v>
      </c>
      <c r="D9549">
        <v>2</v>
      </c>
      <c r="E9549">
        <v>10</v>
      </c>
      <c r="F9549" t="s">
        <v>10069</v>
      </c>
      <c r="G9549" t="s">
        <v>10102</v>
      </c>
      <c r="H9549" s="6">
        <v>45264</v>
      </c>
      <c r="I9549">
        <f t="shared" si="298"/>
        <v>0</v>
      </c>
      <c r="J9549" t="str">
        <f t="shared" si="299"/>
        <v>Complete</v>
      </c>
      <c r="K9549">
        <f>COUNTIFS(RawData[Item], B9549,RawData[Quantity],C9549,RawData[Price Per Unit],D9549,RawData[Total Spent],E9549,RawData[Payment Method],F9549,RawData[Location],G9549,RawData[Transaction Date],H9549)</f>
        <v>1</v>
      </c>
      <c r="L9549"/>
    </row>
    <row r="9550" spans="1:12" x14ac:dyDescent="0.3">
      <c r="A9550" t="s">
        <v>9556</v>
      </c>
      <c r="B9550" t="s">
        <v>10017</v>
      </c>
      <c r="C9550">
        <v>4</v>
      </c>
      <c r="D9550">
        <v>1.5</v>
      </c>
      <c r="E9550">
        <v>6</v>
      </c>
      <c r="F9550" t="s">
        <v>10020</v>
      </c>
      <c r="G9550" t="s">
        <v>10021</v>
      </c>
      <c r="H9550" s="6">
        <v>44971</v>
      </c>
      <c r="I9550">
        <f t="shared" si="298"/>
        <v>0</v>
      </c>
      <c r="J9550" t="str">
        <f t="shared" si="299"/>
        <v>Complete</v>
      </c>
      <c r="K9550">
        <f>COUNTIFS(RawData[Item], B9550,RawData[Quantity],C9550,RawData[Price Per Unit],D9550,RawData[Total Spent],E9550,RawData[Payment Method],F9550,RawData[Location],G9550,RawData[Transaction Date],H9550)</f>
        <v>1</v>
      </c>
      <c r="L9550"/>
    </row>
    <row r="9551" spans="1:12" x14ac:dyDescent="0.3">
      <c r="A9551" t="s">
        <v>9557</v>
      </c>
      <c r="B9551" t="s">
        <v>10016</v>
      </c>
      <c r="C9551">
        <v>3</v>
      </c>
      <c r="D9551">
        <v>3</v>
      </c>
      <c r="E9551">
        <v>9</v>
      </c>
      <c r="F9551" t="s">
        <v>10019</v>
      </c>
      <c r="G9551" t="s">
        <v>10021</v>
      </c>
      <c r="H9551" s="6">
        <v>45261</v>
      </c>
      <c r="I9551">
        <f t="shared" si="298"/>
        <v>0</v>
      </c>
      <c r="J9551" t="str">
        <f t="shared" si="299"/>
        <v>Complete</v>
      </c>
      <c r="K9551">
        <f>COUNTIFS(RawData[Item], B9551,RawData[Quantity],C9551,RawData[Price Per Unit],D9551,RawData[Total Spent],E9551,RawData[Payment Method],F9551,RawData[Location],G9551,RawData[Transaction Date],H9551)</f>
        <v>1</v>
      </c>
      <c r="L9551"/>
    </row>
    <row r="9552" spans="1:12" x14ac:dyDescent="0.3">
      <c r="A9552" t="s">
        <v>9558</v>
      </c>
      <c r="B9552" t="s">
        <v>10014</v>
      </c>
      <c r="C9552">
        <v>3</v>
      </c>
      <c r="D9552" t="s">
        <v>10013</v>
      </c>
      <c r="E9552">
        <v>12</v>
      </c>
      <c r="F9552" t="s">
        <v>10018</v>
      </c>
      <c r="G9552" t="s">
        <v>10102</v>
      </c>
      <c r="H9552" s="6">
        <v>45268</v>
      </c>
      <c r="I9552">
        <f t="shared" si="298"/>
        <v>1</v>
      </c>
      <c r="J9552" t="str">
        <f t="shared" si="299"/>
        <v>Complete</v>
      </c>
      <c r="K9552">
        <f>COUNTIFS(RawData[Item], B9552,RawData[Quantity],C9552,RawData[Price Per Unit],D9552,RawData[Total Spent],E9552,RawData[Payment Method],F9552,RawData[Location],G9552,RawData[Transaction Date],H9552)</f>
        <v>1</v>
      </c>
      <c r="L9552"/>
    </row>
    <row r="9553" spans="1:12" x14ac:dyDescent="0.3">
      <c r="A9553" t="s">
        <v>9559</v>
      </c>
      <c r="B9553" t="s">
        <v>10012</v>
      </c>
      <c r="C9553">
        <v>4</v>
      </c>
      <c r="D9553">
        <v>4</v>
      </c>
      <c r="E9553">
        <v>16</v>
      </c>
      <c r="F9553" t="s">
        <v>10103</v>
      </c>
      <c r="G9553" t="s">
        <v>10021</v>
      </c>
      <c r="H9553" s="6">
        <v>45239</v>
      </c>
      <c r="I9553">
        <f t="shared" si="298"/>
        <v>1</v>
      </c>
      <c r="J9553" t="str">
        <f t="shared" si="299"/>
        <v>Complete</v>
      </c>
      <c r="K9553">
        <f>COUNTIFS(RawData[Item], B9553,RawData[Quantity],C9553,RawData[Price Per Unit],D9553,RawData[Total Spent],E9553,RawData[Payment Method],F9553,RawData[Location],G9553,RawData[Transaction Date],H9553)</f>
        <v>1</v>
      </c>
      <c r="L9553"/>
    </row>
    <row r="9554" spans="1:12" x14ac:dyDescent="0.3">
      <c r="A9554" t="s">
        <v>9560</v>
      </c>
      <c r="B9554" t="s">
        <v>10009</v>
      </c>
      <c r="C9554">
        <v>3</v>
      </c>
      <c r="D9554">
        <v>3</v>
      </c>
      <c r="E9554">
        <v>9</v>
      </c>
      <c r="F9554" t="s">
        <v>10019</v>
      </c>
      <c r="G9554" t="s">
        <v>10102</v>
      </c>
      <c r="H9554" s="6">
        <v>45175</v>
      </c>
      <c r="I9554">
        <f t="shared" si="298"/>
        <v>0</v>
      </c>
      <c r="J9554" t="str">
        <f t="shared" si="299"/>
        <v>Complete</v>
      </c>
      <c r="K9554">
        <f>COUNTIFS(RawData[Item], B9554,RawData[Quantity],C9554,RawData[Price Per Unit],D9554,RawData[Total Spent],E9554,RawData[Payment Method],F9554,RawData[Location],G9554,RawData[Transaction Date],H9554)</f>
        <v>1</v>
      </c>
      <c r="L9554"/>
    </row>
    <row r="9555" spans="1:12" x14ac:dyDescent="0.3">
      <c r="A9555" t="s">
        <v>9561</v>
      </c>
      <c r="B9555" t="s">
        <v>10009</v>
      </c>
      <c r="C9555">
        <v>2</v>
      </c>
      <c r="D9555">
        <v>3</v>
      </c>
      <c r="E9555">
        <v>6</v>
      </c>
      <c r="F9555" t="s">
        <v>10069</v>
      </c>
      <c r="G9555" t="s">
        <v>10069</v>
      </c>
      <c r="H9555" s="6">
        <v>45193</v>
      </c>
      <c r="I9555">
        <f t="shared" si="298"/>
        <v>0</v>
      </c>
      <c r="J9555" t="str">
        <f t="shared" si="299"/>
        <v>Complete</v>
      </c>
      <c r="K9555">
        <f>COUNTIFS(RawData[Item], B9555,RawData[Quantity],C9555,RawData[Price Per Unit],D9555,RawData[Total Spent],E9555,RawData[Payment Method],F9555,RawData[Location],G9555,RawData[Transaction Date],H9555)</f>
        <v>1</v>
      </c>
      <c r="L9555"/>
    </row>
    <row r="9556" spans="1:12" x14ac:dyDescent="0.3">
      <c r="A9556" t="s">
        <v>9562</v>
      </c>
      <c r="B9556" t="s">
        <v>10014</v>
      </c>
      <c r="C9556" t="s">
        <v>10013</v>
      </c>
      <c r="D9556">
        <v>4</v>
      </c>
      <c r="E9556">
        <v>20</v>
      </c>
      <c r="F9556" t="s">
        <v>10019</v>
      </c>
      <c r="G9556" t="s">
        <v>10069</v>
      </c>
      <c r="H9556" s="6">
        <v>45206</v>
      </c>
      <c r="I9556">
        <f t="shared" si="298"/>
        <v>1</v>
      </c>
      <c r="J9556" t="str">
        <f t="shared" si="299"/>
        <v>Complete</v>
      </c>
      <c r="K9556">
        <f>COUNTIFS(RawData[Item], B9556,RawData[Quantity],C9556,RawData[Price Per Unit],D9556,RawData[Total Spent],E9556,RawData[Payment Method],F9556,RawData[Location],G9556,RawData[Transaction Date],H9556)</f>
        <v>1</v>
      </c>
      <c r="L9556"/>
    </row>
    <row r="9557" spans="1:12" x14ac:dyDescent="0.3">
      <c r="A9557" t="s">
        <v>9563</v>
      </c>
      <c r="B9557" t="s">
        <v>10017</v>
      </c>
      <c r="C9557">
        <v>3</v>
      </c>
      <c r="D9557">
        <v>1.5</v>
      </c>
      <c r="E9557">
        <v>4.5</v>
      </c>
      <c r="F9557" t="s">
        <v>10019</v>
      </c>
      <c r="G9557" t="s">
        <v>10021</v>
      </c>
      <c r="H9557" s="6">
        <v>44952</v>
      </c>
      <c r="I9557">
        <f t="shared" si="298"/>
        <v>0</v>
      </c>
      <c r="J9557" t="str">
        <f t="shared" si="299"/>
        <v>Complete</v>
      </c>
      <c r="K9557">
        <f>COUNTIFS(RawData[Item], B9557,RawData[Quantity],C9557,RawData[Price Per Unit],D9557,RawData[Total Spent],E9557,RawData[Payment Method],F9557,RawData[Location],G9557,RawData[Transaction Date],H9557)</f>
        <v>1</v>
      </c>
      <c r="L9557"/>
    </row>
    <row r="9558" spans="1:12" x14ac:dyDescent="0.3">
      <c r="A9558" t="s">
        <v>9564</v>
      </c>
      <c r="B9558" t="s">
        <v>10012</v>
      </c>
      <c r="C9558">
        <v>4</v>
      </c>
      <c r="D9558">
        <v>4</v>
      </c>
      <c r="E9558">
        <v>16</v>
      </c>
      <c r="F9558" t="s">
        <v>10018</v>
      </c>
      <c r="G9558" t="s">
        <v>10021</v>
      </c>
      <c r="H9558" s="6">
        <v>45004</v>
      </c>
      <c r="I9558">
        <f t="shared" si="298"/>
        <v>0</v>
      </c>
      <c r="J9558" t="str">
        <f t="shared" si="299"/>
        <v>Complete</v>
      </c>
      <c r="K9558">
        <f>COUNTIFS(RawData[Item], B9558,RawData[Quantity],C9558,RawData[Price Per Unit],D9558,RawData[Total Spent],E9558,RawData[Payment Method],F9558,RawData[Location],G9558,RawData[Transaction Date],H9558)</f>
        <v>1</v>
      </c>
      <c r="L9558"/>
    </row>
    <row r="9559" spans="1:12" x14ac:dyDescent="0.3">
      <c r="A9559" t="s">
        <v>9565</v>
      </c>
      <c r="B9559" t="s">
        <v>10016</v>
      </c>
      <c r="C9559">
        <v>5</v>
      </c>
      <c r="D9559">
        <v>3</v>
      </c>
      <c r="E9559">
        <v>15</v>
      </c>
      <c r="F9559" t="s">
        <v>10069</v>
      </c>
      <c r="G9559" t="s">
        <v>10102</v>
      </c>
      <c r="H9559" s="6">
        <v>45096</v>
      </c>
      <c r="I9559">
        <f t="shared" si="298"/>
        <v>0</v>
      </c>
      <c r="J9559" t="str">
        <f t="shared" si="299"/>
        <v>Complete</v>
      </c>
      <c r="K9559">
        <f>COUNTIFS(RawData[Item], B9559,RawData[Quantity],C9559,RawData[Price Per Unit],D9559,RawData[Total Spent],E9559,RawData[Payment Method],F9559,RawData[Location],G9559,RawData[Transaction Date],H9559)</f>
        <v>1</v>
      </c>
      <c r="L9559"/>
    </row>
    <row r="9560" spans="1:12" x14ac:dyDescent="0.3">
      <c r="A9560" t="s">
        <v>9566</v>
      </c>
      <c r="B9560" t="s">
        <v>10011</v>
      </c>
      <c r="C9560">
        <v>3</v>
      </c>
      <c r="D9560">
        <v>5</v>
      </c>
      <c r="E9560">
        <v>15</v>
      </c>
      <c r="F9560" t="s">
        <v>10019</v>
      </c>
      <c r="G9560" t="s">
        <v>10102</v>
      </c>
      <c r="H9560" s="6">
        <v>44961</v>
      </c>
      <c r="I9560">
        <f t="shared" si="298"/>
        <v>0</v>
      </c>
      <c r="J9560" t="str">
        <f t="shared" si="299"/>
        <v>Complete</v>
      </c>
      <c r="K9560">
        <f>COUNTIFS(RawData[Item], B9560,RawData[Quantity],C9560,RawData[Price Per Unit],D9560,RawData[Total Spent],E9560,RawData[Payment Method],F9560,RawData[Location],G9560,RawData[Transaction Date],H9560)</f>
        <v>1</v>
      </c>
      <c r="L9560"/>
    </row>
    <row r="9561" spans="1:12" x14ac:dyDescent="0.3">
      <c r="A9561" t="s">
        <v>9567</v>
      </c>
      <c r="B9561" t="s">
        <v>10009</v>
      </c>
      <c r="C9561">
        <v>2</v>
      </c>
      <c r="D9561">
        <v>3</v>
      </c>
      <c r="E9561">
        <v>6</v>
      </c>
      <c r="F9561" t="s">
        <v>10018</v>
      </c>
      <c r="G9561" t="s">
        <v>10069</v>
      </c>
      <c r="H9561" s="6">
        <v>45084</v>
      </c>
      <c r="I9561">
        <f t="shared" si="298"/>
        <v>0</v>
      </c>
      <c r="J9561" t="str">
        <f t="shared" si="299"/>
        <v>Complete</v>
      </c>
      <c r="K9561">
        <f>COUNTIFS(RawData[Item], B9561,RawData[Quantity],C9561,RawData[Price Per Unit],D9561,RawData[Total Spent],E9561,RawData[Payment Method],F9561,RawData[Location],G9561,RawData[Transaction Date],H9561)</f>
        <v>1</v>
      </c>
      <c r="L9561"/>
    </row>
    <row r="9562" spans="1:12" x14ac:dyDescent="0.3">
      <c r="A9562" t="s">
        <v>9568</v>
      </c>
      <c r="B9562" t="s">
        <v>10010</v>
      </c>
      <c r="C9562">
        <v>2</v>
      </c>
      <c r="D9562" t="s">
        <v>10013</v>
      </c>
      <c r="E9562">
        <v>2</v>
      </c>
      <c r="F9562" t="s">
        <v>10020</v>
      </c>
      <c r="G9562" t="s">
        <v>10069</v>
      </c>
      <c r="H9562" s="6">
        <v>45273</v>
      </c>
      <c r="I9562">
        <f t="shared" si="298"/>
        <v>1</v>
      </c>
      <c r="J9562" t="str">
        <f t="shared" si="299"/>
        <v>Complete</v>
      </c>
      <c r="K9562">
        <f>COUNTIFS(RawData[Item], B9562,RawData[Quantity],C9562,RawData[Price Per Unit],D9562,RawData[Total Spent],E9562,RawData[Payment Method],F9562,RawData[Location],G9562,RawData[Transaction Date],H9562)</f>
        <v>1</v>
      </c>
      <c r="L9562"/>
    </row>
    <row r="9563" spans="1:12" x14ac:dyDescent="0.3">
      <c r="A9563" t="s">
        <v>9569</v>
      </c>
      <c r="B9563" t="s">
        <v>10010</v>
      </c>
      <c r="C9563">
        <v>1</v>
      </c>
      <c r="D9563">
        <v>1</v>
      </c>
      <c r="E9563">
        <v>1</v>
      </c>
      <c r="F9563" t="s">
        <v>10069</v>
      </c>
      <c r="G9563" t="s">
        <v>10102</v>
      </c>
      <c r="H9563" s="6">
        <v>45155</v>
      </c>
      <c r="I9563">
        <f t="shared" si="298"/>
        <v>0</v>
      </c>
      <c r="J9563" t="str">
        <f t="shared" si="299"/>
        <v>Complete</v>
      </c>
      <c r="K9563">
        <f>COUNTIFS(RawData[Item], B9563,RawData[Quantity],C9563,RawData[Price Per Unit],D9563,RawData[Total Spent],E9563,RawData[Payment Method],F9563,RawData[Location],G9563,RawData[Transaction Date],H9563)</f>
        <v>1</v>
      </c>
      <c r="L9563"/>
    </row>
    <row r="9564" spans="1:12" x14ac:dyDescent="0.3">
      <c r="A9564" t="s">
        <v>9570</v>
      </c>
      <c r="B9564" t="s">
        <v>10011</v>
      </c>
      <c r="C9564">
        <v>5</v>
      </c>
      <c r="D9564">
        <v>5</v>
      </c>
      <c r="E9564">
        <v>25</v>
      </c>
      <c r="F9564" t="s">
        <v>10018</v>
      </c>
      <c r="G9564" t="s">
        <v>10102</v>
      </c>
      <c r="H9564" s="6">
        <v>44992</v>
      </c>
      <c r="I9564">
        <f t="shared" si="298"/>
        <v>0</v>
      </c>
      <c r="J9564" t="str">
        <f t="shared" si="299"/>
        <v>Complete</v>
      </c>
      <c r="K9564">
        <f>COUNTIFS(RawData[Item], B9564,RawData[Quantity],C9564,RawData[Price Per Unit],D9564,RawData[Total Spent],E9564,RawData[Payment Method],F9564,RawData[Location],G9564,RawData[Transaction Date],H9564)</f>
        <v>1</v>
      </c>
      <c r="L9564"/>
    </row>
    <row r="9565" spans="1:12" x14ac:dyDescent="0.3">
      <c r="A9565" t="s">
        <v>9571</v>
      </c>
      <c r="B9565" t="s">
        <v>10008</v>
      </c>
      <c r="C9565">
        <v>2</v>
      </c>
      <c r="D9565">
        <v>2</v>
      </c>
      <c r="E9565">
        <v>4</v>
      </c>
      <c r="F9565" t="s">
        <v>10020</v>
      </c>
      <c r="G9565" t="s">
        <v>10021</v>
      </c>
      <c r="H9565" s="6">
        <v>45160</v>
      </c>
      <c r="I9565">
        <f t="shared" si="298"/>
        <v>0</v>
      </c>
      <c r="J9565" t="str">
        <f t="shared" si="299"/>
        <v>Complete</v>
      </c>
      <c r="K9565">
        <f>COUNTIFS(RawData[Item], B9565,RawData[Quantity],C9565,RawData[Price Per Unit],D9565,RawData[Total Spent],E9565,RawData[Payment Method],F9565,RawData[Location],G9565,RawData[Transaction Date],H9565)</f>
        <v>1</v>
      </c>
      <c r="L9565"/>
    </row>
    <row r="9566" spans="1:12" x14ac:dyDescent="0.3">
      <c r="A9566" t="s">
        <v>9572</v>
      </c>
      <c r="B9566" t="s">
        <v>10017</v>
      </c>
      <c r="C9566">
        <v>3</v>
      </c>
      <c r="D9566">
        <v>1.5</v>
      </c>
      <c r="E9566">
        <v>4.5</v>
      </c>
      <c r="F9566" t="s">
        <v>10069</v>
      </c>
      <c r="G9566" t="s">
        <v>10069</v>
      </c>
      <c r="H9566" s="6">
        <v>45174</v>
      </c>
      <c r="I9566">
        <f t="shared" si="298"/>
        <v>0</v>
      </c>
      <c r="J9566" t="str">
        <f t="shared" si="299"/>
        <v>Complete</v>
      </c>
      <c r="K9566">
        <f>COUNTIFS(RawData[Item], B9566,RawData[Quantity],C9566,RawData[Price Per Unit],D9566,RawData[Total Spent],E9566,RawData[Payment Method],F9566,RawData[Location],G9566,RawData[Transaction Date],H9566)</f>
        <v>1</v>
      </c>
      <c r="L9566"/>
    </row>
    <row r="9567" spans="1:12" x14ac:dyDescent="0.3">
      <c r="A9567" t="s">
        <v>9573</v>
      </c>
      <c r="B9567" t="s">
        <v>10010</v>
      </c>
      <c r="C9567">
        <v>5</v>
      </c>
      <c r="D9567">
        <v>1</v>
      </c>
      <c r="E9567">
        <v>5</v>
      </c>
      <c r="F9567" t="s">
        <v>10020</v>
      </c>
      <c r="G9567" t="s">
        <v>10069</v>
      </c>
      <c r="H9567" s="6">
        <v>45245</v>
      </c>
      <c r="I9567">
        <f t="shared" si="298"/>
        <v>0</v>
      </c>
      <c r="J9567" t="str">
        <f t="shared" si="299"/>
        <v>Complete</v>
      </c>
      <c r="K9567">
        <f>COUNTIFS(RawData[Item], B9567,RawData[Quantity],C9567,RawData[Price Per Unit],D9567,RawData[Total Spent],E9567,RawData[Payment Method],F9567,RawData[Location],G9567,RawData[Transaction Date],H9567)</f>
        <v>1</v>
      </c>
      <c r="L9567"/>
    </row>
    <row r="9568" spans="1:12" x14ac:dyDescent="0.3">
      <c r="A9568" t="s">
        <v>9574</v>
      </c>
      <c r="B9568" t="s">
        <v>10014</v>
      </c>
      <c r="C9568">
        <v>2</v>
      </c>
      <c r="D9568">
        <v>4</v>
      </c>
      <c r="E9568">
        <v>8</v>
      </c>
      <c r="F9568" t="s">
        <v>10069</v>
      </c>
      <c r="G9568" t="s">
        <v>10103</v>
      </c>
      <c r="H9568" s="6">
        <v>45279</v>
      </c>
      <c r="I9568">
        <f t="shared" si="298"/>
        <v>1</v>
      </c>
      <c r="J9568" t="str">
        <f t="shared" si="299"/>
        <v>Complete</v>
      </c>
      <c r="K9568">
        <f>COUNTIFS(RawData[Item], B9568,RawData[Quantity],C9568,RawData[Price Per Unit],D9568,RawData[Total Spent],E9568,RawData[Payment Method],F9568,RawData[Location],G9568,RawData[Transaction Date],H9568)</f>
        <v>1</v>
      </c>
      <c r="L9568"/>
    </row>
    <row r="9569" spans="1:12" x14ac:dyDescent="0.3">
      <c r="A9569" t="s">
        <v>9575</v>
      </c>
      <c r="B9569" t="s">
        <v>10012</v>
      </c>
      <c r="C9569">
        <v>5</v>
      </c>
      <c r="D9569">
        <v>4</v>
      </c>
      <c r="E9569">
        <v>20</v>
      </c>
      <c r="F9569" t="s">
        <v>10019</v>
      </c>
      <c r="G9569" t="s">
        <v>10021</v>
      </c>
      <c r="H9569" s="6" t="s">
        <v>10112</v>
      </c>
      <c r="I9569">
        <f t="shared" si="298"/>
        <v>1</v>
      </c>
      <c r="J9569" t="str">
        <f t="shared" si="299"/>
        <v>Incomplete</v>
      </c>
      <c r="K9569">
        <f>COUNTIFS(RawData[Item], B9569,RawData[Quantity],C9569,RawData[Price Per Unit],D9569,RawData[Total Spent],E9569,RawData[Payment Method],F9569,RawData[Location],G9569,RawData[Transaction Date],H9569)</f>
        <v>2</v>
      </c>
      <c r="L9569"/>
    </row>
    <row r="9570" spans="1:12" x14ac:dyDescent="0.3">
      <c r="A9570" t="s">
        <v>9576</v>
      </c>
      <c r="B9570" t="s">
        <v>10012</v>
      </c>
      <c r="C9570">
        <v>3</v>
      </c>
      <c r="D9570">
        <v>4</v>
      </c>
      <c r="E9570">
        <v>12</v>
      </c>
      <c r="F9570" t="s">
        <v>10069</v>
      </c>
      <c r="G9570" t="s">
        <v>10069</v>
      </c>
      <c r="H9570" s="6">
        <v>45119</v>
      </c>
      <c r="I9570">
        <f t="shared" si="298"/>
        <v>0</v>
      </c>
      <c r="J9570" t="str">
        <f t="shared" si="299"/>
        <v>Complete</v>
      </c>
      <c r="K9570">
        <f>COUNTIFS(RawData[Item], B9570,RawData[Quantity],C9570,RawData[Price Per Unit],D9570,RawData[Total Spent],E9570,RawData[Payment Method],F9570,RawData[Location],G9570,RawData[Transaction Date],H9570)</f>
        <v>1</v>
      </c>
      <c r="L9570"/>
    </row>
    <row r="9571" spans="1:12" x14ac:dyDescent="0.3">
      <c r="A9571" t="s">
        <v>9577</v>
      </c>
      <c r="B9571" t="s">
        <v>10009</v>
      </c>
      <c r="C9571">
        <v>5</v>
      </c>
      <c r="D9571">
        <v>3</v>
      </c>
      <c r="E9571">
        <v>15</v>
      </c>
      <c r="F9571" t="s">
        <v>10069</v>
      </c>
      <c r="G9571" t="s">
        <v>10102</v>
      </c>
      <c r="H9571" s="6">
        <v>45131</v>
      </c>
      <c r="I9571">
        <f t="shared" si="298"/>
        <v>0</v>
      </c>
      <c r="J9571" t="str">
        <f t="shared" si="299"/>
        <v>Complete</v>
      </c>
      <c r="K9571">
        <f>COUNTIFS(RawData[Item], B9571,RawData[Quantity],C9571,RawData[Price Per Unit],D9571,RawData[Total Spent],E9571,RawData[Payment Method],F9571,RawData[Location],G9571,RawData[Transaction Date],H9571)</f>
        <v>1</v>
      </c>
      <c r="L9571"/>
    </row>
    <row r="9572" spans="1:12" x14ac:dyDescent="0.3">
      <c r="A9572" t="s">
        <v>9578</v>
      </c>
      <c r="B9572" t="s">
        <v>10016</v>
      </c>
      <c r="C9572">
        <v>1</v>
      </c>
      <c r="D9572">
        <v>3</v>
      </c>
      <c r="E9572">
        <v>3</v>
      </c>
      <c r="F9572" t="s">
        <v>10018</v>
      </c>
      <c r="G9572" t="s">
        <v>10021</v>
      </c>
      <c r="H9572" s="6">
        <v>44962</v>
      </c>
      <c r="I9572">
        <f t="shared" si="298"/>
        <v>0</v>
      </c>
      <c r="J9572" t="str">
        <f t="shared" si="299"/>
        <v>Complete</v>
      </c>
      <c r="K9572">
        <f>COUNTIFS(RawData[Item], B9572,RawData[Quantity],C9572,RawData[Price Per Unit],D9572,RawData[Total Spent],E9572,RawData[Payment Method],F9572,RawData[Location],G9572,RawData[Transaction Date],H9572)</f>
        <v>1</v>
      </c>
      <c r="L9572"/>
    </row>
    <row r="9573" spans="1:12" x14ac:dyDescent="0.3">
      <c r="A9573" t="s">
        <v>9579</v>
      </c>
      <c r="B9573" t="s">
        <v>10014</v>
      </c>
      <c r="C9573">
        <v>5</v>
      </c>
      <c r="D9573">
        <v>4</v>
      </c>
      <c r="E9573" t="s">
        <v>10013</v>
      </c>
      <c r="F9573" t="s">
        <v>10020</v>
      </c>
      <c r="G9573" t="s">
        <v>10021</v>
      </c>
      <c r="H9573" s="6">
        <v>44949</v>
      </c>
      <c r="I9573">
        <f t="shared" si="298"/>
        <v>1</v>
      </c>
      <c r="J9573" t="str">
        <f t="shared" si="299"/>
        <v>Complete</v>
      </c>
      <c r="K9573">
        <f>COUNTIFS(RawData[Item], B9573,RawData[Quantity],C9573,RawData[Price Per Unit],D9573,RawData[Total Spent],E9573,RawData[Payment Method],F9573,RawData[Location],G9573,RawData[Transaction Date],H9573)</f>
        <v>1</v>
      </c>
      <c r="L9573"/>
    </row>
    <row r="9574" spans="1:12" x14ac:dyDescent="0.3">
      <c r="A9574" t="s">
        <v>9580</v>
      </c>
      <c r="B9574" t="s">
        <v>10016</v>
      </c>
      <c r="C9574">
        <v>2</v>
      </c>
      <c r="D9574">
        <v>3</v>
      </c>
      <c r="E9574">
        <v>6</v>
      </c>
      <c r="F9574" t="s">
        <v>10020</v>
      </c>
      <c r="G9574" t="s">
        <v>10102</v>
      </c>
      <c r="H9574" s="6">
        <v>45124</v>
      </c>
      <c r="I9574">
        <f t="shared" si="298"/>
        <v>0</v>
      </c>
      <c r="J9574" t="str">
        <f t="shared" si="299"/>
        <v>Complete</v>
      </c>
      <c r="K9574">
        <f>COUNTIFS(RawData[Item], B9574,RawData[Quantity],C9574,RawData[Price Per Unit],D9574,RawData[Total Spent],E9574,RawData[Payment Method],F9574,RawData[Location],G9574,RawData[Transaction Date],H9574)</f>
        <v>1</v>
      </c>
      <c r="L9574"/>
    </row>
    <row r="9575" spans="1:12" x14ac:dyDescent="0.3">
      <c r="A9575" t="s">
        <v>9581</v>
      </c>
      <c r="B9575" t="s">
        <v>10012</v>
      </c>
      <c r="C9575">
        <v>4</v>
      </c>
      <c r="D9575">
        <v>4</v>
      </c>
      <c r="E9575">
        <v>16</v>
      </c>
      <c r="F9575" t="s">
        <v>10018</v>
      </c>
      <c r="G9575" t="s">
        <v>10069</v>
      </c>
      <c r="H9575" s="6">
        <v>44974</v>
      </c>
      <c r="I9575">
        <f t="shared" si="298"/>
        <v>0</v>
      </c>
      <c r="J9575" t="str">
        <f t="shared" si="299"/>
        <v>Complete</v>
      </c>
      <c r="K9575">
        <f>COUNTIFS(RawData[Item], B9575,RawData[Quantity],C9575,RawData[Price Per Unit],D9575,RawData[Total Spent],E9575,RawData[Payment Method],F9575,RawData[Location],G9575,RawData[Transaction Date],H9575)</f>
        <v>1</v>
      </c>
      <c r="L9575"/>
    </row>
    <row r="9576" spans="1:12" x14ac:dyDescent="0.3">
      <c r="A9576" t="s">
        <v>9582</v>
      </c>
      <c r="B9576" t="s">
        <v>10010</v>
      </c>
      <c r="C9576">
        <v>4</v>
      </c>
      <c r="D9576">
        <v>1</v>
      </c>
      <c r="E9576">
        <v>4</v>
      </c>
      <c r="F9576" t="s">
        <v>10103</v>
      </c>
      <c r="G9576" t="s">
        <v>10069</v>
      </c>
      <c r="H9576" s="6">
        <v>45138</v>
      </c>
      <c r="I9576">
        <f t="shared" si="298"/>
        <v>1</v>
      </c>
      <c r="J9576" t="str">
        <f t="shared" si="299"/>
        <v>Complete</v>
      </c>
      <c r="K9576">
        <f>COUNTIFS(RawData[Item], B9576,RawData[Quantity],C9576,RawData[Price Per Unit],D9576,RawData[Total Spent],E9576,RawData[Payment Method],F9576,RawData[Location],G9576,RawData[Transaction Date],H9576)</f>
        <v>1</v>
      </c>
      <c r="L9576"/>
    </row>
    <row r="9577" spans="1:12" x14ac:dyDescent="0.3">
      <c r="A9577" t="s">
        <v>9583</v>
      </c>
      <c r="B9577" t="s">
        <v>10008</v>
      </c>
      <c r="C9577">
        <v>2</v>
      </c>
      <c r="D9577">
        <v>2</v>
      </c>
      <c r="E9577">
        <v>4</v>
      </c>
      <c r="F9577" t="s">
        <v>10104</v>
      </c>
      <c r="G9577" t="s">
        <v>10102</v>
      </c>
      <c r="H9577" s="6">
        <v>45287</v>
      </c>
      <c r="I9577">
        <f t="shared" si="298"/>
        <v>1</v>
      </c>
      <c r="J9577" t="str">
        <f t="shared" si="299"/>
        <v>Complete</v>
      </c>
      <c r="K9577">
        <f>COUNTIFS(RawData[Item], B9577,RawData[Quantity],C9577,RawData[Price Per Unit],D9577,RawData[Total Spent],E9577,RawData[Payment Method],F9577,RawData[Location],G9577,RawData[Transaction Date],H9577)</f>
        <v>1</v>
      </c>
      <c r="L9577"/>
    </row>
    <row r="9578" spans="1:12" x14ac:dyDescent="0.3">
      <c r="A9578" t="s">
        <v>9584</v>
      </c>
      <c r="B9578" t="s">
        <v>10016</v>
      </c>
      <c r="C9578">
        <v>2</v>
      </c>
      <c r="D9578">
        <v>3</v>
      </c>
      <c r="E9578">
        <v>6</v>
      </c>
      <c r="F9578" t="s">
        <v>10018</v>
      </c>
      <c r="G9578" t="s">
        <v>10102</v>
      </c>
      <c r="H9578" s="6">
        <v>45078</v>
      </c>
      <c r="I9578">
        <f t="shared" si="298"/>
        <v>0</v>
      </c>
      <c r="J9578" t="str">
        <f t="shared" si="299"/>
        <v>Complete</v>
      </c>
      <c r="K9578">
        <f>COUNTIFS(RawData[Item], B9578,RawData[Quantity],C9578,RawData[Price Per Unit],D9578,RawData[Total Spent],E9578,RawData[Payment Method],F9578,RawData[Location],G9578,RawData[Transaction Date],H9578)</f>
        <v>1</v>
      </c>
      <c r="L9578"/>
    </row>
    <row r="9579" spans="1:12" x14ac:dyDescent="0.3">
      <c r="A9579" t="s">
        <v>9585</v>
      </c>
      <c r="B9579" t="s">
        <v>10017</v>
      </c>
      <c r="C9579">
        <v>5</v>
      </c>
      <c r="D9579">
        <v>1.5</v>
      </c>
      <c r="E9579">
        <v>7.5</v>
      </c>
      <c r="F9579" t="s">
        <v>10069</v>
      </c>
      <c r="G9579" t="s">
        <v>10102</v>
      </c>
      <c r="H9579" s="6">
        <v>45200</v>
      </c>
      <c r="I9579">
        <f t="shared" si="298"/>
        <v>0</v>
      </c>
      <c r="J9579" t="str">
        <f t="shared" si="299"/>
        <v>Complete</v>
      </c>
      <c r="K9579">
        <f>COUNTIFS(RawData[Item], B9579,RawData[Quantity],C9579,RawData[Price Per Unit],D9579,RawData[Total Spent],E9579,RawData[Payment Method],F9579,RawData[Location],G9579,RawData[Transaction Date],H9579)</f>
        <v>1</v>
      </c>
      <c r="L9579"/>
    </row>
    <row r="9580" spans="1:12" x14ac:dyDescent="0.3">
      <c r="A9580" t="s">
        <v>9586</v>
      </c>
      <c r="B9580" t="s">
        <v>10009</v>
      </c>
      <c r="C9580">
        <v>2</v>
      </c>
      <c r="D9580">
        <v>3</v>
      </c>
      <c r="E9580">
        <v>6</v>
      </c>
      <c r="F9580" t="s">
        <v>10104</v>
      </c>
      <c r="G9580" t="s">
        <v>10069</v>
      </c>
      <c r="H9580" s="6" t="s">
        <v>10112</v>
      </c>
      <c r="I9580">
        <f t="shared" si="298"/>
        <v>2</v>
      </c>
      <c r="J9580" t="str">
        <f t="shared" si="299"/>
        <v>Incomplete</v>
      </c>
      <c r="K9580">
        <f>COUNTIFS(RawData[Item], B9580,RawData[Quantity],C9580,RawData[Price Per Unit],D9580,RawData[Total Spent],E9580,RawData[Payment Method],F9580,RawData[Location],G9580,RawData[Transaction Date],H9580)</f>
        <v>1</v>
      </c>
      <c r="L9580"/>
    </row>
    <row r="9581" spans="1:12" x14ac:dyDescent="0.3">
      <c r="A9581" t="s">
        <v>9587</v>
      </c>
      <c r="B9581" t="s">
        <v>10008</v>
      </c>
      <c r="C9581">
        <v>5</v>
      </c>
      <c r="D9581">
        <v>2</v>
      </c>
      <c r="E9581">
        <v>10</v>
      </c>
      <c r="F9581" t="s">
        <v>10069</v>
      </c>
      <c r="G9581" t="s">
        <v>10069</v>
      </c>
      <c r="H9581" s="6">
        <v>45105</v>
      </c>
      <c r="I9581">
        <f t="shared" si="298"/>
        <v>0</v>
      </c>
      <c r="J9581" t="str">
        <f t="shared" si="299"/>
        <v>Complete</v>
      </c>
      <c r="K9581">
        <f>COUNTIFS(RawData[Item], B9581,RawData[Quantity],C9581,RawData[Price Per Unit],D9581,RawData[Total Spent],E9581,RawData[Payment Method],F9581,RawData[Location],G9581,RawData[Transaction Date],H9581)</f>
        <v>1</v>
      </c>
      <c r="L9581"/>
    </row>
    <row r="9582" spans="1:12" x14ac:dyDescent="0.3">
      <c r="A9582" t="s">
        <v>9588</v>
      </c>
      <c r="B9582" t="s">
        <v>10011</v>
      </c>
      <c r="C9582">
        <v>1</v>
      </c>
      <c r="D9582">
        <v>0</v>
      </c>
      <c r="E9582">
        <v>5</v>
      </c>
      <c r="F9582" t="s">
        <v>10019</v>
      </c>
      <c r="G9582" t="s">
        <v>10021</v>
      </c>
      <c r="H9582" s="6">
        <v>45130</v>
      </c>
      <c r="I9582">
        <f t="shared" si="298"/>
        <v>0</v>
      </c>
      <c r="J9582" t="str">
        <f t="shared" si="299"/>
        <v>Complete</v>
      </c>
      <c r="K9582">
        <f>COUNTIFS(RawData[Item], B9582,RawData[Quantity],C9582,RawData[Price Per Unit],D9582,RawData[Total Spent],E9582,RawData[Payment Method],F9582,RawData[Location],G9582,RawData[Transaction Date],H9582)</f>
        <v>1</v>
      </c>
      <c r="L9582"/>
    </row>
    <row r="9583" spans="1:12" x14ac:dyDescent="0.3">
      <c r="A9583" t="s">
        <v>9589</v>
      </c>
      <c r="B9583" t="s">
        <v>10009</v>
      </c>
      <c r="C9583">
        <v>4</v>
      </c>
      <c r="D9583">
        <v>3</v>
      </c>
      <c r="E9583">
        <v>12</v>
      </c>
      <c r="F9583" t="s">
        <v>10069</v>
      </c>
      <c r="G9583" t="s">
        <v>10102</v>
      </c>
      <c r="H9583" s="6">
        <v>45207</v>
      </c>
      <c r="I9583">
        <f t="shared" si="298"/>
        <v>0</v>
      </c>
      <c r="J9583" t="str">
        <f t="shared" si="299"/>
        <v>Complete</v>
      </c>
      <c r="K9583">
        <f>COUNTIFS(RawData[Item], B9583,RawData[Quantity],C9583,RawData[Price Per Unit],D9583,RawData[Total Spent],E9583,RawData[Payment Method],F9583,RawData[Location],G9583,RawData[Transaction Date],H9583)</f>
        <v>1</v>
      </c>
      <c r="L9583"/>
    </row>
    <row r="9584" spans="1:12" x14ac:dyDescent="0.3">
      <c r="A9584" t="s">
        <v>9590</v>
      </c>
      <c r="B9584" t="s">
        <v>10013</v>
      </c>
      <c r="C9584">
        <v>5</v>
      </c>
      <c r="D9584">
        <v>4</v>
      </c>
      <c r="E9584">
        <v>20</v>
      </c>
      <c r="F9584" t="s">
        <v>10019</v>
      </c>
      <c r="G9584" t="s">
        <v>10102</v>
      </c>
      <c r="H9584" s="6">
        <v>45084</v>
      </c>
      <c r="I9584">
        <f t="shared" si="298"/>
        <v>1</v>
      </c>
      <c r="J9584" t="str">
        <f t="shared" si="299"/>
        <v>Complete</v>
      </c>
      <c r="K9584">
        <f>COUNTIFS(RawData[Item], B9584,RawData[Quantity],C9584,RawData[Price Per Unit],D9584,RawData[Total Spent],E9584,RawData[Payment Method],F9584,RawData[Location],G9584,RawData[Transaction Date],H9584)</f>
        <v>1</v>
      </c>
      <c r="L9584"/>
    </row>
    <row r="9585" spans="1:12" x14ac:dyDescent="0.3">
      <c r="A9585" t="s">
        <v>9591</v>
      </c>
      <c r="B9585" t="s">
        <v>10012</v>
      </c>
      <c r="C9585">
        <v>1</v>
      </c>
      <c r="D9585">
        <v>4</v>
      </c>
      <c r="E9585">
        <v>4</v>
      </c>
      <c r="F9585" t="s">
        <v>10069</v>
      </c>
      <c r="G9585" t="s">
        <v>10021</v>
      </c>
      <c r="H9585" s="6">
        <v>45188</v>
      </c>
      <c r="I9585">
        <f t="shared" si="298"/>
        <v>0</v>
      </c>
      <c r="J9585" t="str">
        <f t="shared" si="299"/>
        <v>Complete</v>
      </c>
      <c r="K9585">
        <f>COUNTIFS(RawData[Item], B9585,RawData[Quantity],C9585,RawData[Price Per Unit],D9585,RawData[Total Spent],E9585,RawData[Payment Method],F9585,RawData[Location],G9585,RawData[Transaction Date],H9585)</f>
        <v>1</v>
      </c>
      <c r="L9585"/>
    </row>
    <row r="9586" spans="1:12" x14ac:dyDescent="0.3">
      <c r="A9586" t="s">
        <v>9592</v>
      </c>
      <c r="B9586" t="s">
        <v>10008</v>
      </c>
      <c r="C9586">
        <v>3</v>
      </c>
      <c r="D9586">
        <v>2</v>
      </c>
      <c r="E9586">
        <v>6</v>
      </c>
      <c r="F9586" t="s">
        <v>10018</v>
      </c>
      <c r="G9586" t="s">
        <v>10102</v>
      </c>
      <c r="H9586" s="6">
        <v>45213</v>
      </c>
      <c r="I9586">
        <f t="shared" si="298"/>
        <v>0</v>
      </c>
      <c r="J9586" t="str">
        <f t="shared" si="299"/>
        <v>Complete</v>
      </c>
      <c r="K9586">
        <f>COUNTIFS(RawData[Item], B9586,RawData[Quantity],C9586,RawData[Price Per Unit],D9586,RawData[Total Spent],E9586,RawData[Payment Method],F9586,RawData[Location],G9586,RawData[Transaction Date],H9586)</f>
        <v>1</v>
      </c>
      <c r="L9586"/>
    </row>
    <row r="9587" spans="1:12" x14ac:dyDescent="0.3">
      <c r="A9587" t="s">
        <v>9593</v>
      </c>
      <c r="B9587" t="s">
        <v>10008</v>
      </c>
      <c r="C9587">
        <v>5</v>
      </c>
      <c r="D9587">
        <v>2</v>
      </c>
      <c r="E9587">
        <v>10</v>
      </c>
      <c r="F9587" t="s">
        <v>10018</v>
      </c>
      <c r="G9587" t="s">
        <v>10021</v>
      </c>
      <c r="H9587" s="6">
        <v>44991</v>
      </c>
      <c r="I9587">
        <f t="shared" si="298"/>
        <v>0</v>
      </c>
      <c r="J9587" t="str">
        <f t="shared" si="299"/>
        <v>Complete</v>
      </c>
      <c r="K9587">
        <f>COUNTIFS(RawData[Item], B9587,RawData[Quantity],C9587,RawData[Price Per Unit],D9587,RawData[Total Spent],E9587,RawData[Payment Method],F9587,RawData[Location],G9587,RawData[Transaction Date],H9587)</f>
        <v>1</v>
      </c>
      <c r="L9587"/>
    </row>
    <row r="9588" spans="1:12" x14ac:dyDescent="0.3">
      <c r="A9588" t="s">
        <v>9594</v>
      </c>
      <c r="B9588" t="s">
        <v>10016</v>
      </c>
      <c r="C9588">
        <v>3</v>
      </c>
      <c r="D9588">
        <v>3</v>
      </c>
      <c r="E9588">
        <v>9</v>
      </c>
      <c r="F9588" t="s">
        <v>10020</v>
      </c>
      <c r="G9588" t="s">
        <v>10069</v>
      </c>
      <c r="H9588" s="6">
        <v>45035</v>
      </c>
      <c r="I9588">
        <f t="shared" si="298"/>
        <v>0</v>
      </c>
      <c r="J9588" t="str">
        <f t="shared" si="299"/>
        <v>Complete</v>
      </c>
      <c r="K9588">
        <f>COUNTIFS(RawData[Item], B9588,RawData[Quantity],C9588,RawData[Price Per Unit],D9588,RawData[Total Spent],E9588,RawData[Payment Method],F9588,RawData[Location],G9588,RawData[Transaction Date],H9588)</f>
        <v>1</v>
      </c>
      <c r="L9588"/>
    </row>
    <row r="9589" spans="1:12" x14ac:dyDescent="0.3">
      <c r="A9589" t="s">
        <v>9595</v>
      </c>
      <c r="B9589" t="s">
        <v>10016</v>
      </c>
      <c r="C9589">
        <v>3</v>
      </c>
      <c r="D9589">
        <v>3</v>
      </c>
      <c r="E9589">
        <v>9</v>
      </c>
      <c r="F9589" t="s">
        <v>10018</v>
      </c>
      <c r="G9589" t="s">
        <v>10069</v>
      </c>
      <c r="H9589" s="6">
        <v>44951</v>
      </c>
      <c r="I9589">
        <f t="shared" si="298"/>
        <v>0</v>
      </c>
      <c r="J9589" t="str">
        <f t="shared" si="299"/>
        <v>Complete</v>
      </c>
      <c r="K9589">
        <f>COUNTIFS(RawData[Item], B9589,RawData[Quantity],C9589,RawData[Price Per Unit],D9589,RawData[Total Spent],E9589,RawData[Payment Method],F9589,RawData[Location],G9589,RawData[Transaction Date],H9589)</f>
        <v>1</v>
      </c>
      <c r="L9589"/>
    </row>
    <row r="9590" spans="1:12" x14ac:dyDescent="0.3">
      <c r="A9590" t="s">
        <v>9596</v>
      </c>
      <c r="B9590" t="s">
        <v>10013</v>
      </c>
      <c r="C9590">
        <v>4</v>
      </c>
      <c r="D9590">
        <v>5</v>
      </c>
      <c r="E9590">
        <v>20</v>
      </c>
      <c r="F9590" t="s">
        <v>10018</v>
      </c>
      <c r="G9590" t="s">
        <v>10021</v>
      </c>
      <c r="H9590" s="6">
        <v>44977</v>
      </c>
      <c r="I9590">
        <f t="shared" si="298"/>
        <v>1</v>
      </c>
      <c r="J9590" t="str">
        <f t="shared" si="299"/>
        <v>Complete</v>
      </c>
      <c r="K9590">
        <f>COUNTIFS(RawData[Item], B9590,RawData[Quantity],C9590,RawData[Price Per Unit],D9590,RawData[Total Spent],E9590,RawData[Payment Method],F9590,RawData[Location],G9590,RawData[Transaction Date],H9590)</f>
        <v>1</v>
      </c>
      <c r="L9590"/>
    </row>
    <row r="9591" spans="1:12" x14ac:dyDescent="0.3">
      <c r="A9591" t="s">
        <v>9597</v>
      </c>
      <c r="B9591" t="s">
        <v>10016</v>
      </c>
      <c r="C9591">
        <v>1</v>
      </c>
      <c r="D9591">
        <v>3</v>
      </c>
      <c r="E9591">
        <v>3</v>
      </c>
      <c r="F9591" t="s">
        <v>10069</v>
      </c>
      <c r="G9591" t="s">
        <v>10102</v>
      </c>
      <c r="H9591" s="6">
        <v>45215</v>
      </c>
      <c r="I9591">
        <f t="shared" si="298"/>
        <v>0</v>
      </c>
      <c r="J9591" t="str">
        <f t="shared" si="299"/>
        <v>Complete</v>
      </c>
      <c r="K9591">
        <f>COUNTIFS(RawData[Item], B9591,RawData[Quantity],C9591,RawData[Price Per Unit],D9591,RawData[Total Spent],E9591,RawData[Payment Method],F9591,RawData[Location],G9591,RawData[Transaction Date],H9591)</f>
        <v>1</v>
      </c>
      <c r="L9591"/>
    </row>
    <row r="9592" spans="1:12" x14ac:dyDescent="0.3">
      <c r="A9592" t="s">
        <v>9598</v>
      </c>
      <c r="B9592" t="s">
        <v>10014</v>
      </c>
      <c r="C9592" t="s">
        <v>10013</v>
      </c>
      <c r="D9592">
        <v>4</v>
      </c>
      <c r="E9592">
        <v>0</v>
      </c>
      <c r="F9592" t="s">
        <v>10018</v>
      </c>
      <c r="G9592" t="s">
        <v>10102</v>
      </c>
      <c r="H9592" s="6">
        <v>44944</v>
      </c>
      <c r="I9592">
        <f t="shared" si="298"/>
        <v>1</v>
      </c>
      <c r="J9592" t="str">
        <f t="shared" si="299"/>
        <v>Complete</v>
      </c>
      <c r="K9592">
        <f>COUNTIFS(RawData[Item], B9592,RawData[Quantity],C9592,RawData[Price Per Unit],D9592,RawData[Total Spent],E9592,RawData[Payment Method],F9592,RawData[Location],G9592,RawData[Transaction Date],H9592)</f>
        <v>1</v>
      </c>
      <c r="L9592"/>
    </row>
    <row r="9593" spans="1:12" x14ac:dyDescent="0.3">
      <c r="A9593" t="s">
        <v>9599</v>
      </c>
      <c r="B9593" t="s">
        <v>10010</v>
      </c>
      <c r="C9593">
        <v>4</v>
      </c>
      <c r="D9593">
        <v>1</v>
      </c>
      <c r="E9593">
        <v>4</v>
      </c>
      <c r="F9593" t="s">
        <v>10020</v>
      </c>
      <c r="G9593" t="s">
        <v>10069</v>
      </c>
      <c r="H9593" s="6">
        <v>45128</v>
      </c>
      <c r="I9593">
        <f t="shared" si="298"/>
        <v>0</v>
      </c>
      <c r="J9593" t="str">
        <f t="shared" si="299"/>
        <v>Complete</v>
      </c>
      <c r="K9593">
        <f>COUNTIFS(RawData[Item], B9593,RawData[Quantity],C9593,RawData[Price Per Unit],D9593,RawData[Total Spent],E9593,RawData[Payment Method],F9593,RawData[Location],G9593,RawData[Transaction Date],H9593)</f>
        <v>1</v>
      </c>
      <c r="L9593"/>
    </row>
    <row r="9594" spans="1:12" x14ac:dyDescent="0.3">
      <c r="A9594" t="s">
        <v>9600</v>
      </c>
      <c r="B9594" t="s">
        <v>10016</v>
      </c>
      <c r="C9594">
        <v>2</v>
      </c>
      <c r="D9594">
        <v>3</v>
      </c>
      <c r="E9594">
        <v>6</v>
      </c>
      <c r="F9594" t="s">
        <v>10020</v>
      </c>
      <c r="G9594" t="s">
        <v>10104</v>
      </c>
      <c r="H9594" s="6">
        <v>45048</v>
      </c>
      <c r="I9594">
        <f t="shared" si="298"/>
        <v>1</v>
      </c>
      <c r="J9594" t="str">
        <f t="shared" si="299"/>
        <v>Complete</v>
      </c>
      <c r="K9594">
        <f>COUNTIFS(RawData[Item], B9594,RawData[Quantity],C9594,RawData[Price Per Unit],D9594,RawData[Total Spent],E9594,RawData[Payment Method],F9594,RawData[Location],G9594,RawData[Transaction Date],H9594)</f>
        <v>1</v>
      </c>
      <c r="L9594"/>
    </row>
    <row r="9595" spans="1:12" x14ac:dyDescent="0.3">
      <c r="A9595" t="s">
        <v>9601</v>
      </c>
      <c r="B9595" t="s">
        <v>10016</v>
      </c>
      <c r="C9595">
        <v>4</v>
      </c>
      <c r="D9595">
        <v>3</v>
      </c>
      <c r="E9595">
        <v>12</v>
      </c>
      <c r="F9595" t="s">
        <v>10069</v>
      </c>
      <c r="G9595" t="s">
        <v>10102</v>
      </c>
      <c r="H9595" s="6">
        <v>45046</v>
      </c>
      <c r="I9595">
        <f t="shared" si="298"/>
        <v>0</v>
      </c>
      <c r="J9595" t="str">
        <f t="shared" si="299"/>
        <v>Complete</v>
      </c>
      <c r="K9595">
        <f>COUNTIFS(RawData[Item], B9595,RawData[Quantity],C9595,RawData[Price Per Unit],D9595,RawData[Total Spent],E9595,RawData[Payment Method],F9595,RawData[Location],G9595,RawData[Transaction Date],H9595)</f>
        <v>1</v>
      </c>
      <c r="L9595"/>
    </row>
    <row r="9596" spans="1:12" x14ac:dyDescent="0.3">
      <c r="A9596" t="s">
        <v>9602</v>
      </c>
      <c r="B9596" t="s">
        <v>10016</v>
      </c>
      <c r="C9596">
        <v>5</v>
      </c>
      <c r="D9596">
        <v>3</v>
      </c>
      <c r="E9596">
        <v>15</v>
      </c>
      <c r="F9596" t="s">
        <v>10019</v>
      </c>
      <c r="G9596" t="s">
        <v>10102</v>
      </c>
      <c r="H9596" s="6">
        <v>45130</v>
      </c>
      <c r="I9596">
        <f t="shared" si="298"/>
        <v>0</v>
      </c>
      <c r="J9596" t="str">
        <f t="shared" si="299"/>
        <v>Complete</v>
      </c>
      <c r="K9596">
        <f>COUNTIFS(RawData[Item], B9596,RawData[Quantity],C9596,RawData[Price Per Unit],D9596,RawData[Total Spent],E9596,RawData[Payment Method],F9596,RawData[Location],G9596,RawData[Transaction Date],H9596)</f>
        <v>1</v>
      </c>
      <c r="L9596"/>
    </row>
    <row r="9597" spans="1:12" x14ac:dyDescent="0.3">
      <c r="A9597" t="s">
        <v>9603</v>
      </c>
      <c r="B9597" t="s">
        <v>10008</v>
      </c>
      <c r="C9597">
        <v>1</v>
      </c>
      <c r="D9597">
        <v>2</v>
      </c>
      <c r="E9597">
        <v>2</v>
      </c>
      <c r="F9597" t="s">
        <v>10020</v>
      </c>
      <c r="G9597" t="s">
        <v>10069</v>
      </c>
      <c r="H9597" s="6">
        <v>45083</v>
      </c>
      <c r="I9597">
        <f t="shared" si="298"/>
        <v>0</v>
      </c>
      <c r="J9597" t="str">
        <f t="shared" si="299"/>
        <v>Complete</v>
      </c>
      <c r="K9597">
        <f>COUNTIFS(RawData[Item], B9597,RawData[Quantity],C9597,RawData[Price Per Unit],D9597,RawData[Total Spent],E9597,RawData[Payment Method],F9597,RawData[Location],G9597,RawData[Transaction Date],H9597)</f>
        <v>1</v>
      </c>
      <c r="L9597"/>
    </row>
    <row r="9598" spans="1:12" x14ac:dyDescent="0.3">
      <c r="A9598" t="s">
        <v>9604</v>
      </c>
      <c r="B9598" t="s">
        <v>10016</v>
      </c>
      <c r="C9598" t="s">
        <v>10015</v>
      </c>
      <c r="D9598">
        <v>3</v>
      </c>
      <c r="E9598">
        <v>15</v>
      </c>
      <c r="F9598" t="s">
        <v>10020</v>
      </c>
      <c r="G9598" t="s">
        <v>10069</v>
      </c>
      <c r="H9598" s="6">
        <v>45162</v>
      </c>
      <c r="I9598">
        <f t="shared" si="298"/>
        <v>1</v>
      </c>
      <c r="J9598" t="str">
        <f t="shared" si="299"/>
        <v>Complete</v>
      </c>
      <c r="K9598">
        <f>COUNTIFS(RawData[Item], B9598,RawData[Quantity],C9598,RawData[Price Per Unit],D9598,RawData[Total Spent],E9598,RawData[Payment Method],F9598,RawData[Location],G9598,RawData[Transaction Date],H9598)</f>
        <v>1</v>
      </c>
      <c r="L9598"/>
    </row>
    <row r="9599" spans="1:12" x14ac:dyDescent="0.3">
      <c r="A9599" t="s">
        <v>9605</v>
      </c>
      <c r="B9599" t="s">
        <v>10013</v>
      </c>
      <c r="C9599">
        <v>5</v>
      </c>
      <c r="D9599">
        <v>3</v>
      </c>
      <c r="E9599">
        <v>15</v>
      </c>
      <c r="F9599" t="s">
        <v>10069</v>
      </c>
      <c r="G9599" t="s">
        <v>10021</v>
      </c>
      <c r="H9599" s="6">
        <v>45054</v>
      </c>
      <c r="I9599">
        <f t="shared" si="298"/>
        <v>1</v>
      </c>
      <c r="J9599" t="str">
        <f t="shared" si="299"/>
        <v>Complete</v>
      </c>
      <c r="K9599">
        <f>COUNTIFS(RawData[Item], B9599,RawData[Quantity],C9599,RawData[Price Per Unit],D9599,RawData[Total Spent],E9599,RawData[Payment Method],F9599,RawData[Location],G9599,RawData[Transaction Date],H9599)</f>
        <v>1</v>
      </c>
      <c r="L9599"/>
    </row>
    <row r="9600" spans="1:12" x14ac:dyDescent="0.3">
      <c r="A9600" t="s">
        <v>9606</v>
      </c>
      <c r="B9600" t="s">
        <v>10016</v>
      </c>
      <c r="C9600">
        <v>4</v>
      </c>
      <c r="D9600">
        <v>3</v>
      </c>
      <c r="E9600">
        <v>12</v>
      </c>
      <c r="F9600" t="s">
        <v>10018</v>
      </c>
      <c r="G9600" t="s">
        <v>10021</v>
      </c>
      <c r="H9600" s="6">
        <v>45026</v>
      </c>
      <c r="I9600">
        <f t="shared" si="298"/>
        <v>0</v>
      </c>
      <c r="J9600" t="str">
        <f t="shared" si="299"/>
        <v>Complete</v>
      </c>
      <c r="K9600">
        <f>COUNTIFS(RawData[Item], B9600,RawData[Quantity],C9600,RawData[Price Per Unit],D9600,RawData[Total Spent],E9600,RawData[Payment Method],F9600,RawData[Location],G9600,RawData[Transaction Date],H9600)</f>
        <v>2</v>
      </c>
      <c r="L9600"/>
    </row>
    <row r="9601" spans="1:12" x14ac:dyDescent="0.3">
      <c r="A9601" t="s">
        <v>9607</v>
      </c>
      <c r="B9601" t="s">
        <v>10010</v>
      </c>
      <c r="C9601">
        <v>1</v>
      </c>
      <c r="D9601">
        <v>1</v>
      </c>
      <c r="E9601" t="s">
        <v>10013</v>
      </c>
      <c r="F9601" t="s">
        <v>10019</v>
      </c>
      <c r="G9601" t="s">
        <v>10021</v>
      </c>
      <c r="H9601" s="6">
        <v>45093</v>
      </c>
      <c r="I9601">
        <f t="shared" si="298"/>
        <v>1</v>
      </c>
      <c r="J9601" t="str">
        <f t="shared" si="299"/>
        <v>Complete</v>
      </c>
      <c r="K9601">
        <f>COUNTIFS(RawData[Item], B9601,RawData[Quantity],C9601,RawData[Price Per Unit],D9601,RawData[Total Spent],E9601,RawData[Payment Method],F9601,RawData[Location],G9601,RawData[Transaction Date],H9601)</f>
        <v>1</v>
      </c>
      <c r="L9601"/>
    </row>
    <row r="9602" spans="1:12" x14ac:dyDescent="0.3">
      <c r="A9602" t="s">
        <v>9608</v>
      </c>
      <c r="B9602" t="s">
        <v>10013</v>
      </c>
      <c r="C9602">
        <v>3</v>
      </c>
      <c r="D9602">
        <v>1</v>
      </c>
      <c r="E9602">
        <v>3</v>
      </c>
      <c r="F9602" t="s">
        <v>10019</v>
      </c>
      <c r="G9602" t="s">
        <v>10021</v>
      </c>
      <c r="H9602" s="6" t="s">
        <v>10112</v>
      </c>
      <c r="I9602">
        <f t="shared" ref="I9602:I9665" si="300">(B9602="Unknown")+(B9602="Error")+(C9602="Unknown")+(C9602="Error")+(D9602="Unknown")+(D9602="Error")+(E9602="Unknown")+(E9602="Error")+(F9602="Unknown")+(F9602="Error")+(G9602="Unknown")+(G9602="Error")+(H9602="No Date")</f>
        <v>2</v>
      </c>
      <c r="J9602" t="str">
        <f t="shared" ref="J9602:J9665" si="301">IF((H9602="No Date"),"Incomplete","Complete")</f>
        <v>Incomplete</v>
      </c>
      <c r="K9602">
        <f>COUNTIFS(RawData[Item], B9602,RawData[Quantity],C9602,RawData[Price Per Unit],D9602,RawData[Total Spent],E9602,RawData[Payment Method],F9602,RawData[Location],G9602,RawData[Transaction Date],H9602)</f>
        <v>1</v>
      </c>
      <c r="L9602"/>
    </row>
    <row r="9603" spans="1:12" x14ac:dyDescent="0.3">
      <c r="A9603" t="s">
        <v>9609</v>
      </c>
      <c r="B9603" t="s">
        <v>10017</v>
      </c>
      <c r="C9603">
        <v>1</v>
      </c>
      <c r="D9603">
        <v>1.5</v>
      </c>
      <c r="E9603">
        <v>1.5</v>
      </c>
      <c r="F9603" t="s">
        <v>10018</v>
      </c>
      <c r="G9603" t="s">
        <v>10021</v>
      </c>
      <c r="H9603" s="6">
        <v>45152</v>
      </c>
      <c r="I9603">
        <f t="shared" si="300"/>
        <v>0</v>
      </c>
      <c r="J9603" t="str">
        <f t="shared" si="301"/>
        <v>Complete</v>
      </c>
      <c r="K9603">
        <f>COUNTIFS(RawData[Item], B9603,RawData[Quantity],C9603,RawData[Price Per Unit],D9603,RawData[Total Spent],E9603,RawData[Payment Method],F9603,RawData[Location],G9603,RawData[Transaction Date],H9603)</f>
        <v>1</v>
      </c>
      <c r="L9603"/>
    </row>
    <row r="9604" spans="1:12" x14ac:dyDescent="0.3">
      <c r="A9604" t="s">
        <v>9610</v>
      </c>
      <c r="B9604" t="s">
        <v>10016</v>
      </c>
      <c r="C9604">
        <v>3</v>
      </c>
      <c r="D9604">
        <v>3</v>
      </c>
      <c r="E9604">
        <v>9</v>
      </c>
      <c r="F9604" t="s">
        <v>10069</v>
      </c>
      <c r="G9604" t="s">
        <v>10104</v>
      </c>
      <c r="H9604" s="6">
        <v>44949</v>
      </c>
      <c r="I9604">
        <f t="shared" si="300"/>
        <v>1</v>
      </c>
      <c r="J9604" t="str">
        <f t="shared" si="301"/>
        <v>Complete</v>
      </c>
      <c r="K9604">
        <f>COUNTIFS(RawData[Item], B9604,RawData[Quantity],C9604,RawData[Price Per Unit],D9604,RawData[Total Spent],E9604,RawData[Payment Method],F9604,RawData[Location],G9604,RawData[Transaction Date],H9604)</f>
        <v>1</v>
      </c>
      <c r="L9604"/>
    </row>
    <row r="9605" spans="1:12" x14ac:dyDescent="0.3">
      <c r="A9605" t="s">
        <v>9611</v>
      </c>
      <c r="B9605" t="s">
        <v>10017</v>
      </c>
      <c r="C9605">
        <v>5</v>
      </c>
      <c r="D9605">
        <v>1.5</v>
      </c>
      <c r="E9605">
        <v>7.5</v>
      </c>
      <c r="F9605" t="s">
        <v>10020</v>
      </c>
      <c r="G9605" t="s">
        <v>10021</v>
      </c>
      <c r="H9605" s="6">
        <v>44973</v>
      </c>
      <c r="I9605">
        <f t="shared" si="300"/>
        <v>0</v>
      </c>
      <c r="J9605" t="str">
        <f t="shared" si="301"/>
        <v>Complete</v>
      </c>
      <c r="K9605">
        <f>COUNTIFS(RawData[Item], B9605,RawData[Quantity],C9605,RawData[Price Per Unit],D9605,RawData[Total Spent],E9605,RawData[Payment Method],F9605,RawData[Location],G9605,RawData[Transaction Date],H9605)</f>
        <v>1</v>
      </c>
      <c r="L9605"/>
    </row>
    <row r="9606" spans="1:12" x14ac:dyDescent="0.3">
      <c r="A9606" t="s">
        <v>9612</v>
      </c>
      <c r="B9606" t="s">
        <v>10012</v>
      </c>
      <c r="C9606">
        <v>1</v>
      </c>
      <c r="D9606">
        <v>4</v>
      </c>
      <c r="E9606">
        <v>4</v>
      </c>
      <c r="F9606" t="s">
        <v>10018</v>
      </c>
      <c r="G9606" t="s">
        <v>10069</v>
      </c>
      <c r="H9606" s="6">
        <v>45241</v>
      </c>
      <c r="I9606">
        <f t="shared" si="300"/>
        <v>0</v>
      </c>
      <c r="J9606" t="str">
        <f t="shared" si="301"/>
        <v>Complete</v>
      </c>
      <c r="K9606">
        <f>COUNTIFS(RawData[Item], B9606,RawData[Quantity],C9606,RawData[Price Per Unit],D9606,RawData[Total Spent],E9606,RawData[Payment Method],F9606,RawData[Location],G9606,RawData[Transaction Date],H9606)</f>
        <v>1</v>
      </c>
      <c r="L9606"/>
    </row>
    <row r="9607" spans="1:12" x14ac:dyDescent="0.3">
      <c r="A9607" t="s">
        <v>9613</v>
      </c>
      <c r="B9607" t="s">
        <v>10009</v>
      </c>
      <c r="C9607">
        <v>2</v>
      </c>
      <c r="D9607" t="s">
        <v>10015</v>
      </c>
      <c r="E9607">
        <v>6</v>
      </c>
      <c r="F9607" t="s">
        <v>10069</v>
      </c>
      <c r="G9607" t="s">
        <v>10069</v>
      </c>
      <c r="H9607" s="6">
        <v>45069</v>
      </c>
      <c r="I9607">
        <f t="shared" si="300"/>
        <v>1</v>
      </c>
      <c r="J9607" t="str">
        <f t="shared" si="301"/>
        <v>Complete</v>
      </c>
      <c r="K9607">
        <f>COUNTIFS(RawData[Item], B9607,RawData[Quantity],C9607,RawData[Price Per Unit],D9607,RawData[Total Spent],E9607,RawData[Payment Method],F9607,RawData[Location],G9607,RawData[Transaction Date],H9607)</f>
        <v>1</v>
      </c>
      <c r="L9607"/>
    </row>
    <row r="9608" spans="1:12" x14ac:dyDescent="0.3">
      <c r="A9608" t="s">
        <v>9614</v>
      </c>
      <c r="B9608" t="s">
        <v>10011</v>
      </c>
      <c r="C9608">
        <v>5</v>
      </c>
      <c r="D9608">
        <v>5</v>
      </c>
      <c r="E9608">
        <v>25</v>
      </c>
      <c r="F9608" t="s">
        <v>10103</v>
      </c>
      <c r="G9608" t="s">
        <v>10021</v>
      </c>
      <c r="H9608" s="6">
        <v>45117</v>
      </c>
      <c r="I9608">
        <f t="shared" si="300"/>
        <v>1</v>
      </c>
      <c r="J9608" t="str">
        <f t="shared" si="301"/>
        <v>Complete</v>
      </c>
      <c r="K9608">
        <f>COUNTIFS(RawData[Item], B9608,RawData[Quantity],C9608,RawData[Price Per Unit],D9608,RawData[Total Spent],E9608,RawData[Payment Method],F9608,RawData[Location],G9608,RawData[Transaction Date],H9608)</f>
        <v>1</v>
      </c>
      <c r="L9608"/>
    </row>
    <row r="9609" spans="1:12" x14ac:dyDescent="0.3">
      <c r="A9609" t="s">
        <v>9615</v>
      </c>
      <c r="B9609" t="s">
        <v>10016</v>
      </c>
      <c r="C9609">
        <v>1</v>
      </c>
      <c r="D9609">
        <v>3</v>
      </c>
      <c r="E9609">
        <v>3</v>
      </c>
      <c r="F9609" t="s">
        <v>10019</v>
      </c>
      <c r="G9609" t="s">
        <v>10069</v>
      </c>
      <c r="H9609" s="6">
        <v>45136</v>
      </c>
      <c r="I9609">
        <f t="shared" si="300"/>
        <v>0</v>
      </c>
      <c r="J9609" t="str">
        <f t="shared" si="301"/>
        <v>Complete</v>
      </c>
      <c r="K9609">
        <f>COUNTIFS(RawData[Item], B9609,RawData[Quantity],C9609,RawData[Price Per Unit],D9609,RawData[Total Spent],E9609,RawData[Payment Method],F9609,RawData[Location],G9609,RawData[Transaction Date],H9609)</f>
        <v>1</v>
      </c>
      <c r="L9609"/>
    </row>
    <row r="9610" spans="1:12" x14ac:dyDescent="0.3">
      <c r="A9610" t="s">
        <v>9616</v>
      </c>
      <c r="B9610" t="s">
        <v>10008</v>
      </c>
      <c r="C9610">
        <v>5</v>
      </c>
      <c r="D9610">
        <v>2</v>
      </c>
      <c r="E9610">
        <v>10</v>
      </c>
      <c r="F9610" t="s">
        <v>10019</v>
      </c>
      <c r="G9610" t="s">
        <v>10069</v>
      </c>
      <c r="H9610" s="6">
        <v>45244</v>
      </c>
      <c r="I9610">
        <f t="shared" si="300"/>
        <v>0</v>
      </c>
      <c r="J9610" t="str">
        <f t="shared" si="301"/>
        <v>Complete</v>
      </c>
      <c r="K9610">
        <f>COUNTIFS(RawData[Item], B9610,RawData[Quantity],C9610,RawData[Price Per Unit],D9610,RawData[Total Spent],E9610,RawData[Payment Method],F9610,RawData[Location],G9610,RawData[Transaction Date],H9610)</f>
        <v>1</v>
      </c>
      <c r="L9610"/>
    </row>
    <row r="9611" spans="1:12" x14ac:dyDescent="0.3">
      <c r="A9611" t="s">
        <v>9617</v>
      </c>
      <c r="B9611" t="s">
        <v>10009</v>
      </c>
      <c r="C9611">
        <v>2</v>
      </c>
      <c r="D9611">
        <v>3</v>
      </c>
      <c r="E9611">
        <v>6</v>
      </c>
      <c r="F9611" t="s">
        <v>10103</v>
      </c>
      <c r="G9611" t="s">
        <v>10069</v>
      </c>
      <c r="H9611" s="6">
        <v>45237</v>
      </c>
      <c r="I9611">
        <f t="shared" si="300"/>
        <v>1</v>
      </c>
      <c r="J9611" t="str">
        <f t="shared" si="301"/>
        <v>Complete</v>
      </c>
      <c r="K9611">
        <f>COUNTIFS(RawData[Item], B9611,RawData[Quantity],C9611,RawData[Price Per Unit],D9611,RawData[Total Spent],E9611,RawData[Payment Method],F9611,RawData[Location],G9611,RawData[Transaction Date],H9611)</f>
        <v>1</v>
      </c>
      <c r="L9611"/>
    </row>
    <row r="9612" spans="1:12" x14ac:dyDescent="0.3">
      <c r="A9612" t="s">
        <v>9618</v>
      </c>
      <c r="B9612" t="s">
        <v>10069</v>
      </c>
      <c r="C9612">
        <v>1</v>
      </c>
      <c r="D9612">
        <v>3</v>
      </c>
      <c r="E9612">
        <v>3</v>
      </c>
      <c r="F9612" t="s">
        <v>10069</v>
      </c>
      <c r="G9612" t="s">
        <v>10069</v>
      </c>
      <c r="H9612" s="6" t="s">
        <v>10112</v>
      </c>
      <c r="I9612">
        <f t="shared" si="300"/>
        <v>1</v>
      </c>
      <c r="J9612" t="str">
        <f t="shared" si="301"/>
        <v>Incomplete</v>
      </c>
      <c r="K9612">
        <f>COUNTIFS(RawData[Item], B9612,RawData[Quantity],C9612,RawData[Price Per Unit],D9612,RawData[Total Spent],E9612,RawData[Payment Method],F9612,RawData[Location],G9612,RawData[Transaction Date],H9612)</f>
        <v>2</v>
      </c>
      <c r="L9612"/>
    </row>
    <row r="9613" spans="1:12" x14ac:dyDescent="0.3">
      <c r="A9613" t="s">
        <v>9619</v>
      </c>
      <c r="B9613" t="s">
        <v>10011</v>
      </c>
      <c r="C9613">
        <v>5</v>
      </c>
      <c r="D9613">
        <v>5</v>
      </c>
      <c r="E9613">
        <v>25</v>
      </c>
      <c r="F9613" t="s">
        <v>10018</v>
      </c>
      <c r="G9613" t="s">
        <v>10102</v>
      </c>
      <c r="H9613" s="6">
        <v>45023</v>
      </c>
      <c r="I9613">
        <f t="shared" si="300"/>
        <v>0</v>
      </c>
      <c r="J9613" t="str">
        <f t="shared" si="301"/>
        <v>Complete</v>
      </c>
      <c r="K9613">
        <f>COUNTIFS(RawData[Item], B9613,RawData[Quantity],C9613,RawData[Price Per Unit],D9613,RawData[Total Spent],E9613,RawData[Payment Method],F9613,RawData[Location],G9613,RawData[Transaction Date],H9613)</f>
        <v>1</v>
      </c>
      <c r="L9613"/>
    </row>
    <row r="9614" spans="1:12" x14ac:dyDescent="0.3">
      <c r="A9614" t="s">
        <v>9620</v>
      </c>
      <c r="B9614" t="s">
        <v>10017</v>
      </c>
      <c r="C9614">
        <v>4</v>
      </c>
      <c r="D9614">
        <v>1.5</v>
      </c>
      <c r="E9614" t="s">
        <v>10013</v>
      </c>
      <c r="F9614" t="s">
        <v>10018</v>
      </c>
      <c r="G9614" t="s">
        <v>10021</v>
      </c>
      <c r="H9614" s="6">
        <v>45012</v>
      </c>
      <c r="I9614">
        <f t="shared" si="300"/>
        <v>1</v>
      </c>
      <c r="J9614" t="str">
        <f t="shared" si="301"/>
        <v>Complete</v>
      </c>
      <c r="K9614">
        <f>COUNTIFS(RawData[Item], B9614,RawData[Quantity],C9614,RawData[Price Per Unit],D9614,RawData[Total Spent],E9614,RawData[Payment Method],F9614,RawData[Location],G9614,RawData[Transaction Date],H9614)</f>
        <v>1</v>
      </c>
      <c r="L9614"/>
    </row>
    <row r="9615" spans="1:12" x14ac:dyDescent="0.3">
      <c r="A9615" t="s">
        <v>9621</v>
      </c>
      <c r="B9615" t="s">
        <v>10009</v>
      </c>
      <c r="C9615">
        <v>4</v>
      </c>
      <c r="D9615">
        <v>3</v>
      </c>
      <c r="E9615">
        <v>12</v>
      </c>
      <c r="F9615" t="s">
        <v>10020</v>
      </c>
      <c r="G9615" t="s">
        <v>10069</v>
      </c>
      <c r="H9615" s="6">
        <v>45017</v>
      </c>
      <c r="I9615">
        <f t="shared" si="300"/>
        <v>0</v>
      </c>
      <c r="J9615" t="str">
        <f t="shared" si="301"/>
        <v>Complete</v>
      </c>
      <c r="K9615">
        <f>COUNTIFS(RawData[Item], B9615,RawData[Quantity],C9615,RawData[Price Per Unit],D9615,RawData[Total Spent],E9615,RawData[Payment Method],F9615,RawData[Location],G9615,RawData[Transaction Date],H9615)</f>
        <v>1</v>
      </c>
      <c r="L9615"/>
    </row>
    <row r="9616" spans="1:12" x14ac:dyDescent="0.3">
      <c r="A9616" t="s">
        <v>9622</v>
      </c>
      <c r="B9616" t="s">
        <v>10009</v>
      </c>
      <c r="C9616">
        <v>4</v>
      </c>
      <c r="D9616">
        <v>3</v>
      </c>
      <c r="E9616">
        <v>12</v>
      </c>
      <c r="F9616" t="s">
        <v>10018</v>
      </c>
      <c r="G9616" t="s">
        <v>10021</v>
      </c>
      <c r="H9616" s="6">
        <v>44963</v>
      </c>
      <c r="I9616">
        <f t="shared" si="300"/>
        <v>0</v>
      </c>
      <c r="J9616" t="str">
        <f t="shared" si="301"/>
        <v>Complete</v>
      </c>
      <c r="K9616">
        <f>COUNTIFS(RawData[Item], B9616,RawData[Quantity],C9616,RawData[Price Per Unit],D9616,RawData[Total Spent],E9616,RawData[Payment Method],F9616,RawData[Location],G9616,RawData[Transaction Date],H9616)</f>
        <v>1</v>
      </c>
      <c r="L9616"/>
    </row>
    <row r="9617" spans="1:12" x14ac:dyDescent="0.3">
      <c r="A9617" t="s">
        <v>9623</v>
      </c>
      <c r="B9617" t="s">
        <v>10010</v>
      </c>
      <c r="C9617">
        <v>4</v>
      </c>
      <c r="D9617">
        <v>1</v>
      </c>
      <c r="E9617" t="s">
        <v>10015</v>
      </c>
      <c r="F9617" t="s">
        <v>10018</v>
      </c>
      <c r="G9617" t="s">
        <v>10102</v>
      </c>
      <c r="H9617" s="6">
        <v>45220</v>
      </c>
      <c r="I9617">
        <f t="shared" si="300"/>
        <v>1</v>
      </c>
      <c r="J9617" t="str">
        <f t="shared" si="301"/>
        <v>Complete</v>
      </c>
      <c r="K9617">
        <f>COUNTIFS(RawData[Item], B9617,RawData[Quantity],C9617,RawData[Price Per Unit],D9617,RawData[Total Spent],E9617,RawData[Payment Method],F9617,RawData[Location],G9617,RawData[Transaction Date],H9617)</f>
        <v>1</v>
      </c>
      <c r="L9617"/>
    </row>
    <row r="9618" spans="1:12" x14ac:dyDescent="0.3">
      <c r="A9618" t="s">
        <v>9624</v>
      </c>
      <c r="B9618" t="s">
        <v>10015</v>
      </c>
      <c r="C9618">
        <v>5</v>
      </c>
      <c r="D9618">
        <v>3</v>
      </c>
      <c r="E9618">
        <v>15</v>
      </c>
      <c r="F9618" t="s">
        <v>10019</v>
      </c>
      <c r="G9618" t="s">
        <v>10102</v>
      </c>
      <c r="H9618" s="6">
        <v>45062</v>
      </c>
      <c r="I9618">
        <f t="shared" si="300"/>
        <v>1</v>
      </c>
      <c r="J9618" t="str">
        <f t="shared" si="301"/>
        <v>Complete</v>
      </c>
      <c r="K9618">
        <f>COUNTIFS(RawData[Item], B9618,RawData[Quantity],C9618,RawData[Price Per Unit],D9618,RawData[Total Spent],E9618,RawData[Payment Method],F9618,RawData[Location],G9618,RawData[Transaction Date],H9618)</f>
        <v>1</v>
      </c>
      <c r="L9618"/>
    </row>
    <row r="9619" spans="1:12" x14ac:dyDescent="0.3">
      <c r="A9619" t="s">
        <v>9625</v>
      </c>
      <c r="B9619" t="s">
        <v>10011</v>
      </c>
      <c r="C9619">
        <v>2</v>
      </c>
      <c r="D9619">
        <v>5</v>
      </c>
      <c r="E9619">
        <v>10</v>
      </c>
      <c r="F9619" t="s">
        <v>10020</v>
      </c>
      <c r="G9619" t="s">
        <v>10021</v>
      </c>
      <c r="H9619" s="6">
        <v>45101</v>
      </c>
      <c r="I9619">
        <f t="shared" si="300"/>
        <v>0</v>
      </c>
      <c r="J9619" t="str">
        <f t="shared" si="301"/>
        <v>Complete</v>
      </c>
      <c r="K9619">
        <f>COUNTIFS(RawData[Item], B9619,RawData[Quantity],C9619,RawData[Price Per Unit],D9619,RawData[Total Spent],E9619,RawData[Payment Method],F9619,RawData[Location],G9619,RawData[Transaction Date],H9619)</f>
        <v>1</v>
      </c>
      <c r="L9619"/>
    </row>
    <row r="9620" spans="1:12" x14ac:dyDescent="0.3">
      <c r="A9620" t="s">
        <v>9626</v>
      </c>
      <c r="B9620" t="s">
        <v>10011</v>
      </c>
      <c r="C9620">
        <v>1</v>
      </c>
      <c r="D9620">
        <v>5</v>
      </c>
      <c r="E9620">
        <v>5</v>
      </c>
      <c r="F9620" t="s">
        <v>10104</v>
      </c>
      <c r="G9620" t="s">
        <v>10069</v>
      </c>
      <c r="H9620" s="6">
        <v>45208</v>
      </c>
      <c r="I9620">
        <f t="shared" si="300"/>
        <v>1</v>
      </c>
      <c r="J9620" t="str">
        <f t="shared" si="301"/>
        <v>Complete</v>
      </c>
      <c r="K9620">
        <f>COUNTIFS(RawData[Item], B9620,RawData[Quantity],C9620,RawData[Price Per Unit],D9620,RawData[Total Spent],E9620,RawData[Payment Method],F9620,RawData[Location],G9620,RawData[Transaction Date],H9620)</f>
        <v>1</v>
      </c>
      <c r="L9620"/>
    </row>
    <row r="9621" spans="1:12" x14ac:dyDescent="0.3">
      <c r="A9621" t="s">
        <v>9627</v>
      </c>
      <c r="B9621" t="s">
        <v>10012</v>
      </c>
      <c r="C9621">
        <v>3</v>
      </c>
      <c r="D9621">
        <v>4</v>
      </c>
      <c r="E9621">
        <v>12</v>
      </c>
      <c r="F9621" t="s">
        <v>10018</v>
      </c>
      <c r="G9621" t="s">
        <v>10069</v>
      </c>
      <c r="H9621" s="6">
        <v>44975</v>
      </c>
      <c r="I9621">
        <f t="shared" si="300"/>
        <v>0</v>
      </c>
      <c r="J9621" t="str">
        <f t="shared" si="301"/>
        <v>Complete</v>
      </c>
      <c r="K9621">
        <f>COUNTIFS(RawData[Item], B9621,RawData[Quantity],C9621,RawData[Price Per Unit],D9621,RawData[Total Spent],E9621,RawData[Payment Method],F9621,RawData[Location],G9621,RawData[Transaction Date],H9621)</f>
        <v>1</v>
      </c>
      <c r="L9621"/>
    </row>
    <row r="9622" spans="1:12" x14ac:dyDescent="0.3">
      <c r="A9622" t="s">
        <v>9628</v>
      </c>
      <c r="B9622" t="s">
        <v>10069</v>
      </c>
      <c r="C9622">
        <v>3</v>
      </c>
      <c r="D9622">
        <v>5</v>
      </c>
      <c r="E9622">
        <v>15</v>
      </c>
      <c r="F9622" t="s">
        <v>10019</v>
      </c>
      <c r="G9622" t="s">
        <v>10102</v>
      </c>
      <c r="H9622" s="6">
        <v>45075</v>
      </c>
      <c r="I9622">
        <f t="shared" si="300"/>
        <v>0</v>
      </c>
      <c r="J9622" t="str">
        <f t="shared" si="301"/>
        <v>Complete</v>
      </c>
      <c r="K9622">
        <f>COUNTIFS(RawData[Item], B9622,RawData[Quantity],C9622,RawData[Price Per Unit],D9622,RawData[Total Spent],E9622,RawData[Payment Method],F9622,RawData[Location],G9622,RawData[Transaction Date],H9622)</f>
        <v>1</v>
      </c>
      <c r="L9622"/>
    </row>
    <row r="9623" spans="1:12" x14ac:dyDescent="0.3">
      <c r="A9623" t="s">
        <v>9629</v>
      </c>
      <c r="B9623" t="s">
        <v>10016</v>
      </c>
      <c r="C9623" t="s">
        <v>10013</v>
      </c>
      <c r="D9623">
        <v>3</v>
      </c>
      <c r="E9623">
        <v>6</v>
      </c>
      <c r="F9623" t="s">
        <v>10069</v>
      </c>
      <c r="G9623" t="s">
        <v>10021</v>
      </c>
      <c r="H9623" s="6">
        <v>45170</v>
      </c>
      <c r="I9623">
        <f t="shared" si="300"/>
        <v>1</v>
      </c>
      <c r="J9623" t="str">
        <f t="shared" si="301"/>
        <v>Complete</v>
      </c>
      <c r="K9623">
        <f>COUNTIFS(RawData[Item], B9623,RawData[Quantity],C9623,RawData[Price Per Unit],D9623,RawData[Total Spent],E9623,RawData[Payment Method],F9623,RawData[Location],G9623,RawData[Transaction Date],H9623)</f>
        <v>1</v>
      </c>
      <c r="L9623"/>
    </row>
    <row r="9624" spans="1:12" x14ac:dyDescent="0.3">
      <c r="A9624" t="s">
        <v>9630</v>
      </c>
      <c r="B9624" t="s">
        <v>10014</v>
      </c>
      <c r="C9624">
        <v>3</v>
      </c>
      <c r="D9624">
        <v>4</v>
      </c>
      <c r="E9624">
        <v>12</v>
      </c>
      <c r="F9624" t="s">
        <v>10019</v>
      </c>
      <c r="G9624" t="s">
        <v>10102</v>
      </c>
      <c r="H9624" s="6">
        <v>44978</v>
      </c>
      <c r="I9624">
        <f t="shared" si="300"/>
        <v>0</v>
      </c>
      <c r="J9624" t="str">
        <f t="shared" si="301"/>
        <v>Complete</v>
      </c>
      <c r="K9624">
        <f>COUNTIFS(RawData[Item], B9624,RawData[Quantity],C9624,RawData[Price Per Unit],D9624,RawData[Total Spent],E9624,RawData[Payment Method],F9624,RawData[Location],G9624,RawData[Transaction Date],H9624)</f>
        <v>1</v>
      </c>
      <c r="L9624"/>
    </row>
    <row r="9625" spans="1:12" x14ac:dyDescent="0.3">
      <c r="A9625" t="s">
        <v>9631</v>
      </c>
      <c r="B9625" t="s">
        <v>10017</v>
      </c>
      <c r="C9625" t="s">
        <v>10015</v>
      </c>
      <c r="D9625">
        <v>1.5</v>
      </c>
      <c r="E9625">
        <v>7.5</v>
      </c>
      <c r="F9625" t="s">
        <v>10069</v>
      </c>
      <c r="G9625" t="s">
        <v>10021</v>
      </c>
      <c r="H9625" s="6">
        <v>45140</v>
      </c>
      <c r="I9625">
        <f t="shared" si="300"/>
        <v>1</v>
      </c>
      <c r="J9625" t="str">
        <f t="shared" si="301"/>
        <v>Complete</v>
      </c>
      <c r="K9625">
        <f>COUNTIFS(RawData[Item], B9625,RawData[Quantity],C9625,RawData[Price Per Unit],D9625,RawData[Total Spent],E9625,RawData[Payment Method],F9625,RawData[Location],G9625,RawData[Transaction Date],H9625)</f>
        <v>1</v>
      </c>
      <c r="L9625"/>
    </row>
    <row r="9626" spans="1:12" x14ac:dyDescent="0.3">
      <c r="A9626" t="s">
        <v>9632</v>
      </c>
      <c r="B9626" t="s">
        <v>10014</v>
      </c>
      <c r="C9626">
        <v>4</v>
      </c>
      <c r="D9626">
        <v>4</v>
      </c>
      <c r="E9626">
        <v>16</v>
      </c>
      <c r="F9626" t="s">
        <v>10069</v>
      </c>
      <c r="G9626" t="s">
        <v>10021</v>
      </c>
      <c r="H9626" s="6">
        <v>44965</v>
      </c>
      <c r="I9626">
        <f t="shared" si="300"/>
        <v>0</v>
      </c>
      <c r="J9626" t="str">
        <f t="shared" si="301"/>
        <v>Complete</v>
      </c>
      <c r="K9626">
        <f>COUNTIFS(RawData[Item], B9626,RawData[Quantity],C9626,RawData[Price Per Unit],D9626,RawData[Total Spent],E9626,RawData[Payment Method],F9626,RawData[Location],G9626,RawData[Transaction Date],H9626)</f>
        <v>1</v>
      </c>
      <c r="L9626"/>
    </row>
    <row r="9627" spans="1:12" x14ac:dyDescent="0.3">
      <c r="A9627" t="s">
        <v>9633</v>
      </c>
      <c r="B9627" t="s">
        <v>10012</v>
      </c>
      <c r="C9627">
        <v>1</v>
      </c>
      <c r="D9627">
        <v>4</v>
      </c>
      <c r="E9627">
        <v>4</v>
      </c>
      <c r="F9627" t="s">
        <v>10018</v>
      </c>
      <c r="G9627" t="s">
        <v>10021</v>
      </c>
      <c r="H9627" s="6">
        <v>45145</v>
      </c>
      <c r="I9627">
        <f t="shared" si="300"/>
        <v>0</v>
      </c>
      <c r="J9627" t="str">
        <f t="shared" si="301"/>
        <v>Complete</v>
      </c>
      <c r="K9627">
        <f>COUNTIFS(RawData[Item], B9627,RawData[Quantity],C9627,RawData[Price Per Unit],D9627,RawData[Total Spent],E9627,RawData[Payment Method],F9627,RawData[Location],G9627,RawData[Transaction Date],H9627)</f>
        <v>1</v>
      </c>
      <c r="L9627"/>
    </row>
    <row r="9628" spans="1:12" x14ac:dyDescent="0.3">
      <c r="A9628" t="s">
        <v>9634</v>
      </c>
      <c r="B9628" t="s">
        <v>10012</v>
      </c>
      <c r="C9628">
        <v>3</v>
      </c>
      <c r="D9628">
        <v>4</v>
      </c>
      <c r="E9628">
        <v>12</v>
      </c>
      <c r="F9628" t="s">
        <v>10020</v>
      </c>
      <c r="G9628" t="s">
        <v>10021</v>
      </c>
      <c r="H9628" s="6">
        <v>45090</v>
      </c>
      <c r="I9628">
        <f t="shared" si="300"/>
        <v>0</v>
      </c>
      <c r="J9628" t="str">
        <f t="shared" si="301"/>
        <v>Complete</v>
      </c>
      <c r="K9628">
        <f>COUNTIFS(RawData[Item], B9628,RawData[Quantity],C9628,RawData[Price Per Unit],D9628,RawData[Total Spent],E9628,RawData[Payment Method],F9628,RawData[Location],G9628,RawData[Transaction Date],H9628)</f>
        <v>1</v>
      </c>
      <c r="L9628"/>
    </row>
    <row r="9629" spans="1:12" x14ac:dyDescent="0.3">
      <c r="A9629" t="s">
        <v>9635</v>
      </c>
      <c r="B9629" t="s">
        <v>10011</v>
      </c>
      <c r="C9629">
        <v>1</v>
      </c>
      <c r="D9629">
        <v>5</v>
      </c>
      <c r="E9629">
        <v>5</v>
      </c>
      <c r="F9629" t="s">
        <v>10018</v>
      </c>
      <c r="G9629" t="s">
        <v>10102</v>
      </c>
      <c r="H9629" s="6">
        <v>45276</v>
      </c>
      <c r="I9629">
        <f t="shared" si="300"/>
        <v>0</v>
      </c>
      <c r="J9629" t="str">
        <f t="shared" si="301"/>
        <v>Complete</v>
      </c>
      <c r="K9629">
        <f>COUNTIFS(RawData[Item], B9629,RawData[Quantity],C9629,RawData[Price Per Unit],D9629,RawData[Total Spent],E9629,RawData[Payment Method],F9629,RawData[Location],G9629,RawData[Transaction Date],H9629)</f>
        <v>1</v>
      </c>
      <c r="L9629"/>
    </row>
    <row r="9630" spans="1:12" x14ac:dyDescent="0.3">
      <c r="A9630" t="s">
        <v>9636</v>
      </c>
      <c r="B9630" t="s">
        <v>10010</v>
      </c>
      <c r="C9630">
        <v>2</v>
      </c>
      <c r="D9630">
        <v>1</v>
      </c>
      <c r="E9630">
        <v>2</v>
      </c>
      <c r="F9630" t="s">
        <v>10020</v>
      </c>
      <c r="G9630" t="s">
        <v>10102</v>
      </c>
      <c r="H9630" s="6">
        <v>45186</v>
      </c>
      <c r="I9630">
        <f t="shared" si="300"/>
        <v>0</v>
      </c>
      <c r="J9630" t="str">
        <f t="shared" si="301"/>
        <v>Complete</v>
      </c>
      <c r="K9630">
        <f>COUNTIFS(RawData[Item], B9630,RawData[Quantity],C9630,RawData[Price Per Unit],D9630,RawData[Total Spent],E9630,RawData[Payment Method],F9630,RawData[Location],G9630,RawData[Transaction Date],H9630)</f>
        <v>2</v>
      </c>
      <c r="L9630"/>
    </row>
    <row r="9631" spans="1:12" x14ac:dyDescent="0.3">
      <c r="A9631" t="s">
        <v>9637</v>
      </c>
      <c r="B9631" t="s">
        <v>10014</v>
      </c>
      <c r="C9631">
        <v>3</v>
      </c>
      <c r="D9631">
        <v>4</v>
      </c>
      <c r="E9631">
        <v>12</v>
      </c>
      <c r="F9631" t="s">
        <v>10069</v>
      </c>
      <c r="G9631" t="s">
        <v>10021</v>
      </c>
      <c r="H9631" s="6">
        <v>45132</v>
      </c>
      <c r="I9631">
        <f t="shared" si="300"/>
        <v>0</v>
      </c>
      <c r="J9631" t="str">
        <f t="shared" si="301"/>
        <v>Complete</v>
      </c>
      <c r="K9631">
        <f>COUNTIFS(RawData[Item], B9631,RawData[Quantity],C9631,RawData[Price Per Unit],D9631,RawData[Total Spent],E9631,RawData[Payment Method],F9631,RawData[Location],G9631,RawData[Transaction Date],H9631)</f>
        <v>1</v>
      </c>
      <c r="L9631"/>
    </row>
    <row r="9632" spans="1:12" x14ac:dyDescent="0.3">
      <c r="A9632" t="s">
        <v>9638</v>
      </c>
      <c r="B9632" t="s">
        <v>10009</v>
      </c>
      <c r="C9632">
        <v>5</v>
      </c>
      <c r="D9632">
        <v>3</v>
      </c>
      <c r="E9632">
        <v>15</v>
      </c>
      <c r="F9632" t="s">
        <v>10069</v>
      </c>
      <c r="G9632" t="s">
        <v>10021</v>
      </c>
      <c r="H9632" s="6">
        <v>44958</v>
      </c>
      <c r="I9632">
        <f t="shared" si="300"/>
        <v>0</v>
      </c>
      <c r="J9632" t="str">
        <f t="shared" si="301"/>
        <v>Complete</v>
      </c>
      <c r="K9632">
        <f>COUNTIFS(RawData[Item], B9632,RawData[Quantity],C9632,RawData[Price Per Unit],D9632,RawData[Total Spent],E9632,RawData[Payment Method],F9632,RawData[Location],G9632,RawData[Transaction Date],H9632)</f>
        <v>1</v>
      </c>
      <c r="L9632"/>
    </row>
    <row r="9633" spans="1:12" x14ac:dyDescent="0.3">
      <c r="A9633" t="s">
        <v>9639</v>
      </c>
      <c r="B9633" t="s">
        <v>10009</v>
      </c>
      <c r="C9633">
        <v>2</v>
      </c>
      <c r="D9633">
        <v>3</v>
      </c>
      <c r="E9633">
        <v>6</v>
      </c>
      <c r="F9633" t="s">
        <v>10019</v>
      </c>
      <c r="G9633" t="s">
        <v>10021</v>
      </c>
      <c r="H9633" s="6">
        <v>45141</v>
      </c>
      <c r="I9633">
        <f t="shared" si="300"/>
        <v>0</v>
      </c>
      <c r="J9633" t="str">
        <f t="shared" si="301"/>
        <v>Complete</v>
      </c>
      <c r="K9633">
        <f>COUNTIFS(RawData[Item], B9633,RawData[Quantity],C9633,RawData[Price Per Unit],D9633,RawData[Total Spent],E9633,RawData[Payment Method],F9633,RawData[Location],G9633,RawData[Transaction Date],H9633)</f>
        <v>1</v>
      </c>
      <c r="L9633"/>
    </row>
    <row r="9634" spans="1:12" x14ac:dyDescent="0.3">
      <c r="A9634" t="s">
        <v>9640</v>
      </c>
      <c r="B9634" t="s">
        <v>10009</v>
      </c>
      <c r="C9634">
        <v>1</v>
      </c>
      <c r="D9634">
        <v>3</v>
      </c>
      <c r="E9634">
        <v>3</v>
      </c>
      <c r="F9634" t="s">
        <v>10018</v>
      </c>
      <c r="G9634" t="s">
        <v>10021</v>
      </c>
      <c r="H9634" s="6">
        <v>45007</v>
      </c>
      <c r="I9634">
        <f t="shared" si="300"/>
        <v>0</v>
      </c>
      <c r="J9634" t="str">
        <f t="shared" si="301"/>
        <v>Complete</v>
      </c>
      <c r="K9634">
        <f>COUNTIFS(RawData[Item], B9634,RawData[Quantity],C9634,RawData[Price Per Unit],D9634,RawData[Total Spent],E9634,RawData[Payment Method],F9634,RawData[Location],G9634,RawData[Transaction Date],H9634)</f>
        <v>1</v>
      </c>
      <c r="L9634"/>
    </row>
    <row r="9635" spans="1:12" x14ac:dyDescent="0.3">
      <c r="A9635" t="s">
        <v>9641</v>
      </c>
      <c r="B9635" t="s">
        <v>10016</v>
      </c>
      <c r="C9635">
        <v>3</v>
      </c>
      <c r="D9635">
        <v>3</v>
      </c>
      <c r="E9635">
        <v>9</v>
      </c>
      <c r="F9635" t="s">
        <v>10019</v>
      </c>
      <c r="G9635" t="s">
        <v>10102</v>
      </c>
      <c r="H9635" s="6">
        <v>45041</v>
      </c>
      <c r="I9635">
        <f t="shared" si="300"/>
        <v>0</v>
      </c>
      <c r="J9635" t="str">
        <f t="shared" si="301"/>
        <v>Complete</v>
      </c>
      <c r="K9635">
        <f>COUNTIFS(RawData[Item], B9635,RawData[Quantity],C9635,RawData[Price Per Unit],D9635,RawData[Total Spent],E9635,RawData[Payment Method],F9635,RawData[Location],G9635,RawData[Transaction Date],H9635)</f>
        <v>1</v>
      </c>
      <c r="L9635"/>
    </row>
    <row r="9636" spans="1:12" x14ac:dyDescent="0.3">
      <c r="A9636" t="s">
        <v>9642</v>
      </c>
      <c r="B9636" t="s">
        <v>10009</v>
      </c>
      <c r="C9636">
        <v>0</v>
      </c>
      <c r="D9636">
        <v>3</v>
      </c>
      <c r="E9636">
        <v>15</v>
      </c>
      <c r="F9636" t="s">
        <v>10018</v>
      </c>
      <c r="G9636" t="s">
        <v>10069</v>
      </c>
      <c r="H9636" s="6">
        <v>45146</v>
      </c>
      <c r="I9636">
        <f t="shared" si="300"/>
        <v>0</v>
      </c>
      <c r="J9636" t="str">
        <f t="shared" si="301"/>
        <v>Complete</v>
      </c>
      <c r="K9636">
        <f>COUNTIFS(RawData[Item], B9636,RawData[Quantity],C9636,RawData[Price Per Unit],D9636,RawData[Total Spent],E9636,RawData[Payment Method],F9636,RawData[Location],G9636,RawData[Transaction Date],H9636)</f>
        <v>1</v>
      </c>
      <c r="L9636"/>
    </row>
    <row r="9637" spans="1:12" x14ac:dyDescent="0.3">
      <c r="A9637" t="s">
        <v>9643</v>
      </c>
      <c r="B9637" t="s">
        <v>10017</v>
      </c>
      <c r="C9637">
        <v>5</v>
      </c>
      <c r="D9637">
        <v>1.5</v>
      </c>
      <c r="E9637">
        <v>7.5</v>
      </c>
      <c r="F9637" t="s">
        <v>10019</v>
      </c>
      <c r="G9637" t="s">
        <v>10104</v>
      </c>
      <c r="H9637" s="6">
        <v>44984</v>
      </c>
      <c r="I9637">
        <f t="shared" si="300"/>
        <v>1</v>
      </c>
      <c r="J9637" t="str">
        <f t="shared" si="301"/>
        <v>Complete</v>
      </c>
      <c r="K9637">
        <f>COUNTIFS(RawData[Item], B9637,RawData[Quantity],C9637,RawData[Price Per Unit],D9637,RawData[Total Spent],E9637,RawData[Payment Method],F9637,RawData[Location],G9637,RawData[Transaction Date],H9637)</f>
        <v>1</v>
      </c>
      <c r="L9637"/>
    </row>
    <row r="9638" spans="1:12" x14ac:dyDescent="0.3">
      <c r="A9638" t="s">
        <v>9644</v>
      </c>
      <c r="B9638" t="s">
        <v>10008</v>
      </c>
      <c r="C9638" t="s">
        <v>10013</v>
      </c>
      <c r="D9638">
        <v>2</v>
      </c>
      <c r="E9638">
        <v>4</v>
      </c>
      <c r="F9638" t="s">
        <v>10103</v>
      </c>
      <c r="G9638" t="s">
        <v>10021</v>
      </c>
      <c r="H9638" s="6">
        <v>45051</v>
      </c>
      <c r="I9638">
        <f t="shared" si="300"/>
        <v>2</v>
      </c>
      <c r="J9638" t="str">
        <f t="shared" si="301"/>
        <v>Complete</v>
      </c>
      <c r="K9638">
        <f>COUNTIFS(RawData[Item], B9638,RawData[Quantity],C9638,RawData[Price Per Unit],D9638,RawData[Total Spent],E9638,RawData[Payment Method],F9638,RawData[Location],G9638,RawData[Transaction Date],H9638)</f>
        <v>1</v>
      </c>
      <c r="L9638"/>
    </row>
    <row r="9639" spans="1:12" x14ac:dyDescent="0.3">
      <c r="A9639" t="s">
        <v>9645</v>
      </c>
      <c r="B9639" t="s">
        <v>10010</v>
      </c>
      <c r="C9639">
        <v>5</v>
      </c>
      <c r="D9639">
        <v>1</v>
      </c>
      <c r="E9639" t="s">
        <v>10015</v>
      </c>
      <c r="F9639" t="s">
        <v>10069</v>
      </c>
      <c r="G9639" t="s">
        <v>10102</v>
      </c>
      <c r="H9639" s="6">
        <v>45208</v>
      </c>
      <c r="I9639">
        <f t="shared" si="300"/>
        <v>1</v>
      </c>
      <c r="J9639" t="str">
        <f t="shared" si="301"/>
        <v>Complete</v>
      </c>
      <c r="K9639">
        <f>COUNTIFS(RawData[Item], B9639,RawData[Quantity],C9639,RawData[Price Per Unit],D9639,RawData[Total Spent],E9639,RawData[Payment Method],F9639,RawData[Location],G9639,RawData[Transaction Date],H9639)</f>
        <v>1</v>
      </c>
      <c r="L9639"/>
    </row>
    <row r="9640" spans="1:12" x14ac:dyDescent="0.3">
      <c r="A9640" t="s">
        <v>9646</v>
      </c>
      <c r="B9640" t="s">
        <v>10014</v>
      </c>
      <c r="C9640">
        <v>5</v>
      </c>
      <c r="D9640">
        <v>4</v>
      </c>
      <c r="E9640">
        <v>20</v>
      </c>
      <c r="F9640" t="s">
        <v>10018</v>
      </c>
      <c r="G9640" t="s">
        <v>10069</v>
      </c>
      <c r="H9640" s="6">
        <v>45035</v>
      </c>
      <c r="I9640">
        <f t="shared" si="300"/>
        <v>0</v>
      </c>
      <c r="J9640" t="str">
        <f t="shared" si="301"/>
        <v>Complete</v>
      </c>
      <c r="K9640">
        <f>COUNTIFS(RawData[Item], B9640,RawData[Quantity],C9640,RawData[Price Per Unit],D9640,RawData[Total Spent],E9640,RawData[Payment Method],F9640,RawData[Location],G9640,RawData[Transaction Date],H9640)</f>
        <v>1</v>
      </c>
      <c r="L9640"/>
    </row>
    <row r="9641" spans="1:12" x14ac:dyDescent="0.3">
      <c r="A9641" t="s">
        <v>9647</v>
      </c>
      <c r="B9641" t="s">
        <v>10017</v>
      </c>
      <c r="C9641">
        <v>3</v>
      </c>
      <c r="D9641">
        <v>1.5</v>
      </c>
      <c r="E9641">
        <v>4.5</v>
      </c>
      <c r="F9641" t="s">
        <v>10019</v>
      </c>
      <c r="G9641" t="s">
        <v>10102</v>
      </c>
      <c r="H9641" s="6">
        <v>45137</v>
      </c>
      <c r="I9641">
        <f t="shared" si="300"/>
        <v>0</v>
      </c>
      <c r="J9641" t="str">
        <f t="shared" si="301"/>
        <v>Complete</v>
      </c>
      <c r="K9641">
        <f>COUNTIFS(RawData[Item], B9641,RawData[Quantity],C9641,RawData[Price Per Unit],D9641,RawData[Total Spent],E9641,RawData[Payment Method],F9641,RawData[Location],G9641,RawData[Transaction Date],H9641)</f>
        <v>1</v>
      </c>
      <c r="L9641"/>
    </row>
    <row r="9642" spans="1:12" x14ac:dyDescent="0.3">
      <c r="A9642" t="s">
        <v>9648</v>
      </c>
      <c r="B9642" t="s">
        <v>10008</v>
      </c>
      <c r="C9642">
        <v>1</v>
      </c>
      <c r="D9642">
        <v>2</v>
      </c>
      <c r="E9642">
        <v>2</v>
      </c>
      <c r="F9642" t="s">
        <v>10069</v>
      </c>
      <c r="G9642" t="s">
        <v>10069</v>
      </c>
      <c r="H9642" s="6">
        <v>45085</v>
      </c>
      <c r="I9642">
        <f t="shared" si="300"/>
        <v>0</v>
      </c>
      <c r="J9642" t="str">
        <f t="shared" si="301"/>
        <v>Complete</v>
      </c>
      <c r="K9642">
        <f>COUNTIFS(RawData[Item], B9642,RawData[Quantity],C9642,RawData[Price Per Unit],D9642,RawData[Total Spent],E9642,RawData[Payment Method],F9642,RawData[Location],G9642,RawData[Transaction Date],H9642)</f>
        <v>1</v>
      </c>
      <c r="L9642"/>
    </row>
    <row r="9643" spans="1:12" x14ac:dyDescent="0.3">
      <c r="A9643" t="s">
        <v>9649</v>
      </c>
      <c r="B9643" t="s">
        <v>10015</v>
      </c>
      <c r="C9643">
        <v>5</v>
      </c>
      <c r="D9643">
        <v>4</v>
      </c>
      <c r="E9643">
        <v>20</v>
      </c>
      <c r="F9643" t="s">
        <v>10020</v>
      </c>
      <c r="G9643" t="s">
        <v>10069</v>
      </c>
      <c r="H9643" s="6">
        <v>45120</v>
      </c>
      <c r="I9643">
        <f t="shared" si="300"/>
        <v>1</v>
      </c>
      <c r="J9643" t="str">
        <f t="shared" si="301"/>
        <v>Complete</v>
      </c>
      <c r="K9643">
        <f>COUNTIFS(RawData[Item], B9643,RawData[Quantity],C9643,RawData[Price Per Unit],D9643,RawData[Total Spent],E9643,RawData[Payment Method],F9643,RawData[Location],G9643,RawData[Transaction Date],H9643)</f>
        <v>1</v>
      </c>
      <c r="L9643"/>
    </row>
    <row r="9644" spans="1:12" x14ac:dyDescent="0.3">
      <c r="A9644" t="s">
        <v>9650</v>
      </c>
      <c r="B9644" t="s">
        <v>10016</v>
      </c>
      <c r="C9644">
        <v>1</v>
      </c>
      <c r="D9644">
        <v>3</v>
      </c>
      <c r="E9644">
        <v>3</v>
      </c>
      <c r="F9644" t="s">
        <v>10020</v>
      </c>
      <c r="G9644" t="s">
        <v>10069</v>
      </c>
      <c r="H9644" s="6">
        <v>45282</v>
      </c>
      <c r="I9644">
        <f t="shared" si="300"/>
        <v>0</v>
      </c>
      <c r="J9644" t="str">
        <f t="shared" si="301"/>
        <v>Complete</v>
      </c>
      <c r="K9644">
        <f>COUNTIFS(RawData[Item], B9644,RawData[Quantity],C9644,RawData[Price Per Unit],D9644,RawData[Total Spent],E9644,RawData[Payment Method],F9644,RawData[Location],G9644,RawData[Transaction Date],H9644)</f>
        <v>1</v>
      </c>
      <c r="L9644"/>
    </row>
    <row r="9645" spans="1:12" x14ac:dyDescent="0.3">
      <c r="A9645" t="s">
        <v>9651</v>
      </c>
      <c r="B9645" t="s">
        <v>10008</v>
      </c>
      <c r="C9645">
        <v>2</v>
      </c>
      <c r="D9645">
        <v>0</v>
      </c>
      <c r="E9645">
        <v>4</v>
      </c>
      <c r="F9645" t="s">
        <v>10020</v>
      </c>
      <c r="G9645" t="s">
        <v>10021</v>
      </c>
      <c r="H9645" s="6">
        <v>45207</v>
      </c>
      <c r="I9645">
        <f t="shared" si="300"/>
        <v>0</v>
      </c>
      <c r="J9645" t="str">
        <f t="shared" si="301"/>
        <v>Complete</v>
      </c>
      <c r="K9645">
        <f>COUNTIFS(RawData[Item], B9645,RawData[Quantity],C9645,RawData[Price Per Unit],D9645,RawData[Total Spent],E9645,RawData[Payment Method],F9645,RawData[Location],G9645,RawData[Transaction Date],H9645)</f>
        <v>1</v>
      </c>
      <c r="L9645"/>
    </row>
    <row r="9646" spans="1:12" x14ac:dyDescent="0.3">
      <c r="A9646" t="s">
        <v>9652</v>
      </c>
      <c r="B9646" t="s">
        <v>10011</v>
      </c>
      <c r="C9646">
        <v>3</v>
      </c>
      <c r="D9646">
        <v>5</v>
      </c>
      <c r="E9646">
        <v>0</v>
      </c>
      <c r="F9646" t="s">
        <v>10018</v>
      </c>
      <c r="G9646" t="s">
        <v>10069</v>
      </c>
      <c r="H9646" s="6">
        <v>45155</v>
      </c>
      <c r="I9646">
        <f t="shared" si="300"/>
        <v>0</v>
      </c>
      <c r="J9646" t="str">
        <f t="shared" si="301"/>
        <v>Complete</v>
      </c>
      <c r="K9646">
        <f>COUNTIFS(RawData[Item], B9646,RawData[Quantity],C9646,RawData[Price Per Unit],D9646,RawData[Total Spent],E9646,RawData[Payment Method],F9646,RawData[Location],G9646,RawData[Transaction Date],H9646)</f>
        <v>1</v>
      </c>
      <c r="L9646"/>
    </row>
    <row r="9647" spans="1:12" x14ac:dyDescent="0.3">
      <c r="A9647" t="s">
        <v>9653</v>
      </c>
      <c r="B9647" t="s">
        <v>10010</v>
      </c>
      <c r="C9647">
        <v>2</v>
      </c>
      <c r="D9647">
        <v>1</v>
      </c>
      <c r="E9647">
        <v>2</v>
      </c>
      <c r="F9647" t="s">
        <v>10019</v>
      </c>
      <c r="G9647" t="s">
        <v>10021</v>
      </c>
      <c r="H9647" s="6">
        <v>45186</v>
      </c>
      <c r="I9647">
        <f t="shared" si="300"/>
        <v>0</v>
      </c>
      <c r="J9647" t="str">
        <f t="shared" si="301"/>
        <v>Complete</v>
      </c>
      <c r="K9647">
        <f>COUNTIFS(RawData[Item], B9647,RawData[Quantity],C9647,RawData[Price Per Unit],D9647,RawData[Total Spent],E9647,RawData[Payment Method],F9647,RawData[Location],G9647,RawData[Transaction Date],H9647)</f>
        <v>1</v>
      </c>
      <c r="L9647"/>
    </row>
    <row r="9648" spans="1:12" x14ac:dyDescent="0.3">
      <c r="A9648" t="s">
        <v>9654</v>
      </c>
      <c r="B9648" t="s">
        <v>10014</v>
      </c>
      <c r="C9648">
        <v>4</v>
      </c>
      <c r="D9648">
        <v>4</v>
      </c>
      <c r="E9648">
        <v>16</v>
      </c>
      <c r="F9648" t="s">
        <v>10019</v>
      </c>
      <c r="G9648" t="s">
        <v>10021</v>
      </c>
      <c r="H9648" s="6">
        <v>45268</v>
      </c>
      <c r="I9648">
        <f t="shared" si="300"/>
        <v>0</v>
      </c>
      <c r="J9648" t="str">
        <f t="shared" si="301"/>
        <v>Complete</v>
      </c>
      <c r="K9648">
        <f>COUNTIFS(RawData[Item], B9648,RawData[Quantity],C9648,RawData[Price Per Unit],D9648,RawData[Total Spent],E9648,RawData[Payment Method],F9648,RawData[Location],G9648,RawData[Transaction Date],H9648)</f>
        <v>1</v>
      </c>
      <c r="L9648"/>
    </row>
    <row r="9649" spans="1:12" x14ac:dyDescent="0.3">
      <c r="A9649" t="s">
        <v>9655</v>
      </c>
      <c r="B9649" t="s">
        <v>10014</v>
      </c>
      <c r="C9649">
        <v>3</v>
      </c>
      <c r="D9649">
        <v>4</v>
      </c>
      <c r="E9649">
        <v>12</v>
      </c>
      <c r="F9649" t="s">
        <v>10069</v>
      </c>
      <c r="G9649" t="s">
        <v>10102</v>
      </c>
      <c r="H9649" s="6">
        <v>45039</v>
      </c>
      <c r="I9649">
        <f t="shared" si="300"/>
        <v>0</v>
      </c>
      <c r="J9649" t="str">
        <f t="shared" si="301"/>
        <v>Complete</v>
      </c>
      <c r="K9649">
        <f>COUNTIFS(RawData[Item], B9649,RawData[Quantity],C9649,RawData[Price Per Unit],D9649,RawData[Total Spent],E9649,RawData[Payment Method],F9649,RawData[Location],G9649,RawData[Transaction Date],H9649)</f>
        <v>1</v>
      </c>
      <c r="L9649"/>
    </row>
    <row r="9650" spans="1:12" x14ac:dyDescent="0.3">
      <c r="A9650" t="s">
        <v>9656</v>
      </c>
      <c r="B9650" t="s">
        <v>10017</v>
      </c>
      <c r="C9650">
        <v>3</v>
      </c>
      <c r="D9650">
        <v>1.5</v>
      </c>
      <c r="E9650">
        <v>4.5</v>
      </c>
      <c r="F9650" t="s">
        <v>10018</v>
      </c>
      <c r="G9650" t="s">
        <v>10021</v>
      </c>
      <c r="H9650" s="6">
        <v>45086</v>
      </c>
      <c r="I9650">
        <f t="shared" si="300"/>
        <v>0</v>
      </c>
      <c r="J9650" t="str">
        <f t="shared" si="301"/>
        <v>Complete</v>
      </c>
      <c r="K9650">
        <f>COUNTIFS(RawData[Item], B9650,RawData[Quantity],C9650,RawData[Price Per Unit],D9650,RawData[Total Spent],E9650,RawData[Payment Method],F9650,RawData[Location],G9650,RawData[Transaction Date],H9650)</f>
        <v>1</v>
      </c>
      <c r="L9650"/>
    </row>
    <row r="9651" spans="1:12" x14ac:dyDescent="0.3">
      <c r="A9651" t="s">
        <v>9657</v>
      </c>
      <c r="B9651" t="s">
        <v>10008</v>
      </c>
      <c r="C9651">
        <v>1</v>
      </c>
      <c r="D9651" t="s">
        <v>10015</v>
      </c>
      <c r="E9651">
        <v>2</v>
      </c>
      <c r="F9651" t="s">
        <v>10103</v>
      </c>
      <c r="G9651" t="s">
        <v>10069</v>
      </c>
      <c r="H9651" s="6">
        <v>44979</v>
      </c>
      <c r="I9651">
        <f t="shared" si="300"/>
        <v>2</v>
      </c>
      <c r="J9651" t="str">
        <f t="shared" si="301"/>
        <v>Complete</v>
      </c>
      <c r="K9651">
        <f>COUNTIFS(RawData[Item], B9651,RawData[Quantity],C9651,RawData[Price Per Unit],D9651,RawData[Total Spent],E9651,RawData[Payment Method],F9651,RawData[Location],G9651,RawData[Transaction Date],H9651)</f>
        <v>1</v>
      </c>
      <c r="L9651"/>
    </row>
    <row r="9652" spans="1:12" x14ac:dyDescent="0.3">
      <c r="A9652" t="s">
        <v>9658</v>
      </c>
      <c r="B9652" t="s">
        <v>10013</v>
      </c>
      <c r="C9652">
        <v>1</v>
      </c>
      <c r="D9652">
        <v>1</v>
      </c>
      <c r="E9652">
        <v>1</v>
      </c>
      <c r="F9652" t="s">
        <v>10020</v>
      </c>
      <c r="G9652" t="s">
        <v>10102</v>
      </c>
      <c r="H9652" s="6">
        <v>44967</v>
      </c>
      <c r="I9652">
        <f t="shared" si="300"/>
        <v>1</v>
      </c>
      <c r="J9652" t="str">
        <f t="shared" si="301"/>
        <v>Complete</v>
      </c>
      <c r="K9652">
        <f>COUNTIFS(RawData[Item], B9652,RawData[Quantity],C9652,RawData[Price Per Unit],D9652,RawData[Total Spent],E9652,RawData[Payment Method],F9652,RawData[Location],G9652,RawData[Transaction Date],H9652)</f>
        <v>1</v>
      </c>
      <c r="L9652"/>
    </row>
    <row r="9653" spans="1:12" x14ac:dyDescent="0.3">
      <c r="A9653" t="s">
        <v>9659</v>
      </c>
      <c r="B9653" t="s">
        <v>10010</v>
      </c>
      <c r="C9653">
        <v>2</v>
      </c>
      <c r="D9653">
        <v>1</v>
      </c>
      <c r="E9653">
        <v>2</v>
      </c>
      <c r="F9653" t="s">
        <v>10020</v>
      </c>
      <c r="G9653" t="s">
        <v>10102</v>
      </c>
      <c r="H9653" s="6">
        <v>45186</v>
      </c>
      <c r="I9653">
        <f t="shared" si="300"/>
        <v>0</v>
      </c>
      <c r="J9653" t="str">
        <f t="shared" si="301"/>
        <v>Complete</v>
      </c>
      <c r="K9653">
        <f>COUNTIFS(RawData[Item], B9653,RawData[Quantity],C9653,RawData[Price Per Unit],D9653,RawData[Total Spent],E9653,RawData[Payment Method],F9653,RawData[Location],G9653,RawData[Transaction Date],H9653)</f>
        <v>2</v>
      </c>
      <c r="L9653"/>
    </row>
    <row r="9654" spans="1:12" x14ac:dyDescent="0.3">
      <c r="A9654" t="s">
        <v>9660</v>
      </c>
      <c r="B9654" t="s">
        <v>10010</v>
      </c>
      <c r="C9654">
        <v>3</v>
      </c>
      <c r="D9654">
        <v>1</v>
      </c>
      <c r="E9654">
        <v>3</v>
      </c>
      <c r="F9654" t="s">
        <v>10018</v>
      </c>
      <c r="G9654" t="s">
        <v>10069</v>
      </c>
      <c r="H9654" s="6">
        <v>45052</v>
      </c>
      <c r="I9654">
        <f t="shared" si="300"/>
        <v>0</v>
      </c>
      <c r="J9654" t="str">
        <f t="shared" si="301"/>
        <v>Complete</v>
      </c>
      <c r="K9654">
        <f>COUNTIFS(RawData[Item], B9654,RawData[Quantity],C9654,RawData[Price Per Unit],D9654,RawData[Total Spent],E9654,RawData[Payment Method],F9654,RawData[Location],G9654,RawData[Transaction Date],H9654)</f>
        <v>1</v>
      </c>
      <c r="L9654"/>
    </row>
    <row r="9655" spans="1:12" x14ac:dyDescent="0.3">
      <c r="A9655" t="s">
        <v>9661</v>
      </c>
      <c r="B9655" t="s">
        <v>10010</v>
      </c>
      <c r="C9655">
        <v>3</v>
      </c>
      <c r="D9655">
        <v>1</v>
      </c>
      <c r="E9655">
        <v>3</v>
      </c>
      <c r="F9655" t="s">
        <v>10020</v>
      </c>
      <c r="G9655" t="s">
        <v>10069</v>
      </c>
      <c r="H9655" s="6">
        <v>45264</v>
      </c>
      <c r="I9655">
        <f t="shared" si="300"/>
        <v>0</v>
      </c>
      <c r="J9655" t="str">
        <f t="shared" si="301"/>
        <v>Complete</v>
      </c>
      <c r="K9655">
        <f>COUNTIFS(RawData[Item], B9655,RawData[Quantity],C9655,RawData[Price Per Unit],D9655,RawData[Total Spent],E9655,RawData[Payment Method],F9655,RawData[Location],G9655,RawData[Transaction Date],H9655)</f>
        <v>1</v>
      </c>
      <c r="L9655"/>
    </row>
    <row r="9656" spans="1:12" x14ac:dyDescent="0.3">
      <c r="A9656" t="s">
        <v>9662</v>
      </c>
      <c r="B9656" t="s">
        <v>10069</v>
      </c>
      <c r="C9656">
        <v>3</v>
      </c>
      <c r="D9656">
        <v>1.5</v>
      </c>
      <c r="E9656">
        <v>4.5</v>
      </c>
      <c r="F9656" t="s">
        <v>10069</v>
      </c>
      <c r="G9656" t="s">
        <v>10102</v>
      </c>
      <c r="H9656" s="6">
        <v>45224</v>
      </c>
      <c r="I9656">
        <f t="shared" si="300"/>
        <v>0</v>
      </c>
      <c r="J9656" t="str">
        <f t="shared" si="301"/>
        <v>Complete</v>
      </c>
      <c r="K9656">
        <f>COUNTIFS(RawData[Item], B9656,RawData[Quantity],C9656,RawData[Price Per Unit],D9656,RawData[Total Spent],E9656,RawData[Payment Method],F9656,RawData[Location],G9656,RawData[Transaction Date],H9656)</f>
        <v>1</v>
      </c>
      <c r="L9656"/>
    </row>
    <row r="9657" spans="1:12" x14ac:dyDescent="0.3">
      <c r="A9657" t="s">
        <v>9663</v>
      </c>
      <c r="B9657" t="s">
        <v>10010</v>
      </c>
      <c r="C9657">
        <v>2</v>
      </c>
      <c r="D9657">
        <v>1</v>
      </c>
      <c r="E9657">
        <v>2</v>
      </c>
      <c r="F9657" t="s">
        <v>10018</v>
      </c>
      <c r="G9657" t="s">
        <v>10069</v>
      </c>
      <c r="H9657" s="6">
        <v>45277</v>
      </c>
      <c r="I9657">
        <f t="shared" si="300"/>
        <v>0</v>
      </c>
      <c r="J9657" t="str">
        <f t="shared" si="301"/>
        <v>Complete</v>
      </c>
      <c r="K9657">
        <f>COUNTIFS(RawData[Item], B9657,RawData[Quantity],C9657,RawData[Price Per Unit],D9657,RawData[Total Spent],E9657,RawData[Payment Method],F9657,RawData[Location],G9657,RawData[Transaction Date],H9657)</f>
        <v>1</v>
      </c>
      <c r="L9657"/>
    </row>
    <row r="9658" spans="1:12" x14ac:dyDescent="0.3">
      <c r="A9658" t="s">
        <v>9664</v>
      </c>
      <c r="B9658" t="s">
        <v>10009</v>
      </c>
      <c r="C9658">
        <v>2</v>
      </c>
      <c r="D9658">
        <v>3</v>
      </c>
      <c r="E9658" t="s">
        <v>10015</v>
      </c>
      <c r="F9658" t="s">
        <v>10018</v>
      </c>
      <c r="G9658" t="s">
        <v>10069</v>
      </c>
      <c r="H9658" s="6">
        <v>45012</v>
      </c>
      <c r="I9658">
        <f t="shared" si="300"/>
        <v>1</v>
      </c>
      <c r="J9658" t="str">
        <f t="shared" si="301"/>
        <v>Complete</v>
      </c>
      <c r="K9658">
        <f>COUNTIFS(RawData[Item], B9658,RawData[Quantity],C9658,RawData[Price Per Unit],D9658,RawData[Total Spent],E9658,RawData[Payment Method],F9658,RawData[Location],G9658,RawData[Transaction Date],H9658)</f>
        <v>1</v>
      </c>
      <c r="L9658"/>
    </row>
    <row r="9659" spans="1:12" x14ac:dyDescent="0.3">
      <c r="A9659" t="s">
        <v>9665</v>
      </c>
      <c r="B9659" t="s">
        <v>10017</v>
      </c>
      <c r="C9659">
        <v>2</v>
      </c>
      <c r="D9659">
        <v>1.5</v>
      </c>
      <c r="E9659">
        <v>3</v>
      </c>
      <c r="F9659" t="s">
        <v>10069</v>
      </c>
      <c r="G9659" t="s">
        <v>10069</v>
      </c>
      <c r="H9659" s="6">
        <v>45019</v>
      </c>
      <c r="I9659">
        <f t="shared" si="300"/>
        <v>0</v>
      </c>
      <c r="J9659" t="str">
        <f t="shared" si="301"/>
        <v>Complete</v>
      </c>
      <c r="K9659">
        <f>COUNTIFS(RawData[Item], B9659,RawData[Quantity],C9659,RawData[Price Per Unit],D9659,RawData[Total Spent],E9659,RawData[Payment Method],F9659,RawData[Location],G9659,RawData[Transaction Date],H9659)</f>
        <v>1</v>
      </c>
      <c r="L9659"/>
    </row>
    <row r="9660" spans="1:12" x14ac:dyDescent="0.3">
      <c r="A9660" t="s">
        <v>9666</v>
      </c>
      <c r="B9660" t="s">
        <v>10011</v>
      </c>
      <c r="C9660">
        <v>1</v>
      </c>
      <c r="D9660">
        <v>5</v>
      </c>
      <c r="E9660">
        <v>5</v>
      </c>
      <c r="F9660" t="s">
        <v>10019</v>
      </c>
      <c r="G9660" t="s">
        <v>10069</v>
      </c>
      <c r="H9660" s="6">
        <v>45288</v>
      </c>
      <c r="I9660">
        <f t="shared" si="300"/>
        <v>0</v>
      </c>
      <c r="J9660" t="str">
        <f t="shared" si="301"/>
        <v>Complete</v>
      </c>
      <c r="K9660">
        <f>COUNTIFS(RawData[Item], B9660,RawData[Quantity],C9660,RawData[Price Per Unit],D9660,RawData[Total Spent],E9660,RawData[Payment Method],F9660,RawData[Location],G9660,RawData[Transaction Date],H9660)</f>
        <v>1</v>
      </c>
      <c r="L9660"/>
    </row>
    <row r="9661" spans="1:12" x14ac:dyDescent="0.3">
      <c r="A9661" t="s">
        <v>9667</v>
      </c>
      <c r="B9661" t="s">
        <v>10008</v>
      </c>
      <c r="C9661">
        <v>3</v>
      </c>
      <c r="D9661">
        <v>2</v>
      </c>
      <c r="E9661">
        <v>6</v>
      </c>
      <c r="F9661" t="s">
        <v>10020</v>
      </c>
      <c r="G9661" t="s">
        <v>10021</v>
      </c>
      <c r="H9661" s="6">
        <v>45156</v>
      </c>
      <c r="I9661">
        <f t="shared" si="300"/>
        <v>0</v>
      </c>
      <c r="J9661" t="str">
        <f t="shared" si="301"/>
        <v>Complete</v>
      </c>
      <c r="K9661">
        <f>COUNTIFS(RawData[Item], B9661,RawData[Quantity],C9661,RawData[Price Per Unit],D9661,RawData[Total Spent],E9661,RawData[Payment Method],F9661,RawData[Location],G9661,RawData[Transaction Date],H9661)</f>
        <v>1</v>
      </c>
      <c r="L9661"/>
    </row>
    <row r="9662" spans="1:12" x14ac:dyDescent="0.3">
      <c r="A9662" t="s">
        <v>9668</v>
      </c>
      <c r="B9662" t="s">
        <v>10008</v>
      </c>
      <c r="C9662">
        <v>3</v>
      </c>
      <c r="D9662">
        <v>2</v>
      </c>
      <c r="E9662">
        <v>6</v>
      </c>
      <c r="F9662" t="s">
        <v>10018</v>
      </c>
      <c r="G9662" t="s">
        <v>10069</v>
      </c>
      <c r="H9662" s="6">
        <v>45126</v>
      </c>
      <c r="I9662">
        <f t="shared" si="300"/>
        <v>0</v>
      </c>
      <c r="J9662" t="str">
        <f t="shared" si="301"/>
        <v>Complete</v>
      </c>
      <c r="K9662">
        <f>COUNTIFS(RawData[Item], B9662,RawData[Quantity],C9662,RawData[Price Per Unit],D9662,RawData[Total Spent],E9662,RawData[Payment Method],F9662,RawData[Location],G9662,RawData[Transaction Date],H9662)</f>
        <v>1</v>
      </c>
      <c r="L9662"/>
    </row>
    <row r="9663" spans="1:12" x14ac:dyDescent="0.3">
      <c r="A9663" t="s">
        <v>9669</v>
      </c>
      <c r="B9663" t="s">
        <v>10014</v>
      </c>
      <c r="C9663">
        <v>3</v>
      </c>
      <c r="D9663">
        <v>4</v>
      </c>
      <c r="E9663">
        <v>12</v>
      </c>
      <c r="F9663" t="s">
        <v>10069</v>
      </c>
      <c r="G9663" t="s">
        <v>10021</v>
      </c>
      <c r="H9663" s="6">
        <v>45145</v>
      </c>
      <c r="I9663">
        <f t="shared" si="300"/>
        <v>0</v>
      </c>
      <c r="J9663" t="str">
        <f t="shared" si="301"/>
        <v>Complete</v>
      </c>
      <c r="K9663">
        <f>COUNTIFS(RawData[Item], B9663,RawData[Quantity],C9663,RawData[Price Per Unit],D9663,RawData[Total Spent],E9663,RawData[Payment Method],F9663,RawData[Location],G9663,RawData[Transaction Date],H9663)</f>
        <v>1</v>
      </c>
      <c r="L9663"/>
    </row>
    <row r="9664" spans="1:12" x14ac:dyDescent="0.3">
      <c r="A9664" t="s">
        <v>9670</v>
      </c>
      <c r="B9664" t="s">
        <v>10069</v>
      </c>
      <c r="C9664">
        <v>1</v>
      </c>
      <c r="D9664">
        <v>4</v>
      </c>
      <c r="E9664">
        <v>4</v>
      </c>
      <c r="F9664" t="s">
        <v>10019</v>
      </c>
      <c r="G9664" t="s">
        <v>10021</v>
      </c>
      <c r="H9664" s="6">
        <v>45236</v>
      </c>
      <c r="I9664">
        <f t="shared" si="300"/>
        <v>0</v>
      </c>
      <c r="J9664" t="str">
        <f t="shared" si="301"/>
        <v>Complete</v>
      </c>
      <c r="K9664">
        <f>COUNTIFS(RawData[Item], B9664,RawData[Quantity],C9664,RawData[Price Per Unit],D9664,RawData[Total Spent],E9664,RawData[Payment Method],F9664,RawData[Location],G9664,RawData[Transaction Date],H9664)</f>
        <v>1</v>
      </c>
      <c r="L9664"/>
    </row>
    <row r="9665" spans="1:12" x14ac:dyDescent="0.3">
      <c r="A9665" t="s">
        <v>9671</v>
      </c>
      <c r="B9665" t="s">
        <v>10008</v>
      </c>
      <c r="C9665">
        <v>1</v>
      </c>
      <c r="D9665">
        <v>2</v>
      </c>
      <c r="E9665">
        <v>2</v>
      </c>
      <c r="F9665" t="s">
        <v>10069</v>
      </c>
      <c r="G9665" t="s">
        <v>10103</v>
      </c>
      <c r="H9665" s="6">
        <v>45127</v>
      </c>
      <c r="I9665">
        <f t="shared" si="300"/>
        <v>1</v>
      </c>
      <c r="J9665" t="str">
        <f t="shared" si="301"/>
        <v>Complete</v>
      </c>
      <c r="K9665">
        <f>COUNTIFS(RawData[Item], B9665,RawData[Quantity],C9665,RawData[Price Per Unit],D9665,RawData[Total Spent],E9665,RawData[Payment Method],F9665,RawData[Location],G9665,RawData[Transaction Date],H9665)</f>
        <v>1</v>
      </c>
      <c r="L9665"/>
    </row>
    <row r="9666" spans="1:12" x14ac:dyDescent="0.3">
      <c r="A9666" t="s">
        <v>9672</v>
      </c>
      <c r="B9666" t="s">
        <v>10016</v>
      </c>
      <c r="C9666">
        <v>5</v>
      </c>
      <c r="D9666">
        <v>3</v>
      </c>
      <c r="E9666">
        <v>15</v>
      </c>
      <c r="F9666" t="s">
        <v>10069</v>
      </c>
      <c r="G9666" t="s">
        <v>10021</v>
      </c>
      <c r="H9666" s="6">
        <v>45067</v>
      </c>
      <c r="I9666">
        <f t="shared" ref="I9666:I9729" si="302">(B9666="Unknown")+(B9666="Error")+(C9666="Unknown")+(C9666="Error")+(D9666="Unknown")+(D9666="Error")+(E9666="Unknown")+(E9666="Error")+(F9666="Unknown")+(F9666="Error")+(G9666="Unknown")+(G9666="Error")+(H9666="No Date")</f>
        <v>0</v>
      </c>
      <c r="J9666" t="str">
        <f t="shared" ref="J9666:J9729" si="303">IF((H9666="No Date"),"Incomplete","Complete")</f>
        <v>Complete</v>
      </c>
      <c r="K9666">
        <f>COUNTIFS(RawData[Item], B9666,RawData[Quantity],C9666,RawData[Price Per Unit],D9666,RawData[Total Spent],E9666,RawData[Payment Method],F9666,RawData[Location],G9666,RawData[Transaction Date],H9666)</f>
        <v>1</v>
      </c>
      <c r="L9666"/>
    </row>
    <row r="9667" spans="1:12" x14ac:dyDescent="0.3">
      <c r="A9667" t="s">
        <v>9673</v>
      </c>
      <c r="B9667" t="s">
        <v>10012</v>
      </c>
      <c r="C9667">
        <v>3</v>
      </c>
      <c r="D9667">
        <v>4</v>
      </c>
      <c r="E9667">
        <v>12</v>
      </c>
      <c r="F9667" t="s">
        <v>10104</v>
      </c>
      <c r="G9667" t="s">
        <v>10102</v>
      </c>
      <c r="H9667" s="6">
        <v>45078</v>
      </c>
      <c r="I9667">
        <f t="shared" si="302"/>
        <v>1</v>
      </c>
      <c r="J9667" t="str">
        <f t="shared" si="303"/>
        <v>Complete</v>
      </c>
      <c r="K9667">
        <f>COUNTIFS(RawData[Item], B9667,RawData[Quantity],C9667,RawData[Price Per Unit],D9667,RawData[Total Spent],E9667,RawData[Payment Method],F9667,RawData[Location],G9667,RawData[Transaction Date],H9667)</f>
        <v>1</v>
      </c>
      <c r="L9667"/>
    </row>
    <row r="9668" spans="1:12" x14ac:dyDescent="0.3">
      <c r="A9668" t="s">
        <v>9674</v>
      </c>
      <c r="B9668" t="s">
        <v>10017</v>
      </c>
      <c r="C9668">
        <v>2</v>
      </c>
      <c r="D9668">
        <v>1.5</v>
      </c>
      <c r="E9668">
        <v>3</v>
      </c>
      <c r="F9668" t="s">
        <v>10069</v>
      </c>
      <c r="G9668" t="s">
        <v>10102</v>
      </c>
      <c r="H9668" s="6">
        <v>45201</v>
      </c>
      <c r="I9668">
        <f t="shared" si="302"/>
        <v>0</v>
      </c>
      <c r="J9668" t="str">
        <f t="shared" si="303"/>
        <v>Complete</v>
      </c>
      <c r="K9668">
        <f>COUNTIFS(RawData[Item], B9668,RawData[Quantity],C9668,RawData[Price Per Unit],D9668,RawData[Total Spent],E9668,RawData[Payment Method],F9668,RawData[Location],G9668,RawData[Transaction Date],H9668)</f>
        <v>1</v>
      </c>
      <c r="L9668"/>
    </row>
    <row r="9669" spans="1:12" x14ac:dyDescent="0.3">
      <c r="A9669" t="s">
        <v>9675</v>
      </c>
      <c r="B9669" t="s">
        <v>10009</v>
      </c>
      <c r="C9669">
        <v>5</v>
      </c>
      <c r="D9669">
        <v>3</v>
      </c>
      <c r="E9669">
        <v>15</v>
      </c>
      <c r="F9669" t="s">
        <v>10020</v>
      </c>
      <c r="G9669" t="s">
        <v>10102</v>
      </c>
      <c r="H9669" s="6">
        <v>45141</v>
      </c>
      <c r="I9669">
        <f t="shared" si="302"/>
        <v>0</v>
      </c>
      <c r="J9669" t="str">
        <f t="shared" si="303"/>
        <v>Complete</v>
      </c>
      <c r="K9669">
        <f>COUNTIFS(RawData[Item], B9669,RawData[Quantity],C9669,RawData[Price Per Unit],D9669,RawData[Total Spent],E9669,RawData[Payment Method],F9669,RawData[Location],G9669,RawData[Transaction Date],H9669)</f>
        <v>2</v>
      </c>
      <c r="L9669"/>
    </row>
    <row r="9670" spans="1:12" x14ac:dyDescent="0.3">
      <c r="A9670" t="s">
        <v>9676</v>
      </c>
      <c r="B9670" t="s">
        <v>10016</v>
      </c>
      <c r="C9670">
        <v>1</v>
      </c>
      <c r="D9670">
        <v>3</v>
      </c>
      <c r="E9670">
        <v>3</v>
      </c>
      <c r="F9670" t="s">
        <v>10018</v>
      </c>
      <c r="G9670" t="s">
        <v>10021</v>
      </c>
      <c r="H9670" s="6">
        <v>45277</v>
      </c>
      <c r="I9670">
        <f t="shared" si="302"/>
        <v>0</v>
      </c>
      <c r="J9670" t="str">
        <f t="shared" si="303"/>
        <v>Complete</v>
      </c>
      <c r="K9670">
        <f>COUNTIFS(RawData[Item], B9670,RawData[Quantity],C9670,RawData[Price Per Unit],D9670,RawData[Total Spent],E9670,RawData[Payment Method],F9670,RawData[Location],G9670,RawData[Transaction Date],H9670)</f>
        <v>1</v>
      </c>
      <c r="L9670"/>
    </row>
    <row r="9671" spans="1:12" x14ac:dyDescent="0.3">
      <c r="A9671" t="s">
        <v>9677</v>
      </c>
      <c r="B9671" t="s">
        <v>10016</v>
      </c>
      <c r="C9671">
        <v>5</v>
      </c>
      <c r="D9671">
        <v>3</v>
      </c>
      <c r="E9671">
        <v>15</v>
      </c>
      <c r="F9671" t="s">
        <v>10069</v>
      </c>
      <c r="G9671" t="s">
        <v>10069</v>
      </c>
      <c r="H9671" s="6">
        <v>45013</v>
      </c>
      <c r="I9671">
        <f t="shared" si="302"/>
        <v>0</v>
      </c>
      <c r="J9671" t="str">
        <f t="shared" si="303"/>
        <v>Complete</v>
      </c>
      <c r="K9671">
        <f>COUNTIFS(RawData[Item], B9671,RawData[Quantity],C9671,RawData[Price Per Unit],D9671,RawData[Total Spent],E9671,RawData[Payment Method],F9671,RawData[Location],G9671,RawData[Transaction Date],H9671)</f>
        <v>1</v>
      </c>
      <c r="L9671"/>
    </row>
    <row r="9672" spans="1:12" x14ac:dyDescent="0.3">
      <c r="A9672" t="s">
        <v>9678</v>
      </c>
      <c r="B9672" t="s">
        <v>10016</v>
      </c>
      <c r="C9672">
        <v>4</v>
      </c>
      <c r="D9672">
        <v>3</v>
      </c>
      <c r="E9672">
        <v>12</v>
      </c>
      <c r="F9672" t="s">
        <v>10018</v>
      </c>
      <c r="G9672" t="s">
        <v>10069</v>
      </c>
      <c r="H9672" s="6">
        <v>44948</v>
      </c>
      <c r="I9672">
        <f t="shared" si="302"/>
        <v>0</v>
      </c>
      <c r="J9672" t="str">
        <f t="shared" si="303"/>
        <v>Complete</v>
      </c>
      <c r="K9672">
        <f>COUNTIFS(RawData[Item], B9672,RawData[Quantity],C9672,RawData[Price Per Unit],D9672,RawData[Total Spent],E9672,RawData[Payment Method],F9672,RawData[Location],G9672,RawData[Transaction Date],H9672)</f>
        <v>1</v>
      </c>
      <c r="L9672"/>
    </row>
    <row r="9673" spans="1:12" x14ac:dyDescent="0.3">
      <c r="A9673" t="s">
        <v>9679</v>
      </c>
      <c r="B9673" t="s">
        <v>10014</v>
      </c>
      <c r="C9673">
        <v>3</v>
      </c>
      <c r="D9673">
        <v>4</v>
      </c>
      <c r="E9673">
        <v>12</v>
      </c>
      <c r="F9673" t="s">
        <v>10020</v>
      </c>
      <c r="G9673" t="s">
        <v>10021</v>
      </c>
      <c r="H9673" s="6">
        <v>45079</v>
      </c>
      <c r="I9673">
        <f t="shared" si="302"/>
        <v>0</v>
      </c>
      <c r="J9673" t="str">
        <f t="shared" si="303"/>
        <v>Complete</v>
      </c>
      <c r="K9673">
        <f>COUNTIFS(RawData[Item], B9673,RawData[Quantity],C9673,RawData[Price Per Unit],D9673,RawData[Total Spent],E9673,RawData[Payment Method],F9673,RawData[Location],G9673,RawData[Transaction Date],H9673)</f>
        <v>1</v>
      </c>
      <c r="L9673"/>
    </row>
    <row r="9674" spans="1:12" x14ac:dyDescent="0.3">
      <c r="A9674" t="s">
        <v>9680</v>
      </c>
      <c r="B9674" t="s">
        <v>10069</v>
      </c>
      <c r="C9674">
        <v>3</v>
      </c>
      <c r="D9674">
        <v>1</v>
      </c>
      <c r="E9674">
        <v>3</v>
      </c>
      <c r="F9674" t="s">
        <v>10019</v>
      </c>
      <c r="G9674" t="s">
        <v>10104</v>
      </c>
      <c r="H9674" s="6">
        <v>45157</v>
      </c>
      <c r="I9674">
        <f t="shared" si="302"/>
        <v>1</v>
      </c>
      <c r="J9674" t="str">
        <f t="shared" si="303"/>
        <v>Complete</v>
      </c>
      <c r="K9674">
        <f>COUNTIFS(RawData[Item], B9674,RawData[Quantity],C9674,RawData[Price Per Unit],D9674,RawData[Total Spent],E9674,RawData[Payment Method],F9674,RawData[Location],G9674,RawData[Transaction Date],H9674)</f>
        <v>1</v>
      </c>
      <c r="L9674"/>
    </row>
    <row r="9675" spans="1:12" x14ac:dyDescent="0.3">
      <c r="A9675" t="s">
        <v>9681</v>
      </c>
      <c r="B9675" t="s">
        <v>10013</v>
      </c>
      <c r="C9675">
        <v>1</v>
      </c>
      <c r="D9675">
        <v>0</v>
      </c>
      <c r="E9675">
        <v>4</v>
      </c>
      <c r="F9675" t="s">
        <v>10018</v>
      </c>
      <c r="G9675" t="s">
        <v>10069</v>
      </c>
      <c r="H9675" s="6">
        <v>45015</v>
      </c>
      <c r="I9675">
        <f t="shared" si="302"/>
        <v>1</v>
      </c>
      <c r="J9675" t="str">
        <f t="shared" si="303"/>
        <v>Complete</v>
      </c>
      <c r="K9675">
        <f>COUNTIFS(RawData[Item], B9675,RawData[Quantity],C9675,RawData[Price Per Unit],D9675,RawData[Total Spent],E9675,RawData[Payment Method],F9675,RawData[Location],G9675,RawData[Transaction Date],H9675)</f>
        <v>1</v>
      </c>
      <c r="L9675"/>
    </row>
    <row r="9676" spans="1:12" x14ac:dyDescent="0.3">
      <c r="A9676" t="s">
        <v>9682</v>
      </c>
      <c r="B9676" t="s">
        <v>10008</v>
      </c>
      <c r="C9676">
        <v>2</v>
      </c>
      <c r="D9676">
        <v>2</v>
      </c>
      <c r="E9676">
        <v>4</v>
      </c>
      <c r="F9676" t="s">
        <v>10019</v>
      </c>
      <c r="G9676" t="s">
        <v>10069</v>
      </c>
      <c r="H9676" s="6">
        <v>45051</v>
      </c>
      <c r="I9676">
        <f t="shared" si="302"/>
        <v>0</v>
      </c>
      <c r="J9676" t="str">
        <f t="shared" si="303"/>
        <v>Complete</v>
      </c>
      <c r="K9676">
        <f>COUNTIFS(RawData[Item], B9676,RawData[Quantity],C9676,RawData[Price Per Unit],D9676,RawData[Total Spent],E9676,RawData[Payment Method],F9676,RawData[Location],G9676,RawData[Transaction Date],H9676)</f>
        <v>1</v>
      </c>
      <c r="L9676"/>
    </row>
    <row r="9677" spans="1:12" x14ac:dyDescent="0.3">
      <c r="A9677" t="s">
        <v>9683</v>
      </c>
      <c r="B9677" t="s">
        <v>10017</v>
      </c>
      <c r="C9677">
        <v>5</v>
      </c>
      <c r="D9677">
        <v>1.5</v>
      </c>
      <c r="E9677" t="s">
        <v>10015</v>
      </c>
      <c r="F9677" t="s">
        <v>10018</v>
      </c>
      <c r="G9677" t="s">
        <v>10021</v>
      </c>
      <c r="H9677" s="6">
        <v>45095</v>
      </c>
      <c r="I9677">
        <f t="shared" si="302"/>
        <v>1</v>
      </c>
      <c r="J9677" t="str">
        <f t="shared" si="303"/>
        <v>Complete</v>
      </c>
      <c r="K9677">
        <f>COUNTIFS(RawData[Item], B9677,RawData[Quantity],C9677,RawData[Price Per Unit],D9677,RawData[Total Spent],E9677,RawData[Payment Method],F9677,RawData[Location],G9677,RawData[Transaction Date],H9677)</f>
        <v>1</v>
      </c>
      <c r="L9677"/>
    </row>
    <row r="9678" spans="1:12" x14ac:dyDescent="0.3">
      <c r="A9678" t="s">
        <v>9684</v>
      </c>
      <c r="B9678" t="s">
        <v>10017</v>
      </c>
      <c r="C9678">
        <v>3</v>
      </c>
      <c r="D9678">
        <v>1.5</v>
      </c>
      <c r="E9678" t="s">
        <v>10015</v>
      </c>
      <c r="F9678" t="s">
        <v>10018</v>
      </c>
      <c r="G9678" t="s">
        <v>10021</v>
      </c>
      <c r="H9678" s="6" t="s">
        <v>10112</v>
      </c>
      <c r="I9678">
        <f t="shared" si="302"/>
        <v>2</v>
      </c>
      <c r="J9678" t="str">
        <f t="shared" si="303"/>
        <v>Incomplete</v>
      </c>
      <c r="K9678">
        <f>COUNTIFS(RawData[Item], B9678,RawData[Quantity],C9678,RawData[Price Per Unit],D9678,RawData[Total Spent],E9678,RawData[Payment Method],F9678,RawData[Location],G9678,RawData[Transaction Date],H9678)</f>
        <v>1</v>
      </c>
      <c r="L9678"/>
    </row>
    <row r="9679" spans="1:12" x14ac:dyDescent="0.3">
      <c r="A9679" t="s">
        <v>9685</v>
      </c>
      <c r="B9679" t="s">
        <v>10008</v>
      </c>
      <c r="C9679">
        <v>5</v>
      </c>
      <c r="D9679">
        <v>2</v>
      </c>
      <c r="E9679">
        <v>10</v>
      </c>
      <c r="F9679" t="s">
        <v>10069</v>
      </c>
      <c r="G9679" t="s">
        <v>10021</v>
      </c>
      <c r="H9679" s="6">
        <v>45195</v>
      </c>
      <c r="I9679">
        <f t="shared" si="302"/>
        <v>0</v>
      </c>
      <c r="J9679" t="str">
        <f t="shared" si="303"/>
        <v>Complete</v>
      </c>
      <c r="K9679">
        <f>COUNTIFS(RawData[Item], B9679,RawData[Quantity],C9679,RawData[Price Per Unit],D9679,RawData[Total Spent],E9679,RawData[Payment Method],F9679,RawData[Location],G9679,RawData[Transaction Date],H9679)</f>
        <v>1</v>
      </c>
      <c r="L9679"/>
    </row>
    <row r="9680" spans="1:12" x14ac:dyDescent="0.3">
      <c r="A9680" t="s">
        <v>9686</v>
      </c>
      <c r="B9680" t="s">
        <v>10016</v>
      </c>
      <c r="C9680">
        <v>2</v>
      </c>
      <c r="D9680">
        <v>3</v>
      </c>
      <c r="E9680">
        <v>6</v>
      </c>
      <c r="F9680" t="s">
        <v>10019</v>
      </c>
      <c r="G9680" t="s">
        <v>10021</v>
      </c>
      <c r="H9680" s="6">
        <v>45090</v>
      </c>
      <c r="I9680">
        <f t="shared" si="302"/>
        <v>0</v>
      </c>
      <c r="J9680" t="str">
        <f t="shared" si="303"/>
        <v>Complete</v>
      </c>
      <c r="K9680">
        <f>COUNTIFS(RawData[Item], B9680,RawData[Quantity],C9680,RawData[Price Per Unit],D9680,RawData[Total Spent],E9680,RawData[Payment Method],F9680,RawData[Location],G9680,RawData[Transaction Date],H9680)</f>
        <v>1</v>
      </c>
      <c r="L9680"/>
    </row>
    <row r="9681" spans="1:12" x14ac:dyDescent="0.3">
      <c r="A9681" t="s">
        <v>9687</v>
      </c>
      <c r="B9681" t="s">
        <v>10010</v>
      </c>
      <c r="C9681">
        <v>1</v>
      </c>
      <c r="D9681">
        <v>1</v>
      </c>
      <c r="E9681">
        <v>1</v>
      </c>
      <c r="F9681" t="s">
        <v>10019</v>
      </c>
      <c r="G9681" t="s">
        <v>10021</v>
      </c>
      <c r="H9681" s="6">
        <v>45079</v>
      </c>
      <c r="I9681">
        <f t="shared" si="302"/>
        <v>0</v>
      </c>
      <c r="J9681" t="str">
        <f t="shared" si="303"/>
        <v>Complete</v>
      </c>
      <c r="K9681">
        <f>COUNTIFS(RawData[Item], B9681,RawData[Quantity],C9681,RawData[Price Per Unit],D9681,RawData[Total Spent],E9681,RawData[Payment Method],F9681,RawData[Location],G9681,RawData[Transaction Date],H9681)</f>
        <v>1</v>
      </c>
      <c r="L9681"/>
    </row>
    <row r="9682" spans="1:12" x14ac:dyDescent="0.3">
      <c r="A9682" t="s">
        <v>9688</v>
      </c>
      <c r="B9682" t="s">
        <v>10017</v>
      </c>
      <c r="C9682">
        <v>1</v>
      </c>
      <c r="D9682">
        <v>1.5</v>
      </c>
      <c r="E9682">
        <v>1.5</v>
      </c>
      <c r="F9682" t="s">
        <v>10020</v>
      </c>
      <c r="G9682" t="s">
        <v>10021</v>
      </c>
      <c r="H9682" s="6">
        <v>44955</v>
      </c>
      <c r="I9682">
        <f t="shared" si="302"/>
        <v>0</v>
      </c>
      <c r="J9682" t="str">
        <f t="shared" si="303"/>
        <v>Complete</v>
      </c>
      <c r="K9682">
        <f>COUNTIFS(RawData[Item], B9682,RawData[Quantity],C9682,RawData[Price Per Unit],D9682,RawData[Total Spent],E9682,RawData[Payment Method],F9682,RawData[Location],G9682,RawData[Transaction Date],H9682)</f>
        <v>1</v>
      </c>
      <c r="L9682"/>
    </row>
    <row r="9683" spans="1:12" x14ac:dyDescent="0.3">
      <c r="A9683" t="s">
        <v>9689</v>
      </c>
      <c r="B9683" t="s">
        <v>10011</v>
      </c>
      <c r="C9683">
        <v>2</v>
      </c>
      <c r="D9683">
        <v>5</v>
      </c>
      <c r="E9683">
        <v>10</v>
      </c>
      <c r="F9683" t="s">
        <v>10019</v>
      </c>
      <c r="G9683" t="s">
        <v>10102</v>
      </c>
      <c r="H9683" s="6" t="s">
        <v>10112</v>
      </c>
      <c r="I9683">
        <f t="shared" si="302"/>
        <v>1</v>
      </c>
      <c r="J9683" t="str">
        <f t="shared" si="303"/>
        <v>Incomplete</v>
      </c>
      <c r="K9683">
        <f>COUNTIFS(RawData[Item], B9683,RawData[Quantity],C9683,RawData[Price Per Unit],D9683,RawData[Total Spent],E9683,RawData[Payment Method],F9683,RawData[Location],G9683,RawData[Transaction Date],H9683)</f>
        <v>3</v>
      </c>
      <c r="L9683"/>
    </row>
    <row r="9684" spans="1:12" x14ac:dyDescent="0.3">
      <c r="A9684" t="s">
        <v>9690</v>
      </c>
      <c r="B9684" t="s">
        <v>10017</v>
      </c>
      <c r="C9684">
        <v>2</v>
      </c>
      <c r="D9684">
        <v>1.5</v>
      </c>
      <c r="E9684">
        <v>3</v>
      </c>
      <c r="F9684" t="s">
        <v>10069</v>
      </c>
      <c r="G9684" t="s">
        <v>10021</v>
      </c>
      <c r="H9684" s="6">
        <v>45246</v>
      </c>
      <c r="I9684">
        <f t="shared" si="302"/>
        <v>0</v>
      </c>
      <c r="J9684" t="str">
        <f t="shared" si="303"/>
        <v>Complete</v>
      </c>
      <c r="K9684">
        <f>COUNTIFS(RawData[Item], B9684,RawData[Quantity],C9684,RawData[Price Per Unit],D9684,RawData[Total Spent],E9684,RawData[Payment Method],F9684,RawData[Location],G9684,RawData[Transaction Date],H9684)</f>
        <v>1</v>
      </c>
      <c r="L9684"/>
    </row>
    <row r="9685" spans="1:12" x14ac:dyDescent="0.3">
      <c r="A9685" t="s">
        <v>9691</v>
      </c>
      <c r="B9685" t="s">
        <v>10011</v>
      </c>
      <c r="C9685">
        <v>2</v>
      </c>
      <c r="D9685">
        <v>5</v>
      </c>
      <c r="E9685">
        <v>10</v>
      </c>
      <c r="F9685" t="s">
        <v>10018</v>
      </c>
      <c r="G9685" t="s">
        <v>10069</v>
      </c>
      <c r="H9685" s="6">
        <v>45009</v>
      </c>
      <c r="I9685">
        <f t="shared" si="302"/>
        <v>0</v>
      </c>
      <c r="J9685" t="str">
        <f t="shared" si="303"/>
        <v>Complete</v>
      </c>
      <c r="K9685">
        <f>COUNTIFS(RawData[Item], B9685,RawData[Quantity],C9685,RawData[Price Per Unit],D9685,RawData[Total Spent],E9685,RawData[Payment Method],F9685,RawData[Location],G9685,RawData[Transaction Date],H9685)</f>
        <v>1</v>
      </c>
      <c r="L9685"/>
    </row>
    <row r="9686" spans="1:12" x14ac:dyDescent="0.3">
      <c r="A9686" t="s">
        <v>9692</v>
      </c>
      <c r="B9686" t="s">
        <v>10014</v>
      </c>
      <c r="C9686">
        <v>2</v>
      </c>
      <c r="D9686">
        <v>4</v>
      </c>
      <c r="E9686">
        <v>8</v>
      </c>
      <c r="F9686" t="s">
        <v>10069</v>
      </c>
      <c r="G9686" t="s">
        <v>10069</v>
      </c>
      <c r="H9686" s="6">
        <v>44958</v>
      </c>
      <c r="I9686">
        <f t="shared" si="302"/>
        <v>0</v>
      </c>
      <c r="J9686" t="str">
        <f t="shared" si="303"/>
        <v>Complete</v>
      </c>
      <c r="K9686">
        <f>COUNTIFS(RawData[Item], B9686,RawData[Quantity],C9686,RawData[Price Per Unit],D9686,RawData[Total Spent],E9686,RawData[Payment Method],F9686,RawData[Location],G9686,RawData[Transaction Date],H9686)</f>
        <v>1</v>
      </c>
      <c r="L9686"/>
    </row>
    <row r="9687" spans="1:12" x14ac:dyDescent="0.3">
      <c r="A9687" t="s">
        <v>9693</v>
      </c>
      <c r="B9687" t="s">
        <v>10014</v>
      </c>
      <c r="C9687">
        <v>3</v>
      </c>
      <c r="D9687">
        <v>4</v>
      </c>
      <c r="E9687">
        <v>12</v>
      </c>
      <c r="F9687" t="s">
        <v>10069</v>
      </c>
      <c r="G9687" t="s">
        <v>10021</v>
      </c>
      <c r="H9687" s="6">
        <v>45158</v>
      </c>
      <c r="I9687">
        <f t="shared" si="302"/>
        <v>0</v>
      </c>
      <c r="J9687" t="str">
        <f t="shared" si="303"/>
        <v>Complete</v>
      </c>
      <c r="K9687">
        <f>COUNTIFS(RawData[Item], B9687,RawData[Quantity],C9687,RawData[Price Per Unit],D9687,RawData[Total Spent],E9687,RawData[Payment Method],F9687,RawData[Location],G9687,RawData[Transaction Date],H9687)</f>
        <v>1</v>
      </c>
      <c r="L9687"/>
    </row>
    <row r="9688" spans="1:12" x14ac:dyDescent="0.3">
      <c r="A9688" t="s">
        <v>9694</v>
      </c>
      <c r="B9688" t="s">
        <v>10016</v>
      </c>
      <c r="C9688">
        <v>4</v>
      </c>
      <c r="D9688">
        <v>3</v>
      </c>
      <c r="E9688">
        <v>12</v>
      </c>
      <c r="F9688" t="s">
        <v>10069</v>
      </c>
      <c r="G9688" t="s">
        <v>10021</v>
      </c>
      <c r="H9688" s="6">
        <v>45285</v>
      </c>
      <c r="I9688">
        <f t="shared" si="302"/>
        <v>0</v>
      </c>
      <c r="J9688" t="str">
        <f t="shared" si="303"/>
        <v>Complete</v>
      </c>
      <c r="K9688">
        <f>COUNTIFS(RawData[Item], B9688,RawData[Quantity],C9688,RawData[Price Per Unit],D9688,RawData[Total Spent],E9688,RawData[Payment Method],F9688,RawData[Location],G9688,RawData[Transaction Date],H9688)</f>
        <v>1</v>
      </c>
      <c r="L9688"/>
    </row>
    <row r="9689" spans="1:12" x14ac:dyDescent="0.3">
      <c r="A9689" t="s">
        <v>9695</v>
      </c>
      <c r="B9689" t="s">
        <v>10011</v>
      </c>
      <c r="C9689">
        <v>3</v>
      </c>
      <c r="D9689">
        <v>5</v>
      </c>
      <c r="E9689">
        <v>15</v>
      </c>
      <c r="F9689" t="s">
        <v>10019</v>
      </c>
      <c r="G9689" t="s">
        <v>10021</v>
      </c>
      <c r="H9689" s="6">
        <v>45168</v>
      </c>
      <c r="I9689">
        <f t="shared" si="302"/>
        <v>0</v>
      </c>
      <c r="J9689" t="str">
        <f t="shared" si="303"/>
        <v>Complete</v>
      </c>
      <c r="K9689">
        <f>COUNTIFS(RawData[Item], B9689,RawData[Quantity],C9689,RawData[Price Per Unit],D9689,RawData[Total Spent],E9689,RawData[Payment Method],F9689,RawData[Location],G9689,RawData[Transaction Date],H9689)</f>
        <v>1</v>
      </c>
      <c r="L9689"/>
    </row>
    <row r="9690" spans="1:12" x14ac:dyDescent="0.3">
      <c r="A9690" t="s">
        <v>9696</v>
      </c>
      <c r="B9690" t="s">
        <v>10017</v>
      </c>
      <c r="C9690">
        <v>1</v>
      </c>
      <c r="D9690">
        <v>1.5</v>
      </c>
      <c r="E9690">
        <v>1.5</v>
      </c>
      <c r="F9690" t="s">
        <v>10020</v>
      </c>
      <c r="G9690" t="s">
        <v>10069</v>
      </c>
      <c r="H9690" s="6">
        <v>45026</v>
      </c>
      <c r="I9690">
        <f t="shared" si="302"/>
        <v>0</v>
      </c>
      <c r="J9690" t="str">
        <f t="shared" si="303"/>
        <v>Complete</v>
      </c>
      <c r="K9690">
        <f>COUNTIFS(RawData[Item], B9690,RawData[Quantity],C9690,RawData[Price Per Unit],D9690,RawData[Total Spent],E9690,RawData[Payment Method],F9690,RawData[Location],G9690,RawData[Transaction Date],H9690)</f>
        <v>1</v>
      </c>
      <c r="L9690"/>
    </row>
    <row r="9691" spans="1:12" x14ac:dyDescent="0.3">
      <c r="A9691" t="s">
        <v>9697</v>
      </c>
      <c r="B9691" t="s">
        <v>10010</v>
      </c>
      <c r="C9691">
        <v>1</v>
      </c>
      <c r="D9691">
        <v>1</v>
      </c>
      <c r="E9691">
        <v>1</v>
      </c>
      <c r="F9691" t="s">
        <v>10069</v>
      </c>
      <c r="G9691" t="s">
        <v>10102</v>
      </c>
      <c r="H9691" s="6">
        <v>44956</v>
      </c>
      <c r="I9691">
        <f t="shared" si="302"/>
        <v>0</v>
      </c>
      <c r="J9691" t="str">
        <f t="shared" si="303"/>
        <v>Complete</v>
      </c>
      <c r="K9691">
        <f>COUNTIFS(RawData[Item], B9691,RawData[Quantity],C9691,RawData[Price Per Unit],D9691,RawData[Total Spent],E9691,RawData[Payment Method],F9691,RawData[Location],G9691,RawData[Transaction Date],H9691)</f>
        <v>1</v>
      </c>
      <c r="L9691"/>
    </row>
    <row r="9692" spans="1:12" x14ac:dyDescent="0.3">
      <c r="A9692" t="s">
        <v>9698</v>
      </c>
      <c r="B9692" t="s">
        <v>10012</v>
      </c>
      <c r="C9692">
        <v>3</v>
      </c>
      <c r="D9692">
        <v>4</v>
      </c>
      <c r="E9692">
        <v>12</v>
      </c>
      <c r="F9692" t="s">
        <v>10069</v>
      </c>
      <c r="G9692" t="s">
        <v>10069</v>
      </c>
      <c r="H9692" s="6">
        <v>45033</v>
      </c>
      <c r="I9692">
        <f t="shared" si="302"/>
        <v>0</v>
      </c>
      <c r="J9692" t="str">
        <f t="shared" si="303"/>
        <v>Complete</v>
      </c>
      <c r="K9692">
        <f>COUNTIFS(RawData[Item], B9692,RawData[Quantity],C9692,RawData[Price Per Unit],D9692,RawData[Total Spent],E9692,RawData[Payment Method],F9692,RawData[Location],G9692,RawData[Transaction Date],H9692)</f>
        <v>1</v>
      </c>
      <c r="L9692"/>
    </row>
    <row r="9693" spans="1:12" x14ac:dyDescent="0.3">
      <c r="A9693" t="s">
        <v>9699</v>
      </c>
      <c r="B9693" t="s">
        <v>10008</v>
      </c>
      <c r="C9693">
        <v>1</v>
      </c>
      <c r="D9693">
        <v>2</v>
      </c>
      <c r="E9693" t="s">
        <v>10013</v>
      </c>
      <c r="F9693" t="s">
        <v>10018</v>
      </c>
      <c r="G9693" t="s">
        <v>10102</v>
      </c>
      <c r="H9693" s="6">
        <v>45237</v>
      </c>
      <c r="I9693">
        <f t="shared" si="302"/>
        <v>1</v>
      </c>
      <c r="J9693" t="str">
        <f t="shared" si="303"/>
        <v>Complete</v>
      </c>
      <c r="K9693">
        <f>COUNTIFS(RawData[Item], B9693,RawData[Quantity],C9693,RawData[Price Per Unit],D9693,RawData[Total Spent],E9693,RawData[Payment Method],F9693,RawData[Location],G9693,RawData[Transaction Date],H9693)</f>
        <v>1</v>
      </c>
      <c r="L9693"/>
    </row>
    <row r="9694" spans="1:12" x14ac:dyDescent="0.3">
      <c r="A9694" t="s">
        <v>9700</v>
      </c>
      <c r="B9694" t="s">
        <v>10014</v>
      </c>
      <c r="C9694">
        <v>5</v>
      </c>
      <c r="D9694">
        <v>4</v>
      </c>
      <c r="E9694">
        <v>20</v>
      </c>
      <c r="F9694" t="s">
        <v>10020</v>
      </c>
      <c r="G9694" t="s">
        <v>10104</v>
      </c>
      <c r="H9694" s="6">
        <v>45284</v>
      </c>
      <c r="I9694">
        <f t="shared" si="302"/>
        <v>1</v>
      </c>
      <c r="J9694" t="str">
        <f t="shared" si="303"/>
        <v>Complete</v>
      </c>
      <c r="K9694">
        <f>COUNTIFS(RawData[Item], B9694,RawData[Quantity],C9694,RawData[Price Per Unit],D9694,RawData[Total Spent],E9694,RawData[Payment Method],F9694,RawData[Location],G9694,RawData[Transaction Date],H9694)</f>
        <v>1</v>
      </c>
      <c r="L9694"/>
    </row>
    <row r="9695" spans="1:12" x14ac:dyDescent="0.3">
      <c r="A9695" t="s">
        <v>9701</v>
      </c>
      <c r="B9695" t="s">
        <v>10011</v>
      </c>
      <c r="C9695">
        <v>2</v>
      </c>
      <c r="D9695">
        <v>5</v>
      </c>
      <c r="E9695">
        <v>10</v>
      </c>
      <c r="F9695" t="s">
        <v>10069</v>
      </c>
      <c r="G9695" t="s">
        <v>10021</v>
      </c>
      <c r="H9695" s="6">
        <v>45264</v>
      </c>
      <c r="I9695">
        <f t="shared" si="302"/>
        <v>0</v>
      </c>
      <c r="J9695" t="str">
        <f t="shared" si="303"/>
        <v>Complete</v>
      </c>
      <c r="K9695">
        <f>COUNTIFS(RawData[Item], B9695,RawData[Quantity],C9695,RawData[Price Per Unit],D9695,RawData[Total Spent],E9695,RawData[Payment Method],F9695,RawData[Location],G9695,RawData[Transaction Date],H9695)</f>
        <v>1</v>
      </c>
      <c r="L9695"/>
    </row>
    <row r="9696" spans="1:12" x14ac:dyDescent="0.3">
      <c r="A9696" t="s">
        <v>9702</v>
      </c>
      <c r="B9696" t="s">
        <v>10015</v>
      </c>
      <c r="C9696">
        <v>1</v>
      </c>
      <c r="D9696">
        <v>5</v>
      </c>
      <c r="E9696">
        <v>5</v>
      </c>
      <c r="F9696" t="s">
        <v>10018</v>
      </c>
      <c r="G9696" t="s">
        <v>10102</v>
      </c>
      <c r="H9696" s="6">
        <v>45253</v>
      </c>
      <c r="I9696">
        <f t="shared" si="302"/>
        <v>1</v>
      </c>
      <c r="J9696" t="str">
        <f t="shared" si="303"/>
        <v>Complete</v>
      </c>
      <c r="K9696">
        <f>COUNTIFS(RawData[Item], B9696,RawData[Quantity],C9696,RawData[Price Per Unit],D9696,RawData[Total Spent],E9696,RawData[Payment Method],F9696,RawData[Location],G9696,RawData[Transaction Date],H9696)</f>
        <v>1</v>
      </c>
      <c r="L9696"/>
    </row>
    <row r="9697" spans="1:12" x14ac:dyDescent="0.3">
      <c r="A9697" t="s">
        <v>9703</v>
      </c>
      <c r="B9697" t="s">
        <v>10009</v>
      </c>
      <c r="C9697">
        <v>1</v>
      </c>
      <c r="D9697">
        <v>3</v>
      </c>
      <c r="E9697">
        <v>3</v>
      </c>
      <c r="F9697" t="s">
        <v>10018</v>
      </c>
      <c r="G9697" t="s">
        <v>10103</v>
      </c>
      <c r="H9697" s="6">
        <v>45117</v>
      </c>
      <c r="I9697">
        <f t="shared" si="302"/>
        <v>1</v>
      </c>
      <c r="J9697" t="str">
        <f t="shared" si="303"/>
        <v>Complete</v>
      </c>
      <c r="K9697">
        <f>COUNTIFS(RawData[Item], B9697,RawData[Quantity],C9697,RawData[Price Per Unit],D9697,RawData[Total Spent],E9697,RawData[Payment Method],F9697,RawData[Location],G9697,RawData[Transaction Date],H9697)</f>
        <v>1</v>
      </c>
      <c r="L9697"/>
    </row>
    <row r="9698" spans="1:12" x14ac:dyDescent="0.3">
      <c r="A9698" t="s">
        <v>9704</v>
      </c>
      <c r="B9698" t="s">
        <v>10010</v>
      </c>
      <c r="C9698">
        <v>3</v>
      </c>
      <c r="D9698">
        <v>1</v>
      </c>
      <c r="E9698">
        <v>3</v>
      </c>
      <c r="F9698" t="s">
        <v>10019</v>
      </c>
      <c r="G9698" t="s">
        <v>10021</v>
      </c>
      <c r="H9698" s="6">
        <v>45061</v>
      </c>
      <c r="I9698">
        <f t="shared" si="302"/>
        <v>0</v>
      </c>
      <c r="J9698" t="str">
        <f t="shared" si="303"/>
        <v>Complete</v>
      </c>
      <c r="K9698">
        <f>COUNTIFS(RawData[Item], B9698,RawData[Quantity],C9698,RawData[Price Per Unit],D9698,RawData[Total Spent],E9698,RawData[Payment Method],F9698,RawData[Location],G9698,RawData[Transaction Date],H9698)</f>
        <v>1</v>
      </c>
      <c r="L9698"/>
    </row>
    <row r="9699" spans="1:12" x14ac:dyDescent="0.3">
      <c r="A9699" t="s">
        <v>9705</v>
      </c>
      <c r="B9699" t="s">
        <v>10016</v>
      </c>
      <c r="C9699">
        <v>3</v>
      </c>
      <c r="D9699">
        <v>3</v>
      </c>
      <c r="E9699">
        <v>9</v>
      </c>
      <c r="F9699" t="s">
        <v>10069</v>
      </c>
      <c r="G9699" t="s">
        <v>10021</v>
      </c>
      <c r="H9699" s="6">
        <v>45194</v>
      </c>
      <c r="I9699">
        <f t="shared" si="302"/>
        <v>0</v>
      </c>
      <c r="J9699" t="str">
        <f t="shared" si="303"/>
        <v>Complete</v>
      </c>
      <c r="K9699">
        <f>COUNTIFS(RawData[Item], B9699,RawData[Quantity],C9699,RawData[Price Per Unit],D9699,RawData[Total Spent],E9699,RawData[Payment Method],F9699,RawData[Location],G9699,RawData[Transaction Date],H9699)</f>
        <v>1</v>
      </c>
      <c r="L9699"/>
    </row>
    <row r="9700" spans="1:12" x14ac:dyDescent="0.3">
      <c r="A9700" t="s">
        <v>9706</v>
      </c>
      <c r="B9700" t="s">
        <v>10013</v>
      </c>
      <c r="C9700">
        <v>5</v>
      </c>
      <c r="D9700">
        <v>5</v>
      </c>
      <c r="E9700">
        <v>25</v>
      </c>
      <c r="F9700" t="s">
        <v>10018</v>
      </c>
      <c r="G9700" t="s">
        <v>10069</v>
      </c>
      <c r="H9700" s="6">
        <v>45099</v>
      </c>
      <c r="I9700">
        <f t="shared" si="302"/>
        <v>1</v>
      </c>
      <c r="J9700" t="str">
        <f t="shared" si="303"/>
        <v>Complete</v>
      </c>
      <c r="K9700">
        <f>COUNTIFS(RawData[Item], B9700,RawData[Quantity],C9700,RawData[Price Per Unit],D9700,RawData[Total Spent],E9700,RawData[Payment Method],F9700,RawData[Location],G9700,RawData[Transaction Date],H9700)</f>
        <v>1</v>
      </c>
      <c r="L9700"/>
    </row>
    <row r="9701" spans="1:12" x14ac:dyDescent="0.3">
      <c r="A9701" t="s">
        <v>9707</v>
      </c>
      <c r="B9701" t="s">
        <v>10008</v>
      </c>
      <c r="C9701">
        <v>1</v>
      </c>
      <c r="D9701">
        <v>2</v>
      </c>
      <c r="E9701">
        <v>2</v>
      </c>
      <c r="F9701" t="s">
        <v>10069</v>
      </c>
      <c r="G9701" t="s">
        <v>10102</v>
      </c>
      <c r="H9701" s="6">
        <v>45075</v>
      </c>
      <c r="I9701">
        <f t="shared" si="302"/>
        <v>0</v>
      </c>
      <c r="J9701" t="str">
        <f t="shared" si="303"/>
        <v>Complete</v>
      </c>
      <c r="K9701">
        <f>COUNTIFS(RawData[Item], B9701,RawData[Quantity],C9701,RawData[Price Per Unit],D9701,RawData[Total Spent],E9701,RawData[Payment Method],F9701,RawData[Location],G9701,RawData[Transaction Date],H9701)</f>
        <v>1</v>
      </c>
      <c r="L9701"/>
    </row>
    <row r="9702" spans="1:12" x14ac:dyDescent="0.3">
      <c r="A9702" t="s">
        <v>9708</v>
      </c>
      <c r="B9702" t="s">
        <v>10016</v>
      </c>
      <c r="C9702">
        <v>2</v>
      </c>
      <c r="D9702">
        <v>3</v>
      </c>
      <c r="E9702">
        <v>6</v>
      </c>
      <c r="F9702" t="s">
        <v>10069</v>
      </c>
      <c r="G9702" t="s">
        <v>10069</v>
      </c>
      <c r="H9702" s="6">
        <v>44966</v>
      </c>
      <c r="I9702">
        <f t="shared" si="302"/>
        <v>0</v>
      </c>
      <c r="J9702" t="str">
        <f t="shared" si="303"/>
        <v>Complete</v>
      </c>
      <c r="K9702">
        <f>COUNTIFS(RawData[Item], B9702,RawData[Quantity],C9702,RawData[Price Per Unit],D9702,RawData[Total Spent],E9702,RawData[Payment Method],F9702,RawData[Location],G9702,RawData[Transaction Date],H9702)</f>
        <v>1</v>
      </c>
      <c r="L9702"/>
    </row>
    <row r="9703" spans="1:12" x14ac:dyDescent="0.3">
      <c r="A9703" t="s">
        <v>9709</v>
      </c>
      <c r="B9703" t="s">
        <v>10012</v>
      </c>
      <c r="C9703">
        <v>5</v>
      </c>
      <c r="D9703">
        <v>4</v>
      </c>
      <c r="E9703" t="s">
        <v>10013</v>
      </c>
      <c r="F9703" t="s">
        <v>10019</v>
      </c>
      <c r="G9703" t="s">
        <v>10102</v>
      </c>
      <c r="H9703" s="6">
        <v>45100</v>
      </c>
      <c r="I9703">
        <f t="shared" si="302"/>
        <v>1</v>
      </c>
      <c r="J9703" t="str">
        <f t="shared" si="303"/>
        <v>Complete</v>
      </c>
      <c r="K9703">
        <f>COUNTIFS(RawData[Item], B9703,RawData[Quantity],C9703,RawData[Price Per Unit],D9703,RawData[Total Spent],E9703,RawData[Payment Method],F9703,RawData[Location],G9703,RawData[Transaction Date],H9703)</f>
        <v>1</v>
      </c>
      <c r="L9703"/>
    </row>
    <row r="9704" spans="1:12" x14ac:dyDescent="0.3">
      <c r="A9704" t="s">
        <v>9710</v>
      </c>
      <c r="B9704" t="s">
        <v>10016</v>
      </c>
      <c r="C9704">
        <v>2</v>
      </c>
      <c r="D9704">
        <v>3</v>
      </c>
      <c r="E9704">
        <v>6</v>
      </c>
      <c r="F9704" t="s">
        <v>10019</v>
      </c>
      <c r="G9704" t="s">
        <v>10102</v>
      </c>
      <c r="H9704" s="6">
        <v>44933</v>
      </c>
      <c r="I9704">
        <f t="shared" si="302"/>
        <v>0</v>
      </c>
      <c r="J9704" t="str">
        <f t="shared" si="303"/>
        <v>Complete</v>
      </c>
      <c r="K9704">
        <f>COUNTIFS(RawData[Item], B9704,RawData[Quantity],C9704,RawData[Price Per Unit],D9704,RawData[Total Spent],E9704,RawData[Payment Method],F9704,RawData[Location],G9704,RawData[Transaction Date],H9704)</f>
        <v>1</v>
      </c>
      <c r="L9704"/>
    </row>
    <row r="9705" spans="1:12" x14ac:dyDescent="0.3">
      <c r="A9705" t="s">
        <v>9711</v>
      </c>
      <c r="B9705" t="s">
        <v>10014</v>
      </c>
      <c r="C9705">
        <v>5</v>
      </c>
      <c r="D9705">
        <v>4</v>
      </c>
      <c r="E9705">
        <v>20</v>
      </c>
      <c r="F9705" t="s">
        <v>10069</v>
      </c>
      <c r="G9705" t="s">
        <v>10069</v>
      </c>
      <c r="H9705" s="6">
        <v>45054</v>
      </c>
      <c r="I9705">
        <f t="shared" si="302"/>
        <v>0</v>
      </c>
      <c r="J9705" t="str">
        <f t="shared" si="303"/>
        <v>Complete</v>
      </c>
      <c r="K9705">
        <f>COUNTIFS(RawData[Item], B9705,RawData[Quantity],C9705,RawData[Price Per Unit],D9705,RawData[Total Spent],E9705,RawData[Payment Method],F9705,RawData[Location],G9705,RawData[Transaction Date],H9705)</f>
        <v>1</v>
      </c>
      <c r="L9705"/>
    </row>
    <row r="9706" spans="1:12" x14ac:dyDescent="0.3">
      <c r="A9706" t="s">
        <v>9712</v>
      </c>
      <c r="B9706" t="s">
        <v>10014</v>
      </c>
      <c r="C9706">
        <v>1</v>
      </c>
      <c r="D9706">
        <v>4</v>
      </c>
      <c r="E9706">
        <v>4</v>
      </c>
      <c r="F9706" t="s">
        <v>10018</v>
      </c>
      <c r="G9706" t="s">
        <v>10021</v>
      </c>
      <c r="H9706" s="6">
        <v>45010</v>
      </c>
      <c r="I9706">
        <f t="shared" si="302"/>
        <v>0</v>
      </c>
      <c r="J9706" t="str">
        <f t="shared" si="303"/>
        <v>Complete</v>
      </c>
      <c r="K9706">
        <f>COUNTIFS(RawData[Item], B9706,RawData[Quantity],C9706,RawData[Price Per Unit],D9706,RawData[Total Spent],E9706,RawData[Payment Method],F9706,RawData[Location],G9706,RawData[Transaction Date],H9706)</f>
        <v>1</v>
      </c>
      <c r="L9706"/>
    </row>
    <row r="9707" spans="1:12" x14ac:dyDescent="0.3">
      <c r="A9707" t="s">
        <v>9713</v>
      </c>
      <c r="B9707" t="s">
        <v>10008</v>
      </c>
      <c r="C9707">
        <v>2</v>
      </c>
      <c r="D9707">
        <v>2</v>
      </c>
      <c r="E9707">
        <v>4</v>
      </c>
      <c r="F9707" t="s">
        <v>10020</v>
      </c>
      <c r="G9707" t="s">
        <v>10069</v>
      </c>
      <c r="H9707" s="6">
        <v>45272</v>
      </c>
      <c r="I9707">
        <f t="shared" si="302"/>
        <v>0</v>
      </c>
      <c r="J9707" t="str">
        <f t="shared" si="303"/>
        <v>Complete</v>
      </c>
      <c r="K9707">
        <f>COUNTIFS(RawData[Item], B9707,RawData[Quantity],C9707,RawData[Price Per Unit],D9707,RawData[Total Spent],E9707,RawData[Payment Method],F9707,RawData[Location],G9707,RawData[Transaction Date],H9707)</f>
        <v>1</v>
      </c>
      <c r="L9707"/>
    </row>
    <row r="9708" spans="1:12" x14ac:dyDescent="0.3">
      <c r="A9708" t="s">
        <v>9714</v>
      </c>
      <c r="B9708" t="s">
        <v>10008</v>
      </c>
      <c r="C9708">
        <v>5</v>
      </c>
      <c r="D9708">
        <v>2</v>
      </c>
      <c r="E9708">
        <v>10</v>
      </c>
      <c r="F9708" t="s">
        <v>10069</v>
      </c>
      <c r="G9708" t="s">
        <v>10021</v>
      </c>
      <c r="H9708" s="6">
        <v>45142</v>
      </c>
      <c r="I9708">
        <f t="shared" si="302"/>
        <v>0</v>
      </c>
      <c r="J9708" t="str">
        <f t="shared" si="303"/>
        <v>Complete</v>
      </c>
      <c r="K9708">
        <f>COUNTIFS(RawData[Item], B9708,RawData[Quantity],C9708,RawData[Price Per Unit],D9708,RawData[Total Spent],E9708,RawData[Payment Method],F9708,RawData[Location],G9708,RawData[Transaction Date],H9708)</f>
        <v>1</v>
      </c>
      <c r="L9708"/>
    </row>
    <row r="9709" spans="1:12" x14ac:dyDescent="0.3">
      <c r="A9709" t="s">
        <v>9715</v>
      </c>
      <c r="B9709" t="s">
        <v>10011</v>
      </c>
      <c r="C9709">
        <v>5</v>
      </c>
      <c r="D9709">
        <v>5</v>
      </c>
      <c r="E9709">
        <v>25</v>
      </c>
      <c r="F9709" t="s">
        <v>10018</v>
      </c>
      <c r="G9709" t="s">
        <v>10021</v>
      </c>
      <c r="H9709" s="6">
        <v>45209</v>
      </c>
      <c r="I9709">
        <f t="shared" si="302"/>
        <v>0</v>
      </c>
      <c r="J9709" t="str">
        <f t="shared" si="303"/>
        <v>Complete</v>
      </c>
      <c r="K9709">
        <f>COUNTIFS(RawData[Item], B9709,RawData[Quantity],C9709,RawData[Price Per Unit],D9709,RawData[Total Spent],E9709,RawData[Payment Method],F9709,RawData[Location],G9709,RawData[Transaction Date],H9709)</f>
        <v>1</v>
      </c>
      <c r="L9709"/>
    </row>
    <row r="9710" spans="1:12" x14ac:dyDescent="0.3">
      <c r="A9710" t="s">
        <v>9716</v>
      </c>
      <c r="B9710" t="s">
        <v>10008</v>
      </c>
      <c r="C9710">
        <v>2</v>
      </c>
      <c r="D9710">
        <v>2</v>
      </c>
      <c r="E9710">
        <v>4</v>
      </c>
      <c r="F9710" t="s">
        <v>10018</v>
      </c>
      <c r="G9710" t="s">
        <v>10103</v>
      </c>
      <c r="H9710" s="6">
        <v>45026</v>
      </c>
      <c r="I9710">
        <f t="shared" si="302"/>
        <v>1</v>
      </c>
      <c r="J9710" t="str">
        <f t="shared" si="303"/>
        <v>Complete</v>
      </c>
      <c r="K9710">
        <f>COUNTIFS(RawData[Item], B9710,RawData[Quantity],C9710,RawData[Price Per Unit],D9710,RawData[Total Spent],E9710,RawData[Payment Method],F9710,RawData[Location],G9710,RawData[Transaction Date],H9710)</f>
        <v>1</v>
      </c>
      <c r="L9710"/>
    </row>
    <row r="9711" spans="1:12" x14ac:dyDescent="0.3">
      <c r="A9711" t="s">
        <v>9717</v>
      </c>
      <c r="B9711" t="s">
        <v>10011</v>
      </c>
      <c r="C9711">
        <v>2</v>
      </c>
      <c r="D9711">
        <v>5</v>
      </c>
      <c r="E9711">
        <v>10</v>
      </c>
      <c r="F9711" t="s">
        <v>10020</v>
      </c>
      <c r="G9711" t="s">
        <v>10102</v>
      </c>
      <c r="H9711" s="6">
        <v>44963</v>
      </c>
      <c r="I9711">
        <f t="shared" si="302"/>
        <v>0</v>
      </c>
      <c r="J9711" t="str">
        <f t="shared" si="303"/>
        <v>Complete</v>
      </c>
      <c r="K9711">
        <f>COUNTIFS(RawData[Item], B9711,RawData[Quantity],C9711,RawData[Price Per Unit],D9711,RawData[Total Spent],E9711,RawData[Payment Method],F9711,RawData[Location],G9711,RawData[Transaction Date],H9711)</f>
        <v>1</v>
      </c>
      <c r="L9711"/>
    </row>
    <row r="9712" spans="1:12" x14ac:dyDescent="0.3">
      <c r="A9712" t="s">
        <v>9718</v>
      </c>
      <c r="B9712" t="s">
        <v>10016</v>
      </c>
      <c r="C9712">
        <v>1</v>
      </c>
      <c r="D9712">
        <v>3</v>
      </c>
      <c r="E9712">
        <v>3</v>
      </c>
      <c r="F9712" t="s">
        <v>10018</v>
      </c>
      <c r="G9712" t="s">
        <v>10021</v>
      </c>
      <c r="H9712" s="6" t="s">
        <v>10112</v>
      </c>
      <c r="I9712">
        <f t="shared" si="302"/>
        <v>1</v>
      </c>
      <c r="J9712" t="str">
        <f t="shared" si="303"/>
        <v>Incomplete</v>
      </c>
      <c r="K9712">
        <f>COUNTIFS(RawData[Item], B9712,RawData[Quantity],C9712,RawData[Price Per Unit],D9712,RawData[Total Spent],E9712,RawData[Payment Method],F9712,RawData[Location],G9712,RawData[Transaction Date],H9712)</f>
        <v>2</v>
      </c>
      <c r="L9712"/>
    </row>
    <row r="9713" spans="1:12" x14ac:dyDescent="0.3">
      <c r="A9713" t="s">
        <v>9719</v>
      </c>
      <c r="B9713" t="s">
        <v>10009</v>
      </c>
      <c r="C9713">
        <v>1</v>
      </c>
      <c r="D9713">
        <v>3</v>
      </c>
      <c r="E9713">
        <v>3</v>
      </c>
      <c r="F9713" t="s">
        <v>10018</v>
      </c>
      <c r="G9713" t="s">
        <v>10021</v>
      </c>
      <c r="H9713" s="6">
        <v>45261</v>
      </c>
      <c r="I9713">
        <f t="shared" si="302"/>
        <v>0</v>
      </c>
      <c r="J9713" t="str">
        <f t="shared" si="303"/>
        <v>Complete</v>
      </c>
      <c r="K9713">
        <f>COUNTIFS(RawData[Item], B9713,RawData[Quantity],C9713,RawData[Price Per Unit],D9713,RawData[Total Spent],E9713,RawData[Payment Method],F9713,RawData[Location],G9713,RawData[Transaction Date],H9713)</f>
        <v>1</v>
      </c>
      <c r="L9713"/>
    </row>
    <row r="9714" spans="1:12" x14ac:dyDescent="0.3">
      <c r="A9714" t="s">
        <v>9720</v>
      </c>
      <c r="B9714" t="s">
        <v>10013</v>
      </c>
      <c r="C9714">
        <v>2</v>
      </c>
      <c r="D9714">
        <v>1</v>
      </c>
      <c r="E9714">
        <v>2</v>
      </c>
      <c r="F9714" t="s">
        <v>10020</v>
      </c>
      <c r="G9714" t="s">
        <v>10069</v>
      </c>
      <c r="H9714" s="6">
        <v>45163</v>
      </c>
      <c r="I9714">
        <f t="shared" si="302"/>
        <v>1</v>
      </c>
      <c r="J9714" t="str">
        <f t="shared" si="303"/>
        <v>Complete</v>
      </c>
      <c r="K9714">
        <f>COUNTIFS(RawData[Item], B9714,RawData[Quantity],C9714,RawData[Price Per Unit],D9714,RawData[Total Spent],E9714,RawData[Payment Method],F9714,RawData[Location],G9714,RawData[Transaction Date],H9714)</f>
        <v>1</v>
      </c>
      <c r="L9714"/>
    </row>
    <row r="9715" spans="1:12" x14ac:dyDescent="0.3">
      <c r="A9715" t="s">
        <v>9721</v>
      </c>
      <c r="B9715" t="s">
        <v>10017</v>
      </c>
      <c r="C9715">
        <v>2</v>
      </c>
      <c r="D9715">
        <v>1.5</v>
      </c>
      <c r="E9715">
        <v>3</v>
      </c>
      <c r="F9715" t="s">
        <v>10069</v>
      </c>
      <c r="G9715" t="s">
        <v>10069</v>
      </c>
      <c r="H9715" s="6" t="s">
        <v>10112</v>
      </c>
      <c r="I9715">
        <f t="shared" si="302"/>
        <v>1</v>
      </c>
      <c r="J9715" t="str">
        <f t="shared" si="303"/>
        <v>Incomplete</v>
      </c>
      <c r="K9715">
        <f>COUNTIFS(RawData[Item], B9715,RawData[Quantity],C9715,RawData[Price Per Unit],D9715,RawData[Total Spent],E9715,RawData[Payment Method],F9715,RawData[Location],G9715,RawData[Transaction Date],H9715)</f>
        <v>2</v>
      </c>
      <c r="L9715"/>
    </row>
    <row r="9716" spans="1:12" x14ac:dyDescent="0.3">
      <c r="A9716" t="s">
        <v>9722</v>
      </c>
      <c r="B9716" t="s">
        <v>10014</v>
      </c>
      <c r="C9716">
        <v>5</v>
      </c>
      <c r="D9716">
        <v>4</v>
      </c>
      <c r="E9716">
        <v>20</v>
      </c>
      <c r="F9716" t="s">
        <v>10019</v>
      </c>
      <c r="G9716" t="s">
        <v>10021</v>
      </c>
      <c r="H9716" s="6">
        <v>44981</v>
      </c>
      <c r="I9716">
        <f t="shared" si="302"/>
        <v>0</v>
      </c>
      <c r="J9716" t="str">
        <f t="shared" si="303"/>
        <v>Complete</v>
      </c>
      <c r="K9716">
        <f>COUNTIFS(RawData[Item], B9716,RawData[Quantity],C9716,RawData[Price Per Unit],D9716,RawData[Total Spent],E9716,RawData[Payment Method],F9716,RawData[Location],G9716,RawData[Transaction Date],H9716)</f>
        <v>1</v>
      </c>
      <c r="L9716"/>
    </row>
    <row r="9717" spans="1:12" x14ac:dyDescent="0.3">
      <c r="A9717" t="s">
        <v>9723</v>
      </c>
      <c r="B9717" t="s">
        <v>10014</v>
      </c>
      <c r="C9717">
        <v>2</v>
      </c>
      <c r="D9717">
        <v>4</v>
      </c>
      <c r="E9717">
        <v>8</v>
      </c>
      <c r="F9717" t="s">
        <v>10019</v>
      </c>
      <c r="G9717" t="s">
        <v>10069</v>
      </c>
      <c r="H9717" s="6">
        <v>45268</v>
      </c>
      <c r="I9717">
        <f t="shared" si="302"/>
        <v>0</v>
      </c>
      <c r="J9717" t="str">
        <f t="shared" si="303"/>
        <v>Complete</v>
      </c>
      <c r="K9717">
        <f>COUNTIFS(RawData[Item], B9717,RawData[Quantity],C9717,RawData[Price Per Unit],D9717,RawData[Total Spent],E9717,RawData[Payment Method],F9717,RawData[Location],G9717,RawData[Transaction Date],H9717)</f>
        <v>1</v>
      </c>
      <c r="L9717"/>
    </row>
    <row r="9718" spans="1:12" x14ac:dyDescent="0.3">
      <c r="A9718" t="s">
        <v>9724</v>
      </c>
      <c r="B9718" t="s">
        <v>10011</v>
      </c>
      <c r="C9718" t="s">
        <v>10015</v>
      </c>
      <c r="D9718">
        <v>5</v>
      </c>
      <c r="E9718">
        <v>15</v>
      </c>
      <c r="F9718" t="s">
        <v>10069</v>
      </c>
      <c r="G9718" t="s">
        <v>10102</v>
      </c>
      <c r="H9718" s="6">
        <v>45157</v>
      </c>
      <c r="I9718">
        <f t="shared" si="302"/>
        <v>1</v>
      </c>
      <c r="J9718" t="str">
        <f t="shared" si="303"/>
        <v>Complete</v>
      </c>
      <c r="K9718">
        <f>COUNTIFS(RawData[Item], B9718,RawData[Quantity],C9718,RawData[Price Per Unit],D9718,RawData[Total Spent],E9718,RawData[Payment Method],F9718,RawData[Location],G9718,RawData[Transaction Date],H9718)</f>
        <v>1</v>
      </c>
      <c r="L9718"/>
    </row>
    <row r="9719" spans="1:12" x14ac:dyDescent="0.3">
      <c r="A9719" t="s">
        <v>9725</v>
      </c>
      <c r="B9719" t="s">
        <v>10069</v>
      </c>
      <c r="C9719">
        <v>1</v>
      </c>
      <c r="D9719" t="s">
        <v>10015</v>
      </c>
      <c r="E9719">
        <v>2</v>
      </c>
      <c r="F9719" t="s">
        <v>10018</v>
      </c>
      <c r="G9719" t="s">
        <v>10021</v>
      </c>
      <c r="H9719" s="6">
        <v>45250</v>
      </c>
      <c r="I9719">
        <f t="shared" si="302"/>
        <v>1</v>
      </c>
      <c r="J9719" t="str">
        <f t="shared" si="303"/>
        <v>Complete</v>
      </c>
      <c r="K9719">
        <f>COUNTIFS(RawData[Item], B9719,RawData[Quantity],C9719,RawData[Price Per Unit],D9719,RawData[Total Spent],E9719,RawData[Payment Method],F9719,RawData[Location],G9719,RawData[Transaction Date],H9719)</f>
        <v>1</v>
      </c>
      <c r="L9719"/>
    </row>
    <row r="9720" spans="1:12" x14ac:dyDescent="0.3">
      <c r="A9720" t="s">
        <v>9726</v>
      </c>
      <c r="B9720" t="s">
        <v>10016</v>
      </c>
      <c r="C9720">
        <v>3</v>
      </c>
      <c r="D9720">
        <v>3</v>
      </c>
      <c r="E9720">
        <v>9</v>
      </c>
      <c r="F9720" t="s">
        <v>10018</v>
      </c>
      <c r="G9720" t="s">
        <v>10102</v>
      </c>
      <c r="H9720" s="6">
        <v>44964</v>
      </c>
      <c r="I9720">
        <f t="shared" si="302"/>
        <v>0</v>
      </c>
      <c r="J9720" t="str">
        <f t="shared" si="303"/>
        <v>Complete</v>
      </c>
      <c r="K9720">
        <f>COUNTIFS(RawData[Item], B9720,RawData[Quantity],C9720,RawData[Price Per Unit],D9720,RawData[Total Spent],E9720,RawData[Payment Method],F9720,RawData[Location],G9720,RawData[Transaction Date],H9720)</f>
        <v>1</v>
      </c>
      <c r="L9720"/>
    </row>
    <row r="9721" spans="1:12" x14ac:dyDescent="0.3">
      <c r="A9721" t="s">
        <v>9727</v>
      </c>
      <c r="B9721" t="s">
        <v>10014</v>
      </c>
      <c r="C9721">
        <v>2</v>
      </c>
      <c r="D9721">
        <v>4</v>
      </c>
      <c r="E9721">
        <v>8</v>
      </c>
      <c r="F9721" t="s">
        <v>10069</v>
      </c>
      <c r="G9721" t="s">
        <v>10021</v>
      </c>
      <c r="H9721" s="6">
        <v>45007</v>
      </c>
      <c r="I9721">
        <f t="shared" si="302"/>
        <v>0</v>
      </c>
      <c r="J9721" t="str">
        <f t="shared" si="303"/>
        <v>Complete</v>
      </c>
      <c r="K9721">
        <f>COUNTIFS(RawData[Item], B9721,RawData[Quantity],C9721,RawData[Price Per Unit],D9721,RawData[Total Spent],E9721,RawData[Payment Method],F9721,RawData[Location],G9721,RawData[Transaction Date],H9721)</f>
        <v>1</v>
      </c>
      <c r="L9721"/>
    </row>
    <row r="9722" spans="1:12" x14ac:dyDescent="0.3">
      <c r="A9722" t="s">
        <v>9728</v>
      </c>
      <c r="B9722" t="s">
        <v>10011</v>
      </c>
      <c r="C9722">
        <v>5</v>
      </c>
      <c r="D9722">
        <v>5</v>
      </c>
      <c r="E9722">
        <v>25</v>
      </c>
      <c r="F9722" t="s">
        <v>10069</v>
      </c>
      <c r="G9722" t="s">
        <v>10021</v>
      </c>
      <c r="H9722" s="6">
        <v>44956</v>
      </c>
      <c r="I9722">
        <f t="shared" si="302"/>
        <v>0</v>
      </c>
      <c r="J9722" t="str">
        <f t="shared" si="303"/>
        <v>Complete</v>
      </c>
      <c r="K9722">
        <f>COUNTIFS(RawData[Item], B9722,RawData[Quantity],C9722,RawData[Price Per Unit],D9722,RawData[Total Spent],E9722,RawData[Payment Method],F9722,RawData[Location],G9722,RawData[Transaction Date],H9722)</f>
        <v>2</v>
      </c>
      <c r="L9722"/>
    </row>
    <row r="9723" spans="1:12" x14ac:dyDescent="0.3">
      <c r="A9723" t="s">
        <v>9729</v>
      </c>
      <c r="B9723" t="s">
        <v>10017</v>
      </c>
      <c r="C9723">
        <v>5</v>
      </c>
      <c r="D9723">
        <v>1.5</v>
      </c>
      <c r="E9723">
        <v>7.5</v>
      </c>
      <c r="F9723" t="s">
        <v>10069</v>
      </c>
      <c r="G9723" t="s">
        <v>10069</v>
      </c>
      <c r="H9723" s="6">
        <v>45255</v>
      </c>
      <c r="I9723">
        <f t="shared" si="302"/>
        <v>0</v>
      </c>
      <c r="J9723" t="str">
        <f t="shared" si="303"/>
        <v>Complete</v>
      </c>
      <c r="K9723">
        <f>COUNTIFS(RawData[Item], B9723,RawData[Quantity],C9723,RawData[Price Per Unit],D9723,RawData[Total Spent],E9723,RawData[Payment Method],F9723,RawData[Location],G9723,RawData[Transaction Date],H9723)</f>
        <v>1</v>
      </c>
      <c r="L9723"/>
    </row>
    <row r="9724" spans="1:12" x14ac:dyDescent="0.3">
      <c r="A9724" t="s">
        <v>9730</v>
      </c>
      <c r="B9724" t="s">
        <v>10011</v>
      </c>
      <c r="C9724">
        <v>3</v>
      </c>
      <c r="D9724">
        <v>5</v>
      </c>
      <c r="E9724">
        <v>15</v>
      </c>
      <c r="F9724" t="s">
        <v>10018</v>
      </c>
      <c r="G9724" t="s">
        <v>10021</v>
      </c>
      <c r="H9724" s="6">
        <v>45024</v>
      </c>
      <c r="I9724">
        <f t="shared" si="302"/>
        <v>0</v>
      </c>
      <c r="J9724" t="str">
        <f t="shared" si="303"/>
        <v>Complete</v>
      </c>
      <c r="K9724">
        <f>COUNTIFS(RawData[Item], B9724,RawData[Quantity],C9724,RawData[Price Per Unit],D9724,RawData[Total Spent],E9724,RawData[Payment Method],F9724,RawData[Location],G9724,RawData[Transaction Date],H9724)</f>
        <v>1</v>
      </c>
      <c r="L9724"/>
    </row>
    <row r="9725" spans="1:12" x14ac:dyDescent="0.3">
      <c r="A9725" t="s">
        <v>9731</v>
      </c>
      <c r="B9725" t="s">
        <v>10016</v>
      </c>
      <c r="C9725">
        <v>2</v>
      </c>
      <c r="D9725">
        <v>3</v>
      </c>
      <c r="E9725">
        <v>6</v>
      </c>
      <c r="F9725" t="s">
        <v>10069</v>
      </c>
      <c r="G9725" t="s">
        <v>10102</v>
      </c>
      <c r="H9725" s="6">
        <v>45186</v>
      </c>
      <c r="I9725">
        <f t="shared" si="302"/>
        <v>0</v>
      </c>
      <c r="J9725" t="str">
        <f t="shared" si="303"/>
        <v>Complete</v>
      </c>
      <c r="K9725">
        <f>COUNTIFS(RawData[Item], B9725,RawData[Quantity],C9725,RawData[Price Per Unit],D9725,RawData[Total Spent],E9725,RawData[Payment Method],F9725,RawData[Location],G9725,RawData[Transaction Date],H9725)</f>
        <v>1</v>
      </c>
      <c r="L9725"/>
    </row>
    <row r="9726" spans="1:12" x14ac:dyDescent="0.3">
      <c r="A9726" t="s">
        <v>9732</v>
      </c>
      <c r="B9726" t="s">
        <v>10016</v>
      </c>
      <c r="C9726">
        <v>3</v>
      </c>
      <c r="D9726">
        <v>3</v>
      </c>
      <c r="E9726">
        <v>9</v>
      </c>
      <c r="F9726" t="s">
        <v>10020</v>
      </c>
      <c r="G9726" t="s">
        <v>10069</v>
      </c>
      <c r="H9726" s="6">
        <v>45012</v>
      </c>
      <c r="I9726">
        <f t="shared" si="302"/>
        <v>0</v>
      </c>
      <c r="J9726" t="str">
        <f t="shared" si="303"/>
        <v>Complete</v>
      </c>
      <c r="K9726">
        <f>COUNTIFS(RawData[Item], B9726,RawData[Quantity],C9726,RawData[Price Per Unit],D9726,RawData[Total Spent],E9726,RawData[Payment Method],F9726,RawData[Location],G9726,RawData[Transaction Date],H9726)</f>
        <v>1</v>
      </c>
      <c r="L9726"/>
    </row>
    <row r="9727" spans="1:12" x14ac:dyDescent="0.3">
      <c r="A9727" t="s">
        <v>9733</v>
      </c>
      <c r="B9727" t="s">
        <v>10017</v>
      </c>
      <c r="C9727" t="s">
        <v>10015</v>
      </c>
      <c r="D9727">
        <v>1.5</v>
      </c>
      <c r="E9727">
        <v>1.5</v>
      </c>
      <c r="F9727" t="s">
        <v>10020</v>
      </c>
      <c r="G9727" t="s">
        <v>10069</v>
      </c>
      <c r="H9727" s="6">
        <v>45084</v>
      </c>
      <c r="I9727">
        <f t="shared" si="302"/>
        <v>1</v>
      </c>
      <c r="J9727" t="str">
        <f t="shared" si="303"/>
        <v>Complete</v>
      </c>
      <c r="K9727">
        <f>COUNTIFS(RawData[Item], B9727,RawData[Quantity],C9727,RawData[Price Per Unit],D9727,RawData[Total Spent],E9727,RawData[Payment Method],F9727,RawData[Location],G9727,RawData[Transaction Date],H9727)</f>
        <v>1</v>
      </c>
      <c r="L9727"/>
    </row>
    <row r="9728" spans="1:12" x14ac:dyDescent="0.3">
      <c r="A9728" t="s">
        <v>9734</v>
      </c>
      <c r="B9728" t="s">
        <v>10014</v>
      </c>
      <c r="C9728">
        <v>4</v>
      </c>
      <c r="D9728">
        <v>4</v>
      </c>
      <c r="E9728">
        <v>16</v>
      </c>
      <c r="F9728" t="s">
        <v>10019</v>
      </c>
      <c r="G9728" t="s">
        <v>10021</v>
      </c>
      <c r="H9728" s="6">
        <v>45276</v>
      </c>
      <c r="I9728">
        <f t="shared" si="302"/>
        <v>0</v>
      </c>
      <c r="J9728" t="str">
        <f t="shared" si="303"/>
        <v>Complete</v>
      </c>
      <c r="K9728">
        <f>COUNTIFS(RawData[Item], B9728,RawData[Quantity],C9728,RawData[Price Per Unit],D9728,RawData[Total Spent],E9728,RawData[Payment Method],F9728,RawData[Location],G9728,RawData[Transaction Date],H9728)</f>
        <v>1</v>
      </c>
      <c r="L9728"/>
    </row>
    <row r="9729" spans="1:12" x14ac:dyDescent="0.3">
      <c r="A9729" t="s">
        <v>9735</v>
      </c>
      <c r="B9729" t="s">
        <v>10013</v>
      </c>
      <c r="C9729">
        <v>2</v>
      </c>
      <c r="D9729">
        <v>4</v>
      </c>
      <c r="E9729">
        <v>8</v>
      </c>
      <c r="F9729" t="s">
        <v>10020</v>
      </c>
      <c r="G9729" t="s">
        <v>10103</v>
      </c>
      <c r="H9729" s="6">
        <v>45151</v>
      </c>
      <c r="I9729">
        <f t="shared" si="302"/>
        <v>2</v>
      </c>
      <c r="J9729" t="str">
        <f t="shared" si="303"/>
        <v>Complete</v>
      </c>
      <c r="K9729">
        <f>COUNTIFS(RawData[Item], B9729,RawData[Quantity],C9729,RawData[Price Per Unit],D9729,RawData[Total Spent],E9729,RawData[Payment Method],F9729,RawData[Location],G9729,RawData[Transaction Date],H9729)</f>
        <v>1</v>
      </c>
      <c r="L9729"/>
    </row>
    <row r="9730" spans="1:12" x14ac:dyDescent="0.3">
      <c r="A9730" t="s">
        <v>9736</v>
      </c>
      <c r="B9730" t="s">
        <v>10008</v>
      </c>
      <c r="C9730">
        <v>3</v>
      </c>
      <c r="D9730">
        <v>2</v>
      </c>
      <c r="E9730">
        <v>6</v>
      </c>
      <c r="F9730" t="s">
        <v>10069</v>
      </c>
      <c r="G9730" t="s">
        <v>10021</v>
      </c>
      <c r="H9730" s="6">
        <v>45269</v>
      </c>
      <c r="I9730">
        <f t="shared" ref="I9730:I9793" si="304">(B9730="Unknown")+(B9730="Error")+(C9730="Unknown")+(C9730="Error")+(D9730="Unknown")+(D9730="Error")+(E9730="Unknown")+(E9730="Error")+(F9730="Unknown")+(F9730="Error")+(G9730="Unknown")+(G9730="Error")+(H9730="No Date")</f>
        <v>0</v>
      </c>
      <c r="J9730" t="str">
        <f t="shared" ref="J9730:J9793" si="305">IF((H9730="No Date"),"Incomplete","Complete")</f>
        <v>Complete</v>
      </c>
      <c r="K9730">
        <f>COUNTIFS(RawData[Item], B9730,RawData[Quantity],C9730,RawData[Price Per Unit],D9730,RawData[Total Spent],E9730,RawData[Payment Method],F9730,RawData[Location],G9730,RawData[Transaction Date],H9730)</f>
        <v>1</v>
      </c>
      <c r="L9730"/>
    </row>
    <row r="9731" spans="1:12" x14ac:dyDescent="0.3">
      <c r="A9731" t="s">
        <v>9737</v>
      </c>
      <c r="B9731" t="s">
        <v>10016</v>
      </c>
      <c r="C9731">
        <v>5</v>
      </c>
      <c r="D9731">
        <v>3</v>
      </c>
      <c r="E9731">
        <v>15</v>
      </c>
      <c r="F9731" t="s">
        <v>10020</v>
      </c>
      <c r="G9731" t="s">
        <v>10102</v>
      </c>
      <c r="H9731" s="6">
        <v>44998</v>
      </c>
      <c r="I9731">
        <f t="shared" si="304"/>
        <v>0</v>
      </c>
      <c r="J9731" t="str">
        <f t="shared" si="305"/>
        <v>Complete</v>
      </c>
      <c r="K9731">
        <f>COUNTIFS(RawData[Item], B9731,RawData[Quantity],C9731,RawData[Price Per Unit],D9731,RawData[Total Spent],E9731,RawData[Payment Method],F9731,RawData[Location],G9731,RawData[Transaction Date],H9731)</f>
        <v>1</v>
      </c>
      <c r="L9731"/>
    </row>
    <row r="9732" spans="1:12" x14ac:dyDescent="0.3">
      <c r="A9732" t="s">
        <v>9738</v>
      </c>
      <c r="B9732" t="s">
        <v>10069</v>
      </c>
      <c r="C9732">
        <v>5</v>
      </c>
      <c r="D9732">
        <v>2</v>
      </c>
      <c r="E9732">
        <v>10</v>
      </c>
      <c r="F9732" t="s">
        <v>10018</v>
      </c>
      <c r="G9732" t="s">
        <v>10102</v>
      </c>
      <c r="H9732" s="6">
        <v>45027</v>
      </c>
      <c r="I9732">
        <f t="shared" si="304"/>
        <v>0</v>
      </c>
      <c r="J9732" t="str">
        <f t="shared" si="305"/>
        <v>Complete</v>
      </c>
      <c r="K9732">
        <f>COUNTIFS(RawData[Item], B9732,RawData[Quantity],C9732,RawData[Price Per Unit],D9732,RawData[Total Spent],E9732,RawData[Payment Method],F9732,RawData[Location],G9732,RawData[Transaction Date],H9732)</f>
        <v>1</v>
      </c>
      <c r="L9732"/>
    </row>
    <row r="9733" spans="1:12" x14ac:dyDescent="0.3">
      <c r="A9733" t="s">
        <v>9739</v>
      </c>
      <c r="B9733" t="s">
        <v>10012</v>
      </c>
      <c r="C9733">
        <v>5</v>
      </c>
      <c r="D9733">
        <v>4</v>
      </c>
      <c r="E9733">
        <v>20</v>
      </c>
      <c r="F9733" t="s">
        <v>10069</v>
      </c>
      <c r="G9733" t="s">
        <v>10069</v>
      </c>
      <c r="H9733" s="6">
        <v>45189</v>
      </c>
      <c r="I9733">
        <f t="shared" si="304"/>
        <v>0</v>
      </c>
      <c r="J9733" t="str">
        <f t="shared" si="305"/>
        <v>Complete</v>
      </c>
      <c r="K9733">
        <f>COUNTIFS(RawData[Item], B9733,RawData[Quantity],C9733,RawData[Price Per Unit],D9733,RawData[Total Spent],E9733,RawData[Payment Method],F9733,RawData[Location],G9733,RawData[Transaction Date],H9733)</f>
        <v>1</v>
      </c>
      <c r="L9733"/>
    </row>
    <row r="9734" spans="1:12" x14ac:dyDescent="0.3">
      <c r="A9734" t="s">
        <v>9740</v>
      </c>
      <c r="B9734" t="s">
        <v>10009</v>
      </c>
      <c r="C9734">
        <v>5</v>
      </c>
      <c r="D9734">
        <v>3</v>
      </c>
      <c r="E9734">
        <v>15</v>
      </c>
      <c r="F9734" t="s">
        <v>10018</v>
      </c>
      <c r="G9734" t="s">
        <v>10102</v>
      </c>
      <c r="H9734" s="6">
        <v>44973</v>
      </c>
      <c r="I9734">
        <f t="shared" si="304"/>
        <v>0</v>
      </c>
      <c r="J9734" t="str">
        <f t="shared" si="305"/>
        <v>Complete</v>
      </c>
      <c r="K9734">
        <f>COUNTIFS(RawData[Item], B9734,RawData[Quantity],C9734,RawData[Price Per Unit],D9734,RawData[Total Spent],E9734,RawData[Payment Method],F9734,RawData[Location],G9734,RawData[Transaction Date],H9734)</f>
        <v>1</v>
      </c>
      <c r="L9734"/>
    </row>
    <row r="9735" spans="1:12" x14ac:dyDescent="0.3">
      <c r="A9735" t="s">
        <v>9741</v>
      </c>
      <c r="B9735" t="s">
        <v>10012</v>
      </c>
      <c r="C9735">
        <v>3</v>
      </c>
      <c r="D9735">
        <v>4</v>
      </c>
      <c r="E9735">
        <v>12</v>
      </c>
      <c r="F9735" t="s">
        <v>10019</v>
      </c>
      <c r="G9735" t="s">
        <v>10069</v>
      </c>
      <c r="H9735" s="6">
        <v>45251</v>
      </c>
      <c r="I9735">
        <f t="shared" si="304"/>
        <v>0</v>
      </c>
      <c r="J9735" t="str">
        <f t="shared" si="305"/>
        <v>Complete</v>
      </c>
      <c r="K9735">
        <f>COUNTIFS(RawData[Item], B9735,RawData[Quantity],C9735,RawData[Price Per Unit],D9735,RawData[Total Spent],E9735,RawData[Payment Method],F9735,RawData[Location],G9735,RawData[Transaction Date],H9735)</f>
        <v>1</v>
      </c>
      <c r="L9735"/>
    </row>
    <row r="9736" spans="1:12" x14ac:dyDescent="0.3">
      <c r="A9736" t="s">
        <v>9742</v>
      </c>
      <c r="B9736" t="s">
        <v>10013</v>
      </c>
      <c r="C9736">
        <v>3</v>
      </c>
      <c r="D9736">
        <v>1.5</v>
      </c>
      <c r="E9736">
        <v>4.5</v>
      </c>
      <c r="F9736" t="s">
        <v>10018</v>
      </c>
      <c r="G9736" t="s">
        <v>10102</v>
      </c>
      <c r="H9736" s="6">
        <v>45110</v>
      </c>
      <c r="I9736">
        <f t="shared" si="304"/>
        <v>1</v>
      </c>
      <c r="J9736" t="str">
        <f t="shared" si="305"/>
        <v>Complete</v>
      </c>
      <c r="K9736">
        <f>COUNTIFS(RawData[Item], B9736,RawData[Quantity],C9736,RawData[Price Per Unit],D9736,RawData[Total Spent],E9736,RawData[Payment Method],F9736,RawData[Location],G9736,RawData[Transaction Date],H9736)</f>
        <v>1</v>
      </c>
      <c r="L9736"/>
    </row>
    <row r="9737" spans="1:12" x14ac:dyDescent="0.3">
      <c r="A9737" t="s">
        <v>9743</v>
      </c>
      <c r="B9737" t="s">
        <v>10014</v>
      </c>
      <c r="C9737">
        <v>2</v>
      </c>
      <c r="D9737">
        <v>4</v>
      </c>
      <c r="E9737">
        <v>8</v>
      </c>
      <c r="F9737" t="s">
        <v>10019</v>
      </c>
      <c r="G9737" t="s">
        <v>10102</v>
      </c>
      <c r="H9737" s="6">
        <v>45128</v>
      </c>
      <c r="I9737">
        <f t="shared" si="304"/>
        <v>0</v>
      </c>
      <c r="J9737" t="str">
        <f t="shared" si="305"/>
        <v>Complete</v>
      </c>
      <c r="K9737">
        <f>COUNTIFS(RawData[Item], B9737,RawData[Quantity],C9737,RawData[Price Per Unit],D9737,RawData[Total Spent],E9737,RawData[Payment Method],F9737,RawData[Location],G9737,RawData[Transaction Date],H9737)</f>
        <v>1</v>
      </c>
      <c r="L9737"/>
    </row>
    <row r="9738" spans="1:12" x14ac:dyDescent="0.3">
      <c r="A9738" t="s">
        <v>9744</v>
      </c>
      <c r="B9738" t="s">
        <v>10008</v>
      </c>
      <c r="C9738">
        <v>4</v>
      </c>
      <c r="D9738">
        <v>2</v>
      </c>
      <c r="E9738" t="s">
        <v>10015</v>
      </c>
      <c r="F9738" t="s">
        <v>10018</v>
      </c>
      <c r="G9738" t="s">
        <v>10069</v>
      </c>
      <c r="H9738" s="6">
        <v>45067</v>
      </c>
      <c r="I9738">
        <f t="shared" si="304"/>
        <v>1</v>
      </c>
      <c r="J9738" t="str">
        <f t="shared" si="305"/>
        <v>Complete</v>
      </c>
      <c r="K9738">
        <f>COUNTIFS(RawData[Item], B9738,RawData[Quantity],C9738,RawData[Price Per Unit],D9738,RawData[Total Spent],E9738,RawData[Payment Method],F9738,RawData[Location],G9738,RawData[Transaction Date],H9738)</f>
        <v>1</v>
      </c>
      <c r="L9738"/>
    </row>
    <row r="9739" spans="1:12" x14ac:dyDescent="0.3">
      <c r="A9739" t="s">
        <v>9745</v>
      </c>
      <c r="B9739" t="s">
        <v>10008</v>
      </c>
      <c r="C9739">
        <v>3</v>
      </c>
      <c r="D9739">
        <v>2</v>
      </c>
      <c r="E9739">
        <v>6</v>
      </c>
      <c r="F9739" t="s">
        <v>10018</v>
      </c>
      <c r="G9739" t="s">
        <v>10069</v>
      </c>
      <c r="H9739" s="6">
        <v>45074</v>
      </c>
      <c r="I9739">
        <f t="shared" si="304"/>
        <v>0</v>
      </c>
      <c r="J9739" t="str">
        <f t="shared" si="305"/>
        <v>Complete</v>
      </c>
      <c r="K9739">
        <f>COUNTIFS(RawData[Item], B9739,RawData[Quantity],C9739,RawData[Price Per Unit],D9739,RawData[Total Spent],E9739,RawData[Payment Method],F9739,RawData[Location],G9739,RawData[Transaction Date],H9739)</f>
        <v>1</v>
      </c>
      <c r="L9739"/>
    </row>
    <row r="9740" spans="1:12" x14ac:dyDescent="0.3">
      <c r="A9740" t="s">
        <v>9746</v>
      </c>
      <c r="B9740" t="s">
        <v>10010</v>
      </c>
      <c r="C9740">
        <v>4</v>
      </c>
      <c r="D9740">
        <v>0</v>
      </c>
      <c r="E9740">
        <v>4</v>
      </c>
      <c r="F9740" t="s">
        <v>10020</v>
      </c>
      <c r="G9740" t="s">
        <v>10102</v>
      </c>
      <c r="H9740" s="6">
        <v>45106</v>
      </c>
      <c r="I9740">
        <f t="shared" si="304"/>
        <v>0</v>
      </c>
      <c r="J9740" t="str">
        <f t="shared" si="305"/>
        <v>Complete</v>
      </c>
      <c r="K9740">
        <f>COUNTIFS(RawData[Item], B9740,RawData[Quantity],C9740,RawData[Price Per Unit],D9740,RawData[Total Spent],E9740,RawData[Payment Method],F9740,RawData[Location],G9740,RawData[Transaction Date],H9740)</f>
        <v>1</v>
      </c>
      <c r="L9740"/>
    </row>
    <row r="9741" spans="1:12" x14ac:dyDescent="0.3">
      <c r="A9741" t="s">
        <v>9747</v>
      </c>
      <c r="B9741" t="s">
        <v>10010</v>
      </c>
      <c r="C9741">
        <v>4</v>
      </c>
      <c r="D9741">
        <v>1</v>
      </c>
      <c r="E9741">
        <v>4</v>
      </c>
      <c r="F9741" t="s">
        <v>10018</v>
      </c>
      <c r="G9741" t="s">
        <v>10069</v>
      </c>
      <c r="H9741" s="6">
        <v>45214</v>
      </c>
      <c r="I9741">
        <f t="shared" si="304"/>
        <v>0</v>
      </c>
      <c r="J9741" t="str">
        <f t="shared" si="305"/>
        <v>Complete</v>
      </c>
      <c r="K9741">
        <f>COUNTIFS(RawData[Item], B9741,RawData[Quantity],C9741,RawData[Price Per Unit],D9741,RawData[Total Spent],E9741,RawData[Payment Method],F9741,RawData[Location],G9741,RawData[Transaction Date],H9741)</f>
        <v>1</v>
      </c>
      <c r="L9741"/>
    </row>
    <row r="9742" spans="1:12" x14ac:dyDescent="0.3">
      <c r="A9742" t="s">
        <v>9748</v>
      </c>
      <c r="B9742" t="s">
        <v>10011</v>
      </c>
      <c r="C9742">
        <v>2</v>
      </c>
      <c r="D9742">
        <v>5</v>
      </c>
      <c r="E9742">
        <v>10</v>
      </c>
      <c r="F9742" t="s">
        <v>10020</v>
      </c>
      <c r="G9742" t="s">
        <v>10069</v>
      </c>
      <c r="H9742" s="6">
        <v>45054</v>
      </c>
      <c r="I9742">
        <f t="shared" si="304"/>
        <v>0</v>
      </c>
      <c r="J9742" t="str">
        <f t="shared" si="305"/>
        <v>Complete</v>
      </c>
      <c r="K9742">
        <f>COUNTIFS(RawData[Item], B9742,RawData[Quantity],C9742,RawData[Price Per Unit],D9742,RawData[Total Spent],E9742,RawData[Payment Method],F9742,RawData[Location],G9742,RawData[Transaction Date],H9742)</f>
        <v>1</v>
      </c>
      <c r="L9742"/>
    </row>
    <row r="9743" spans="1:12" x14ac:dyDescent="0.3">
      <c r="A9743" t="s">
        <v>9749</v>
      </c>
      <c r="B9743" t="s">
        <v>10009</v>
      </c>
      <c r="C9743">
        <v>5</v>
      </c>
      <c r="D9743">
        <v>3</v>
      </c>
      <c r="E9743">
        <v>15</v>
      </c>
      <c r="F9743" t="s">
        <v>10019</v>
      </c>
      <c r="G9743" t="s">
        <v>10069</v>
      </c>
      <c r="H9743" s="6">
        <v>45151</v>
      </c>
      <c r="I9743">
        <f t="shared" si="304"/>
        <v>0</v>
      </c>
      <c r="J9743" t="str">
        <f t="shared" si="305"/>
        <v>Complete</v>
      </c>
      <c r="K9743">
        <f>COUNTIFS(RawData[Item], B9743,RawData[Quantity],C9743,RawData[Price Per Unit],D9743,RawData[Total Spent],E9743,RawData[Payment Method],F9743,RawData[Location],G9743,RawData[Transaction Date],H9743)</f>
        <v>1</v>
      </c>
      <c r="L9743"/>
    </row>
    <row r="9744" spans="1:12" x14ac:dyDescent="0.3">
      <c r="A9744" t="s">
        <v>9750</v>
      </c>
      <c r="B9744" t="s">
        <v>10011</v>
      </c>
      <c r="C9744">
        <v>5</v>
      </c>
      <c r="D9744" t="s">
        <v>10013</v>
      </c>
      <c r="E9744">
        <v>25</v>
      </c>
      <c r="F9744" t="s">
        <v>10019</v>
      </c>
      <c r="G9744" t="s">
        <v>10102</v>
      </c>
      <c r="H9744" s="6">
        <v>44942</v>
      </c>
      <c r="I9744">
        <f t="shared" si="304"/>
        <v>1</v>
      </c>
      <c r="J9744" t="str">
        <f t="shared" si="305"/>
        <v>Complete</v>
      </c>
      <c r="K9744">
        <f>COUNTIFS(RawData[Item], B9744,RawData[Quantity],C9744,RawData[Price Per Unit],D9744,RawData[Total Spent],E9744,RawData[Payment Method],F9744,RawData[Location],G9744,RawData[Transaction Date],H9744)</f>
        <v>1</v>
      </c>
      <c r="L9744"/>
    </row>
    <row r="9745" spans="1:12" x14ac:dyDescent="0.3">
      <c r="A9745" t="s">
        <v>9751</v>
      </c>
      <c r="B9745" t="s">
        <v>10009</v>
      </c>
      <c r="C9745">
        <v>2</v>
      </c>
      <c r="D9745">
        <v>3</v>
      </c>
      <c r="E9745">
        <v>6</v>
      </c>
      <c r="F9745" t="s">
        <v>10019</v>
      </c>
      <c r="G9745" t="s">
        <v>10069</v>
      </c>
      <c r="H9745" s="6">
        <v>45103</v>
      </c>
      <c r="I9745">
        <f t="shared" si="304"/>
        <v>0</v>
      </c>
      <c r="J9745" t="str">
        <f t="shared" si="305"/>
        <v>Complete</v>
      </c>
      <c r="K9745">
        <f>COUNTIFS(RawData[Item], B9745,RawData[Quantity],C9745,RawData[Price Per Unit],D9745,RawData[Total Spent],E9745,RawData[Payment Method],F9745,RawData[Location],G9745,RawData[Transaction Date],H9745)</f>
        <v>1</v>
      </c>
      <c r="L9745"/>
    </row>
    <row r="9746" spans="1:12" x14ac:dyDescent="0.3">
      <c r="A9746" t="s">
        <v>9752</v>
      </c>
      <c r="B9746" t="s">
        <v>10010</v>
      </c>
      <c r="C9746">
        <v>5</v>
      </c>
      <c r="D9746">
        <v>1</v>
      </c>
      <c r="E9746">
        <v>5</v>
      </c>
      <c r="F9746" t="s">
        <v>10069</v>
      </c>
      <c r="G9746" t="s">
        <v>10069</v>
      </c>
      <c r="H9746" s="6">
        <v>45088</v>
      </c>
      <c r="I9746">
        <f t="shared" si="304"/>
        <v>0</v>
      </c>
      <c r="J9746" t="str">
        <f t="shared" si="305"/>
        <v>Complete</v>
      </c>
      <c r="K9746">
        <f>COUNTIFS(RawData[Item], B9746,RawData[Quantity],C9746,RawData[Price Per Unit],D9746,RawData[Total Spent],E9746,RawData[Payment Method],F9746,RawData[Location],G9746,RawData[Transaction Date],H9746)</f>
        <v>1</v>
      </c>
      <c r="L9746"/>
    </row>
    <row r="9747" spans="1:12" x14ac:dyDescent="0.3">
      <c r="A9747" t="s">
        <v>9753</v>
      </c>
      <c r="B9747" t="s">
        <v>10010</v>
      </c>
      <c r="C9747">
        <v>5</v>
      </c>
      <c r="D9747">
        <v>1</v>
      </c>
      <c r="E9747">
        <v>5</v>
      </c>
      <c r="F9747" t="s">
        <v>10018</v>
      </c>
      <c r="G9747" t="s">
        <v>10021</v>
      </c>
      <c r="H9747" s="6">
        <v>44955</v>
      </c>
      <c r="I9747">
        <f t="shared" si="304"/>
        <v>0</v>
      </c>
      <c r="J9747" t="str">
        <f t="shared" si="305"/>
        <v>Complete</v>
      </c>
      <c r="K9747">
        <f>COUNTIFS(RawData[Item], B9747,RawData[Quantity],C9747,RawData[Price Per Unit],D9747,RawData[Total Spent],E9747,RawData[Payment Method],F9747,RawData[Location],G9747,RawData[Transaction Date],H9747)</f>
        <v>1</v>
      </c>
      <c r="L9747"/>
    </row>
    <row r="9748" spans="1:12" x14ac:dyDescent="0.3">
      <c r="A9748" t="s">
        <v>9754</v>
      </c>
      <c r="B9748" t="s">
        <v>10009</v>
      </c>
      <c r="C9748">
        <v>3</v>
      </c>
      <c r="D9748">
        <v>3</v>
      </c>
      <c r="E9748">
        <v>9</v>
      </c>
      <c r="F9748" t="s">
        <v>10019</v>
      </c>
      <c r="G9748" t="s">
        <v>10069</v>
      </c>
      <c r="H9748" s="6">
        <v>45247</v>
      </c>
      <c r="I9748">
        <f t="shared" si="304"/>
        <v>0</v>
      </c>
      <c r="J9748" t="str">
        <f t="shared" si="305"/>
        <v>Complete</v>
      </c>
      <c r="K9748">
        <f>COUNTIFS(RawData[Item], B9748,RawData[Quantity],C9748,RawData[Price Per Unit],D9748,RawData[Total Spent],E9748,RawData[Payment Method],F9748,RawData[Location],G9748,RawData[Transaction Date],H9748)</f>
        <v>1</v>
      </c>
      <c r="L9748"/>
    </row>
    <row r="9749" spans="1:12" x14ac:dyDescent="0.3">
      <c r="A9749" t="s">
        <v>9755</v>
      </c>
      <c r="B9749" t="s">
        <v>10011</v>
      </c>
      <c r="C9749">
        <v>2</v>
      </c>
      <c r="D9749">
        <v>5</v>
      </c>
      <c r="E9749">
        <v>10</v>
      </c>
      <c r="F9749" t="s">
        <v>10104</v>
      </c>
      <c r="G9749" t="s">
        <v>10021</v>
      </c>
      <c r="H9749" s="6">
        <v>45105</v>
      </c>
      <c r="I9749">
        <f t="shared" si="304"/>
        <v>1</v>
      </c>
      <c r="J9749" t="str">
        <f t="shared" si="305"/>
        <v>Complete</v>
      </c>
      <c r="K9749">
        <f>COUNTIFS(RawData[Item], B9749,RawData[Quantity],C9749,RawData[Price Per Unit],D9749,RawData[Total Spent],E9749,RawData[Payment Method],F9749,RawData[Location],G9749,RawData[Transaction Date],H9749)</f>
        <v>1</v>
      </c>
      <c r="L9749"/>
    </row>
    <row r="9750" spans="1:12" x14ac:dyDescent="0.3">
      <c r="A9750" t="s">
        <v>9756</v>
      </c>
      <c r="B9750" t="s">
        <v>10014</v>
      </c>
      <c r="C9750">
        <v>3</v>
      </c>
      <c r="D9750">
        <v>4</v>
      </c>
      <c r="E9750">
        <v>12</v>
      </c>
      <c r="F9750" t="s">
        <v>10018</v>
      </c>
      <c r="G9750" t="s">
        <v>10103</v>
      </c>
      <c r="H9750" s="6">
        <v>45272</v>
      </c>
      <c r="I9750">
        <f t="shared" si="304"/>
        <v>1</v>
      </c>
      <c r="J9750" t="str">
        <f t="shared" si="305"/>
        <v>Complete</v>
      </c>
      <c r="K9750">
        <f>COUNTIFS(RawData[Item], B9750,RawData[Quantity],C9750,RawData[Price Per Unit],D9750,RawData[Total Spent],E9750,RawData[Payment Method],F9750,RawData[Location],G9750,RawData[Transaction Date],H9750)</f>
        <v>1</v>
      </c>
      <c r="L9750"/>
    </row>
    <row r="9751" spans="1:12" x14ac:dyDescent="0.3">
      <c r="A9751" t="s">
        <v>9757</v>
      </c>
      <c r="B9751" t="s">
        <v>10012</v>
      </c>
      <c r="C9751">
        <v>1</v>
      </c>
      <c r="D9751">
        <v>4</v>
      </c>
      <c r="E9751">
        <v>4</v>
      </c>
      <c r="F9751" t="s">
        <v>10020</v>
      </c>
      <c r="G9751" t="s">
        <v>10069</v>
      </c>
      <c r="H9751" s="6">
        <v>45260</v>
      </c>
      <c r="I9751">
        <f t="shared" si="304"/>
        <v>0</v>
      </c>
      <c r="J9751" t="str">
        <f t="shared" si="305"/>
        <v>Complete</v>
      </c>
      <c r="K9751">
        <f>COUNTIFS(RawData[Item], B9751,RawData[Quantity],C9751,RawData[Price Per Unit],D9751,RawData[Total Spent],E9751,RawData[Payment Method],F9751,RawData[Location],G9751,RawData[Transaction Date],H9751)</f>
        <v>1</v>
      </c>
      <c r="L9751"/>
    </row>
    <row r="9752" spans="1:12" x14ac:dyDescent="0.3">
      <c r="A9752" t="s">
        <v>9758</v>
      </c>
      <c r="B9752" t="s">
        <v>10014</v>
      </c>
      <c r="C9752" t="s">
        <v>10013</v>
      </c>
      <c r="D9752">
        <v>4</v>
      </c>
      <c r="E9752">
        <v>4</v>
      </c>
      <c r="F9752" t="s">
        <v>10019</v>
      </c>
      <c r="G9752" t="s">
        <v>10021</v>
      </c>
      <c r="H9752" s="6">
        <v>45179</v>
      </c>
      <c r="I9752">
        <f t="shared" si="304"/>
        <v>1</v>
      </c>
      <c r="J9752" t="str">
        <f t="shared" si="305"/>
        <v>Complete</v>
      </c>
      <c r="K9752">
        <f>COUNTIFS(RawData[Item], B9752,RawData[Quantity],C9752,RawData[Price Per Unit],D9752,RawData[Total Spent],E9752,RawData[Payment Method],F9752,RawData[Location],G9752,RawData[Transaction Date],H9752)</f>
        <v>1</v>
      </c>
      <c r="L9752"/>
    </row>
    <row r="9753" spans="1:12" x14ac:dyDescent="0.3">
      <c r="A9753" t="s">
        <v>9759</v>
      </c>
      <c r="B9753" t="s">
        <v>10012</v>
      </c>
      <c r="C9753">
        <v>2</v>
      </c>
      <c r="D9753">
        <v>4</v>
      </c>
      <c r="E9753">
        <v>8</v>
      </c>
      <c r="F9753" t="s">
        <v>10020</v>
      </c>
      <c r="G9753" t="s">
        <v>10069</v>
      </c>
      <c r="H9753" s="6">
        <v>44977</v>
      </c>
      <c r="I9753">
        <f t="shared" si="304"/>
        <v>0</v>
      </c>
      <c r="J9753" t="str">
        <f t="shared" si="305"/>
        <v>Complete</v>
      </c>
      <c r="K9753">
        <f>COUNTIFS(RawData[Item], B9753,RawData[Quantity],C9753,RawData[Price Per Unit],D9753,RawData[Total Spent],E9753,RawData[Payment Method],F9753,RawData[Location],G9753,RawData[Transaction Date],H9753)</f>
        <v>1</v>
      </c>
      <c r="L9753"/>
    </row>
    <row r="9754" spans="1:12" x14ac:dyDescent="0.3">
      <c r="A9754" t="s">
        <v>9760</v>
      </c>
      <c r="B9754" t="s">
        <v>10013</v>
      </c>
      <c r="C9754">
        <v>1</v>
      </c>
      <c r="D9754">
        <v>2</v>
      </c>
      <c r="E9754">
        <v>2</v>
      </c>
      <c r="F9754" t="s">
        <v>10103</v>
      </c>
      <c r="G9754" t="s">
        <v>10102</v>
      </c>
      <c r="H9754" s="6">
        <v>45008</v>
      </c>
      <c r="I9754">
        <f t="shared" si="304"/>
        <v>2</v>
      </c>
      <c r="J9754" t="str">
        <f t="shared" si="305"/>
        <v>Complete</v>
      </c>
      <c r="K9754">
        <f>COUNTIFS(RawData[Item], B9754,RawData[Quantity],C9754,RawData[Price Per Unit],D9754,RawData[Total Spent],E9754,RawData[Payment Method],F9754,RawData[Location],G9754,RawData[Transaction Date],H9754)</f>
        <v>1</v>
      </c>
      <c r="L9754"/>
    </row>
    <row r="9755" spans="1:12" x14ac:dyDescent="0.3">
      <c r="A9755" t="s">
        <v>9761</v>
      </c>
      <c r="B9755" t="s">
        <v>10016</v>
      </c>
      <c r="C9755">
        <v>1</v>
      </c>
      <c r="D9755" t="s">
        <v>10015</v>
      </c>
      <c r="E9755">
        <v>3</v>
      </c>
      <c r="F9755" t="s">
        <v>10020</v>
      </c>
      <c r="G9755" t="s">
        <v>10102</v>
      </c>
      <c r="H9755" s="6">
        <v>44942</v>
      </c>
      <c r="I9755">
        <f t="shared" si="304"/>
        <v>1</v>
      </c>
      <c r="J9755" t="str">
        <f t="shared" si="305"/>
        <v>Complete</v>
      </c>
      <c r="K9755">
        <f>COUNTIFS(RawData[Item], B9755,RawData[Quantity],C9755,RawData[Price Per Unit],D9755,RawData[Total Spent],E9755,RawData[Payment Method],F9755,RawData[Location],G9755,RawData[Transaction Date],H9755)</f>
        <v>1</v>
      </c>
      <c r="L9755"/>
    </row>
    <row r="9756" spans="1:12" x14ac:dyDescent="0.3">
      <c r="A9756" t="s">
        <v>9762</v>
      </c>
      <c r="B9756" t="s">
        <v>10009</v>
      </c>
      <c r="C9756">
        <v>4</v>
      </c>
      <c r="D9756">
        <v>3</v>
      </c>
      <c r="E9756">
        <v>12</v>
      </c>
      <c r="F9756" t="s">
        <v>10020</v>
      </c>
      <c r="G9756" t="s">
        <v>10069</v>
      </c>
      <c r="H9756" s="6">
        <v>45080</v>
      </c>
      <c r="I9756">
        <f t="shared" si="304"/>
        <v>0</v>
      </c>
      <c r="J9756" t="str">
        <f t="shared" si="305"/>
        <v>Complete</v>
      </c>
      <c r="K9756">
        <f>COUNTIFS(RawData[Item], B9756,RawData[Quantity],C9756,RawData[Price Per Unit],D9756,RawData[Total Spent],E9756,RawData[Payment Method],F9756,RawData[Location],G9756,RawData[Transaction Date],H9756)</f>
        <v>1</v>
      </c>
      <c r="L9756"/>
    </row>
    <row r="9757" spans="1:12" x14ac:dyDescent="0.3">
      <c r="A9757" t="s">
        <v>9763</v>
      </c>
      <c r="B9757" t="s">
        <v>10014</v>
      </c>
      <c r="C9757">
        <v>3</v>
      </c>
      <c r="D9757" t="s">
        <v>10013</v>
      </c>
      <c r="E9757">
        <v>12</v>
      </c>
      <c r="F9757" t="s">
        <v>10069</v>
      </c>
      <c r="G9757" t="s">
        <v>10102</v>
      </c>
      <c r="H9757" s="6">
        <v>45131</v>
      </c>
      <c r="I9757">
        <f t="shared" si="304"/>
        <v>1</v>
      </c>
      <c r="J9757" t="str">
        <f t="shared" si="305"/>
        <v>Complete</v>
      </c>
      <c r="K9757">
        <f>COUNTIFS(RawData[Item], B9757,RawData[Quantity],C9757,RawData[Price Per Unit],D9757,RawData[Total Spent],E9757,RawData[Payment Method],F9757,RawData[Location],G9757,RawData[Transaction Date],H9757)</f>
        <v>1</v>
      </c>
      <c r="L9757"/>
    </row>
    <row r="9758" spans="1:12" x14ac:dyDescent="0.3">
      <c r="A9758" t="s">
        <v>9764</v>
      </c>
      <c r="B9758" t="s">
        <v>10011</v>
      </c>
      <c r="C9758">
        <v>4</v>
      </c>
      <c r="D9758">
        <v>5</v>
      </c>
      <c r="E9758">
        <v>20</v>
      </c>
      <c r="F9758" t="s">
        <v>10069</v>
      </c>
      <c r="G9758" t="s">
        <v>10102</v>
      </c>
      <c r="H9758" s="6">
        <v>45262</v>
      </c>
      <c r="I9758">
        <f t="shared" si="304"/>
        <v>0</v>
      </c>
      <c r="J9758" t="str">
        <f t="shared" si="305"/>
        <v>Complete</v>
      </c>
      <c r="K9758">
        <f>COUNTIFS(RawData[Item], B9758,RawData[Quantity],C9758,RawData[Price Per Unit],D9758,RawData[Total Spent],E9758,RawData[Payment Method],F9758,RawData[Location],G9758,RawData[Transaction Date],H9758)</f>
        <v>1</v>
      </c>
      <c r="L9758"/>
    </row>
    <row r="9759" spans="1:12" x14ac:dyDescent="0.3">
      <c r="A9759" t="s">
        <v>9765</v>
      </c>
      <c r="B9759" t="s">
        <v>10014</v>
      </c>
      <c r="C9759">
        <v>3</v>
      </c>
      <c r="D9759">
        <v>4</v>
      </c>
      <c r="E9759">
        <v>12</v>
      </c>
      <c r="F9759" t="s">
        <v>10019</v>
      </c>
      <c r="G9759" t="s">
        <v>10021</v>
      </c>
      <c r="H9759" s="6">
        <v>45094</v>
      </c>
      <c r="I9759">
        <f t="shared" si="304"/>
        <v>0</v>
      </c>
      <c r="J9759" t="str">
        <f t="shared" si="305"/>
        <v>Complete</v>
      </c>
      <c r="K9759">
        <f>COUNTIFS(RawData[Item], B9759,RawData[Quantity],C9759,RawData[Price Per Unit],D9759,RawData[Total Spent],E9759,RawData[Payment Method],F9759,RawData[Location],G9759,RawData[Transaction Date],H9759)</f>
        <v>1</v>
      </c>
      <c r="L9759"/>
    </row>
    <row r="9760" spans="1:12" x14ac:dyDescent="0.3">
      <c r="A9760" t="s">
        <v>9766</v>
      </c>
      <c r="B9760" t="s">
        <v>10014</v>
      </c>
      <c r="C9760">
        <v>4</v>
      </c>
      <c r="D9760">
        <v>4</v>
      </c>
      <c r="E9760">
        <v>16</v>
      </c>
      <c r="F9760" t="s">
        <v>10018</v>
      </c>
      <c r="G9760" t="s">
        <v>10102</v>
      </c>
      <c r="H9760" s="6" t="s">
        <v>10112</v>
      </c>
      <c r="I9760">
        <f t="shared" si="304"/>
        <v>1</v>
      </c>
      <c r="J9760" t="str">
        <f t="shared" si="305"/>
        <v>Incomplete</v>
      </c>
      <c r="K9760">
        <f>COUNTIFS(RawData[Item], B9760,RawData[Quantity],C9760,RawData[Price Per Unit],D9760,RawData[Total Spent],E9760,RawData[Payment Method],F9760,RawData[Location],G9760,RawData[Transaction Date],H9760)</f>
        <v>1</v>
      </c>
      <c r="L9760"/>
    </row>
    <row r="9761" spans="1:12" x14ac:dyDescent="0.3">
      <c r="A9761" t="s">
        <v>9767</v>
      </c>
      <c r="B9761" t="s">
        <v>10008</v>
      </c>
      <c r="C9761">
        <v>3</v>
      </c>
      <c r="D9761">
        <v>2</v>
      </c>
      <c r="E9761">
        <v>6</v>
      </c>
      <c r="F9761" t="s">
        <v>10018</v>
      </c>
      <c r="G9761" t="s">
        <v>10021</v>
      </c>
      <c r="H9761" s="6">
        <v>45286</v>
      </c>
      <c r="I9761">
        <f t="shared" si="304"/>
        <v>0</v>
      </c>
      <c r="J9761" t="str">
        <f t="shared" si="305"/>
        <v>Complete</v>
      </c>
      <c r="K9761">
        <f>COUNTIFS(RawData[Item], B9761,RawData[Quantity],C9761,RawData[Price Per Unit],D9761,RawData[Total Spent],E9761,RawData[Payment Method],F9761,RawData[Location],G9761,RawData[Transaction Date],H9761)</f>
        <v>1</v>
      </c>
      <c r="L9761"/>
    </row>
    <row r="9762" spans="1:12" x14ac:dyDescent="0.3">
      <c r="A9762" t="s">
        <v>9768</v>
      </c>
      <c r="B9762" t="s">
        <v>10016</v>
      </c>
      <c r="C9762">
        <v>4</v>
      </c>
      <c r="D9762">
        <v>3</v>
      </c>
      <c r="E9762">
        <v>12</v>
      </c>
      <c r="F9762" t="s">
        <v>10069</v>
      </c>
      <c r="G9762" t="s">
        <v>10103</v>
      </c>
      <c r="H9762" s="6">
        <v>44970</v>
      </c>
      <c r="I9762">
        <f t="shared" si="304"/>
        <v>1</v>
      </c>
      <c r="J9762" t="str">
        <f t="shared" si="305"/>
        <v>Complete</v>
      </c>
      <c r="K9762">
        <f>COUNTIFS(RawData[Item], B9762,RawData[Quantity],C9762,RawData[Price Per Unit],D9762,RawData[Total Spent],E9762,RawData[Payment Method],F9762,RawData[Location],G9762,RawData[Transaction Date],H9762)</f>
        <v>1</v>
      </c>
      <c r="L9762"/>
    </row>
    <row r="9763" spans="1:12" x14ac:dyDescent="0.3">
      <c r="A9763" t="s">
        <v>9769</v>
      </c>
      <c r="B9763" t="s">
        <v>10015</v>
      </c>
      <c r="C9763">
        <v>5</v>
      </c>
      <c r="D9763">
        <v>3</v>
      </c>
      <c r="E9763">
        <v>15</v>
      </c>
      <c r="F9763" t="s">
        <v>10020</v>
      </c>
      <c r="G9763" t="s">
        <v>10069</v>
      </c>
      <c r="H9763" s="6">
        <v>45242</v>
      </c>
      <c r="I9763">
        <f t="shared" si="304"/>
        <v>1</v>
      </c>
      <c r="J9763" t="str">
        <f t="shared" si="305"/>
        <v>Complete</v>
      </c>
      <c r="K9763">
        <f>COUNTIFS(RawData[Item], B9763,RawData[Quantity],C9763,RawData[Price Per Unit],D9763,RawData[Total Spent],E9763,RawData[Payment Method],F9763,RawData[Location],G9763,RawData[Transaction Date],H9763)</f>
        <v>1</v>
      </c>
      <c r="L9763"/>
    </row>
    <row r="9764" spans="1:12" x14ac:dyDescent="0.3">
      <c r="A9764" t="s">
        <v>9770</v>
      </c>
      <c r="B9764" t="s">
        <v>10017</v>
      </c>
      <c r="C9764">
        <v>1</v>
      </c>
      <c r="D9764">
        <v>1.5</v>
      </c>
      <c r="E9764">
        <v>1.5</v>
      </c>
      <c r="F9764" t="s">
        <v>10069</v>
      </c>
      <c r="G9764" t="s">
        <v>10102</v>
      </c>
      <c r="H9764" s="6">
        <v>45213</v>
      </c>
      <c r="I9764">
        <f t="shared" si="304"/>
        <v>0</v>
      </c>
      <c r="J9764" t="str">
        <f t="shared" si="305"/>
        <v>Complete</v>
      </c>
      <c r="K9764">
        <f>COUNTIFS(RawData[Item], B9764,RawData[Quantity],C9764,RawData[Price Per Unit],D9764,RawData[Total Spent],E9764,RawData[Payment Method],F9764,RawData[Location],G9764,RawData[Transaction Date],H9764)</f>
        <v>1</v>
      </c>
      <c r="L9764"/>
    </row>
    <row r="9765" spans="1:12" x14ac:dyDescent="0.3">
      <c r="A9765" t="s">
        <v>9771</v>
      </c>
      <c r="B9765" t="s">
        <v>10013</v>
      </c>
      <c r="C9765">
        <v>2</v>
      </c>
      <c r="D9765">
        <v>3</v>
      </c>
      <c r="E9765">
        <v>6</v>
      </c>
      <c r="F9765" t="s">
        <v>10069</v>
      </c>
      <c r="G9765" t="s">
        <v>10069</v>
      </c>
      <c r="H9765" s="6">
        <v>45153</v>
      </c>
      <c r="I9765">
        <f t="shared" si="304"/>
        <v>1</v>
      </c>
      <c r="J9765" t="str">
        <f t="shared" si="305"/>
        <v>Complete</v>
      </c>
      <c r="K9765">
        <f>COUNTIFS(RawData[Item], B9765,RawData[Quantity],C9765,RawData[Price Per Unit],D9765,RawData[Total Spent],E9765,RawData[Payment Method],F9765,RawData[Location],G9765,RawData[Transaction Date],H9765)</f>
        <v>1</v>
      </c>
      <c r="L9765"/>
    </row>
    <row r="9766" spans="1:12" x14ac:dyDescent="0.3">
      <c r="A9766" t="s">
        <v>9772</v>
      </c>
      <c r="B9766" t="s">
        <v>10013</v>
      </c>
      <c r="C9766">
        <v>3</v>
      </c>
      <c r="D9766">
        <v>0</v>
      </c>
      <c r="E9766">
        <v>9</v>
      </c>
      <c r="F9766" t="s">
        <v>10018</v>
      </c>
      <c r="G9766" t="s">
        <v>10102</v>
      </c>
      <c r="H9766" s="6" t="s">
        <v>10112</v>
      </c>
      <c r="I9766">
        <f t="shared" si="304"/>
        <v>2</v>
      </c>
      <c r="J9766" t="str">
        <f t="shared" si="305"/>
        <v>Incomplete</v>
      </c>
      <c r="K9766">
        <f>COUNTIFS(RawData[Item], B9766,RawData[Quantity],C9766,RawData[Price Per Unit],D9766,RawData[Total Spent],E9766,RawData[Payment Method],F9766,RawData[Location],G9766,RawData[Transaction Date],H9766)</f>
        <v>1</v>
      </c>
      <c r="L9766"/>
    </row>
    <row r="9767" spans="1:12" x14ac:dyDescent="0.3">
      <c r="A9767" t="s">
        <v>9773</v>
      </c>
      <c r="B9767" t="s">
        <v>10016</v>
      </c>
      <c r="C9767">
        <v>3</v>
      </c>
      <c r="D9767">
        <v>3</v>
      </c>
      <c r="E9767">
        <v>9</v>
      </c>
      <c r="F9767" t="s">
        <v>10018</v>
      </c>
      <c r="G9767" t="s">
        <v>10069</v>
      </c>
      <c r="H9767" s="6">
        <v>45089</v>
      </c>
      <c r="I9767">
        <f t="shared" si="304"/>
        <v>0</v>
      </c>
      <c r="J9767" t="str">
        <f t="shared" si="305"/>
        <v>Complete</v>
      </c>
      <c r="K9767">
        <f>COUNTIFS(RawData[Item], B9767,RawData[Quantity],C9767,RawData[Price Per Unit],D9767,RawData[Total Spent],E9767,RawData[Payment Method],F9767,RawData[Location],G9767,RawData[Transaction Date],H9767)</f>
        <v>1</v>
      </c>
      <c r="L9767"/>
    </row>
    <row r="9768" spans="1:12" x14ac:dyDescent="0.3">
      <c r="A9768" t="s">
        <v>9774</v>
      </c>
      <c r="B9768" t="s">
        <v>10017</v>
      </c>
      <c r="C9768">
        <v>5</v>
      </c>
      <c r="D9768">
        <v>1.5</v>
      </c>
      <c r="E9768">
        <v>7.5</v>
      </c>
      <c r="F9768" t="s">
        <v>10069</v>
      </c>
      <c r="G9768" t="s">
        <v>10021</v>
      </c>
      <c r="H9768" s="6" t="s">
        <v>10112</v>
      </c>
      <c r="I9768">
        <f t="shared" si="304"/>
        <v>1</v>
      </c>
      <c r="J9768" t="str">
        <f t="shared" si="305"/>
        <v>Incomplete</v>
      </c>
      <c r="K9768">
        <f>COUNTIFS(RawData[Item], B9768,RawData[Quantity],C9768,RawData[Price Per Unit],D9768,RawData[Total Spent],E9768,RawData[Payment Method],F9768,RawData[Location],G9768,RawData[Transaction Date],H9768)</f>
        <v>1</v>
      </c>
      <c r="L9768"/>
    </row>
    <row r="9769" spans="1:12" x14ac:dyDescent="0.3">
      <c r="A9769" t="s">
        <v>9775</v>
      </c>
      <c r="B9769" t="s">
        <v>10014</v>
      </c>
      <c r="C9769">
        <v>3</v>
      </c>
      <c r="D9769">
        <v>4</v>
      </c>
      <c r="E9769">
        <v>12</v>
      </c>
      <c r="F9769" t="s">
        <v>10020</v>
      </c>
      <c r="G9769" t="s">
        <v>10069</v>
      </c>
      <c r="H9769" s="6">
        <v>45134</v>
      </c>
      <c r="I9769">
        <f t="shared" si="304"/>
        <v>0</v>
      </c>
      <c r="J9769" t="str">
        <f t="shared" si="305"/>
        <v>Complete</v>
      </c>
      <c r="K9769">
        <f>COUNTIFS(RawData[Item], B9769,RawData[Quantity],C9769,RawData[Price Per Unit],D9769,RawData[Total Spent],E9769,RawData[Payment Method],F9769,RawData[Location],G9769,RawData[Transaction Date],H9769)</f>
        <v>1</v>
      </c>
      <c r="L9769"/>
    </row>
    <row r="9770" spans="1:12" x14ac:dyDescent="0.3">
      <c r="A9770" t="s">
        <v>9776</v>
      </c>
      <c r="B9770" t="s">
        <v>10069</v>
      </c>
      <c r="C9770">
        <v>3</v>
      </c>
      <c r="D9770">
        <v>1.5</v>
      </c>
      <c r="E9770">
        <v>4.5</v>
      </c>
      <c r="F9770" t="s">
        <v>10018</v>
      </c>
      <c r="G9770" t="s">
        <v>10103</v>
      </c>
      <c r="H9770" s="6">
        <v>45203</v>
      </c>
      <c r="I9770">
        <f t="shared" si="304"/>
        <v>1</v>
      </c>
      <c r="J9770" t="str">
        <f t="shared" si="305"/>
        <v>Complete</v>
      </c>
      <c r="K9770">
        <f>COUNTIFS(RawData[Item], B9770,RawData[Quantity],C9770,RawData[Price Per Unit],D9770,RawData[Total Spent],E9770,RawData[Payment Method],F9770,RawData[Location],G9770,RawData[Transaction Date],H9770)</f>
        <v>1</v>
      </c>
      <c r="L9770"/>
    </row>
    <row r="9771" spans="1:12" x14ac:dyDescent="0.3">
      <c r="A9771" t="s">
        <v>9777</v>
      </c>
      <c r="B9771" t="s">
        <v>10009</v>
      </c>
      <c r="C9771">
        <v>3</v>
      </c>
      <c r="D9771">
        <v>3</v>
      </c>
      <c r="E9771">
        <v>9</v>
      </c>
      <c r="F9771" t="s">
        <v>10069</v>
      </c>
      <c r="G9771" t="s">
        <v>10102</v>
      </c>
      <c r="H9771" s="6" t="s">
        <v>10112</v>
      </c>
      <c r="I9771">
        <f t="shared" si="304"/>
        <v>1</v>
      </c>
      <c r="J9771" t="str">
        <f t="shared" si="305"/>
        <v>Incomplete</v>
      </c>
      <c r="K9771">
        <f>COUNTIFS(RawData[Item], B9771,RawData[Quantity],C9771,RawData[Price Per Unit],D9771,RawData[Total Spent],E9771,RawData[Payment Method],F9771,RawData[Location],G9771,RawData[Transaction Date],H9771)</f>
        <v>1</v>
      </c>
      <c r="L9771"/>
    </row>
    <row r="9772" spans="1:12" x14ac:dyDescent="0.3">
      <c r="A9772" t="s">
        <v>9778</v>
      </c>
      <c r="B9772" t="s">
        <v>10014</v>
      </c>
      <c r="C9772">
        <v>1</v>
      </c>
      <c r="D9772">
        <v>4</v>
      </c>
      <c r="E9772">
        <v>4</v>
      </c>
      <c r="F9772" t="s">
        <v>10020</v>
      </c>
      <c r="G9772" t="s">
        <v>10021</v>
      </c>
      <c r="H9772" s="6">
        <v>45092</v>
      </c>
      <c r="I9772">
        <f t="shared" si="304"/>
        <v>0</v>
      </c>
      <c r="J9772" t="str">
        <f t="shared" si="305"/>
        <v>Complete</v>
      </c>
      <c r="K9772">
        <f>COUNTIFS(RawData[Item], B9772,RawData[Quantity],C9772,RawData[Price Per Unit],D9772,RawData[Total Spent],E9772,RawData[Payment Method],F9772,RawData[Location],G9772,RawData[Transaction Date],H9772)</f>
        <v>2</v>
      </c>
      <c r="L9772"/>
    </row>
    <row r="9773" spans="1:12" x14ac:dyDescent="0.3">
      <c r="A9773" t="s">
        <v>9779</v>
      </c>
      <c r="B9773" t="s">
        <v>10069</v>
      </c>
      <c r="C9773">
        <v>1</v>
      </c>
      <c r="D9773">
        <v>4</v>
      </c>
      <c r="E9773">
        <v>4</v>
      </c>
      <c r="F9773" t="s">
        <v>10019</v>
      </c>
      <c r="G9773" t="s">
        <v>10102</v>
      </c>
      <c r="H9773" s="6">
        <v>45226</v>
      </c>
      <c r="I9773">
        <f t="shared" si="304"/>
        <v>0</v>
      </c>
      <c r="J9773" t="str">
        <f t="shared" si="305"/>
        <v>Complete</v>
      </c>
      <c r="K9773">
        <f>COUNTIFS(RawData[Item], B9773,RawData[Quantity],C9773,RawData[Price Per Unit],D9773,RawData[Total Spent],E9773,RawData[Payment Method],F9773,RawData[Location],G9773,RawData[Transaction Date],H9773)</f>
        <v>1</v>
      </c>
      <c r="L9773"/>
    </row>
    <row r="9774" spans="1:12" x14ac:dyDescent="0.3">
      <c r="A9774" t="s">
        <v>9780</v>
      </c>
      <c r="B9774" t="s">
        <v>10014</v>
      </c>
      <c r="C9774">
        <v>4</v>
      </c>
      <c r="D9774">
        <v>4</v>
      </c>
      <c r="E9774">
        <v>16</v>
      </c>
      <c r="F9774" t="s">
        <v>10018</v>
      </c>
      <c r="G9774" t="s">
        <v>10069</v>
      </c>
      <c r="H9774" s="6">
        <v>45142</v>
      </c>
      <c r="I9774">
        <f t="shared" si="304"/>
        <v>0</v>
      </c>
      <c r="J9774" t="str">
        <f t="shared" si="305"/>
        <v>Complete</v>
      </c>
      <c r="K9774">
        <f>COUNTIFS(RawData[Item], B9774,RawData[Quantity],C9774,RawData[Price Per Unit],D9774,RawData[Total Spent],E9774,RawData[Payment Method],F9774,RawData[Location],G9774,RawData[Transaction Date],H9774)</f>
        <v>1</v>
      </c>
      <c r="L9774"/>
    </row>
    <row r="9775" spans="1:12" x14ac:dyDescent="0.3">
      <c r="A9775" t="s">
        <v>9781</v>
      </c>
      <c r="B9775" t="s">
        <v>10016</v>
      </c>
      <c r="C9775">
        <v>5</v>
      </c>
      <c r="D9775">
        <v>3</v>
      </c>
      <c r="E9775">
        <v>15</v>
      </c>
      <c r="F9775" t="s">
        <v>10020</v>
      </c>
      <c r="G9775" t="s">
        <v>10021</v>
      </c>
      <c r="H9775" s="6">
        <v>44943</v>
      </c>
      <c r="I9775">
        <f t="shared" si="304"/>
        <v>0</v>
      </c>
      <c r="J9775" t="str">
        <f t="shared" si="305"/>
        <v>Complete</v>
      </c>
      <c r="K9775">
        <f>COUNTIFS(RawData[Item], B9775,RawData[Quantity],C9775,RawData[Price Per Unit],D9775,RawData[Total Spent],E9775,RawData[Payment Method],F9775,RawData[Location],G9775,RawData[Transaction Date],H9775)</f>
        <v>1</v>
      </c>
      <c r="L9775"/>
    </row>
    <row r="9776" spans="1:12" x14ac:dyDescent="0.3">
      <c r="A9776" t="s">
        <v>9782</v>
      </c>
      <c r="B9776" t="s">
        <v>10011</v>
      </c>
      <c r="C9776">
        <v>2</v>
      </c>
      <c r="D9776">
        <v>5</v>
      </c>
      <c r="E9776">
        <v>10</v>
      </c>
      <c r="F9776" t="s">
        <v>10020</v>
      </c>
      <c r="G9776" t="s">
        <v>10102</v>
      </c>
      <c r="H9776" s="6">
        <v>44979</v>
      </c>
      <c r="I9776">
        <f t="shared" si="304"/>
        <v>0</v>
      </c>
      <c r="J9776" t="str">
        <f t="shared" si="305"/>
        <v>Complete</v>
      </c>
      <c r="K9776">
        <f>COUNTIFS(RawData[Item], B9776,RawData[Quantity],C9776,RawData[Price Per Unit],D9776,RawData[Total Spent],E9776,RawData[Payment Method],F9776,RawData[Location],G9776,RawData[Transaction Date],H9776)</f>
        <v>1</v>
      </c>
      <c r="L9776"/>
    </row>
    <row r="9777" spans="1:12" x14ac:dyDescent="0.3">
      <c r="A9777" t="s">
        <v>9783</v>
      </c>
      <c r="B9777" t="s">
        <v>10010</v>
      </c>
      <c r="C9777">
        <v>4</v>
      </c>
      <c r="D9777">
        <v>1</v>
      </c>
      <c r="E9777">
        <v>4</v>
      </c>
      <c r="F9777" t="s">
        <v>10020</v>
      </c>
      <c r="G9777" t="s">
        <v>10021</v>
      </c>
      <c r="H9777" s="6">
        <v>45061</v>
      </c>
      <c r="I9777">
        <f t="shared" si="304"/>
        <v>0</v>
      </c>
      <c r="J9777" t="str">
        <f t="shared" si="305"/>
        <v>Complete</v>
      </c>
      <c r="K9777">
        <f>COUNTIFS(RawData[Item], B9777,RawData[Quantity],C9777,RawData[Price Per Unit],D9777,RawData[Total Spent],E9777,RawData[Payment Method],F9777,RawData[Location],G9777,RawData[Transaction Date],H9777)</f>
        <v>1</v>
      </c>
      <c r="L9777"/>
    </row>
    <row r="9778" spans="1:12" x14ac:dyDescent="0.3">
      <c r="A9778" t="s">
        <v>9784</v>
      </c>
      <c r="B9778" t="s">
        <v>10017</v>
      </c>
      <c r="C9778">
        <v>4</v>
      </c>
      <c r="D9778">
        <v>1.5</v>
      </c>
      <c r="E9778">
        <v>6</v>
      </c>
      <c r="F9778" t="s">
        <v>10018</v>
      </c>
      <c r="G9778" t="s">
        <v>10102</v>
      </c>
      <c r="H9778" s="6">
        <v>45168</v>
      </c>
      <c r="I9778">
        <f t="shared" si="304"/>
        <v>0</v>
      </c>
      <c r="J9778" t="str">
        <f t="shared" si="305"/>
        <v>Complete</v>
      </c>
      <c r="K9778">
        <f>COUNTIFS(RawData[Item], B9778,RawData[Quantity],C9778,RawData[Price Per Unit],D9778,RawData[Total Spent],E9778,RawData[Payment Method],F9778,RawData[Location],G9778,RawData[Transaction Date],H9778)</f>
        <v>1</v>
      </c>
      <c r="L9778"/>
    </row>
    <row r="9779" spans="1:12" x14ac:dyDescent="0.3">
      <c r="A9779" t="s">
        <v>9785</v>
      </c>
      <c r="B9779" t="s">
        <v>10013</v>
      </c>
      <c r="C9779">
        <v>2</v>
      </c>
      <c r="D9779">
        <v>1.5</v>
      </c>
      <c r="E9779">
        <v>3</v>
      </c>
      <c r="F9779" t="s">
        <v>10018</v>
      </c>
      <c r="G9779" t="s">
        <v>10021</v>
      </c>
      <c r="H9779" s="6">
        <v>45140</v>
      </c>
      <c r="I9779">
        <f t="shared" si="304"/>
        <v>1</v>
      </c>
      <c r="J9779" t="str">
        <f t="shared" si="305"/>
        <v>Complete</v>
      </c>
      <c r="K9779">
        <f>COUNTIFS(RawData[Item], B9779,RawData[Quantity],C9779,RawData[Price Per Unit],D9779,RawData[Total Spent],E9779,RawData[Payment Method],F9779,RawData[Location],G9779,RawData[Transaction Date],H9779)</f>
        <v>1</v>
      </c>
      <c r="L9779"/>
    </row>
    <row r="9780" spans="1:12" x14ac:dyDescent="0.3">
      <c r="A9780" t="s">
        <v>9786</v>
      </c>
      <c r="B9780" t="s">
        <v>10009</v>
      </c>
      <c r="C9780">
        <v>4</v>
      </c>
      <c r="D9780">
        <v>3</v>
      </c>
      <c r="E9780">
        <v>12</v>
      </c>
      <c r="F9780" t="s">
        <v>10020</v>
      </c>
      <c r="G9780" t="s">
        <v>10102</v>
      </c>
      <c r="H9780" s="6">
        <v>44967</v>
      </c>
      <c r="I9780">
        <f t="shared" si="304"/>
        <v>0</v>
      </c>
      <c r="J9780" t="str">
        <f t="shared" si="305"/>
        <v>Complete</v>
      </c>
      <c r="K9780">
        <f>COUNTIFS(RawData[Item], B9780,RawData[Quantity],C9780,RawData[Price Per Unit],D9780,RawData[Total Spent],E9780,RawData[Payment Method],F9780,RawData[Location],G9780,RawData[Transaction Date],H9780)</f>
        <v>1</v>
      </c>
      <c r="L9780"/>
    </row>
    <row r="9781" spans="1:12" x14ac:dyDescent="0.3">
      <c r="A9781" t="s">
        <v>9787</v>
      </c>
      <c r="B9781" t="s">
        <v>10008</v>
      </c>
      <c r="C9781">
        <v>5</v>
      </c>
      <c r="D9781">
        <v>2</v>
      </c>
      <c r="E9781" t="s">
        <v>10013</v>
      </c>
      <c r="F9781" t="s">
        <v>10018</v>
      </c>
      <c r="G9781" t="s">
        <v>10102</v>
      </c>
      <c r="H9781" s="6">
        <v>45000</v>
      </c>
      <c r="I9781">
        <f t="shared" si="304"/>
        <v>1</v>
      </c>
      <c r="J9781" t="str">
        <f t="shared" si="305"/>
        <v>Complete</v>
      </c>
      <c r="K9781">
        <f>COUNTIFS(RawData[Item], B9781,RawData[Quantity],C9781,RawData[Price Per Unit],D9781,RawData[Total Spent],E9781,RawData[Payment Method],F9781,RawData[Location],G9781,RawData[Transaction Date],H9781)</f>
        <v>1</v>
      </c>
      <c r="L9781"/>
    </row>
    <row r="9782" spans="1:12" x14ac:dyDescent="0.3">
      <c r="A9782" t="s">
        <v>9788</v>
      </c>
      <c r="B9782" t="s">
        <v>10015</v>
      </c>
      <c r="C9782">
        <v>1</v>
      </c>
      <c r="D9782">
        <v>1</v>
      </c>
      <c r="E9782">
        <v>1</v>
      </c>
      <c r="F9782" t="s">
        <v>10069</v>
      </c>
      <c r="G9782" t="s">
        <v>10102</v>
      </c>
      <c r="H9782" s="6">
        <v>45076</v>
      </c>
      <c r="I9782">
        <f t="shared" si="304"/>
        <v>1</v>
      </c>
      <c r="J9782" t="str">
        <f t="shared" si="305"/>
        <v>Complete</v>
      </c>
      <c r="K9782">
        <f>COUNTIFS(RawData[Item], B9782,RawData[Quantity],C9782,RawData[Price Per Unit],D9782,RawData[Total Spent],E9782,RawData[Payment Method],F9782,RawData[Location],G9782,RawData[Transaction Date],H9782)</f>
        <v>1</v>
      </c>
      <c r="L9782"/>
    </row>
    <row r="9783" spans="1:12" x14ac:dyDescent="0.3">
      <c r="A9783" t="s">
        <v>9789</v>
      </c>
      <c r="B9783" t="s">
        <v>10012</v>
      </c>
      <c r="C9783">
        <v>4</v>
      </c>
      <c r="D9783">
        <v>4</v>
      </c>
      <c r="E9783">
        <v>16</v>
      </c>
      <c r="F9783" t="s">
        <v>10103</v>
      </c>
      <c r="G9783" t="s">
        <v>10021</v>
      </c>
      <c r="H9783" s="6">
        <v>45100</v>
      </c>
      <c r="I9783">
        <f t="shared" si="304"/>
        <v>1</v>
      </c>
      <c r="J9783" t="str">
        <f t="shared" si="305"/>
        <v>Complete</v>
      </c>
      <c r="K9783">
        <f>COUNTIFS(RawData[Item], B9783,RawData[Quantity],C9783,RawData[Price Per Unit],D9783,RawData[Total Spent],E9783,RawData[Payment Method],F9783,RawData[Location],G9783,RawData[Transaction Date],H9783)</f>
        <v>1</v>
      </c>
      <c r="L9783"/>
    </row>
    <row r="9784" spans="1:12" x14ac:dyDescent="0.3">
      <c r="A9784" t="s">
        <v>9790</v>
      </c>
      <c r="B9784" t="s">
        <v>10016</v>
      </c>
      <c r="C9784">
        <v>4</v>
      </c>
      <c r="D9784">
        <v>3</v>
      </c>
      <c r="E9784">
        <v>12</v>
      </c>
      <c r="F9784" t="s">
        <v>10020</v>
      </c>
      <c r="G9784" t="s">
        <v>10069</v>
      </c>
      <c r="H9784" s="6">
        <v>45219</v>
      </c>
      <c r="I9784">
        <f t="shared" si="304"/>
        <v>0</v>
      </c>
      <c r="J9784" t="str">
        <f t="shared" si="305"/>
        <v>Complete</v>
      </c>
      <c r="K9784">
        <f>COUNTIFS(RawData[Item], B9784,RawData[Quantity],C9784,RawData[Price Per Unit],D9784,RawData[Total Spent],E9784,RawData[Payment Method],F9784,RawData[Location],G9784,RawData[Transaction Date],H9784)</f>
        <v>1</v>
      </c>
      <c r="L9784"/>
    </row>
    <row r="9785" spans="1:12" x14ac:dyDescent="0.3">
      <c r="A9785" t="s">
        <v>9791</v>
      </c>
      <c r="B9785" t="s">
        <v>10009</v>
      </c>
      <c r="C9785">
        <v>1</v>
      </c>
      <c r="D9785">
        <v>3</v>
      </c>
      <c r="E9785">
        <v>3</v>
      </c>
      <c r="F9785" t="s">
        <v>10018</v>
      </c>
      <c r="G9785" t="s">
        <v>10021</v>
      </c>
      <c r="H9785" s="6">
        <v>45214</v>
      </c>
      <c r="I9785">
        <f t="shared" si="304"/>
        <v>0</v>
      </c>
      <c r="J9785" t="str">
        <f t="shared" si="305"/>
        <v>Complete</v>
      </c>
      <c r="K9785">
        <f>COUNTIFS(RawData[Item], B9785,RawData[Quantity],C9785,RawData[Price Per Unit],D9785,RawData[Total Spent],E9785,RawData[Payment Method],F9785,RawData[Location],G9785,RawData[Transaction Date],H9785)</f>
        <v>1</v>
      </c>
      <c r="L9785"/>
    </row>
    <row r="9786" spans="1:12" x14ac:dyDescent="0.3">
      <c r="A9786" t="s">
        <v>9792</v>
      </c>
      <c r="B9786" t="s">
        <v>10014</v>
      </c>
      <c r="C9786">
        <v>1</v>
      </c>
      <c r="D9786">
        <v>4</v>
      </c>
      <c r="E9786">
        <v>4</v>
      </c>
      <c r="F9786" t="s">
        <v>10069</v>
      </c>
      <c r="G9786" t="s">
        <v>10102</v>
      </c>
      <c r="H9786" s="6">
        <v>45063</v>
      </c>
      <c r="I9786">
        <f t="shared" si="304"/>
        <v>0</v>
      </c>
      <c r="J9786" t="str">
        <f t="shared" si="305"/>
        <v>Complete</v>
      </c>
      <c r="K9786">
        <f>COUNTIFS(RawData[Item], B9786,RawData[Quantity],C9786,RawData[Price Per Unit],D9786,RawData[Total Spent],E9786,RawData[Payment Method],F9786,RawData[Location],G9786,RawData[Transaction Date],H9786)</f>
        <v>1</v>
      </c>
      <c r="L9786"/>
    </row>
    <row r="9787" spans="1:12" x14ac:dyDescent="0.3">
      <c r="A9787" t="s">
        <v>9793</v>
      </c>
      <c r="B9787" t="s">
        <v>10016</v>
      </c>
      <c r="C9787">
        <v>1</v>
      </c>
      <c r="D9787">
        <v>3</v>
      </c>
      <c r="E9787">
        <v>3</v>
      </c>
      <c r="F9787" t="s">
        <v>10019</v>
      </c>
      <c r="G9787" t="s">
        <v>10069</v>
      </c>
      <c r="H9787" s="6">
        <v>45095</v>
      </c>
      <c r="I9787">
        <f t="shared" si="304"/>
        <v>0</v>
      </c>
      <c r="J9787" t="str">
        <f t="shared" si="305"/>
        <v>Complete</v>
      </c>
      <c r="K9787">
        <f>COUNTIFS(RawData[Item], B9787,RawData[Quantity],C9787,RawData[Price Per Unit],D9787,RawData[Total Spent],E9787,RawData[Payment Method],F9787,RawData[Location],G9787,RawData[Transaction Date],H9787)</f>
        <v>1</v>
      </c>
      <c r="L9787"/>
    </row>
    <row r="9788" spans="1:12" x14ac:dyDescent="0.3">
      <c r="A9788" t="s">
        <v>9794</v>
      </c>
      <c r="B9788" t="s">
        <v>10012</v>
      </c>
      <c r="C9788">
        <v>5</v>
      </c>
      <c r="D9788">
        <v>4</v>
      </c>
      <c r="E9788">
        <v>20</v>
      </c>
      <c r="F9788" t="s">
        <v>10019</v>
      </c>
      <c r="G9788" t="s">
        <v>10069</v>
      </c>
      <c r="H9788" s="6">
        <v>45281</v>
      </c>
      <c r="I9788">
        <f t="shared" si="304"/>
        <v>0</v>
      </c>
      <c r="J9788" t="str">
        <f t="shared" si="305"/>
        <v>Complete</v>
      </c>
      <c r="K9788">
        <f>COUNTIFS(RawData[Item], B9788,RawData[Quantity],C9788,RawData[Price Per Unit],D9788,RawData[Total Spent],E9788,RawData[Payment Method],F9788,RawData[Location],G9788,RawData[Transaction Date],H9788)</f>
        <v>1</v>
      </c>
      <c r="L9788"/>
    </row>
    <row r="9789" spans="1:12" x14ac:dyDescent="0.3">
      <c r="A9789" t="s">
        <v>9795</v>
      </c>
      <c r="B9789" t="s">
        <v>10008</v>
      </c>
      <c r="C9789">
        <v>4</v>
      </c>
      <c r="D9789">
        <v>2</v>
      </c>
      <c r="E9789">
        <v>8</v>
      </c>
      <c r="F9789" t="s">
        <v>10018</v>
      </c>
      <c r="G9789" t="s">
        <v>10021</v>
      </c>
      <c r="H9789" s="6">
        <v>45135</v>
      </c>
      <c r="I9789">
        <f t="shared" si="304"/>
        <v>0</v>
      </c>
      <c r="J9789" t="str">
        <f t="shared" si="305"/>
        <v>Complete</v>
      </c>
      <c r="K9789">
        <f>COUNTIFS(RawData[Item], B9789,RawData[Quantity],C9789,RawData[Price Per Unit],D9789,RawData[Total Spent],E9789,RawData[Payment Method],F9789,RawData[Location],G9789,RawData[Transaction Date],H9789)</f>
        <v>1</v>
      </c>
      <c r="L9789"/>
    </row>
    <row r="9790" spans="1:12" x14ac:dyDescent="0.3">
      <c r="A9790" t="s">
        <v>9796</v>
      </c>
      <c r="B9790" t="s">
        <v>10069</v>
      </c>
      <c r="C9790">
        <v>5</v>
      </c>
      <c r="D9790">
        <v>5</v>
      </c>
      <c r="E9790">
        <v>25</v>
      </c>
      <c r="F9790" t="s">
        <v>10020</v>
      </c>
      <c r="G9790" t="s">
        <v>10069</v>
      </c>
      <c r="H9790" s="6">
        <v>45186</v>
      </c>
      <c r="I9790">
        <f t="shared" si="304"/>
        <v>0</v>
      </c>
      <c r="J9790" t="str">
        <f t="shared" si="305"/>
        <v>Complete</v>
      </c>
      <c r="K9790">
        <f>COUNTIFS(RawData[Item], B9790,RawData[Quantity],C9790,RawData[Price Per Unit],D9790,RawData[Total Spent],E9790,RawData[Payment Method],F9790,RawData[Location],G9790,RawData[Transaction Date],H9790)</f>
        <v>1</v>
      </c>
      <c r="L9790"/>
    </row>
    <row r="9791" spans="1:12" x14ac:dyDescent="0.3">
      <c r="A9791" t="s">
        <v>9797</v>
      </c>
      <c r="B9791" t="s">
        <v>10008</v>
      </c>
      <c r="C9791">
        <v>1</v>
      </c>
      <c r="D9791">
        <v>2</v>
      </c>
      <c r="E9791">
        <v>2</v>
      </c>
      <c r="F9791" t="s">
        <v>10069</v>
      </c>
      <c r="G9791" t="s">
        <v>10069</v>
      </c>
      <c r="H9791" s="6">
        <v>45069</v>
      </c>
      <c r="I9791">
        <f t="shared" si="304"/>
        <v>0</v>
      </c>
      <c r="J9791" t="str">
        <f t="shared" si="305"/>
        <v>Complete</v>
      </c>
      <c r="K9791">
        <f>COUNTIFS(RawData[Item], B9791,RawData[Quantity],C9791,RawData[Price Per Unit],D9791,RawData[Total Spent],E9791,RawData[Payment Method],F9791,RawData[Location],G9791,RawData[Transaction Date],H9791)</f>
        <v>1</v>
      </c>
      <c r="L9791"/>
    </row>
    <row r="9792" spans="1:12" x14ac:dyDescent="0.3">
      <c r="A9792" t="s">
        <v>9798</v>
      </c>
      <c r="B9792" t="s">
        <v>10012</v>
      </c>
      <c r="C9792">
        <v>4</v>
      </c>
      <c r="D9792">
        <v>4</v>
      </c>
      <c r="E9792">
        <v>16</v>
      </c>
      <c r="F9792" t="s">
        <v>10019</v>
      </c>
      <c r="G9792" t="s">
        <v>10069</v>
      </c>
      <c r="H9792" s="6">
        <v>45188</v>
      </c>
      <c r="I9792">
        <f t="shared" si="304"/>
        <v>0</v>
      </c>
      <c r="J9792" t="str">
        <f t="shared" si="305"/>
        <v>Complete</v>
      </c>
      <c r="K9792">
        <f>COUNTIFS(RawData[Item], B9792,RawData[Quantity],C9792,RawData[Price Per Unit],D9792,RawData[Total Spent],E9792,RawData[Payment Method],F9792,RawData[Location],G9792,RawData[Transaction Date],H9792)</f>
        <v>2</v>
      </c>
      <c r="L9792"/>
    </row>
    <row r="9793" spans="1:12" x14ac:dyDescent="0.3">
      <c r="A9793" t="s">
        <v>9799</v>
      </c>
      <c r="B9793" t="s">
        <v>10011</v>
      </c>
      <c r="C9793">
        <v>5</v>
      </c>
      <c r="D9793">
        <v>5</v>
      </c>
      <c r="E9793">
        <v>25</v>
      </c>
      <c r="F9793" t="s">
        <v>10020</v>
      </c>
      <c r="G9793" t="s">
        <v>10102</v>
      </c>
      <c r="H9793" s="6">
        <v>44930</v>
      </c>
      <c r="I9793">
        <f t="shared" si="304"/>
        <v>0</v>
      </c>
      <c r="J9793" t="str">
        <f t="shared" si="305"/>
        <v>Complete</v>
      </c>
      <c r="K9793">
        <f>COUNTIFS(RawData[Item], B9793,RawData[Quantity],C9793,RawData[Price Per Unit],D9793,RawData[Total Spent],E9793,RawData[Payment Method],F9793,RawData[Location],G9793,RawData[Transaction Date],H9793)</f>
        <v>1</v>
      </c>
      <c r="L9793"/>
    </row>
    <row r="9794" spans="1:12" x14ac:dyDescent="0.3">
      <c r="A9794" t="s">
        <v>9800</v>
      </c>
      <c r="B9794" t="s">
        <v>10017</v>
      </c>
      <c r="C9794">
        <v>2</v>
      </c>
      <c r="D9794">
        <v>1.5</v>
      </c>
      <c r="E9794">
        <v>3</v>
      </c>
      <c r="F9794" t="s">
        <v>10020</v>
      </c>
      <c r="G9794" t="s">
        <v>10102</v>
      </c>
      <c r="H9794" s="6">
        <v>45206</v>
      </c>
      <c r="I9794">
        <f t="shared" ref="I9794:I9857" si="306">(B9794="Unknown")+(B9794="Error")+(C9794="Unknown")+(C9794="Error")+(D9794="Unknown")+(D9794="Error")+(E9794="Unknown")+(E9794="Error")+(F9794="Unknown")+(F9794="Error")+(G9794="Unknown")+(G9794="Error")+(H9794="No Date")</f>
        <v>0</v>
      </c>
      <c r="J9794" t="str">
        <f t="shared" ref="J9794:J9857" si="307">IF((H9794="No Date"),"Incomplete","Complete")</f>
        <v>Complete</v>
      </c>
      <c r="K9794">
        <f>COUNTIFS(RawData[Item], B9794,RawData[Quantity],C9794,RawData[Price Per Unit],D9794,RawData[Total Spent],E9794,RawData[Payment Method],F9794,RawData[Location],G9794,RawData[Transaction Date],H9794)</f>
        <v>1</v>
      </c>
      <c r="L9794"/>
    </row>
    <row r="9795" spans="1:12" x14ac:dyDescent="0.3">
      <c r="A9795" t="s">
        <v>9801</v>
      </c>
      <c r="B9795" t="s">
        <v>10010</v>
      </c>
      <c r="C9795">
        <v>2</v>
      </c>
      <c r="D9795">
        <v>1</v>
      </c>
      <c r="E9795">
        <v>2</v>
      </c>
      <c r="F9795" t="s">
        <v>10019</v>
      </c>
      <c r="G9795" t="s">
        <v>10069</v>
      </c>
      <c r="H9795" s="6">
        <v>45242</v>
      </c>
      <c r="I9795">
        <f t="shared" si="306"/>
        <v>0</v>
      </c>
      <c r="J9795" t="str">
        <f t="shared" si="307"/>
        <v>Complete</v>
      </c>
      <c r="K9795">
        <f>COUNTIFS(RawData[Item], B9795,RawData[Quantity],C9795,RawData[Price Per Unit],D9795,RawData[Total Spent],E9795,RawData[Payment Method],F9795,RawData[Location],G9795,RawData[Transaction Date],H9795)</f>
        <v>1</v>
      </c>
      <c r="L9795"/>
    </row>
    <row r="9796" spans="1:12" x14ac:dyDescent="0.3">
      <c r="A9796" t="s">
        <v>9802</v>
      </c>
      <c r="B9796" t="s">
        <v>10012</v>
      </c>
      <c r="C9796">
        <v>3</v>
      </c>
      <c r="D9796">
        <v>4</v>
      </c>
      <c r="E9796">
        <v>12</v>
      </c>
      <c r="F9796" t="s">
        <v>10020</v>
      </c>
      <c r="G9796" t="s">
        <v>10102</v>
      </c>
      <c r="H9796" s="6">
        <v>44989</v>
      </c>
      <c r="I9796">
        <f t="shared" si="306"/>
        <v>0</v>
      </c>
      <c r="J9796" t="str">
        <f t="shared" si="307"/>
        <v>Complete</v>
      </c>
      <c r="K9796">
        <f>COUNTIFS(RawData[Item], B9796,RawData[Quantity],C9796,RawData[Price Per Unit],D9796,RawData[Total Spent],E9796,RawData[Payment Method],F9796,RawData[Location],G9796,RawData[Transaction Date],H9796)</f>
        <v>1</v>
      </c>
      <c r="L9796"/>
    </row>
    <row r="9797" spans="1:12" x14ac:dyDescent="0.3">
      <c r="A9797" t="s">
        <v>9803</v>
      </c>
      <c r="B9797" t="s">
        <v>10011</v>
      </c>
      <c r="C9797">
        <v>4</v>
      </c>
      <c r="D9797">
        <v>5</v>
      </c>
      <c r="E9797">
        <v>20</v>
      </c>
      <c r="F9797" t="s">
        <v>10018</v>
      </c>
      <c r="G9797" t="s">
        <v>10021</v>
      </c>
      <c r="H9797" s="6">
        <v>45190</v>
      </c>
      <c r="I9797">
        <f t="shared" si="306"/>
        <v>0</v>
      </c>
      <c r="J9797" t="str">
        <f t="shared" si="307"/>
        <v>Complete</v>
      </c>
      <c r="K9797">
        <f>COUNTIFS(RawData[Item], B9797,RawData[Quantity],C9797,RawData[Price Per Unit],D9797,RawData[Total Spent],E9797,RawData[Payment Method],F9797,RawData[Location],G9797,RawData[Transaction Date],H9797)</f>
        <v>1</v>
      </c>
      <c r="L9797"/>
    </row>
    <row r="9798" spans="1:12" x14ac:dyDescent="0.3">
      <c r="A9798" t="s">
        <v>9804</v>
      </c>
      <c r="B9798" t="s">
        <v>10010</v>
      </c>
      <c r="C9798">
        <v>2</v>
      </c>
      <c r="D9798" t="s">
        <v>10013</v>
      </c>
      <c r="E9798">
        <v>2</v>
      </c>
      <c r="F9798" t="s">
        <v>10020</v>
      </c>
      <c r="G9798" t="s">
        <v>10102</v>
      </c>
      <c r="H9798" s="6">
        <v>44940</v>
      </c>
      <c r="I9798">
        <f t="shared" si="306"/>
        <v>1</v>
      </c>
      <c r="J9798" t="str">
        <f t="shared" si="307"/>
        <v>Complete</v>
      </c>
      <c r="K9798">
        <f>COUNTIFS(RawData[Item], B9798,RawData[Quantity],C9798,RawData[Price Per Unit],D9798,RawData[Total Spent],E9798,RawData[Payment Method],F9798,RawData[Location],G9798,RawData[Transaction Date],H9798)</f>
        <v>1</v>
      </c>
      <c r="L9798"/>
    </row>
    <row r="9799" spans="1:12" x14ac:dyDescent="0.3">
      <c r="A9799" t="s">
        <v>9805</v>
      </c>
      <c r="B9799" t="s">
        <v>10017</v>
      </c>
      <c r="C9799" t="s">
        <v>10013</v>
      </c>
      <c r="D9799">
        <v>1.5</v>
      </c>
      <c r="E9799">
        <v>7.5</v>
      </c>
      <c r="F9799" t="s">
        <v>10019</v>
      </c>
      <c r="G9799" t="s">
        <v>10069</v>
      </c>
      <c r="H9799" s="6">
        <v>45055</v>
      </c>
      <c r="I9799">
        <f t="shared" si="306"/>
        <v>1</v>
      </c>
      <c r="J9799" t="str">
        <f t="shared" si="307"/>
        <v>Complete</v>
      </c>
      <c r="K9799">
        <f>COUNTIFS(RawData[Item], B9799,RawData[Quantity],C9799,RawData[Price Per Unit],D9799,RawData[Total Spent],E9799,RawData[Payment Method],F9799,RawData[Location],G9799,RawData[Transaction Date],H9799)</f>
        <v>1</v>
      </c>
      <c r="L9799"/>
    </row>
    <row r="9800" spans="1:12" x14ac:dyDescent="0.3">
      <c r="A9800" t="s">
        <v>9806</v>
      </c>
      <c r="B9800" t="s">
        <v>10011</v>
      </c>
      <c r="C9800">
        <v>4</v>
      </c>
      <c r="D9800">
        <v>5</v>
      </c>
      <c r="E9800" t="s">
        <v>10013</v>
      </c>
      <c r="F9800" t="s">
        <v>10069</v>
      </c>
      <c r="G9800" t="s">
        <v>10102</v>
      </c>
      <c r="H9800" s="6">
        <v>45063</v>
      </c>
      <c r="I9800">
        <f t="shared" si="306"/>
        <v>1</v>
      </c>
      <c r="J9800" t="str">
        <f t="shared" si="307"/>
        <v>Complete</v>
      </c>
      <c r="K9800">
        <f>COUNTIFS(RawData[Item], B9800,RawData[Quantity],C9800,RawData[Price Per Unit],D9800,RawData[Total Spent],E9800,RawData[Payment Method],F9800,RawData[Location],G9800,RawData[Transaction Date],H9800)</f>
        <v>1</v>
      </c>
      <c r="L9800"/>
    </row>
    <row r="9801" spans="1:12" x14ac:dyDescent="0.3">
      <c r="A9801" t="s">
        <v>9807</v>
      </c>
      <c r="B9801" t="s">
        <v>10014</v>
      </c>
      <c r="C9801">
        <v>1</v>
      </c>
      <c r="D9801">
        <v>4</v>
      </c>
      <c r="E9801">
        <v>4</v>
      </c>
      <c r="F9801" t="s">
        <v>10018</v>
      </c>
      <c r="G9801" t="s">
        <v>10021</v>
      </c>
      <c r="H9801" s="6">
        <v>45220</v>
      </c>
      <c r="I9801">
        <f t="shared" si="306"/>
        <v>0</v>
      </c>
      <c r="J9801" t="str">
        <f t="shared" si="307"/>
        <v>Complete</v>
      </c>
      <c r="K9801">
        <f>COUNTIFS(RawData[Item], B9801,RawData[Quantity],C9801,RawData[Price Per Unit],D9801,RawData[Total Spent],E9801,RawData[Payment Method],F9801,RawData[Location],G9801,RawData[Transaction Date],H9801)</f>
        <v>1</v>
      </c>
      <c r="L9801"/>
    </row>
    <row r="9802" spans="1:12" x14ac:dyDescent="0.3">
      <c r="A9802" t="s">
        <v>9808</v>
      </c>
      <c r="B9802" t="s">
        <v>10008</v>
      </c>
      <c r="C9802">
        <v>1</v>
      </c>
      <c r="D9802">
        <v>2</v>
      </c>
      <c r="E9802">
        <v>2</v>
      </c>
      <c r="F9802" t="s">
        <v>10069</v>
      </c>
      <c r="G9802" t="s">
        <v>10069</v>
      </c>
      <c r="H9802" s="6">
        <v>44955</v>
      </c>
      <c r="I9802">
        <f t="shared" si="306"/>
        <v>0</v>
      </c>
      <c r="J9802" t="str">
        <f t="shared" si="307"/>
        <v>Complete</v>
      </c>
      <c r="K9802">
        <f>COUNTIFS(RawData[Item], B9802,RawData[Quantity],C9802,RawData[Price Per Unit],D9802,RawData[Total Spent],E9802,RawData[Payment Method],F9802,RawData[Location],G9802,RawData[Transaction Date],H9802)</f>
        <v>1</v>
      </c>
      <c r="L9802"/>
    </row>
    <row r="9803" spans="1:12" x14ac:dyDescent="0.3">
      <c r="A9803" t="s">
        <v>9809</v>
      </c>
      <c r="B9803" t="s">
        <v>10008</v>
      </c>
      <c r="C9803">
        <v>4</v>
      </c>
      <c r="D9803">
        <v>2</v>
      </c>
      <c r="E9803">
        <v>8</v>
      </c>
      <c r="F9803" t="s">
        <v>10019</v>
      </c>
      <c r="G9803" t="s">
        <v>10102</v>
      </c>
      <c r="H9803" s="6">
        <v>45147</v>
      </c>
      <c r="I9803">
        <f t="shared" si="306"/>
        <v>0</v>
      </c>
      <c r="J9803" t="str">
        <f t="shared" si="307"/>
        <v>Complete</v>
      </c>
      <c r="K9803">
        <f>COUNTIFS(RawData[Item], B9803,RawData[Quantity],C9803,RawData[Price Per Unit],D9803,RawData[Total Spent],E9803,RawData[Payment Method],F9803,RawData[Location],G9803,RawData[Transaction Date],H9803)</f>
        <v>1</v>
      </c>
      <c r="L9803"/>
    </row>
    <row r="9804" spans="1:12" x14ac:dyDescent="0.3">
      <c r="A9804" t="s">
        <v>9810</v>
      </c>
      <c r="B9804" t="s">
        <v>10016</v>
      </c>
      <c r="C9804">
        <v>2</v>
      </c>
      <c r="D9804">
        <v>3</v>
      </c>
      <c r="E9804">
        <v>6</v>
      </c>
      <c r="F9804" t="s">
        <v>10020</v>
      </c>
      <c r="G9804" t="s">
        <v>10069</v>
      </c>
      <c r="H9804" s="6">
        <v>45176</v>
      </c>
      <c r="I9804">
        <f t="shared" si="306"/>
        <v>0</v>
      </c>
      <c r="J9804" t="str">
        <f t="shared" si="307"/>
        <v>Complete</v>
      </c>
      <c r="K9804">
        <f>COUNTIFS(RawData[Item], B9804,RawData[Quantity],C9804,RawData[Price Per Unit],D9804,RawData[Total Spent],E9804,RawData[Payment Method],F9804,RawData[Location],G9804,RawData[Transaction Date],H9804)</f>
        <v>1</v>
      </c>
      <c r="L9804"/>
    </row>
    <row r="9805" spans="1:12" x14ac:dyDescent="0.3">
      <c r="A9805" t="s">
        <v>9811</v>
      </c>
      <c r="B9805" t="s">
        <v>10017</v>
      </c>
      <c r="C9805">
        <v>1</v>
      </c>
      <c r="D9805">
        <v>1.5</v>
      </c>
      <c r="E9805">
        <v>1.5</v>
      </c>
      <c r="F9805" t="s">
        <v>10019</v>
      </c>
      <c r="G9805" t="s">
        <v>10069</v>
      </c>
      <c r="H9805" s="6">
        <v>45079</v>
      </c>
      <c r="I9805">
        <f t="shared" si="306"/>
        <v>0</v>
      </c>
      <c r="J9805" t="str">
        <f t="shared" si="307"/>
        <v>Complete</v>
      </c>
      <c r="K9805">
        <f>COUNTIFS(RawData[Item], B9805,RawData[Quantity],C9805,RawData[Price Per Unit],D9805,RawData[Total Spent],E9805,RawData[Payment Method],F9805,RawData[Location],G9805,RawData[Transaction Date],H9805)</f>
        <v>1</v>
      </c>
      <c r="L9805"/>
    </row>
    <row r="9806" spans="1:12" x14ac:dyDescent="0.3">
      <c r="A9806" t="s">
        <v>9812</v>
      </c>
      <c r="B9806" t="s">
        <v>10011</v>
      </c>
      <c r="C9806">
        <v>2</v>
      </c>
      <c r="D9806">
        <v>5</v>
      </c>
      <c r="E9806">
        <v>10</v>
      </c>
      <c r="F9806" t="s">
        <v>10018</v>
      </c>
      <c r="G9806" t="s">
        <v>10021</v>
      </c>
      <c r="H9806" s="6">
        <v>45169</v>
      </c>
      <c r="I9806">
        <f t="shared" si="306"/>
        <v>0</v>
      </c>
      <c r="J9806" t="str">
        <f t="shared" si="307"/>
        <v>Complete</v>
      </c>
      <c r="K9806">
        <f>COUNTIFS(RawData[Item], B9806,RawData[Quantity],C9806,RawData[Price Per Unit],D9806,RawData[Total Spent],E9806,RawData[Payment Method],F9806,RawData[Location],G9806,RawData[Transaction Date],H9806)</f>
        <v>1</v>
      </c>
      <c r="L9806"/>
    </row>
    <row r="9807" spans="1:12" x14ac:dyDescent="0.3">
      <c r="A9807" t="s">
        <v>9813</v>
      </c>
      <c r="B9807" t="s">
        <v>10011</v>
      </c>
      <c r="C9807">
        <v>5</v>
      </c>
      <c r="D9807">
        <v>5</v>
      </c>
      <c r="E9807">
        <v>25</v>
      </c>
      <c r="F9807" t="s">
        <v>10069</v>
      </c>
      <c r="G9807" t="s">
        <v>10069</v>
      </c>
      <c r="H9807" s="6">
        <v>44943</v>
      </c>
      <c r="I9807">
        <f t="shared" si="306"/>
        <v>0</v>
      </c>
      <c r="J9807" t="str">
        <f t="shared" si="307"/>
        <v>Complete</v>
      </c>
      <c r="K9807">
        <f>COUNTIFS(RawData[Item], B9807,RawData[Quantity],C9807,RawData[Price Per Unit],D9807,RawData[Total Spent],E9807,RawData[Payment Method],F9807,RawData[Location],G9807,RawData[Transaction Date],H9807)</f>
        <v>1</v>
      </c>
      <c r="L9807"/>
    </row>
    <row r="9808" spans="1:12" x14ac:dyDescent="0.3">
      <c r="A9808" t="s">
        <v>9814</v>
      </c>
      <c r="B9808" t="s">
        <v>10017</v>
      </c>
      <c r="C9808">
        <v>4</v>
      </c>
      <c r="D9808">
        <v>1.5</v>
      </c>
      <c r="E9808">
        <v>6</v>
      </c>
      <c r="F9808" t="s">
        <v>10019</v>
      </c>
      <c r="G9808" t="s">
        <v>10102</v>
      </c>
      <c r="H9808" s="6">
        <v>45033</v>
      </c>
      <c r="I9808">
        <f t="shared" si="306"/>
        <v>0</v>
      </c>
      <c r="J9808" t="str">
        <f t="shared" si="307"/>
        <v>Complete</v>
      </c>
      <c r="K9808">
        <f>COUNTIFS(RawData[Item], B9808,RawData[Quantity],C9808,RawData[Price Per Unit],D9808,RawData[Total Spent],E9808,RawData[Payment Method],F9808,RawData[Location],G9808,RawData[Transaction Date],H9808)</f>
        <v>1</v>
      </c>
      <c r="L9808"/>
    </row>
    <row r="9809" spans="1:12" x14ac:dyDescent="0.3">
      <c r="A9809" t="s">
        <v>9815</v>
      </c>
      <c r="B9809" t="s">
        <v>10012</v>
      </c>
      <c r="C9809">
        <v>2</v>
      </c>
      <c r="D9809">
        <v>4</v>
      </c>
      <c r="E9809">
        <v>8</v>
      </c>
      <c r="F9809" t="s">
        <v>10069</v>
      </c>
      <c r="G9809" t="s">
        <v>10069</v>
      </c>
      <c r="H9809" s="6">
        <v>44985</v>
      </c>
      <c r="I9809">
        <f t="shared" si="306"/>
        <v>0</v>
      </c>
      <c r="J9809" t="str">
        <f t="shared" si="307"/>
        <v>Complete</v>
      </c>
      <c r="K9809">
        <f>COUNTIFS(RawData[Item], B9809,RawData[Quantity],C9809,RawData[Price Per Unit],D9809,RawData[Total Spent],E9809,RawData[Payment Method],F9809,RawData[Location],G9809,RawData[Transaction Date],H9809)</f>
        <v>1</v>
      </c>
      <c r="L9809"/>
    </row>
    <row r="9810" spans="1:12" x14ac:dyDescent="0.3">
      <c r="A9810" t="s">
        <v>9816</v>
      </c>
      <c r="B9810" t="s">
        <v>10009</v>
      </c>
      <c r="C9810">
        <v>4</v>
      </c>
      <c r="D9810">
        <v>3</v>
      </c>
      <c r="E9810">
        <v>12</v>
      </c>
      <c r="F9810" t="s">
        <v>10018</v>
      </c>
      <c r="G9810" t="s">
        <v>10069</v>
      </c>
      <c r="H9810" s="6">
        <v>45098</v>
      </c>
      <c r="I9810">
        <f t="shared" si="306"/>
        <v>0</v>
      </c>
      <c r="J9810" t="str">
        <f t="shared" si="307"/>
        <v>Complete</v>
      </c>
      <c r="K9810">
        <f>COUNTIFS(RawData[Item], B9810,RawData[Quantity],C9810,RawData[Price Per Unit],D9810,RawData[Total Spent],E9810,RawData[Payment Method],F9810,RawData[Location],G9810,RawData[Transaction Date],H9810)</f>
        <v>1</v>
      </c>
      <c r="L9810"/>
    </row>
    <row r="9811" spans="1:12" x14ac:dyDescent="0.3">
      <c r="A9811" t="s">
        <v>9817</v>
      </c>
      <c r="B9811" t="s">
        <v>10008</v>
      </c>
      <c r="C9811">
        <v>4</v>
      </c>
      <c r="D9811">
        <v>2</v>
      </c>
      <c r="E9811">
        <v>8</v>
      </c>
      <c r="F9811" t="s">
        <v>10069</v>
      </c>
      <c r="G9811" t="s">
        <v>10102</v>
      </c>
      <c r="H9811" s="6">
        <v>45290</v>
      </c>
      <c r="I9811">
        <f t="shared" si="306"/>
        <v>0</v>
      </c>
      <c r="J9811" t="str">
        <f t="shared" si="307"/>
        <v>Complete</v>
      </c>
      <c r="K9811">
        <f>COUNTIFS(RawData[Item], B9811,RawData[Quantity],C9811,RawData[Price Per Unit],D9811,RawData[Total Spent],E9811,RawData[Payment Method],F9811,RawData[Location],G9811,RawData[Transaction Date],H9811)</f>
        <v>1</v>
      </c>
      <c r="L9811"/>
    </row>
    <row r="9812" spans="1:12" x14ac:dyDescent="0.3">
      <c r="A9812" t="s">
        <v>9818</v>
      </c>
      <c r="B9812" t="s">
        <v>10011</v>
      </c>
      <c r="C9812">
        <v>4</v>
      </c>
      <c r="D9812">
        <v>5</v>
      </c>
      <c r="E9812">
        <v>20</v>
      </c>
      <c r="F9812" t="s">
        <v>10020</v>
      </c>
      <c r="G9812" t="s">
        <v>10102</v>
      </c>
      <c r="H9812" s="6">
        <v>45257</v>
      </c>
      <c r="I9812">
        <f t="shared" si="306"/>
        <v>0</v>
      </c>
      <c r="J9812" t="str">
        <f t="shared" si="307"/>
        <v>Complete</v>
      </c>
      <c r="K9812">
        <f>COUNTIFS(RawData[Item], B9812,RawData[Quantity],C9812,RawData[Price Per Unit],D9812,RawData[Total Spent],E9812,RawData[Payment Method],F9812,RawData[Location],G9812,RawData[Transaction Date],H9812)</f>
        <v>1</v>
      </c>
      <c r="L9812"/>
    </row>
    <row r="9813" spans="1:12" x14ac:dyDescent="0.3">
      <c r="A9813" t="s">
        <v>9819</v>
      </c>
      <c r="B9813" t="s">
        <v>10017</v>
      </c>
      <c r="C9813">
        <v>2</v>
      </c>
      <c r="D9813">
        <v>1.5</v>
      </c>
      <c r="E9813">
        <v>3</v>
      </c>
      <c r="F9813" t="s">
        <v>10069</v>
      </c>
      <c r="G9813" t="s">
        <v>10069</v>
      </c>
      <c r="H9813" s="6">
        <v>45028</v>
      </c>
      <c r="I9813">
        <f t="shared" si="306"/>
        <v>0</v>
      </c>
      <c r="J9813" t="str">
        <f t="shared" si="307"/>
        <v>Complete</v>
      </c>
      <c r="K9813">
        <f>COUNTIFS(RawData[Item], B9813,RawData[Quantity],C9813,RawData[Price Per Unit],D9813,RawData[Total Spent],E9813,RawData[Payment Method],F9813,RawData[Location],G9813,RawData[Transaction Date],H9813)</f>
        <v>1</v>
      </c>
      <c r="L9813"/>
    </row>
    <row r="9814" spans="1:12" x14ac:dyDescent="0.3">
      <c r="A9814" t="s">
        <v>9820</v>
      </c>
      <c r="B9814" t="s">
        <v>10016</v>
      </c>
      <c r="C9814">
        <v>4</v>
      </c>
      <c r="D9814">
        <v>3</v>
      </c>
      <c r="E9814">
        <v>12</v>
      </c>
      <c r="F9814" t="s">
        <v>10018</v>
      </c>
      <c r="G9814" t="s">
        <v>10069</v>
      </c>
      <c r="H9814" s="6">
        <v>45145</v>
      </c>
      <c r="I9814">
        <f t="shared" si="306"/>
        <v>0</v>
      </c>
      <c r="J9814" t="str">
        <f t="shared" si="307"/>
        <v>Complete</v>
      </c>
      <c r="K9814">
        <f>COUNTIFS(RawData[Item], B9814,RawData[Quantity],C9814,RawData[Price Per Unit],D9814,RawData[Total Spent],E9814,RawData[Payment Method],F9814,RawData[Location],G9814,RawData[Transaction Date],H9814)</f>
        <v>1</v>
      </c>
      <c r="L9814"/>
    </row>
    <row r="9815" spans="1:12" x14ac:dyDescent="0.3">
      <c r="A9815" t="s">
        <v>9821</v>
      </c>
      <c r="B9815" t="s">
        <v>10016</v>
      </c>
      <c r="C9815">
        <v>3</v>
      </c>
      <c r="D9815">
        <v>3</v>
      </c>
      <c r="E9815">
        <v>9</v>
      </c>
      <c r="F9815" t="s">
        <v>10019</v>
      </c>
      <c r="G9815" t="s">
        <v>10069</v>
      </c>
      <c r="H9815" s="6">
        <v>45253</v>
      </c>
      <c r="I9815">
        <f t="shared" si="306"/>
        <v>0</v>
      </c>
      <c r="J9815" t="str">
        <f t="shared" si="307"/>
        <v>Complete</v>
      </c>
      <c r="K9815">
        <f>COUNTIFS(RawData[Item], B9815,RawData[Quantity],C9815,RawData[Price Per Unit],D9815,RawData[Total Spent],E9815,RawData[Payment Method],F9815,RawData[Location],G9815,RawData[Transaction Date],H9815)</f>
        <v>1</v>
      </c>
      <c r="L9815"/>
    </row>
    <row r="9816" spans="1:12" x14ac:dyDescent="0.3">
      <c r="A9816" t="s">
        <v>9822</v>
      </c>
      <c r="B9816" t="s">
        <v>10017</v>
      </c>
      <c r="C9816">
        <v>3</v>
      </c>
      <c r="D9816">
        <v>1.5</v>
      </c>
      <c r="E9816">
        <v>4.5</v>
      </c>
      <c r="F9816" t="s">
        <v>10019</v>
      </c>
      <c r="G9816" t="s">
        <v>10069</v>
      </c>
      <c r="H9816" s="6">
        <v>44947</v>
      </c>
      <c r="I9816">
        <f t="shared" si="306"/>
        <v>0</v>
      </c>
      <c r="J9816" t="str">
        <f t="shared" si="307"/>
        <v>Complete</v>
      </c>
      <c r="K9816">
        <f>COUNTIFS(RawData[Item], B9816,RawData[Quantity],C9816,RawData[Price Per Unit],D9816,RawData[Total Spent],E9816,RawData[Payment Method],F9816,RawData[Location],G9816,RawData[Transaction Date],H9816)</f>
        <v>1</v>
      </c>
      <c r="L9816"/>
    </row>
    <row r="9817" spans="1:12" x14ac:dyDescent="0.3">
      <c r="A9817" t="s">
        <v>9823</v>
      </c>
      <c r="B9817" t="s">
        <v>10008</v>
      </c>
      <c r="C9817">
        <v>3</v>
      </c>
      <c r="D9817">
        <v>2</v>
      </c>
      <c r="E9817">
        <v>6</v>
      </c>
      <c r="F9817" t="s">
        <v>10069</v>
      </c>
      <c r="G9817" t="s">
        <v>10021</v>
      </c>
      <c r="H9817" s="6">
        <v>45033</v>
      </c>
      <c r="I9817">
        <f t="shared" si="306"/>
        <v>0</v>
      </c>
      <c r="J9817" t="str">
        <f t="shared" si="307"/>
        <v>Complete</v>
      </c>
      <c r="K9817">
        <f>COUNTIFS(RawData[Item], B9817,RawData[Quantity],C9817,RawData[Price Per Unit],D9817,RawData[Total Spent],E9817,RawData[Payment Method],F9817,RawData[Location],G9817,RawData[Transaction Date],H9817)</f>
        <v>1</v>
      </c>
      <c r="L9817"/>
    </row>
    <row r="9818" spans="1:12" x14ac:dyDescent="0.3">
      <c r="A9818" t="s">
        <v>9824</v>
      </c>
      <c r="B9818" t="s">
        <v>10012</v>
      </c>
      <c r="C9818">
        <v>2</v>
      </c>
      <c r="D9818">
        <v>4</v>
      </c>
      <c r="E9818">
        <v>8</v>
      </c>
      <c r="F9818" t="s">
        <v>10018</v>
      </c>
      <c r="G9818" t="s">
        <v>10021</v>
      </c>
      <c r="H9818" s="6">
        <v>44961</v>
      </c>
      <c r="I9818">
        <f t="shared" si="306"/>
        <v>0</v>
      </c>
      <c r="J9818" t="str">
        <f t="shared" si="307"/>
        <v>Complete</v>
      </c>
      <c r="K9818">
        <f>COUNTIFS(RawData[Item], B9818,RawData[Quantity],C9818,RawData[Price Per Unit],D9818,RawData[Total Spent],E9818,RawData[Payment Method],F9818,RawData[Location],G9818,RawData[Transaction Date],H9818)</f>
        <v>1</v>
      </c>
      <c r="L9818"/>
    </row>
    <row r="9819" spans="1:12" x14ac:dyDescent="0.3">
      <c r="A9819" t="s">
        <v>9825</v>
      </c>
      <c r="B9819" t="s">
        <v>10017</v>
      </c>
      <c r="C9819">
        <v>3</v>
      </c>
      <c r="D9819">
        <v>1.5</v>
      </c>
      <c r="E9819">
        <v>4.5</v>
      </c>
      <c r="F9819" t="s">
        <v>10020</v>
      </c>
      <c r="G9819" t="s">
        <v>10069</v>
      </c>
      <c r="H9819" s="6">
        <v>45141</v>
      </c>
      <c r="I9819">
        <f t="shared" si="306"/>
        <v>0</v>
      </c>
      <c r="J9819" t="str">
        <f t="shared" si="307"/>
        <v>Complete</v>
      </c>
      <c r="K9819">
        <f>COUNTIFS(RawData[Item], B9819,RawData[Quantity],C9819,RawData[Price Per Unit],D9819,RawData[Total Spent],E9819,RawData[Payment Method],F9819,RawData[Location],G9819,RawData[Transaction Date],H9819)</f>
        <v>1</v>
      </c>
      <c r="L9819"/>
    </row>
    <row r="9820" spans="1:12" x14ac:dyDescent="0.3">
      <c r="A9820" t="s">
        <v>9826</v>
      </c>
      <c r="B9820" t="s">
        <v>10012</v>
      </c>
      <c r="C9820">
        <v>1</v>
      </c>
      <c r="D9820">
        <v>4</v>
      </c>
      <c r="E9820">
        <v>4</v>
      </c>
      <c r="F9820" t="s">
        <v>10020</v>
      </c>
      <c r="G9820" t="s">
        <v>10021</v>
      </c>
      <c r="H9820" s="6">
        <v>45028</v>
      </c>
      <c r="I9820">
        <f t="shared" si="306"/>
        <v>0</v>
      </c>
      <c r="J9820" t="str">
        <f t="shared" si="307"/>
        <v>Complete</v>
      </c>
      <c r="K9820">
        <f>COUNTIFS(RawData[Item], B9820,RawData[Quantity],C9820,RawData[Price Per Unit],D9820,RawData[Total Spent],E9820,RawData[Payment Method],F9820,RawData[Location],G9820,RawData[Transaction Date],H9820)</f>
        <v>1</v>
      </c>
      <c r="L9820"/>
    </row>
    <row r="9821" spans="1:12" x14ac:dyDescent="0.3">
      <c r="A9821" t="s">
        <v>9827</v>
      </c>
      <c r="B9821" t="s">
        <v>10069</v>
      </c>
      <c r="C9821" t="s">
        <v>10015</v>
      </c>
      <c r="D9821">
        <v>0</v>
      </c>
      <c r="E9821">
        <v>20</v>
      </c>
      <c r="F9821" t="s">
        <v>10018</v>
      </c>
      <c r="G9821" t="s">
        <v>10069</v>
      </c>
      <c r="H9821" s="6">
        <v>45157</v>
      </c>
      <c r="I9821">
        <f t="shared" si="306"/>
        <v>1</v>
      </c>
      <c r="J9821" t="str">
        <f t="shared" si="307"/>
        <v>Complete</v>
      </c>
      <c r="K9821">
        <f>COUNTIFS(RawData[Item], B9821,RawData[Quantity],C9821,RawData[Price Per Unit],D9821,RawData[Total Spent],E9821,RawData[Payment Method],F9821,RawData[Location],G9821,RawData[Transaction Date],H9821)</f>
        <v>1</v>
      </c>
      <c r="L9821"/>
    </row>
    <row r="9822" spans="1:12" x14ac:dyDescent="0.3">
      <c r="A9822" t="s">
        <v>9828</v>
      </c>
      <c r="B9822" t="s">
        <v>10069</v>
      </c>
      <c r="C9822">
        <v>5</v>
      </c>
      <c r="D9822">
        <v>0</v>
      </c>
      <c r="E9822">
        <v>15</v>
      </c>
      <c r="F9822" t="s">
        <v>10019</v>
      </c>
      <c r="G9822" t="s">
        <v>10069</v>
      </c>
      <c r="H9822" s="6">
        <v>44970</v>
      </c>
      <c r="I9822">
        <f t="shared" si="306"/>
        <v>0</v>
      </c>
      <c r="J9822" t="str">
        <f t="shared" si="307"/>
        <v>Complete</v>
      </c>
      <c r="K9822">
        <f>COUNTIFS(RawData[Item], B9822,RawData[Quantity],C9822,RawData[Price Per Unit],D9822,RawData[Total Spent],E9822,RawData[Payment Method],F9822,RawData[Location],G9822,RawData[Transaction Date],H9822)</f>
        <v>1</v>
      </c>
      <c r="L9822"/>
    </row>
    <row r="9823" spans="1:12" x14ac:dyDescent="0.3">
      <c r="A9823" t="s">
        <v>9829</v>
      </c>
      <c r="B9823" t="s">
        <v>10009</v>
      </c>
      <c r="C9823">
        <v>5</v>
      </c>
      <c r="D9823">
        <v>3</v>
      </c>
      <c r="E9823">
        <v>15</v>
      </c>
      <c r="F9823" t="s">
        <v>10019</v>
      </c>
      <c r="G9823" t="s">
        <v>10102</v>
      </c>
      <c r="H9823" s="6">
        <v>45057</v>
      </c>
      <c r="I9823">
        <f t="shared" si="306"/>
        <v>0</v>
      </c>
      <c r="J9823" t="str">
        <f t="shared" si="307"/>
        <v>Complete</v>
      </c>
      <c r="K9823">
        <f>COUNTIFS(RawData[Item], B9823,RawData[Quantity],C9823,RawData[Price Per Unit],D9823,RawData[Total Spent],E9823,RawData[Payment Method],F9823,RawData[Location],G9823,RawData[Transaction Date],H9823)</f>
        <v>1</v>
      </c>
      <c r="L9823"/>
    </row>
    <row r="9824" spans="1:12" x14ac:dyDescent="0.3">
      <c r="A9824" t="s">
        <v>9830</v>
      </c>
      <c r="B9824" t="s">
        <v>10010</v>
      </c>
      <c r="C9824">
        <v>1</v>
      </c>
      <c r="D9824">
        <v>1</v>
      </c>
      <c r="E9824">
        <v>1</v>
      </c>
      <c r="F9824" t="s">
        <v>10104</v>
      </c>
      <c r="G9824" t="s">
        <v>10069</v>
      </c>
      <c r="H9824" s="6">
        <v>44973</v>
      </c>
      <c r="I9824">
        <f t="shared" si="306"/>
        <v>1</v>
      </c>
      <c r="J9824" t="str">
        <f t="shared" si="307"/>
        <v>Complete</v>
      </c>
      <c r="K9824">
        <f>COUNTIFS(RawData[Item], B9824,RawData[Quantity],C9824,RawData[Price Per Unit],D9824,RawData[Total Spent],E9824,RawData[Payment Method],F9824,RawData[Location],G9824,RawData[Transaction Date],H9824)</f>
        <v>1</v>
      </c>
      <c r="L9824"/>
    </row>
    <row r="9825" spans="1:12" x14ac:dyDescent="0.3">
      <c r="A9825" t="s">
        <v>9831</v>
      </c>
      <c r="B9825" t="s">
        <v>10017</v>
      </c>
      <c r="C9825">
        <v>2</v>
      </c>
      <c r="D9825">
        <v>1.5</v>
      </c>
      <c r="E9825">
        <v>3</v>
      </c>
      <c r="F9825" t="s">
        <v>10020</v>
      </c>
      <c r="G9825" t="s">
        <v>10021</v>
      </c>
      <c r="H9825" s="6">
        <v>45290</v>
      </c>
      <c r="I9825">
        <f t="shared" si="306"/>
        <v>0</v>
      </c>
      <c r="J9825" t="str">
        <f t="shared" si="307"/>
        <v>Complete</v>
      </c>
      <c r="K9825">
        <f>COUNTIFS(RawData[Item], B9825,RawData[Quantity],C9825,RawData[Price Per Unit],D9825,RawData[Total Spent],E9825,RawData[Payment Method],F9825,RawData[Location],G9825,RawData[Transaction Date],H9825)</f>
        <v>1</v>
      </c>
      <c r="L9825"/>
    </row>
    <row r="9826" spans="1:12" x14ac:dyDescent="0.3">
      <c r="A9826" t="s">
        <v>9832</v>
      </c>
      <c r="B9826" t="s">
        <v>10012</v>
      </c>
      <c r="C9826">
        <v>4</v>
      </c>
      <c r="D9826">
        <v>4</v>
      </c>
      <c r="E9826">
        <v>16</v>
      </c>
      <c r="F9826" t="s">
        <v>10018</v>
      </c>
      <c r="G9826" t="s">
        <v>10102</v>
      </c>
      <c r="H9826" s="6">
        <v>45038</v>
      </c>
      <c r="I9826">
        <f t="shared" si="306"/>
        <v>0</v>
      </c>
      <c r="J9826" t="str">
        <f t="shared" si="307"/>
        <v>Complete</v>
      </c>
      <c r="K9826">
        <f>COUNTIFS(RawData[Item], B9826,RawData[Quantity],C9826,RawData[Price Per Unit],D9826,RawData[Total Spent],E9826,RawData[Payment Method],F9826,RawData[Location],G9826,RawData[Transaction Date],H9826)</f>
        <v>1</v>
      </c>
      <c r="L9826"/>
    </row>
    <row r="9827" spans="1:12" x14ac:dyDescent="0.3">
      <c r="A9827" t="s">
        <v>9833</v>
      </c>
      <c r="B9827" t="s">
        <v>10011</v>
      </c>
      <c r="C9827">
        <v>1</v>
      </c>
      <c r="D9827">
        <v>5</v>
      </c>
      <c r="E9827">
        <v>5</v>
      </c>
      <c r="F9827" t="s">
        <v>10019</v>
      </c>
      <c r="G9827" t="s">
        <v>10102</v>
      </c>
      <c r="H9827" s="6">
        <v>44947</v>
      </c>
      <c r="I9827">
        <f t="shared" si="306"/>
        <v>0</v>
      </c>
      <c r="J9827" t="str">
        <f t="shared" si="307"/>
        <v>Complete</v>
      </c>
      <c r="K9827">
        <f>COUNTIFS(RawData[Item], B9827,RawData[Quantity],C9827,RawData[Price Per Unit],D9827,RawData[Total Spent],E9827,RawData[Payment Method],F9827,RawData[Location],G9827,RawData[Transaction Date],H9827)</f>
        <v>1</v>
      </c>
      <c r="L9827"/>
    </row>
    <row r="9828" spans="1:12" x14ac:dyDescent="0.3">
      <c r="A9828" t="s">
        <v>9834</v>
      </c>
      <c r="B9828" t="s">
        <v>10016</v>
      </c>
      <c r="C9828">
        <v>2</v>
      </c>
      <c r="D9828">
        <v>3</v>
      </c>
      <c r="E9828">
        <v>6</v>
      </c>
      <c r="F9828" t="s">
        <v>10020</v>
      </c>
      <c r="G9828" t="s">
        <v>10069</v>
      </c>
      <c r="H9828" s="6">
        <v>45178</v>
      </c>
      <c r="I9828">
        <f t="shared" si="306"/>
        <v>0</v>
      </c>
      <c r="J9828" t="str">
        <f t="shared" si="307"/>
        <v>Complete</v>
      </c>
      <c r="K9828">
        <f>COUNTIFS(RawData[Item], B9828,RawData[Quantity],C9828,RawData[Price Per Unit],D9828,RawData[Total Spent],E9828,RawData[Payment Method],F9828,RawData[Location],G9828,RawData[Transaction Date],H9828)</f>
        <v>1</v>
      </c>
      <c r="L9828"/>
    </row>
    <row r="9829" spans="1:12" x14ac:dyDescent="0.3">
      <c r="A9829" t="s">
        <v>9835</v>
      </c>
      <c r="B9829" t="s">
        <v>10008</v>
      </c>
      <c r="C9829">
        <v>1</v>
      </c>
      <c r="D9829">
        <v>2</v>
      </c>
      <c r="E9829">
        <v>0</v>
      </c>
      <c r="F9829" t="s">
        <v>10020</v>
      </c>
      <c r="G9829" t="s">
        <v>10021</v>
      </c>
      <c r="H9829" s="6">
        <v>44932</v>
      </c>
      <c r="I9829">
        <f t="shared" si="306"/>
        <v>0</v>
      </c>
      <c r="J9829" t="str">
        <f t="shared" si="307"/>
        <v>Complete</v>
      </c>
      <c r="K9829">
        <f>COUNTIFS(RawData[Item], B9829,RawData[Quantity],C9829,RawData[Price Per Unit],D9829,RawData[Total Spent],E9829,RawData[Payment Method],F9829,RawData[Location],G9829,RawData[Transaction Date],H9829)</f>
        <v>1</v>
      </c>
      <c r="L9829"/>
    </row>
    <row r="9830" spans="1:12" x14ac:dyDescent="0.3">
      <c r="A9830" t="s">
        <v>9836</v>
      </c>
      <c r="B9830" t="s">
        <v>10016</v>
      </c>
      <c r="C9830">
        <v>5</v>
      </c>
      <c r="D9830">
        <v>3</v>
      </c>
      <c r="E9830">
        <v>15</v>
      </c>
      <c r="F9830" t="s">
        <v>10020</v>
      </c>
      <c r="G9830" t="s">
        <v>10102</v>
      </c>
      <c r="H9830" s="6">
        <v>45070</v>
      </c>
      <c r="I9830">
        <f t="shared" si="306"/>
        <v>0</v>
      </c>
      <c r="J9830" t="str">
        <f t="shared" si="307"/>
        <v>Complete</v>
      </c>
      <c r="K9830">
        <f>COUNTIFS(RawData[Item], B9830,RawData[Quantity],C9830,RawData[Price Per Unit],D9830,RawData[Total Spent],E9830,RawData[Payment Method],F9830,RawData[Location],G9830,RawData[Transaction Date],H9830)</f>
        <v>1</v>
      </c>
      <c r="L9830"/>
    </row>
    <row r="9831" spans="1:12" x14ac:dyDescent="0.3">
      <c r="A9831" t="s">
        <v>9837</v>
      </c>
      <c r="B9831" t="s">
        <v>10010</v>
      </c>
      <c r="C9831">
        <v>5</v>
      </c>
      <c r="D9831">
        <v>1</v>
      </c>
      <c r="E9831">
        <v>5</v>
      </c>
      <c r="F9831" t="s">
        <v>10104</v>
      </c>
      <c r="G9831" t="s">
        <v>10069</v>
      </c>
      <c r="H9831" s="6">
        <v>45040</v>
      </c>
      <c r="I9831">
        <f t="shared" si="306"/>
        <v>1</v>
      </c>
      <c r="J9831" t="str">
        <f t="shared" si="307"/>
        <v>Complete</v>
      </c>
      <c r="K9831">
        <f>COUNTIFS(RawData[Item], B9831,RawData[Quantity],C9831,RawData[Price Per Unit],D9831,RawData[Total Spent],E9831,RawData[Payment Method],F9831,RawData[Location],G9831,RawData[Transaction Date],H9831)</f>
        <v>1</v>
      </c>
      <c r="L9831"/>
    </row>
    <row r="9832" spans="1:12" x14ac:dyDescent="0.3">
      <c r="A9832" t="s">
        <v>9838</v>
      </c>
      <c r="B9832" t="s">
        <v>10010</v>
      </c>
      <c r="C9832">
        <v>2</v>
      </c>
      <c r="D9832">
        <v>1</v>
      </c>
      <c r="E9832">
        <v>2</v>
      </c>
      <c r="F9832" t="s">
        <v>10020</v>
      </c>
      <c r="G9832" t="s">
        <v>10021</v>
      </c>
      <c r="H9832" s="6">
        <v>45178</v>
      </c>
      <c r="I9832">
        <f t="shared" si="306"/>
        <v>0</v>
      </c>
      <c r="J9832" t="str">
        <f t="shared" si="307"/>
        <v>Complete</v>
      </c>
      <c r="K9832">
        <f>COUNTIFS(RawData[Item], B9832,RawData[Quantity],C9832,RawData[Price Per Unit],D9832,RawData[Total Spent],E9832,RawData[Payment Method],F9832,RawData[Location],G9832,RawData[Transaction Date],H9832)</f>
        <v>1</v>
      </c>
      <c r="L9832"/>
    </row>
    <row r="9833" spans="1:12" x14ac:dyDescent="0.3">
      <c r="A9833" t="s">
        <v>9839</v>
      </c>
      <c r="B9833" t="s">
        <v>10012</v>
      </c>
      <c r="C9833">
        <v>3</v>
      </c>
      <c r="D9833">
        <v>4</v>
      </c>
      <c r="E9833">
        <v>12</v>
      </c>
      <c r="F9833" t="s">
        <v>10019</v>
      </c>
      <c r="G9833" t="s">
        <v>10069</v>
      </c>
      <c r="H9833" s="6">
        <v>45122</v>
      </c>
      <c r="I9833">
        <f t="shared" si="306"/>
        <v>0</v>
      </c>
      <c r="J9833" t="str">
        <f t="shared" si="307"/>
        <v>Complete</v>
      </c>
      <c r="K9833">
        <f>COUNTIFS(RawData[Item], B9833,RawData[Quantity],C9833,RawData[Price Per Unit],D9833,RawData[Total Spent],E9833,RawData[Payment Method],F9833,RawData[Location],G9833,RawData[Transaction Date],H9833)</f>
        <v>1</v>
      </c>
      <c r="L9833"/>
    </row>
    <row r="9834" spans="1:12" x14ac:dyDescent="0.3">
      <c r="A9834" t="s">
        <v>9840</v>
      </c>
      <c r="B9834" t="s">
        <v>10017</v>
      </c>
      <c r="C9834" t="s">
        <v>10015</v>
      </c>
      <c r="D9834">
        <v>1.5</v>
      </c>
      <c r="E9834">
        <v>1.5</v>
      </c>
      <c r="F9834" t="s">
        <v>10104</v>
      </c>
      <c r="G9834" t="s">
        <v>10102</v>
      </c>
      <c r="H9834" s="6">
        <v>45164</v>
      </c>
      <c r="I9834">
        <f t="shared" si="306"/>
        <v>2</v>
      </c>
      <c r="J9834" t="str">
        <f t="shared" si="307"/>
        <v>Complete</v>
      </c>
      <c r="K9834">
        <f>COUNTIFS(RawData[Item], B9834,RawData[Quantity],C9834,RawData[Price Per Unit],D9834,RawData[Total Spent],E9834,RawData[Payment Method],F9834,RawData[Location],G9834,RawData[Transaction Date],H9834)</f>
        <v>1</v>
      </c>
      <c r="L9834"/>
    </row>
    <row r="9835" spans="1:12" x14ac:dyDescent="0.3">
      <c r="A9835" t="s">
        <v>9841</v>
      </c>
      <c r="B9835" t="s">
        <v>10012</v>
      </c>
      <c r="C9835">
        <v>4</v>
      </c>
      <c r="D9835">
        <v>4</v>
      </c>
      <c r="E9835">
        <v>16</v>
      </c>
      <c r="F9835" t="s">
        <v>10019</v>
      </c>
      <c r="G9835" t="s">
        <v>10069</v>
      </c>
      <c r="H9835" s="6" t="s">
        <v>10112</v>
      </c>
      <c r="I9835">
        <f t="shared" si="306"/>
        <v>1</v>
      </c>
      <c r="J9835" t="str">
        <f t="shared" si="307"/>
        <v>Incomplete</v>
      </c>
      <c r="K9835">
        <f>COUNTIFS(RawData[Item], B9835,RawData[Quantity],C9835,RawData[Price Per Unit],D9835,RawData[Total Spent],E9835,RawData[Payment Method],F9835,RawData[Location],G9835,RawData[Transaction Date],H9835)</f>
        <v>1</v>
      </c>
      <c r="L9835"/>
    </row>
    <row r="9836" spans="1:12" x14ac:dyDescent="0.3">
      <c r="A9836" t="s">
        <v>9842</v>
      </c>
      <c r="B9836" t="s">
        <v>10008</v>
      </c>
      <c r="C9836">
        <v>2</v>
      </c>
      <c r="D9836">
        <v>2</v>
      </c>
      <c r="E9836">
        <v>4</v>
      </c>
      <c r="F9836" t="s">
        <v>10020</v>
      </c>
      <c r="G9836" t="s">
        <v>10069</v>
      </c>
      <c r="H9836" s="6">
        <v>45140</v>
      </c>
      <c r="I9836">
        <f t="shared" si="306"/>
        <v>0</v>
      </c>
      <c r="J9836" t="str">
        <f t="shared" si="307"/>
        <v>Complete</v>
      </c>
      <c r="K9836">
        <f>COUNTIFS(RawData[Item], B9836,RawData[Quantity],C9836,RawData[Price Per Unit],D9836,RawData[Total Spent],E9836,RawData[Payment Method],F9836,RawData[Location],G9836,RawData[Transaction Date],H9836)</f>
        <v>1</v>
      </c>
      <c r="L9836"/>
    </row>
    <row r="9837" spans="1:12" x14ac:dyDescent="0.3">
      <c r="A9837" t="s">
        <v>9843</v>
      </c>
      <c r="B9837" t="s">
        <v>10014</v>
      </c>
      <c r="C9837">
        <v>5</v>
      </c>
      <c r="D9837">
        <v>4</v>
      </c>
      <c r="E9837">
        <v>20</v>
      </c>
      <c r="F9837" t="s">
        <v>10019</v>
      </c>
      <c r="G9837" t="s">
        <v>10102</v>
      </c>
      <c r="H9837" s="6">
        <v>45093</v>
      </c>
      <c r="I9837">
        <f t="shared" si="306"/>
        <v>0</v>
      </c>
      <c r="J9837" t="str">
        <f t="shared" si="307"/>
        <v>Complete</v>
      </c>
      <c r="K9837">
        <f>COUNTIFS(RawData[Item], B9837,RawData[Quantity],C9837,RawData[Price Per Unit],D9837,RawData[Total Spent],E9837,RawData[Payment Method],F9837,RawData[Location],G9837,RawData[Transaction Date],H9837)</f>
        <v>1</v>
      </c>
      <c r="L9837"/>
    </row>
    <row r="9838" spans="1:12" x14ac:dyDescent="0.3">
      <c r="A9838" t="s">
        <v>9844</v>
      </c>
      <c r="B9838" t="s">
        <v>10013</v>
      </c>
      <c r="C9838">
        <v>3</v>
      </c>
      <c r="D9838">
        <v>4</v>
      </c>
      <c r="E9838">
        <v>12</v>
      </c>
      <c r="F9838" t="s">
        <v>10019</v>
      </c>
      <c r="G9838" t="s">
        <v>10102</v>
      </c>
      <c r="H9838" s="6">
        <v>45056</v>
      </c>
      <c r="I9838">
        <f t="shared" si="306"/>
        <v>1</v>
      </c>
      <c r="J9838" t="str">
        <f t="shared" si="307"/>
        <v>Complete</v>
      </c>
      <c r="K9838">
        <f>COUNTIFS(RawData[Item], B9838,RawData[Quantity],C9838,RawData[Price Per Unit],D9838,RawData[Total Spent],E9838,RawData[Payment Method],F9838,RawData[Location],G9838,RawData[Transaction Date],H9838)</f>
        <v>1</v>
      </c>
      <c r="L9838"/>
    </row>
    <row r="9839" spans="1:12" x14ac:dyDescent="0.3">
      <c r="A9839" t="s">
        <v>9845</v>
      </c>
      <c r="B9839" t="s">
        <v>10016</v>
      </c>
      <c r="C9839">
        <v>1</v>
      </c>
      <c r="D9839">
        <v>3</v>
      </c>
      <c r="E9839">
        <v>3</v>
      </c>
      <c r="F9839" t="s">
        <v>10020</v>
      </c>
      <c r="G9839" t="s">
        <v>10021</v>
      </c>
      <c r="H9839" s="6">
        <v>44961</v>
      </c>
      <c r="I9839">
        <f t="shared" si="306"/>
        <v>0</v>
      </c>
      <c r="J9839" t="str">
        <f t="shared" si="307"/>
        <v>Complete</v>
      </c>
      <c r="K9839">
        <f>COUNTIFS(RawData[Item], B9839,RawData[Quantity],C9839,RawData[Price Per Unit],D9839,RawData[Total Spent],E9839,RawData[Payment Method],F9839,RawData[Location],G9839,RawData[Transaction Date],H9839)</f>
        <v>1</v>
      </c>
      <c r="L9839"/>
    </row>
    <row r="9840" spans="1:12" x14ac:dyDescent="0.3">
      <c r="A9840" t="s">
        <v>9846</v>
      </c>
      <c r="B9840" t="s">
        <v>10014</v>
      </c>
      <c r="C9840">
        <v>1</v>
      </c>
      <c r="D9840">
        <v>4</v>
      </c>
      <c r="E9840">
        <v>0</v>
      </c>
      <c r="F9840" t="s">
        <v>10019</v>
      </c>
      <c r="G9840" t="s">
        <v>10021</v>
      </c>
      <c r="H9840" s="6" t="s">
        <v>10112</v>
      </c>
      <c r="I9840">
        <f t="shared" si="306"/>
        <v>1</v>
      </c>
      <c r="J9840" t="str">
        <f t="shared" si="307"/>
        <v>Incomplete</v>
      </c>
      <c r="K9840">
        <f>COUNTIFS(RawData[Item], B9840,RawData[Quantity],C9840,RawData[Price Per Unit],D9840,RawData[Total Spent],E9840,RawData[Payment Method],F9840,RawData[Location],G9840,RawData[Transaction Date],H9840)</f>
        <v>1</v>
      </c>
      <c r="L9840"/>
    </row>
    <row r="9841" spans="1:12" x14ac:dyDescent="0.3">
      <c r="A9841" t="s">
        <v>9847</v>
      </c>
      <c r="B9841" t="s">
        <v>10009</v>
      </c>
      <c r="C9841">
        <v>2</v>
      </c>
      <c r="D9841">
        <v>3</v>
      </c>
      <c r="E9841">
        <v>6</v>
      </c>
      <c r="F9841" t="s">
        <v>10020</v>
      </c>
      <c r="G9841" t="s">
        <v>10021</v>
      </c>
      <c r="H9841" s="6">
        <v>45182</v>
      </c>
      <c r="I9841">
        <f t="shared" si="306"/>
        <v>0</v>
      </c>
      <c r="J9841" t="str">
        <f t="shared" si="307"/>
        <v>Complete</v>
      </c>
      <c r="K9841">
        <f>COUNTIFS(RawData[Item], B9841,RawData[Quantity],C9841,RawData[Price Per Unit],D9841,RawData[Total Spent],E9841,RawData[Payment Method],F9841,RawData[Location],G9841,RawData[Transaction Date],H9841)</f>
        <v>2</v>
      </c>
      <c r="L9841"/>
    </row>
    <row r="9842" spans="1:12" x14ac:dyDescent="0.3">
      <c r="A9842" t="s">
        <v>9848</v>
      </c>
      <c r="B9842" t="s">
        <v>10017</v>
      </c>
      <c r="C9842">
        <v>2</v>
      </c>
      <c r="D9842">
        <v>1.5</v>
      </c>
      <c r="E9842">
        <v>3</v>
      </c>
      <c r="F9842" t="s">
        <v>10069</v>
      </c>
      <c r="G9842" t="s">
        <v>10102</v>
      </c>
      <c r="H9842" s="6">
        <v>45021</v>
      </c>
      <c r="I9842">
        <f t="shared" si="306"/>
        <v>0</v>
      </c>
      <c r="J9842" t="str">
        <f t="shared" si="307"/>
        <v>Complete</v>
      </c>
      <c r="K9842">
        <f>COUNTIFS(RawData[Item], B9842,RawData[Quantity],C9842,RawData[Price Per Unit],D9842,RawData[Total Spent],E9842,RawData[Payment Method],F9842,RawData[Location],G9842,RawData[Transaction Date],H9842)</f>
        <v>1</v>
      </c>
      <c r="L9842"/>
    </row>
    <row r="9843" spans="1:12" x14ac:dyDescent="0.3">
      <c r="A9843" t="s">
        <v>9849</v>
      </c>
      <c r="B9843" t="s">
        <v>10009</v>
      </c>
      <c r="C9843">
        <v>2</v>
      </c>
      <c r="D9843">
        <v>3</v>
      </c>
      <c r="E9843">
        <v>6</v>
      </c>
      <c r="F9843" t="s">
        <v>10069</v>
      </c>
      <c r="G9843" t="s">
        <v>10102</v>
      </c>
      <c r="H9843" s="6">
        <v>45267</v>
      </c>
      <c r="I9843">
        <f t="shared" si="306"/>
        <v>0</v>
      </c>
      <c r="J9843" t="str">
        <f t="shared" si="307"/>
        <v>Complete</v>
      </c>
      <c r="K9843">
        <f>COUNTIFS(RawData[Item], B9843,RawData[Quantity],C9843,RawData[Price Per Unit],D9843,RawData[Total Spent],E9843,RawData[Payment Method],F9843,RawData[Location],G9843,RawData[Transaction Date],H9843)</f>
        <v>1</v>
      </c>
      <c r="L9843"/>
    </row>
    <row r="9844" spans="1:12" x14ac:dyDescent="0.3">
      <c r="A9844" t="s">
        <v>9850</v>
      </c>
      <c r="B9844" t="s">
        <v>10008</v>
      </c>
      <c r="C9844">
        <v>2</v>
      </c>
      <c r="D9844">
        <v>2</v>
      </c>
      <c r="E9844">
        <v>4</v>
      </c>
      <c r="F9844" t="s">
        <v>10103</v>
      </c>
      <c r="G9844" t="s">
        <v>10021</v>
      </c>
      <c r="H9844" s="6">
        <v>45055</v>
      </c>
      <c r="I9844">
        <f t="shared" si="306"/>
        <v>1</v>
      </c>
      <c r="J9844" t="str">
        <f t="shared" si="307"/>
        <v>Complete</v>
      </c>
      <c r="K9844">
        <f>COUNTIFS(RawData[Item], B9844,RawData[Quantity],C9844,RawData[Price Per Unit],D9844,RawData[Total Spent],E9844,RawData[Payment Method],F9844,RawData[Location],G9844,RawData[Transaction Date],H9844)</f>
        <v>1</v>
      </c>
      <c r="L9844"/>
    </row>
    <row r="9845" spans="1:12" x14ac:dyDescent="0.3">
      <c r="A9845" t="s">
        <v>9851</v>
      </c>
      <c r="B9845" t="s">
        <v>10008</v>
      </c>
      <c r="C9845">
        <v>3</v>
      </c>
      <c r="D9845">
        <v>2</v>
      </c>
      <c r="E9845">
        <v>6</v>
      </c>
      <c r="F9845" t="s">
        <v>10069</v>
      </c>
      <c r="G9845" t="s">
        <v>10102</v>
      </c>
      <c r="H9845" s="6">
        <v>44982</v>
      </c>
      <c r="I9845">
        <f t="shared" si="306"/>
        <v>0</v>
      </c>
      <c r="J9845" t="str">
        <f t="shared" si="307"/>
        <v>Complete</v>
      </c>
      <c r="K9845">
        <f>COUNTIFS(RawData[Item], B9845,RawData[Quantity],C9845,RawData[Price Per Unit],D9845,RawData[Total Spent],E9845,RawData[Payment Method],F9845,RawData[Location],G9845,RawData[Transaction Date],H9845)</f>
        <v>1</v>
      </c>
      <c r="L9845"/>
    </row>
    <row r="9846" spans="1:12" x14ac:dyDescent="0.3">
      <c r="A9846" t="s">
        <v>9852</v>
      </c>
      <c r="B9846" t="s">
        <v>10011</v>
      </c>
      <c r="C9846">
        <v>0</v>
      </c>
      <c r="D9846">
        <v>5</v>
      </c>
      <c r="E9846">
        <v>5</v>
      </c>
      <c r="F9846" t="s">
        <v>10104</v>
      </c>
      <c r="G9846" t="s">
        <v>10102</v>
      </c>
      <c r="H9846" s="6">
        <v>45144</v>
      </c>
      <c r="I9846">
        <f t="shared" si="306"/>
        <v>1</v>
      </c>
      <c r="J9846" t="str">
        <f t="shared" si="307"/>
        <v>Complete</v>
      </c>
      <c r="K9846">
        <f>COUNTIFS(RawData[Item], B9846,RawData[Quantity],C9846,RawData[Price Per Unit],D9846,RawData[Total Spent],E9846,RawData[Payment Method],F9846,RawData[Location],G9846,RawData[Transaction Date],H9846)</f>
        <v>1</v>
      </c>
      <c r="L9846"/>
    </row>
    <row r="9847" spans="1:12" x14ac:dyDescent="0.3">
      <c r="A9847" t="s">
        <v>9853</v>
      </c>
      <c r="B9847" t="s">
        <v>10014</v>
      </c>
      <c r="C9847">
        <v>5</v>
      </c>
      <c r="D9847">
        <v>4</v>
      </c>
      <c r="E9847">
        <v>20</v>
      </c>
      <c r="F9847" t="s">
        <v>10020</v>
      </c>
      <c r="G9847" t="s">
        <v>10102</v>
      </c>
      <c r="H9847" s="6">
        <v>45092</v>
      </c>
      <c r="I9847">
        <f t="shared" si="306"/>
        <v>0</v>
      </c>
      <c r="J9847" t="str">
        <f t="shared" si="307"/>
        <v>Complete</v>
      </c>
      <c r="K9847">
        <f>COUNTIFS(RawData[Item], B9847,RawData[Quantity],C9847,RawData[Price Per Unit],D9847,RawData[Total Spent],E9847,RawData[Payment Method],F9847,RawData[Location],G9847,RawData[Transaction Date],H9847)</f>
        <v>1</v>
      </c>
      <c r="L9847"/>
    </row>
    <row r="9848" spans="1:12" x14ac:dyDescent="0.3">
      <c r="A9848" t="s">
        <v>9854</v>
      </c>
      <c r="B9848" t="s">
        <v>10008</v>
      </c>
      <c r="C9848" t="s">
        <v>10015</v>
      </c>
      <c r="D9848">
        <v>2</v>
      </c>
      <c r="E9848">
        <v>6</v>
      </c>
      <c r="F9848" t="s">
        <v>10069</v>
      </c>
      <c r="G9848" t="s">
        <v>10102</v>
      </c>
      <c r="H9848" s="6">
        <v>44992</v>
      </c>
      <c r="I9848">
        <f t="shared" si="306"/>
        <v>1</v>
      </c>
      <c r="J9848" t="str">
        <f t="shared" si="307"/>
        <v>Complete</v>
      </c>
      <c r="K9848">
        <f>COUNTIFS(RawData[Item], B9848,RawData[Quantity],C9848,RawData[Price Per Unit],D9848,RawData[Total Spent],E9848,RawData[Payment Method],F9848,RawData[Location],G9848,RawData[Transaction Date],H9848)</f>
        <v>1</v>
      </c>
      <c r="L9848"/>
    </row>
    <row r="9849" spans="1:12" x14ac:dyDescent="0.3">
      <c r="A9849" t="s">
        <v>9855</v>
      </c>
      <c r="B9849" t="s">
        <v>10010</v>
      </c>
      <c r="C9849">
        <v>2</v>
      </c>
      <c r="D9849">
        <v>1</v>
      </c>
      <c r="E9849">
        <v>2</v>
      </c>
      <c r="F9849" t="s">
        <v>10019</v>
      </c>
      <c r="G9849" t="s">
        <v>10021</v>
      </c>
      <c r="H9849" s="6">
        <v>45069</v>
      </c>
      <c r="I9849">
        <f t="shared" si="306"/>
        <v>0</v>
      </c>
      <c r="J9849" t="str">
        <f t="shared" si="307"/>
        <v>Complete</v>
      </c>
      <c r="K9849">
        <f>COUNTIFS(RawData[Item], B9849,RawData[Quantity],C9849,RawData[Price Per Unit],D9849,RawData[Total Spent],E9849,RawData[Payment Method],F9849,RawData[Location],G9849,RawData[Transaction Date],H9849)</f>
        <v>1</v>
      </c>
      <c r="L9849"/>
    </row>
    <row r="9850" spans="1:12" x14ac:dyDescent="0.3">
      <c r="A9850" t="s">
        <v>9856</v>
      </c>
      <c r="B9850" t="s">
        <v>10009</v>
      </c>
      <c r="C9850">
        <v>5</v>
      </c>
      <c r="D9850">
        <v>3</v>
      </c>
      <c r="E9850">
        <v>15</v>
      </c>
      <c r="F9850" t="s">
        <v>10069</v>
      </c>
      <c r="G9850" t="s">
        <v>10069</v>
      </c>
      <c r="H9850" s="6">
        <v>45043</v>
      </c>
      <c r="I9850">
        <f t="shared" si="306"/>
        <v>0</v>
      </c>
      <c r="J9850" t="str">
        <f t="shared" si="307"/>
        <v>Complete</v>
      </c>
      <c r="K9850">
        <f>COUNTIFS(RawData[Item], B9850,RawData[Quantity],C9850,RawData[Price Per Unit],D9850,RawData[Total Spent],E9850,RawData[Payment Method],F9850,RawData[Location],G9850,RawData[Transaction Date],H9850)</f>
        <v>1</v>
      </c>
      <c r="L9850"/>
    </row>
    <row r="9851" spans="1:12" x14ac:dyDescent="0.3">
      <c r="A9851" t="s">
        <v>9857</v>
      </c>
      <c r="B9851" t="s">
        <v>10008</v>
      </c>
      <c r="C9851">
        <v>1</v>
      </c>
      <c r="D9851">
        <v>2</v>
      </c>
      <c r="E9851">
        <v>2</v>
      </c>
      <c r="F9851" t="s">
        <v>10019</v>
      </c>
      <c r="G9851" t="s">
        <v>10069</v>
      </c>
      <c r="H9851" s="6">
        <v>45114</v>
      </c>
      <c r="I9851">
        <f t="shared" si="306"/>
        <v>0</v>
      </c>
      <c r="J9851" t="str">
        <f t="shared" si="307"/>
        <v>Complete</v>
      </c>
      <c r="K9851">
        <f>COUNTIFS(RawData[Item], B9851,RawData[Quantity],C9851,RawData[Price Per Unit],D9851,RawData[Total Spent],E9851,RawData[Payment Method],F9851,RawData[Location],G9851,RawData[Transaction Date],H9851)</f>
        <v>1</v>
      </c>
      <c r="L9851"/>
    </row>
    <row r="9852" spans="1:12" x14ac:dyDescent="0.3">
      <c r="A9852" t="s">
        <v>9858</v>
      </c>
      <c r="B9852" t="s">
        <v>10009</v>
      </c>
      <c r="C9852">
        <v>5</v>
      </c>
      <c r="D9852">
        <v>3</v>
      </c>
      <c r="E9852">
        <v>15</v>
      </c>
      <c r="F9852" t="s">
        <v>10019</v>
      </c>
      <c r="G9852" t="s">
        <v>10021</v>
      </c>
      <c r="H9852" s="6">
        <v>45284</v>
      </c>
      <c r="I9852">
        <f t="shared" si="306"/>
        <v>0</v>
      </c>
      <c r="J9852" t="str">
        <f t="shared" si="307"/>
        <v>Complete</v>
      </c>
      <c r="K9852">
        <f>COUNTIFS(RawData[Item], B9852,RawData[Quantity],C9852,RawData[Price Per Unit],D9852,RawData[Total Spent],E9852,RawData[Payment Method],F9852,RawData[Location],G9852,RawData[Transaction Date],H9852)</f>
        <v>1</v>
      </c>
      <c r="L9852"/>
    </row>
    <row r="9853" spans="1:12" x14ac:dyDescent="0.3">
      <c r="A9853" t="s">
        <v>9859</v>
      </c>
      <c r="B9853" t="s">
        <v>10012</v>
      </c>
      <c r="C9853">
        <v>4</v>
      </c>
      <c r="D9853">
        <v>4</v>
      </c>
      <c r="E9853">
        <v>16</v>
      </c>
      <c r="F9853" t="s">
        <v>10020</v>
      </c>
      <c r="G9853" t="s">
        <v>10069</v>
      </c>
      <c r="H9853" s="6">
        <v>45253</v>
      </c>
      <c r="I9853">
        <f t="shared" si="306"/>
        <v>0</v>
      </c>
      <c r="J9853" t="str">
        <f t="shared" si="307"/>
        <v>Complete</v>
      </c>
      <c r="K9853">
        <f>COUNTIFS(RawData[Item], B9853,RawData[Quantity],C9853,RawData[Price Per Unit],D9853,RawData[Total Spent],E9853,RawData[Payment Method],F9853,RawData[Location],G9853,RawData[Transaction Date],H9853)</f>
        <v>1</v>
      </c>
      <c r="L9853"/>
    </row>
    <row r="9854" spans="1:12" x14ac:dyDescent="0.3">
      <c r="A9854" t="s">
        <v>9860</v>
      </c>
      <c r="B9854" t="s">
        <v>10011</v>
      </c>
      <c r="C9854" t="s">
        <v>10013</v>
      </c>
      <c r="D9854">
        <v>5</v>
      </c>
      <c r="E9854">
        <v>15</v>
      </c>
      <c r="F9854" t="s">
        <v>10069</v>
      </c>
      <c r="G9854" t="s">
        <v>10069</v>
      </c>
      <c r="H9854" s="6">
        <v>45279</v>
      </c>
      <c r="I9854">
        <f t="shared" si="306"/>
        <v>1</v>
      </c>
      <c r="J9854" t="str">
        <f t="shared" si="307"/>
        <v>Complete</v>
      </c>
      <c r="K9854">
        <f>COUNTIFS(RawData[Item], B9854,RawData[Quantity],C9854,RawData[Price Per Unit],D9854,RawData[Total Spent],E9854,RawData[Payment Method],F9854,RawData[Location],G9854,RawData[Transaction Date],H9854)</f>
        <v>1</v>
      </c>
      <c r="L9854"/>
    </row>
    <row r="9855" spans="1:12" x14ac:dyDescent="0.3">
      <c r="A9855" t="s">
        <v>9861</v>
      </c>
      <c r="B9855" t="s">
        <v>10009</v>
      </c>
      <c r="C9855">
        <v>1</v>
      </c>
      <c r="D9855">
        <v>3</v>
      </c>
      <c r="E9855" t="s">
        <v>10015</v>
      </c>
      <c r="F9855" t="s">
        <v>10020</v>
      </c>
      <c r="G9855" t="s">
        <v>10103</v>
      </c>
      <c r="H9855" s="6">
        <v>44973</v>
      </c>
      <c r="I9855">
        <f t="shared" si="306"/>
        <v>2</v>
      </c>
      <c r="J9855" t="str">
        <f t="shared" si="307"/>
        <v>Complete</v>
      </c>
      <c r="K9855">
        <f>COUNTIFS(RawData[Item], B9855,RawData[Quantity],C9855,RawData[Price Per Unit],D9855,RawData[Total Spent],E9855,RawData[Payment Method],F9855,RawData[Location],G9855,RawData[Transaction Date],H9855)</f>
        <v>1</v>
      </c>
      <c r="L9855"/>
    </row>
    <row r="9856" spans="1:12" x14ac:dyDescent="0.3">
      <c r="A9856" t="s">
        <v>9862</v>
      </c>
      <c r="B9856" t="s">
        <v>10014</v>
      </c>
      <c r="C9856">
        <v>5</v>
      </c>
      <c r="D9856">
        <v>4</v>
      </c>
      <c r="E9856">
        <v>20</v>
      </c>
      <c r="F9856" t="s">
        <v>10018</v>
      </c>
      <c r="G9856" t="s">
        <v>10069</v>
      </c>
      <c r="H9856" s="6">
        <v>45268</v>
      </c>
      <c r="I9856">
        <f t="shared" si="306"/>
        <v>0</v>
      </c>
      <c r="J9856" t="str">
        <f t="shared" si="307"/>
        <v>Complete</v>
      </c>
      <c r="K9856">
        <f>COUNTIFS(RawData[Item], B9856,RawData[Quantity],C9856,RawData[Price Per Unit],D9856,RawData[Total Spent],E9856,RawData[Payment Method],F9856,RawData[Location],G9856,RawData[Transaction Date],H9856)</f>
        <v>1</v>
      </c>
      <c r="L9856"/>
    </row>
    <row r="9857" spans="1:12" x14ac:dyDescent="0.3">
      <c r="A9857" t="s">
        <v>9863</v>
      </c>
      <c r="B9857" t="s">
        <v>10069</v>
      </c>
      <c r="C9857">
        <v>2</v>
      </c>
      <c r="D9857">
        <v>1.5</v>
      </c>
      <c r="E9857">
        <v>3</v>
      </c>
      <c r="F9857" t="s">
        <v>10069</v>
      </c>
      <c r="G9857" t="s">
        <v>10069</v>
      </c>
      <c r="H9857" s="6">
        <v>45251</v>
      </c>
      <c r="I9857">
        <f t="shared" si="306"/>
        <v>0</v>
      </c>
      <c r="J9857" t="str">
        <f t="shared" si="307"/>
        <v>Complete</v>
      </c>
      <c r="K9857">
        <f>COUNTIFS(RawData[Item], B9857,RawData[Quantity],C9857,RawData[Price Per Unit],D9857,RawData[Total Spent],E9857,RawData[Payment Method],F9857,RawData[Location],G9857,RawData[Transaction Date],H9857)</f>
        <v>1</v>
      </c>
      <c r="L9857"/>
    </row>
    <row r="9858" spans="1:12" x14ac:dyDescent="0.3">
      <c r="A9858" t="s">
        <v>9864</v>
      </c>
      <c r="B9858" t="s">
        <v>10008</v>
      </c>
      <c r="C9858">
        <v>3</v>
      </c>
      <c r="D9858">
        <v>2</v>
      </c>
      <c r="E9858">
        <v>6</v>
      </c>
      <c r="F9858" t="s">
        <v>10019</v>
      </c>
      <c r="G9858" t="s">
        <v>10102</v>
      </c>
      <c r="H9858" s="6">
        <v>44971</v>
      </c>
      <c r="I9858">
        <f t="shared" ref="I9858:I9921" si="308">(B9858="Unknown")+(B9858="Error")+(C9858="Unknown")+(C9858="Error")+(D9858="Unknown")+(D9858="Error")+(E9858="Unknown")+(E9858="Error")+(F9858="Unknown")+(F9858="Error")+(G9858="Unknown")+(G9858="Error")+(H9858="No Date")</f>
        <v>0</v>
      </c>
      <c r="J9858" t="str">
        <f t="shared" ref="J9858:J9921" si="309">IF((H9858="No Date"),"Incomplete","Complete")</f>
        <v>Complete</v>
      </c>
      <c r="K9858">
        <f>COUNTIFS(RawData[Item], B9858,RawData[Quantity],C9858,RawData[Price Per Unit],D9858,RawData[Total Spent],E9858,RawData[Payment Method],F9858,RawData[Location],G9858,RawData[Transaction Date],H9858)</f>
        <v>1</v>
      </c>
      <c r="L9858"/>
    </row>
    <row r="9859" spans="1:12" x14ac:dyDescent="0.3">
      <c r="A9859" t="s">
        <v>9865</v>
      </c>
      <c r="B9859" t="s">
        <v>10017</v>
      </c>
      <c r="C9859">
        <v>3</v>
      </c>
      <c r="D9859">
        <v>1.5</v>
      </c>
      <c r="E9859">
        <v>4.5</v>
      </c>
      <c r="F9859" t="s">
        <v>10069</v>
      </c>
      <c r="G9859" t="s">
        <v>10102</v>
      </c>
      <c r="H9859" s="6">
        <v>45075</v>
      </c>
      <c r="I9859">
        <f t="shared" si="308"/>
        <v>0</v>
      </c>
      <c r="J9859" t="str">
        <f t="shared" si="309"/>
        <v>Complete</v>
      </c>
      <c r="K9859">
        <f>COUNTIFS(RawData[Item], B9859,RawData[Quantity],C9859,RawData[Price Per Unit],D9859,RawData[Total Spent],E9859,RawData[Payment Method],F9859,RawData[Location],G9859,RawData[Transaction Date],H9859)</f>
        <v>1</v>
      </c>
      <c r="L9859"/>
    </row>
    <row r="9860" spans="1:12" x14ac:dyDescent="0.3">
      <c r="A9860" t="s">
        <v>9866</v>
      </c>
      <c r="B9860" t="s">
        <v>10008</v>
      </c>
      <c r="C9860">
        <v>1</v>
      </c>
      <c r="D9860">
        <v>2</v>
      </c>
      <c r="E9860">
        <v>2</v>
      </c>
      <c r="F9860" t="s">
        <v>10019</v>
      </c>
      <c r="G9860" t="s">
        <v>10069</v>
      </c>
      <c r="H9860" s="6">
        <v>45111</v>
      </c>
      <c r="I9860">
        <f t="shared" si="308"/>
        <v>0</v>
      </c>
      <c r="J9860" t="str">
        <f t="shared" si="309"/>
        <v>Complete</v>
      </c>
      <c r="K9860">
        <f>COUNTIFS(RawData[Item], B9860,RawData[Quantity],C9860,RawData[Price Per Unit],D9860,RawData[Total Spent],E9860,RawData[Payment Method],F9860,RawData[Location],G9860,RawData[Transaction Date],H9860)</f>
        <v>1</v>
      </c>
      <c r="L9860"/>
    </row>
    <row r="9861" spans="1:12" x14ac:dyDescent="0.3">
      <c r="A9861" t="s">
        <v>9867</v>
      </c>
      <c r="B9861" t="s">
        <v>10017</v>
      </c>
      <c r="C9861">
        <v>2</v>
      </c>
      <c r="D9861">
        <v>1.5</v>
      </c>
      <c r="E9861">
        <v>3</v>
      </c>
      <c r="F9861" t="s">
        <v>10020</v>
      </c>
      <c r="G9861" t="s">
        <v>10069</v>
      </c>
      <c r="H9861" s="6">
        <v>45022</v>
      </c>
      <c r="I9861">
        <f t="shared" si="308"/>
        <v>0</v>
      </c>
      <c r="J9861" t="str">
        <f t="shared" si="309"/>
        <v>Complete</v>
      </c>
      <c r="K9861">
        <f>COUNTIFS(RawData[Item], B9861,RawData[Quantity],C9861,RawData[Price Per Unit],D9861,RawData[Total Spent],E9861,RawData[Payment Method],F9861,RawData[Location],G9861,RawData[Transaction Date],H9861)</f>
        <v>1</v>
      </c>
      <c r="L9861"/>
    </row>
    <row r="9862" spans="1:12" x14ac:dyDescent="0.3">
      <c r="A9862" t="s">
        <v>9868</v>
      </c>
      <c r="B9862" t="s">
        <v>10014</v>
      </c>
      <c r="C9862">
        <v>5</v>
      </c>
      <c r="D9862">
        <v>4</v>
      </c>
      <c r="E9862">
        <v>20</v>
      </c>
      <c r="F9862" t="s">
        <v>10020</v>
      </c>
      <c r="G9862" t="s">
        <v>10069</v>
      </c>
      <c r="H9862" s="6">
        <v>45074</v>
      </c>
      <c r="I9862">
        <f t="shared" si="308"/>
        <v>0</v>
      </c>
      <c r="J9862" t="str">
        <f t="shared" si="309"/>
        <v>Complete</v>
      </c>
      <c r="K9862">
        <f>COUNTIFS(RawData[Item], B9862,RawData[Quantity],C9862,RawData[Price Per Unit],D9862,RawData[Total Spent],E9862,RawData[Payment Method],F9862,RawData[Location],G9862,RawData[Transaction Date],H9862)</f>
        <v>1</v>
      </c>
      <c r="L9862"/>
    </row>
    <row r="9863" spans="1:12" x14ac:dyDescent="0.3">
      <c r="A9863" t="s">
        <v>9869</v>
      </c>
      <c r="B9863" t="s">
        <v>10011</v>
      </c>
      <c r="C9863">
        <v>3</v>
      </c>
      <c r="D9863">
        <v>5</v>
      </c>
      <c r="E9863">
        <v>15</v>
      </c>
      <c r="F9863" t="s">
        <v>10069</v>
      </c>
      <c r="G9863" t="s">
        <v>10021</v>
      </c>
      <c r="H9863" s="6">
        <v>45105</v>
      </c>
      <c r="I9863">
        <f t="shared" si="308"/>
        <v>0</v>
      </c>
      <c r="J9863" t="str">
        <f t="shared" si="309"/>
        <v>Complete</v>
      </c>
      <c r="K9863">
        <f>COUNTIFS(RawData[Item], B9863,RawData[Quantity],C9863,RawData[Price Per Unit],D9863,RawData[Total Spent],E9863,RawData[Payment Method],F9863,RawData[Location],G9863,RawData[Transaction Date],H9863)</f>
        <v>1</v>
      </c>
      <c r="L9863"/>
    </row>
    <row r="9864" spans="1:12" x14ac:dyDescent="0.3">
      <c r="A9864" t="s">
        <v>9870</v>
      </c>
      <c r="B9864" t="s">
        <v>10008</v>
      </c>
      <c r="C9864">
        <v>3</v>
      </c>
      <c r="D9864">
        <v>2</v>
      </c>
      <c r="E9864">
        <v>6</v>
      </c>
      <c r="F9864" t="s">
        <v>10018</v>
      </c>
      <c r="G9864" t="s">
        <v>10069</v>
      </c>
      <c r="H9864" s="6">
        <v>45151</v>
      </c>
      <c r="I9864">
        <f t="shared" si="308"/>
        <v>0</v>
      </c>
      <c r="J9864" t="str">
        <f t="shared" si="309"/>
        <v>Complete</v>
      </c>
      <c r="K9864">
        <f>COUNTIFS(RawData[Item], B9864,RawData[Quantity],C9864,RawData[Price Per Unit],D9864,RawData[Total Spent],E9864,RawData[Payment Method],F9864,RawData[Location],G9864,RawData[Transaction Date],H9864)</f>
        <v>1</v>
      </c>
      <c r="L9864"/>
    </row>
    <row r="9865" spans="1:12" x14ac:dyDescent="0.3">
      <c r="A9865" t="s">
        <v>9871</v>
      </c>
      <c r="B9865" t="s">
        <v>10009</v>
      </c>
      <c r="C9865">
        <v>4</v>
      </c>
      <c r="D9865">
        <v>3</v>
      </c>
      <c r="E9865">
        <v>12</v>
      </c>
      <c r="F9865" t="s">
        <v>10103</v>
      </c>
      <c r="G9865" t="s">
        <v>10069</v>
      </c>
      <c r="H9865" s="6">
        <v>45205</v>
      </c>
      <c r="I9865">
        <f t="shared" si="308"/>
        <v>1</v>
      </c>
      <c r="J9865" t="str">
        <f t="shared" si="309"/>
        <v>Complete</v>
      </c>
      <c r="K9865">
        <f>COUNTIFS(RawData[Item], B9865,RawData[Quantity],C9865,RawData[Price Per Unit],D9865,RawData[Total Spent],E9865,RawData[Payment Method],F9865,RawData[Location],G9865,RawData[Transaction Date],H9865)</f>
        <v>1</v>
      </c>
      <c r="L9865"/>
    </row>
    <row r="9866" spans="1:12" x14ac:dyDescent="0.3">
      <c r="A9866" t="s">
        <v>9872</v>
      </c>
      <c r="B9866" t="s">
        <v>10011</v>
      </c>
      <c r="C9866">
        <v>4</v>
      </c>
      <c r="D9866">
        <v>5</v>
      </c>
      <c r="E9866">
        <v>20</v>
      </c>
      <c r="F9866" t="s">
        <v>10020</v>
      </c>
      <c r="G9866" t="s">
        <v>10069</v>
      </c>
      <c r="H9866" s="6">
        <v>45261</v>
      </c>
      <c r="I9866">
        <f t="shared" si="308"/>
        <v>0</v>
      </c>
      <c r="J9866" t="str">
        <f t="shared" si="309"/>
        <v>Complete</v>
      </c>
      <c r="K9866">
        <f>COUNTIFS(RawData[Item], B9866,RawData[Quantity],C9866,RawData[Price Per Unit],D9866,RawData[Total Spent],E9866,RawData[Payment Method],F9866,RawData[Location],G9866,RawData[Transaction Date],H9866)</f>
        <v>1</v>
      </c>
      <c r="L9866"/>
    </row>
    <row r="9867" spans="1:12" x14ac:dyDescent="0.3">
      <c r="A9867" t="s">
        <v>9873</v>
      </c>
      <c r="B9867" t="s">
        <v>10015</v>
      </c>
      <c r="C9867">
        <v>5</v>
      </c>
      <c r="D9867">
        <v>2</v>
      </c>
      <c r="E9867">
        <v>10</v>
      </c>
      <c r="F9867" t="s">
        <v>10069</v>
      </c>
      <c r="G9867" t="s">
        <v>10021</v>
      </c>
      <c r="H9867" s="6">
        <v>45113</v>
      </c>
      <c r="I9867">
        <f t="shared" si="308"/>
        <v>1</v>
      </c>
      <c r="J9867" t="str">
        <f t="shared" si="309"/>
        <v>Complete</v>
      </c>
      <c r="K9867">
        <f>COUNTIFS(RawData[Item], B9867,RawData[Quantity],C9867,RawData[Price Per Unit],D9867,RawData[Total Spent],E9867,RawData[Payment Method],F9867,RawData[Location],G9867,RawData[Transaction Date],H9867)</f>
        <v>1</v>
      </c>
      <c r="L9867"/>
    </row>
    <row r="9868" spans="1:12" x14ac:dyDescent="0.3">
      <c r="A9868" t="s">
        <v>9874</v>
      </c>
      <c r="B9868" t="s">
        <v>10012</v>
      </c>
      <c r="C9868">
        <v>3</v>
      </c>
      <c r="D9868">
        <v>4</v>
      </c>
      <c r="E9868">
        <v>12</v>
      </c>
      <c r="F9868" t="s">
        <v>10019</v>
      </c>
      <c r="G9868" t="s">
        <v>10069</v>
      </c>
      <c r="H9868" s="6">
        <v>44934</v>
      </c>
      <c r="I9868">
        <f t="shared" si="308"/>
        <v>0</v>
      </c>
      <c r="J9868" t="str">
        <f t="shared" si="309"/>
        <v>Complete</v>
      </c>
      <c r="K9868">
        <f>COUNTIFS(RawData[Item], B9868,RawData[Quantity],C9868,RawData[Price Per Unit],D9868,RawData[Total Spent],E9868,RawData[Payment Method],F9868,RawData[Location],G9868,RawData[Transaction Date],H9868)</f>
        <v>1</v>
      </c>
      <c r="L9868"/>
    </row>
    <row r="9869" spans="1:12" x14ac:dyDescent="0.3">
      <c r="A9869" t="s">
        <v>9875</v>
      </c>
      <c r="B9869" t="s">
        <v>10011</v>
      </c>
      <c r="C9869">
        <v>4</v>
      </c>
      <c r="D9869">
        <v>5</v>
      </c>
      <c r="E9869">
        <v>20</v>
      </c>
      <c r="F9869" t="s">
        <v>10020</v>
      </c>
      <c r="G9869" t="s">
        <v>10102</v>
      </c>
      <c r="H9869" s="6">
        <v>45144</v>
      </c>
      <c r="I9869">
        <f t="shared" si="308"/>
        <v>0</v>
      </c>
      <c r="J9869" t="str">
        <f t="shared" si="309"/>
        <v>Complete</v>
      </c>
      <c r="K9869">
        <f>COUNTIFS(RawData[Item], B9869,RawData[Quantity],C9869,RawData[Price Per Unit],D9869,RawData[Total Spent],E9869,RawData[Payment Method],F9869,RawData[Location],G9869,RawData[Transaction Date],H9869)</f>
        <v>1</v>
      </c>
      <c r="L9869"/>
    </row>
    <row r="9870" spans="1:12" x14ac:dyDescent="0.3">
      <c r="A9870" t="s">
        <v>9876</v>
      </c>
      <c r="B9870" t="s">
        <v>10016</v>
      </c>
      <c r="C9870">
        <v>4</v>
      </c>
      <c r="D9870">
        <v>3</v>
      </c>
      <c r="E9870">
        <v>12</v>
      </c>
      <c r="F9870" t="s">
        <v>10019</v>
      </c>
      <c r="G9870" t="s">
        <v>10021</v>
      </c>
      <c r="H9870" s="6">
        <v>44956</v>
      </c>
      <c r="I9870">
        <f t="shared" si="308"/>
        <v>0</v>
      </c>
      <c r="J9870" t="str">
        <f t="shared" si="309"/>
        <v>Complete</v>
      </c>
      <c r="K9870">
        <f>COUNTIFS(RawData[Item], B9870,RawData[Quantity],C9870,RawData[Price Per Unit],D9870,RawData[Total Spent],E9870,RawData[Payment Method],F9870,RawData[Location],G9870,RawData[Transaction Date],H9870)</f>
        <v>1</v>
      </c>
      <c r="L9870"/>
    </row>
    <row r="9871" spans="1:12" x14ac:dyDescent="0.3">
      <c r="A9871" t="s">
        <v>9877</v>
      </c>
      <c r="B9871" t="s">
        <v>10008</v>
      </c>
      <c r="C9871">
        <v>0</v>
      </c>
      <c r="D9871">
        <v>2</v>
      </c>
      <c r="E9871" t="s">
        <v>10013</v>
      </c>
      <c r="F9871" t="s">
        <v>10020</v>
      </c>
      <c r="G9871" t="s">
        <v>10069</v>
      </c>
      <c r="H9871" s="6">
        <v>44941</v>
      </c>
      <c r="I9871">
        <f t="shared" si="308"/>
        <v>1</v>
      </c>
      <c r="J9871" t="str">
        <f t="shared" si="309"/>
        <v>Complete</v>
      </c>
      <c r="K9871">
        <f>COUNTIFS(RawData[Item], B9871,RawData[Quantity],C9871,RawData[Price Per Unit],D9871,RawData[Total Spent],E9871,RawData[Payment Method],F9871,RawData[Location],G9871,RawData[Transaction Date],H9871)</f>
        <v>1</v>
      </c>
      <c r="L9871"/>
    </row>
    <row r="9872" spans="1:12" x14ac:dyDescent="0.3">
      <c r="A9872" t="s">
        <v>9878</v>
      </c>
      <c r="B9872" t="s">
        <v>10014</v>
      </c>
      <c r="C9872">
        <v>5</v>
      </c>
      <c r="D9872">
        <v>4</v>
      </c>
      <c r="E9872">
        <v>20</v>
      </c>
      <c r="F9872" t="s">
        <v>10018</v>
      </c>
      <c r="G9872" t="s">
        <v>10069</v>
      </c>
      <c r="H9872" s="6">
        <v>45044</v>
      </c>
      <c r="I9872">
        <f t="shared" si="308"/>
        <v>0</v>
      </c>
      <c r="J9872" t="str">
        <f t="shared" si="309"/>
        <v>Complete</v>
      </c>
      <c r="K9872">
        <f>COUNTIFS(RawData[Item], B9872,RawData[Quantity],C9872,RawData[Price Per Unit],D9872,RawData[Total Spent],E9872,RawData[Payment Method],F9872,RawData[Location],G9872,RawData[Transaction Date],H9872)</f>
        <v>1</v>
      </c>
      <c r="L9872"/>
    </row>
    <row r="9873" spans="1:12" x14ac:dyDescent="0.3">
      <c r="A9873" t="s">
        <v>9879</v>
      </c>
      <c r="B9873" t="s">
        <v>10012</v>
      </c>
      <c r="C9873">
        <v>1</v>
      </c>
      <c r="D9873">
        <v>4</v>
      </c>
      <c r="E9873">
        <v>4</v>
      </c>
      <c r="F9873" t="s">
        <v>10018</v>
      </c>
      <c r="G9873" t="s">
        <v>10021</v>
      </c>
      <c r="H9873" s="6">
        <v>45033</v>
      </c>
      <c r="I9873">
        <f t="shared" si="308"/>
        <v>0</v>
      </c>
      <c r="J9873" t="str">
        <f t="shared" si="309"/>
        <v>Complete</v>
      </c>
      <c r="K9873">
        <f>COUNTIFS(RawData[Item], B9873,RawData[Quantity],C9873,RawData[Price Per Unit],D9873,RawData[Total Spent],E9873,RawData[Payment Method],F9873,RawData[Location],G9873,RawData[Transaction Date],H9873)</f>
        <v>1</v>
      </c>
      <c r="L9873"/>
    </row>
    <row r="9874" spans="1:12" x14ac:dyDescent="0.3">
      <c r="A9874" t="s">
        <v>9880</v>
      </c>
      <c r="B9874" t="s">
        <v>10009</v>
      </c>
      <c r="C9874">
        <v>5</v>
      </c>
      <c r="D9874">
        <v>3</v>
      </c>
      <c r="E9874">
        <v>15</v>
      </c>
      <c r="F9874" t="s">
        <v>10103</v>
      </c>
      <c r="G9874" t="s">
        <v>10103</v>
      </c>
      <c r="H9874" s="6">
        <v>45256</v>
      </c>
      <c r="I9874">
        <f t="shared" si="308"/>
        <v>2</v>
      </c>
      <c r="J9874" t="str">
        <f t="shared" si="309"/>
        <v>Complete</v>
      </c>
      <c r="K9874">
        <f>COUNTIFS(RawData[Item], B9874,RawData[Quantity],C9874,RawData[Price Per Unit],D9874,RawData[Total Spent],E9874,RawData[Payment Method],F9874,RawData[Location],G9874,RawData[Transaction Date],H9874)</f>
        <v>1</v>
      </c>
      <c r="L9874"/>
    </row>
    <row r="9875" spans="1:12" x14ac:dyDescent="0.3">
      <c r="A9875" t="s">
        <v>9881</v>
      </c>
      <c r="B9875" t="s">
        <v>10016</v>
      </c>
      <c r="C9875">
        <v>5</v>
      </c>
      <c r="D9875">
        <v>3</v>
      </c>
      <c r="E9875">
        <v>15</v>
      </c>
      <c r="F9875" t="s">
        <v>10020</v>
      </c>
      <c r="G9875" t="s">
        <v>10021</v>
      </c>
      <c r="H9875" s="6">
        <v>44985</v>
      </c>
      <c r="I9875">
        <f t="shared" si="308"/>
        <v>0</v>
      </c>
      <c r="J9875" t="str">
        <f t="shared" si="309"/>
        <v>Complete</v>
      </c>
      <c r="K9875">
        <f>COUNTIFS(RawData[Item], B9875,RawData[Quantity],C9875,RawData[Price Per Unit],D9875,RawData[Total Spent],E9875,RawData[Payment Method],F9875,RawData[Location],G9875,RawData[Transaction Date],H9875)</f>
        <v>1</v>
      </c>
      <c r="L9875"/>
    </row>
    <row r="9876" spans="1:12" x14ac:dyDescent="0.3">
      <c r="A9876" t="s">
        <v>9882</v>
      </c>
      <c r="B9876" t="s">
        <v>10017</v>
      </c>
      <c r="C9876">
        <v>4</v>
      </c>
      <c r="D9876">
        <v>1.5</v>
      </c>
      <c r="E9876">
        <v>6</v>
      </c>
      <c r="F9876" t="s">
        <v>10019</v>
      </c>
      <c r="G9876" t="s">
        <v>10021</v>
      </c>
      <c r="H9876" s="6">
        <v>45192</v>
      </c>
      <c r="I9876">
        <f t="shared" si="308"/>
        <v>0</v>
      </c>
      <c r="J9876" t="str">
        <f t="shared" si="309"/>
        <v>Complete</v>
      </c>
      <c r="K9876">
        <f>COUNTIFS(RawData[Item], B9876,RawData[Quantity],C9876,RawData[Price Per Unit],D9876,RawData[Total Spent],E9876,RawData[Payment Method],F9876,RawData[Location],G9876,RawData[Transaction Date],H9876)</f>
        <v>1</v>
      </c>
      <c r="L9876"/>
    </row>
    <row r="9877" spans="1:12" x14ac:dyDescent="0.3">
      <c r="A9877" t="s">
        <v>9883</v>
      </c>
      <c r="B9877" t="s">
        <v>10010</v>
      </c>
      <c r="C9877">
        <v>1</v>
      </c>
      <c r="D9877">
        <v>1</v>
      </c>
      <c r="E9877">
        <v>1</v>
      </c>
      <c r="F9877" t="s">
        <v>10018</v>
      </c>
      <c r="G9877" t="s">
        <v>10102</v>
      </c>
      <c r="H9877" s="6">
        <v>45001</v>
      </c>
      <c r="I9877">
        <f t="shared" si="308"/>
        <v>0</v>
      </c>
      <c r="J9877" t="str">
        <f t="shared" si="309"/>
        <v>Complete</v>
      </c>
      <c r="K9877">
        <f>COUNTIFS(RawData[Item], B9877,RawData[Quantity],C9877,RawData[Price Per Unit],D9877,RawData[Total Spent],E9877,RawData[Payment Method],F9877,RawData[Location],G9877,RawData[Transaction Date],H9877)</f>
        <v>1</v>
      </c>
      <c r="L9877"/>
    </row>
    <row r="9878" spans="1:12" x14ac:dyDescent="0.3">
      <c r="A9878" t="s">
        <v>9884</v>
      </c>
      <c r="B9878" t="s">
        <v>10069</v>
      </c>
      <c r="C9878">
        <v>1</v>
      </c>
      <c r="D9878">
        <v>2</v>
      </c>
      <c r="E9878">
        <v>2</v>
      </c>
      <c r="F9878" t="s">
        <v>10069</v>
      </c>
      <c r="G9878" t="s">
        <v>10102</v>
      </c>
      <c r="H9878" s="6">
        <v>45015</v>
      </c>
      <c r="I9878">
        <f t="shared" si="308"/>
        <v>0</v>
      </c>
      <c r="J9878" t="str">
        <f t="shared" si="309"/>
        <v>Complete</v>
      </c>
      <c r="K9878">
        <f>COUNTIFS(RawData[Item], B9878,RawData[Quantity],C9878,RawData[Price Per Unit],D9878,RawData[Total Spent],E9878,RawData[Payment Method],F9878,RawData[Location],G9878,RawData[Transaction Date],H9878)</f>
        <v>1</v>
      </c>
      <c r="L9878"/>
    </row>
    <row r="9879" spans="1:12" x14ac:dyDescent="0.3">
      <c r="A9879" t="s">
        <v>9885</v>
      </c>
      <c r="B9879" t="s">
        <v>10012</v>
      </c>
      <c r="C9879">
        <v>1</v>
      </c>
      <c r="D9879">
        <v>4</v>
      </c>
      <c r="E9879">
        <v>4</v>
      </c>
      <c r="F9879" t="s">
        <v>10069</v>
      </c>
      <c r="G9879" t="s">
        <v>10104</v>
      </c>
      <c r="H9879" s="6" t="s">
        <v>10112</v>
      </c>
      <c r="I9879">
        <f t="shared" si="308"/>
        <v>2</v>
      </c>
      <c r="J9879" t="str">
        <f t="shared" si="309"/>
        <v>Incomplete</v>
      </c>
      <c r="K9879">
        <f>COUNTIFS(RawData[Item], B9879,RawData[Quantity],C9879,RawData[Price Per Unit],D9879,RawData[Total Spent],E9879,RawData[Payment Method],F9879,RawData[Location],G9879,RawData[Transaction Date],H9879)</f>
        <v>1</v>
      </c>
      <c r="L9879"/>
    </row>
    <row r="9880" spans="1:12" x14ac:dyDescent="0.3">
      <c r="A9880" t="s">
        <v>9886</v>
      </c>
      <c r="B9880" t="s">
        <v>10014</v>
      </c>
      <c r="C9880">
        <v>3</v>
      </c>
      <c r="D9880">
        <v>4</v>
      </c>
      <c r="E9880">
        <v>12</v>
      </c>
      <c r="F9880" t="s">
        <v>10069</v>
      </c>
      <c r="G9880" t="s">
        <v>10069</v>
      </c>
      <c r="H9880" s="6">
        <v>45206</v>
      </c>
      <c r="I9880">
        <f t="shared" si="308"/>
        <v>0</v>
      </c>
      <c r="J9880" t="str">
        <f t="shared" si="309"/>
        <v>Complete</v>
      </c>
      <c r="K9880">
        <f>COUNTIFS(RawData[Item], B9880,RawData[Quantity],C9880,RawData[Price Per Unit],D9880,RawData[Total Spent],E9880,RawData[Payment Method],F9880,RawData[Location],G9880,RawData[Transaction Date],H9880)</f>
        <v>1</v>
      </c>
      <c r="L9880"/>
    </row>
    <row r="9881" spans="1:12" x14ac:dyDescent="0.3">
      <c r="A9881" t="s">
        <v>9887</v>
      </c>
      <c r="B9881" t="s">
        <v>10011</v>
      </c>
      <c r="C9881">
        <v>5</v>
      </c>
      <c r="D9881">
        <v>5</v>
      </c>
      <c r="E9881">
        <v>25</v>
      </c>
      <c r="F9881" t="s">
        <v>10020</v>
      </c>
      <c r="G9881" t="s">
        <v>10102</v>
      </c>
      <c r="H9881" s="6">
        <v>45218</v>
      </c>
      <c r="I9881">
        <f t="shared" si="308"/>
        <v>0</v>
      </c>
      <c r="J9881" t="str">
        <f t="shared" si="309"/>
        <v>Complete</v>
      </c>
      <c r="K9881">
        <f>COUNTIFS(RawData[Item], B9881,RawData[Quantity],C9881,RawData[Price Per Unit],D9881,RawData[Total Spent],E9881,RawData[Payment Method],F9881,RawData[Location],G9881,RawData[Transaction Date],H9881)</f>
        <v>1</v>
      </c>
      <c r="L9881"/>
    </row>
    <row r="9882" spans="1:12" x14ac:dyDescent="0.3">
      <c r="A9882" t="s">
        <v>9888</v>
      </c>
      <c r="B9882" t="s">
        <v>10009</v>
      </c>
      <c r="C9882">
        <v>2</v>
      </c>
      <c r="D9882">
        <v>3</v>
      </c>
      <c r="E9882">
        <v>6</v>
      </c>
      <c r="F9882" t="s">
        <v>10104</v>
      </c>
      <c r="G9882" t="s">
        <v>10102</v>
      </c>
      <c r="H9882" s="6">
        <v>45268</v>
      </c>
      <c r="I9882">
        <f t="shared" si="308"/>
        <v>1</v>
      </c>
      <c r="J9882" t="str">
        <f t="shared" si="309"/>
        <v>Complete</v>
      </c>
      <c r="K9882">
        <f>COUNTIFS(RawData[Item], B9882,RawData[Quantity],C9882,RawData[Price Per Unit],D9882,RawData[Total Spent],E9882,RawData[Payment Method],F9882,RawData[Location],G9882,RawData[Transaction Date],H9882)</f>
        <v>1</v>
      </c>
      <c r="L9882"/>
    </row>
    <row r="9883" spans="1:12" x14ac:dyDescent="0.3">
      <c r="A9883" t="s">
        <v>9889</v>
      </c>
      <c r="B9883" t="s">
        <v>10014</v>
      </c>
      <c r="C9883">
        <v>2</v>
      </c>
      <c r="D9883">
        <v>4</v>
      </c>
      <c r="E9883">
        <v>8</v>
      </c>
      <c r="F9883" t="s">
        <v>10019</v>
      </c>
      <c r="G9883" t="s">
        <v>10103</v>
      </c>
      <c r="H9883" s="6">
        <v>45041</v>
      </c>
      <c r="I9883">
        <f t="shared" si="308"/>
        <v>1</v>
      </c>
      <c r="J9883" t="str">
        <f t="shared" si="309"/>
        <v>Complete</v>
      </c>
      <c r="K9883">
        <f>COUNTIFS(RawData[Item], B9883,RawData[Quantity],C9883,RawData[Price Per Unit],D9883,RawData[Total Spent],E9883,RawData[Payment Method],F9883,RawData[Location],G9883,RawData[Transaction Date],H9883)</f>
        <v>1</v>
      </c>
      <c r="L9883"/>
    </row>
    <row r="9884" spans="1:12" x14ac:dyDescent="0.3">
      <c r="A9884" t="s">
        <v>9890</v>
      </c>
      <c r="B9884" t="s">
        <v>10008</v>
      </c>
      <c r="C9884">
        <v>5</v>
      </c>
      <c r="D9884">
        <v>2</v>
      </c>
      <c r="E9884">
        <v>10</v>
      </c>
      <c r="F9884" t="s">
        <v>10019</v>
      </c>
      <c r="G9884" t="s">
        <v>10069</v>
      </c>
      <c r="H9884" s="6">
        <v>44968</v>
      </c>
      <c r="I9884">
        <f t="shared" si="308"/>
        <v>0</v>
      </c>
      <c r="J9884" t="str">
        <f t="shared" si="309"/>
        <v>Complete</v>
      </c>
      <c r="K9884">
        <f>COUNTIFS(RawData[Item], B9884,RawData[Quantity],C9884,RawData[Price Per Unit],D9884,RawData[Total Spent],E9884,RawData[Payment Method],F9884,RawData[Location],G9884,RawData[Transaction Date],H9884)</f>
        <v>1</v>
      </c>
      <c r="L9884"/>
    </row>
    <row r="9885" spans="1:12" x14ac:dyDescent="0.3">
      <c r="A9885" t="s">
        <v>9891</v>
      </c>
      <c r="B9885" t="s">
        <v>10017</v>
      </c>
      <c r="C9885">
        <v>2</v>
      </c>
      <c r="D9885">
        <v>1.5</v>
      </c>
      <c r="E9885">
        <v>3</v>
      </c>
      <c r="F9885" t="s">
        <v>10020</v>
      </c>
      <c r="G9885" t="s">
        <v>10102</v>
      </c>
      <c r="H9885" s="6">
        <v>44965</v>
      </c>
      <c r="I9885">
        <f t="shared" si="308"/>
        <v>0</v>
      </c>
      <c r="J9885" t="str">
        <f t="shared" si="309"/>
        <v>Complete</v>
      </c>
      <c r="K9885">
        <f>COUNTIFS(RawData[Item], B9885,RawData[Quantity],C9885,RawData[Price Per Unit],D9885,RawData[Total Spent],E9885,RawData[Payment Method],F9885,RawData[Location],G9885,RawData[Transaction Date],H9885)</f>
        <v>1</v>
      </c>
      <c r="L9885"/>
    </row>
    <row r="9886" spans="1:12" x14ac:dyDescent="0.3">
      <c r="A9886" t="s">
        <v>9892</v>
      </c>
      <c r="B9886" t="s">
        <v>10016</v>
      </c>
      <c r="C9886">
        <v>3</v>
      </c>
      <c r="D9886">
        <v>3</v>
      </c>
      <c r="E9886">
        <v>9</v>
      </c>
      <c r="F9886" t="s">
        <v>10018</v>
      </c>
      <c r="G9886" t="s">
        <v>10069</v>
      </c>
      <c r="H9886" s="6">
        <v>44962</v>
      </c>
      <c r="I9886">
        <f t="shared" si="308"/>
        <v>0</v>
      </c>
      <c r="J9886" t="str">
        <f t="shared" si="309"/>
        <v>Complete</v>
      </c>
      <c r="K9886">
        <f>COUNTIFS(RawData[Item], B9886,RawData[Quantity],C9886,RawData[Price Per Unit],D9886,RawData[Total Spent],E9886,RawData[Payment Method],F9886,RawData[Location],G9886,RawData[Transaction Date],H9886)</f>
        <v>1</v>
      </c>
      <c r="L9886"/>
    </row>
    <row r="9887" spans="1:12" x14ac:dyDescent="0.3">
      <c r="A9887" t="s">
        <v>9893</v>
      </c>
      <c r="B9887" t="s">
        <v>10069</v>
      </c>
      <c r="C9887">
        <v>3</v>
      </c>
      <c r="D9887">
        <v>4</v>
      </c>
      <c r="E9887">
        <v>12</v>
      </c>
      <c r="F9887" t="s">
        <v>10018</v>
      </c>
      <c r="G9887" t="s">
        <v>10102</v>
      </c>
      <c r="H9887" s="6" t="s">
        <v>10112</v>
      </c>
      <c r="I9887">
        <f t="shared" si="308"/>
        <v>1</v>
      </c>
      <c r="J9887" t="str">
        <f t="shared" si="309"/>
        <v>Incomplete</v>
      </c>
      <c r="K9887">
        <f>COUNTIFS(RawData[Item], B9887,RawData[Quantity],C9887,RawData[Price Per Unit],D9887,RawData[Total Spent],E9887,RawData[Payment Method],F9887,RawData[Location],G9887,RawData[Transaction Date],H9887)</f>
        <v>1</v>
      </c>
      <c r="L9887"/>
    </row>
    <row r="9888" spans="1:12" x14ac:dyDescent="0.3">
      <c r="A9888" t="s">
        <v>9894</v>
      </c>
      <c r="B9888" t="s">
        <v>10011</v>
      </c>
      <c r="C9888">
        <v>3</v>
      </c>
      <c r="D9888">
        <v>5</v>
      </c>
      <c r="E9888">
        <v>15</v>
      </c>
      <c r="F9888" t="s">
        <v>10020</v>
      </c>
      <c r="G9888" t="s">
        <v>10102</v>
      </c>
      <c r="H9888" s="6">
        <v>45034</v>
      </c>
      <c r="I9888">
        <f t="shared" si="308"/>
        <v>0</v>
      </c>
      <c r="J9888" t="str">
        <f t="shared" si="309"/>
        <v>Complete</v>
      </c>
      <c r="K9888">
        <f>COUNTIFS(RawData[Item], B9888,RawData[Quantity],C9888,RawData[Price Per Unit],D9888,RawData[Total Spent],E9888,RawData[Payment Method],F9888,RawData[Location],G9888,RawData[Transaction Date],H9888)</f>
        <v>1</v>
      </c>
      <c r="L9888"/>
    </row>
    <row r="9889" spans="1:12" x14ac:dyDescent="0.3">
      <c r="A9889" t="s">
        <v>9895</v>
      </c>
      <c r="B9889" t="s">
        <v>10011</v>
      </c>
      <c r="C9889">
        <v>0</v>
      </c>
      <c r="D9889">
        <v>5</v>
      </c>
      <c r="E9889">
        <v>10</v>
      </c>
      <c r="F9889" t="s">
        <v>10069</v>
      </c>
      <c r="G9889" t="s">
        <v>10102</v>
      </c>
      <c r="H9889" s="6">
        <v>45078</v>
      </c>
      <c r="I9889">
        <f t="shared" si="308"/>
        <v>0</v>
      </c>
      <c r="J9889" t="str">
        <f t="shared" si="309"/>
        <v>Complete</v>
      </c>
      <c r="K9889">
        <f>COUNTIFS(RawData[Item], B9889,RawData[Quantity],C9889,RawData[Price Per Unit],D9889,RawData[Total Spent],E9889,RawData[Payment Method],F9889,RawData[Location],G9889,RawData[Transaction Date],H9889)</f>
        <v>1</v>
      </c>
      <c r="L9889"/>
    </row>
    <row r="9890" spans="1:12" x14ac:dyDescent="0.3">
      <c r="A9890" t="s">
        <v>9896</v>
      </c>
      <c r="B9890" t="s">
        <v>10014</v>
      </c>
      <c r="C9890">
        <v>4</v>
      </c>
      <c r="D9890">
        <v>4</v>
      </c>
      <c r="E9890">
        <v>16</v>
      </c>
      <c r="F9890" t="s">
        <v>10020</v>
      </c>
      <c r="G9890" t="s">
        <v>10069</v>
      </c>
      <c r="H9890" s="6">
        <v>45083</v>
      </c>
      <c r="I9890">
        <f t="shared" si="308"/>
        <v>0</v>
      </c>
      <c r="J9890" t="str">
        <f t="shared" si="309"/>
        <v>Complete</v>
      </c>
      <c r="K9890">
        <f>COUNTIFS(RawData[Item], B9890,RawData[Quantity],C9890,RawData[Price Per Unit],D9890,RawData[Total Spent],E9890,RawData[Payment Method],F9890,RawData[Location],G9890,RawData[Transaction Date],H9890)</f>
        <v>1</v>
      </c>
      <c r="L9890"/>
    </row>
    <row r="9891" spans="1:12" x14ac:dyDescent="0.3">
      <c r="A9891" t="s">
        <v>9897</v>
      </c>
      <c r="B9891" t="s">
        <v>10011</v>
      </c>
      <c r="C9891">
        <v>1</v>
      </c>
      <c r="D9891">
        <v>5</v>
      </c>
      <c r="E9891">
        <v>5</v>
      </c>
      <c r="F9891" t="s">
        <v>10019</v>
      </c>
      <c r="G9891" t="s">
        <v>10104</v>
      </c>
      <c r="H9891" s="6">
        <v>45112</v>
      </c>
      <c r="I9891">
        <f t="shared" si="308"/>
        <v>1</v>
      </c>
      <c r="J9891" t="str">
        <f t="shared" si="309"/>
        <v>Complete</v>
      </c>
      <c r="K9891">
        <f>COUNTIFS(RawData[Item], B9891,RawData[Quantity],C9891,RawData[Price Per Unit],D9891,RawData[Total Spent],E9891,RawData[Payment Method],F9891,RawData[Location],G9891,RawData[Transaction Date],H9891)</f>
        <v>1</v>
      </c>
      <c r="L9891"/>
    </row>
    <row r="9892" spans="1:12" x14ac:dyDescent="0.3">
      <c r="A9892" t="s">
        <v>9898</v>
      </c>
      <c r="B9892" t="s">
        <v>10012</v>
      </c>
      <c r="C9892">
        <v>2</v>
      </c>
      <c r="D9892">
        <v>4</v>
      </c>
      <c r="E9892">
        <v>0</v>
      </c>
      <c r="F9892" t="s">
        <v>10020</v>
      </c>
      <c r="G9892" t="s">
        <v>10021</v>
      </c>
      <c r="H9892" s="6">
        <v>45051</v>
      </c>
      <c r="I9892">
        <f t="shared" si="308"/>
        <v>0</v>
      </c>
      <c r="J9892" t="str">
        <f t="shared" si="309"/>
        <v>Complete</v>
      </c>
      <c r="K9892">
        <f>COUNTIFS(RawData[Item], B9892,RawData[Quantity],C9892,RawData[Price Per Unit],D9892,RawData[Total Spent],E9892,RawData[Payment Method],F9892,RawData[Location],G9892,RawData[Transaction Date],H9892)</f>
        <v>1</v>
      </c>
      <c r="L9892"/>
    </row>
    <row r="9893" spans="1:12" x14ac:dyDescent="0.3">
      <c r="A9893" t="s">
        <v>9899</v>
      </c>
      <c r="B9893" t="s">
        <v>10008</v>
      </c>
      <c r="C9893">
        <v>5</v>
      </c>
      <c r="D9893">
        <v>2</v>
      </c>
      <c r="E9893">
        <v>10</v>
      </c>
      <c r="F9893" t="s">
        <v>10069</v>
      </c>
      <c r="G9893" t="s">
        <v>10102</v>
      </c>
      <c r="H9893" s="6">
        <v>45055</v>
      </c>
      <c r="I9893">
        <f t="shared" si="308"/>
        <v>0</v>
      </c>
      <c r="J9893" t="str">
        <f t="shared" si="309"/>
        <v>Complete</v>
      </c>
      <c r="K9893">
        <f>COUNTIFS(RawData[Item], B9893,RawData[Quantity],C9893,RawData[Price Per Unit],D9893,RawData[Total Spent],E9893,RawData[Payment Method],F9893,RawData[Location],G9893,RawData[Transaction Date],H9893)</f>
        <v>1</v>
      </c>
      <c r="L9893"/>
    </row>
    <row r="9894" spans="1:12" x14ac:dyDescent="0.3">
      <c r="A9894" t="s">
        <v>9900</v>
      </c>
      <c r="B9894" t="s">
        <v>10016</v>
      </c>
      <c r="C9894">
        <v>1</v>
      </c>
      <c r="D9894">
        <v>3</v>
      </c>
      <c r="E9894">
        <v>3</v>
      </c>
      <c r="F9894" t="s">
        <v>10069</v>
      </c>
      <c r="G9894" t="s">
        <v>10021</v>
      </c>
      <c r="H9894" s="6">
        <v>44953</v>
      </c>
      <c r="I9894">
        <f t="shared" si="308"/>
        <v>0</v>
      </c>
      <c r="J9894" t="str">
        <f t="shared" si="309"/>
        <v>Complete</v>
      </c>
      <c r="K9894">
        <f>COUNTIFS(RawData[Item], B9894,RawData[Quantity],C9894,RawData[Price Per Unit],D9894,RawData[Total Spent],E9894,RawData[Payment Method],F9894,RawData[Location],G9894,RawData[Transaction Date],H9894)</f>
        <v>1</v>
      </c>
      <c r="L9894"/>
    </row>
    <row r="9895" spans="1:12" x14ac:dyDescent="0.3">
      <c r="A9895" t="s">
        <v>9901</v>
      </c>
      <c r="B9895" t="s">
        <v>10016</v>
      </c>
      <c r="C9895">
        <v>2</v>
      </c>
      <c r="D9895">
        <v>0</v>
      </c>
      <c r="E9895" t="s">
        <v>10015</v>
      </c>
      <c r="F9895" t="s">
        <v>10020</v>
      </c>
      <c r="G9895" t="s">
        <v>10021</v>
      </c>
      <c r="H9895" s="6">
        <v>44959</v>
      </c>
      <c r="I9895">
        <f t="shared" si="308"/>
        <v>1</v>
      </c>
      <c r="J9895" t="str">
        <f t="shared" si="309"/>
        <v>Complete</v>
      </c>
      <c r="K9895">
        <f>COUNTIFS(RawData[Item], B9895,RawData[Quantity],C9895,RawData[Price Per Unit],D9895,RawData[Total Spent],E9895,RawData[Payment Method],F9895,RawData[Location],G9895,RawData[Transaction Date],H9895)</f>
        <v>1</v>
      </c>
      <c r="L9895"/>
    </row>
    <row r="9896" spans="1:12" x14ac:dyDescent="0.3">
      <c r="A9896" t="s">
        <v>9902</v>
      </c>
      <c r="B9896" t="s">
        <v>10010</v>
      </c>
      <c r="C9896">
        <v>1</v>
      </c>
      <c r="D9896">
        <v>1</v>
      </c>
      <c r="E9896">
        <v>1</v>
      </c>
      <c r="F9896" t="s">
        <v>10019</v>
      </c>
      <c r="G9896" t="s">
        <v>10021</v>
      </c>
      <c r="H9896" s="6">
        <v>45253</v>
      </c>
      <c r="I9896">
        <f t="shared" si="308"/>
        <v>0</v>
      </c>
      <c r="J9896" t="str">
        <f t="shared" si="309"/>
        <v>Complete</v>
      </c>
      <c r="K9896">
        <f>COUNTIFS(RawData[Item], B9896,RawData[Quantity],C9896,RawData[Price Per Unit],D9896,RawData[Total Spent],E9896,RawData[Payment Method],F9896,RawData[Location],G9896,RawData[Transaction Date],H9896)</f>
        <v>1</v>
      </c>
      <c r="L9896"/>
    </row>
    <row r="9897" spans="1:12" x14ac:dyDescent="0.3">
      <c r="A9897" t="s">
        <v>9903</v>
      </c>
      <c r="B9897" t="s">
        <v>10012</v>
      </c>
      <c r="C9897">
        <v>5</v>
      </c>
      <c r="D9897">
        <v>4</v>
      </c>
      <c r="E9897">
        <v>20</v>
      </c>
      <c r="F9897" t="s">
        <v>10104</v>
      </c>
      <c r="G9897" t="s">
        <v>10069</v>
      </c>
      <c r="H9897" s="6">
        <v>45164</v>
      </c>
      <c r="I9897">
        <f t="shared" si="308"/>
        <v>1</v>
      </c>
      <c r="J9897" t="str">
        <f t="shared" si="309"/>
        <v>Complete</v>
      </c>
      <c r="K9897">
        <f>COUNTIFS(RawData[Item], B9897,RawData[Quantity],C9897,RawData[Price Per Unit],D9897,RawData[Total Spent],E9897,RawData[Payment Method],F9897,RawData[Location],G9897,RawData[Transaction Date],H9897)</f>
        <v>1</v>
      </c>
      <c r="L9897"/>
    </row>
    <row r="9898" spans="1:12" x14ac:dyDescent="0.3">
      <c r="A9898" t="s">
        <v>9904</v>
      </c>
      <c r="B9898" t="s">
        <v>10008</v>
      </c>
      <c r="C9898">
        <v>0</v>
      </c>
      <c r="D9898">
        <v>2</v>
      </c>
      <c r="E9898">
        <v>10</v>
      </c>
      <c r="F9898" t="s">
        <v>10019</v>
      </c>
      <c r="G9898" t="s">
        <v>10102</v>
      </c>
      <c r="H9898" s="6">
        <v>44997</v>
      </c>
      <c r="I9898">
        <f t="shared" si="308"/>
        <v>0</v>
      </c>
      <c r="J9898" t="str">
        <f t="shared" si="309"/>
        <v>Complete</v>
      </c>
      <c r="K9898">
        <f>COUNTIFS(RawData[Item], B9898,RawData[Quantity],C9898,RawData[Price Per Unit],D9898,RawData[Total Spent],E9898,RawData[Payment Method],F9898,RawData[Location],G9898,RawData[Transaction Date],H9898)</f>
        <v>1</v>
      </c>
      <c r="L9898"/>
    </row>
    <row r="9899" spans="1:12" x14ac:dyDescent="0.3">
      <c r="A9899" t="s">
        <v>9905</v>
      </c>
      <c r="B9899" t="s">
        <v>10016</v>
      </c>
      <c r="C9899">
        <v>5</v>
      </c>
      <c r="D9899">
        <v>3</v>
      </c>
      <c r="E9899">
        <v>15</v>
      </c>
      <c r="F9899" t="s">
        <v>10020</v>
      </c>
      <c r="G9899" t="s">
        <v>10069</v>
      </c>
      <c r="H9899" s="6">
        <v>45190</v>
      </c>
      <c r="I9899">
        <f t="shared" si="308"/>
        <v>0</v>
      </c>
      <c r="J9899" t="str">
        <f t="shared" si="309"/>
        <v>Complete</v>
      </c>
      <c r="K9899">
        <f>COUNTIFS(RawData[Item], B9899,RawData[Quantity],C9899,RawData[Price Per Unit],D9899,RawData[Total Spent],E9899,RawData[Payment Method],F9899,RawData[Location],G9899,RawData[Transaction Date],H9899)</f>
        <v>2</v>
      </c>
      <c r="L9899"/>
    </row>
    <row r="9900" spans="1:12" x14ac:dyDescent="0.3">
      <c r="A9900" t="s">
        <v>9906</v>
      </c>
      <c r="B9900" t="s">
        <v>10016</v>
      </c>
      <c r="C9900">
        <v>3</v>
      </c>
      <c r="D9900">
        <v>3</v>
      </c>
      <c r="E9900">
        <v>9</v>
      </c>
      <c r="F9900" t="s">
        <v>10019</v>
      </c>
      <c r="G9900" t="s">
        <v>10021</v>
      </c>
      <c r="H9900" s="6">
        <v>45196</v>
      </c>
      <c r="I9900">
        <f t="shared" si="308"/>
        <v>0</v>
      </c>
      <c r="J9900" t="str">
        <f t="shared" si="309"/>
        <v>Complete</v>
      </c>
      <c r="K9900">
        <f>COUNTIFS(RawData[Item], B9900,RawData[Quantity],C9900,RawData[Price Per Unit],D9900,RawData[Total Spent],E9900,RawData[Payment Method],F9900,RawData[Location],G9900,RawData[Transaction Date],H9900)</f>
        <v>2</v>
      </c>
      <c r="L9900"/>
    </row>
    <row r="9901" spans="1:12" x14ac:dyDescent="0.3">
      <c r="A9901" t="s">
        <v>9907</v>
      </c>
      <c r="B9901" t="s">
        <v>10016</v>
      </c>
      <c r="C9901">
        <v>1</v>
      </c>
      <c r="D9901">
        <v>3</v>
      </c>
      <c r="E9901">
        <v>3</v>
      </c>
      <c r="F9901" t="s">
        <v>10019</v>
      </c>
      <c r="G9901" t="s">
        <v>10021</v>
      </c>
      <c r="H9901" s="6">
        <v>45223</v>
      </c>
      <c r="I9901">
        <f t="shared" si="308"/>
        <v>0</v>
      </c>
      <c r="J9901" t="str">
        <f t="shared" si="309"/>
        <v>Complete</v>
      </c>
      <c r="K9901">
        <f>COUNTIFS(RawData[Item], B9901,RawData[Quantity],C9901,RawData[Price Per Unit],D9901,RawData[Total Spent],E9901,RawData[Payment Method],F9901,RawData[Location],G9901,RawData[Transaction Date],H9901)</f>
        <v>1</v>
      </c>
      <c r="L9901"/>
    </row>
    <row r="9902" spans="1:12" x14ac:dyDescent="0.3">
      <c r="A9902" t="s">
        <v>9908</v>
      </c>
      <c r="B9902" t="s">
        <v>10016</v>
      </c>
      <c r="C9902">
        <v>5</v>
      </c>
      <c r="D9902">
        <v>3</v>
      </c>
      <c r="E9902">
        <v>15</v>
      </c>
      <c r="F9902" t="s">
        <v>10018</v>
      </c>
      <c r="G9902" t="s">
        <v>10069</v>
      </c>
      <c r="H9902" s="6">
        <v>44992</v>
      </c>
      <c r="I9902">
        <f t="shared" si="308"/>
        <v>0</v>
      </c>
      <c r="J9902" t="str">
        <f t="shared" si="309"/>
        <v>Complete</v>
      </c>
      <c r="K9902">
        <f>COUNTIFS(RawData[Item], B9902,RawData[Quantity],C9902,RawData[Price Per Unit],D9902,RawData[Total Spent],E9902,RawData[Payment Method],F9902,RawData[Location],G9902,RawData[Transaction Date],H9902)</f>
        <v>1</v>
      </c>
      <c r="L9902"/>
    </row>
    <row r="9903" spans="1:12" x14ac:dyDescent="0.3">
      <c r="A9903" t="s">
        <v>9909</v>
      </c>
      <c r="B9903" t="s">
        <v>10010</v>
      </c>
      <c r="C9903">
        <v>1</v>
      </c>
      <c r="D9903">
        <v>1</v>
      </c>
      <c r="E9903">
        <v>1</v>
      </c>
      <c r="F9903" t="s">
        <v>10020</v>
      </c>
      <c r="G9903" t="s">
        <v>10102</v>
      </c>
      <c r="H9903" s="6">
        <v>45122</v>
      </c>
      <c r="I9903">
        <f t="shared" si="308"/>
        <v>0</v>
      </c>
      <c r="J9903" t="str">
        <f t="shared" si="309"/>
        <v>Complete</v>
      </c>
      <c r="K9903">
        <f>COUNTIFS(RawData[Item], B9903,RawData[Quantity],C9903,RawData[Price Per Unit],D9903,RawData[Total Spent],E9903,RawData[Payment Method],F9903,RawData[Location],G9903,RawData[Transaction Date],H9903)</f>
        <v>1</v>
      </c>
      <c r="L9903"/>
    </row>
    <row r="9904" spans="1:12" x14ac:dyDescent="0.3">
      <c r="A9904" t="s">
        <v>9910</v>
      </c>
      <c r="B9904" t="s">
        <v>10017</v>
      </c>
      <c r="C9904">
        <v>5</v>
      </c>
      <c r="D9904">
        <v>1.5</v>
      </c>
      <c r="E9904">
        <v>7.5</v>
      </c>
      <c r="F9904" t="s">
        <v>10018</v>
      </c>
      <c r="G9904" t="s">
        <v>10021</v>
      </c>
      <c r="H9904" s="6">
        <v>45125</v>
      </c>
      <c r="I9904">
        <f t="shared" si="308"/>
        <v>0</v>
      </c>
      <c r="J9904" t="str">
        <f t="shared" si="309"/>
        <v>Complete</v>
      </c>
      <c r="K9904">
        <f>COUNTIFS(RawData[Item], B9904,RawData[Quantity],C9904,RawData[Price Per Unit],D9904,RawData[Total Spent],E9904,RawData[Payment Method],F9904,RawData[Location],G9904,RawData[Transaction Date],H9904)</f>
        <v>1</v>
      </c>
      <c r="L9904"/>
    </row>
    <row r="9905" spans="1:12" x14ac:dyDescent="0.3">
      <c r="A9905" t="s">
        <v>9911</v>
      </c>
      <c r="B9905" t="s">
        <v>10009</v>
      </c>
      <c r="C9905">
        <v>2</v>
      </c>
      <c r="D9905">
        <v>3</v>
      </c>
      <c r="E9905">
        <v>6</v>
      </c>
      <c r="F9905" t="s">
        <v>10020</v>
      </c>
      <c r="G9905" t="s">
        <v>10102</v>
      </c>
      <c r="H9905" s="6">
        <v>44952</v>
      </c>
      <c r="I9905">
        <f t="shared" si="308"/>
        <v>0</v>
      </c>
      <c r="J9905" t="str">
        <f t="shared" si="309"/>
        <v>Complete</v>
      </c>
      <c r="K9905">
        <f>COUNTIFS(RawData[Item], B9905,RawData[Quantity],C9905,RawData[Price Per Unit],D9905,RawData[Total Spent],E9905,RawData[Payment Method],F9905,RawData[Location],G9905,RawData[Transaction Date],H9905)</f>
        <v>1</v>
      </c>
      <c r="L9905"/>
    </row>
    <row r="9906" spans="1:12" x14ac:dyDescent="0.3">
      <c r="A9906" t="s">
        <v>9912</v>
      </c>
      <c r="B9906" t="s">
        <v>10017</v>
      </c>
      <c r="C9906">
        <v>4</v>
      </c>
      <c r="D9906">
        <v>1.5</v>
      </c>
      <c r="E9906">
        <v>6</v>
      </c>
      <c r="F9906" t="s">
        <v>10020</v>
      </c>
      <c r="G9906" t="s">
        <v>10102</v>
      </c>
      <c r="H9906" s="6">
        <v>45109</v>
      </c>
      <c r="I9906">
        <f t="shared" si="308"/>
        <v>0</v>
      </c>
      <c r="J9906" t="str">
        <f t="shared" si="309"/>
        <v>Complete</v>
      </c>
      <c r="K9906">
        <f>COUNTIFS(RawData[Item], B9906,RawData[Quantity],C9906,RawData[Price Per Unit],D9906,RawData[Total Spent],E9906,RawData[Payment Method],F9906,RawData[Location],G9906,RawData[Transaction Date],H9906)</f>
        <v>1</v>
      </c>
      <c r="L9906"/>
    </row>
    <row r="9907" spans="1:12" x14ac:dyDescent="0.3">
      <c r="A9907" t="s">
        <v>9913</v>
      </c>
      <c r="B9907" t="s">
        <v>10012</v>
      </c>
      <c r="C9907">
        <v>1</v>
      </c>
      <c r="D9907">
        <v>4</v>
      </c>
      <c r="E9907">
        <v>4</v>
      </c>
      <c r="F9907" t="s">
        <v>10018</v>
      </c>
      <c r="G9907" t="s">
        <v>10021</v>
      </c>
      <c r="H9907" s="6">
        <v>44947</v>
      </c>
      <c r="I9907">
        <f t="shared" si="308"/>
        <v>0</v>
      </c>
      <c r="J9907" t="str">
        <f t="shared" si="309"/>
        <v>Complete</v>
      </c>
      <c r="K9907">
        <f>COUNTIFS(RawData[Item], B9907,RawData[Quantity],C9907,RawData[Price Per Unit],D9907,RawData[Total Spent],E9907,RawData[Payment Method],F9907,RawData[Location],G9907,RawData[Transaction Date],H9907)</f>
        <v>1</v>
      </c>
      <c r="L9907"/>
    </row>
    <row r="9908" spans="1:12" x14ac:dyDescent="0.3">
      <c r="A9908" t="s">
        <v>9914</v>
      </c>
      <c r="B9908" t="s">
        <v>10009</v>
      </c>
      <c r="C9908">
        <v>1</v>
      </c>
      <c r="D9908">
        <v>3</v>
      </c>
      <c r="E9908">
        <v>3</v>
      </c>
      <c r="F9908" t="s">
        <v>10019</v>
      </c>
      <c r="G9908" t="s">
        <v>10069</v>
      </c>
      <c r="H9908" s="6">
        <v>45195</v>
      </c>
      <c r="I9908">
        <f t="shared" si="308"/>
        <v>0</v>
      </c>
      <c r="J9908" t="str">
        <f t="shared" si="309"/>
        <v>Complete</v>
      </c>
      <c r="K9908">
        <f>COUNTIFS(RawData[Item], B9908,RawData[Quantity],C9908,RawData[Price Per Unit],D9908,RawData[Total Spent],E9908,RawData[Payment Method],F9908,RawData[Location],G9908,RawData[Transaction Date],H9908)</f>
        <v>1</v>
      </c>
      <c r="L9908"/>
    </row>
    <row r="9909" spans="1:12" x14ac:dyDescent="0.3">
      <c r="A9909" t="s">
        <v>9915</v>
      </c>
      <c r="B9909" t="s">
        <v>10010</v>
      </c>
      <c r="C9909">
        <v>1</v>
      </c>
      <c r="D9909">
        <v>1</v>
      </c>
      <c r="E9909">
        <v>1</v>
      </c>
      <c r="F9909" t="s">
        <v>10069</v>
      </c>
      <c r="G9909" t="s">
        <v>10021</v>
      </c>
      <c r="H9909" s="6" t="s">
        <v>10112</v>
      </c>
      <c r="I9909">
        <f t="shared" si="308"/>
        <v>1</v>
      </c>
      <c r="J9909" t="str">
        <f t="shared" si="309"/>
        <v>Incomplete</v>
      </c>
      <c r="K9909">
        <f>COUNTIFS(RawData[Item], B9909,RawData[Quantity],C9909,RawData[Price Per Unit],D9909,RawData[Total Spent],E9909,RawData[Payment Method],F9909,RawData[Location],G9909,RawData[Transaction Date],H9909)</f>
        <v>1</v>
      </c>
      <c r="L9909"/>
    </row>
    <row r="9910" spans="1:12" x14ac:dyDescent="0.3">
      <c r="A9910" t="s">
        <v>9916</v>
      </c>
      <c r="B9910" t="s">
        <v>10011</v>
      </c>
      <c r="C9910">
        <v>5</v>
      </c>
      <c r="D9910">
        <v>5</v>
      </c>
      <c r="E9910">
        <v>25</v>
      </c>
      <c r="F9910" t="s">
        <v>10018</v>
      </c>
      <c r="G9910" t="s">
        <v>10103</v>
      </c>
      <c r="H9910" s="6">
        <v>45099</v>
      </c>
      <c r="I9910">
        <f t="shared" si="308"/>
        <v>1</v>
      </c>
      <c r="J9910" t="str">
        <f t="shared" si="309"/>
        <v>Complete</v>
      </c>
      <c r="K9910">
        <f>COUNTIFS(RawData[Item], B9910,RawData[Quantity],C9910,RawData[Price Per Unit],D9910,RawData[Total Spent],E9910,RawData[Payment Method],F9910,RawData[Location],G9910,RawData[Transaction Date],H9910)</f>
        <v>1</v>
      </c>
      <c r="L9910"/>
    </row>
    <row r="9911" spans="1:12" x14ac:dyDescent="0.3">
      <c r="A9911" t="s">
        <v>9917</v>
      </c>
      <c r="B9911" t="s">
        <v>10014</v>
      </c>
      <c r="C9911">
        <v>5</v>
      </c>
      <c r="D9911">
        <v>4</v>
      </c>
      <c r="E9911">
        <v>20</v>
      </c>
      <c r="F9911" t="s">
        <v>10020</v>
      </c>
      <c r="G9911" t="s">
        <v>10021</v>
      </c>
      <c r="H9911" s="6">
        <v>45046</v>
      </c>
      <c r="I9911">
        <f t="shared" si="308"/>
        <v>0</v>
      </c>
      <c r="J9911" t="str">
        <f t="shared" si="309"/>
        <v>Complete</v>
      </c>
      <c r="K9911">
        <f>COUNTIFS(RawData[Item], B9911,RawData[Quantity],C9911,RawData[Price Per Unit],D9911,RawData[Total Spent],E9911,RawData[Payment Method],F9911,RawData[Location],G9911,RawData[Transaction Date],H9911)</f>
        <v>2</v>
      </c>
      <c r="L9911"/>
    </row>
    <row r="9912" spans="1:12" x14ac:dyDescent="0.3">
      <c r="A9912" t="s">
        <v>9918</v>
      </c>
      <c r="B9912" t="s">
        <v>10015</v>
      </c>
      <c r="C9912">
        <v>2</v>
      </c>
      <c r="D9912">
        <v>3</v>
      </c>
      <c r="E9912">
        <v>6</v>
      </c>
      <c r="F9912" t="s">
        <v>10020</v>
      </c>
      <c r="G9912" t="s">
        <v>10103</v>
      </c>
      <c r="H9912" s="6">
        <v>44938</v>
      </c>
      <c r="I9912">
        <f t="shared" si="308"/>
        <v>2</v>
      </c>
      <c r="J9912" t="str">
        <f t="shared" si="309"/>
        <v>Complete</v>
      </c>
      <c r="K9912">
        <f>COUNTIFS(RawData[Item], B9912,RawData[Quantity],C9912,RawData[Price Per Unit],D9912,RawData[Total Spent],E9912,RawData[Payment Method],F9912,RawData[Location],G9912,RawData[Transaction Date],H9912)</f>
        <v>1</v>
      </c>
      <c r="L9912"/>
    </row>
    <row r="9913" spans="1:12" x14ac:dyDescent="0.3">
      <c r="A9913" t="s">
        <v>9919</v>
      </c>
      <c r="B9913" t="s">
        <v>10008</v>
      </c>
      <c r="C9913" t="s">
        <v>10015</v>
      </c>
      <c r="D9913">
        <v>2</v>
      </c>
      <c r="E9913">
        <v>10</v>
      </c>
      <c r="F9913" t="s">
        <v>10069</v>
      </c>
      <c r="G9913" t="s">
        <v>10021</v>
      </c>
      <c r="H9913" s="6">
        <v>45156</v>
      </c>
      <c r="I9913">
        <f t="shared" si="308"/>
        <v>1</v>
      </c>
      <c r="J9913" t="str">
        <f t="shared" si="309"/>
        <v>Complete</v>
      </c>
      <c r="K9913">
        <f>COUNTIFS(RawData[Item], B9913,RawData[Quantity],C9913,RawData[Price Per Unit],D9913,RawData[Total Spent],E9913,RawData[Payment Method],F9913,RawData[Location],G9913,RawData[Transaction Date],H9913)</f>
        <v>1</v>
      </c>
      <c r="L9913"/>
    </row>
    <row r="9914" spans="1:12" x14ac:dyDescent="0.3">
      <c r="A9914" t="s">
        <v>9920</v>
      </c>
      <c r="B9914" t="s">
        <v>10012</v>
      </c>
      <c r="C9914">
        <v>5</v>
      </c>
      <c r="D9914">
        <v>4</v>
      </c>
      <c r="E9914">
        <v>20</v>
      </c>
      <c r="F9914" t="s">
        <v>10069</v>
      </c>
      <c r="G9914" t="s">
        <v>10102</v>
      </c>
      <c r="H9914" s="6">
        <v>45268</v>
      </c>
      <c r="I9914">
        <f t="shared" si="308"/>
        <v>0</v>
      </c>
      <c r="J9914" t="str">
        <f t="shared" si="309"/>
        <v>Complete</v>
      </c>
      <c r="K9914">
        <f>COUNTIFS(RawData[Item], B9914,RawData[Quantity],C9914,RawData[Price Per Unit],D9914,RawData[Total Spent],E9914,RawData[Payment Method],F9914,RawData[Location],G9914,RawData[Transaction Date],H9914)</f>
        <v>1</v>
      </c>
      <c r="L9914"/>
    </row>
    <row r="9915" spans="1:12" x14ac:dyDescent="0.3">
      <c r="A9915" t="s">
        <v>9921</v>
      </c>
      <c r="B9915" t="s">
        <v>10017</v>
      </c>
      <c r="C9915">
        <v>1</v>
      </c>
      <c r="D9915">
        <v>1.5</v>
      </c>
      <c r="E9915">
        <v>1.5</v>
      </c>
      <c r="F9915" t="s">
        <v>10018</v>
      </c>
      <c r="G9915" t="s">
        <v>10103</v>
      </c>
      <c r="H9915" s="6">
        <v>45273</v>
      </c>
      <c r="I9915">
        <f t="shared" si="308"/>
        <v>1</v>
      </c>
      <c r="J9915" t="str">
        <f t="shared" si="309"/>
        <v>Complete</v>
      </c>
      <c r="K9915">
        <f>COUNTIFS(RawData[Item], B9915,RawData[Quantity],C9915,RawData[Price Per Unit],D9915,RawData[Total Spent],E9915,RawData[Payment Method],F9915,RawData[Location],G9915,RawData[Transaction Date],H9915)</f>
        <v>1</v>
      </c>
      <c r="L9915"/>
    </row>
    <row r="9916" spans="1:12" x14ac:dyDescent="0.3">
      <c r="A9916" t="s">
        <v>9922</v>
      </c>
      <c r="B9916" t="s">
        <v>10009</v>
      </c>
      <c r="C9916">
        <v>3</v>
      </c>
      <c r="D9916">
        <v>3</v>
      </c>
      <c r="E9916">
        <v>9</v>
      </c>
      <c r="F9916" t="s">
        <v>10018</v>
      </c>
      <c r="G9916" t="s">
        <v>10021</v>
      </c>
      <c r="H9916" s="6">
        <v>45252</v>
      </c>
      <c r="I9916">
        <f t="shared" si="308"/>
        <v>0</v>
      </c>
      <c r="J9916" t="str">
        <f t="shared" si="309"/>
        <v>Complete</v>
      </c>
      <c r="K9916">
        <f>COUNTIFS(RawData[Item], B9916,RawData[Quantity],C9916,RawData[Price Per Unit],D9916,RawData[Total Spent],E9916,RawData[Payment Method],F9916,RawData[Location],G9916,RawData[Transaction Date],H9916)</f>
        <v>1</v>
      </c>
      <c r="L9916"/>
    </row>
    <row r="9917" spans="1:12" x14ac:dyDescent="0.3">
      <c r="A9917" t="s">
        <v>9923</v>
      </c>
      <c r="B9917" t="s">
        <v>10011</v>
      </c>
      <c r="C9917">
        <v>1</v>
      </c>
      <c r="D9917">
        <v>5</v>
      </c>
      <c r="E9917">
        <v>5</v>
      </c>
      <c r="F9917" t="s">
        <v>10069</v>
      </c>
      <c r="G9917" t="s">
        <v>10102</v>
      </c>
      <c r="H9917" s="6">
        <v>44981</v>
      </c>
      <c r="I9917">
        <f t="shared" si="308"/>
        <v>0</v>
      </c>
      <c r="J9917" t="str">
        <f t="shared" si="309"/>
        <v>Complete</v>
      </c>
      <c r="K9917">
        <f>COUNTIFS(RawData[Item], B9917,RawData[Quantity],C9917,RawData[Price Per Unit],D9917,RawData[Total Spent],E9917,RawData[Payment Method],F9917,RawData[Location],G9917,RawData[Transaction Date],H9917)</f>
        <v>1</v>
      </c>
      <c r="L9917"/>
    </row>
    <row r="9918" spans="1:12" x14ac:dyDescent="0.3">
      <c r="A9918" t="s">
        <v>9924</v>
      </c>
      <c r="B9918" t="s">
        <v>10008</v>
      </c>
      <c r="C9918">
        <v>3</v>
      </c>
      <c r="D9918">
        <v>2</v>
      </c>
      <c r="E9918">
        <v>6</v>
      </c>
      <c r="F9918" t="s">
        <v>10020</v>
      </c>
      <c r="G9918" t="s">
        <v>10102</v>
      </c>
      <c r="H9918" s="6">
        <v>45214</v>
      </c>
      <c r="I9918">
        <f t="shared" si="308"/>
        <v>0</v>
      </c>
      <c r="J9918" t="str">
        <f t="shared" si="309"/>
        <v>Complete</v>
      </c>
      <c r="K9918">
        <f>COUNTIFS(RawData[Item], B9918,RawData[Quantity],C9918,RawData[Price Per Unit],D9918,RawData[Total Spent],E9918,RawData[Payment Method],F9918,RawData[Location],G9918,RawData[Transaction Date],H9918)</f>
        <v>1</v>
      </c>
      <c r="L9918"/>
    </row>
    <row r="9919" spans="1:12" x14ac:dyDescent="0.3">
      <c r="A9919" t="s">
        <v>9925</v>
      </c>
      <c r="B9919" t="s">
        <v>10012</v>
      </c>
      <c r="C9919">
        <v>1</v>
      </c>
      <c r="D9919">
        <v>4</v>
      </c>
      <c r="E9919">
        <v>4</v>
      </c>
      <c r="F9919" t="s">
        <v>10019</v>
      </c>
      <c r="G9919" t="s">
        <v>10069</v>
      </c>
      <c r="H9919" s="6">
        <v>45179</v>
      </c>
      <c r="I9919">
        <f t="shared" si="308"/>
        <v>0</v>
      </c>
      <c r="J9919" t="str">
        <f t="shared" si="309"/>
        <v>Complete</v>
      </c>
      <c r="K9919">
        <f>COUNTIFS(RawData[Item], B9919,RawData[Quantity],C9919,RawData[Price Per Unit],D9919,RawData[Total Spent],E9919,RawData[Payment Method],F9919,RawData[Location],G9919,RawData[Transaction Date],H9919)</f>
        <v>1</v>
      </c>
      <c r="L9919"/>
    </row>
    <row r="9920" spans="1:12" x14ac:dyDescent="0.3">
      <c r="A9920" t="s">
        <v>9926</v>
      </c>
      <c r="B9920" t="s">
        <v>10015</v>
      </c>
      <c r="C9920">
        <v>1</v>
      </c>
      <c r="D9920">
        <v>4</v>
      </c>
      <c r="E9920">
        <v>4</v>
      </c>
      <c r="F9920" t="s">
        <v>10020</v>
      </c>
      <c r="G9920" t="s">
        <v>10021</v>
      </c>
      <c r="H9920" s="6">
        <v>44989</v>
      </c>
      <c r="I9920">
        <f t="shared" si="308"/>
        <v>1</v>
      </c>
      <c r="J9920" t="str">
        <f t="shared" si="309"/>
        <v>Complete</v>
      </c>
      <c r="K9920">
        <f>COUNTIFS(RawData[Item], B9920,RawData[Quantity],C9920,RawData[Price Per Unit],D9920,RawData[Total Spent],E9920,RawData[Payment Method],F9920,RawData[Location],G9920,RawData[Transaction Date],H9920)</f>
        <v>1</v>
      </c>
      <c r="L9920"/>
    </row>
    <row r="9921" spans="1:12" x14ac:dyDescent="0.3">
      <c r="A9921" t="s">
        <v>9927</v>
      </c>
      <c r="B9921" t="s">
        <v>10009</v>
      </c>
      <c r="C9921">
        <v>1</v>
      </c>
      <c r="D9921">
        <v>3</v>
      </c>
      <c r="E9921">
        <v>3</v>
      </c>
      <c r="F9921" t="s">
        <v>10069</v>
      </c>
      <c r="G9921" t="s">
        <v>10021</v>
      </c>
      <c r="H9921" s="6">
        <v>45189</v>
      </c>
      <c r="I9921">
        <f t="shared" si="308"/>
        <v>0</v>
      </c>
      <c r="J9921" t="str">
        <f t="shared" si="309"/>
        <v>Complete</v>
      </c>
      <c r="K9921">
        <f>COUNTIFS(RawData[Item], B9921,RawData[Quantity],C9921,RawData[Price Per Unit],D9921,RawData[Total Spent],E9921,RawData[Payment Method],F9921,RawData[Location],G9921,RawData[Transaction Date],H9921)</f>
        <v>1</v>
      </c>
      <c r="L9921"/>
    </row>
    <row r="9922" spans="1:12" x14ac:dyDescent="0.3">
      <c r="A9922" t="s">
        <v>9928</v>
      </c>
      <c r="B9922" t="s">
        <v>10011</v>
      </c>
      <c r="C9922">
        <v>4</v>
      </c>
      <c r="D9922">
        <v>5</v>
      </c>
      <c r="E9922">
        <v>20</v>
      </c>
      <c r="F9922" t="s">
        <v>10019</v>
      </c>
      <c r="G9922" t="s">
        <v>10102</v>
      </c>
      <c r="H9922" s="6">
        <v>44994</v>
      </c>
      <c r="I9922">
        <f t="shared" ref="I9922:I9985" si="310">(B9922="Unknown")+(B9922="Error")+(C9922="Unknown")+(C9922="Error")+(D9922="Unknown")+(D9922="Error")+(E9922="Unknown")+(E9922="Error")+(F9922="Unknown")+(F9922="Error")+(G9922="Unknown")+(G9922="Error")+(H9922="No Date")</f>
        <v>0</v>
      </c>
      <c r="J9922" t="str">
        <f t="shared" ref="J9922:J9985" si="311">IF((H9922="No Date"),"Incomplete","Complete")</f>
        <v>Complete</v>
      </c>
      <c r="K9922">
        <f>COUNTIFS(RawData[Item], B9922,RawData[Quantity],C9922,RawData[Price Per Unit],D9922,RawData[Total Spent],E9922,RawData[Payment Method],F9922,RawData[Location],G9922,RawData[Transaction Date],H9922)</f>
        <v>1</v>
      </c>
      <c r="L9922"/>
    </row>
    <row r="9923" spans="1:12" x14ac:dyDescent="0.3">
      <c r="A9923" t="s">
        <v>9929</v>
      </c>
      <c r="B9923" t="s">
        <v>10012</v>
      </c>
      <c r="C9923">
        <v>3</v>
      </c>
      <c r="D9923">
        <v>4</v>
      </c>
      <c r="E9923">
        <v>12</v>
      </c>
      <c r="F9923" t="s">
        <v>10018</v>
      </c>
      <c r="G9923" t="s">
        <v>10102</v>
      </c>
      <c r="H9923" s="6">
        <v>45188</v>
      </c>
      <c r="I9923">
        <f t="shared" si="310"/>
        <v>0</v>
      </c>
      <c r="J9923" t="str">
        <f t="shared" si="311"/>
        <v>Complete</v>
      </c>
      <c r="K9923">
        <f>COUNTIFS(RawData[Item], B9923,RawData[Quantity],C9923,RawData[Price Per Unit],D9923,RawData[Total Spent],E9923,RawData[Payment Method],F9923,RawData[Location],G9923,RawData[Transaction Date],H9923)</f>
        <v>1</v>
      </c>
      <c r="L9923"/>
    </row>
    <row r="9924" spans="1:12" x14ac:dyDescent="0.3">
      <c r="A9924" t="s">
        <v>9930</v>
      </c>
      <c r="B9924" t="s">
        <v>10017</v>
      </c>
      <c r="C9924">
        <v>1</v>
      </c>
      <c r="D9924">
        <v>1.5</v>
      </c>
      <c r="E9924">
        <v>1.5</v>
      </c>
      <c r="F9924" t="s">
        <v>10069</v>
      </c>
      <c r="G9924" t="s">
        <v>10069</v>
      </c>
      <c r="H9924" s="6">
        <v>45105</v>
      </c>
      <c r="I9924">
        <f t="shared" si="310"/>
        <v>0</v>
      </c>
      <c r="J9924" t="str">
        <f t="shared" si="311"/>
        <v>Complete</v>
      </c>
      <c r="K9924">
        <f>COUNTIFS(RawData[Item], B9924,RawData[Quantity],C9924,RawData[Price Per Unit],D9924,RawData[Total Spent],E9924,RawData[Payment Method],F9924,RawData[Location],G9924,RawData[Transaction Date],H9924)</f>
        <v>1</v>
      </c>
      <c r="L9924"/>
    </row>
    <row r="9925" spans="1:12" x14ac:dyDescent="0.3">
      <c r="A9925" t="s">
        <v>9931</v>
      </c>
      <c r="B9925" t="s">
        <v>10009</v>
      </c>
      <c r="C9925">
        <v>2</v>
      </c>
      <c r="D9925">
        <v>3</v>
      </c>
      <c r="E9925">
        <v>6</v>
      </c>
      <c r="F9925" t="s">
        <v>10069</v>
      </c>
      <c r="G9925" t="s">
        <v>10069</v>
      </c>
      <c r="H9925" s="6">
        <v>45179</v>
      </c>
      <c r="I9925">
        <f t="shared" si="310"/>
        <v>0</v>
      </c>
      <c r="J9925" t="str">
        <f t="shared" si="311"/>
        <v>Complete</v>
      </c>
      <c r="K9925">
        <f>COUNTIFS(RawData[Item], B9925,RawData[Quantity],C9925,RawData[Price Per Unit],D9925,RawData[Total Spent],E9925,RawData[Payment Method],F9925,RawData[Location],G9925,RawData[Transaction Date],H9925)</f>
        <v>1</v>
      </c>
      <c r="L9925"/>
    </row>
    <row r="9926" spans="1:12" x14ac:dyDescent="0.3">
      <c r="A9926" t="s">
        <v>9932</v>
      </c>
      <c r="B9926" t="s">
        <v>10016</v>
      </c>
      <c r="C9926">
        <v>2</v>
      </c>
      <c r="D9926">
        <v>0</v>
      </c>
      <c r="E9926">
        <v>6</v>
      </c>
      <c r="F9926" t="s">
        <v>10020</v>
      </c>
      <c r="G9926" t="s">
        <v>10069</v>
      </c>
      <c r="H9926" s="6">
        <v>45284</v>
      </c>
      <c r="I9926">
        <f t="shared" si="310"/>
        <v>0</v>
      </c>
      <c r="J9926" t="str">
        <f t="shared" si="311"/>
        <v>Complete</v>
      </c>
      <c r="K9926">
        <f>COUNTIFS(RawData[Item], B9926,RawData[Quantity],C9926,RawData[Price Per Unit],D9926,RawData[Total Spent],E9926,RawData[Payment Method],F9926,RawData[Location],G9926,RawData[Transaction Date],H9926)</f>
        <v>1</v>
      </c>
      <c r="L9926"/>
    </row>
    <row r="9927" spans="1:12" x14ac:dyDescent="0.3">
      <c r="A9927" t="s">
        <v>9933</v>
      </c>
      <c r="B9927" t="s">
        <v>10012</v>
      </c>
      <c r="C9927">
        <v>4</v>
      </c>
      <c r="D9927">
        <v>4</v>
      </c>
      <c r="E9927">
        <v>16</v>
      </c>
      <c r="F9927" t="s">
        <v>10020</v>
      </c>
      <c r="G9927" t="s">
        <v>10069</v>
      </c>
      <c r="H9927" s="6">
        <v>45104</v>
      </c>
      <c r="I9927">
        <f t="shared" si="310"/>
        <v>0</v>
      </c>
      <c r="J9927" t="str">
        <f t="shared" si="311"/>
        <v>Complete</v>
      </c>
      <c r="K9927">
        <f>COUNTIFS(RawData[Item], B9927,RawData[Quantity],C9927,RawData[Price Per Unit],D9927,RawData[Total Spent],E9927,RawData[Payment Method],F9927,RawData[Location],G9927,RawData[Transaction Date],H9927)</f>
        <v>1</v>
      </c>
      <c r="L9927"/>
    </row>
    <row r="9928" spans="1:12" x14ac:dyDescent="0.3">
      <c r="A9928" t="s">
        <v>9934</v>
      </c>
      <c r="B9928" t="s">
        <v>10009</v>
      </c>
      <c r="C9928">
        <v>4</v>
      </c>
      <c r="D9928" t="s">
        <v>10013</v>
      </c>
      <c r="E9928">
        <v>12</v>
      </c>
      <c r="F9928" t="s">
        <v>10020</v>
      </c>
      <c r="G9928" t="s">
        <v>10021</v>
      </c>
      <c r="H9928" s="6">
        <v>45239</v>
      </c>
      <c r="I9928">
        <f t="shared" si="310"/>
        <v>1</v>
      </c>
      <c r="J9928" t="str">
        <f t="shared" si="311"/>
        <v>Complete</v>
      </c>
      <c r="K9928">
        <f>COUNTIFS(RawData[Item], B9928,RawData[Quantity],C9928,RawData[Price Per Unit],D9928,RawData[Total Spent],E9928,RawData[Payment Method],F9928,RawData[Location],G9928,RawData[Transaction Date],H9928)</f>
        <v>1</v>
      </c>
      <c r="L9928"/>
    </row>
    <row r="9929" spans="1:12" x14ac:dyDescent="0.3">
      <c r="A9929" t="s">
        <v>9935</v>
      </c>
      <c r="B9929" t="s">
        <v>10014</v>
      </c>
      <c r="C9929">
        <v>3</v>
      </c>
      <c r="D9929">
        <v>4</v>
      </c>
      <c r="E9929">
        <v>12</v>
      </c>
      <c r="F9929" t="s">
        <v>10069</v>
      </c>
      <c r="G9929" t="s">
        <v>10021</v>
      </c>
      <c r="H9929" s="6">
        <v>45248</v>
      </c>
      <c r="I9929">
        <f t="shared" si="310"/>
        <v>0</v>
      </c>
      <c r="J9929" t="str">
        <f t="shared" si="311"/>
        <v>Complete</v>
      </c>
      <c r="K9929">
        <f>COUNTIFS(RawData[Item], B9929,RawData[Quantity],C9929,RawData[Price Per Unit],D9929,RawData[Total Spent],E9929,RawData[Payment Method],F9929,RawData[Location],G9929,RawData[Transaction Date],H9929)</f>
        <v>1</v>
      </c>
      <c r="L9929"/>
    </row>
    <row r="9930" spans="1:12" x14ac:dyDescent="0.3">
      <c r="A9930" t="s">
        <v>9936</v>
      </c>
      <c r="B9930" t="s">
        <v>10011</v>
      </c>
      <c r="C9930">
        <v>3</v>
      </c>
      <c r="D9930">
        <v>5</v>
      </c>
      <c r="E9930">
        <v>15</v>
      </c>
      <c r="F9930" t="s">
        <v>10069</v>
      </c>
      <c r="G9930" t="s">
        <v>10102</v>
      </c>
      <c r="H9930" s="6">
        <v>45022</v>
      </c>
      <c r="I9930">
        <f t="shared" si="310"/>
        <v>0</v>
      </c>
      <c r="J9930" t="str">
        <f t="shared" si="311"/>
        <v>Complete</v>
      </c>
      <c r="K9930">
        <f>COUNTIFS(RawData[Item], B9930,RawData[Quantity],C9930,RawData[Price Per Unit],D9930,RawData[Total Spent],E9930,RawData[Payment Method],F9930,RawData[Location],G9930,RawData[Transaction Date],H9930)</f>
        <v>1</v>
      </c>
      <c r="L9930"/>
    </row>
    <row r="9931" spans="1:12" x14ac:dyDescent="0.3">
      <c r="A9931" t="s">
        <v>9937</v>
      </c>
      <c r="B9931" t="s">
        <v>10016</v>
      </c>
      <c r="C9931">
        <v>1</v>
      </c>
      <c r="D9931">
        <v>3</v>
      </c>
      <c r="E9931">
        <v>3</v>
      </c>
      <c r="F9931" t="s">
        <v>10019</v>
      </c>
      <c r="G9931" t="s">
        <v>10069</v>
      </c>
      <c r="H9931" s="6">
        <v>45077</v>
      </c>
      <c r="I9931">
        <f t="shared" si="310"/>
        <v>0</v>
      </c>
      <c r="J9931" t="str">
        <f t="shared" si="311"/>
        <v>Complete</v>
      </c>
      <c r="K9931">
        <f>COUNTIFS(RawData[Item], B9931,RawData[Quantity],C9931,RawData[Price Per Unit],D9931,RawData[Total Spent],E9931,RawData[Payment Method],F9931,RawData[Location],G9931,RawData[Transaction Date],H9931)</f>
        <v>1</v>
      </c>
      <c r="L9931"/>
    </row>
    <row r="9932" spans="1:12" x14ac:dyDescent="0.3">
      <c r="A9932" t="s">
        <v>9938</v>
      </c>
      <c r="B9932" t="s">
        <v>10014</v>
      </c>
      <c r="C9932">
        <v>3</v>
      </c>
      <c r="D9932">
        <v>4</v>
      </c>
      <c r="E9932">
        <v>12</v>
      </c>
      <c r="F9932" t="s">
        <v>10069</v>
      </c>
      <c r="G9932" t="s">
        <v>10021</v>
      </c>
      <c r="H9932" s="6">
        <v>45230</v>
      </c>
      <c r="I9932">
        <f t="shared" si="310"/>
        <v>0</v>
      </c>
      <c r="J9932" t="str">
        <f t="shared" si="311"/>
        <v>Complete</v>
      </c>
      <c r="K9932">
        <f>COUNTIFS(RawData[Item], B9932,RawData[Quantity],C9932,RawData[Price Per Unit],D9932,RawData[Total Spent],E9932,RawData[Payment Method],F9932,RawData[Location],G9932,RawData[Transaction Date],H9932)</f>
        <v>2</v>
      </c>
      <c r="L9932"/>
    </row>
    <row r="9933" spans="1:12" x14ac:dyDescent="0.3">
      <c r="A9933" t="s">
        <v>9939</v>
      </c>
      <c r="B9933" t="s">
        <v>10012</v>
      </c>
      <c r="C9933">
        <v>2</v>
      </c>
      <c r="D9933">
        <v>4</v>
      </c>
      <c r="E9933">
        <v>8</v>
      </c>
      <c r="F9933" t="s">
        <v>10069</v>
      </c>
      <c r="G9933" t="s">
        <v>10103</v>
      </c>
      <c r="H9933" s="6" t="s">
        <v>10112</v>
      </c>
      <c r="I9933">
        <f t="shared" si="310"/>
        <v>2</v>
      </c>
      <c r="J9933" t="str">
        <f t="shared" si="311"/>
        <v>Incomplete</v>
      </c>
      <c r="K9933">
        <f>COUNTIFS(RawData[Item], B9933,RawData[Quantity],C9933,RawData[Price Per Unit],D9933,RawData[Total Spent],E9933,RawData[Payment Method],F9933,RawData[Location],G9933,RawData[Transaction Date],H9933)</f>
        <v>1</v>
      </c>
      <c r="L9933"/>
    </row>
    <row r="9934" spans="1:12" x14ac:dyDescent="0.3">
      <c r="A9934" t="s">
        <v>9940</v>
      </c>
      <c r="B9934" t="s">
        <v>10017</v>
      </c>
      <c r="C9934" t="s">
        <v>10013</v>
      </c>
      <c r="D9934">
        <v>1.5</v>
      </c>
      <c r="E9934">
        <v>3</v>
      </c>
      <c r="F9934" t="s">
        <v>10019</v>
      </c>
      <c r="G9934" t="s">
        <v>10069</v>
      </c>
      <c r="H9934" s="6">
        <v>45036</v>
      </c>
      <c r="I9934">
        <f t="shared" si="310"/>
        <v>1</v>
      </c>
      <c r="J9934" t="str">
        <f t="shared" si="311"/>
        <v>Complete</v>
      </c>
      <c r="K9934">
        <f>COUNTIFS(RawData[Item], B9934,RawData[Quantity],C9934,RawData[Price Per Unit],D9934,RawData[Total Spent],E9934,RawData[Payment Method],F9934,RawData[Location],G9934,RawData[Transaction Date],H9934)</f>
        <v>1</v>
      </c>
      <c r="L9934"/>
    </row>
    <row r="9935" spans="1:12" x14ac:dyDescent="0.3">
      <c r="A9935" t="s">
        <v>9941</v>
      </c>
      <c r="B9935" t="s">
        <v>10009</v>
      </c>
      <c r="C9935">
        <v>1</v>
      </c>
      <c r="D9935">
        <v>3</v>
      </c>
      <c r="E9935">
        <v>3</v>
      </c>
      <c r="F9935" t="s">
        <v>10069</v>
      </c>
      <c r="G9935" t="s">
        <v>10021</v>
      </c>
      <c r="H9935" s="6" t="s">
        <v>10112</v>
      </c>
      <c r="I9935">
        <f t="shared" si="310"/>
        <v>1</v>
      </c>
      <c r="J9935" t="str">
        <f t="shared" si="311"/>
        <v>Incomplete</v>
      </c>
      <c r="K9935">
        <f>COUNTIFS(RawData[Item], B9935,RawData[Quantity],C9935,RawData[Price Per Unit],D9935,RawData[Total Spent],E9935,RawData[Payment Method],F9935,RawData[Location],G9935,RawData[Transaction Date],H9935)</f>
        <v>1</v>
      </c>
      <c r="L9935"/>
    </row>
    <row r="9936" spans="1:12" x14ac:dyDescent="0.3">
      <c r="A9936" t="s">
        <v>9942</v>
      </c>
      <c r="B9936" t="s">
        <v>10012</v>
      </c>
      <c r="C9936">
        <v>5</v>
      </c>
      <c r="D9936">
        <v>4</v>
      </c>
      <c r="E9936">
        <v>20</v>
      </c>
      <c r="F9936" t="s">
        <v>10020</v>
      </c>
      <c r="G9936" t="s">
        <v>10102</v>
      </c>
      <c r="H9936" s="6">
        <v>45001</v>
      </c>
      <c r="I9936">
        <f t="shared" si="310"/>
        <v>0</v>
      </c>
      <c r="J9936" t="str">
        <f t="shared" si="311"/>
        <v>Complete</v>
      </c>
      <c r="K9936">
        <f>COUNTIFS(RawData[Item], B9936,RawData[Quantity],C9936,RawData[Price Per Unit],D9936,RawData[Total Spent],E9936,RawData[Payment Method],F9936,RawData[Location],G9936,RawData[Transaction Date],H9936)</f>
        <v>1</v>
      </c>
      <c r="L9936"/>
    </row>
    <row r="9937" spans="1:12" x14ac:dyDescent="0.3">
      <c r="A9937" t="s">
        <v>9943</v>
      </c>
      <c r="B9937" t="s">
        <v>10017</v>
      </c>
      <c r="C9937" t="s">
        <v>10015</v>
      </c>
      <c r="D9937">
        <v>1.5</v>
      </c>
      <c r="E9937">
        <v>6</v>
      </c>
      <c r="F9937" t="s">
        <v>10069</v>
      </c>
      <c r="G9937" t="s">
        <v>10021</v>
      </c>
      <c r="H9937" s="6">
        <v>45239</v>
      </c>
      <c r="I9937">
        <f t="shared" si="310"/>
        <v>1</v>
      </c>
      <c r="J9937" t="str">
        <f t="shared" si="311"/>
        <v>Complete</v>
      </c>
      <c r="K9937">
        <f>COUNTIFS(RawData[Item], B9937,RawData[Quantity],C9937,RawData[Price Per Unit],D9937,RawData[Total Spent],E9937,RawData[Payment Method],F9937,RawData[Location],G9937,RawData[Transaction Date],H9937)</f>
        <v>1</v>
      </c>
      <c r="L9937"/>
    </row>
    <row r="9938" spans="1:12" x14ac:dyDescent="0.3">
      <c r="A9938" t="s">
        <v>9944</v>
      </c>
      <c r="B9938" t="s">
        <v>10012</v>
      </c>
      <c r="C9938">
        <v>2</v>
      </c>
      <c r="D9938">
        <v>4</v>
      </c>
      <c r="E9938">
        <v>8</v>
      </c>
      <c r="F9938" t="s">
        <v>10019</v>
      </c>
      <c r="G9938" t="s">
        <v>10069</v>
      </c>
      <c r="H9938" s="6">
        <v>44962</v>
      </c>
      <c r="I9938">
        <f t="shared" si="310"/>
        <v>0</v>
      </c>
      <c r="J9938" t="str">
        <f t="shared" si="311"/>
        <v>Complete</v>
      </c>
      <c r="K9938">
        <f>COUNTIFS(RawData[Item], B9938,RawData[Quantity],C9938,RawData[Price Per Unit],D9938,RawData[Total Spent],E9938,RawData[Payment Method],F9938,RawData[Location],G9938,RawData[Transaction Date],H9938)</f>
        <v>1</v>
      </c>
      <c r="L9938"/>
    </row>
    <row r="9939" spans="1:12" x14ac:dyDescent="0.3">
      <c r="A9939" t="s">
        <v>9945</v>
      </c>
      <c r="B9939" t="s">
        <v>10009</v>
      </c>
      <c r="C9939">
        <v>1</v>
      </c>
      <c r="D9939">
        <v>3</v>
      </c>
      <c r="E9939">
        <v>3</v>
      </c>
      <c r="F9939" t="s">
        <v>10069</v>
      </c>
      <c r="G9939" t="s">
        <v>10069</v>
      </c>
      <c r="H9939" s="6" t="s">
        <v>10112</v>
      </c>
      <c r="I9939">
        <f t="shared" si="310"/>
        <v>1</v>
      </c>
      <c r="J9939" t="str">
        <f t="shared" si="311"/>
        <v>Incomplete</v>
      </c>
      <c r="K9939">
        <f>COUNTIFS(RawData[Item], B9939,RawData[Quantity],C9939,RawData[Price Per Unit],D9939,RawData[Total Spent],E9939,RawData[Payment Method],F9939,RawData[Location],G9939,RawData[Transaction Date],H9939)</f>
        <v>1</v>
      </c>
      <c r="L9939"/>
    </row>
    <row r="9940" spans="1:12" x14ac:dyDescent="0.3">
      <c r="A9940" t="s">
        <v>9946</v>
      </c>
      <c r="B9940" t="s">
        <v>10014</v>
      </c>
      <c r="C9940">
        <v>4</v>
      </c>
      <c r="D9940">
        <v>4</v>
      </c>
      <c r="E9940">
        <v>16</v>
      </c>
      <c r="F9940" t="s">
        <v>10019</v>
      </c>
      <c r="G9940" t="s">
        <v>10069</v>
      </c>
      <c r="H9940" s="6">
        <v>45066</v>
      </c>
      <c r="I9940">
        <f t="shared" si="310"/>
        <v>0</v>
      </c>
      <c r="J9940" t="str">
        <f t="shared" si="311"/>
        <v>Complete</v>
      </c>
      <c r="K9940">
        <f>COUNTIFS(RawData[Item], B9940,RawData[Quantity],C9940,RawData[Price Per Unit],D9940,RawData[Total Spent],E9940,RawData[Payment Method],F9940,RawData[Location],G9940,RawData[Transaction Date],H9940)</f>
        <v>1</v>
      </c>
      <c r="L9940"/>
    </row>
    <row r="9941" spans="1:12" x14ac:dyDescent="0.3">
      <c r="A9941" t="s">
        <v>9947</v>
      </c>
      <c r="B9941" t="s">
        <v>10014</v>
      </c>
      <c r="C9941">
        <v>2</v>
      </c>
      <c r="D9941">
        <v>4</v>
      </c>
      <c r="E9941">
        <v>8</v>
      </c>
      <c r="F9941" t="s">
        <v>10018</v>
      </c>
      <c r="G9941" t="s">
        <v>10104</v>
      </c>
      <c r="H9941" s="6">
        <v>45161</v>
      </c>
      <c r="I9941">
        <f t="shared" si="310"/>
        <v>1</v>
      </c>
      <c r="J9941" t="str">
        <f t="shared" si="311"/>
        <v>Complete</v>
      </c>
      <c r="K9941">
        <f>COUNTIFS(RawData[Item], B9941,RawData[Quantity],C9941,RawData[Price Per Unit],D9941,RawData[Total Spent],E9941,RawData[Payment Method],F9941,RawData[Location],G9941,RawData[Transaction Date],H9941)</f>
        <v>1</v>
      </c>
      <c r="L9941"/>
    </row>
    <row r="9942" spans="1:12" x14ac:dyDescent="0.3">
      <c r="A9942" t="s">
        <v>9948</v>
      </c>
      <c r="B9942" t="s">
        <v>10011</v>
      </c>
      <c r="C9942">
        <v>2</v>
      </c>
      <c r="D9942">
        <v>5</v>
      </c>
      <c r="E9942">
        <v>10</v>
      </c>
      <c r="F9942" t="s">
        <v>10020</v>
      </c>
      <c r="G9942" t="s">
        <v>10021</v>
      </c>
      <c r="H9942" s="6">
        <v>45214</v>
      </c>
      <c r="I9942">
        <f t="shared" si="310"/>
        <v>0</v>
      </c>
      <c r="J9942" t="str">
        <f t="shared" si="311"/>
        <v>Complete</v>
      </c>
      <c r="K9942">
        <f>COUNTIFS(RawData[Item], B9942,RawData[Quantity],C9942,RawData[Price Per Unit],D9942,RawData[Total Spent],E9942,RawData[Payment Method],F9942,RawData[Location],G9942,RawData[Transaction Date],H9942)</f>
        <v>1</v>
      </c>
      <c r="L9942"/>
    </row>
    <row r="9943" spans="1:12" x14ac:dyDescent="0.3">
      <c r="A9943" t="s">
        <v>9949</v>
      </c>
      <c r="B9943" t="s">
        <v>10016</v>
      </c>
      <c r="C9943">
        <v>4</v>
      </c>
      <c r="D9943">
        <v>3</v>
      </c>
      <c r="E9943">
        <v>12</v>
      </c>
      <c r="F9943" t="s">
        <v>10019</v>
      </c>
      <c r="G9943" t="s">
        <v>10021</v>
      </c>
      <c r="H9943" s="6">
        <v>44949</v>
      </c>
      <c r="I9943">
        <f t="shared" si="310"/>
        <v>0</v>
      </c>
      <c r="J9943" t="str">
        <f t="shared" si="311"/>
        <v>Complete</v>
      </c>
      <c r="K9943">
        <f>COUNTIFS(RawData[Item], B9943,RawData[Quantity],C9943,RawData[Price Per Unit],D9943,RawData[Total Spent],E9943,RawData[Payment Method],F9943,RawData[Location],G9943,RawData[Transaction Date],H9943)</f>
        <v>1</v>
      </c>
      <c r="L9943"/>
    </row>
    <row r="9944" spans="1:12" x14ac:dyDescent="0.3">
      <c r="A9944" t="s">
        <v>9950</v>
      </c>
      <c r="B9944" t="s">
        <v>10011</v>
      </c>
      <c r="C9944">
        <v>1</v>
      </c>
      <c r="D9944">
        <v>5</v>
      </c>
      <c r="E9944">
        <v>5</v>
      </c>
      <c r="F9944" t="s">
        <v>10020</v>
      </c>
      <c r="G9944" t="s">
        <v>10021</v>
      </c>
      <c r="H9944" s="6">
        <v>45196</v>
      </c>
      <c r="I9944">
        <f t="shared" si="310"/>
        <v>0</v>
      </c>
      <c r="J9944" t="str">
        <f t="shared" si="311"/>
        <v>Complete</v>
      </c>
      <c r="K9944">
        <f>COUNTIFS(RawData[Item], B9944,RawData[Quantity],C9944,RawData[Price Per Unit],D9944,RawData[Total Spent],E9944,RawData[Payment Method],F9944,RawData[Location],G9944,RawData[Transaction Date],H9944)</f>
        <v>1</v>
      </c>
      <c r="L9944"/>
    </row>
    <row r="9945" spans="1:12" x14ac:dyDescent="0.3">
      <c r="A9945" t="s">
        <v>9951</v>
      </c>
      <c r="B9945" t="s">
        <v>10008</v>
      </c>
      <c r="C9945">
        <v>4</v>
      </c>
      <c r="D9945">
        <v>2</v>
      </c>
      <c r="E9945">
        <v>8</v>
      </c>
      <c r="F9945" t="s">
        <v>10018</v>
      </c>
      <c r="G9945" t="s">
        <v>10102</v>
      </c>
      <c r="H9945" s="6">
        <v>45066</v>
      </c>
      <c r="I9945">
        <f t="shared" si="310"/>
        <v>0</v>
      </c>
      <c r="J9945" t="str">
        <f t="shared" si="311"/>
        <v>Complete</v>
      </c>
      <c r="K9945">
        <f>COUNTIFS(RawData[Item], B9945,RawData[Quantity],C9945,RawData[Price Per Unit],D9945,RawData[Total Spent],E9945,RawData[Payment Method],F9945,RawData[Location],G9945,RawData[Transaction Date],H9945)</f>
        <v>1</v>
      </c>
      <c r="L9945"/>
    </row>
    <row r="9946" spans="1:12" x14ac:dyDescent="0.3">
      <c r="A9946" t="s">
        <v>9952</v>
      </c>
      <c r="B9946" t="s">
        <v>10009</v>
      </c>
      <c r="C9946" t="s">
        <v>10013</v>
      </c>
      <c r="D9946">
        <v>3</v>
      </c>
      <c r="E9946">
        <v>15</v>
      </c>
      <c r="F9946" t="s">
        <v>10018</v>
      </c>
      <c r="G9946" t="s">
        <v>10021</v>
      </c>
      <c r="H9946" s="6">
        <v>45030</v>
      </c>
      <c r="I9946">
        <f t="shared" si="310"/>
        <v>1</v>
      </c>
      <c r="J9946" t="str">
        <f t="shared" si="311"/>
        <v>Complete</v>
      </c>
      <c r="K9946">
        <f>COUNTIFS(RawData[Item], B9946,RawData[Quantity],C9946,RawData[Price Per Unit],D9946,RawData[Total Spent],E9946,RawData[Payment Method],F9946,RawData[Location],G9946,RawData[Transaction Date],H9946)</f>
        <v>1</v>
      </c>
      <c r="L9946"/>
    </row>
    <row r="9947" spans="1:12" x14ac:dyDescent="0.3">
      <c r="A9947" t="s">
        <v>9953</v>
      </c>
      <c r="B9947" t="s">
        <v>10010</v>
      </c>
      <c r="C9947">
        <v>2</v>
      </c>
      <c r="D9947">
        <v>1</v>
      </c>
      <c r="E9947">
        <v>2</v>
      </c>
      <c r="F9947" t="s">
        <v>10019</v>
      </c>
      <c r="G9947" t="s">
        <v>10021</v>
      </c>
      <c r="H9947" s="6">
        <v>45211</v>
      </c>
      <c r="I9947">
        <f t="shared" si="310"/>
        <v>0</v>
      </c>
      <c r="J9947" t="str">
        <f t="shared" si="311"/>
        <v>Complete</v>
      </c>
      <c r="K9947">
        <f>COUNTIFS(RawData[Item], B9947,RawData[Quantity],C9947,RawData[Price Per Unit],D9947,RawData[Total Spent],E9947,RawData[Payment Method],F9947,RawData[Location],G9947,RawData[Transaction Date],H9947)</f>
        <v>1</v>
      </c>
      <c r="L9947"/>
    </row>
    <row r="9948" spans="1:12" x14ac:dyDescent="0.3">
      <c r="A9948" t="s">
        <v>9954</v>
      </c>
      <c r="B9948" t="s">
        <v>10013</v>
      </c>
      <c r="C9948">
        <v>1</v>
      </c>
      <c r="D9948">
        <v>4</v>
      </c>
      <c r="E9948">
        <v>4</v>
      </c>
      <c r="F9948" t="s">
        <v>10019</v>
      </c>
      <c r="G9948" t="s">
        <v>10021</v>
      </c>
      <c r="H9948" s="6">
        <v>45193</v>
      </c>
      <c r="I9948">
        <f t="shared" si="310"/>
        <v>1</v>
      </c>
      <c r="J9948" t="str">
        <f t="shared" si="311"/>
        <v>Complete</v>
      </c>
      <c r="K9948">
        <f>COUNTIFS(RawData[Item], B9948,RawData[Quantity],C9948,RawData[Price Per Unit],D9948,RawData[Total Spent],E9948,RawData[Payment Method],F9948,RawData[Location],G9948,RawData[Transaction Date],H9948)</f>
        <v>1</v>
      </c>
      <c r="L9948"/>
    </row>
    <row r="9949" spans="1:12" x14ac:dyDescent="0.3">
      <c r="A9949" t="s">
        <v>9955</v>
      </c>
      <c r="B9949" t="s">
        <v>10012</v>
      </c>
      <c r="C9949">
        <v>4</v>
      </c>
      <c r="D9949">
        <v>4</v>
      </c>
      <c r="E9949">
        <v>16</v>
      </c>
      <c r="F9949" t="s">
        <v>10019</v>
      </c>
      <c r="G9949" t="s">
        <v>10021</v>
      </c>
      <c r="H9949" s="6">
        <v>44961</v>
      </c>
      <c r="I9949">
        <f t="shared" si="310"/>
        <v>0</v>
      </c>
      <c r="J9949" t="str">
        <f t="shared" si="311"/>
        <v>Complete</v>
      </c>
      <c r="K9949">
        <f>COUNTIFS(RawData[Item], B9949,RawData[Quantity],C9949,RawData[Price Per Unit],D9949,RawData[Total Spent],E9949,RawData[Payment Method],F9949,RawData[Location],G9949,RawData[Transaction Date],H9949)</f>
        <v>1</v>
      </c>
      <c r="L9949"/>
    </row>
    <row r="9950" spans="1:12" x14ac:dyDescent="0.3">
      <c r="A9950" t="s">
        <v>9956</v>
      </c>
      <c r="B9950" t="s">
        <v>10017</v>
      </c>
      <c r="C9950">
        <v>1</v>
      </c>
      <c r="D9950">
        <v>1.5</v>
      </c>
      <c r="E9950">
        <v>1.5</v>
      </c>
      <c r="F9950" t="s">
        <v>10069</v>
      </c>
      <c r="G9950" t="s">
        <v>10102</v>
      </c>
      <c r="H9950" s="6">
        <v>45196</v>
      </c>
      <c r="I9950">
        <f t="shared" si="310"/>
        <v>0</v>
      </c>
      <c r="J9950" t="str">
        <f t="shared" si="311"/>
        <v>Complete</v>
      </c>
      <c r="K9950">
        <f>COUNTIFS(RawData[Item], B9950,RawData[Quantity],C9950,RawData[Price Per Unit],D9950,RawData[Total Spent],E9950,RawData[Payment Method],F9950,RawData[Location],G9950,RawData[Transaction Date],H9950)</f>
        <v>1</v>
      </c>
      <c r="L9950"/>
    </row>
    <row r="9951" spans="1:12" x14ac:dyDescent="0.3">
      <c r="A9951" t="s">
        <v>9957</v>
      </c>
      <c r="B9951" t="s">
        <v>10016</v>
      </c>
      <c r="C9951">
        <v>3</v>
      </c>
      <c r="D9951">
        <v>3</v>
      </c>
      <c r="E9951">
        <v>9</v>
      </c>
      <c r="F9951" t="s">
        <v>10069</v>
      </c>
      <c r="G9951" t="s">
        <v>10102</v>
      </c>
      <c r="H9951" s="6" t="s">
        <v>10112</v>
      </c>
      <c r="I9951">
        <f t="shared" si="310"/>
        <v>1</v>
      </c>
      <c r="J9951" t="str">
        <f t="shared" si="311"/>
        <v>Incomplete</v>
      </c>
      <c r="K9951">
        <f>COUNTIFS(RawData[Item], B9951,RawData[Quantity],C9951,RawData[Price Per Unit],D9951,RawData[Total Spent],E9951,RawData[Payment Method],F9951,RawData[Location],G9951,RawData[Transaction Date],H9951)</f>
        <v>1</v>
      </c>
      <c r="L9951"/>
    </row>
    <row r="9952" spans="1:12" x14ac:dyDescent="0.3">
      <c r="A9952" t="s">
        <v>9958</v>
      </c>
      <c r="B9952" t="s">
        <v>10009</v>
      </c>
      <c r="C9952">
        <v>1</v>
      </c>
      <c r="D9952">
        <v>3</v>
      </c>
      <c r="E9952">
        <v>3</v>
      </c>
      <c r="F9952" t="s">
        <v>10020</v>
      </c>
      <c r="G9952" t="s">
        <v>10069</v>
      </c>
      <c r="H9952" s="6">
        <v>44994</v>
      </c>
      <c r="I9952">
        <f t="shared" si="310"/>
        <v>0</v>
      </c>
      <c r="J9952" t="str">
        <f t="shared" si="311"/>
        <v>Complete</v>
      </c>
      <c r="K9952">
        <f>COUNTIFS(RawData[Item], B9952,RawData[Quantity],C9952,RawData[Price Per Unit],D9952,RawData[Total Spent],E9952,RawData[Payment Method],F9952,RawData[Location],G9952,RawData[Transaction Date],H9952)</f>
        <v>1</v>
      </c>
      <c r="L9952"/>
    </row>
    <row r="9953" spans="1:12" x14ac:dyDescent="0.3">
      <c r="A9953" t="s">
        <v>9959</v>
      </c>
      <c r="B9953" t="s">
        <v>10015</v>
      </c>
      <c r="C9953">
        <v>4</v>
      </c>
      <c r="D9953">
        <v>1</v>
      </c>
      <c r="E9953">
        <v>4</v>
      </c>
      <c r="F9953" t="s">
        <v>10069</v>
      </c>
      <c r="G9953" t="s">
        <v>10021</v>
      </c>
      <c r="H9953" s="6">
        <v>45219</v>
      </c>
      <c r="I9953">
        <f t="shared" si="310"/>
        <v>1</v>
      </c>
      <c r="J9953" t="str">
        <f t="shared" si="311"/>
        <v>Complete</v>
      </c>
      <c r="K9953">
        <f>COUNTIFS(RawData[Item], B9953,RawData[Quantity],C9953,RawData[Price Per Unit],D9953,RawData[Total Spent],E9953,RawData[Payment Method],F9953,RawData[Location],G9953,RawData[Transaction Date],H9953)</f>
        <v>1</v>
      </c>
      <c r="L9953"/>
    </row>
    <row r="9954" spans="1:12" x14ac:dyDescent="0.3">
      <c r="A9954" t="s">
        <v>9960</v>
      </c>
      <c r="B9954" t="s">
        <v>10014</v>
      </c>
      <c r="C9954">
        <v>1</v>
      </c>
      <c r="D9954">
        <v>4</v>
      </c>
      <c r="E9954">
        <v>4</v>
      </c>
      <c r="F9954" t="s">
        <v>10020</v>
      </c>
      <c r="G9954" t="s">
        <v>10069</v>
      </c>
      <c r="H9954" s="6">
        <v>44954</v>
      </c>
      <c r="I9954">
        <f t="shared" si="310"/>
        <v>0</v>
      </c>
      <c r="J9954" t="str">
        <f t="shared" si="311"/>
        <v>Complete</v>
      </c>
      <c r="K9954">
        <f>COUNTIFS(RawData[Item], B9954,RawData[Quantity],C9954,RawData[Price Per Unit],D9954,RawData[Total Spent],E9954,RawData[Payment Method],F9954,RawData[Location],G9954,RawData[Transaction Date],H9954)</f>
        <v>1</v>
      </c>
      <c r="L9954"/>
    </row>
    <row r="9955" spans="1:12" x14ac:dyDescent="0.3">
      <c r="A9955" t="s">
        <v>9961</v>
      </c>
      <c r="B9955" t="s">
        <v>10009</v>
      </c>
      <c r="C9955">
        <v>5</v>
      </c>
      <c r="D9955">
        <v>3</v>
      </c>
      <c r="E9955">
        <v>15</v>
      </c>
      <c r="F9955" t="s">
        <v>10018</v>
      </c>
      <c r="G9955" t="s">
        <v>10021</v>
      </c>
      <c r="H9955" s="6">
        <v>45259</v>
      </c>
      <c r="I9955">
        <f t="shared" si="310"/>
        <v>0</v>
      </c>
      <c r="J9955" t="str">
        <f t="shared" si="311"/>
        <v>Complete</v>
      </c>
      <c r="K9955">
        <f>COUNTIFS(RawData[Item], B9955,RawData[Quantity],C9955,RawData[Price Per Unit],D9955,RawData[Total Spent],E9955,RawData[Payment Method],F9955,RawData[Location],G9955,RawData[Transaction Date],H9955)</f>
        <v>1</v>
      </c>
      <c r="L9955"/>
    </row>
    <row r="9956" spans="1:12" x14ac:dyDescent="0.3">
      <c r="A9956" t="s">
        <v>9962</v>
      </c>
      <c r="B9956" t="s">
        <v>10008</v>
      </c>
      <c r="C9956">
        <v>4</v>
      </c>
      <c r="D9956">
        <v>2</v>
      </c>
      <c r="E9956" t="s">
        <v>10015</v>
      </c>
      <c r="F9956" t="s">
        <v>10018</v>
      </c>
      <c r="G9956" t="s">
        <v>10102</v>
      </c>
      <c r="H9956" s="6">
        <v>45251</v>
      </c>
      <c r="I9956">
        <f t="shared" si="310"/>
        <v>1</v>
      </c>
      <c r="J9956" t="str">
        <f t="shared" si="311"/>
        <v>Complete</v>
      </c>
      <c r="K9956">
        <f>COUNTIFS(RawData[Item], B9956,RawData[Quantity],C9956,RawData[Price Per Unit],D9956,RawData[Total Spent],E9956,RawData[Payment Method],F9956,RawData[Location],G9956,RawData[Transaction Date],H9956)</f>
        <v>1</v>
      </c>
      <c r="L9956"/>
    </row>
    <row r="9957" spans="1:12" x14ac:dyDescent="0.3">
      <c r="A9957" t="s">
        <v>9963</v>
      </c>
      <c r="B9957" t="s">
        <v>10017</v>
      </c>
      <c r="C9957">
        <v>4</v>
      </c>
      <c r="D9957">
        <v>1.5</v>
      </c>
      <c r="E9957">
        <v>6</v>
      </c>
      <c r="F9957" t="s">
        <v>10104</v>
      </c>
      <c r="G9957" t="s">
        <v>10069</v>
      </c>
      <c r="H9957" s="6">
        <v>45185</v>
      </c>
      <c r="I9957">
        <f t="shared" si="310"/>
        <v>1</v>
      </c>
      <c r="J9957" t="str">
        <f t="shared" si="311"/>
        <v>Complete</v>
      </c>
      <c r="K9957">
        <f>COUNTIFS(RawData[Item], B9957,RawData[Quantity],C9957,RawData[Price Per Unit],D9957,RawData[Total Spent],E9957,RawData[Payment Method],F9957,RawData[Location],G9957,RawData[Transaction Date],H9957)</f>
        <v>1</v>
      </c>
      <c r="L9957"/>
    </row>
    <row r="9958" spans="1:12" x14ac:dyDescent="0.3">
      <c r="A9958" t="s">
        <v>9964</v>
      </c>
      <c r="B9958" t="s">
        <v>10010</v>
      </c>
      <c r="C9958">
        <v>3</v>
      </c>
      <c r="D9958">
        <v>1</v>
      </c>
      <c r="E9958">
        <v>3</v>
      </c>
      <c r="F9958" t="s">
        <v>10069</v>
      </c>
      <c r="G9958" t="s">
        <v>10021</v>
      </c>
      <c r="H9958" s="6">
        <v>45207</v>
      </c>
      <c r="I9958">
        <f t="shared" si="310"/>
        <v>0</v>
      </c>
      <c r="J9958" t="str">
        <f t="shared" si="311"/>
        <v>Complete</v>
      </c>
      <c r="K9958">
        <f>COUNTIFS(RawData[Item], B9958,RawData[Quantity],C9958,RawData[Price Per Unit],D9958,RawData[Total Spent],E9958,RawData[Payment Method],F9958,RawData[Location],G9958,RawData[Transaction Date],H9958)</f>
        <v>1</v>
      </c>
      <c r="L9958"/>
    </row>
    <row r="9959" spans="1:12" x14ac:dyDescent="0.3">
      <c r="A9959" t="s">
        <v>9965</v>
      </c>
      <c r="B9959" t="s">
        <v>10008</v>
      </c>
      <c r="C9959" t="s">
        <v>10015</v>
      </c>
      <c r="D9959">
        <v>2</v>
      </c>
      <c r="E9959">
        <v>8</v>
      </c>
      <c r="F9959" t="s">
        <v>10018</v>
      </c>
      <c r="G9959" t="s">
        <v>10021</v>
      </c>
      <c r="H9959" s="6">
        <v>45245</v>
      </c>
      <c r="I9959">
        <f t="shared" si="310"/>
        <v>1</v>
      </c>
      <c r="J9959" t="str">
        <f t="shared" si="311"/>
        <v>Complete</v>
      </c>
      <c r="K9959">
        <f>COUNTIFS(RawData[Item], B9959,RawData[Quantity],C9959,RawData[Price Per Unit],D9959,RawData[Total Spent],E9959,RawData[Payment Method],F9959,RawData[Location],G9959,RawData[Transaction Date],H9959)</f>
        <v>1</v>
      </c>
      <c r="L9959"/>
    </row>
    <row r="9960" spans="1:12" x14ac:dyDescent="0.3">
      <c r="A9960" t="s">
        <v>9966</v>
      </c>
      <c r="B9960" t="s">
        <v>10015</v>
      </c>
      <c r="C9960">
        <v>2</v>
      </c>
      <c r="D9960">
        <v>5</v>
      </c>
      <c r="E9960">
        <v>10</v>
      </c>
      <c r="F9960" t="s">
        <v>10018</v>
      </c>
      <c r="G9960" t="s">
        <v>10102</v>
      </c>
      <c r="H9960" s="6">
        <v>45140</v>
      </c>
      <c r="I9960">
        <f t="shared" si="310"/>
        <v>1</v>
      </c>
      <c r="J9960" t="str">
        <f t="shared" si="311"/>
        <v>Complete</v>
      </c>
      <c r="K9960">
        <f>COUNTIFS(RawData[Item], B9960,RawData[Quantity],C9960,RawData[Price Per Unit],D9960,RawData[Total Spent],E9960,RawData[Payment Method],F9960,RawData[Location],G9960,RawData[Transaction Date],H9960)</f>
        <v>1</v>
      </c>
      <c r="L9960"/>
    </row>
    <row r="9961" spans="1:12" x14ac:dyDescent="0.3">
      <c r="A9961" t="s">
        <v>9967</v>
      </c>
      <c r="B9961" t="s">
        <v>10016</v>
      </c>
      <c r="C9961">
        <v>2</v>
      </c>
      <c r="D9961">
        <v>3</v>
      </c>
      <c r="E9961">
        <v>6</v>
      </c>
      <c r="F9961" t="s">
        <v>10020</v>
      </c>
      <c r="G9961" t="s">
        <v>10102</v>
      </c>
      <c r="H9961" s="6">
        <v>45074</v>
      </c>
      <c r="I9961">
        <f t="shared" si="310"/>
        <v>0</v>
      </c>
      <c r="J9961" t="str">
        <f t="shared" si="311"/>
        <v>Complete</v>
      </c>
      <c r="K9961">
        <f>COUNTIFS(RawData[Item], B9961,RawData[Quantity],C9961,RawData[Price Per Unit],D9961,RawData[Total Spent],E9961,RawData[Payment Method],F9961,RawData[Location],G9961,RawData[Transaction Date],H9961)</f>
        <v>1</v>
      </c>
      <c r="L9961"/>
    </row>
    <row r="9962" spans="1:12" x14ac:dyDescent="0.3">
      <c r="A9962" t="s">
        <v>9968</v>
      </c>
      <c r="B9962" t="s">
        <v>10016</v>
      </c>
      <c r="C9962">
        <v>5</v>
      </c>
      <c r="D9962">
        <v>3</v>
      </c>
      <c r="E9962">
        <v>15</v>
      </c>
      <c r="F9962" t="s">
        <v>10069</v>
      </c>
      <c r="G9962" t="s">
        <v>10102</v>
      </c>
      <c r="H9962" s="6">
        <v>44989</v>
      </c>
      <c r="I9962">
        <f t="shared" si="310"/>
        <v>0</v>
      </c>
      <c r="J9962" t="str">
        <f t="shared" si="311"/>
        <v>Complete</v>
      </c>
      <c r="K9962">
        <f>COUNTIFS(RawData[Item], B9962,RawData[Quantity],C9962,RawData[Price Per Unit],D9962,RawData[Total Spent],E9962,RawData[Payment Method],F9962,RawData[Location],G9962,RawData[Transaction Date],H9962)</f>
        <v>1</v>
      </c>
      <c r="L9962"/>
    </row>
    <row r="9963" spans="1:12" x14ac:dyDescent="0.3">
      <c r="A9963" t="s">
        <v>9969</v>
      </c>
      <c r="B9963" t="s">
        <v>10017</v>
      </c>
      <c r="C9963">
        <v>2</v>
      </c>
      <c r="D9963" t="s">
        <v>10013</v>
      </c>
      <c r="E9963">
        <v>3</v>
      </c>
      <c r="F9963" t="s">
        <v>10019</v>
      </c>
      <c r="G9963" t="s">
        <v>10069</v>
      </c>
      <c r="H9963" s="6">
        <v>45289</v>
      </c>
      <c r="I9963">
        <f t="shared" si="310"/>
        <v>1</v>
      </c>
      <c r="J9963" t="str">
        <f t="shared" si="311"/>
        <v>Complete</v>
      </c>
      <c r="K9963">
        <f>COUNTIFS(RawData[Item], B9963,RawData[Quantity],C9963,RawData[Price Per Unit],D9963,RawData[Total Spent],E9963,RawData[Payment Method],F9963,RawData[Location],G9963,RawData[Transaction Date],H9963)</f>
        <v>1</v>
      </c>
      <c r="L9963"/>
    </row>
    <row r="9964" spans="1:12" x14ac:dyDescent="0.3">
      <c r="A9964" t="s">
        <v>9970</v>
      </c>
      <c r="B9964" t="s">
        <v>10014</v>
      </c>
      <c r="C9964">
        <v>4</v>
      </c>
      <c r="D9964">
        <v>4</v>
      </c>
      <c r="E9964">
        <v>16</v>
      </c>
      <c r="F9964" t="s">
        <v>10019</v>
      </c>
      <c r="G9964" t="s">
        <v>10102</v>
      </c>
      <c r="H9964" s="6">
        <v>45069</v>
      </c>
      <c r="I9964">
        <f t="shared" si="310"/>
        <v>0</v>
      </c>
      <c r="J9964" t="str">
        <f t="shared" si="311"/>
        <v>Complete</v>
      </c>
      <c r="K9964">
        <f>COUNTIFS(RawData[Item], B9964,RawData[Quantity],C9964,RawData[Price Per Unit],D9964,RawData[Total Spent],E9964,RawData[Payment Method],F9964,RawData[Location],G9964,RawData[Transaction Date],H9964)</f>
        <v>1</v>
      </c>
      <c r="L9964"/>
    </row>
    <row r="9965" spans="1:12" x14ac:dyDescent="0.3">
      <c r="A9965" t="s">
        <v>9971</v>
      </c>
      <c r="B9965" t="s">
        <v>10009</v>
      </c>
      <c r="C9965">
        <v>5</v>
      </c>
      <c r="D9965">
        <v>3</v>
      </c>
      <c r="E9965">
        <v>15</v>
      </c>
      <c r="F9965" t="s">
        <v>10069</v>
      </c>
      <c r="G9965" t="s">
        <v>10021</v>
      </c>
      <c r="H9965" s="6">
        <v>44971</v>
      </c>
      <c r="I9965">
        <f t="shared" si="310"/>
        <v>0</v>
      </c>
      <c r="J9965" t="str">
        <f t="shared" si="311"/>
        <v>Complete</v>
      </c>
      <c r="K9965">
        <f>COUNTIFS(RawData[Item], B9965,RawData[Quantity],C9965,RawData[Price Per Unit],D9965,RawData[Total Spent],E9965,RawData[Payment Method],F9965,RawData[Location],G9965,RawData[Transaction Date],H9965)</f>
        <v>1</v>
      </c>
      <c r="L9965"/>
    </row>
    <row r="9966" spans="1:12" x14ac:dyDescent="0.3">
      <c r="A9966" t="s">
        <v>9972</v>
      </c>
      <c r="B9966" t="s">
        <v>10009</v>
      </c>
      <c r="C9966">
        <v>3</v>
      </c>
      <c r="D9966">
        <v>3</v>
      </c>
      <c r="E9966">
        <v>9</v>
      </c>
      <c r="F9966" t="s">
        <v>10069</v>
      </c>
      <c r="G9966" t="s">
        <v>10102</v>
      </c>
      <c r="H9966" s="6">
        <v>45237</v>
      </c>
      <c r="I9966">
        <f t="shared" si="310"/>
        <v>0</v>
      </c>
      <c r="J9966" t="str">
        <f t="shared" si="311"/>
        <v>Complete</v>
      </c>
      <c r="K9966">
        <f>COUNTIFS(RawData[Item], B9966,RawData[Quantity],C9966,RawData[Price Per Unit],D9966,RawData[Total Spent],E9966,RawData[Payment Method],F9966,RawData[Location],G9966,RawData[Transaction Date],H9966)</f>
        <v>1</v>
      </c>
      <c r="L9966"/>
    </row>
    <row r="9967" spans="1:12" x14ac:dyDescent="0.3">
      <c r="A9967" t="s">
        <v>9973</v>
      </c>
      <c r="B9967" t="s">
        <v>10017</v>
      </c>
      <c r="C9967">
        <v>2</v>
      </c>
      <c r="D9967">
        <v>1.5</v>
      </c>
      <c r="E9967">
        <v>3</v>
      </c>
      <c r="F9967" t="s">
        <v>10020</v>
      </c>
      <c r="G9967" t="s">
        <v>10069</v>
      </c>
      <c r="H9967" s="6">
        <v>45280</v>
      </c>
      <c r="I9967">
        <f t="shared" si="310"/>
        <v>0</v>
      </c>
      <c r="J9967" t="str">
        <f t="shared" si="311"/>
        <v>Complete</v>
      </c>
      <c r="K9967">
        <f>COUNTIFS(RawData[Item], B9967,RawData[Quantity],C9967,RawData[Price Per Unit],D9967,RawData[Total Spent],E9967,RawData[Payment Method],F9967,RawData[Location],G9967,RawData[Transaction Date],H9967)</f>
        <v>1</v>
      </c>
      <c r="L9967"/>
    </row>
    <row r="9968" spans="1:12" x14ac:dyDescent="0.3">
      <c r="A9968" t="s">
        <v>9974</v>
      </c>
      <c r="B9968" t="s">
        <v>10008</v>
      </c>
      <c r="C9968">
        <v>2</v>
      </c>
      <c r="D9968">
        <v>2</v>
      </c>
      <c r="E9968">
        <v>4</v>
      </c>
      <c r="F9968" t="s">
        <v>10069</v>
      </c>
      <c r="G9968" t="s">
        <v>10069</v>
      </c>
      <c r="H9968" s="6">
        <v>45070</v>
      </c>
      <c r="I9968">
        <f t="shared" si="310"/>
        <v>0</v>
      </c>
      <c r="J9968" t="str">
        <f t="shared" si="311"/>
        <v>Complete</v>
      </c>
      <c r="K9968">
        <f>COUNTIFS(RawData[Item], B9968,RawData[Quantity],C9968,RawData[Price Per Unit],D9968,RawData[Total Spent],E9968,RawData[Payment Method],F9968,RawData[Location],G9968,RawData[Transaction Date],H9968)</f>
        <v>1</v>
      </c>
      <c r="L9968"/>
    </row>
    <row r="9969" spans="1:12" x14ac:dyDescent="0.3">
      <c r="A9969" t="s">
        <v>9975</v>
      </c>
      <c r="B9969" t="s">
        <v>10016</v>
      </c>
      <c r="C9969">
        <v>4</v>
      </c>
      <c r="D9969">
        <v>3</v>
      </c>
      <c r="E9969">
        <v>12</v>
      </c>
      <c r="F9969" t="s">
        <v>10069</v>
      </c>
      <c r="G9969" t="s">
        <v>10102</v>
      </c>
      <c r="H9969" s="6">
        <v>45011</v>
      </c>
      <c r="I9969">
        <f t="shared" si="310"/>
        <v>0</v>
      </c>
      <c r="J9969" t="str">
        <f t="shared" si="311"/>
        <v>Complete</v>
      </c>
      <c r="K9969">
        <f>COUNTIFS(RawData[Item], B9969,RawData[Quantity],C9969,RawData[Price Per Unit],D9969,RawData[Total Spent],E9969,RawData[Payment Method],F9969,RawData[Location],G9969,RawData[Transaction Date],H9969)</f>
        <v>2</v>
      </c>
      <c r="L9969"/>
    </row>
    <row r="9970" spans="1:12" x14ac:dyDescent="0.3">
      <c r="A9970" t="s">
        <v>9976</v>
      </c>
      <c r="B9970" t="s">
        <v>10012</v>
      </c>
      <c r="C9970">
        <v>3</v>
      </c>
      <c r="D9970">
        <v>4</v>
      </c>
      <c r="E9970">
        <v>12</v>
      </c>
      <c r="F9970" t="s">
        <v>10020</v>
      </c>
      <c r="G9970" t="s">
        <v>10021</v>
      </c>
      <c r="H9970" s="6">
        <v>44999</v>
      </c>
      <c r="I9970">
        <f t="shared" si="310"/>
        <v>0</v>
      </c>
      <c r="J9970" t="str">
        <f t="shared" si="311"/>
        <v>Complete</v>
      </c>
      <c r="K9970">
        <f>COUNTIFS(RawData[Item], B9970,RawData[Quantity],C9970,RawData[Price Per Unit],D9970,RawData[Total Spent],E9970,RawData[Payment Method],F9970,RawData[Location],G9970,RawData[Transaction Date],H9970)</f>
        <v>1</v>
      </c>
      <c r="L9970"/>
    </row>
    <row r="9971" spans="1:12" x14ac:dyDescent="0.3">
      <c r="A9971" t="s">
        <v>9977</v>
      </c>
      <c r="B9971" t="s">
        <v>10008</v>
      </c>
      <c r="C9971">
        <v>2</v>
      </c>
      <c r="D9971">
        <v>2</v>
      </c>
      <c r="E9971">
        <v>4</v>
      </c>
      <c r="F9971" t="s">
        <v>10019</v>
      </c>
      <c r="G9971" t="s">
        <v>10102</v>
      </c>
      <c r="H9971" s="6">
        <v>45181</v>
      </c>
      <c r="I9971">
        <f t="shared" si="310"/>
        <v>0</v>
      </c>
      <c r="J9971" t="str">
        <f t="shared" si="311"/>
        <v>Complete</v>
      </c>
      <c r="K9971">
        <f>COUNTIFS(RawData[Item], B9971,RawData[Quantity],C9971,RawData[Price Per Unit],D9971,RawData[Total Spent],E9971,RawData[Payment Method],F9971,RawData[Location],G9971,RawData[Transaction Date],H9971)</f>
        <v>1</v>
      </c>
      <c r="L9971"/>
    </row>
    <row r="9972" spans="1:12" x14ac:dyDescent="0.3">
      <c r="A9972" t="s">
        <v>9978</v>
      </c>
      <c r="B9972" t="s">
        <v>10014</v>
      </c>
      <c r="C9972">
        <v>5</v>
      </c>
      <c r="D9972">
        <v>4</v>
      </c>
      <c r="E9972">
        <v>20</v>
      </c>
      <c r="F9972" t="s">
        <v>10019</v>
      </c>
      <c r="G9972" t="s">
        <v>10102</v>
      </c>
      <c r="H9972" s="6">
        <v>44990</v>
      </c>
      <c r="I9972">
        <f t="shared" si="310"/>
        <v>0</v>
      </c>
      <c r="J9972" t="str">
        <f t="shared" si="311"/>
        <v>Complete</v>
      </c>
      <c r="K9972">
        <f>COUNTIFS(RawData[Item], B9972,RawData[Quantity],C9972,RawData[Price Per Unit],D9972,RawData[Total Spent],E9972,RawData[Payment Method],F9972,RawData[Location],G9972,RawData[Transaction Date],H9972)</f>
        <v>1</v>
      </c>
      <c r="L9972"/>
    </row>
    <row r="9973" spans="1:12" x14ac:dyDescent="0.3">
      <c r="A9973" t="s">
        <v>9979</v>
      </c>
      <c r="B9973" t="s">
        <v>10011</v>
      </c>
      <c r="C9973">
        <v>5</v>
      </c>
      <c r="D9973">
        <v>5</v>
      </c>
      <c r="E9973">
        <v>25</v>
      </c>
      <c r="F9973" t="s">
        <v>10019</v>
      </c>
      <c r="G9973" t="s">
        <v>10021</v>
      </c>
      <c r="H9973" s="6">
        <v>44961</v>
      </c>
      <c r="I9973">
        <f t="shared" si="310"/>
        <v>0</v>
      </c>
      <c r="J9973" t="str">
        <f t="shared" si="311"/>
        <v>Complete</v>
      </c>
      <c r="K9973">
        <f>COUNTIFS(RawData[Item], B9973,RawData[Quantity],C9973,RawData[Price Per Unit],D9973,RawData[Total Spent],E9973,RawData[Payment Method],F9973,RawData[Location],G9973,RawData[Transaction Date],H9973)</f>
        <v>1</v>
      </c>
      <c r="L9973"/>
    </row>
    <row r="9974" spans="1:12" x14ac:dyDescent="0.3">
      <c r="A9974" t="s">
        <v>9980</v>
      </c>
      <c r="B9974" t="s">
        <v>10009</v>
      </c>
      <c r="C9974">
        <v>4</v>
      </c>
      <c r="D9974">
        <v>3</v>
      </c>
      <c r="E9974">
        <v>12</v>
      </c>
      <c r="F9974" t="s">
        <v>10103</v>
      </c>
      <c r="G9974" t="s">
        <v>10102</v>
      </c>
      <c r="H9974" s="6">
        <v>45144</v>
      </c>
      <c r="I9974">
        <f t="shared" si="310"/>
        <v>1</v>
      </c>
      <c r="J9974" t="str">
        <f t="shared" si="311"/>
        <v>Complete</v>
      </c>
      <c r="K9974">
        <f>COUNTIFS(RawData[Item], B9974,RawData[Quantity],C9974,RawData[Price Per Unit],D9974,RawData[Total Spent],E9974,RawData[Payment Method],F9974,RawData[Location],G9974,RawData[Transaction Date],H9974)</f>
        <v>1</v>
      </c>
      <c r="L9974"/>
    </row>
    <row r="9975" spans="1:12" x14ac:dyDescent="0.3">
      <c r="A9975" t="s">
        <v>9981</v>
      </c>
      <c r="B9975" t="s">
        <v>10011</v>
      </c>
      <c r="C9975">
        <v>2</v>
      </c>
      <c r="D9975">
        <v>5</v>
      </c>
      <c r="E9975">
        <v>10</v>
      </c>
      <c r="F9975" t="s">
        <v>10020</v>
      </c>
      <c r="G9975" t="s">
        <v>10069</v>
      </c>
      <c r="H9975" s="6">
        <v>44952</v>
      </c>
      <c r="I9975">
        <f t="shared" si="310"/>
        <v>0</v>
      </c>
      <c r="J9975" t="str">
        <f t="shared" si="311"/>
        <v>Complete</v>
      </c>
      <c r="K9975">
        <f>COUNTIFS(RawData[Item], B9975,RawData[Quantity],C9975,RawData[Price Per Unit],D9975,RawData[Total Spent],E9975,RawData[Payment Method],F9975,RawData[Location],G9975,RawData[Transaction Date],H9975)</f>
        <v>1</v>
      </c>
      <c r="L9975"/>
    </row>
    <row r="9976" spans="1:12" x14ac:dyDescent="0.3">
      <c r="A9976" t="s">
        <v>9982</v>
      </c>
      <c r="B9976" t="s">
        <v>10017</v>
      </c>
      <c r="C9976">
        <v>4</v>
      </c>
      <c r="D9976">
        <v>1.5</v>
      </c>
      <c r="E9976">
        <v>6</v>
      </c>
      <c r="F9976" t="s">
        <v>10019</v>
      </c>
      <c r="G9976" t="s">
        <v>10102</v>
      </c>
      <c r="H9976" s="6">
        <v>45017</v>
      </c>
      <c r="I9976">
        <f t="shared" si="310"/>
        <v>0</v>
      </c>
      <c r="J9976" t="str">
        <f t="shared" si="311"/>
        <v>Complete</v>
      </c>
      <c r="K9976">
        <f>COUNTIFS(RawData[Item], B9976,RawData[Quantity],C9976,RawData[Price Per Unit],D9976,RawData[Total Spent],E9976,RawData[Payment Method],F9976,RawData[Location],G9976,RawData[Transaction Date],H9976)</f>
        <v>1</v>
      </c>
      <c r="L9976"/>
    </row>
    <row r="9977" spans="1:12" x14ac:dyDescent="0.3">
      <c r="A9977" t="s">
        <v>9983</v>
      </c>
      <c r="B9977" t="s">
        <v>10009</v>
      </c>
      <c r="C9977">
        <v>1</v>
      </c>
      <c r="D9977">
        <v>3</v>
      </c>
      <c r="E9977">
        <v>3</v>
      </c>
      <c r="F9977" t="s">
        <v>10019</v>
      </c>
      <c r="G9977" t="s">
        <v>10102</v>
      </c>
      <c r="H9977" s="6">
        <v>44946</v>
      </c>
      <c r="I9977">
        <f t="shared" si="310"/>
        <v>0</v>
      </c>
      <c r="J9977" t="str">
        <f t="shared" si="311"/>
        <v>Complete</v>
      </c>
      <c r="K9977">
        <f>COUNTIFS(RawData[Item], B9977,RawData[Quantity],C9977,RawData[Price Per Unit],D9977,RawData[Total Spent],E9977,RawData[Payment Method],F9977,RawData[Location],G9977,RawData[Transaction Date],H9977)</f>
        <v>1</v>
      </c>
      <c r="L9977"/>
    </row>
    <row r="9978" spans="1:12" x14ac:dyDescent="0.3">
      <c r="A9978" t="s">
        <v>9984</v>
      </c>
      <c r="B9978" t="s">
        <v>10010</v>
      </c>
      <c r="C9978">
        <v>1</v>
      </c>
      <c r="D9978">
        <v>1</v>
      </c>
      <c r="E9978">
        <v>1</v>
      </c>
      <c r="F9978" t="s">
        <v>10069</v>
      </c>
      <c r="G9978" t="s">
        <v>10021</v>
      </c>
      <c r="H9978" s="6">
        <v>45164</v>
      </c>
      <c r="I9978">
        <f t="shared" si="310"/>
        <v>0</v>
      </c>
      <c r="J9978" t="str">
        <f t="shared" si="311"/>
        <v>Complete</v>
      </c>
      <c r="K9978">
        <f>COUNTIFS(RawData[Item], B9978,RawData[Quantity],C9978,RawData[Price Per Unit],D9978,RawData[Total Spent],E9978,RawData[Payment Method],F9978,RawData[Location],G9978,RawData[Transaction Date],H9978)</f>
        <v>1</v>
      </c>
      <c r="L9978"/>
    </row>
    <row r="9979" spans="1:12" x14ac:dyDescent="0.3">
      <c r="A9979" t="s">
        <v>9985</v>
      </c>
      <c r="B9979" t="s">
        <v>10016</v>
      </c>
      <c r="C9979">
        <v>2</v>
      </c>
      <c r="D9979">
        <v>3</v>
      </c>
      <c r="E9979" t="s">
        <v>10015</v>
      </c>
      <c r="F9979" t="s">
        <v>10020</v>
      </c>
      <c r="G9979" t="s">
        <v>10102</v>
      </c>
      <c r="H9979" s="6">
        <v>45234</v>
      </c>
      <c r="I9979">
        <f t="shared" si="310"/>
        <v>1</v>
      </c>
      <c r="J9979" t="str">
        <f t="shared" si="311"/>
        <v>Complete</v>
      </c>
      <c r="K9979">
        <f>COUNTIFS(RawData[Item], B9979,RawData[Quantity],C9979,RawData[Price Per Unit],D9979,RawData[Total Spent],E9979,RawData[Payment Method],F9979,RawData[Location],G9979,RawData[Transaction Date],H9979)</f>
        <v>1</v>
      </c>
      <c r="L9979"/>
    </row>
    <row r="9980" spans="1:12" x14ac:dyDescent="0.3">
      <c r="A9980" t="s">
        <v>9986</v>
      </c>
      <c r="B9980" t="s">
        <v>10017</v>
      </c>
      <c r="C9980">
        <v>3</v>
      </c>
      <c r="D9980">
        <v>1.5</v>
      </c>
      <c r="E9980">
        <v>4.5</v>
      </c>
      <c r="F9980" t="s">
        <v>10069</v>
      </c>
      <c r="G9980" t="s">
        <v>10069</v>
      </c>
      <c r="H9980" s="6">
        <v>44973</v>
      </c>
      <c r="I9980">
        <f t="shared" si="310"/>
        <v>0</v>
      </c>
      <c r="J9980" t="str">
        <f t="shared" si="311"/>
        <v>Complete</v>
      </c>
      <c r="K9980">
        <f>COUNTIFS(RawData[Item], B9980,RawData[Quantity],C9980,RawData[Price Per Unit],D9980,RawData[Total Spent],E9980,RawData[Payment Method],F9980,RawData[Location],G9980,RawData[Transaction Date],H9980)</f>
        <v>1</v>
      </c>
      <c r="L9980"/>
    </row>
    <row r="9981" spans="1:12" x14ac:dyDescent="0.3">
      <c r="A9981" t="s">
        <v>9987</v>
      </c>
      <c r="B9981" t="s">
        <v>10012</v>
      </c>
      <c r="C9981">
        <v>5</v>
      </c>
      <c r="D9981">
        <v>4</v>
      </c>
      <c r="E9981">
        <v>20</v>
      </c>
      <c r="F9981" t="s">
        <v>10019</v>
      </c>
      <c r="G9981" t="s">
        <v>10102</v>
      </c>
      <c r="H9981" s="6">
        <v>45127</v>
      </c>
      <c r="I9981">
        <f t="shared" si="310"/>
        <v>0</v>
      </c>
      <c r="J9981" t="str">
        <f t="shared" si="311"/>
        <v>Complete</v>
      </c>
      <c r="K9981">
        <f>COUNTIFS(RawData[Item], B9981,RawData[Quantity],C9981,RawData[Price Per Unit],D9981,RawData[Total Spent],E9981,RawData[Payment Method],F9981,RawData[Location],G9981,RawData[Transaction Date],H9981)</f>
        <v>1</v>
      </c>
      <c r="L9981"/>
    </row>
    <row r="9982" spans="1:12" x14ac:dyDescent="0.3">
      <c r="A9982" t="s">
        <v>9988</v>
      </c>
      <c r="B9982" t="s">
        <v>10017</v>
      </c>
      <c r="C9982">
        <v>4</v>
      </c>
      <c r="D9982">
        <v>1.5</v>
      </c>
      <c r="E9982">
        <v>6</v>
      </c>
      <c r="F9982" t="s">
        <v>10103</v>
      </c>
      <c r="G9982" t="s">
        <v>10069</v>
      </c>
      <c r="H9982" s="6">
        <v>45162</v>
      </c>
      <c r="I9982">
        <f t="shared" si="310"/>
        <v>1</v>
      </c>
      <c r="J9982" t="str">
        <f t="shared" si="311"/>
        <v>Complete</v>
      </c>
      <c r="K9982">
        <f>COUNTIFS(RawData[Item], B9982,RawData[Quantity],C9982,RawData[Price Per Unit],D9982,RawData[Total Spent],E9982,RawData[Payment Method],F9982,RawData[Location],G9982,RawData[Transaction Date],H9982)</f>
        <v>1</v>
      </c>
      <c r="L9982"/>
    </row>
    <row r="9983" spans="1:12" x14ac:dyDescent="0.3">
      <c r="A9983" t="s">
        <v>9989</v>
      </c>
      <c r="B9983" t="s">
        <v>10015</v>
      </c>
      <c r="C9983">
        <v>5</v>
      </c>
      <c r="D9983">
        <v>4</v>
      </c>
      <c r="E9983">
        <v>20</v>
      </c>
      <c r="F9983" t="s">
        <v>10020</v>
      </c>
      <c r="G9983" t="s">
        <v>10069</v>
      </c>
      <c r="H9983" s="6">
        <v>44984</v>
      </c>
      <c r="I9983">
        <f t="shared" si="310"/>
        <v>1</v>
      </c>
      <c r="J9983" t="str">
        <f t="shared" si="311"/>
        <v>Complete</v>
      </c>
      <c r="K9983">
        <f>COUNTIFS(RawData[Item], B9983,RawData[Quantity],C9983,RawData[Price Per Unit],D9983,RawData[Total Spent],E9983,RawData[Payment Method],F9983,RawData[Location],G9983,RawData[Transaction Date],H9983)</f>
        <v>1</v>
      </c>
      <c r="L9983"/>
    </row>
    <row r="9984" spans="1:12" x14ac:dyDescent="0.3">
      <c r="A9984" t="s">
        <v>9990</v>
      </c>
      <c r="B9984" t="s">
        <v>10010</v>
      </c>
      <c r="C9984">
        <v>2</v>
      </c>
      <c r="D9984">
        <v>1</v>
      </c>
      <c r="E9984">
        <v>2</v>
      </c>
      <c r="F9984" t="s">
        <v>10069</v>
      </c>
      <c r="G9984" t="s">
        <v>10021</v>
      </c>
      <c r="H9984" s="6">
        <v>45290</v>
      </c>
      <c r="I9984">
        <f t="shared" si="310"/>
        <v>0</v>
      </c>
      <c r="J9984" t="str">
        <f t="shared" si="311"/>
        <v>Complete</v>
      </c>
      <c r="K9984">
        <f>COUNTIFS(RawData[Item], B9984,RawData[Quantity],C9984,RawData[Price Per Unit],D9984,RawData[Total Spent],E9984,RawData[Payment Method],F9984,RawData[Location],G9984,RawData[Transaction Date],H9984)</f>
        <v>1</v>
      </c>
      <c r="L9984"/>
    </row>
    <row r="9985" spans="1:12" x14ac:dyDescent="0.3">
      <c r="A9985" t="s">
        <v>9991</v>
      </c>
      <c r="B9985" t="s">
        <v>10012</v>
      </c>
      <c r="C9985">
        <v>3</v>
      </c>
      <c r="D9985">
        <v>4</v>
      </c>
      <c r="E9985">
        <v>12</v>
      </c>
      <c r="F9985" t="s">
        <v>10019</v>
      </c>
      <c r="G9985" t="s">
        <v>10069</v>
      </c>
      <c r="H9985" s="6" t="s">
        <v>10112</v>
      </c>
      <c r="I9985">
        <f t="shared" si="310"/>
        <v>1</v>
      </c>
      <c r="J9985" t="str">
        <f t="shared" si="311"/>
        <v>Incomplete</v>
      </c>
      <c r="K9985">
        <f>COUNTIFS(RawData[Item], B9985,RawData[Quantity],C9985,RawData[Price Per Unit],D9985,RawData[Total Spent],E9985,RawData[Payment Method],F9985,RawData[Location],G9985,RawData[Transaction Date],H9985)</f>
        <v>2</v>
      </c>
      <c r="L9985"/>
    </row>
    <row r="9986" spans="1:12" x14ac:dyDescent="0.3">
      <c r="A9986" t="s">
        <v>9992</v>
      </c>
      <c r="B9986" t="s">
        <v>10012</v>
      </c>
      <c r="C9986" t="s">
        <v>10013</v>
      </c>
      <c r="D9986">
        <v>4</v>
      </c>
      <c r="E9986">
        <v>4</v>
      </c>
      <c r="F9986" t="s">
        <v>10019</v>
      </c>
      <c r="G9986" t="s">
        <v>10021</v>
      </c>
      <c r="H9986" s="6">
        <v>45134</v>
      </c>
      <c r="I9986">
        <f t="shared" ref="I9986:I10049" si="312">(B9986="Unknown")+(B9986="Error")+(C9986="Unknown")+(C9986="Error")+(D9986="Unknown")+(D9986="Error")+(E9986="Unknown")+(E9986="Error")+(F9986="Unknown")+(F9986="Error")+(G9986="Unknown")+(G9986="Error")+(H9986="No Date")</f>
        <v>1</v>
      </c>
      <c r="J9986" t="str">
        <f t="shared" ref="J9986:J10001" si="313">IF((H9986="No Date"),"Incomplete","Complete")</f>
        <v>Complete</v>
      </c>
      <c r="K9986">
        <f>COUNTIFS(RawData[Item], B9986,RawData[Quantity],C9986,RawData[Price Per Unit],D9986,RawData[Total Spent],E9986,RawData[Payment Method],F9986,RawData[Location],G9986,RawData[Transaction Date],H9986)</f>
        <v>1</v>
      </c>
      <c r="L9986"/>
    </row>
    <row r="9987" spans="1:12" x14ac:dyDescent="0.3">
      <c r="A9987" t="s">
        <v>9993</v>
      </c>
      <c r="B9987" t="s">
        <v>10009</v>
      </c>
      <c r="C9987">
        <v>2</v>
      </c>
      <c r="D9987">
        <v>3</v>
      </c>
      <c r="E9987">
        <v>6</v>
      </c>
      <c r="F9987" t="s">
        <v>10069</v>
      </c>
      <c r="G9987" t="s">
        <v>10103</v>
      </c>
      <c r="H9987" s="6">
        <v>44929</v>
      </c>
      <c r="I9987">
        <f t="shared" si="312"/>
        <v>1</v>
      </c>
      <c r="J9987" t="str">
        <f t="shared" si="313"/>
        <v>Complete</v>
      </c>
      <c r="K9987">
        <f>COUNTIFS(RawData[Item], B9987,RawData[Quantity],C9987,RawData[Price Per Unit],D9987,RawData[Total Spent],E9987,RawData[Payment Method],F9987,RawData[Location],G9987,RawData[Transaction Date],H9987)</f>
        <v>1</v>
      </c>
      <c r="L9987"/>
    </row>
    <row r="9988" spans="1:12" x14ac:dyDescent="0.3">
      <c r="A9988" t="s">
        <v>9994</v>
      </c>
      <c r="B9988" t="s">
        <v>10014</v>
      </c>
      <c r="C9988">
        <v>2</v>
      </c>
      <c r="D9988">
        <v>4</v>
      </c>
      <c r="E9988">
        <v>8</v>
      </c>
      <c r="F9988" t="s">
        <v>10018</v>
      </c>
      <c r="G9988" t="s">
        <v>10102</v>
      </c>
      <c r="H9988" s="6">
        <v>45274</v>
      </c>
      <c r="I9988">
        <f t="shared" si="312"/>
        <v>0</v>
      </c>
      <c r="J9988" t="str">
        <f t="shared" si="313"/>
        <v>Complete</v>
      </c>
      <c r="K9988">
        <f>COUNTIFS(RawData[Item], B9988,RawData[Quantity],C9988,RawData[Price Per Unit],D9988,RawData[Total Spent],E9988,RawData[Payment Method],F9988,RawData[Location],G9988,RawData[Transaction Date],H9988)</f>
        <v>1</v>
      </c>
      <c r="L9988"/>
    </row>
    <row r="9989" spans="1:12" x14ac:dyDescent="0.3">
      <c r="A9989" t="s">
        <v>9995</v>
      </c>
      <c r="B9989" t="s">
        <v>10016</v>
      </c>
      <c r="C9989">
        <v>5</v>
      </c>
      <c r="D9989">
        <v>3</v>
      </c>
      <c r="E9989">
        <v>15</v>
      </c>
      <c r="F9989" t="s">
        <v>10019</v>
      </c>
      <c r="G9989" t="s">
        <v>10069</v>
      </c>
      <c r="H9989" s="6">
        <v>45138</v>
      </c>
      <c r="I9989">
        <f t="shared" si="312"/>
        <v>0</v>
      </c>
      <c r="J9989" t="str">
        <f t="shared" si="313"/>
        <v>Complete</v>
      </c>
      <c r="K9989">
        <f>COUNTIFS(RawData[Item], B9989,RawData[Quantity],C9989,RawData[Price Per Unit],D9989,RawData[Total Spent],E9989,RawData[Payment Method],F9989,RawData[Location],G9989,RawData[Transaction Date],H9989)</f>
        <v>1</v>
      </c>
      <c r="L9989"/>
    </row>
    <row r="9990" spans="1:12" x14ac:dyDescent="0.3">
      <c r="A9990" t="s">
        <v>9996</v>
      </c>
      <c r="B9990" t="s">
        <v>10009</v>
      </c>
      <c r="C9990">
        <v>5</v>
      </c>
      <c r="D9990">
        <v>3</v>
      </c>
      <c r="E9990">
        <v>0</v>
      </c>
      <c r="F9990" t="s">
        <v>10104</v>
      </c>
      <c r="G9990" t="s">
        <v>10069</v>
      </c>
      <c r="H9990" s="6" t="s">
        <v>10112</v>
      </c>
      <c r="I9990">
        <f t="shared" si="312"/>
        <v>2</v>
      </c>
      <c r="J9990" t="str">
        <f t="shared" si="313"/>
        <v>Incomplete</v>
      </c>
      <c r="K9990">
        <f>COUNTIFS(RawData[Item], B9990,RawData[Quantity],C9990,RawData[Price Per Unit],D9990,RawData[Total Spent],E9990,RawData[Payment Method],F9990,RawData[Location],G9990,RawData[Transaction Date],H9990)</f>
        <v>1</v>
      </c>
      <c r="L9990"/>
    </row>
    <row r="9991" spans="1:12" x14ac:dyDescent="0.3">
      <c r="A9991" t="s">
        <v>9997</v>
      </c>
      <c r="B9991" t="s">
        <v>10016</v>
      </c>
      <c r="C9991">
        <v>5</v>
      </c>
      <c r="D9991">
        <v>3</v>
      </c>
      <c r="E9991">
        <v>15</v>
      </c>
      <c r="F9991" t="s">
        <v>10019</v>
      </c>
      <c r="G9991" t="s">
        <v>10069</v>
      </c>
      <c r="H9991" s="6">
        <v>45156</v>
      </c>
      <c r="I9991">
        <f t="shared" si="312"/>
        <v>0</v>
      </c>
      <c r="J9991" t="str">
        <f t="shared" si="313"/>
        <v>Complete</v>
      </c>
      <c r="K9991">
        <f>COUNTIFS(RawData[Item], B9991,RawData[Quantity],C9991,RawData[Price Per Unit],D9991,RawData[Total Spent],E9991,RawData[Payment Method],F9991,RawData[Location],G9991,RawData[Transaction Date],H9991)</f>
        <v>2</v>
      </c>
      <c r="L9991"/>
    </row>
    <row r="9992" spans="1:12" x14ac:dyDescent="0.3">
      <c r="A9992" t="s">
        <v>9998</v>
      </c>
      <c r="B9992" t="s">
        <v>10008</v>
      </c>
      <c r="C9992">
        <v>5</v>
      </c>
      <c r="D9992">
        <v>2</v>
      </c>
      <c r="E9992">
        <v>10</v>
      </c>
      <c r="F9992" t="s">
        <v>10020</v>
      </c>
      <c r="G9992" t="s">
        <v>10069</v>
      </c>
      <c r="H9992" s="6">
        <v>45068</v>
      </c>
      <c r="I9992">
        <f t="shared" si="312"/>
        <v>0</v>
      </c>
      <c r="J9992" t="str">
        <f t="shared" si="313"/>
        <v>Complete</v>
      </c>
      <c r="K9992">
        <f>COUNTIFS(RawData[Item], B9992,RawData[Quantity],C9992,RawData[Price Per Unit],D9992,RawData[Total Spent],E9992,RawData[Payment Method],F9992,RawData[Location],G9992,RawData[Transaction Date],H9992)</f>
        <v>1</v>
      </c>
      <c r="L9992"/>
    </row>
    <row r="9993" spans="1:12" x14ac:dyDescent="0.3">
      <c r="A9993" t="s">
        <v>9999</v>
      </c>
      <c r="B9993" t="s">
        <v>10014</v>
      </c>
      <c r="C9993">
        <v>3</v>
      </c>
      <c r="D9993">
        <v>4</v>
      </c>
      <c r="E9993">
        <v>12</v>
      </c>
      <c r="F9993" t="s">
        <v>10019</v>
      </c>
      <c r="G9993" t="s">
        <v>10021</v>
      </c>
      <c r="H9993" s="6">
        <v>44981</v>
      </c>
      <c r="I9993">
        <f t="shared" si="312"/>
        <v>0</v>
      </c>
      <c r="J9993" t="str">
        <f t="shared" si="313"/>
        <v>Complete</v>
      </c>
      <c r="K9993">
        <f>COUNTIFS(RawData[Item], B9993,RawData[Quantity],C9993,RawData[Price Per Unit],D9993,RawData[Total Spent],E9993,RawData[Payment Method],F9993,RawData[Location],G9993,RawData[Transaction Date],H9993)</f>
        <v>1</v>
      </c>
      <c r="L9993"/>
    </row>
    <row r="9994" spans="1:12" x14ac:dyDescent="0.3">
      <c r="A9994" t="s">
        <v>10000</v>
      </c>
      <c r="B9994" t="s">
        <v>10012</v>
      </c>
      <c r="C9994">
        <v>4</v>
      </c>
      <c r="D9994">
        <v>4</v>
      </c>
      <c r="E9994">
        <v>16</v>
      </c>
      <c r="F9994" t="s">
        <v>10103</v>
      </c>
      <c r="G9994" t="s">
        <v>10102</v>
      </c>
      <c r="H9994" s="6">
        <v>45112</v>
      </c>
      <c r="I9994">
        <f t="shared" si="312"/>
        <v>1</v>
      </c>
      <c r="J9994" t="str">
        <f t="shared" si="313"/>
        <v>Complete</v>
      </c>
      <c r="K9994">
        <f>COUNTIFS(RawData[Item], B9994,RawData[Quantity],C9994,RawData[Price Per Unit],D9994,RawData[Total Spent],E9994,RawData[Payment Method],F9994,RawData[Location],G9994,RawData[Transaction Date],H9994)</f>
        <v>1</v>
      </c>
      <c r="L9994"/>
    </row>
    <row r="9995" spans="1:12" x14ac:dyDescent="0.3">
      <c r="A9995" t="s">
        <v>10001</v>
      </c>
      <c r="B9995" t="s">
        <v>10012</v>
      </c>
      <c r="C9995">
        <v>2</v>
      </c>
      <c r="D9995">
        <v>4</v>
      </c>
      <c r="E9995">
        <v>0</v>
      </c>
      <c r="F9995" t="s">
        <v>10019</v>
      </c>
      <c r="G9995" t="s">
        <v>10069</v>
      </c>
      <c r="H9995" s="6">
        <v>45219</v>
      </c>
      <c r="I9995">
        <f t="shared" si="312"/>
        <v>0</v>
      </c>
      <c r="J9995" t="str">
        <f t="shared" si="313"/>
        <v>Complete</v>
      </c>
      <c r="K9995">
        <f>COUNTIFS(RawData[Item], B9995,RawData[Quantity],C9995,RawData[Price Per Unit],D9995,RawData[Total Spent],E9995,RawData[Payment Method],F9995,RawData[Location],G9995,RawData[Transaction Date],H9995)</f>
        <v>1</v>
      </c>
      <c r="L9995"/>
    </row>
    <row r="9996" spans="1:12" x14ac:dyDescent="0.3">
      <c r="A9996" t="s">
        <v>10002</v>
      </c>
      <c r="B9996" t="s">
        <v>10013</v>
      </c>
      <c r="C9996">
        <v>4</v>
      </c>
      <c r="D9996">
        <v>4</v>
      </c>
      <c r="E9996">
        <v>16</v>
      </c>
      <c r="F9996" t="s">
        <v>10069</v>
      </c>
      <c r="G9996" t="s">
        <v>10069</v>
      </c>
      <c r="H9996" s="6">
        <v>44934</v>
      </c>
      <c r="I9996">
        <f t="shared" si="312"/>
        <v>1</v>
      </c>
      <c r="J9996" t="str">
        <f t="shared" si="313"/>
        <v>Complete</v>
      </c>
      <c r="K9996">
        <f>COUNTIFS(RawData[Item], B9996,RawData[Quantity],C9996,RawData[Price Per Unit],D9996,RawData[Total Spent],E9996,RawData[Payment Method],F9996,RawData[Location],G9996,RawData[Transaction Date],H9996)</f>
        <v>1</v>
      </c>
      <c r="L9996"/>
    </row>
    <row r="9997" spans="1:12" x14ac:dyDescent="0.3">
      <c r="A9997" t="s">
        <v>10003</v>
      </c>
      <c r="B9997" t="s">
        <v>10008</v>
      </c>
      <c r="C9997">
        <v>2</v>
      </c>
      <c r="D9997">
        <v>2</v>
      </c>
      <c r="E9997">
        <v>4</v>
      </c>
      <c r="F9997" t="s">
        <v>10069</v>
      </c>
      <c r="G9997" t="s">
        <v>10103</v>
      </c>
      <c r="H9997" s="6">
        <v>45168</v>
      </c>
      <c r="I9997">
        <f t="shared" si="312"/>
        <v>1</v>
      </c>
      <c r="J9997" t="str">
        <f t="shared" si="313"/>
        <v>Complete</v>
      </c>
      <c r="K9997">
        <f>COUNTIFS(RawData[Item], B9997,RawData[Quantity],C9997,RawData[Price Per Unit],D9997,RawData[Total Spent],E9997,RawData[Payment Method],F9997,RawData[Location],G9997,RawData[Transaction Date],H9997)</f>
        <v>1</v>
      </c>
      <c r="L9997"/>
    </row>
    <row r="9998" spans="1:12" x14ac:dyDescent="0.3">
      <c r="A9998" t="s">
        <v>10004</v>
      </c>
      <c r="B9998" t="s">
        <v>10069</v>
      </c>
      <c r="C9998">
        <v>3</v>
      </c>
      <c r="D9998">
        <v>0</v>
      </c>
      <c r="E9998">
        <v>3</v>
      </c>
      <c r="F9998" t="s">
        <v>10020</v>
      </c>
      <c r="G9998" t="s">
        <v>10069</v>
      </c>
      <c r="H9998" s="6">
        <v>45079</v>
      </c>
      <c r="I9998">
        <f t="shared" si="312"/>
        <v>0</v>
      </c>
      <c r="J9998" t="str">
        <f t="shared" si="313"/>
        <v>Complete</v>
      </c>
      <c r="K9998">
        <f>COUNTIFS(RawData[Item], B9998,RawData[Quantity],C9998,RawData[Price Per Unit],D9998,RawData[Total Spent],E9998,RawData[Payment Method],F9998,RawData[Location],G9998,RawData[Transaction Date],H9998)</f>
        <v>1</v>
      </c>
      <c r="L9998"/>
    </row>
    <row r="9999" spans="1:12" x14ac:dyDescent="0.3">
      <c r="A9999" t="s">
        <v>10005</v>
      </c>
      <c r="B9999" t="s">
        <v>10008</v>
      </c>
      <c r="C9999">
        <v>4</v>
      </c>
      <c r="D9999">
        <v>2</v>
      </c>
      <c r="E9999">
        <v>8</v>
      </c>
      <c r="F9999" t="s">
        <v>10020</v>
      </c>
      <c r="G9999" t="s">
        <v>10069</v>
      </c>
      <c r="H9999" s="6">
        <v>44987</v>
      </c>
      <c r="I9999">
        <f t="shared" si="312"/>
        <v>0</v>
      </c>
      <c r="J9999" t="str">
        <f t="shared" si="313"/>
        <v>Complete</v>
      </c>
      <c r="K9999">
        <f>COUNTIFS(RawData[Item], B9999,RawData[Quantity],C9999,RawData[Price Per Unit],D9999,RawData[Total Spent],E9999,RawData[Payment Method],F9999,RawData[Location],G9999,RawData[Transaction Date],H9999)</f>
        <v>1</v>
      </c>
      <c r="L9999"/>
    </row>
    <row r="10000" spans="1:12" x14ac:dyDescent="0.3">
      <c r="A10000" t="s">
        <v>10006</v>
      </c>
      <c r="B10000" t="s">
        <v>10010</v>
      </c>
      <c r="C10000">
        <v>3</v>
      </c>
      <c r="D10000">
        <v>0</v>
      </c>
      <c r="E10000">
        <v>3</v>
      </c>
      <c r="F10000" t="s">
        <v>10020</v>
      </c>
      <c r="G10000" t="s">
        <v>10069</v>
      </c>
      <c r="H10000" s="6">
        <v>45262</v>
      </c>
      <c r="I10000">
        <f t="shared" si="312"/>
        <v>0</v>
      </c>
      <c r="J10000" t="str">
        <f t="shared" si="313"/>
        <v>Complete</v>
      </c>
      <c r="K10000">
        <f>COUNTIFS(RawData[Item], B10000,RawData[Quantity],C10000,RawData[Price Per Unit],D10000,RawData[Total Spent],E10000,RawData[Payment Method],F10000,RawData[Location],G10000,RawData[Transaction Date],H10000)</f>
        <v>1</v>
      </c>
      <c r="L10000"/>
    </row>
    <row r="10001" spans="1:12" x14ac:dyDescent="0.3">
      <c r="A10001" t="s">
        <v>10007</v>
      </c>
      <c r="B10001" t="s">
        <v>10014</v>
      </c>
      <c r="C10001">
        <v>3</v>
      </c>
      <c r="D10001">
        <v>4</v>
      </c>
      <c r="E10001">
        <v>12</v>
      </c>
      <c r="F10001" t="s">
        <v>10019</v>
      </c>
      <c r="G10001" t="s">
        <v>10102</v>
      </c>
      <c r="H10001" s="6">
        <v>45237</v>
      </c>
      <c r="I10001">
        <f t="shared" si="312"/>
        <v>0</v>
      </c>
      <c r="J10001" t="str">
        <f t="shared" si="313"/>
        <v>Complete</v>
      </c>
      <c r="K10001">
        <f>COUNTIFS(RawData[Item], B10001,RawData[Quantity],C10001,RawData[Price Per Unit],D10001,RawData[Total Spent],E10001,RawData[Payment Method],F10001,RawData[Location],G10001,RawData[Transaction Date],H10001)</f>
        <v>1</v>
      </c>
      <c r="L1000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723FE9B-C9ED-4E01-AF91-84E51089EC8B}">
          <x14:formula1>
            <xm:f>Lists!$A$1:$A$4</xm:f>
          </x14:formula1>
          <xm:sqref>F10002:F10011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Report</vt:lpstr>
      <vt:lpstr>Findings Log</vt:lpstr>
      <vt:lpstr>Diagnostics</vt:lpstr>
      <vt:lpstr>Lists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Manyasa Mutsembi</dc:creator>
  <cp:lastModifiedBy>Manyasa Mutsembi</cp:lastModifiedBy>
  <dcterms:created xsi:type="dcterms:W3CDTF">2026-07-28T07:44:21Z</dcterms:created>
  <dcterms:modified xsi:type="dcterms:W3CDTF">2026-10-06T09:36:54Z</dcterms:modified>
</cp:coreProperties>
</file>